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xr:revisionPtr revIDLastSave="0" documentId="13_ncr:1_{0966105D-0FB6-4982-930E-33EFDF05594D}" xr6:coauthVersionLast="47" xr6:coauthVersionMax="47" xr10:uidLastSave="{00000000-0000-0000-0000-000000000000}"/>
  <bookViews>
    <workbookView xWindow="-108" yWindow="-108" windowWidth="23256" windowHeight="12720" firstSheet="1" activeTab="4" xr2:uid="{00000000-000D-0000-FFFF-FFFF00000000}"/>
  </bookViews>
  <sheets>
    <sheet name="Call Log" sheetId="1" r:id="rId1"/>
    <sheet name="Agents Required" sheetId="6" r:id="rId2"/>
    <sheet name="Peek Hours &amp; Days" sheetId="4" r:id="rId3"/>
    <sheet name="Underperforming Queues" sheetId="5" r:id="rId4"/>
    <sheet name="Avg Ans Speed" sheetId="3" r:id="rId5"/>
  </sheets>
  <definedNames>
    <definedName name="_xlcn.WorksheetConnection_01CallCenterDataset.xlsxCallLog1" hidden="1">CallLog[]</definedName>
    <definedName name="solver_eng" localSheetId="4" hidden="1">1</definedName>
    <definedName name="solver_lin" localSheetId="4" hidden="1">2</definedName>
    <definedName name="solver_neg" localSheetId="4" hidden="1">1</definedName>
    <definedName name="solver_num" localSheetId="4" hidden="1">0</definedName>
    <definedName name="solver_typ" localSheetId="4" hidden="1">1</definedName>
    <definedName name="solver_val" localSheetId="4" hidden="1">0</definedName>
    <definedName name="solver_ver" localSheetId="4" hidden="1">2</definedName>
  </definedNames>
  <calcPr calcId="191029"/>
  <pivotCaches>
    <pivotCache cacheId="0" r:id="rId6"/>
    <pivotCache cacheId="30" r:id="rId7"/>
  </pivotCaches>
  <extLst>
    <ext xmlns:x15="http://schemas.microsoft.com/office/spreadsheetml/2010/11/main" uri="{FCE2AD5D-F65C-4FA6-A056-5C36A1767C68}">
      <x15:dataModel>
        <x15:modelTables>
          <x15:modelTable id="CallLog" name="CallLog" connection="WorksheetConnection_01 Call-Center-Dataset.xlsx!CallLo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  <c r="B3" i="3"/>
  <c r="B1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16AAD3-7C5E-400B-AB72-155DA6D1ADB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03D514E-81E3-4748-9D27-A2E83615F96F}" name="WorksheetConnection_01 Call-Center-Dataset.xlsx!CallLog" type="102" refreshedVersion="8" minRefreshableVersion="5">
    <extLst>
      <ext xmlns:x15="http://schemas.microsoft.com/office/spreadsheetml/2010/11/main" uri="{DE250136-89BD-433C-8126-D09CA5730AF9}">
        <x15:connection id="CallLog" autoDelete="1">
          <x15:rangePr sourceName="_xlcn.WorksheetConnection_01CallCenterDataset.xlsxCallLog1"/>
        </x15:connection>
      </ext>
    </extLst>
  </connection>
</connections>
</file>

<file path=xl/sharedStrings.xml><?xml version="1.0" encoding="utf-8"?>
<sst xmlns="http://schemas.openxmlformats.org/spreadsheetml/2006/main" count="30143" uniqueCount="5142">
  <si>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</si>
  <si>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</si>
  <si>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</si>
  <si>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</si>
  <si>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</si>
  <si>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</si>
  <si>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</si>
  <si>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</si>
  <si>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</si>
  <si>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</si>
  <si>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</si>
  <si>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</si>
  <si>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</si>
  <si>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</si>
  <si>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</si>
  <si>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</si>
  <si>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</si>
  <si>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</si>
  <si>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</si>
  <si>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</si>
  <si>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</si>
  <si>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</si>
  <si>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</si>
  <si>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</si>
  <si>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</si>
  <si>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</si>
  <si>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</si>
  <si>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</si>
  <si>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</si>
  <si>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</si>
  <si>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</si>
  <si>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</si>
  <si>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</si>
  <si>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</si>
  <si>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</si>
  <si>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</si>
  <si>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</si>
  <si>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</si>
  <si>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</si>
  <si>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</si>
  <si>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</si>
  <si>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</si>
  <si>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</si>
  <si>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</si>
  <si>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</si>
  <si>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</si>
  <si>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</si>
  <si>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</si>
  <si>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</si>
  <si>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</si>
  <si>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</si>
  <si>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</si>
  <si>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</si>
  <si>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</si>
  <si>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</si>
  <si>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</si>
  <si>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</si>
  <si>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</si>
  <si>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</si>
  <si>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</si>
  <si>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</si>
  <si>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</si>
  <si>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</si>
  <si>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</si>
  <si>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</si>
  <si>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</si>
  <si>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</si>
  <si>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</si>
  <si>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</si>
  <si>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</si>
  <si>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</si>
  <si>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</si>
  <si>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</si>
  <si>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</si>
  <si>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</si>
  <si>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</si>
  <si>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</si>
  <si>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</si>
  <si>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</si>
  <si>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</si>
  <si>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</si>
  <si>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</si>
  <si>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</si>
  <si>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</si>
  <si>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</si>
  <si>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</si>
  <si>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</si>
  <si>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</si>
  <si>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</si>
  <si>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</si>
  <si>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</si>
  <si>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</si>
  <si>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</si>
  <si>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</si>
  <si>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</si>
  <si>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</si>
  <si>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</si>
  <si>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</si>
  <si>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</si>
  <si>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</si>
  <si>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</si>
  <si>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</si>
  <si>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</si>
  <si>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</si>
  <si>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</si>
  <si>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</si>
  <si>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</si>
  <si>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</si>
  <si>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</si>
  <si>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</si>
  <si>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</si>
  <si>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</si>
  <si>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</si>
  <si>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</si>
  <si>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</si>
  <si>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</si>
  <si>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</si>
  <si>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</si>
  <si>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</si>
  <si>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</si>
  <si>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</si>
  <si>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</si>
  <si>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</si>
  <si>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</si>
  <si>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</si>
  <si>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</si>
  <si>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</si>
  <si>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</si>
  <si>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</si>
  <si>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</si>
  <si>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</si>
  <si>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</si>
  <si>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</si>
  <si>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</si>
  <si>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</si>
  <si>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</si>
  <si>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</si>
  <si>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</si>
  <si>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</si>
  <si>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</si>
  <si>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</si>
  <si>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</si>
  <si>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</si>
  <si>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</si>
  <si>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</si>
  <si>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</si>
  <si>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</si>
  <si>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</si>
  <si>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</si>
  <si>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</si>
  <si>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</si>
  <si>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</si>
  <si>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</si>
  <si>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</si>
  <si>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</si>
  <si>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</si>
  <si>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</si>
  <si>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</si>
  <si>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</si>
  <si>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</si>
  <si>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</si>
  <si>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</si>
  <si>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</si>
  <si>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</si>
  <si>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</si>
  <si>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</si>
  <si>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</si>
  <si>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</si>
  <si>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</si>
  <si>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</si>
  <si>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</si>
  <si>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</si>
  <si>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</si>
  <si>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</si>
  <si>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</si>
  <si>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</si>
  <si>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</si>
  <si>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</si>
  <si>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</si>
  <si>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</si>
  <si>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</si>
  <si>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</si>
  <si>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</si>
  <si>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</si>
  <si>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</si>
  <si>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</si>
  <si>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</si>
  <si>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</si>
  <si>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</si>
  <si>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</si>
  <si>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</si>
  <si>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</si>
  <si>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</si>
  <si>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</si>
  <si>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</si>
  <si>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</si>
  <si>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</si>
  <si>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</si>
  <si>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</si>
  <si>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</si>
  <si>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</si>
  <si>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</si>
  <si>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</si>
  <si>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</si>
  <si>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</si>
  <si>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</si>
  <si>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</si>
  <si>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</si>
  <si>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</si>
  <si>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</si>
  <si>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</si>
  <si>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</si>
  <si>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</si>
  <si>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</si>
  <si>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</si>
  <si>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</si>
  <si>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</si>
  <si>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</si>
  <si>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</si>
  <si>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</si>
  <si>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</si>
  <si>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</si>
  <si>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</si>
  <si>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</si>
  <si>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</si>
  <si>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</si>
  <si>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</si>
  <si>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</si>
  <si>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</si>
  <si>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</si>
  <si>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</si>
  <si>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</si>
  <si>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</si>
  <si>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</si>
  <si>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</si>
  <si>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</si>
  <si>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</si>
  <si>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</si>
  <si>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</si>
  <si>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</si>
  <si>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</si>
  <si>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</si>
  <si>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</si>
  <si>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</si>
  <si>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</si>
  <si>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</si>
  <si>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</si>
  <si>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</si>
  <si>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</si>
  <si>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</si>
  <si>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</si>
  <si>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</si>
  <si>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</si>
  <si>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</si>
  <si>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</si>
  <si>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</si>
  <si>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</si>
  <si>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</si>
  <si>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</si>
  <si>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</si>
  <si>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</si>
  <si>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</si>
  <si>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</si>
  <si>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</si>
  <si>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</si>
  <si>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</si>
  <si>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</si>
  <si>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</si>
  <si>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</si>
  <si>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</si>
  <si>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</si>
  <si>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</si>
  <si>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</si>
  <si>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</si>
  <si>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</si>
  <si>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</si>
  <si>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</si>
  <si>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</si>
  <si>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</si>
  <si>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</si>
  <si>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</si>
  <si>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</si>
  <si>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</si>
  <si>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</si>
  <si>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</si>
  <si>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</si>
  <si>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</si>
  <si>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</si>
  <si>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</si>
  <si>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</si>
  <si>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</si>
  <si>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</si>
  <si>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</si>
  <si>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</si>
  <si>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</si>
  <si>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</si>
  <si>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</si>
  <si>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</si>
  <si>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</si>
  <si>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</si>
  <si>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</si>
  <si>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</si>
  <si>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</si>
  <si>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</si>
  <si>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</si>
  <si>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</si>
  <si>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</si>
  <si>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</si>
  <si>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</si>
  <si>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</si>
  <si>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</si>
  <si>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</si>
  <si>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</si>
  <si>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</si>
  <si>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</si>
  <si>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</si>
  <si>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</si>
  <si>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</si>
  <si>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</si>
  <si>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</si>
  <si>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</si>
  <si>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</si>
  <si>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</si>
  <si>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</si>
  <si>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</si>
  <si>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</si>
  <si>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</si>
  <si>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</si>
  <si>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</si>
  <si>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</si>
  <si>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</si>
  <si>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</si>
  <si>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</si>
  <si>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</si>
  <si>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</si>
  <si>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</si>
  <si>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</si>
  <si>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</si>
  <si>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</si>
  <si>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</si>
  <si>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</si>
  <si>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</si>
  <si>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</si>
  <si>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</si>
  <si>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</si>
  <si>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</si>
  <si>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</si>
  <si>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</si>
  <si>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</si>
  <si>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</si>
  <si>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</si>
  <si>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</si>
  <si>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</si>
  <si>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</si>
  <si>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</si>
  <si>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</si>
  <si>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</si>
  <si>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</si>
  <si>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</si>
  <si>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</si>
  <si>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</si>
  <si>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</si>
  <si>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</si>
  <si>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</si>
  <si>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</si>
  <si>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</si>
  <si>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</si>
  <si>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</si>
  <si>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</si>
  <si>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</si>
  <si>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</si>
  <si>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</si>
  <si>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</si>
  <si>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</si>
  <si>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</si>
  <si>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</si>
  <si>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</si>
  <si>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</si>
  <si>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</si>
  <si>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</si>
  <si>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</si>
  <si>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</si>
  <si>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</si>
  <si>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</si>
  <si>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</si>
  <si>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</si>
  <si>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</si>
  <si>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</si>
  <si>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</si>
  <si>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</si>
  <si>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</si>
  <si>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</si>
  <si>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</si>
  <si>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</si>
  <si>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</si>
  <si>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</si>
  <si>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</si>
  <si>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</si>
  <si>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</si>
  <si>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</si>
  <si>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</si>
  <si>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</si>
  <si>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</si>
  <si>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</si>
  <si>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</si>
  <si>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</si>
  <si>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</si>
  <si>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</si>
  <si>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</si>
  <si>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</si>
  <si>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</si>
  <si>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</si>
  <si>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</si>
  <si>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</si>
  <si>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</si>
  <si>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</si>
  <si>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</si>
  <si>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</si>
  <si>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</si>
  <si>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</si>
  <si>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</si>
  <si>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</si>
  <si>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</si>
  <si>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</si>
  <si>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</si>
  <si>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</si>
  <si>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</si>
  <si>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</si>
  <si>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</si>
  <si>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</si>
  <si>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</si>
  <si>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</si>
  <si>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</si>
  <si>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</si>
  <si>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</si>
  <si>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</si>
  <si>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</si>
  <si>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</si>
  <si>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</si>
  <si>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</si>
  <si>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</si>
  <si>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</si>
  <si>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</si>
  <si>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</si>
  <si>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</si>
  <si>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</si>
  <si>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</si>
  <si>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</si>
  <si>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</si>
  <si>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</si>
  <si>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</si>
  <si>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</si>
  <si>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</si>
  <si>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</si>
  <si>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</si>
  <si>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</si>
  <si>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</si>
  <si>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</si>
  <si>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</si>
  <si>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</si>
  <si>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</si>
  <si>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</si>
  <si>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</si>
  <si>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</si>
  <si>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</si>
  <si>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</si>
  <si>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</si>
  <si>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</si>
  <si>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</si>
  <si>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</si>
  <si>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</si>
  <si>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</si>
  <si>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</si>
  <si>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</si>
  <si>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</si>
  <si>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</si>
  <si>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</si>
  <si>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</si>
  <si>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</si>
  <si>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</si>
  <si>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</si>
  <si>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</si>
  <si>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</si>
  <si>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</si>
  <si>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</si>
  <si>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</si>
  <si>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</si>
  <si>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</si>
  <si>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</si>
  <si>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</si>
  <si>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</si>
  <si>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</si>
  <si>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</si>
  <si>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</si>
  <si>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</si>
  <si>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</si>
  <si>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</si>
  <si>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</si>
  <si>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</si>
  <si>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</si>
  <si>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</si>
  <si>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</si>
  <si>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</si>
  <si>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</si>
  <si>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</si>
  <si>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</si>
  <si>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</si>
  <si>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</si>
  <si>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</si>
  <si>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</si>
  <si>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</si>
  <si>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</si>
  <si>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</si>
  <si>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</si>
  <si>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</si>
  <si>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</si>
  <si>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</si>
  <si>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</si>
  <si>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</si>
  <si>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</si>
  <si>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</si>
  <si>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</si>
  <si>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</si>
  <si>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</si>
  <si>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</si>
  <si>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</si>
  <si>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</si>
  <si>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</si>
  <si>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</si>
  <si>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</si>
  <si>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</si>
  <si>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</si>
  <si>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</si>
  <si>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</si>
  <si>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</si>
  <si>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</si>
  <si>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</si>
  <si>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</si>
  <si>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</si>
  <si>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</si>
  <si>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</si>
  <si>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</si>
  <si>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</si>
  <si>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</si>
  <si>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</si>
  <si>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</si>
  <si>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</si>
  <si>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</si>
  <si>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</si>
  <si>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</si>
  <si>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</si>
  <si>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</si>
  <si>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</si>
  <si>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</si>
  <si>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</si>
  <si>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</si>
  <si>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</si>
  <si>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</si>
  <si>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</si>
  <si>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</si>
  <si>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</si>
  <si>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</si>
  <si>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</si>
  <si>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</si>
  <si>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</si>
  <si>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</si>
  <si>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</si>
  <si>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</si>
  <si>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</si>
  <si>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</si>
  <si>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</si>
  <si>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</si>
  <si>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</si>
  <si>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</si>
  <si>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</si>
  <si>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</si>
  <si>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</si>
  <si>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</si>
  <si>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</si>
  <si>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</si>
  <si>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</si>
  <si>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</si>
  <si>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</si>
  <si>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</si>
  <si>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</si>
  <si>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</si>
  <si>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</si>
  <si>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</si>
  <si>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</si>
  <si>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</si>
  <si>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</si>
  <si>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</si>
  <si>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</si>
  <si>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</si>
  <si>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</si>
  <si>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</si>
  <si>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</si>
  <si>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</si>
  <si>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</si>
  <si>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</si>
  <si>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</si>
  <si>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</si>
  <si>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</si>
  <si>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</si>
  <si>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</si>
  <si>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</si>
  <si>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</si>
  <si>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</si>
  <si>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</si>
  <si>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</si>
  <si>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</si>
  <si>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</si>
  <si>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</si>
  <si>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</si>
  <si>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</si>
  <si>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</si>
  <si>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</si>
  <si>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</si>
  <si>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</si>
  <si>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</si>
  <si>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</si>
  <si>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</si>
  <si>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</si>
  <si>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</si>
  <si>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</si>
  <si>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</si>
  <si>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</si>
  <si>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</si>
  <si>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</si>
  <si>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</si>
  <si>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</si>
  <si>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</si>
  <si>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</si>
  <si>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</si>
  <si>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</si>
  <si>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</si>
  <si>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</si>
  <si>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</si>
  <si>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</si>
  <si>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</si>
  <si>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</si>
  <si>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</si>
  <si>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</si>
  <si>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</si>
  <si>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</si>
  <si>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</si>
  <si>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</si>
  <si>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</si>
  <si>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</si>
  <si>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</si>
  <si>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</si>
  <si>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</si>
  <si>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</si>
  <si>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</si>
  <si>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</si>
  <si>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</si>
  <si>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</si>
  <si>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</si>
  <si>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</si>
  <si>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</si>
  <si>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</si>
  <si>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</si>
  <si>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</si>
  <si>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</si>
  <si>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</si>
  <si>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</si>
  <si>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</si>
  <si>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</si>
  <si>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</si>
  <si>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</si>
  <si>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</si>
  <si>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</si>
  <si>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</si>
  <si>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</si>
  <si>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</si>
  <si>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</si>
  <si>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</si>
  <si>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</si>
  <si>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</si>
  <si>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</si>
  <si>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</si>
  <si>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</si>
  <si>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</si>
  <si>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</si>
  <si>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</si>
  <si>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</si>
  <si>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</si>
  <si>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</si>
  <si>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</si>
  <si>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</si>
  <si>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</si>
  <si>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</si>
  <si>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</si>
  <si>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</si>
  <si>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</si>
  <si>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</si>
  <si>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</si>
  <si>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</si>
  <si>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</si>
  <si>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</si>
  <si>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</si>
  <si>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</si>
  <si>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</si>
  <si>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</si>
  <si>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</si>
  <si>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</si>
  <si>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</si>
  <si>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</si>
  <si>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</si>
  <si>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</si>
  <si>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</si>
  <si>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</si>
  <si>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</si>
  <si>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</si>
  <si>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</si>
  <si>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</si>
  <si>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</si>
  <si>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</si>
  <si>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</si>
  <si>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</si>
  <si>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</si>
  <si>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</si>
  <si>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</si>
  <si>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</si>
  <si>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</si>
  <si>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</si>
  <si>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</si>
  <si>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</si>
  <si>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</si>
  <si>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</si>
  <si>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</si>
  <si>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</si>
  <si>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</si>
  <si>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</si>
  <si>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</si>
  <si>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</si>
  <si>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</si>
  <si>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</si>
  <si>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</si>
  <si>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</si>
  <si>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</si>
  <si>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</si>
  <si>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</si>
  <si>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</si>
  <si>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</si>
  <si>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</si>
  <si>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</si>
  <si>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</si>
  <si>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</si>
  <si>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</si>
  <si>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</si>
  <si>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</si>
  <si>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</si>
  <si>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</si>
  <si>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</si>
  <si>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</si>
  <si>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</si>
  <si>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</si>
  <si>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</si>
  <si>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</si>
  <si>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</si>
  <si>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</si>
  <si>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</si>
  <si>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</si>
  <si>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</si>
  <si>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</si>
  <si>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</si>
  <si>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</si>
  <si>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</si>
  <si>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</si>
  <si>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</si>
  <si>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</si>
  <si>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</si>
  <si>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</si>
  <si>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</si>
  <si>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</si>
  <si>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</si>
  <si>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</si>
  <si>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</si>
  <si>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</si>
  <si>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</si>
  <si>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</si>
  <si>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</si>
  <si>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</si>
  <si>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</si>
  <si>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</si>
  <si>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</si>
  <si>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</si>
  <si>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</si>
  <si>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</si>
  <si>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</si>
  <si>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</si>
  <si>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</si>
  <si>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</si>
  <si>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</si>
  <si>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</si>
  <si>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</si>
  <si>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</si>
  <si>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</si>
  <si>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</si>
  <si>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</si>
  <si>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</si>
  <si>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</si>
  <si>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</si>
  <si>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</si>
  <si>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</si>
  <si>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</si>
  <si>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</si>
  <si>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</si>
  <si>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</si>
  <si>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</si>
  <si>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</si>
  <si>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</si>
  <si>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</si>
  <si>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</si>
  <si>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</si>
  <si>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</si>
  <si>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</si>
  <si>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</si>
  <si>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</si>
  <si>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</si>
  <si>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</si>
  <si>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</si>
  <si>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</si>
  <si>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</si>
  <si>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</si>
  <si>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</si>
  <si>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</si>
  <si>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</si>
  <si>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</si>
  <si>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</si>
  <si>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</si>
  <si>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</si>
  <si>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</si>
  <si>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</si>
  <si>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</si>
  <si>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</si>
  <si>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</si>
  <si>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</si>
  <si>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</si>
  <si>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</si>
  <si>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</si>
  <si>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</si>
  <si>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</si>
  <si>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</si>
  <si>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</si>
  <si>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</si>
  <si>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</si>
  <si>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</si>
  <si>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</si>
  <si>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</si>
  <si>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</si>
  <si>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</si>
  <si>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</si>
  <si>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</si>
  <si>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</si>
  <si>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</si>
  <si>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</si>
  <si>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</si>
  <si>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</si>
  <si>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</si>
  <si>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</si>
  <si>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</si>
  <si>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</si>
  <si>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</si>
  <si>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</si>
  <si>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</si>
  <si>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</si>
  <si>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</si>
  <si>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</si>
  <si>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</si>
  <si>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</si>
  <si>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</si>
  <si>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</si>
  <si>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</si>
  <si>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</si>
  <si>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</si>
  <si>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</si>
  <si>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</si>
  <si>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</si>
  <si>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</si>
  <si>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</si>
  <si>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</si>
  <si>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</si>
  <si>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</si>
  <si>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</si>
  <si>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</si>
  <si>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</si>
  <si>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</si>
  <si>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</si>
  <si>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</si>
  <si>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</si>
  <si>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</si>
  <si>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</si>
  <si>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</si>
  <si>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</si>
  <si>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</si>
  <si>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</si>
  <si>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</si>
  <si>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</si>
  <si>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</si>
  <si>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</si>
  <si>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</si>
  <si>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</si>
  <si>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</si>
  <si>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</si>
  <si>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</si>
  <si>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</si>
  <si>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</si>
  <si>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</si>
  <si>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</si>
  <si>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</si>
  <si>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</si>
  <si>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</si>
  <si>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</si>
  <si>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</si>
  <si>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</si>
  <si>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</si>
  <si>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</si>
  <si>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</si>
  <si>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</si>
  <si>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</si>
  <si>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</si>
  <si>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</si>
  <si>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</si>
  <si>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</si>
  <si>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</si>
  <si>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</si>
  <si>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</si>
  <si>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</si>
  <si>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</si>
  <si>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</si>
  <si>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</si>
  <si>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</si>
  <si>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</si>
  <si>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</si>
  <si>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</si>
  <si>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</si>
  <si>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</si>
  <si>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</si>
  <si>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</si>
  <si>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</si>
  <si>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</si>
  <si>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</si>
  <si>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</si>
  <si>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</si>
  <si>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</si>
  <si>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</si>
  <si>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</si>
  <si>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</si>
  <si>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</si>
  <si>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</si>
  <si>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</si>
  <si>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</si>
  <si>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</si>
  <si>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</si>
  <si>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</si>
  <si>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</si>
  <si>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</si>
  <si>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</si>
  <si>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</si>
  <si>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</si>
  <si>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</si>
  <si>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</si>
  <si>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</si>
  <si>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</si>
  <si>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</si>
  <si>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</si>
  <si>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</si>
  <si>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</si>
  <si>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</si>
  <si>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</si>
  <si>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</si>
  <si>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</si>
  <si>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</si>
  <si>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</si>
  <si>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</si>
  <si>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</si>
  <si>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</si>
  <si>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</si>
  <si>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</si>
  <si>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</si>
  <si>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</si>
  <si>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</si>
  <si>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</si>
  <si>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</si>
  <si>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</si>
  <si>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</si>
  <si>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</si>
  <si>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</si>
  <si>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</si>
  <si>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</si>
  <si>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</si>
  <si>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</si>
  <si>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</si>
  <si>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</si>
  <si>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</si>
  <si>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</si>
  <si>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</si>
  <si>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</si>
  <si>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</si>
  <si>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</si>
  <si>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</si>
  <si>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</si>
  <si>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</si>
  <si>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</si>
  <si>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</si>
  <si>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</si>
  <si>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</si>
  <si>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</si>
  <si>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</si>
  <si>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</si>
  <si>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</si>
  <si>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</si>
  <si>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</si>
  <si>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</si>
  <si>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</si>
  <si>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</si>
  <si>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</si>
  <si>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</si>
  <si>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</si>
  <si>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</si>
  <si>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</si>
  <si>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</si>
  <si>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</si>
  <si>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</si>
  <si>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</si>
  <si>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</si>
  <si>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</si>
  <si>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</si>
  <si>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</si>
  <si>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</si>
  <si>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</si>
  <si>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</si>
  <si>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</si>
  <si>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</si>
  <si>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</si>
  <si>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</si>
  <si>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</si>
  <si>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</si>
  <si>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</si>
  <si>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</si>
  <si>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</si>
  <si>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</si>
  <si>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</si>
  <si>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</si>
  <si>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</si>
  <si>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</si>
  <si>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</si>
  <si>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</si>
  <si>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</si>
  <si>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</si>
  <si>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</si>
  <si>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</si>
  <si>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</si>
  <si>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</si>
  <si>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</si>
  <si>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</si>
  <si>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</si>
  <si>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</si>
  <si>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</si>
  <si>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</si>
  <si>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</si>
  <si>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</si>
  <si>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</si>
  <si>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</si>
  <si>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</si>
  <si>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</si>
  <si>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</si>
  <si>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</si>
  <si>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</si>
  <si>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</si>
  <si>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</si>
  <si>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</si>
  <si>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</si>
  <si>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</si>
  <si>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</si>
  <si>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</si>
  <si>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</si>
  <si>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</si>
  <si>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</si>
  <si>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</si>
  <si>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</si>
  <si>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</si>
  <si>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</si>
  <si>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</si>
  <si>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</si>
  <si>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</si>
  <si>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</si>
  <si>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</si>
  <si>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</si>
  <si>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</si>
  <si>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</si>
  <si>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</si>
  <si>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</si>
  <si>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</si>
  <si>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</si>
  <si>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</si>
  <si>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</si>
  <si>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</si>
  <si>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</si>
  <si>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</si>
  <si>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</si>
  <si>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</si>
  <si>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</si>
  <si>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</si>
  <si>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</si>
  <si>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</si>
  <si>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</si>
  <si>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</si>
  <si>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</si>
  <si>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</si>
  <si>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</si>
  <si>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</si>
  <si>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</si>
  <si>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</si>
  <si>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</si>
  <si>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</si>
  <si>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</si>
  <si>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</si>
  <si>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</si>
  <si>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</si>
  <si>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</si>
  <si>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</si>
  <si>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</si>
  <si>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</si>
  <si>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</si>
  <si>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</si>
  <si>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</si>
  <si>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</si>
  <si>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</si>
  <si>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</si>
  <si>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</si>
  <si>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</si>
  <si>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</si>
  <si>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</si>
  <si>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</si>
  <si>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</si>
  <si>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</si>
  <si>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</si>
  <si>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</si>
  <si>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</si>
  <si>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</si>
  <si>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</si>
  <si>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</si>
  <si>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</si>
  <si>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</si>
  <si>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</si>
  <si>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</si>
  <si>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</si>
  <si>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</si>
  <si>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</si>
  <si>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</si>
  <si>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</si>
  <si>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</si>
  <si>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</si>
  <si>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</si>
  <si>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</si>
  <si>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</si>
  <si>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</si>
  <si>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</si>
  <si>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</si>
  <si>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</si>
  <si>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</si>
  <si>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</si>
  <si>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</si>
  <si>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</si>
  <si>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</si>
  <si>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</si>
  <si>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</si>
  <si>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</si>
  <si>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</si>
  <si>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</si>
  <si>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</si>
  <si>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</si>
  <si>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</si>
  <si>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</si>
  <si>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</si>
  <si>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</si>
  <si>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</si>
  <si>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</si>
  <si>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</si>
  <si>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</si>
  <si>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</si>
  <si>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</si>
  <si>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</si>
  <si>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</si>
  <si>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</si>
  <si>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</si>
  <si>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</si>
  <si>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</si>
  <si>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</si>
  <si>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</si>
  <si>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</si>
  <si>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</si>
  <si>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</si>
  <si>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</si>
  <si>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</si>
  <si>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</si>
  <si>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</si>
  <si>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</si>
  <si>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</si>
  <si>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</si>
  <si>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</si>
  <si>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</si>
  <si>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</si>
  <si>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</si>
  <si>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</si>
  <si>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</si>
  <si>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</si>
  <si>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</si>
  <si>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</si>
  <si>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</si>
  <si>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</si>
  <si>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</si>
  <si>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</si>
  <si>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</si>
  <si>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</si>
  <si>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</si>
  <si>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</si>
  <si>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</si>
  <si>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</si>
  <si>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</si>
  <si>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</si>
  <si>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</si>
  <si>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</si>
  <si>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</si>
  <si>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</si>
  <si>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</si>
  <si>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</si>
  <si>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</si>
  <si>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</si>
  <si>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</si>
  <si>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</si>
  <si>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</si>
  <si>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</si>
  <si>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</si>
  <si>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</si>
  <si>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</si>
  <si>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</si>
  <si>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</si>
  <si>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</si>
  <si>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</si>
  <si>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</si>
  <si>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</si>
  <si>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</si>
  <si>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</si>
  <si>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</si>
  <si>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</si>
  <si>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</si>
  <si>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</si>
  <si>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</si>
  <si>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</si>
  <si>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</si>
  <si>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</si>
  <si>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</si>
  <si>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</si>
  <si>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</si>
  <si>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</si>
  <si>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</si>
  <si>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</si>
  <si>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</si>
  <si>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</si>
  <si>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</si>
  <si>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</si>
  <si>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</si>
  <si>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</si>
  <si>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</si>
  <si>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</si>
  <si>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</si>
  <si>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</si>
  <si>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</si>
  <si>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</si>
  <si>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</si>
  <si>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</si>
  <si>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</si>
  <si>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</si>
  <si>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</si>
  <si>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</si>
  <si>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</si>
  <si>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</si>
  <si>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</si>
  <si>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</si>
  <si>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</si>
  <si>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</si>
  <si>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</si>
  <si>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</si>
  <si>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</si>
  <si>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</si>
  <si>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</si>
  <si>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</si>
  <si>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</si>
  <si>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</si>
  <si>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</si>
  <si>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</si>
  <si>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</si>
  <si>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</si>
  <si>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</si>
  <si>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</si>
  <si>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</si>
  <si>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</si>
  <si>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</si>
  <si>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</si>
  <si>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</si>
  <si>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</si>
  <si>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</si>
  <si>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</si>
  <si>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</si>
  <si>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</si>
  <si>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</si>
  <si>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</si>
  <si>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</si>
  <si>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</si>
  <si>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</si>
  <si>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</si>
  <si>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</si>
  <si>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</si>
  <si>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</si>
  <si>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</si>
  <si>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</si>
  <si>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</si>
  <si>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</si>
  <si>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</si>
  <si>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</si>
  <si>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</si>
  <si>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</si>
  <si>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</si>
  <si>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</si>
  <si>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</si>
  <si>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</si>
  <si>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</si>
  <si>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</si>
  <si>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</si>
  <si>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</si>
  <si>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</si>
  <si>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</si>
  <si>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</si>
  <si>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</si>
  <si>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</si>
  <si>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</si>
  <si>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</si>
  <si>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</si>
  <si>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</si>
  <si>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</si>
  <si>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</si>
  <si>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</si>
  <si>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</si>
  <si>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</si>
  <si>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</si>
  <si>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</si>
  <si>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</si>
  <si>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</si>
  <si>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</si>
  <si>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</si>
  <si>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</si>
  <si>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</si>
  <si>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</si>
  <si>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</si>
  <si>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</si>
  <si>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</si>
  <si>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</si>
  <si>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</si>
  <si>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</si>
  <si>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</si>
  <si>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</si>
  <si>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</si>
  <si>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</si>
  <si>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</si>
  <si>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</si>
  <si>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</si>
  <si>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</si>
  <si>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</si>
  <si>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</si>
  <si>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</si>
  <si>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</si>
  <si>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</si>
  <si>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</si>
  <si>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</si>
  <si>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</si>
  <si>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</si>
  <si>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</si>
  <si>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</si>
  <si>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</si>
  <si>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</si>
  <si>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</si>
  <si>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</si>
  <si>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</si>
  <si>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</si>
  <si>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</si>
  <si>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</si>
  <si>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</si>
  <si>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</si>
  <si>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</si>
  <si>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</si>
  <si>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</si>
  <si>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</si>
  <si>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</si>
  <si>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</si>
  <si>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</si>
  <si>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</si>
  <si>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</si>
  <si>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</si>
  <si>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</si>
  <si>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</si>
  <si>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</si>
  <si>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</si>
  <si>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</si>
  <si>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</si>
  <si>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</si>
  <si>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</si>
  <si>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</si>
  <si>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</si>
  <si>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</si>
  <si>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</si>
  <si>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</si>
  <si>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</si>
  <si>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</si>
  <si>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</si>
  <si>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</si>
  <si>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</si>
  <si>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</si>
  <si>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</si>
  <si>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</si>
  <si>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</si>
  <si>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</si>
  <si>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</si>
  <si>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</si>
  <si>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</si>
  <si>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</si>
  <si>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</si>
  <si>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</si>
  <si>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</si>
  <si>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</si>
  <si>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</si>
  <si>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</si>
  <si>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</si>
  <si>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</si>
  <si>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</si>
  <si>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</si>
  <si>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</si>
  <si>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</si>
  <si>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</si>
  <si>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</si>
  <si>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</si>
  <si>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</si>
  <si>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</si>
  <si>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</si>
  <si>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</si>
  <si>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</si>
  <si>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</si>
  <si>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</si>
  <si>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</si>
  <si>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</si>
  <si>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</si>
  <si>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</si>
  <si>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</si>
  <si>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</si>
  <si>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</si>
  <si>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</si>
  <si>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</si>
  <si>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</si>
  <si>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</si>
  <si>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</si>
  <si>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</si>
  <si>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</si>
  <si>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</si>
  <si>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</si>
  <si>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</si>
  <si>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</si>
  <si>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</si>
  <si>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</si>
  <si>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</si>
  <si>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</si>
  <si>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</si>
  <si>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</si>
  <si>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</si>
  <si>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</si>
  <si>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</si>
  <si>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</si>
  <si>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</si>
  <si>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</si>
  <si>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</si>
  <si>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</si>
  <si>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</si>
  <si>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</si>
  <si>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</si>
  <si>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</si>
  <si>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</si>
  <si>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</si>
  <si>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</si>
  <si>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</si>
  <si>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</si>
  <si>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</si>
  <si>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</si>
  <si>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</si>
  <si>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</si>
  <si>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</si>
  <si>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</si>
  <si>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</si>
  <si>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</si>
  <si>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</si>
  <si>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</si>
  <si>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</si>
  <si>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</si>
  <si>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</si>
  <si>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</si>
  <si>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</si>
  <si>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</si>
  <si>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</si>
  <si>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</si>
  <si>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</si>
  <si>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</si>
  <si>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</si>
  <si>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</si>
  <si>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</si>
  <si>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</si>
  <si>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</si>
  <si>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</si>
  <si>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</si>
  <si>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</si>
  <si>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</si>
  <si>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</si>
  <si>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</si>
  <si>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</si>
  <si>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</si>
  <si>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</si>
  <si>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</si>
  <si>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</si>
  <si>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</si>
  <si>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</si>
  <si>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</si>
  <si>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</si>
  <si>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</si>
  <si>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</si>
  <si>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</si>
  <si>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</si>
  <si>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</si>
  <si>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</si>
  <si>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</si>
  <si>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</si>
  <si>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</si>
  <si>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</si>
  <si>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</si>
  <si>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</si>
  <si>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</si>
  <si>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</si>
  <si>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</si>
  <si>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</si>
  <si>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</si>
  <si>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</si>
  <si>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</si>
  <si>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</si>
  <si>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</si>
  <si>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</si>
  <si>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</si>
  <si>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</si>
  <si>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</si>
  <si>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</si>
  <si>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</si>
  <si>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</si>
  <si>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</si>
  <si>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</si>
  <si>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</si>
  <si>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</si>
  <si>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</si>
  <si>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</si>
  <si>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</si>
  <si>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</si>
  <si>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</si>
  <si>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</si>
  <si>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</si>
  <si>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</si>
  <si>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</si>
  <si>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</si>
  <si>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</si>
  <si>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</si>
  <si>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</si>
  <si>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</si>
  <si>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</si>
  <si>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</si>
  <si>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</si>
  <si>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</si>
  <si>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</si>
  <si>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</si>
  <si>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</si>
  <si>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</si>
  <si>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</si>
  <si>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</si>
  <si>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</si>
  <si>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</si>
  <si>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</si>
  <si>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</si>
  <si>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</si>
  <si>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</si>
  <si>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</si>
  <si>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</si>
  <si>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</si>
  <si>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</si>
  <si>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</si>
  <si>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</si>
  <si>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</si>
  <si>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</si>
  <si>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</si>
  <si>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</si>
  <si>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</si>
  <si>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</si>
  <si>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</si>
  <si>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</si>
  <si>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</si>
  <si>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</si>
  <si>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</si>
  <si>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</si>
  <si>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</si>
  <si>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</si>
  <si>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</si>
  <si>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</si>
  <si>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</si>
  <si>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</si>
  <si>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</si>
  <si>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</si>
  <si>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</si>
  <si>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</si>
  <si>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</si>
  <si>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</si>
  <si>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</si>
  <si>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</si>
  <si>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</si>
  <si>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</si>
  <si>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</si>
  <si>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</si>
  <si>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</si>
  <si>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</si>
  <si>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</si>
  <si>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</si>
  <si>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</si>
  <si>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</si>
  <si>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</si>
  <si>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</si>
  <si>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</si>
  <si>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</si>
  <si>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</si>
  <si>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</si>
  <si>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</si>
  <si>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</si>
  <si>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</si>
  <si>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</si>
  <si>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</si>
  <si>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</si>
  <si>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</si>
  <si>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</si>
  <si>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</si>
  <si>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</si>
  <si>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</si>
  <si>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</si>
  <si>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</si>
  <si>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</si>
  <si>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</si>
  <si>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</si>
  <si>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</si>
  <si>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</si>
  <si>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</si>
  <si>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</si>
  <si>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</si>
  <si>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</si>
  <si>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</si>
  <si>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</si>
  <si>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</si>
  <si>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</si>
  <si>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</si>
  <si>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</si>
  <si>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</si>
  <si>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</si>
  <si>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</si>
  <si>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</si>
  <si>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</si>
  <si>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</si>
  <si>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</si>
  <si>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</si>
  <si>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</si>
  <si>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</si>
  <si>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</si>
  <si>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</si>
  <si>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</si>
  <si>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</si>
  <si>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</si>
  <si>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</si>
  <si>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</si>
  <si>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</si>
  <si>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</si>
  <si>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</si>
  <si>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</si>
  <si>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</si>
  <si>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</si>
  <si>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</si>
  <si>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</si>
  <si>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</si>
  <si>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</si>
  <si>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</si>
  <si>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</si>
  <si>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</si>
  <si>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</si>
  <si>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</si>
  <si>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</si>
  <si>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</si>
  <si>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</si>
  <si>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</si>
  <si>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</si>
  <si>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</si>
  <si>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</si>
  <si>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</si>
  <si>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</si>
  <si>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</si>
  <si>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</si>
  <si>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</si>
  <si>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</si>
  <si>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</si>
  <si>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</si>
  <si>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</si>
  <si>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</si>
  <si>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</si>
  <si>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</si>
  <si>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</si>
  <si>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</si>
  <si>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</si>
  <si>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</si>
  <si>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</si>
  <si>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</si>
  <si>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</si>
  <si>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</si>
  <si>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</si>
  <si>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</si>
  <si>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</si>
  <si>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</si>
  <si>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</si>
  <si>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</si>
  <si>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</si>
  <si>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</si>
  <si>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</si>
  <si>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</si>
  <si>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</si>
  <si>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</si>
  <si>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</si>
  <si>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</si>
  <si>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</si>
  <si>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</si>
  <si>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</si>
  <si>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</si>
  <si>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</si>
  <si>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</si>
  <si>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</si>
  <si>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</si>
  <si>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</si>
  <si>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</si>
  <si>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</si>
  <si>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</si>
  <si>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</si>
  <si>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</si>
  <si>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</si>
  <si>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</si>
  <si>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</si>
  <si>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</si>
  <si>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</si>
  <si>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</si>
  <si>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</si>
  <si>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</si>
  <si>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</si>
  <si>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</si>
  <si>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</si>
  <si>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</si>
  <si>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</si>
  <si>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</si>
  <si>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</si>
  <si>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</si>
  <si>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</si>
  <si>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</si>
  <si>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</si>
  <si>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</si>
  <si>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</si>
  <si>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</si>
  <si>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</si>
  <si>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</si>
  <si>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</si>
  <si>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</si>
  <si>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</si>
  <si>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</si>
  <si>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</si>
  <si>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</si>
  <si>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</si>
  <si>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</si>
  <si>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</si>
  <si>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</si>
  <si>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</si>
  <si>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</si>
  <si>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</si>
  <si>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</si>
  <si>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</si>
  <si>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</si>
  <si>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</si>
  <si>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</si>
  <si>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</si>
  <si>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</si>
  <si>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</si>
  <si>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</si>
  <si>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</si>
  <si>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</si>
  <si>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</si>
  <si>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</si>
  <si>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</si>
  <si>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</si>
  <si>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</si>
  <si>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</si>
  <si>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</si>
  <si>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</si>
  <si>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</si>
  <si>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</si>
  <si>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</si>
  <si>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</si>
  <si>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</si>
  <si>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</si>
  <si>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</si>
  <si>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</si>
  <si>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</si>
  <si>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</si>
  <si>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</si>
  <si>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</si>
  <si>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</si>
  <si>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</si>
  <si>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</si>
  <si>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</si>
  <si>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</si>
  <si>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</si>
  <si>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</si>
  <si>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</si>
  <si>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</si>
  <si>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</si>
  <si>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</si>
  <si>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</si>
  <si>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</si>
  <si>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</si>
  <si>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</si>
  <si>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</si>
  <si>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</si>
  <si>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</si>
  <si>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</si>
  <si>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</si>
  <si>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</si>
  <si>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</si>
  <si>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</si>
  <si>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</si>
  <si>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</si>
  <si>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</si>
  <si>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</si>
  <si>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</si>
  <si>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</si>
  <si>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</si>
  <si>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</si>
  <si>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</si>
  <si>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</si>
  <si>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</si>
  <si>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</si>
  <si>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</si>
  <si>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</si>
  <si>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</si>
  <si>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</si>
  <si>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</si>
  <si>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</si>
  <si>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</si>
  <si>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</si>
  <si>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</si>
  <si>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</si>
  <si>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</si>
  <si>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</si>
  <si>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</si>
  <si>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</si>
  <si>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</si>
  <si>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</si>
  <si>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</si>
  <si>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</si>
  <si>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</si>
  <si>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</si>
  <si>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</si>
  <si>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</si>
  <si>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</si>
  <si>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</si>
  <si>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</si>
  <si>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</si>
  <si>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</si>
  <si>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</si>
  <si>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</si>
  <si>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</si>
  <si>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</si>
  <si>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</si>
  <si>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</si>
  <si>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</si>
  <si>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</si>
  <si>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</si>
  <si>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</si>
  <si>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</si>
  <si>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</si>
  <si>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</si>
  <si>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</si>
  <si>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</si>
  <si>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</si>
  <si>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</si>
  <si>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</si>
  <si>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</si>
  <si>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</si>
  <si>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</si>
  <si>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</si>
  <si>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</si>
  <si>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</si>
  <si>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</si>
  <si>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</si>
  <si>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</si>
  <si>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</si>
  <si>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</si>
  <si>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</si>
  <si>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</si>
  <si>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</si>
  <si>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</si>
  <si>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</si>
  <si>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</si>
  <si>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</si>
  <si>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</si>
  <si>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</si>
  <si>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</si>
  <si>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</si>
  <si>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</si>
  <si>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</si>
  <si>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</si>
  <si>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</si>
  <si>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</si>
  <si>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</si>
  <si>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</si>
  <si>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</si>
  <si>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</si>
  <si>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</si>
  <si>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</si>
  <si>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</si>
  <si>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</si>
  <si>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</si>
  <si>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</si>
  <si>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</si>
  <si>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</si>
  <si>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</si>
  <si>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</si>
  <si>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</si>
  <si>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</si>
  <si>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</si>
  <si>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</si>
  <si>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</si>
  <si>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</si>
  <si>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</si>
  <si>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</si>
  <si>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</si>
  <si>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</si>
  <si>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</si>
  <si>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</si>
  <si>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</si>
  <si>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</si>
  <si>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</si>
  <si>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</si>
  <si>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</si>
  <si>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</si>
  <si>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</si>
  <si>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</si>
  <si>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</si>
  <si>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</si>
  <si>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</si>
  <si>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</si>
  <si>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</si>
  <si>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</si>
  <si>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</si>
  <si>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</si>
  <si>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</si>
  <si>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</si>
  <si>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</si>
  <si>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</si>
  <si>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</si>
  <si>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</si>
  <si>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</si>
  <si>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</si>
  <si>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</si>
  <si>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</si>
  <si>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</si>
  <si>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</si>
  <si>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</si>
  <si>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</si>
  <si>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</si>
  <si>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</si>
  <si>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</si>
  <si>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</si>
  <si>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</si>
  <si>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</si>
  <si>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</si>
  <si>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</si>
  <si>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</si>
  <si>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</si>
  <si>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</si>
  <si>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</si>
  <si>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</si>
  <si>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</si>
  <si>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</si>
  <si>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</si>
  <si>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</si>
  <si>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</si>
  <si>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</si>
  <si>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</si>
  <si>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</si>
  <si>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</si>
  <si>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</si>
  <si>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</si>
  <si>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</si>
  <si>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</si>
  <si>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</si>
  <si>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</si>
  <si>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</si>
  <si>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</si>
  <si>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</si>
  <si>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</si>
  <si>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</si>
  <si>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</si>
  <si>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</si>
  <si>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</si>
  <si>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</si>
  <si>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</si>
  <si>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</si>
  <si>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</si>
  <si>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</si>
  <si>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</si>
  <si>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</si>
  <si>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</si>
  <si>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</si>
  <si>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</si>
  <si>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</si>
  <si>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</si>
  <si>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</si>
  <si>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</si>
  <si>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</si>
  <si>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</si>
  <si>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</si>
  <si>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</si>
  <si>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</si>
  <si>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</si>
  <si>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</si>
  <si>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</si>
  <si>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</si>
  <si>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</si>
  <si>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</si>
  <si>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</si>
  <si>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</si>
  <si>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</si>
  <si>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</si>
  <si>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</si>
  <si>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</si>
  <si>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</si>
  <si>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</si>
  <si>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</si>
  <si>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</si>
  <si>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</si>
  <si>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</si>
  <si>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</si>
  <si>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</si>
  <si>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</si>
  <si>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</si>
  <si>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</si>
  <si>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</si>
  <si>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</si>
  <si>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</si>
  <si>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</si>
  <si>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</si>
  <si>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</si>
  <si>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</si>
  <si>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</si>
  <si>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</si>
  <si>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</si>
  <si>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</si>
  <si>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</si>
  <si>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</si>
  <si>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</si>
  <si>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</si>
  <si>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</si>
  <si>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</si>
  <si>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</si>
  <si>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</si>
  <si>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</si>
  <si>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</si>
  <si>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</si>
  <si>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</si>
  <si>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</si>
  <si>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</si>
  <si>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</si>
  <si>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</si>
  <si>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</si>
  <si>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</si>
  <si>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</si>
  <si>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</si>
  <si>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</si>
  <si>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</si>
  <si>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</si>
  <si>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</si>
  <si>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</si>
  <si>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</si>
  <si>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</si>
  <si>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</si>
  <si>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</si>
  <si>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</si>
  <si>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</si>
  <si>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</si>
  <si>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</si>
  <si>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</si>
  <si>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</si>
  <si>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</si>
  <si>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</si>
  <si>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</si>
  <si>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</si>
  <si>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</si>
  <si>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</si>
  <si>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</si>
  <si>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</si>
  <si>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</si>
  <si>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</si>
  <si>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</si>
  <si>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</si>
  <si>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</si>
  <si>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</si>
  <si>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</si>
  <si>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</si>
  <si>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</si>
  <si>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</si>
  <si>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</si>
  <si>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</si>
  <si>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</si>
  <si>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</si>
  <si>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</si>
  <si>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</si>
  <si>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</si>
  <si>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</si>
  <si>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</si>
  <si>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</si>
  <si>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</si>
  <si>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</si>
  <si>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</si>
  <si>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</si>
  <si>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</si>
  <si>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</si>
  <si>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</si>
  <si>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</si>
  <si>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</si>
  <si>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</si>
  <si>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</si>
  <si>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</si>
  <si>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</si>
  <si>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</si>
  <si>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</si>
  <si>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</si>
  <si>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</si>
  <si>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</si>
  <si>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</si>
  <si>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</si>
  <si>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</si>
  <si>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</si>
  <si>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</si>
  <si>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</si>
  <si>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</si>
  <si>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</si>
  <si>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</si>
  <si>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</si>
  <si>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</si>
  <si>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</si>
  <si>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</si>
  <si>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</si>
  <si>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</si>
  <si>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</si>
  <si>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</si>
  <si>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</si>
  <si>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</si>
  <si>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</si>
  <si>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</si>
  <si>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</si>
  <si>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</si>
  <si>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</si>
  <si>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</si>
  <si>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</si>
  <si>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</si>
  <si>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</si>
  <si>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</si>
  <si>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</si>
  <si>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</si>
  <si>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</si>
  <si>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</si>
  <si>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</si>
  <si>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</si>
  <si>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</si>
  <si>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</si>
  <si>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</si>
  <si>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</si>
  <si>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</si>
  <si>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</si>
  <si>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</si>
  <si>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</si>
  <si>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</si>
  <si>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</si>
  <si>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</si>
  <si>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</si>
  <si>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</si>
  <si>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</si>
  <si>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</si>
  <si>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</si>
  <si>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</si>
  <si>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</si>
  <si>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</si>
  <si>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</si>
  <si>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</si>
  <si>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</si>
  <si>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</si>
  <si>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</si>
  <si>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</si>
  <si>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</si>
  <si>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</si>
  <si>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</si>
  <si>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</si>
  <si>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</si>
  <si>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</si>
  <si>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</si>
  <si>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</si>
  <si>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</si>
  <si>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</si>
  <si>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</si>
  <si>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</si>
  <si>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</si>
  <si>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</si>
  <si>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</si>
  <si>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</si>
  <si>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</si>
  <si>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</si>
  <si>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</si>
  <si>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</si>
  <si>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</si>
  <si>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</si>
  <si>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</si>
  <si>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</si>
  <si>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</si>
  <si>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</si>
  <si>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</si>
  <si>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</si>
  <si>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</si>
  <si>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</si>
  <si>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</si>
  <si>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</si>
  <si>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</si>
  <si>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</si>
  <si>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</si>
  <si>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</si>
  <si>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</si>
  <si>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</si>
  <si>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</si>
  <si>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</si>
  <si>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</si>
  <si>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</si>
  <si>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</si>
  <si>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</si>
  <si>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</si>
  <si>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</si>
  <si>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</si>
  <si>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</si>
  <si>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</si>
  <si>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</si>
  <si>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</si>
  <si>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</si>
  <si>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</si>
  <si>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</si>
  <si>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</si>
  <si>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</si>
  <si>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</si>
  <si>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</si>
  <si>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</si>
  <si>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</si>
  <si>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</si>
  <si>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</si>
  <si>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</si>
  <si>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</si>
  <si>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</si>
  <si>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</si>
  <si>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</si>
  <si>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</si>
  <si>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</si>
  <si>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</si>
  <si>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</si>
  <si>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</si>
  <si>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</si>
  <si>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</si>
  <si>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</si>
  <si>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</si>
  <si>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</si>
  <si>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</si>
  <si>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</si>
  <si>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</si>
  <si>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</si>
  <si>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</si>
  <si>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</si>
  <si>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</si>
  <si>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</si>
  <si>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</si>
  <si>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</si>
  <si>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</si>
  <si>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</si>
  <si>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</si>
  <si>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</si>
  <si>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</si>
  <si>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</si>
  <si>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</si>
  <si>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</si>
  <si>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</si>
  <si>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</si>
  <si>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</si>
  <si>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</si>
  <si>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</si>
  <si>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</si>
  <si>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</si>
  <si>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</si>
  <si>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</si>
  <si>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</si>
  <si>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</si>
  <si>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</si>
  <si>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</si>
  <si>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</si>
  <si>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</si>
  <si>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</si>
  <si>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</si>
  <si>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</si>
  <si>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</si>
  <si>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</si>
  <si>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</si>
  <si>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</si>
  <si>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</si>
  <si>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</si>
  <si>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</si>
  <si>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</si>
  <si>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</si>
  <si>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</si>
  <si>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</si>
  <si>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</si>
  <si>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</si>
  <si>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</si>
  <si>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</si>
  <si>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</si>
  <si>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</si>
  <si>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</si>
  <si>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</si>
  <si>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</si>
  <si>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</si>
  <si>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</si>
  <si>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</si>
  <si>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</si>
  <si>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</si>
  <si>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</si>
  <si>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</si>
  <si>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</si>
  <si>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</si>
  <si>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</si>
  <si>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</si>
  <si>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</si>
  <si>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</si>
  <si>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</si>
  <si>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</si>
  <si>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</si>
  <si>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</si>
  <si>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</si>
  <si>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</si>
  <si>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</si>
  <si>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</si>
  <si>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</si>
  <si>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</si>
  <si>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</si>
  <si>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</si>
  <si>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</si>
  <si>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</si>
  <si>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</si>
  <si>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</si>
  <si>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</si>
  <si>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</si>
  <si>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</si>
  <si>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</si>
  <si>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</si>
  <si>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</si>
  <si>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</si>
  <si>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</si>
  <si>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</si>
  <si>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</si>
  <si>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</si>
  <si>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</si>
  <si>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</si>
  <si>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</si>
  <si>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</si>
  <si>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</si>
  <si>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</si>
  <si>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</si>
  <si>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</si>
  <si>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</si>
  <si>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</si>
  <si>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</si>
  <si>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</si>
  <si>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</si>
  <si>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</si>
  <si>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</si>
  <si>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</si>
  <si>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</si>
  <si>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</si>
  <si>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</si>
  <si>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</si>
  <si>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</si>
  <si>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</si>
  <si>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</si>
  <si>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</si>
  <si>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</si>
  <si>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</si>
  <si>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</si>
  <si>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</si>
  <si>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</si>
  <si>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</si>
  <si>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</si>
  <si>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</si>
  <si>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</si>
  <si>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</si>
  <si>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</si>
  <si>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</si>
  <si>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</si>
  <si>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</si>
  <si>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</si>
  <si>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</si>
  <si>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</si>
  <si>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</si>
  <si>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</si>
  <si>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</si>
  <si>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</si>
  <si>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</si>
  <si>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</si>
  <si>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</si>
  <si>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</si>
  <si>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</si>
  <si>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</si>
  <si>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</si>
  <si>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</si>
  <si>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</si>
  <si>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</si>
  <si>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</si>
  <si>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</si>
  <si>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</si>
  <si>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</si>
  <si>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</si>
  <si>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</si>
  <si>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</si>
  <si>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</si>
  <si>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</si>
  <si>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</si>
  <si>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</si>
  <si>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</si>
  <si>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</si>
  <si>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</si>
  <si>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</si>
  <si>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</si>
  <si>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</si>
  <si>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</si>
  <si>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</si>
  <si>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</si>
  <si>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</si>
  <si>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</si>
  <si>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</si>
  <si>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</si>
  <si>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</si>
  <si>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</si>
  <si>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</si>
  <si>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</si>
  <si>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</si>
  <si>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</si>
  <si>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</si>
  <si>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</si>
  <si>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</si>
  <si>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</si>
  <si>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</si>
  <si>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</si>
  <si>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</si>
  <si>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</si>
  <si>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</si>
  <si>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</si>
  <si>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</si>
  <si>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</si>
  <si>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</si>
  <si>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</si>
  <si>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</si>
  <si>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</si>
  <si>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</si>
  <si>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</si>
  <si>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</si>
  <si>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</si>
  <si>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</si>
  <si>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</si>
  <si>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</si>
  <si>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</si>
  <si>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</si>
  <si>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</si>
  <si>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</si>
  <si>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</si>
  <si>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</si>
  <si>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</si>
  <si>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</si>
  <si>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</si>
  <si>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</si>
  <si>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</si>
  <si>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</si>
  <si>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</si>
  <si>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</si>
  <si>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</si>
  <si>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</si>
  <si>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</si>
  <si>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</si>
  <si>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</si>
  <si>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</si>
  <si>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</si>
  <si>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</si>
  <si>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</si>
  <si>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</si>
  <si>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</si>
  <si>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</si>
  <si>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</si>
  <si>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</si>
  <si>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</si>
  <si>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</si>
  <si>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</si>
  <si>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</si>
  <si>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</si>
  <si>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</si>
  <si>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</si>
  <si>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</si>
  <si>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</si>
  <si>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</si>
  <si>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</si>
  <si>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</si>
  <si>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</si>
  <si>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</si>
  <si>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</si>
  <si>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</si>
  <si>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</si>
  <si>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</si>
  <si>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</si>
  <si>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</si>
  <si>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</si>
  <si>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</si>
  <si>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</si>
  <si>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</si>
  <si>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</si>
  <si>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</si>
  <si>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</si>
  <si>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</si>
  <si>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</si>
  <si>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</si>
  <si>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</si>
  <si>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</si>
  <si>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</si>
  <si>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</si>
  <si>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</si>
  <si>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</si>
  <si>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</si>
  <si>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</si>
  <si>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</si>
  <si>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</si>
  <si>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</si>
  <si>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</si>
  <si>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</si>
  <si>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</si>
  <si>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</si>
  <si>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</si>
  <si>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</si>
  <si>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</si>
  <si>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</si>
  <si>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</si>
  <si>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</si>
  <si>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</si>
  <si>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</si>
  <si>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</si>
  <si>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</si>
  <si>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</si>
  <si>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</si>
  <si>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</si>
  <si>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</si>
  <si>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</si>
  <si>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</si>
  <si>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</si>
  <si>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</si>
  <si>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</si>
  <si>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</si>
  <si>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</si>
  <si>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</si>
  <si>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</si>
  <si>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</si>
  <si>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</si>
  <si>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</si>
  <si>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</si>
  <si>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</si>
  <si>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</si>
  <si>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</si>
  <si>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</si>
  <si>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</si>
  <si>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</si>
  <si>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</si>
  <si>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</si>
  <si>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</si>
  <si>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</si>
  <si>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</si>
  <si>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</si>
  <si>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</si>
  <si>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</si>
  <si>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</si>
  <si>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</si>
  <si>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</si>
  <si>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</si>
  <si>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</si>
  <si>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</si>
  <si>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</si>
  <si>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</si>
  <si>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</si>
  <si>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</si>
  <si>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</si>
  <si>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</si>
  <si>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</si>
  <si>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</si>
  <si>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</si>
  <si>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</si>
  <si>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</si>
  <si>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</si>
  <si>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</si>
  <si>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</si>
  <si>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</si>
  <si>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</si>
  <si>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</si>
  <si>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</si>
  <si>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</si>
  <si>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</si>
  <si>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</si>
  <si>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</si>
  <si>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</si>
  <si>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</si>
  <si>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</si>
  <si>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</si>
  <si>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</si>
  <si>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</si>
  <si>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</si>
  <si>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</si>
  <si>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</si>
  <si>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</si>
  <si>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</si>
  <si>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</si>
  <si>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</si>
  <si>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</si>
  <si>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</si>
  <si>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</si>
  <si>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</si>
  <si>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</si>
  <si>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</si>
  <si>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</si>
  <si>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</si>
  <si>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</si>
  <si>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</si>
  <si>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</si>
  <si>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</si>
  <si>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</si>
  <si>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</si>
  <si>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</si>
  <si>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</si>
  <si>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</si>
  <si>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</si>
  <si>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</si>
  <si>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</si>
  <si>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</si>
  <si>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</si>
  <si>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</si>
  <si>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</si>
  <si>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</si>
  <si>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</si>
  <si>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</si>
  <si>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</si>
  <si>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</si>
  <si>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</si>
  <si>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</si>
  <si>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</si>
  <si>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</si>
  <si>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</si>
  <si>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</si>
  <si>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</si>
  <si>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</si>
  <si>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</si>
  <si>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</si>
  <si>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</si>
  <si>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</si>
  <si>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</si>
  <si>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</si>
  <si>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</si>
  <si>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</si>
  <si>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</si>
  <si>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</si>
  <si>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</si>
  <si>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</si>
  <si>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</si>
  <si>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</si>
  <si>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</si>
  <si>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</si>
  <si>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</si>
  <si>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</si>
  <si>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</si>
  <si>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</si>
  <si>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</si>
  <si>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</si>
  <si>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</si>
  <si>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</si>
  <si>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</si>
  <si>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</si>
  <si>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</si>
  <si>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</si>
  <si>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</si>
  <si>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</si>
  <si>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</si>
  <si>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</si>
  <si>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</si>
  <si>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</si>
  <si>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</si>
  <si>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</si>
  <si>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</si>
  <si>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</si>
  <si>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</si>
  <si>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</si>
  <si>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</si>
  <si>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</si>
  <si>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</si>
  <si>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</si>
  <si>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</si>
  <si>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</si>
  <si>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</si>
  <si>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</si>
  <si>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</si>
  <si>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</si>
  <si>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</si>
  <si>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</si>
  <si>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</si>
  <si>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</si>
  <si>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</si>
  <si>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</si>
  <si>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</si>
  <si>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</si>
  <si>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</si>
  <si>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</si>
  <si>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</si>
  <si>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</si>
  <si>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</si>
  <si>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</si>
  <si>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</si>
  <si>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</si>
  <si>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</si>
  <si>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</si>
  <si>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</si>
  <si>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</si>
  <si>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</si>
  <si>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</si>
  <si>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</si>
  <si>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</si>
  <si>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</si>
  <si>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</si>
  <si>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</si>
  <si>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</si>
  <si>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</si>
  <si>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</si>
  <si>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</si>
  <si>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</si>
  <si>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</si>
  <si>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</si>
  <si>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</si>
  <si>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</si>
  <si>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</si>
  <si>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</si>
  <si>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</si>
  <si>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</si>
  <si>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</si>
  <si>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</si>
  <si>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</si>
  <si>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</si>
  <si>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</si>
  <si>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</si>
  <si>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</si>
  <si>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</si>
  <si>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</si>
  <si>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</si>
  <si>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</si>
  <si>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</si>
  <si>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</si>
  <si>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</si>
  <si>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</si>
  <si>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</si>
  <si>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</si>
  <si>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</si>
  <si>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</si>
  <si>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</si>
  <si>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</si>
  <si>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</si>
  <si>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</si>
  <si>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</si>
  <si>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</si>
  <si>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</si>
  <si>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</si>
  <si>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</si>
  <si>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</si>
  <si>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</si>
  <si>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</si>
  <si>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</si>
  <si>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</si>
  <si>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</si>
  <si>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</si>
  <si>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</si>
  <si>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</si>
  <si>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</si>
  <si>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</si>
  <si>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</si>
  <si>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</si>
  <si>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</si>
  <si>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</si>
  <si>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</si>
  <si>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</si>
  <si>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</si>
  <si>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</si>
  <si>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</si>
  <si>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</si>
  <si>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</si>
  <si>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</si>
  <si>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</si>
  <si>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</si>
  <si>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</si>
  <si>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</si>
  <si>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</si>
  <si>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</si>
  <si>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</si>
  <si>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</si>
  <si>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</si>
  <si>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</si>
  <si>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</si>
  <si>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</si>
  <si>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</si>
  <si>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</si>
  <si>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</si>
  <si>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</si>
  <si>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</si>
  <si>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</si>
  <si>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</si>
  <si>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</si>
  <si>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</si>
  <si>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</si>
  <si>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</si>
  <si>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</si>
  <si>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</si>
  <si>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</si>
  <si>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</si>
  <si>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</si>
  <si>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</si>
  <si>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</si>
  <si>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</si>
  <si>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</si>
  <si>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</si>
  <si>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</si>
  <si>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</si>
  <si>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</si>
  <si>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</si>
  <si>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</si>
  <si>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</si>
  <si>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</si>
  <si>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</si>
  <si>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</si>
  <si>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</si>
  <si>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</si>
  <si>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</si>
  <si>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</si>
  <si>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</si>
  <si>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</si>
  <si>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</si>
  <si>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</si>
  <si>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</si>
  <si>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</si>
  <si>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</si>
  <si>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</si>
  <si>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</si>
  <si>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</si>
  <si>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</si>
  <si>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</si>
  <si>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</si>
  <si>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</si>
  <si>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</si>
  <si>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</si>
  <si>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</si>
  <si>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</si>
  <si>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</si>
  <si>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</si>
  <si>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</si>
  <si>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</si>
  <si>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</si>
  <si>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</si>
  <si>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</si>
  <si>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</si>
  <si>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</si>
  <si>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</si>
  <si>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</si>
  <si>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</si>
  <si>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</si>
  <si>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</si>
  <si>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</si>
  <si>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</si>
  <si>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</si>
  <si>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</si>
  <si>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</si>
  <si>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</si>
  <si>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</si>
  <si>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</si>
  <si>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</si>
  <si>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</si>
  <si>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</si>
  <si>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</si>
  <si>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</si>
  <si>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</si>
  <si>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</si>
  <si>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</si>
  <si>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</si>
  <si>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</si>
  <si>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</si>
  <si>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</si>
  <si>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</si>
  <si>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</si>
  <si>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</si>
  <si>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</si>
  <si>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</si>
  <si>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</si>
  <si>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</si>
  <si>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</si>
  <si>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</si>
  <si>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</si>
  <si>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</si>
  <si>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</si>
  <si>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</si>
  <si>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</si>
  <si>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</si>
  <si>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</si>
  <si>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</si>
  <si>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</si>
  <si>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</si>
  <si>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</si>
  <si>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</si>
  <si>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</si>
  <si>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</si>
  <si>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</si>
  <si>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</si>
  <si>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</si>
  <si>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</si>
  <si>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</si>
  <si>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</si>
  <si>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</si>
  <si>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</si>
  <si>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</si>
  <si>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</si>
  <si>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</si>
  <si>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</si>
  <si>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</si>
  <si>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</si>
  <si>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</si>
  <si>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</si>
  <si>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</si>
  <si>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</si>
  <si>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</si>
  <si>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</si>
  <si>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</si>
  <si>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</si>
  <si>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</si>
  <si>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</si>
  <si>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</si>
  <si>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</si>
  <si>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</si>
  <si>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</si>
  <si>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</si>
  <si>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</si>
  <si>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</si>
  <si>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</si>
  <si>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</si>
  <si>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</si>
  <si>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</si>
  <si>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</si>
  <si>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</si>
  <si>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</si>
  <si>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</si>
  <si>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</si>
  <si>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</si>
  <si>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</si>
  <si>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</si>
  <si>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</si>
  <si>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</si>
  <si>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</si>
  <si>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</si>
  <si>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</si>
  <si>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</si>
  <si>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</si>
  <si>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</si>
  <si>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</si>
  <si>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</si>
  <si>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</si>
  <si>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</si>
  <si>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</si>
  <si>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</si>
  <si>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</si>
  <si>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</si>
  <si>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</si>
  <si>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</si>
  <si>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</si>
  <si>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</si>
  <si>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</si>
  <si>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</si>
  <si>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</si>
  <si>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</si>
  <si>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</si>
  <si>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</si>
  <si>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</si>
  <si>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</si>
  <si>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</si>
  <si>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</si>
  <si>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</si>
  <si>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</si>
  <si>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</si>
  <si>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</si>
  <si>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</si>
  <si>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</si>
  <si>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</si>
  <si>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</si>
  <si>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</si>
  <si>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</si>
  <si>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</si>
  <si>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</si>
  <si>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</si>
  <si>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</si>
  <si>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</si>
  <si>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</si>
  <si>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</si>
  <si>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</si>
  <si>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</si>
  <si>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</si>
  <si>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</si>
  <si>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</si>
  <si>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</si>
  <si>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</si>
  <si>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</si>
  <si>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</si>
  <si>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</si>
  <si>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</si>
  <si>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</si>
  <si>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</si>
  <si>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</si>
  <si>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</si>
  <si>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</si>
  <si>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</si>
  <si>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</si>
  <si>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</si>
  <si>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</si>
  <si>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</si>
  <si>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</si>
  <si>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</si>
  <si>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</si>
  <si>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</si>
  <si>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</si>
  <si>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</si>
  <si>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</si>
  <si>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</si>
  <si>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</si>
  <si>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</si>
  <si>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</si>
  <si>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</si>
  <si>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</si>
  <si>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</si>
  <si>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</si>
  <si>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</si>
  <si>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</si>
  <si>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</si>
  <si>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</si>
  <si>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</si>
  <si>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</si>
  <si>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</si>
  <si>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</si>
  <si>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</si>
  <si>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</si>
  <si>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</si>
  <si>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</si>
  <si>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</si>
  <si>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</si>
  <si>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</si>
  <si>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</si>
  <si>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</si>
  <si>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</si>
  <si>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</si>
  <si>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</si>
  <si>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</si>
  <si>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</si>
  <si>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</si>
  <si>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</si>
  <si>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</si>
  <si>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</si>
  <si>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</si>
  <si>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</si>
  <si>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</si>
  <si>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</si>
  <si>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</si>
  <si>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</si>
  <si>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</si>
  <si>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</si>
  <si>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</si>
  <si>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</si>
  <si>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</si>
  <si>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</si>
  <si>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</si>
  <si>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</si>
  <si>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</si>
  <si>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</si>
  <si>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</si>
  <si>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</si>
  <si>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</si>
  <si>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</si>
  <si>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</si>
  <si>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</si>
  <si>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</si>
  <si>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</si>
  <si>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</si>
  <si>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</si>
  <si>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</si>
  <si>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</si>
  <si>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</si>
  <si>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</si>
  <si>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</si>
  <si>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</si>
  <si>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</si>
  <si>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</si>
  <si>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</si>
  <si>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</si>
  <si>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</si>
  <si>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</si>
  <si>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</si>
  <si>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</si>
  <si>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</si>
  <si>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</si>
  <si>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</si>
  <si>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</si>
  <si>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</si>
  <si>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</si>
  <si>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</si>
  <si>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</si>
  <si>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</si>
  <si>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</si>
  <si>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</si>
  <si>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</si>
  <si>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</si>
  <si>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</si>
  <si>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</si>
  <si>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</si>
  <si>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</si>
  <si>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</si>
  <si>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</si>
  <si>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</si>
  <si>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</si>
  <si>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</si>
  <si>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</si>
  <si>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</si>
  <si>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</si>
  <si>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</si>
  <si>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</si>
  <si>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</si>
  <si>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</si>
  <si>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</si>
  <si>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</si>
  <si>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</si>
  <si>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</si>
  <si>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</si>
  <si>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</si>
  <si>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</si>
  <si>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</si>
  <si>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</si>
  <si>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</si>
  <si>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</si>
  <si>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</si>
  <si>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</si>
  <si>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</si>
  <si>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</si>
  <si>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</si>
  <si>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</si>
  <si>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</si>
  <si>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</si>
  <si>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</si>
  <si>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</si>
  <si>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</si>
  <si>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</si>
  <si>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</si>
  <si>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</si>
  <si>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</si>
  <si>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</si>
  <si>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</si>
  <si>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</si>
  <si>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</si>
  <si>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</si>
  <si>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</si>
  <si>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</si>
  <si>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</si>
  <si>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</si>
  <si>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</si>
  <si>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</si>
  <si>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</si>
  <si>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</si>
  <si>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</si>
  <si>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</si>
  <si>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</si>
  <si>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</si>
  <si>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</si>
  <si>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</si>
  <si>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</si>
  <si>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</si>
  <si>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</si>
  <si>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</si>
  <si>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</si>
  <si>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</si>
  <si>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</si>
  <si>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</si>
  <si>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</si>
  <si>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</si>
  <si>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</si>
  <si>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</si>
  <si>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</si>
  <si>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</si>
  <si>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</si>
  <si>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</si>
  <si>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</si>
  <si>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</si>
  <si>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</si>
  <si>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</si>
  <si>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</si>
  <si>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</si>
  <si>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</si>
  <si>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</si>
  <si>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</si>
  <si>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</si>
  <si>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</si>
  <si>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</si>
  <si>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</si>
  <si>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</si>
  <si>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</si>
  <si>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</si>
  <si>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</si>
  <si>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</si>
  <si>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</si>
  <si>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</si>
  <si>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</si>
  <si>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</si>
  <si>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</si>
  <si>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</si>
  <si>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</si>
  <si>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</si>
  <si>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</si>
  <si>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</si>
  <si>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</si>
  <si>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</si>
  <si>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</si>
  <si>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</si>
  <si>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</si>
  <si>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</si>
  <si>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</si>
  <si>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</si>
  <si>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</si>
  <si>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</si>
  <si>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</si>
  <si>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</si>
  <si>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</si>
  <si>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</si>
  <si>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</si>
  <si>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</si>
  <si>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</si>
  <si>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</si>
  <si>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</si>
  <si>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</si>
  <si>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</si>
  <si>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</si>
  <si>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</si>
  <si>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</si>
  <si>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</si>
  <si>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</si>
  <si>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</si>
  <si>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</si>
  <si>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</si>
  <si>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</si>
  <si>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</si>
  <si>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</si>
  <si>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</si>
  <si>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</si>
  <si>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</si>
  <si>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</si>
  <si>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</si>
  <si>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</si>
  <si>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</si>
  <si>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</si>
  <si>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</si>
  <si>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</si>
  <si>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</si>
  <si>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</si>
  <si>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</si>
  <si>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</si>
  <si>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</si>
  <si>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</si>
  <si>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</si>
  <si>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</si>
  <si>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</si>
  <si>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</si>
  <si>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</si>
  <si>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</si>
  <si>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</si>
  <si>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</si>
  <si>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</si>
  <si>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</si>
  <si>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</si>
  <si>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</si>
  <si>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</si>
  <si>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</si>
  <si>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</si>
  <si>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</si>
  <si>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</si>
  <si>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</si>
  <si>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</si>
  <si>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</si>
  <si>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</si>
  <si>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</si>
  <si>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</si>
  <si>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</si>
  <si>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</si>
  <si>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</si>
  <si>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</si>
  <si>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</si>
  <si>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</si>
  <si>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</si>
  <si>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</si>
  <si>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</si>
  <si>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</si>
  <si>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</si>
  <si>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</si>
  <si>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</si>
  <si>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</si>
  <si>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</si>
  <si>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</si>
  <si>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</si>
  <si>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</si>
  <si>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</si>
  <si>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</si>
  <si>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</si>
  <si>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</si>
  <si>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</si>
  <si>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</si>
  <si>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</si>
  <si>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</si>
  <si>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</si>
  <si>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</si>
  <si>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</si>
  <si>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</si>
  <si>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</si>
  <si>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</si>
  <si>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</si>
  <si>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</si>
  <si>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</si>
  <si>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</si>
  <si>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</si>
  <si>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</si>
  <si>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</si>
  <si>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</si>
  <si>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</si>
  <si>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</si>
  <si>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</si>
  <si>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</si>
  <si>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</si>
  <si>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</si>
  <si>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</si>
  <si>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</si>
  <si>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</si>
  <si>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</si>
  <si>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</si>
  <si>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</si>
  <si>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</si>
  <si>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</si>
  <si>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</si>
  <si>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</si>
  <si>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</si>
  <si>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</si>
  <si>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</si>
  <si>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</si>
  <si>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</si>
  <si>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</si>
  <si>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</si>
  <si>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</si>
  <si>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</si>
  <si>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</si>
  <si>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</si>
  <si>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</si>
  <si>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</si>
  <si>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</si>
  <si>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</si>
  <si>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</si>
  <si>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</si>
  <si>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</si>
  <si>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</si>
  <si>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</si>
  <si>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</si>
  <si>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</si>
  <si>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</si>
  <si>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</si>
  <si>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</si>
  <si>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</si>
  <si>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</si>
  <si>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</si>
  <si>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</si>
  <si>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</si>
  <si>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</si>
  <si>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</si>
  <si>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</si>
  <si>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</si>
  <si>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</si>
  <si>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</si>
  <si>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</si>
  <si>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</si>
  <si>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</si>
  <si>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</si>
  <si>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</si>
  <si>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</si>
  <si>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</si>
  <si>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</si>
  <si>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</si>
  <si>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</si>
  <si>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</si>
  <si>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</si>
  <si>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</si>
  <si>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</si>
  <si>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</si>
  <si>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</si>
  <si>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</si>
  <si>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</si>
  <si>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</si>
  <si>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</si>
  <si>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</si>
  <si>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</si>
  <si>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</si>
  <si>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</si>
  <si>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</si>
  <si>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</si>
  <si>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</si>
  <si>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</si>
  <si>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</si>
  <si>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</si>
  <si>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</si>
  <si>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</si>
  <si>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</si>
  <si>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</si>
  <si>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</si>
  <si>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</si>
  <si>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</si>
  <si>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</si>
  <si>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</si>
  <si>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</si>
  <si>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</si>
  <si>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</si>
  <si>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</si>
  <si>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</si>
  <si>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</si>
  <si>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</si>
  <si>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</si>
  <si>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</si>
  <si>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</si>
  <si>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</si>
  <si>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</si>
  <si>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</si>
  <si>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</si>
  <si>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</si>
  <si>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</si>
  <si>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</si>
  <si>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</si>
  <si>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</si>
  <si>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</si>
  <si>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</si>
  <si>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</si>
  <si>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</si>
  <si>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</si>
  <si>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</si>
  <si>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</si>
  <si>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</si>
  <si>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</si>
  <si>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</si>
  <si>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</si>
  <si>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</si>
  <si>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</si>
  <si>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</si>
  <si>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</si>
  <si>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</si>
  <si>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</si>
  <si>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</si>
  <si>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</si>
  <si>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</si>
  <si>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</si>
  <si>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</si>
  <si>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</si>
  <si>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</si>
  <si>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</si>
  <si>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</si>
  <si>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</si>
  <si>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</si>
  <si>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</si>
  <si>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</si>
  <si>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</si>
  <si>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</si>
  <si>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</si>
  <si>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</si>
  <si>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</si>
  <si>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</si>
  <si>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</si>
  <si>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</si>
  <si>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</si>
  <si>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</si>
  <si>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</si>
  <si>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</si>
  <si>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</si>
  <si>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</si>
  <si>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</si>
  <si>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</si>
  <si>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</si>
  <si>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</si>
  <si>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</si>
  <si>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</si>
  <si>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</si>
  <si>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</si>
  <si>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</si>
  <si>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</si>
  <si>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</si>
  <si>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</si>
  <si>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</si>
  <si>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</si>
  <si>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</si>
  <si>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</si>
  <si>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</si>
  <si>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</si>
  <si>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</si>
  <si>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</si>
  <si>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</si>
  <si>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</si>
  <si>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</si>
  <si>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</si>
  <si>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</si>
  <si>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</si>
  <si>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</si>
  <si>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</si>
  <si>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</si>
  <si>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</si>
  <si>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</si>
  <si>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</si>
  <si>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</si>
  <si>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</si>
  <si>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</si>
  <si>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</si>
  <si>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</si>
  <si>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</si>
  <si>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</si>
  <si>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</si>
  <si>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</si>
  <si>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</si>
  <si>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</si>
  <si>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</si>
  <si>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</si>
  <si>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</si>
  <si>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</si>
  <si>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</si>
  <si>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</si>
  <si>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</si>
  <si>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</si>
  <si>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</si>
  <si>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</si>
  <si>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</si>
  <si>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</si>
  <si>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</si>
  <si>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</si>
  <si>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</si>
  <si>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</si>
  <si>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</si>
  <si>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</si>
  <si>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</si>
  <si>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</si>
  <si>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</si>
  <si>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</si>
  <si>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</si>
  <si>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</si>
  <si>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</si>
  <si>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</si>
  <si>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</si>
  <si>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</si>
  <si>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</si>
  <si>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</si>
  <si>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</si>
  <si>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</si>
  <si>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</si>
  <si>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</si>
  <si>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</si>
  <si>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</si>
  <si>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</si>
  <si>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</si>
  <si>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</si>
  <si>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</si>
  <si>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</si>
  <si>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</si>
  <si>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</si>
  <si>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</si>
  <si>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</si>
  <si>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</si>
  <si>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</si>
  <si>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</si>
  <si>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</si>
  <si>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</si>
  <si>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</si>
  <si>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</si>
  <si>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</si>
  <si>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</si>
  <si>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</si>
  <si>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</si>
  <si>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</si>
  <si>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</si>
  <si>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</si>
  <si>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</si>
  <si>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</si>
  <si>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</si>
  <si>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</si>
  <si>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</si>
  <si>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</si>
  <si>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</si>
  <si>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</si>
  <si>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</si>
  <si>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</si>
  <si>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</si>
  <si>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</si>
  <si>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</si>
  <si>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</si>
  <si>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</si>
  <si>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</si>
  <si>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</si>
  <si>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</si>
  <si>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</si>
  <si>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</si>
  <si>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</si>
  <si>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</si>
  <si>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</si>
  <si>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</si>
  <si>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</si>
  <si>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</si>
  <si>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</si>
  <si>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</si>
  <si>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</si>
  <si>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</si>
  <si>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</si>
  <si>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</si>
  <si>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</si>
  <si>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</si>
  <si>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</si>
  <si>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</si>
  <si>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</si>
  <si>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</si>
  <si>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</si>
  <si>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</si>
  <si>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</si>
  <si>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</si>
  <si>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</si>
  <si>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</si>
  <si>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</si>
  <si>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</si>
  <si>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</si>
  <si>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</si>
  <si>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</si>
  <si>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</si>
  <si>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</si>
  <si>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</si>
  <si>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</si>
  <si>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</si>
  <si>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</si>
  <si>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</si>
  <si>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</si>
  <si>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</si>
  <si>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</si>
  <si>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</si>
  <si>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</si>
  <si>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</si>
  <si>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</si>
  <si>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</si>
  <si>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</si>
  <si>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</si>
  <si>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</si>
  <si>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</si>
  <si>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</si>
  <si>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</si>
  <si>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</si>
  <si>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</si>
  <si>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</si>
  <si>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</si>
  <si>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</si>
  <si>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</si>
  <si>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</si>
  <si>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</si>
  <si>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</si>
  <si>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</si>
  <si>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</si>
  <si>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</si>
  <si>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</si>
  <si>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</si>
  <si>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</si>
  <si>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</si>
  <si>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</si>
  <si>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</si>
  <si>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</si>
  <si>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</si>
  <si>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</si>
  <si>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</si>
  <si>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</si>
  <si>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</si>
  <si>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</si>
  <si>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</si>
  <si>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</si>
  <si>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</si>
  <si>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</si>
  <si>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</si>
  <si>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</si>
  <si>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</si>
  <si>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</si>
  <si>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</si>
  <si>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</si>
  <si>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</si>
  <si>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</si>
  <si>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</si>
  <si>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</si>
  <si>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</si>
  <si>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</si>
  <si>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</si>
  <si>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</si>
  <si>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</si>
  <si>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</si>
  <si>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</si>
  <si>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</si>
  <si>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</si>
  <si>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</si>
  <si>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</si>
  <si>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</si>
  <si>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</si>
  <si>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</si>
  <si>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</si>
  <si>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</si>
  <si>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</si>
  <si>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</si>
  <si>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</si>
  <si>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</si>
  <si>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</si>
  <si>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</si>
  <si>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</si>
  <si>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</si>
  <si>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</si>
  <si>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</si>
  <si>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</si>
  <si>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</si>
  <si>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</si>
  <si>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</si>
  <si>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</si>
  <si>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</si>
  <si>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</si>
  <si>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</si>
  <si>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</si>
  <si>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</si>
  <si>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</si>
  <si>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</si>
  <si>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</si>
  <si>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</si>
  <si>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</si>
  <si>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</si>
  <si>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</si>
  <si>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</si>
  <si>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</si>
  <si>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</si>
  <si>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</si>
  <si>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</si>
  <si>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</si>
  <si>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</si>
  <si>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</si>
  <si>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</si>
  <si>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</si>
  <si>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</si>
  <si>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</si>
  <si>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</si>
  <si>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</si>
  <si>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</si>
  <si>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</si>
  <si>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</si>
  <si>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</si>
  <si>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</si>
  <si>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</si>
  <si>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</si>
  <si>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</si>
  <si>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</si>
  <si>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</si>
  <si>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</si>
  <si>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</si>
  <si>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</si>
  <si>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</si>
  <si>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</si>
  <si>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</si>
  <si>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</si>
  <si>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</si>
  <si>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</si>
  <si>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</si>
  <si>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</si>
  <si>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</si>
  <si>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</si>
  <si>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</si>
  <si>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</si>
  <si>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</si>
  <si>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</si>
  <si>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</si>
  <si>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</si>
  <si>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</si>
  <si>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</si>
  <si>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</si>
  <si>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</si>
  <si>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</si>
  <si>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</si>
  <si>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</si>
  <si>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</si>
  <si>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</si>
  <si>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</si>
  <si>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</si>
  <si>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</si>
  <si>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</si>
  <si>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</si>
  <si>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</si>
  <si>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</si>
  <si>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</si>
  <si>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</si>
  <si>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</si>
  <si>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</si>
  <si>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</si>
  <si>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</si>
  <si>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</si>
  <si>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</si>
  <si>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</si>
  <si>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</si>
  <si>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</si>
  <si>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</si>
  <si>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</si>
  <si>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</si>
  <si>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</si>
  <si>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</si>
  <si>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</si>
  <si>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</si>
  <si>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</si>
  <si>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</si>
  <si>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</si>
  <si>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</si>
  <si>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</si>
  <si>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</si>
  <si>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</si>
  <si>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</si>
  <si>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</si>
  <si>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</si>
  <si>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</si>
  <si>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</si>
  <si>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</si>
  <si>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</si>
  <si>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</si>
  <si>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</si>
  <si>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</si>
  <si>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</si>
  <si>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</si>
  <si>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</si>
  <si>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</si>
  <si>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</si>
  <si>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</si>
  <si>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</si>
  <si>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</si>
  <si>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</si>
  <si>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</si>
  <si>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</si>
  <si>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</si>
  <si>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</si>
  <si>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</si>
  <si>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</si>
  <si>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</si>
  <si>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</si>
  <si>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</si>
  <si>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</si>
  <si>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</si>
  <si>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</si>
  <si>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</si>
  <si>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</si>
  <si>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</si>
  <si>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</si>
  <si>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</si>
  <si>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</si>
  <si>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</si>
  <si>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</si>
  <si>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</si>
  <si>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</si>
  <si>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</si>
  <si>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</si>
  <si>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</si>
  <si>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</si>
  <si>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</si>
  <si>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</si>
  <si>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</si>
  <si>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</si>
  <si>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</si>
  <si>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</si>
  <si>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</si>
  <si>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</si>
  <si>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</si>
  <si>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</si>
  <si>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</si>
  <si>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</si>
  <si>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</si>
  <si>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</si>
  <si>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</si>
  <si>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</si>
  <si>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</si>
  <si>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</si>
  <si>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</si>
  <si>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</si>
  <si>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</si>
  <si>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</si>
  <si>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</si>
  <si>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</si>
  <si>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</si>
  <si>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</si>
  <si>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</si>
  <si>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</si>
  <si>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</si>
  <si>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</si>
  <si>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</si>
  <si>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</si>
  <si>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</si>
  <si>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</si>
  <si>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</si>
  <si>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</si>
  <si>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</si>
  <si>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</si>
  <si>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</si>
  <si>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</si>
  <si>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</si>
  <si>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</si>
  <si>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</si>
  <si>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</si>
  <si>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</si>
  <si>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</si>
  <si>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</si>
  <si>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</si>
  <si>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</si>
  <si>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</si>
  <si>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</si>
  <si>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</si>
  <si>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</si>
  <si>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</si>
  <si>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</si>
  <si>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</si>
  <si>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</si>
  <si>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</si>
  <si>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</si>
  <si>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</si>
  <si>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</si>
  <si>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</si>
  <si>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</si>
  <si>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</si>
  <si>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</si>
  <si>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</si>
  <si>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</si>
  <si>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</si>
  <si>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</si>
  <si>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</si>
  <si>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</si>
  <si>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</si>
  <si>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</si>
  <si>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</si>
  <si>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</si>
  <si>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</si>
  <si>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</si>
  <si>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</si>
  <si>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</si>
  <si>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</si>
  <si>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</si>
  <si>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</si>
  <si>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</si>
  <si>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</si>
  <si>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</si>
  <si>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</si>
  <si>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</si>
  <si>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</si>
  <si>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</si>
  <si>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</si>
  <si>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</si>
  <si>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</si>
  <si>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</si>
  <si>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</si>
  <si>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</si>
  <si>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</si>
  <si>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</si>
  <si>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</si>
  <si>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</si>
  <si>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</si>
  <si>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</si>
  <si>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</si>
  <si>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</si>
  <si>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</si>
  <si>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</si>
  <si>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</si>
  <si>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</si>
  <si>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</si>
  <si>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</si>
  <si>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</si>
  <si>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</si>
  <si>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</si>
  <si>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</si>
  <si>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</si>
  <si>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</si>
  <si>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</si>
  <si>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</si>
  <si>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</si>
  <si>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</si>
  <si>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</si>
  <si>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</si>
  <si>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</si>
  <si>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</si>
  <si>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</si>
  <si>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</si>
  <si>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</si>
  <si>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</si>
  <si>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</si>
  <si>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</si>
  <si>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</si>
  <si>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</si>
  <si>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</si>
  <si>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</si>
  <si>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</si>
  <si>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</si>
  <si>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</si>
  <si>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</si>
  <si>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</si>
  <si>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</si>
  <si>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</si>
  <si>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</si>
  <si>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</si>
  <si>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</si>
  <si>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</si>
  <si>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</si>
  <si>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</si>
  <si>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</si>
  <si>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</si>
  <si>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</si>
  <si>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</si>
  <si>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</si>
  <si>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</si>
  <si>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</si>
  <si>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</si>
  <si>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</si>
  <si>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</si>
  <si>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</si>
  <si>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</si>
  <si>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</si>
  <si>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</si>
  <si>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</si>
  <si>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</si>
  <si>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</si>
  <si>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</si>
  <si>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</si>
  <si>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</si>
  <si>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</si>
  <si>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</si>
  <si>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</si>
  <si>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</si>
  <si>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</si>
  <si>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</si>
  <si>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</si>
  <si>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</si>
  <si>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</si>
  <si>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</si>
  <si>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</si>
  <si>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</si>
  <si>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</si>
  <si>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</si>
  <si>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</si>
  <si>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</si>
  <si>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</si>
  <si>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</si>
  <si>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</si>
  <si>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</si>
  <si>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</si>
  <si>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</si>
  <si>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</si>
  <si>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</si>
  <si>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</si>
  <si>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</si>
  <si>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</si>
  <si>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</si>
  <si>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</si>
  <si>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</si>
  <si>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</si>
  <si>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</si>
  <si>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</si>
  <si>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</si>
  <si>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</si>
  <si>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</si>
  <si>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</si>
  <si>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</si>
  <si>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</si>
  <si>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</si>
  <si>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</si>
  <si>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</si>
  <si>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</si>
  <si>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</si>
  <si>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</si>
  <si>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</si>
  <si>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</si>
  <si>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</si>
  <si>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</si>
  <si>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</si>
  <si>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</si>
  <si>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</si>
  <si>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</si>
  <si>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</si>
  <si>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</si>
  <si>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</si>
  <si>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</si>
  <si>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</si>
  <si>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</si>
  <si>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</si>
  <si>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</si>
  <si>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</si>
  <si>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</si>
  <si>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</si>
  <si>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</si>
  <si>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</si>
  <si>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</si>
  <si>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</si>
  <si>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</si>
  <si>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</si>
  <si>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</si>
  <si>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</si>
  <si>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</si>
  <si>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</si>
  <si>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</si>
  <si>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</si>
  <si>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</si>
  <si>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</si>
  <si>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</si>
  <si>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</si>
  <si>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</si>
  <si>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</si>
  <si>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</si>
  <si>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</si>
  <si>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</si>
  <si>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</si>
  <si>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</si>
  <si>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</si>
  <si>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</si>
  <si>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</si>
  <si>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</si>
  <si>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</si>
  <si>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</si>
  <si>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</si>
  <si>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</si>
  <si>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</si>
  <si>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</si>
  <si>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</si>
  <si>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</si>
  <si>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</si>
  <si>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</si>
  <si>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</si>
  <si>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</si>
  <si>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</si>
  <si>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</si>
  <si>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</si>
  <si>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</si>
  <si>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</si>
  <si>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</si>
  <si>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</si>
  <si>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</si>
  <si>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</si>
  <si>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</si>
  <si>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</si>
  <si>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</si>
  <si>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</si>
  <si>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</si>
  <si>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</si>
  <si>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</si>
  <si>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</si>
  <si>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</si>
  <si>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</si>
  <si>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</si>
  <si>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</si>
  <si>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</si>
  <si>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</si>
  <si>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</si>
  <si>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</si>
  <si>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</si>
  <si>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</si>
  <si>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</si>
  <si>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</si>
  <si>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</si>
  <si>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</si>
  <si>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</si>
  <si>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</si>
  <si>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</si>
  <si>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</si>
  <si>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</si>
  <si>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</si>
  <si>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</si>
  <si>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</si>
  <si>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</si>
  <si>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</si>
  <si>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</si>
  <si>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</si>
  <si>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</si>
  <si>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</si>
  <si>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</si>
  <si>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</si>
  <si>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</si>
  <si>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</si>
  <si>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</si>
  <si>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</si>
  <si>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</si>
  <si>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</si>
  <si>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</si>
  <si>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</si>
  <si>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</si>
  <si>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</si>
  <si>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</si>
  <si>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</si>
  <si>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</si>
  <si>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</si>
  <si>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</si>
  <si>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</si>
  <si>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</si>
  <si>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</si>
  <si>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</si>
  <si>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</si>
  <si>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</si>
  <si>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</si>
  <si>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</si>
  <si>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</si>
  <si>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</si>
  <si>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</si>
  <si>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</si>
  <si>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</si>
  <si>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</si>
  <si>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</si>
  <si>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</si>
  <si>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</si>
  <si>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</si>
  <si>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</si>
  <si>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</si>
  <si>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</si>
  <si>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</si>
  <si>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</si>
  <si>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</si>
  <si>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</si>
  <si>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</si>
  <si>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</si>
  <si>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</si>
  <si>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</si>
  <si>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</si>
  <si>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</si>
  <si>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</si>
  <si>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</si>
  <si>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</si>
  <si>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</si>
  <si>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</si>
  <si>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</si>
  <si>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</si>
  <si>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</si>
  <si>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</si>
  <si>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</si>
  <si>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</si>
  <si>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</si>
  <si>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</si>
  <si>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</si>
  <si>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</si>
  <si>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</si>
  <si>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</si>
  <si>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</si>
  <si>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</si>
  <si>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</si>
  <si>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</si>
  <si>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</si>
  <si>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</si>
  <si>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</si>
  <si>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</si>
  <si>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</si>
  <si>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</si>
  <si>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</si>
  <si>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</si>
  <si>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</si>
  <si>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</si>
  <si>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</si>
  <si>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</si>
  <si>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</si>
  <si>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</si>
  <si>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</si>
  <si>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</si>
  <si>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</si>
  <si>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</si>
  <si>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</si>
  <si>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</si>
  <si>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</si>
  <si>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</si>
  <si>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</si>
  <si>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</si>
  <si>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</si>
  <si>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</si>
  <si>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</si>
  <si>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</si>
  <si>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</si>
  <si>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</si>
  <si>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</si>
  <si>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</si>
  <si>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</si>
  <si>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</si>
  <si>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</si>
  <si>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</si>
  <si>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</si>
  <si>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</si>
  <si>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</si>
  <si>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</si>
  <si>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</si>
  <si>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</si>
  <si>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</si>
  <si>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</si>
  <si>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</si>
  <si>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</si>
  <si>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</si>
  <si>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</si>
  <si>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</si>
  <si>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</si>
  <si>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</si>
  <si>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</si>
  <si>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</si>
  <si>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</si>
  <si>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</si>
  <si>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</si>
  <si>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</si>
  <si>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</si>
  <si>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</si>
  <si>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</si>
  <si>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</si>
  <si>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</si>
  <si>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</si>
  <si>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</si>
  <si>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</si>
  <si>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</si>
  <si>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</si>
  <si>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</si>
  <si>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</si>
  <si>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</si>
  <si>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</si>
  <si>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</si>
  <si>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</si>
  <si>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</si>
  <si>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</si>
  <si>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</si>
  <si>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</si>
  <si>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</si>
  <si>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</si>
  <si>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</si>
  <si>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</si>
  <si>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</si>
  <si>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</si>
  <si>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</si>
  <si>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</si>
  <si>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</si>
  <si>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</si>
  <si>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</si>
  <si>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</si>
  <si>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</si>
  <si>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</si>
  <si>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</si>
  <si>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</si>
  <si>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</si>
  <si>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</si>
  <si>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</si>
  <si>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</si>
  <si>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</si>
  <si>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</si>
  <si>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</si>
  <si>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</si>
  <si>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</si>
  <si>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</si>
  <si>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</si>
  <si>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</si>
  <si>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</si>
  <si>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</si>
  <si>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</si>
  <si>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</si>
  <si>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</si>
  <si>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</si>
  <si>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</si>
  <si>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</si>
  <si>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</si>
  <si>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</si>
  <si>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</si>
  <si>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</si>
  <si>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</si>
  <si>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</si>
  <si>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</si>
  <si>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</si>
  <si>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</si>
  <si>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</si>
  <si>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</si>
  <si>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</si>
  <si>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</si>
  <si>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</si>
  <si>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</si>
  <si>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</si>
  <si>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</si>
  <si>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</si>
  <si>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</si>
  <si>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</si>
  <si>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</si>
  <si>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</si>
  <si>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</si>
  <si>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</si>
  <si>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</si>
  <si>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</si>
  <si>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</si>
  <si>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</si>
  <si>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</si>
  <si>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</si>
  <si>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</si>
  <si>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</si>
  <si>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</si>
  <si>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</si>
  <si>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</si>
  <si>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</si>
  <si>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</si>
  <si>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</si>
  <si>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</si>
  <si>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</si>
  <si>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</si>
  <si>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</si>
  <si>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</si>
  <si>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</si>
  <si>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</si>
  <si>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</si>
  <si>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</si>
  <si>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</si>
  <si>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</si>
  <si>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</si>
  <si>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</si>
  <si>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</si>
  <si>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</si>
  <si>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</si>
  <si>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</si>
  <si>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</si>
  <si>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</si>
  <si>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</si>
  <si>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</si>
  <si>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</si>
  <si>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</si>
  <si>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</si>
  <si>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</si>
  <si>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</si>
  <si>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</si>
  <si>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</si>
  <si>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</si>
  <si>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</si>
  <si>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</si>
  <si>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</si>
  <si>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</si>
  <si>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</si>
  <si>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</si>
  <si>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</si>
  <si>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</si>
  <si>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</si>
  <si>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</si>
  <si>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</si>
  <si>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</si>
  <si>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</si>
  <si>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</si>
  <si>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</si>
  <si>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</si>
  <si>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</si>
  <si>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</si>
  <si>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</si>
  <si>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</si>
  <si>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</si>
  <si>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</si>
  <si>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</si>
  <si>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</si>
  <si>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</si>
  <si>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</si>
  <si>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</si>
  <si>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</si>
  <si>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</si>
  <si>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</si>
  <si>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</si>
  <si>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</si>
  <si>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</si>
  <si>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</si>
  <si>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</si>
  <si>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</si>
  <si>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</si>
  <si>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</si>
  <si>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</si>
  <si>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</si>
  <si>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</si>
  <si>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</si>
  <si>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</si>
  <si>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</si>
  <si>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</si>
  <si>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</si>
  <si>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</si>
  <si>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</si>
  <si>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</si>
  <si>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</si>
  <si>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</si>
  <si>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</si>
  <si>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</si>
  <si>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</si>
  <si>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</si>
  <si>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</si>
  <si>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</si>
  <si>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</si>
  <si>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</si>
  <si>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</si>
  <si>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</si>
  <si>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</si>
  <si>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</si>
  <si>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</si>
  <si>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</si>
  <si>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</si>
  <si>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</si>
  <si>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</si>
  <si>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</si>
  <si>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</si>
  <si>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</si>
  <si>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</si>
  <si>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</si>
  <si>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</si>
  <si>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</si>
  <si>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</si>
  <si>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</si>
  <si>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</si>
  <si>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</si>
  <si>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</si>
  <si>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</si>
  <si>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</si>
  <si>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</si>
  <si>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</si>
  <si>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</si>
  <si>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</si>
  <si>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</si>
  <si>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</si>
  <si>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</si>
  <si>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</si>
  <si>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</si>
  <si>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</si>
  <si>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</si>
  <si>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</si>
  <si>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</si>
  <si>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</si>
  <si>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</si>
  <si>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</si>
  <si>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</si>
  <si>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</si>
  <si>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</si>
  <si>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</si>
  <si>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</si>
  <si>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</si>
  <si>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</si>
  <si>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</si>
  <si>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</si>
  <si>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</si>
  <si>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</si>
  <si>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</si>
  <si>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</si>
  <si>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</si>
  <si>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</si>
  <si>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</si>
  <si>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</si>
  <si>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</si>
  <si>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</si>
  <si>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</si>
  <si>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</si>
  <si>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</si>
  <si>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</si>
  <si>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</si>
  <si>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</si>
  <si>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</si>
  <si>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</si>
  <si>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</si>
  <si>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</si>
  <si>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</si>
  <si>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</si>
  <si>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</si>
  <si>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</si>
  <si>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</si>
  <si>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</si>
  <si>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</si>
  <si>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</si>
  <si>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</si>
  <si>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</si>
  <si>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</si>
  <si>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</si>
  <si>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</si>
  <si>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</si>
  <si>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</si>
  <si>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</si>
  <si>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</si>
  <si>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</si>
  <si>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</si>
  <si>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</si>
  <si>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</si>
  <si>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</si>
  <si>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</si>
  <si>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</si>
  <si>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</si>
  <si>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</si>
  <si>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</si>
  <si>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</si>
  <si>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</si>
  <si>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</si>
  <si>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</si>
  <si>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</si>
  <si>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</si>
  <si>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</si>
  <si>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</si>
  <si>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</si>
  <si>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</si>
  <si>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</si>
  <si>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</si>
  <si>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</si>
  <si>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</si>
  <si>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</si>
  <si>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</si>
  <si>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</si>
  <si>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</si>
  <si>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</si>
  <si>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</si>
  <si>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</si>
  <si>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</si>
  <si>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</si>
  <si>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</si>
  <si>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</si>
  <si>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</si>
  <si>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</si>
  <si>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</si>
  <si>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</si>
  <si>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</si>
  <si>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</si>
  <si>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</si>
  <si>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</si>
  <si>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</si>
  <si>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</si>
  <si>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</si>
  <si>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</si>
  <si>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</si>
  <si>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</si>
  <si>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</si>
  <si>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</si>
  <si>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</si>
  <si>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</si>
  <si>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</si>
  <si>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</si>
  <si>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</si>
  <si>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</si>
  <si>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</si>
  <si>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</si>
  <si>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</si>
  <si>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</si>
  <si>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</si>
  <si>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</si>
  <si>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</si>
  <si>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</si>
  <si>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</si>
  <si>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</si>
  <si>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</si>
  <si>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</si>
  <si>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</si>
  <si>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</si>
  <si>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</si>
  <si>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</si>
  <si>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</si>
  <si>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</si>
  <si>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</si>
  <si>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</si>
  <si>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</si>
  <si>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</si>
  <si>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</si>
  <si>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</si>
  <si>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</si>
  <si>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</si>
  <si>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</si>
  <si>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</si>
  <si>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</si>
  <si>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</si>
  <si>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</si>
  <si>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</si>
  <si>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</si>
  <si>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</si>
  <si>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</si>
  <si>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</si>
  <si>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</si>
  <si>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</si>
  <si>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</si>
  <si>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</si>
  <si>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</si>
  <si>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</si>
  <si>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</si>
  <si>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</si>
  <si>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</si>
  <si>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</si>
  <si>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</si>
  <si>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</si>
  <si>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</si>
  <si>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</si>
  <si>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</si>
  <si>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</si>
  <si>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</si>
  <si>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</si>
  <si>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</si>
  <si>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</si>
  <si>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</si>
  <si>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</si>
  <si>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</si>
  <si>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</si>
  <si>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</si>
  <si>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</si>
  <si>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</si>
  <si>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</si>
  <si>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</si>
  <si>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</si>
  <si>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</si>
  <si>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</si>
  <si>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</si>
  <si>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</si>
  <si>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</si>
  <si>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</si>
  <si>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</si>
  <si>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</si>
  <si>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</si>
  <si>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</si>
  <si>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</si>
  <si>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</si>
  <si>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</si>
  <si>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</si>
  <si>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</si>
  <si>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</si>
  <si>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</si>
  <si>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</si>
  <si>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</si>
  <si>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</si>
  <si>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</si>
  <si>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</si>
  <si>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</si>
  <si>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</si>
  <si>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</si>
  <si>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</si>
  <si>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</si>
  <si>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</si>
  <si>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</si>
  <si>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</si>
  <si>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</si>
  <si>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</si>
  <si>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</si>
  <si>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</si>
  <si>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</si>
  <si>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</si>
  <si>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</si>
  <si>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</si>
  <si>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</si>
  <si>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</si>
  <si>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</si>
  <si>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</si>
  <si>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</si>
  <si>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</si>
  <si>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</si>
  <si>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</si>
  <si>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</si>
  <si>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</si>
  <si>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</si>
  <si>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</si>
  <si>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</si>
  <si>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</si>
  <si>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</si>
  <si>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</si>
  <si>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</si>
  <si>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</si>
  <si>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</si>
  <si>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</si>
  <si>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</si>
  <si>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</si>
  <si>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</si>
  <si>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</si>
  <si>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</si>
  <si>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</si>
  <si>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</si>
  <si>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</si>
  <si>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</si>
  <si>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</si>
  <si>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</si>
  <si>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</si>
  <si>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</si>
  <si>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</si>
  <si>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</si>
  <si>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</si>
  <si>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</si>
  <si>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</si>
  <si>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</si>
  <si>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</si>
  <si>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</si>
  <si>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</si>
  <si>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</si>
  <si>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</si>
  <si>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</si>
  <si>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</si>
  <si>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</si>
  <si>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</si>
  <si>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</si>
  <si>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</si>
  <si>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</si>
  <si>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</si>
  <si>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</si>
  <si>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</si>
  <si>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</si>
  <si>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</si>
  <si>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</si>
  <si>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</si>
  <si>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</si>
  <si>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</si>
  <si>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</si>
  <si>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</si>
  <si>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</si>
  <si>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</si>
  <si>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</si>
  <si>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</si>
  <si>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</si>
  <si>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</si>
  <si>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</si>
  <si>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</si>
  <si>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</si>
  <si>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</si>
  <si>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</si>
  <si>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</si>
  <si>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</si>
  <si>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</si>
  <si>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</si>
  <si>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</si>
  <si>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</si>
  <si>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</si>
  <si>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</si>
  <si>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</si>
  <si>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</si>
  <si>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</si>
  <si>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</si>
  <si>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</si>
  <si>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</si>
  <si>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</si>
  <si>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</si>
  <si>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</si>
  <si>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</si>
  <si>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</si>
  <si>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</si>
  <si>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</si>
  <si>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</si>
  <si>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</si>
  <si>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</si>
  <si>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</si>
  <si>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</si>
  <si>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</si>
  <si>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</si>
  <si>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</si>
  <si>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</si>
  <si>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</si>
  <si>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</si>
  <si>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</si>
  <si>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</si>
  <si>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</si>
  <si>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</si>
  <si>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</si>
  <si>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</si>
  <si>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</si>
  <si>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</si>
  <si>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</si>
  <si>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</si>
  <si>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</si>
  <si>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</si>
  <si>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</si>
  <si>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</si>
  <si>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</si>
  <si>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</si>
  <si>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</si>
  <si>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</si>
  <si>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</si>
  <si>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</si>
  <si>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</si>
  <si>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</si>
  <si>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</si>
  <si>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</si>
  <si>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</si>
  <si>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</si>
  <si>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</si>
  <si>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</si>
  <si>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</si>
  <si>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</si>
  <si>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</si>
  <si>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</si>
  <si>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</si>
  <si>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</si>
  <si>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</si>
  <si>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</si>
  <si>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</si>
  <si>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</si>
  <si>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</si>
  <si>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</si>
  <si>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</si>
  <si>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</si>
  <si>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</si>
  <si>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</si>
  <si>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</si>
  <si>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</si>
  <si>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</si>
  <si>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</si>
  <si>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</si>
  <si>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</si>
  <si>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</si>
  <si>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</si>
  <si>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</si>
  <si>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</si>
  <si>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</si>
  <si>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</si>
  <si>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</si>
  <si>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</si>
  <si>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</si>
  <si>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</si>
  <si>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</si>
  <si>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</si>
  <si>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</si>
  <si>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</si>
  <si>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</si>
  <si>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</si>
  <si>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</si>
  <si>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</si>
  <si>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</si>
  <si>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</si>
  <si>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</si>
  <si>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</si>
  <si>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</si>
  <si>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</si>
  <si>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</si>
  <si>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</si>
  <si>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</si>
  <si>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</si>
  <si>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</si>
  <si>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</si>
  <si>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</si>
  <si>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</si>
  <si>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</si>
  <si>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</si>
  <si>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</si>
  <si>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</si>
  <si>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</si>
  <si>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</si>
  <si>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</si>
  <si>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</si>
  <si>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</si>
  <si>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</si>
  <si>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</si>
  <si>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</si>
  <si>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</si>
  <si>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</si>
  <si>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</si>
  <si>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</si>
  <si>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</si>
  <si>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</si>
  <si>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</si>
  <si>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</si>
  <si>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</si>
  <si>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</si>
  <si>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</si>
  <si>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</si>
  <si>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</si>
  <si>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</si>
  <si>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</si>
  <si>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</si>
  <si>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</si>
  <si>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</si>
  <si>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</si>
  <si>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</si>
  <si>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</si>
  <si>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</si>
  <si>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</si>
  <si>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</si>
  <si>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</si>
  <si>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</si>
  <si>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</si>
  <si>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</si>
  <si>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</si>
  <si>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</si>
  <si>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</si>
  <si>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</si>
  <si>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</si>
  <si>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</si>
  <si>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</si>
  <si>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</si>
  <si>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</si>
  <si>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</si>
  <si>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</si>
  <si>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</si>
  <si>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</si>
  <si>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</si>
  <si>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</si>
  <si>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</si>
  <si>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</si>
  <si>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</si>
  <si>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</si>
  <si>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</si>
  <si>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</si>
  <si>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</si>
  <si>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</si>
  <si>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</si>
  <si>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</si>
  <si>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</si>
  <si>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</si>
  <si>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</si>
  <si>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</si>
  <si>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</si>
  <si>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</si>
  <si>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</si>
  <si>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</si>
  <si>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</si>
  <si>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</si>
  <si>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</si>
  <si>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</si>
  <si>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</si>
  <si>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</si>
  <si>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</si>
  <si>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</si>
  <si>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</si>
  <si>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</si>
  <si>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</si>
  <si>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</si>
  <si>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</si>
  <si>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</si>
  <si>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</si>
  <si>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</si>
  <si>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</si>
  <si>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</si>
  <si>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</si>
  <si>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</si>
  <si>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</si>
  <si>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</si>
  <si>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</si>
  <si>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</si>
  <si>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</si>
  <si>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</si>
  <si>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</si>
  <si>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</si>
  <si>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</si>
  <si>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</si>
  <si>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</si>
  <si>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</si>
  <si>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</si>
  <si>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</si>
  <si>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</si>
  <si>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</si>
  <si>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</si>
  <si>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</si>
  <si>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</si>
  <si>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</si>
  <si>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</si>
  <si>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</si>
  <si>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</si>
  <si>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</si>
  <si>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</si>
  <si>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</si>
  <si>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</si>
  <si>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</si>
  <si>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</si>
  <si>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</si>
  <si>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</si>
  <si>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</si>
  <si>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</si>
  <si>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</si>
  <si>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</si>
  <si>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</si>
  <si>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</si>
  <si>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</si>
  <si>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</si>
  <si>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</si>
  <si>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</si>
  <si>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</si>
  <si>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</si>
  <si>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</si>
  <si>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</si>
  <si>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</si>
  <si>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</si>
  <si>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</si>
  <si>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</si>
  <si>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</si>
  <si>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</si>
  <si>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</si>
  <si>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</si>
  <si>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</si>
  <si>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</si>
  <si>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</si>
  <si>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DateTime</t>
  </si>
  <si>
    <t>DayOfWeek</t>
  </si>
  <si>
    <t>HourOfDay</t>
  </si>
  <si>
    <t>Average answer speed (answered calls):</t>
  </si>
  <si>
    <t>Abandonment rate:</t>
  </si>
  <si>
    <t>Column Labels</t>
  </si>
  <si>
    <t>Grand Total</t>
  </si>
  <si>
    <t>Monday</t>
  </si>
  <si>
    <t>Tuesday</t>
  </si>
  <si>
    <t>Wednesday</t>
  </si>
  <si>
    <t>Thursday</t>
  </si>
  <si>
    <t>Friday</t>
  </si>
  <si>
    <t>Saturday</t>
  </si>
  <si>
    <t>Sunday</t>
  </si>
  <si>
    <t>WithinSLA</t>
  </si>
  <si>
    <t>Day</t>
  </si>
  <si>
    <t>Hour of Day (24h)</t>
  </si>
  <si>
    <t>Peek Hours/Days</t>
  </si>
  <si>
    <t>Within</t>
  </si>
  <si>
    <t>Calls Answered</t>
  </si>
  <si>
    <t>Breach</t>
  </si>
  <si>
    <t>Row Labels</t>
  </si>
  <si>
    <t>Count of Call Id</t>
  </si>
  <si>
    <t>Count of Resolved</t>
  </si>
  <si>
    <t>Count of Answered (Y/N)</t>
  </si>
  <si>
    <t>Distinct Count of Agent</t>
  </si>
  <si>
    <t>Total Talk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</si>
</sst>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dddd\,\ mmmm\ d\,\ yyyy\ hh:mm:ss"/>
    <numFmt numFmtId="165" formatCode="0.00\ &quot;seconds&quot;"/>
    <numFmt numFmtId="166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1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6">
    <dxf>
      <alignment horizontal="center"/>
    </dxf>
    <dxf>
      <numFmt numFmtId="167" formatCode="hh:mm:ss"/>
    </dxf>
    <dxf>
      <numFmt numFmtId="167" formatCode="hh:mm:ss"/>
    </dxf>
    <dxf>
      <numFmt numFmtId="167" formatCode="hh:mm:ss"/>
    </dxf>
    <dxf>
      <numFmt numFmtId="167" formatCode="hh:mm:ss"/>
    </dxf>
    <dxf>
      <numFmt numFmtId="167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 Call-Center-Dataset.xlsx]Avg Ans Speed!PivotTable2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Calls Per Hour</a:t>
            </a:r>
            <a:r>
              <a:rPr lang="en-US" baseline="0"/>
              <a:t> (24h)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Ans Speed'!$B$7</c:f>
              <c:strCache>
                <c:ptCount val="1"/>
                <c:pt idx="0">
                  <c:v>Count of Call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Ans Speed'!$A$8:$A$18</c:f>
              <c:strCach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strCache>
            </c:strRef>
          </c:cat>
          <c:val>
            <c:numRef>
              <c:f>'Avg Ans Speed'!$B$8:$B$18</c:f>
              <c:numCache>
                <c:formatCode>General</c:formatCode>
                <c:ptCount val="10"/>
                <c:pt idx="0">
                  <c:v>547</c:v>
                </c:pt>
                <c:pt idx="1">
                  <c:v>529</c:v>
                </c:pt>
                <c:pt idx="2">
                  <c:v>590</c:v>
                </c:pt>
                <c:pt idx="3">
                  <c:v>547</c:v>
                </c:pt>
                <c:pt idx="4">
                  <c:v>594</c:v>
                </c:pt>
                <c:pt idx="5">
                  <c:v>499</c:v>
                </c:pt>
                <c:pt idx="6">
                  <c:v>531</c:v>
                </c:pt>
                <c:pt idx="7">
                  <c:v>566</c:v>
                </c:pt>
                <c:pt idx="8">
                  <c:v>583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9-5E44-A9B5-C1D816AD8C73}"/>
            </c:ext>
          </c:extLst>
        </c:ser>
        <c:ser>
          <c:idx val="1"/>
          <c:order val="1"/>
          <c:tx>
            <c:strRef>
              <c:f>'Avg Ans Speed'!$C$7</c:f>
              <c:strCache>
                <c:ptCount val="1"/>
                <c:pt idx="0">
                  <c:v>Count of Answered (Y/N)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'Avg Ans Speed'!$A$8:$A$18</c:f>
              <c:strCach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strCache>
            </c:strRef>
          </c:cat>
          <c:val>
            <c:numRef>
              <c:f>'Avg Ans Speed'!$C$8:$C$18</c:f>
              <c:numCache>
                <c:formatCode>General</c:formatCode>
                <c:ptCount val="10"/>
                <c:pt idx="0">
                  <c:v>547</c:v>
                </c:pt>
                <c:pt idx="1">
                  <c:v>529</c:v>
                </c:pt>
                <c:pt idx="2">
                  <c:v>590</c:v>
                </c:pt>
                <c:pt idx="3">
                  <c:v>547</c:v>
                </c:pt>
                <c:pt idx="4">
                  <c:v>594</c:v>
                </c:pt>
                <c:pt idx="5">
                  <c:v>499</c:v>
                </c:pt>
                <c:pt idx="6">
                  <c:v>531</c:v>
                </c:pt>
                <c:pt idx="7">
                  <c:v>566</c:v>
                </c:pt>
                <c:pt idx="8">
                  <c:v>583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F9-5E44-A9B5-C1D816AD8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841951"/>
        <c:axId val="718844223"/>
      </c:barChart>
      <c:catAx>
        <c:axId val="7188419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44223"/>
        <c:crosses val="autoZero"/>
        <c:auto val="1"/>
        <c:lblAlgn val="ctr"/>
        <c:lblOffset val="100"/>
        <c:noMultiLvlLbl val="0"/>
      </c:catAx>
      <c:valAx>
        <c:axId val="71884422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4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282222</xdr:colOff>
      <xdr:row>19</xdr:row>
      <xdr:rowOff>705</xdr:rowOff>
    </xdr:from>
    <xdr:to>
      <xdr:col>6</xdr:col>
      <xdr:colOff>282222</xdr:colOff>
      <xdr:row>33</xdr:row>
      <xdr:rowOff>76905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E46232-41CF-ABB7-4655-4916F2AFF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" refreshedDate="45983.545055439812" createdVersion="8" refreshedVersion="8" minRefreshableVersion="3" recordCount="5000" xr:uid="{1DD63E7B-142A-4348-B5E8-68CE494BE577}">
  <cacheSource type="worksheet">
    <worksheetSource name="CallLog"/>
  </cacheSource>
  <cacheFields count="16">
    <cacheField name="Call Id" numFmtId="0">
      <sharedItems count="5000">
        <s v="ID0001"/>
        <s v="ID0002"/>
        <s v="ID0003"/>
        <s v="ID0004"/>
        <s v="ID0005"/>
        <s v="ID0006"/>
        <s v="ID0007"/>
        <s v="ID0008"/>
        <s v="ID0009"/>
        <s v="ID0010"/>
        <s v="ID0011"/>
        <s v="ID0012"/>
        <s v="ID0013"/>
        <s v="ID0014"/>
        <s v="ID0015"/>
        <s v="ID0016"/>
        <s v="ID0017"/>
        <s v="ID0018"/>
        <s v="ID0019"/>
        <s v="ID0020"/>
        <s v="ID0021"/>
        <s v="ID0022"/>
        <s v="ID0023"/>
        <s v="ID0024"/>
        <s v="ID0025"/>
        <s v="ID0026"/>
        <s v="ID0027"/>
        <s v="ID0028"/>
        <s v="ID0029"/>
        <s v="ID0030"/>
        <s v="ID0031"/>
        <s v="ID0032"/>
        <s v="ID0033"/>
        <s v="ID0034"/>
        <s v="ID0035"/>
        <s v="ID0036"/>
        <s v="ID0037"/>
        <s v="ID0038"/>
        <s v="ID0039"/>
        <s v="ID0040"/>
        <s v="ID0041"/>
        <s v="ID0042"/>
        <s v="ID0043"/>
        <s v="ID0044"/>
        <s v="ID0045"/>
        <s v="ID0046"/>
        <s v="ID0047"/>
        <s v="ID0048"/>
        <s v="ID0049"/>
        <s v="ID0050"/>
        <s v="ID0051"/>
        <s v="ID0052"/>
        <s v="ID0053"/>
        <s v="ID0054"/>
        <s v="ID0055"/>
        <s v="ID0056"/>
        <s v="ID0057"/>
        <s v="ID0058"/>
        <s v="ID0059"/>
        <s v="ID0060"/>
        <s v="ID0061"/>
        <s v="ID0062"/>
        <s v="ID0063"/>
        <s v="ID0064"/>
        <s v="ID0065"/>
        <s v="ID0066"/>
        <s v="ID0067"/>
        <s v="ID0068"/>
        <s v="ID0069"/>
        <s v="ID0070"/>
        <s v="ID0071"/>
        <s v="ID0072"/>
        <s v="ID0073"/>
        <s v="ID0074"/>
        <s v="ID0075"/>
        <s v="ID0076"/>
        <s v="ID0077"/>
        <s v="ID0078"/>
        <s v="ID0079"/>
        <s v="ID0080"/>
        <s v="ID0081"/>
        <s v="ID0082"/>
        <s v="ID0083"/>
        <s v="ID0084"/>
        <s v="ID0085"/>
        <s v="ID0086"/>
        <s v="ID0087"/>
        <s v="ID0088"/>
        <s v="ID0089"/>
        <s v="ID0090"/>
        <s v="ID0091"/>
        <s v="ID0092"/>
        <s v="ID0093"/>
        <s v="ID0094"/>
        <s v="ID0095"/>
        <s v="ID0096"/>
        <s v="ID0097"/>
        <s v="ID0098"/>
        <s v="ID0099"/>
        <s v="ID0100"/>
        <s v="ID0101"/>
        <s v="ID0102"/>
        <s v="ID0103"/>
        <s v="ID0104"/>
        <s v="ID0105"/>
        <s v="ID0106"/>
        <s v="ID0107"/>
        <s v="ID0108"/>
        <s v="ID0109"/>
        <s v="ID0110"/>
        <s v="ID0111"/>
        <s v="ID0112"/>
        <s v="ID0113"/>
        <s v="ID0114"/>
        <s v="ID0115"/>
        <s v="ID0116"/>
        <s v="ID0117"/>
        <s v="ID0118"/>
        <s v="ID0119"/>
        <s v="ID0120"/>
        <s v="ID0121"/>
        <s v="ID0122"/>
        <s v="ID0123"/>
        <s v="ID0124"/>
        <s v="ID0125"/>
        <s v="ID0126"/>
        <s v="ID0127"/>
        <s v="ID0128"/>
        <s v="ID0129"/>
        <s v="ID0130"/>
        <s v="ID0131"/>
        <s v="ID0132"/>
        <s v="ID0133"/>
        <s v="ID0134"/>
        <s v="ID0135"/>
        <s v="ID0136"/>
        <s v="ID0137"/>
        <s v="ID0138"/>
        <s v="ID0139"/>
        <s v="ID0140"/>
        <s v="ID0141"/>
        <s v="ID0142"/>
        <s v="ID0143"/>
        <s v="ID0144"/>
        <s v="ID0145"/>
        <s v="ID0146"/>
        <s v="ID0147"/>
        <s v="ID0148"/>
        <s v="ID0149"/>
        <s v="ID0150"/>
        <s v="ID0151"/>
        <s v="ID0152"/>
        <s v="ID0153"/>
        <s v="ID0154"/>
        <s v="ID0155"/>
        <s v="ID0156"/>
        <s v="ID0157"/>
        <s v="ID0158"/>
        <s v="ID0159"/>
        <s v="ID0160"/>
        <s v="ID0161"/>
        <s v="ID0162"/>
        <s v="ID0163"/>
        <s v="ID0164"/>
        <s v="ID0165"/>
        <s v="ID0166"/>
        <s v="ID0167"/>
        <s v="ID0168"/>
        <s v="ID0169"/>
        <s v="ID0170"/>
        <s v="ID0171"/>
        <s v="ID0172"/>
        <s v="ID0173"/>
        <s v="ID0174"/>
        <s v="ID0175"/>
        <s v="ID0176"/>
        <s v="ID0177"/>
        <s v="ID0178"/>
        <s v="ID0179"/>
        <s v="ID0180"/>
        <s v="ID0181"/>
        <s v="ID0182"/>
        <s v="ID0183"/>
        <s v="ID0184"/>
        <s v="ID0185"/>
        <s v="ID0186"/>
        <s v="ID0187"/>
        <s v="ID0188"/>
        <s v="ID0189"/>
        <s v="ID0190"/>
        <s v="ID0191"/>
        <s v="ID0192"/>
        <s v="ID0193"/>
        <s v="ID0194"/>
        <s v="ID0195"/>
        <s v="ID0196"/>
        <s v="ID0197"/>
        <s v="ID0198"/>
        <s v="ID0199"/>
        <s v="ID0200"/>
        <s v="ID0201"/>
        <s v="ID0202"/>
        <s v="ID0203"/>
        <s v="ID0204"/>
        <s v="ID0205"/>
        <s v="ID0206"/>
        <s v="ID0207"/>
        <s v="ID0208"/>
        <s v="ID0209"/>
        <s v="ID0210"/>
        <s v="ID0211"/>
        <s v="ID0212"/>
        <s v="ID0213"/>
        <s v="ID0214"/>
        <s v="ID0215"/>
        <s v="ID0216"/>
        <s v="ID0217"/>
        <s v="ID0218"/>
        <s v="ID0219"/>
        <s v="ID0220"/>
        <s v="ID0221"/>
        <s v="ID0222"/>
        <s v="ID0223"/>
        <s v="ID0224"/>
        <s v="ID0225"/>
        <s v="ID0226"/>
        <s v="ID0227"/>
        <s v="ID0228"/>
        <s v="ID0229"/>
        <s v="ID0230"/>
        <s v="ID0231"/>
        <s v="ID0232"/>
        <s v="ID0233"/>
        <s v="ID0234"/>
        <s v="ID0235"/>
        <s v="ID0236"/>
        <s v="ID0237"/>
        <s v="ID0238"/>
        <s v="ID0239"/>
        <s v="ID0240"/>
        <s v="ID0241"/>
        <s v="ID0242"/>
        <s v="ID0243"/>
        <s v="ID0244"/>
        <s v="ID0245"/>
        <s v="ID0246"/>
        <s v="ID0247"/>
        <s v="ID0248"/>
        <s v="ID0249"/>
        <s v="ID0250"/>
        <s v="ID0251"/>
        <s v="ID0252"/>
        <s v="ID0253"/>
        <s v="ID0254"/>
        <s v="ID0255"/>
        <s v="ID0256"/>
        <s v="ID0257"/>
        <s v="ID0258"/>
        <s v="ID0259"/>
        <s v="ID0260"/>
        <s v="ID0261"/>
        <s v="ID0262"/>
        <s v="ID0263"/>
        <s v="ID0264"/>
        <s v="ID0265"/>
        <s v="ID0266"/>
        <s v="ID0267"/>
        <s v="ID0268"/>
        <s v="ID0269"/>
        <s v="ID0270"/>
        <s v="ID0271"/>
        <s v="ID0272"/>
        <s v="ID0273"/>
        <s v="ID0274"/>
        <s v="ID0275"/>
        <s v="ID0276"/>
        <s v="ID0277"/>
        <s v="ID0278"/>
        <s v="ID0279"/>
        <s v="ID0280"/>
        <s v="ID0281"/>
        <s v="ID0282"/>
        <s v="ID0283"/>
        <s v="ID0284"/>
        <s v="ID0285"/>
        <s v="ID0286"/>
        <s v="ID0287"/>
        <s v="ID0288"/>
        <s v="ID0289"/>
        <s v="ID0290"/>
        <s v="ID0291"/>
        <s v="ID0292"/>
        <s v="ID0293"/>
        <s v="ID0294"/>
        <s v="ID0295"/>
        <s v="ID0296"/>
        <s v="ID0297"/>
        <s v="ID0298"/>
        <s v="ID0299"/>
        <s v="ID0300"/>
        <s v="ID0301"/>
        <s v="ID0302"/>
        <s v="ID0303"/>
        <s v="ID0304"/>
        <s v="ID0305"/>
        <s v="ID0306"/>
        <s v="ID0307"/>
        <s v="ID0308"/>
        <s v="ID0309"/>
        <s v="ID0310"/>
        <s v="ID0311"/>
        <s v="ID0312"/>
        <s v="ID0313"/>
        <s v="ID0314"/>
        <s v="ID0315"/>
        <s v="ID0316"/>
        <s v="ID0317"/>
        <s v="ID0318"/>
        <s v="ID0319"/>
        <s v="ID0320"/>
        <s v="ID0321"/>
        <s v="ID0322"/>
        <s v="ID0323"/>
        <s v="ID0324"/>
        <s v="ID0325"/>
        <s v="ID0326"/>
        <s v="ID0327"/>
        <s v="ID0328"/>
        <s v="ID0329"/>
        <s v="ID0330"/>
        <s v="ID0331"/>
        <s v="ID0332"/>
        <s v="ID0333"/>
        <s v="ID0334"/>
        <s v="ID0335"/>
        <s v="ID0336"/>
        <s v="ID0337"/>
        <s v="ID0338"/>
        <s v="ID0339"/>
        <s v="ID0340"/>
        <s v="ID0341"/>
        <s v="ID0342"/>
        <s v="ID0343"/>
        <s v="ID0344"/>
        <s v="ID0345"/>
        <s v="ID0346"/>
        <s v="ID0347"/>
        <s v="ID0348"/>
        <s v="ID0349"/>
        <s v="ID0350"/>
        <s v="ID0351"/>
        <s v="ID0352"/>
        <s v="ID0353"/>
        <s v="ID0354"/>
        <s v="ID0355"/>
        <s v="ID0356"/>
        <s v="ID0357"/>
        <s v="ID0358"/>
        <s v="ID0359"/>
        <s v="ID0360"/>
        <s v="ID0361"/>
        <s v="ID0362"/>
        <s v="ID0363"/>
        <s v="ID0364"/>
        <s v="ID0365"/>
        <s v="ID0366"/>
        <s v="ID0367"/>
        <s v="ID0368"/>
        <s v="ID0369"/>
        <s v="ID0370"/>
        <s v="ID0371"/>
        <s v="ID0372"/>
        <s v="ID0373"/>
        <s v="ID0374"/>
        <s v="ID0375"/>
        <s v="ID0376"/>
        <s v="ID0377"/>
        <s v="ID0378"/>
        <s v="ID0379"/>
        <s v="ID0380"/>
        <s v="ID0381"/>
        <s v="ID0382"/>
        <s v="ID0383"/>
        <s v="ID0384"/>
        <s v="ID0385"/>
        <s v="ID0386"/>
        <s v="ID0387"/>
        <s v="ID0388"/>
        <s v="ID0389"/>
        <s v="ID0390"/>
        <s v="ID0391"/>
        <s v="ID0392"/>
        <s v="ID0393"/>
        <s v="ID0394"/>
        <s v="ID0395"/>
        <s v="ID0396"/>
        <s v="ID0397"/>
        <s v="ID0398"/>
        <s v="ID0399"/>
        <s v="ID0400"/>
        <s v="ID0401"/>
        <s v="ID0402"/>
        <s v="ID0403"/>
        <s v="ID0404"/>
        <s v="ID0405"/>
        <s v="ID0406"/>
        <s v="ID0407"/>
        <s v="ID0408"/>
        <s v="ID0409"/>
        <s v="ID0410"/>
        <s v="ID0411"/>
        <s v="ID0412"/>
        <s v="ID0413"/>
        <s v="ID0414"/>
        <s v="ID0415"/>
        <s v="ID0416"/>
        <s v="ID0417"/>
        <s v="ID0418"/>
        <s v="ID0419"/>
        <s v="ID0420"/>
        <s v="ID0421"/>
        <s v="ID0422"/>
        <s v="ID0423"/>
        <s v="ID0424"/>
        <s v="ID0425"/>
        <s v="ID0426"/>
        <s v="ID0427"/>
        <s v="ID0428"/>
        <s v="ID0429"/>
        <s v="ID0430"/>
        <s v="ID0431"/>
        <s v="ID0432"/>
        <s v="ID0433"/>
        <s v="ID0434"/>
        <s v="ID0435"/>
        <s v="ID0436"/>
        <s v="ID0437"/>
        <s v="ID0438"/>
        <s v="ID0439"/>
        <s v="ID0440"/>
        <s v="ID0441"/>
        <s v="ID0442"/>
        <s v="ID0443"/>
        <s v="ID0444"/>
        <s v="ID0445"/>
        <s v="ID0446"/>
        <s v="ID0447"/>
        <s v="ID0448"/>
        <s v="ID0449"/>
        <s v="ID0450"/>
        <s v="ID0451"/>
        <s v="ID0452"/>
        <s v="ID0453"/>
        <s v="ID0454"/>
        <s v="ID0455"/>
        <s v="ID0456"/>
        <s v="ID0457"/>
        <s v="ID0458"/>
        <s v="ID0459"/>
        <s v="ID0460"/>
        <s v="ID0461"/>
        <s v="ID0462"/>
        <s v="ID0463"/>
        <s v="ID0464"/>
        <s v="ID0465"/>
        <s v="ID0466"/>
        <s v="ID0467"/>
        <s v="ID0468"/>
        <s v="ID0469"/>
        <s v="ID0470"/>
        <s v="ID0471"/>
        <s v="ID0472"/>
        <s v="ID0473"/>
        <s v="ID0474"/>
        <s v="ID0475"/>
        <s v="ID0476"/>
        <s v="ID0477"/>
        <s v="ID0478"/>
        <s v="ID0479"/>
        <s v="ID0480"/>
        <s v="ID0481"/>
        <s v="ID0482"/>
        <s v="ID0483"/>
        <s v="ID0484"/>
        <s v="ID0485"/>
        <s v="ID0486"/>
        <s v="ID0487"/>
        <s v="ID0488"/>
        <s v="ID0489"/>
        <s v="ID0490"/>
        <s v="ID0491"/>
        <s v="ID0492"/>
        <s v="ID0493"/>
        <s v="ID0494"/>
        <s v="ID0495"/>
        <s v="ID0496"/>
        <s v="ID0497"/>
        <s v="ID0498"/>
        <s v="ID0499"/>
        <s v="ID0500"/>
        <s v="ID0501"/>
        <s v="ID0502"/>
        <s v="ID0503"/>
        <s v="ID0504"/>
        <s v="ID0505"/>
        <s v="ID0506"/>
        <s v="ID0507"/>
        <s v="ID0508"/>
        <s v="ID0509"/>
        <s v="ID0510"/>
        <s v="ID0511"/>
        <s v="ID0512"/>
        <s v="ID0513"/>
        <s v="ID0514"/>
        <s v="ID0515"/>
        <s v="ID0516"/>
        <s v="ID0517"/>
        <s v="ID0518"/>
        <s v="ID0519"/>
        <s v="ID0520"/>
        <s v="ID0521"/>
        <s v="ID0522"/>
        <s v="ID0523"/>
        <s v="ID0524"/>
        <s v="ID0525"/>
        <s v="ID0526"/>
        <s v="ID0527"/>
        <s v="ID0528"/>
        <s v="ID0529"/>
        <s v="ID0530"/>
        <s v="ID0531"/>
        <s v="ID0532"/>
        <s v="ID0533"/>
        <s v="ID0534"/>
        <s v="ID0535"/>
        <s v="ID0536"/>
        <s v="ID0537"/>
        <s v="ID0538"/>
        <s v="ID0539"/>
        <s v="ID0540"/>
        <s v="ID0541"/>
        <s v="ID0542"/>
        <s v="ID0543"/>
        <s v="ID0544"/>
        <s v="ID0545"/>
        <s v="ID0546"/>
        <s v="ID0547"/>
        <s v="ID0548"/>
        <s v="ID0549"/>
        <s v="ID0550"/>
        <s v="ID0551"/>
        <s v="ID0552"/>
        <s v="ID0553"/>
        <s v="ID0554"/>
        <s v="ID0555"/>
        <s v="ID0556"/>
        <s v="ID0557"/>
        <s v="ID0558"/>
        <s v="ID0559"/>
        <s v="ID0560"/>
        <s v="ID0561"/>
        <s v="ID0562"/>
        <s v="ID0563"/>
        <s v="ID0564"/>
        <s v="ID0565"/>
        <s v="ID0566"/>
        <s v="ID0567"/>
        <s v="ID0568"/>
        <s v="ID0569"/>
        <s v="ID0570"/>
        <s v="ID0571"/>
        <s v="ID0572"/>
        <s v="ID0573"/>
        <s v="ID0574"/>
        <s v="ID0575"/>
        <s v="ID0576"/>
        <s v="ID0577"/>
        <s v="ID0578"/>
        <s v="ID0579"/>
        <s v="ID0580"/>
        <s v="ID0581"/>
        <s v="ID0582"/>
        <s v="ID0583"/>
        <s v="ID0584"/>
        <s v="ID0585"/>
        <s v="ID0586"/>
        <s v="ID0587"/>
        <s v="ID0588"/>
        <s v="ID0589"/>
        <s v="ID0590"/>
        <s v="ID0591"/>
        <s v="ID0592"/>
        <s v="ID0593"/>
        <s v="ID0594"/>
        <s v="ID0595"/>
        <s v="ID0596"/>
        <s v="ID0597"/>
        <s v="ID0598"/>
        <s v="ID0599"/>
        <s v="ID0600"/>
        <s v="ID0601"/>
        <s v="ID0602"/>
        <s v="ID0603"/>
        <s v="ID0604"/>
        <s v="ID0605"/>
        <s v="ID0606"/>
        <s v="ID0607"/>
        <s v="ID0608"/>
        <s v="ID0609"/>
        <s v="ID0610"/>
        <s v="ID0611"/>
        <s v="ID0612"/>
        <s v="ID0613"/>
        <s v="ID0614"/>
        <s v="ID0615"/>
        <s v="ID0616"/>
        <s v="ID0617"/>
        <s v="ID0618"/>
        <s v="ID0619"/>
        <s v="ID0620"/>
        <s v="ID0621"/>
        <s v="ID0622"/>
        <s v="ID0623"/>
        <s v="ID0624"/>
        <s v="ID0625"/>
        <s v="ID0626"/>
        <s v="ID0627"/>
        <s v="ID0628"/>
        <s v="ID0629"/>
        <s v="ID0630"/>
        <s v="ID0631"/>
        <s v="ID0632"/>
        <s v="ID0633"/>
        <s v="ID0634"/>
        <s v="ID0635"/>
        <s v="ID0636"/>
        <s v="ID0637"/>
        <s v="ID0638"/>
        <s v="ID0639"/>
        <s v="ID0640"/>
        <s v="ID0641"/>
        <s v="ID0642"/>
        <s v="ID0643"/>
        <s v="ID0644"/>
        <s v="ID0645"/>
        <s v="ID0646"/>
        <s v="ID0647"/>
        <s v="ID0648"/>
        <s v="ID0649"/>
        <s v="ID0650"/>
        <s v="ID0651"/>
        <s v="ID0652"/>
        <s v="ID0653"/>
        <s v="ID0654"/>
        <s v="ID0655"/>
        <s v="ID0656"/>
        <s v="ID0657"/>
        <s v="ID0658"/>
        <s v="ID0659"/>
        <s v="ID0660"/>
        <s v="ID0661"/>
        <s v="ID0662"/>
        <s v="ID0663"/>
        <s v="ID0664"/>
        <s v="ID0665"/>
        <s v="ID0666"/>
        <s v="ID0667"/>
        <s v="ID0668"/>
        <s v="ID0669"/>
        <s v="ID0670"/>
        <s v="ID0671"/>
        <s v="ID0672"/>
        <s v="ID0673"/>
        <s v="ID0674"/>
        <s v="ID0675"/>
        <s v="ID0676"/>
        <s v="ID0677"/>
        <s v="ID0678"/>
        <s v="ID0679"/>
        <s v="ID0680"/>
        <s v="ID0681"/>
        <s v="ID0682"/>
        <s v="ID0683"/>
        <s v="ID0684"/>
        <s v="ID0685"/>
        <s v="ID0686"/>
        <s v="ID0687"/>
        <s v="ID0688"/>
        <s v="ID0689"/>
        <s v="ID0690"/>
        <s v="ID0691"/>
        <s v="ID0692"/>
        <s v="ID0693"/>
        <s v="ID0694"/>
        <s v="ID0695"/>
        <s v="ID0696"/>
        <s v="ID0697"/>
        <s v="ID0698"/>
        <s v="ID0699"/>
        <s v="ID0700"/>
        <s v="ID0701"/>
        <s v="ID0702"/>
        <s v="ID0703"/>
        <s v="ID0704"/>
        <s v="ID0705"/>
        <s v="ID0706"/>
        <s v="ID0707"/>
        <s v="ID0708"/>
        <s v="ID0709"/>
        <s v="ID0710"/>
        <s v="ID0711"/>
        <s v="ID0712"/>
        <s v="ID0713"/>
        <s v="ID0714"/>
        <s v="ID0715"/>
        <s v="ID0716"/>
        <s v="ID0717"/>
        <s v="ID0718"/>
        <s v="ID0719"/>
        <s v="ID0720"/>
        <s v="ID0721"/>
        <s v="ID0722"/>
        <s v="ID0723"/>
        <s v="ID0724"/>
        <s v="ID0725"/>
        <s v="ID0726"/>
        <s v="ID0727"/>
        <s v="ID0728"/>
        <s v="ID0729"/>
        <s v="ID0730"/>
        <s v="ID0731"/>
        <s v="ID0732"/>
        <s v="ID0733"/>
        <s v="ID0734"/>
        <s v="ID0735"/>
        <s v="ID0736"/>
        <s v="ID0737"/>
        <s v="ID0738"/>
        <s v="ID0739"/>
        <s v="ID0740"/>
        <s v="ID0741"/>
        <s v="ID0742"/>
        <s v="ID0743"/>
        <s v="ID0744"/>
        <s v="ID0745"/>
        <s v="ID0746"/>
        <s v="ID0747"/>
        <s v="ID0748"/>
        <s v="ID0749"/>
        <s v="ID0750"/>
        <s v="ID0751"/>
        <s v="ID0752"/>
        <s v="ID0753"/>
        <s v="ID0754"/>
        <s v="ID0755"/>
        <s v="ID0756"/>
        <s v="ID0757"/>
        <s v="ID0758"/>
        <s v="ID0759"/>
        <s v="ID0760"/>
        <s v="ID0761"/>
        <s v="ID0762"/>
        <s v="ID0763"/>
        <s v="ID0764"/>
        <s v="ID0765"/>
        <s v="ID0766"/>
        <s v="ID0767"/>
        <s v="ID0768"/>
        <s v="ID0769"/>
        <s v="ID0770"/>
        <s v="ID0771"/>
        <s v="ID0772"/>
        <s v="ID0773"/>
        <s v="ID0774"/>
        <s v="ID0775"/>
        <s v="ID0776"/>
        <s v="ID0777"/>
        <s v="ID0778"/>
        <s v="ID0779"/>
        <s v="ID0780"/>
        <s v="ID0781"/>
        <s v="ID0782"/>
        <s v="ID0783"/>
        <s v="ID0784"/>
        <s v="ID0785"/>
        <s v="ID0786"/>
        <s v="ID0787"/>
        <s v="ID0788"/>
        <s v="ID0789"/>
        <s v="ID0790"/>
        <s v="ID0791"/>
        <s v="ID0792"/>
        <s v="ID0793"/>
        <s v="ID0794"/>
        <s v="ID0795"/>
        <s v="ID0796"/>
        <s v="ID0797"/>
        <s v="ID0798"/>
        <s v="ID0799"/>
        <s v="ID0800"/>
        <s v="ID0801"/>
        <s v="ID0802"/>
        <s v="ID0803"/>
        <s v="ID0804"/>
        <s v="ID0805"/>
        <s v="ID0806"/>
        <s v="ID0807"/>
        <s v="ID0808"/>
        <s v="ID0809"/>
        <s v="ID0810"/>
        <s v="ID0811"/>
        <s v="ID0812"/>
        <s v="ID0813"/>
        <s v="ID0814"/>
        <s v="ID0815"/>
        <s v="ID0816"/>
        <s v="ID0817"/>
        <s v="ID0818"/>
        <s v="ID0819"/>
        <s v="ID0820"/>
        <s v="ID0821"/>
        <s v="ID0822"/>
        <s v="ID0823"/>
        <s v="ID0824"/>
        <s v="ID0825"/>
        <s v="ID0826"/>
        <s v="ID0827"/>
        <s v="ID0828"/>
        <s v="ID0829"/>
        <s v="ID0830"/>
        <s v="ID0831"/>
        <s v="ID0832"/>
        <s v="ID0833"/>
        <s v="ID0834"/>
        <s v="ID0835"/>
        <s v="ID0836"/>
        <s v="ID0837"/>
        <s v="ID0838"/>
        <s v="ID0839"/>
        <s v="ID0840"/>
        <s v="ID0841"/>
        <s v="ID0842"/>
        <s v="ID0843"/>
        <s v="ID0844"/>
        <s v="ID0845"/>
        <s v="ID0846"/>
        <s v="ID0847"/>
        <s v="ID0848"/>
        <s v="ID0849"/>
        <s v="ID0850"/>
        <s v="ID0851"/>
        <s v="ID0852"/>
        <s v="ID0853"/>
        <s v="ID0854"/>
        <s v="ID0855"/>
        <s v="ID0856"/>
        <s v="ID0857"/>
        <s v="ID0858"/>
        <s v="ID0859"/>
        <s v="ID0860"/>
        <s v="ID0861"/>
        <s v="ID0862"/>
        <s v="ID0863"/>
        <s v="ID0864"/>
        <s v="ID0865"/>
        <s v="ID0866"/>
        <s v="ID0867"/>
        <s v="ID0868"/>
        <s v="ID0869"/>
        <s v="ID0870"/>
        <s v="ID0871"/>
        <s v="ID0872"/>
        <s v="ID0873"/>
        <s v="ID0874"/>
        <s v="ID0875"/>
        <s v="ID0876"/>
        <s v="ID0877"/>
        <s v="ID0878"/>
        <s v="ID0879"/>
        <s v="ID0880"/>
        <s v="ID0881"/>
        <s v="ID0882"/>
        <s v="ID0883"/>
        <s v="ID0884"/>
        <s v="ID0885"/>
        <s v="ID0886"/>
        <s v="ID0887"/>
        <s v="ID0888"/>
        <s v="ID0889"/>
        <s v="ID0890"/>
        <s v="ID0891"/>
        <s v="ID0892"/>
        <s v="ID0893"/>
        <s v="ID0894"/>
        <s v="ID0895"/>
        <s v="ID0896"/>
        <s v="ID0897"/>
        <s v="ID0898"/>
        <s v="ID0899"/>
        <s v="ID0900"/>
        <s v="ID0901"/>
        <s v="ID0902"/>
        <s v="ID0903"/>
        <s v="ID0904"/>
        <s v="ID0905"/>
        <s v="ID0906"/>
        <s v="ID0907"/>
        <s v="ID0908"/>
        <s v="ID0909"/>
        <s v="ID0910"/>
        <s v="ID0911"/>
        <s v="ID0912"/>
        <s v="ID0913"/>
        <s v="ID0914"/>
        <s v="ID0915"/>
        <s v="ID0916"/>
        <s v="ID0917"/>
        <s v="ID0918"/>
        <s v="ID0919"/>
        <s v="ID0920"/>
        <s v="ID0921"/>
        <s v="ID0922"/>
        <s v="ID0923"/>
        <s v="ID0924"/>
        <s v="ID0925"/>
        <s v="ID0926"/>
        <s v="ID0927"/>
        <s v="ID0928"/>
        <s v="ID0929"/>
        <s v="ID0930"/>
        <s v="ID0931"/>
        <s v="ID0932"/>
        <s v="ID0933"/>
        <s v="ID0934"/>
        <s v="ID0935"/>
        <s v="ID0936"/>
        <s v="ID0937"/>
        <s v="ID0938"/>
        <s v="ID0939"/>
        <s v="ID0940"/>
        <s v="ID0941"/>
        <s v="ID0942"/>
        <s v="ID0943"/>
        <s v="ID0944"/>
        <s v="ID0945"/>
        <s v="ID0946"/>
        <s v="ID0947"/>
        <s v="ID0948"/>
        <s v="ID0949"/>
        <s v="ID0950"/>
        <s v="ID0951"/>
        <s v="ID0952"/>
        <s v="ID0953"/>
        <s v="ID0954"/>
        <s v="ID0955"/>
        <s v="ID0956"/>
        <s v="ID0957"/>
        <s v="ID0958"/>
        <s v="ID0959"/>
        <s v="ID0960"/>
        <s v="ID0961"/>
        <s v="ID0962"/>
        <s v="ID0963"/>
        <s v="ID0964"/>
        <s v="ID0965"/>
        <s v="ID0966"/>
        <s v="ID0967"/>
        <s v="ID0968"/>
        <s v="ID0969"/>
        <s v="ID0970"/>
        <s v="ID0971"/>
        <s v="ID0972"/>
        <s v="ID0973"/>
        <s v="ID0974"/>
        <s v="ID0975"/>
        <s v="ID0976"/>
        <s v="ID0977"/>
        <s v="ID0978"/>
        <s v="ID0979"/>
        <s v="ID0980"/>
        <s v="ID0981"/>
        <s v="ID0982"/>
        <s v="ID0983"/>
        <s v="ID0984"/>
        <s v="ID0985"/>
        <s v="ID0986"/>
        <s v="ID0987"/>
        <s v="ID0988"/>
        <s v="ID0989"/>
        <s v="ID0990"/>
        <s v="ID0991"/>
        <s v="ID0992"/>
        <s v="ID0993"/>
        <s v="ID0994"/>
        <s v="ID0995"/>
        <s v="ID0996"/>
        <s v="ID0997"/>
        <s v="ID0998"/>
        <s v="ID0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  <s v="ID2336"/>
        <s v="ID2337"/>
        <s v="ID2338"/>
        <s v="ID2339"/>
        <s v="ID2340"/>
        <s v="ID2341"/>
        <s v="ID2342"/>
        <s v="ID2343"/>
        <s v="ID2344"/>
        <s v="ID2345"/>
        <s v="ID2346"/>
        <s v="ID2347"/>
        <s v="ID2348"/>
        <s v="ID2349"/>
        <s v="ID2350"/>
        <s v="ID2351"/>
        <s v="ID2352"/>
        <s v="ID2353"/>
        <s v="ID2354"/>
        <s v="ID2355"/>
        <s v="ID2356"/>
        <s v="ID2357"/>
        <s v="ID2358"/>
        <s v="ID2359"/>
        <s v="ID2360"/>
        <s v="ID2361"/>
        <s v="ID2362"/>
        <s v="ID2363"/>
        <s v="ID2364"/>
        <s v="ID2365"/>
        <s v="ID2366"/>
        <s v="ID2367"/>
        <s v="ID2368"/>
        <s v="ID2369"/>
        <s v="ID2370"/>
        <s v="ID2371"/>
        <s v="ID2372"/>
        <s v="ID2373"/>
        <s v="ID2374"/>
        <s v="ID2375"/>
        <s v="ID2376"/>
        <s v="ID2377"/>
        <s v="ID2378"/>
        <s v="ID2379"/>
        <s v="ID2380"/>
        <s v="ID2381"/>
        <s v="ID2382"/>
        <s v="ID2383"/>
        <s v="ID2384"/>
        <s v="ID2385"/>
        <s v="ID2386"/>
        <s v="ID2387"/>
        <s v="ID2388"/>
        <s v="ID2389"/>
        <s v="ID2390"/>
        <s v="ID2391"/>
        <s v="ID2392"/>
        <s v="ID2393"/>
        <s v="ID2394"/>
        <s v="ID2395"/>
        <s v="ID2396"/>
        <s v="ID2397"/>
        <s v="ID2398"/>
        <s v="ID2399"/>
        <s v="ID2400"/>
        <s v="ID2401"/>
        <s v="ID2402"/>
        <s v="ID2403"/>
        <s v="ID2404"/>
        <s v="ID2405"/>
        <s v="ID2406"/>
        <s v="ID2407"/>
        <s v="ID2408"/>
        <s v="ID2409"/>
        <s v="ID2410"/>
        <s v="ID2411"/>
        <s v="ID2412"/>
        <s v="ID2413"/>
        <s v="ID2414"/>
        <s v="ID2415"/>
        <s v="ID2416"/>
        <s v="ID2417"/>
        <s v="ID2418"/>
        <s v="ID2419"/>
        <s v="ID2420"/>
        <s v="ID2421"/>
        <s v="ID2422"/>
        <s v="ID2423"/>
        <s v="ID2424"/>
        <s v="ID2425"/>
        <s v="ID2426"/>
        <s v="ID2427"/>
        <s v="ID2428"/>
        <s v="ID2429"/>
        <s v="ID2430"/>
        <s v="ID2431"/>
        <s v="ID2432"/>
        <s v="ID2433"/>
        <s v="ID2434"/>
        <s v="ID2435"/>
        <s v="ID2436"/>
        <s v="ID2437"/>
        <s v="ID2438"/>
        <s v="ID2439"/>
        <s v="ID2440"/>
        <s v="ID2441"/>
        <s v="ID2442"/>
        <s v="ID2443"/>
        <s v="ID2444"/>
        <s v="ID2445"/>
        <s v="ID2446"/>
        <s v="ID2447"/>
        <s v="ID2448"/>
        <s v="ID2449"/>
        <s v="ID2450"/>
        <s v="ID2451"/>
        <s v="ID2452"/>
        <s v="ID2453"/>
        <s v="ID2454"/>
        <s v="ID2455"/>
        <s v="ID2456"/>
        <s v="ID2457"/>
        <s v="ID2458"/>
        <s v="ID2459"/>
        <s v="ID2460"/>
        <s v="ID2461"/>
        <s v="ID2462"/>
        <s v="ID2463"/>
        <s v="ID2464"/>
        <s v="ID2465"/>
        <s v="ID2466"/>
        <s v="ID2467"/>
        <s v="ID2468"/>
        <s v="ID2469"/>
        <s v="ID2470"/>
        <s v="ID2471"/>
        <s v="ID2472"/>
        <s v="ID2473"/>
        <s v="ID2474"/>
        <s v="ID2475"/>
        <s v="ID2476"/>
        <s v="ID2477"/>
        <s v="ID2478"/>
        <s v="ID2479"/>
        <s v="ID2480"/>
        <s v="ID2481"/>
        <s v="ID2482"/>
        <s v="ID2483"/>
        <s v="ID2484"/>
        <s v="ID2485"/>
        <s v="ID2486"/>
        <s v="ID2487"/>
        <s v="ID2488"/>
        <s v="ID2489"/>
        <s v="ID2490"/>
        <s v="ID2491"/>
        <s v="ID2492"/>
        <s v="ID2493"/>
        <s v="ID2494"/>
        <s v="ID2495"/>
        <s v="ID2496"/>
        <s v="ID2497"/>
        <s v="ID2498"/>
        <s v="ID2499"/>
        <s v="ID2500"/>
        <s v="ID2501"/>
        <s v="ID2502"/>
        <s v="ID2503"/>
        <s v="ID2504"/>
        <s v="ID2505"/>
        <s v="ID2506"/>
        <s v="ID2507"/>
        <s v="ID2508"/>
        <s v="ID2509"/>
        <s v="ID2510"/>
        <s v="ID2511"/>
        <s v="ID2512"/>
        <s v="ID2513"/>
        <s v="ID2514"/>
        <s v="ID2515"/>
        <s v="ID2516"/>
        <s v="ID2517"/>
        <s v="ID2518"/>
        <s v="ID2519"/>
        <s v="ID2520"/>
        <s v="ID2521"/>
        <s v="ID2522"/>
        <s v="ID2523"/>
        <s v="ID2524"/>
        <s v="ID2525"/>
        <s v="ID2526"/>
        <s v="ID2527"/>
        <s v="ID2528"/>
        <s v="ID2529"/>
        <s v="ID2530"/>
        <s v="ID2531"/>
        <s v="ID2532"/>
        <s v="ID2533"/>
        <s v="ID2534"/>
        <s v="ID2535"/>
        <s v="ID2536"/>
        <s v="ID2537"/>
        <s v="ID2538"/>
        <s v="ID2539"/>
        <s v="ID2540"/>
        <s v="ID2541"/>
        <s v="ID2542"/>
        <s v="ID2543"/>
        <s v="ID2544"/>
        <s v="ID2545"/>
        <s v="ID2546"/>
        <s v="ID2547"/>
        <s v="ID2548"/>
        <s v="ID2549"/>
        <s v="ID2550"/>
        <s v="ID2551"/>
        <s v="ID2552"/>
        <s v="ID2553"/>
        <s v="ID2554"/>
        <s v="ID2555"/>
        <s v="ID2556"/>
        <s v="ID2557"/>
        <s v="ID2558"/>
        <s v="ID2559"/>
        <s v="ID2560"/>
        <s v="ID2561"/>
        <s v="ID2562"/>
        <s v="ID2563"/>
        <s v="ID2564"/>
        <s v="ID2565"/>
        <s v="ID2566"/>
        <s v="ID2567"/>
        <s v="ID2568"/>
        <s v="ID2569"/>
        <s v="ID2570"/>
        <s v="ID2571"/>
        <s v="ID2572"/>
        <s v="ID2573"/>
        <s v="ID2574"/>
        <s v="ID2575"/>
        <s v="ID2576"/>
        <s v="ID2577"/>
        <s v="ID2578"/>
        <s v="ID2579"/>
        <s v="ID2580"/>
        <s v="ID2581"/>
        <s v="ID2582"/>
        <s v="ID2583"/>
        <s v="ID2584"/>
        <s v="ID2585"/>
        <s v="ID2586"/>
        <s v="ID2587"/>
        <s v="ID2588"/>
        <s v="ID2589"/>
        <s v="ID2590"/>
        <s v="ID2591"/>
        <s v="ID2592"/>
        <s v="ID2593"/>
        <s v="ID2594"/>
        <s v="ID2595"/>
        <s v="ID2596"/>
        <s v="ID2597"/>
        <s v="ID2598"/>
        <s v="ID2599"/>
        <s v="ID2600"/>
        <s v="ID2601"/>
        <s v="ID2602"/>
        <s v="ID2603"/>
        <s v="ID2604"/>
        <s v="ID2605"/>
        <s v="ID2606"/>
        <s v="ID2607"/>
        <s v="ID2608"/>
        <s v="ID2609"/>
        <s v="ID2610"/>
        <s v="ID2611"/>
        <s v="ID2612"/>
        <s v="ID2613"/>
        <s v="ID2614"/>
        <s v="ID2615"/>
        <s v="ID2616"/>
        <s v="ID2617"/>
        <s v="ID2618"/>
        <s v="ID2619"/>
        <s v="ID2620"/>
        <s v="ID2621"/>
        <s v="ID2622"/>
        <s v="ID2623"/>
        <s v="ID2624"/>
        <s v="ID2625"/>
        <s v="ID2626"/>
        <s v="ID2627"/>
        <s v="ID2628"/>
        <s v="ID2629"/>
        <s v="ID2630"/>
        <s v="ID2631"/>
        <s v="ID2632"/>
        <s v="ID2633"/>
        <s v="ID2634"/>
        <s v="ID2635"/>
        <s v="ID2636"/>
        <s v="ID2637"/>
        <s v="ID2638"/>
        <s v="ID2639"/>
        <s v="ID2640"/>
        <s v="ID2641"/>
        <s v="ID2642"/>
        <s v="ID2643"/>
        <s v="ID2644"/>
        <s v="ID2645"/>
        <s v="ID2646"/>
        <s v="ID2647"/>
        <s v="ID2648"/>
        <s v="ID2649"/>
        <s v="ID2650"/>
        <s v="ID2651"/>
        <s v="ID2652"/>
        <s v="ID2653"/>
        <s v="ID2654"/>
        <s v="ID2655"/>
        <s v="ID2656"/>
        <s v="ID2657"/>
        <s v="ID2658"/>
        <s v="ID2659"/>
        <s v="ID2660"/>
        <s v="ID2661"/>
        <s v="ID2662"/>
        <s v="ID2663"/>
        <s v="ID2664"/>
        <s v="ID2665"/>
        <s v="ID2666"/>
        <s v="ID2667"/>
        <s v="ID2668"/>
        <s v="ID2669"/>
        <s v="ID2670"/>
        <s v="ID2671"/>
        <s v="ID2672"/>
        <s v="ID2673"/>
        <s v="ID2674"/>
        <s v="ID2675"/>
        <s v="ID2676"/>
        <s v="ID2677"/>
        <s v="ID2678"/>
        <s v="ID2679"/>
        <s v="ID2680"/>
        <s v="ID2681"/>
        <s v="ID2682"/>
        <s v="ID2683"/>
        <s v="ID2684"/>
        <s v="ID2685"/>
        <s v="ID2686"/>
        <s v="ID2687"/>
        <s v="ID2688"/>
        <s v="ID2689"/>
        <s v="ID2690"/>
        <s v="ID2691"/>
        <s v="ID2692"/>
        <s v="ID2693"/>
        <s v="ID2694"/>
        <s v="ID2695"/>
        <s v="ID2696"/>
        <s v="ID2697"/>
        <s v="ID2698"/>
        <s v="ID2699"/>
        <s v="ID2700"/>
        <s v="ID2701"/>
        <s v="ID2702"/>
        <s v="ID2703"/>
        <s v="ID2704"/>
        <s v="ID2705"/>
        <s v="ID2706"/>
        <s v="ID2707"/>
        <s v="ID2708"/>
        <s v="ID2709"/>
        <s v="ID2710"/>
        <s v="ID2711"/>
        <s v="ID2712"/>
        <s v="ID2713"/>
        <s v="ID2714"/>
        <s v="ID2715"/>
        <s v="ID2716"/>
        <s v="ID2717"/>
        <s v="ID2718"/>
        <s v="ID2719"/>
        <s v="ID2720"/>
        <s v="ID2721"/>
        <s v="ID2722"/>
        <s v="ID2723"/>
        <s v="ID2724"/>
        <s v="ID2725"/>
        <s v="ID2726"/>
        <s v="ID2727"/>
        <s v="ID2728"/>
        <s v="ID2729"/>
        <s v="ID2730"/>
        <s v="ID2731"/>
        <s v="ID2732"/>
        <s v="ID2733"/>
        <s v="ID2734"/>
        <s v="ID2735"/>
        <s v="ID2736"/>
        <s v="ID2737"/>
        <s v="ID2738"/>
        <s v="ID2739"/>
        <s v="ID2740"/>
        <s v="ID2741"/>
        <s v="ID2742"/>
        <s v="ID2743"/>
        <s v="ID2744"/>
        <s v="ID2745"/>
        <s v="ID2746"/>
        <s v="ID2747"/>
        <s v="ID2748"/>
        <s v="ID2749"/>
        <s v="ID2750"/>
        <s v="ID2751"/>
        <s v="ID2752"/>
        <s v="ID2753"/>
        <s v="ID2754"/>
        <s v="ID2755"/>
        <s v="ID2756"/>
        <s v="ID2757"/>
        <s v="ID2758"/>
        <s v="ID2759"/>
        <s v="ID2760"/>
        <s v="ID2761"/>
        <s v="ID2762"/>
        <s v="ID2763"/>
        <s v="ID2764"/>
        <s v="ID2765"/>
        <s v="ID2766"/>
        <s v="ID2767"/>
        <s v="ID2768"/>
        <s v="ID2769"/>
        <s v="ID2770"/>
        <s v="ID2771"/>
        <s v="ID2772"/>
        <s v="ID2773"/>
        <s v="ID2774"/>
        <s v="ID2775"/>
        <s v="ID2776"/>
        <s v="ID2777"/>
        <s v="ID2778"/>
        <s v="ID2779"/>
        <s v="ID2780"/>
        <s v="ID2781"/>
        <s v="ID2782"/>
        <s v="ID2783"/>
        <s v="ID2784"/>
        <s v="ID2785"/>
        <s v="ID2786"/>
        <s v="ID2787"/>
        <s v="ID2788"/>
        <s v="ID2789"/>
        <s v="ID2790"/>
        <s v="ID2791"/>
        <s v="ID2792"/>
        <s v="ID2793"/>
        <s v="ID2794"/>
        <s v="ID2795"/>
        <s v="ID2796"/>
        <s v="ID2797"/>
        <s v="ID2798"/>
        <s v="ID2799"/>
        <s v="ID2800"/>
        <s v="ID2801"/>
        <s v="ID2802"/>
        <s v="ID2803"/>
        <s v="ID2804"/>
        <s v="ID2805"/>
        <s v="ID2806"/>
        <s v="ID2807"/>
        <s v="ID2808"/>
        <s v="ID2809"/>
        <s v="ID2810"/>
        <s v="ID2811"/>
        <s v="ID2812"/>
        <s v="ID2813"/>
        <s v="ID2814"/>
        <s v="ID2815"/>
        <s v="ID2816"/>
        <s v="ID2817"/>
        <s v="ID2818"/>
        <s v="ID2819"/>
        <s v="ID2820"/>
        <s v="ID2821"/>
        <s v="ID2822"/>
        <s v="ID2823"/>
        <s v="ID2824"/>
        <s v="ID2825"/>
        <s v="ID2826"/>
        <s v="ID2827"/>
        <s v="ID2828"/>
        <s v="ID2829"/>
        <s v="ID2830"/>
        <s v="ID2831"/>
        <s v="ID2832"/>
        <s v="ID2833"/>
        <s v="ID2834"/>
        <s v="ID2835"/>
        <s v="ID2836"/>
        <s v="ID2837"/>
        <s v="ID2838"/>
        <s v="ID2839"/>
        <s v="ID2840"/>
        <s v="ID2841"/>
        <s v="ID2842"/>
        <s v="ID2843"/>
        <s v="ID2844"/>
        <s v="ID2845"/>
        <s v="ID2846"/>
        <s v="ID2847"/>
        <s v="ID2848"/>
        <s v="ID2849"/>
        <s v="ID2850"/>
        <s v="ID2851"/>
        <s v="ID2852"/>
        <s v="ID2853"/>
        <s v="ID2854"/>
        <s v="ID2855"/>
        <s v="ID2856"/>
        <s v="ID2857"/>
        <s v="ID2858"/>
        <s v="ID2859"/>
        <s v="ID2860"/>
        <s v="ID2861"/>
        <s v="ID2862"/>
        <s v="ID2863"/>
        <s v="ID2864"/>
        <s v="ID2865"/>
        <s v="ID2866"/>
        <s v="ID2867"/>
        <s v="ID2868"/>
        <s v="ID2869"/>
        <s v="ID2870"/>
        <s v="ID2871"/>
        <s v="ID2872"/>
        <s v="ID2873"/>
        <s v="ID2874"/>
        <s v="ID2875"/>
        <s v="ID2876"/>
        <s v="ID2877"/>
        <s v="ID2878"/>
        <s v="ID2879"/>
        <s v="ID2880"/>
        <s v="ID2881"/>
        <s v="ID2882"/>
        <s v="ID2883"/>
        <s v="ID2884"/>
        <s v="ID2885"/>
        <s v="ID2886"/>
        <s v="ID2887"/>
        <s v="ID2888"/>
        <s v="ID2889"/>
        <s v="ID2890"/>
        <s v="ID2891"/>
        <s v="ID2892"/>
        <s v="ID2893"/>
        <s v="ID2894"/>
        <s v="ID2895"/>
        <s v="ID2896"/>
        <s v="ID2897"/>
        <s v="ID2898"/>
        <s v="ID2899"/>
        <s v="ID2900"/>
        <s v="ID2901"/>
        <s v="ID2902"/>
        <s v="ID2903"/>
        <s v="ID2904"/>
        <s v="ID2905"/>
        <s v="ID2906"/>
        <s v="ID2907"/>
        <s v="ID2908"/>
        <s v="ID2909"/>
        <s v="ID2910"/>
        <s v="ID2911"/>
        <s v="ID2912"/>
        <s v="ID2913"/>
        <s v="ID2914"/>
        <s v="ID2915"/>
        <s v="ID2916"/>
        <s v="ID2917"/>
        <s v="ID2918"/>
        <s v="ID2919"/>
        <s v="ID2920"/>
        <s v="ID2921"/>
        <s v="ID2922"/>
        <s v="ID2923"/>
        <s v="ID2924"/>
        <s v="ID2925"/>
        <s v="ID2926"/>
        <s v="ID2927"/>
        <s v="ID2928"/>
        <s v="ID2929"/>
        <s v="ID2930"/>
        <s v="ID2931"/>
        <s v="ID2932"/>
        <s v="ID2933"/>
        <s v="ID2934"/>
        <s v="ID2935"/>
        <s v="ID2936"/>
        <s v="ID2937"/>
        <s v="ID2938"/>
        <s v="ID2939"/>
        <s v="ID2940"/>
        <s v="ID2941"/>
        <s v="ID2942"/>
        <s v="ID2943"/>
        <s v="ID2944"/>
        <s v="ID2945"/>
        <s v="ID2946"/>
        <s v="ID2947"/>
        <s v="ID2948"/>
        <s v="ID2949"/>
        <s v="ID2950"/>
        <s v="ID2951"/>
        <s v="ID2952"/>
        <s v="ID2953"/>
        <s v="ID2954"/>
        <s v="ID2955"/>
        <s v="ID2956"/>
        <s v="ID2957"/>
        <s v="ID2958"/>
        <s v="ID2959"/>
        <s v="ID2960"/>
        <s v="ID2961"/>
        <s v="ID2962"/>
        <s v="ID2963"/>
        <s v="ID2964"/>
        <s v="ID2965"/>
        <s v="ID2966"/>
        <s v="ID2967"/>
        <s v="ID2968"/>
        <s v="ID2969"/>
        <s v="ID2970"/>
        <s v="ID2971"/>
        <s v="ID2972"/>
        <s v="ID2973"/>
        <s v="ID2974"/>
        <s v="ID2975"/>
        <s v="ID2976"/>
        <s v="ID2977"/>
        <s v="ID2978"/>
        <s v="ID2979"/>
        <s v="ID2980"/>
        <s v="ID2981"/>
        <s v="ID2982"/>
        <s v="ID2983"/>
        <s v="ID2984"/>
        <s v="ID2985"/>
        <s v="ID2986"/>
        <s v="ID2987"/>
        <s v="ID2988"/>
        <s v="ID2989"/>
        <s v="ID2990"/>
        <s v="ID2991"/>
        <s v="ID2992"/>
        <s v="ID2993"/>
        <s v="ID2994"/>
        <s v="ID2995"/>
        <s v="ID2996"/>
        <s v="ID2997"/>
        <s v="ID2998"/>
        <s v="ID2999"/>
        <s v="ID3000"/>
        <s v="ID3001"/>
        <s v="ID3002"/>
        <s v="ID3003"/>
        <s v="ID3004"/>
        <s v="ID3005"/>
        <s v="ID3006"/>
        <s v="ID3007"/>
        <s v="ID3008"/>
        <s v="ID3009"/>
        <s v="ID3010"/>
        <s v="ID3011"/>
        <s v="ID3012"/>
        <s v="ID3013"/>
        <s v="ID3014"/>
        <s v="ID3015"/>
        <s v="ID3016"/>
        <s v="ID3017"/>
        <s v="ID3018"/>
        <s v="ID3019"/>
        <s v="ID3020"/>
        <s v="ID3021"/>
        <s v="ID3022"/>
        <s v="ID3023"/>
        <s v="ID3024"/>
        <s v="ID3025"/>
        <s v="ID3026"/>
        <s v="ID3027"/>
        <s v="ID3028"/>
        <s v="ID3029"/>
        <s v="ID3030"/>
        <s v="ID3031"/>
        <s v="ID3032"/>
        <s v="ID3033"/>
        <s v="ID3034"/>
        <s v="ID3035"/>
        <s v="ID3036"/>
        <s v="ID3037"/>
        <s v="ID3038"/>
        <s v="ID3039"/>
        <s v="ID3040"/>
        <s v="ID3041"/>
        <s v="ID3042"/>
        <s v="ID3043"/>
        <s v="ID3044"/>
        <s v="ID3045"/>
        <s v="ID3046"/>
        <s v="ID3047"/>
        <s v="ID3048"/>
        <s v="ID3049"/>
        <s v="ID3050"/>
        <s v="ID3051"/>
        <s v="ID3052"/>
        <s v="ID3053"/>
        <s v="ID3054"/>
        <s v="ID3055"/>
        <s v="ID3056"/>
        <s v="ID3057"/>
        <s v="ID3058"/>
        <s v="ID3059"/>
        <s v="ID3060"/>
        <s v="ID3061"/>
        <s v="ID3062"/>
        <s v="ID3063"/>
        <s v="ID3064"/>
        <s v="ID3065"/>
        <s v="ID3066"/>
        <s v="ID3067"/>
        <s v="ID3068"/>
        <s v="ID3069"/>
        <s v="ID3070"/>
        <s v="ID3071"/>
        <s v="ID3072"/>
        <s v="ID3073"/>
        <s v="ID3074"/>
        <s v="ID3075"/>
        <s v="ID3076"/>
        <s v="ID3077"/>
        <s v="ID3078"/>
        <s v="ID3079"/>
        <s v="ID3080"/>
        <s v="ID3081"/>
        <s v="ID3082"/>
        <s v="ID3083"/>
        <s v="ID3084"/>
        <s v="ID3085"/>
        <s v="ID3086"/>
        <s v="ID3087"/>
        <s v="ID3088"/>
        <s v="ID3089"/>
        <s v="ID3090"/>
        <s v="ID3091"/>
        <s v="ID3092"/>
        <s v="ID3093"/>
        <s v="ID3094"/>
        <s v="ID3095"/>
        <s v="ID3096"/>
        <s v="ID3097"/>
        <s v="ID3098"/>
        <s v="ID3099"/>
        <s v="ID3100"/>
        <s v="ID3101"/>
        <s v="ID3102"/>
        <s v="ID3103"/>
        <s v="ID3104"/>
        <s v="ID3105"/>
        <s v="ID3106"/>
        <s v="ID3107"/>
        <s v="ID3108"/>
        <s v="ID3109"/>
        <s v="ID3110"/>
        <s v="ID3111"/>
        <s v="ID3112"/>
        <s v="ID3113"/>
        <s v="ID3114"/>
        <s v="ID3115"/>
        <s v="ID3116"/>
        <s v="ID3117"/>
        <s v="ID3118"/>
        <s v="ID3119"/>
        <s v="ID3120"/>
        <s v="ID3121"/>
        <s v="ID3122"/>
        <s v="ID3123"/>
        <s v="ID3124"/>
        <s v="ID3125"/>
        <s v="ID3126"/>
        <s v="ID3127"/>
        <s v="ID3128"/>
        <s v="ID3129"/>
        <s v="ID3130"/>
        <s v="ID3131"/>
        <s v="ID3132"/>
        <s v="ID3133"/>
        <s v="ID3134"/>
        <s v="ID3135"/>
        <s v="ID3136"/>
        <s v="ID3137"/>
        <s v="ID3138"/>
        <s v="ID3139"/>
        <s v="ID3140"/>
        <s v="ID3141"/>
        <s v="ID3142"/>
        <s v="ID3143"/>
        <s v="ID3144"/>
        <s v="ID3145"/>
        <s v="ID3146"/>
        <s v="ID3147"/>
        <s v="ID3148"/>
        <s v="ID3149"/>
        <s v="ID3150"/>
        <s v="ID3151"/>
        <s v="ID3152"/>
        <s v="ID3153"/>
        <s v="ID3154"/>
        <s v="ID3155"/>
        <s v="ID3156"/>
        <s v="ID3157"/>
        <s v="ID3158"/>
        <s v="ID3159"/>
        <s v="ID3160"/>
        <s v="ID3161"/>
        <s v="ID3162"/>
        <s v="ID3163"/>
        <s v="ID3164"/>
        <s v="ID3165"/>
        <s v="ID3166"/>
        <s v="ID3167"/>
        <s v="ID3168"/>
        <s v="ID3169"/>
        <s v="ID3170"/>
        <s v="ID3171"/>
        <s v="ID3172"/>
        <s v="ID3173"/>
        <s v="ID3174"/>
        <s v="ID3175"/>
        <s v="ID3176"/>
        <s v="ID3177"/>
        <s v="ID3178"/>
        <s v="ID3179"/>
        <s v="ID3180"/>
        <s v="ID3181"/>
        <s v="ID3182"/>
        <s v="ID3183"/>
        <s v="ID3184"/>
        <s v="ID3185"/>
        <s v="ID3186"/>
        <s v="ID3187"/>
        <s v="ID3188"/>
        <s v="ID3189"/>
        <s v="ID3190"/>
        <s v="ID3191"/>
        <s v="ID3192"/>
        <s v="ID3193"/>
        <s v="ID3194"/>
        <s v="ID3195"/>
        <s v="ID3196"/>
        <s v="ID3197"/>
        <s v="ID3198"/>
        <s v="ID3199"/>
        <s v="ID3200"/>
        <s v="ID3201"/>
        <s v="ID3202"/>
        <s v="ID3203"/>
        <s v="ID3204"/>
        <s v="ID3205"/>
        <s v="ID3206"/>
        <s v="ID3207"/>
        <s v="ID3208"/>
        <s v="ID3209"/>
        <s v="ID3210"/>
        <s v="ID3211"/>
        <s v="ID3212"/>
        <s v="ID3213"/>
        <s v="ID3214"/>
        <s v="ID3215"/>
        <s v="ID3216"/>
        <s v="ID3217"/>
        <s v="ID3218"/>
        <s v="ID3219"/>
        <s v="ID3220"/>
        <s v="ID3221"/>
        <s v="ID3222"/>
        <s v="ID3223"/>
        <s v="ID3224"/>
        <s v="ID3225"/>
        <s v="ID3226"/>
        <s v="ID3227"/>
        <s v="ID3228"/>
        <s v="ID3229"/>
        <s v="ID3230"/>
        <s v="ID3231"/>
        <s v="ID3232"/>
        <s v="ID3233"/>
        <s v="ID3234"/>
        <s v="ID3235"/>
        <s v="ID3236"/>
        <s v="ID3237"/>
        <s v="ID3238"/>
        <s v="ID3239"/>
        <s v="ID3240"/>
        <s v="ID3241"/>
        <s v="ID3242"/>
        <s v="ID3243"/>
        <s v="ID3244"/>
        <s v="ID3245"/>
        <s v="ID3246"/>
        <s v="ID3247"/>
        <s v="ID3248"/>
        <s v="ID3249"/>
        <s v="ID3250"/>
        <s v="ID3251"/>
        <s v="ID3252"/>
        <s v="ID3253"/>
        <s v="ID3254"/>
        <s v="ID3255"/>
        <s v="ID3256"/>
        <s v="ID3257"/>
        <s v="ID3258"/>
        <s v="ID3259"/>
        <s v="ID3260"/>
        <s v="ID3261"/>
        <s v="ID3262"/>
        <s v="ID3263"/>
        <s v="ID3264"/>
        <s v="ID3265"/>
        <s v="ID3266"/>
        <s v="ID3267"/>
        <s v="ID3268"/>
        <s v="ID3269"/>
        <s v="ID3270"/>
        <s v="ID3271"/>
        <s v="ID3272"/>
        <s v="ID3273"/>
        <s v="ID3274"/>
        <s v="ID3275"/>
        <s v="ID3276"/>
        <s v="ID3277"/>
        <s v="ID3278"/>
        <s v="ID3279"/>
        <s v="ID3280"/>
        <s v="ID3281"/>
        <s v="ID3282"/>
        <s v="ID3283"/>
        <s v="ID3284"/>
        <s v="ID3285"/>
        <s v="ID3286"/>
        <s v="ID3287"/>
        <s v="ID3288"/>
        <s v="ID3289"/>
        <s v="ID3290"/>
        <s v="ID3291"/>
        <s v="ID3292"/>
        <s v="ID3293"/>
        <s v="ID3294"/>
        <s v="ID3295"/>
        <s v="ID3296"/>
        <s v="ID3297"/>
        <s v="ID3298"/>
        <s v="ID3299"/>
        <s v="ID3300"/>
        <s v="ID3301"/>
        <s v="ID3302"/>
        <s v="ID3303"/>
        <s v="ID3304"/>
        <s v="ID3305"/>
        <s v="ID3306"/>
        <s v="ID3307"/>
        <s v="ID3308"/>
        <s v="ID3309"/>
        <s v="ID3310"/>
        <s v="ID3311"/>
        <s v="ID3312"/>
        <s v="ID3313"/>
        <s v="ID3314"/>
        <s v="ID3315"/>
        <s v="ID3316"/>
        <s v="ID3317"/>
        <s v="ID3318"/>
        <s v="ID3319"/>
        <s v="ID3320"/>
        <s v="ID3321"/>
        <s v="ID3322"/>
        <s v="ID3323"/>
        <s v="ID3324"/>
        <s v="ID3325"/>
        <s v="ID3326"/>
        <s v="ID3327"/>
        <s v="ID3328"/>
        <s v="ID3329"/>
        <s v="ID3330"/>
        <s v="ID3331"/>
        <s v="ID3332"/>
        <s v="ID3333"/>
        <s v="ID3334"/>
        <s v="ID3335"/>
        <s v="ID3336"/>
        <s v="ID3337"/>
        <s v="ID3338"/>
        <s v="ID3339"/>
        <s v="ID3340"/>
        <s v="ID3341"/>
        <s v="ID3342"/>
        <s v="ID3343"/>
        <s v="ID3344"/>
        <s v="ID3345"/>
        <s v="ID3346"/>
        <s v="ID3347"/>
        <s v="ID3348"/>
        <s v="ID3349"/>
        <s v="ID3350"/>
        <s v="ID3351"/>
        <s v="ID3352"/>
        <s v="ID3353"/>
        <s v="ID3354"/>
        <s v="ID3355"/>
        <s v="ID3356"/>
        <s v="ID3357"/>
        <s v="ID3358"/>
        <s v="ID3359"/>
        <s v="ID3360"/>
        <s v="ID3361"/>
        <s v="ID3362"/>
        <s v="ID3363"/>
        <s v="ID3364"/>
        <s v="ID3365"/>
        <s v="ID3366"/>
        <s v="ID3367"/>
        <s v="ID3368"/>
        <s v="ID3369"/>
        <s v="ID3370"/>
        <s v="ID3371"/>
        <s v="ID3372"/>
        <s v="ID3373"/>
        <s v="ID3374"/>
        <s v="ID3375"/>
        <s v="ID3376"/>
        <s v="ID3377"/>
        <s v="ID3378"/>
        <s v="ID3379"/>
        <s v="ID3380"/>
        <s v="ID3381"/>
        <s v="ID3382"/>
        <s v="ID3383"/>
        <s v="ID3384"/>
        <s v="ID3385"/>
        <s v="ID3386"/>
        <s v="ID3387"/>
        <s v="ID3388"/>
        <s v="ID3389"/>
        <s v="ID3390"/>
        <s v="ID3391"/>
        <s v="ID3392"/>
        <s v="ID3393"/>
        <s v="ID3394"/>
        <s v="ID3395"/>
        <s v="ID3396"/>
        <s v="ID3397"/>
        <s v="ID3398"/>
        <s v="ID3399"/>
        <s v="ID3400"/>
        <s v="ID3401"/>
        <s v="ID3402"/>
        <s v="ID3403"/>
        <s v="ID3404"/>
        <s v="ID3405"/>
        <s v="ID3406"/>
        <s v="ID3407"/>
        <s v="ID3408"/>
        <s v="ID3409"/>
        <s v="ID3410"/>
        <s v="ID3411"/>
        <s v="ID3412"/>
        <s v="ID3413"/>
        <s v="ID3414"/>
        <s v="ID3415"/>
        <s v="ID3416"/>
        <s v="ID3417"/>
        <s v="ID3418"/>
        <s v="ID3419"/>
        <s v="ID3420"/>
        <s v="ID3421"/>
        <s v="ID3422"/>
        <s v="ID3423"/>
        <s v="ID3424"/>
        <s v="ID3425"/>
        <s v="ID3426"/>
        <s v="ID3427"/>
        <s v="ID3428"/>
        <s v="ID3429"/>
        <s v="ID3430"/>
        <s v="ID3431"/>
        <s v="ID3432"/>
        <s v="ID3433"/>
        <s v="ID3434"/>
        <s v="ID3435"/>
        <s v="ID3436"/>
        <s v="ID3437"/>
        <s v="ID3438"/>
        <s v="ID3439"/>
        <s v="ID3440"/>
        <s v="ID3441"/>
        <s v="ID3442"/>
        <s v="ID3443"/>
        <s v="ID3444"/>
        <s v="ID3445"/>
        <s v="ID3446"/>
        <s v="ID3447"/>
        <s v="ID3448"/>
        <s v="ID3449"/>
        <s v="ID3450"/>
        <s v="ID3451"/>
        <s v="ID3452"/>
        <s v="ID3453"/>
        <s v="ID3454"/>
        <s v="ID3455"/>
        <s v="ID3456"/>
        <s v="ID3457"/>
        <s v="ID3458"/>
        <s v="ID3459"/>
        <s v="ID3460"/>
        <s v="ID3461"/>
        <s v="ID3462"/>
        <s v="ID3463"/>
        <s v="ID3464"/>
        <s v="ID3465"/>
        <s v="ID3466"/>
        <s v="ID3467"/>
        <s v="ID3468"/>
        <s v="ID3469"/>
        <s v="ID3470"/>
        <s v="ID3471"/>
        <s v="ID3472"/>
        <s v="ID3473"/>
        <s v="ID3474"/>
        <s v="ID3475"/>
        <s v="ID3476"/>
        <s v="ID3477"/>
        <s v="ID3478"/>
        <s v="ID3479"/>
        <s v="ID3480"/>
        <s v="ID3481"/>
        <s v="ID3482"/>
        <s v="ID3483"/>
        <s v="ID3484"/>
        <s v="ID3485"/>
        <s v="ID3486"/>
        <s v="ID3487"/>
        <s v="ID3488"/>
        <s v="ID3489"/>
        <s v="ID3490"/>
        <s v="ID3491"/>
        <s v="ID3492"/>
        <s v="ID3493"/>
        <s v="ID3494"/>
        <s v="ID3495"/>
        <s v="ID3496"/>
        <s v="ID3497"/>
        <s v="ID3498"/>
        <s v="ID3499"/>
        <s v="ID3500"/>
        <s v="ID3501"/>
        <s v="ID3502"/>
        <s v="ID3503"/>
        <s v="ID3504"/>
        <s v="ID3505"/>
        <s v="ID3506"/>
        <s v="ID3507"/>
        <s v="ID3508"/>
        <s v="ID3509"/>
        <s v="ID3510"/>
        <s v="ID3511"/>
        <s v="ID3512"/>
        <s v="ID3513"/>
        <s v="ID3514"/>
        <s v="ID3515"/>
        <s v="ID3516"/>
        <s v="ID3517"/>
        <s v="ID3518"/>
        <s v="ID3519"/>
        <s v="ID3520"/>
        <s v="ID3521"/>
        <s v="ID3522"/>
        <s v="ID3523"/>
        <s v="ID3524"/>
        <s v="ID3525"/>
        <s v="ID3526"/>
        <s v="ID3527"/>
        <s v="ID3528"/>
        <s v="ID3529"/>
        <s v="ID3530"/>
        <s v="ID3531"/>
        <s v="ID3532"/>
        <s v="ID3533"/>
        <s v="ID3534"/>
        <s v="ID3535"/>
        <s v="ID3536"/>
        <s v="ID3537"/>
        <s v="ID3538"/>
        <s v="ID3539"/>
        <s v="ID3540"/>
        <s v="ID3541"/>
        <s v="ID3542"/>
        <s v="ID3543"/>
        <s v="ID3544"/>
        <s v="ID3545"/>
        <s v="ID3546"/>
        <s v="ID3547"/>
        <s v="ID3548"/>
        <s v="ID3549"/>
        <s v="ID3550"/>
        <s v="ID3551"/>
        <s v="ID3552"/>
        <s v="ID3553"/>
        <s v="ID3554"/>
        <s v="ID3555"/>
        <s v="ID3556"/>
        <s v="ID3557"/>
        <s v="ID3558"/>
        <s v="ID3559"/>
        <s v="ID3560"/>
        <s v="ID3561"/>
        <s v="ID3562"/>
        <s v="ID3563"/>
        <s v="ID3564"/>
        <s v="ID3565"/>
        <s v="ID3566"/>
        <s v="ID3567"/>
        <s v="ID3568"/>
        <s v="ID3569"/>
        <s v="ID3570"/>
        <s v="ID3571"/>
        <s v="ID3572"/>
        <s v="ID3573"/>
        <s v="ID3574"/>
        <s v="ID3575"/>
        <s v="ID3576"/>
        <s v="ID3577"/>
        <s v="ID3578"/>
        <s v="ID3579"/>
        <s v="ID3580"/>
        <s v="ID3581"/>
        <s v="ID3582"/>
        <s v="ID3583"/>
        <s v="ID3584"/>
        <s v="ID3585"/>
        <s v="ID3586"/>
        <s v="ID3587"/>
        <s v="ID3588"/>
        <s v="ID3589"/>
        <s v="ID3590"/>
        <s v="ID3591"/>
        <s v="ID3592"/>
        <s v="ID3593"/>
        <s v="ID3594"/>
        <s v="ID3595"/>
        <s v="ID3596"/>
        <s v="ID3597"/>
        <s v="ID3598"/>
        <s v="ID3599"/>
        <s v="ID3600"/>
        <s v="ID3601"/>
        <s v="ID3602"/>
        <s v="ID3603"/>
        <s v="ID3604"/>
        <s v="ID3605"/>
        <s v="ID3606"/>
        <s v="ID3607"/>
        <s v="ID3608"/>
        <s v="ID3609"/>
        <s v="ID3610"/>
        <s v="ID3611"/>
        <s v="ID3612"/>
        <s v="ID3613"/>
        <s v="ID3614"/>
        <s v="ID3615"/>
        <s v="ID3616"/>
        <s v="ID3617"/>
        <s v="ID3618"/>
        <s v="ID3619"/>
        <s v="ID3620"/>
        <s v="ID3621"/>
        <s v="ID3622"/>
        <s v="ID3623"/>
        <s v="ID3624"/>
        <s v="ID3625"/>
        <s v="ID3626"/>
        <s v="ID3627"/>
        <s v="ID3628"/>
        <s v="ID3629"/>
        <s v="ID3630"/>
        <s v="ID3631"/>
        <s v="ID3632"/>
        <s v="ID3633"/>
        <s v="ID3634"/>
        <s v="ID3635"/>
        <s v="ID3636"/>
        <s v="ID3637"/>
        <s v="ID3638"/>
        <s v="ID3639"/>
        <s v="ID3640"/>
        <s v="ID3641"/>
        <s v="ID3642"/>
        <s v="ID3643"/>
        <s v="ID3644"/>
        <s v="ID3645"/>
        <s v="ID3646"/>
        <s v="ID3647"/>
        <s v="ID3648"/>
        <s v="ID3649"/>
        <s v="ID3650"/>
        <s v="ID3651"/>
        <s v="ID3652"/>
        <s v="ID3653"/>
        <s v="ID3654"/>
        <s v="ID3655"/>
        <s v="ID3656"/>
        <s v="ID3657"/>
        <s v="ID3658"/>
        <s v="ID3659"/>
        <s v="ID3660"/>
        <s v="ID3661"/>
        <s v="ID3662"/>
        <s v="ID3663"/>
        <s v="ID3664"/>
        <s v="ID3665"/>
        <s v="ID3666"/>
        <s v="ID3667"/>
        <s v="ID3668"/>
        <s v="ID3669"/>
        <s v="ID3670"/>
        <s v="ID3671"/>
        <s v="ID3672"/>
        <s v="ID3673"/>
        <s v="ID3674"/>
        <s v="ID3675"/>
        <s v="ID3676"/>
        <s v="ID3677"/>
        <s v="ID3678"/>
        <s v="ID3679"/>
        <s v="ID3680"/>
        <s v="ID3681"/>
        <s v="ID3682"/>
        <s v="ID3683"/>
        <s v="ID3684"/>
        <s v="ID3685"/>
        <s v="ID3686"/>
        <s v="ID3687"/>
        <s v="ID3688"/>
        <s v="ID3689"/>
        <s v="ID3690"/>
        <s v="ID3691"/>
        <s v="ID3692"/>
        <s v="ID3693"/>
        <s v="ID3694"/>
        <s v="ID3695"/>
        <s v="ID3696"/>
        <s v="ID3697"/>
        <s v="ID3698"/>
        <s v="ID3699"/>
        <s v="ID3700"/>
        <s v="ID3701"/>
        <s v="ID3702"/>
        <s v="ID3703"/>
        <s v="ID3704"/>
        <s v="ID3705"/>
        <s v="ID3706"/>
        <s v="ID3707"/>
        <s v="ID3708"/>
        <s v="ID3709"/>
        <s v="ID3710"/>
        <s v="ID3711"/>
        <s v="ID3712"/>
        <s v="ID3713"/>
        <s v="ID3714"/>
        <s v="ID3715"/>
        <s v="ID3716"/>
        <s v="ID3717"/>
        <s v="ID3718"/>
        <s v="ID3719"/>
        <s v="ID3720"/>
        <s v="ID3721"/>
        <s v="ID3722"/>
        <s v="ID3723"/>
        <s v="ID3724"/>
        <s v="ID3725"/>
        <s v="ID3726"/>
        <s v="ID3727"/>
        <s v="ID3728"/>
        <s v="ID3729"/>
        <s v="ID3730"/>
        <s v="ID3731"/>
        <s v="ID3732"/>
        <s v="ID3733"/>
        <s v="ID3734"/>
        <s v="ID3735"/>
        <s v="ID3736"/>
        <s v="ID3737"/>
        <s v="ID3738"/>
        <s v="ID3739"/>
        <s v="ID3740"/>
        <s v="ID3741"/>
        <s v="ID3742"/>
        <s v="ID3743"/>
        <s v="ID3744"/>
        <s v="ID3745"/>
        <s v="ID3746"/>
        <s v="ID3747"/>
        <s v="ID3748"/>
        <s v="ID3749"/>
        <s v="ID3750"/>
        <s v="ID3751"/>
        <s v="ID3752"/>
        <s v="ID3753"/>
        <s v="ID3754"/>
        <s v="ID3755"/>
        <s v="ID3756"/>
        <s v="ID3757"/>
        <s v="ID3758"/>
        <s v="ID3759"/>
        <s v="ID3760"/>
        <s v="ID3761"/>
        <s v="ID3762"/>
        <s v="ID3763"/>
        <s v="ID3764"/>
        <s v="ID3765"/>
        <s v="ID3766"/>
        <s v="ID3767"/>
        <s v="ID3768"/>
        <s v="ID3769"/>
        <s v="ID3770"/>
        <s v="ID3771"/>
        <s v="ID3772"/>
        <s v="ID3773"/>
        <s v="ID3774"/>
        <s v="ID3775"/>
        <s v="ID3776"/>
        <s v="ID3777"/>
        <s v="ID3778"/>
        <s v="ID3779"/>
        <s v="ID3780"/>
        <s v="ID3781"/>
        <s v="ID3782"/>
        <s v="ID3783"/>
        <s v="ID3784"/>
        <s v="ID3785"/>
        <s v="ID3786"/>
        <s v="ID3787"/>
        <s v="ID3788"/>
        <s v="ID3789"/>
        <s v="ID3790"/>
        <s v="ID3791"/>
        <s v="ID3792"/>
        <s v="ID3793"/>
        <s v="ID3794"/>
        <s v="ID3795"/>
        <s v="ID3796"/>
        <s v="ID3797"/>
        <s v="ID3798"/>
        <s v="ID3799"/>
        <s v="ID3800"/>
        <s v="ID3801"/>
        <s v="ID3802"/>
        <s v="ID3803"/>
        <s v="ID3804"/>
        <s v="ID3805"/>
        <s v="ID3806"/>
        <s v="ID3807"/>
        <s v="ID3808"/>
        <s v="ID3809"/>
        <s v="ID3810"/>
        <s v="ID3811"/>
        <s v="ID3812"/>
        <s v="ID3813"/>
        <s v="ID3814"/>
        <s v="ID3815"/>
        <s v="ID3816"/>
        <s v="ID3817"/>
        <s v="ID3818"/>
        <s v="ID3819"/>
        <s v="ID3820"/>
        <s v="ID3821"/>
        <s v="ID3822"/>
        <s v="ID3823"/>
        <s v="ID3824"/>
        <s v="ID3825"/>
        <s v="ID3826"/>
        <s v="ID3827"/>
        <s v="ID3828"/>
        <s v="ID3829"/>
        <s v="ID3830"/>
        <s v="ID3831"/>
        <s v="ID3832"/>
        <s v="ID3833"/>
        <s v="ID3834"/>
        <s v="ID3835"/>
        <s v="ID3836"/>
        <s v="ID3837"/>
        <s v="ID3838"/>
        <s v="ID3839"/>
        <s v="ID3840"/>
        <s v="ID3841"/>
        <s v="ID3842"/>
        <s v="ID3843"/>
        <s v="ID3844"/>
        <s v="ID3845"/>
        <s v="ID3846"/>
        <s v="ID3847"/>
        <s v="ID3848"/>
        <s v="ID3849"/>
        <s v="ID3850"/>
        <s v="ID3851"/>
        <s v="ID3852"/>
        <s v="ID3853"/>
        <s v="ID3854"/>
        <s v="ID3855"/>
        <s v="ID3856"/>
        <s v="ID3857"/>
        <s v="ID3858"/>
        <s v="ID3859"/>
        <s v="ID3860"/>
        <s v="ID3861"/>
        <s v="ID3862"/>
        <s v="ID3863"/>
        <s v="ID3864"/>
        <s v="ID3865"/>
        <s v="ID3866"/>
        <s v="ID3867"/>
        <s v="ID3868"/>
        <s v="ID3869"/>
        <s v="ID3870"/>
        <s v="ID3871"/>
        <s v="ID3872"/>
        <s v="ID3873"/>
        <s v="ID3874"/>
        <s v="ID3875"/>
        <s v="ID3876"/>
        <s v="ID3877"/>
        <s v="ID3878"/>
        <s v="ID3879"/>
        <s v="ID3880"/>
        <s v="ID3881"/>
        <s v="ID3882"/>
        <s v="ID3883"/>
        <s v="ID3884"/>
        <s v="ID3885"/>
        <s v="ID3886"/>
        <s v="ID3887"/>
        <s v="ID3888"/>
        <s v="ID3889"/>
        <s v="ID3890"/>
        <s v="ID3891"/>
        <s v="ID3892"/>
        <s v="ID3893"/>
        <s v="ID3894"/>
        <s v="ID3895"/>
        <s v="ID3896"/>
        <s v="ID3897"/>
        <s v="ID3898"/>
        <s v="ID3899"/>
        <s v="ID3900"/>
        <s v="ID3901"/>
        <s v="ID3902"/>
        <s v="ID3903"/>
        <s v="ID3904"/>
        <s v="ID3905"/>
        <s v="ID3906"/>
        <s v="ID3907"/>
        <s v="ID3908"/>
        <s v="ID3909"/>
        <s v="ID3910"/>
        <s v="ID3911"/>
        <s v="ID3912"/>
        <s v="ID3913"/>
        <s v="ID3914"/>
        <s v="ID3915"/>
        <s v="ID3916"/>
        <s v="ID3917"/>
        <s v="ID3918"/>
        <s v="ID3919"/>
        <s v="ID3920"/>
        <s v="ID3921"/>
        <s v="ID3922"/>
        <s v="ID3923"/>
        <s v="ID3924"/>
        <s v="ID3925"/>
        <s v="ID3926"/>
        <s v="ID3927"/>
        <s v="ID3928"/>
        <s v="ID3929"/>
        <s v="ID3930"/>
        <s v="ID3931"/>
        <s v="ID3932"/>
        <s v="ID3933"/>
        <s v="ID3934"/>
        <s v="ID3935"/>
        <s v="ID3936"/>
        <s v="ID3937"/>
        <s v="ID3938"/>
        <s v="ID3939"/>
        <s v="ID3940"/>
        <s v="ID3941"/>
        <s v="ID3942"/>
        <s v="ID3943"/>
        <s v="ID3944"/>
        <s v="ID3945"/>
        <s v="ID3946"/>
        <s v="ID3947"/>
        <s v="ID3948"/>
        <s v="ID3949"/>
        <s v="ID3950"/>
        <s v="ID3951"/>
        <s v="ID3952"/>
        <s v="ID3953"/>
        <s v="ID3954"/>
        <s v="ID3955"/>
        <s v="ID3956"/>
        <s v="ID3957"/>
        <s v="ID3958"/>
        <s v="ID3959"/>
        <s v="ID3960"/>
        <s v="ID3961"/>
        <s v="ID3962"/>
        <s v="ID3963"/>
        <s v="ID3964"/>
        <s v="ID3965"/>
        <s v="ID3966"/>
        <s v="ID3967"/>
        <s v="ID3968"/>
        <s v="ID3969"/>
        <s v="ID3970"/>
        <s v="ID3971"/>
        <s v="ID3972"/>
        <s v="ID3973"/>
        <s v="ID3974"/>
        <s v="ID3975"/>
        <s v="ID3976"/>
        <s v="ID3977"/>
        <s v="ID3978"/>
        <s v="ID3979"/>
        <s v="ID3980"/>
        <s v="ID3981"/>
        <s v="ID3982"/>
        <s v="ID3983"/>
        <s v="ID3984"/>
        <s v="ID3985"/>
        <s v="ID3986"/>
        <s v="ID3987"/>
        <s v="ID3988"/>
        <s v="ID3989"/>
        <s v="ID3990"/>
        <s v="ID3991"/>
        <s v="ID3992"/>
        <s v="ID3993"/>
        <s v="ID3994"/>
        <s v="ID3995"/>
        <s v="ID3996"/>
        <s v="ID3997"/>
        <s v="ID3998"/>
        <s v="ID3999"/>
        <s v="ID4000"/>
        <s v="ID4001"/>
        <s v="ID4002"/>
        <s v="ID4003"/>
        <s v="ID4004"/>
        <s v="ID4005"/>
        <s v="ID4006"/>
        <s v="ID4007"/>
        <s v="ID4008"/>
        <s v="ID4009"/>
        <s v="ID4010"/>
        <s v="ID4011"/>
        <s v="ID4012"/>
        <s v="ID4013"/>
        <s v="ID4014"/>
        <s v="ID4015"/>
        <s v="ID4016"/>
        <s v="ID4017"/>
        <s v="ID4018"/>
        <s v="ID4019"/>
        <s v="ID4020"/>
        <s v="ID4021"/>
        <s v="ID4022"/>
        <s v="ID4023"/>
        <s v="ID4024"/>
        <s v="ID4025"/>
        <s v="ID4026"/>
        <s v="ID4027"/>
        <s v="ID4028"/>
        <s v="ID4029"/>
        <s v="ID4030"/>
        <s v="ID4031"/>
        <s v="ID4032"/>
        <s v="ID4033"/>
        <s v="ID4034"/>
        <s v="ID4035"/>
        <s v="ID4036"/>
        <s v="ID4037"/>
        <s v="ID4038"/>
        <s v="ID4039"/>
        <s v="ID4040"/>
        <s v="ID4041"/>
        <s v="ID4042"/>
        <s v="ID4043"/>
        <s v="ID4044"/>
        <s v="ID4045"/>
        <s v="ID4046"/>
        <s v="ID4047"/>
        <s v="ID4048"/>
        <s v="ID4049"/>
        <s v="ID4050"/>
        <s v="ID4051"/>
        <s v="ID4052"/>
        <s v="ID4053"/>
        <s v="ID4054"/>
        <s v="ID4055"/>
        <s v="ID4056"/>
        <s v="ID4057"/>
        <s v="ID4058"/>
        <s v="ID4059"/>
        <s v="ID4060"/>
        <s v="ID4061"/>
        <s v="ID4062"/>
        <s v="ID4063"/>
        <s v="ID4064"/>
        <s v="ID4065"/>
        <s v="ID4066"/>
        <s v="ID4067"/>
        <s v="ID4068"/>
        <s v="ID4069"/>
        <s v="ID4070"/>
        <s v="ID4071"/>
        <s v="ID4072"/>
        <s v="ID4073"/>
        <s v="ID4074"/>
        <s v="ID4075"/>
        <s v="ID4076"/>
        <s v="ID4077"/>
        <s v="ID4078"/>
        <s v="ID4079"/>
        <s v="ID4080"/>
        <s v="ID4081"/>
        <s v="ID4082"/>
        <s v="ID4083"/>
        <s v="ID4084"/>
        <s v="ID4085"/>
        <s v="ID4086"/>
        <s v="ID4087"/>
        <s v="ID4088"/>
        <s v="ID4089"/>
        <s v="ID4090"/>
        <s v="ID4091"/>
        <s v="ID4092"/>
        <s v="ID4093"/>
        <s v="ID4094"/>
        <s v="ID4095"/>
        <s v="ID4096"/>
        <s v="ID4097"/>
        <s v="ID4098"/>
        <s v="ID4099"/>
        <s v="ID4100"/>
        <s v="ID4101"/>
        <s v="ID4102"/>
        <s v="ID4103"/>
        <s v="ID4104"/>
        <s v="ID4105"/>
        <s v="ID4106"/>
        <s v="ID4107"/>
        <s v="ID4108"/>
        <s v="ID4109"/>
        <s v="ID4110"/>
        <s v="ID4111"/>
        <s v="ID4112"/>
        <s v="ID4113"/>
        <s v="ID4114"/>
        <s v="ID4115"/>
        <s v="ID4116"/>
        <s v="ID4117"/>
        <s v="ID4118"/>
        <s v="ID4119"/>
        <s v="ID4120"/>
        <s v="ID4121"/>
        <s v="ID4122"/>
        <s v="ID4123"/>
        <s v="ID4124"/>
        <s v="ID4125"/>
        <s v="ID4126"/>
        <s v="ID4127"/>
        <s v="ID4128"/>
        <s v="ID4129"/>
        <s v="ID4130"/>
        <s v="ID4131"/>
        <s v="ID4132"/>
        <s v="ID4133"/>
        <s v="ID4134"/>
        <s v="ID4135"/>
        <s v="ID4136"/>
        <s v="ID4137"/>
        <s v="ID4138"/>
        <s v="ID4139"/>
        <s v="ID4140"/>
        <s v="ID4141"/>
        <s v="ID4142"/>
        <s v="ID4143"/>
        <s v="ID4144"/>
        <s v="ID4145"/>
        <s v="ID4146"/>
        <s v="ID4147"/>
        <s v="ID4148"/>
        <s v="ID4149"/>
        <s v="ID4150"/>
        <s v="ID4151"/>
        <s v="ID4152"/>
        <s v="ID4153"/>
        <s v="ID4154"/>
        <s v="ID4155"/>
        <s v="ID4156"/>
        <s v="ID4157"/>
        <s v="ID4158"/>
        <s v="ID4159"/>
        <s v="ID4160"/>
        <s v="ID4161"/>
        <s v="ID4162"/>
        <s v="ID4163"/>
        <s v="ID4164"/>
        <s v="ID4165"/>
        <s v="ID4166"/>
        <s v="ID4167"/>
        <s v="ID4168"/>
        <s v="ID4169"/>
        <s v="ID4170"/>
        <s v="ID4171"/>
        <s v="ID4172"/>
        <s v="ID4173"/>
        <s v="ID4174"/>
        <s v="ID4175"/>
        <s v="ID4176"/>
        <s v="ID4177"/>
        <s v="ID4178"/>
        <s v="ID4179"/>
        <s v="ID4180"/>
        <s v="ID4181"/>
        <s v="ID4182"/>
        <s v="ID4183"/>
        <s v="ID4184"/>
        <s v="ID4185"/>
        <s v="ID4186"/>
        <s v="ID4187"/>
        <s v="ID4188"/>
        <s v="ID4189"/>
        <s v="ID4190"/>
        <s v="ID4191"/>
        <s v="ID4192"/>
        <s v="ID4193"/>
        <s v="ID4194"/>
        <s v="ID4195"/>
        <s v="ID4196"/>
        <s v="ID4197"/>
        <s v="ID4198"/>
        <s v="ID4199"/>
        <s v="ID4200"/>
        <s v="ID4201"/>
        <s v="ID4202"/>
        <s v="ID4203"/>
        <s v="ID4204"/>
        <s v="ID4205"/>
        <s v="ID4206"/>
        <s v="ID4207"/>
        <s v="ID4208"/>
        <s v="ID4209"/>
        <s v="ID4210"/>
        <s v="ID4211"/>
        <s v="ID4212"/>
        <s v="ID4213"/>
        <s v="ID4214"/>
        <s v="ID4215"/>
        <s v="ID4216"/>
        <s v="ID4217"/>
        <s v="ID4218"/>
        <s v="ID4219"/>
        <s v="ID4220"/>
        <s v="ID4221"/>
        <s v="ID4222"/>
        <s v="ID4223"/>
        <s v="ID4224"/>
        <s v="ID4225"/>
        <s v="ID4226"/>
        <s v="ID4227"/>
        <s v="ID4228"/>
        <s v="ID4229"/>
        <s v="ID4230"/>
        <s v="ID4231"/>
        <s v="ID4232"/>
        <s v="ID4233"/>
        <s v="ID4234"/>
        <s v="ID4235"/>
        <s v="ID4236"/>
        <s v="ID4237"/>
        <s v="ID4238"/>
        <s v="ID4239"/>
        <s v="ID4240"/>
        <s v="ID4241"/>
        <s v="ID4242"/>
        <s v="ID4243"/>
        <s v="ID4244"/>
        <s v="ID4245"/>
        <s v="ID4246"/>
        <s v="ID4247"/>
        <s v="ID4248"/>
        <s v="ID4249"/>
        <s v="ID4250"/>
        <s v="ID4251"/>
        <s v="ID4252"/>
        <s v="ID4253"/>
        <s v="ID4254"/>
        <s v="ID4255"/>
        <s v="ID4256"/>
        <s v="ID4257"/>
        <s v="ID4258"/>
        <s v="ID4259"/>
        <s v="ID4260"/>
        <s v="ID4261"/>
        <s v="ID4262"/>
        <s v="ID4263"/>
        <s v="ID4264"/>
        <s v="ID4265"/>
        <s v="ID4266"/>
        <s v="ID4267"/>
        <s v="ID4268"/>
        <s v="ID4269"/>
        <s v="ID4270"/>
        <s v="ID4271"/>
        <s v="ID4272"/>
        <s v="ID4273"/>
        <s v="ID4274"/>
        <s v="ID4275"/>
        <s v="ID4276"/>
        <s v="ID4277"/>
        <s v="ID4278"/>
        <s v="ID4279"/>
        <s v="ID4280"/>
        <s v="ID4281"/>
        <s v="ID4282"/>
        <s v="ID4283"/>
        <s v="ID4284"/>
        <s v="ID4285"/>
        <s v="ID4286"/>
        <s v="ID4287"/>
        <s v="ID4288"/>
        <s v="ID4289"/>
        <s v="ID4290"/>
        <s v="ID4291"/>
        <s v="ID4292"/>
        <s v="ID4293"/>
        <s v="ID4294"/>
        <s v="ID4295"/>
        <s v="ID4296"/>
        <s v="ID4297"/>
        <s v="ID4298"/>
        <s v="ID4299"/>
        <s v="ID4300"/>
        <s v="ID4301"/>
        <s v="ID4302"/>
        <s v="ID4303"/>
        <s v="ID4304"/>
        <s v="ID4305"/>
        <s v="ID4306"/>
        <s v="ID4307"/>
        <s v="ID4308"/>
        <s v="ID4309"/>
        <s v="ID4310"/>
        <s v="ID4311"/>
        <s v="ID4312"/>
        <s v="ID4313"/>
        <s v="ID4314"/>
        <s v="ID4315"/>
        <s v="ID4316"/>
        <s v="ID4317"/>
        <s v="ID4318"/>
        <s v="ID4319"/>
        <s v="ID4320"/>
        <s v="ID4321"/>
        <s v="ID4322"/>
        <s v="ID4323"/>
        <s v="ID4324"/>
        <s v="ID4325"/>
        <s v="ID4326"/>
        <s v="ID4327"/>
        <s v="ID4328"/>
        <s v="ID4329"/>
        <s v="ID4330"/>
        <s v="ID4331"/>
        <s v="ID4332"/>
        <s v="ID4333"/>
        <s v="ID4334"/>
        <s v="ID4335"/>
        <s v="ID4336"/>
        <s v="ID4337"/>
        <s v="ID4338"/>
        <s v="ID4339"/>
        <s v="ID4340"/>
        <s v="ID4341"/>
        <s v="ID4342"/>
        <s v="ID4343"/>
        <s v="ID4344"/>
        <s v="ID4345"/>
        <s v="ID4346"/>
        <s v="ID4347"/>
        <s v="ID4348"/>
        <s v="ID4349"/>
        <s v="ID4350"/>
        <s v="ID4351"/>
        <s v="ID4352"/>
        <s v="ID4353"/>
        <s v="ID4354"/>
        <s v="ID4355"/>
        <s v="ID4356"/>
        <s v="ID4357"/>
        <s v="ID4358"/>
        <s v="ID4359"/>
        <s v="ID4360"/>
        <s v="ID4361"/>
        <s v="ID4362"/>
        <s v="ID4363"/>
        <s v="ID4364"/>
        <s v="ID4365"/>
        <s v="ID4366"/>
        <s v="ID4367"/>
        <s v="ID4368"/>
        <s v="ID4369"/>
        <s v="ID4370"/>
        <s v="ID4371"/>
        <s v="ID4372"/>
        <s v="ID4373"/>
        <s v="ID4374"/>
        <s v="ID4375"/>
        <s v="ID4376"/>
        <s v="ID4377"/>
        <s v="ID4378"/>
        <s v="ID4379"/>
        <s v="ID4380"/>
        <s v="ID4381"/>
        <s v="ID4382"/>
        <s v="ID4383"/>
        <s v="ID4384"/>
        <s v="ID4385"/>
        <s v="ID4386"/>
        <s v="ID4387"/>
        <s v="ID4388"/>
        <s v="ID4389"/>
        <s v="ID4390"/>
        <s v="ID4391"/>
        <s v="ID4392"/>
        <s v="ID4393"/>
        <s v="ID4394"/>
        <s v="ID4395"/>
        <s v="ID4396"/>
        <s v="ID4397"/>
        <s v="ID4398"/>
        <s v="ID4399"/>
        <s v="ID4400"/>
        <s v="ID4401"/>
        <s v="ID4402"/>
        <s v="ID4403"/>
        <s v="ID4404"/>
        <s v="ID4405"/>
        <s v="ID4406"/>
        <s v="ID4407"/>
        <s v="ID4408"/>
        <s v="ID4409"/>
        <s v="ID4410"/>
        <s v="ID4411"/>
        <s v="ID4412"/>
        <s v="ID4413"/>
        <s v="ID4414"/>
        <s v="ID4415"/>
        <s v="ID4416"/>
        <s v="ID4417"/>
        <s v="ID4418"/>
        <s v="ID4419"/>
        <s v="ID4420"/>
        <s v="ID4421"/>
        <s v="ID4422"/>
        <s v="ID4423"/>
        <s v="ID4424"/>
        <s v="ID4425"/>
        <s v="ID4426"/>
        <s v="ID4427"/>
        <s v="ID4428"/>
        <s v="ID4429"/>
        <s v="ID4430"/>
        <s v="ID4431"/>
        <s v="ID4432"/>
        <s v="ID4433"/>
        <s v="ID4434"/>
        <s v="ID4435"/>
        <s v="ID4436"/>
        <s v="ID4437"/>
        <s v="ID4438"/>
        <s v="ID4439"/>
        <s v="ID4440"/>
        <s v="ID4441"/>
        <s v="ID4442"/>
        <s v="ID4443"/>
        <s v="ID4444"/>
        <s v="ID4445"/>
        <s v="ID4446"/>
        <s v="ID4447"/>
        <s v="ID4448"/>
        <s v="ID4449"/>
        <s v="ID4450"/>
        <s v="ID4451"/>
        <s v="ID4452"/>
        <s v="ID4453"/>
        <s v="ID4454"/>
        <s v="ID4455"/>
        <s v="ID4456"/>
        <s v="ID4457"/>
        <s v="ID4458"/>
        <s v="ID4459"/>
        <s v="ID4460"/>
        <s v="ID4461"/>
        <s v="ID4462"/>
        <s v="ID4463"/>
        <s v="ID4464"/>
        <s v="ID4465"/>
        <s v="ID4466"/>
        <s v="ID4467"/>
        <s v="ID4468"/>
        <s v="ID4469"/>
        <s v="ID4470"/>
        <s v="ID4471"/>
        <s v="ID4472"/>
        <s v="ID4473"/>
        <s v="ID4474"/>
        <s v="ID4475"/>
        <s v="ID4476"/>
        <s v="ID4477"/>
        <s v="ID4478"/>
        <s v="ID4479"/>
        <s v="ID4480"/>
        <s v="ID4481"/>
        <s v="ID4482"/>
        <s v="ID4483"/>
        <s v="ID4484"/>
        <s v="ID4485"/>
        <s v="ID4486"/>
        <s v="ID4487"/>
        <s v="ID4488"/>
        <s v="ID4489"/>
        <s v="ID4490"/>
        <s v="ID4491"/>
        <s v="ID4492"/>
        <s v="ID4493"/>
        <s v="ID4494"/>
        <s v="ID4495"/>
        <s v="ID4496"/>
        <s v="ID4497"/>
        <s v="ID4498"/>
        <s v="ID4499"/>
        <s v="ID4500"/>
        <s v="ID4501"/>
        <s v="ID4502"/>
        <s v="ID4503"/>
        <s v="ID4504"/>
        <s v="ID4505"/>
        <s v="ID4506"/>
        <s v="ID4507"/>
        <s v="ID4508"/>
        <s v="ID4509"/>
        <s v="ID4510"/>
        <s v="ID4511"/>
        <s v="ID4512"/>
        <s v="ID4513"/>
        <s v="ID4514"/>
        <s v="ID4515"/>
        <s v="ID4516"/>
        <s v="ID4517"/>
        <s v="ID4518"/>
        <s v="ID4519"/>
        <s v="ID4520"/>
        <s v="ID4521"/>
        <s v="ID4522"/>
        <s v="ID4523"/>
        <s v="ID4524"/>
        <s v="ID4525"/>
        <s v="ID4526"/>
        <s v="ID4527"/>
        <s v="ID4528"/>
        <s v="ID4529"/>
        <s v="ID4530"/>
        <s v="ID4531"/>
        <s v="ID4532"/>
        <s v="ID4533"/>
        <s v="ID4534"/>
        <s v="ID4535"/>
        <s v="ID4536"/>
        <s v="ID4537"/>
        <s v="ID4538"/>
        <s v="ID4539"/>
        <s v="ID4540"/>
        <s v="ID4541"/>
        <s v="ID4542"/>
        <s v="ID4543"/>
        <s v="ID4544"/>
        <s v="ID4545"/>
        <s v="ID4546"/>
        <s v="ID4547"/>
        <s v="ID4548"/>
        <s v="ID4549"/>
        <s v="ID4550"/>
        <s v="ID4551"/>
        <s v="ID4552"/>
        <s v="ID4553"/>
        <s v="ID4554"/>
        <s v="ID4555"/>
        <s v="ID4556"/>
        <s v="ID4557"/>
        <s v="ID4558"/>
        <s v="ID4559"/>
        <s v="ID4560"/>
        <s v="ID4561"/>
        <s v="ID4562"/>
        <s v="ID4563"/>
        <s v="ID4564"/>
        <s v="ID4565"/>
        <s v="ID4566"/>
        <s v="ID4567"/>
        <s v="ID4568"/>
        <s v="ID4569"/>
        <s v="ID4570"/>
        <s v="ID4571"/>
        <s v="ID4572"/>
        <s v="ID4573"/>
        <s v="ID4574"/>
        <s v="ID4575"/>
        <s v="ID4576"/>
        <s v="ID4577"/>
        <s v="ID4578"/>
        <s v="ID4579"/>
        <s v="ID4580"/>
        <s v="ID4581"/>
        <s v="ID4582"/>
        <s v="ID4583"/>
        <s v="ID4584"/>
        <s v="ID4585"/>
        <s v="ID4586"/>
        <s v="ID4587"/>
        <s v="ID4588"/>
        <s v="ID4589"/>
        <s v="ID4590"/>
        <s v="ID4591"/>
        <s v="ID4592"/>
        <s v="ID4593"/>
        <s v="ID4594"/>
        <s v="ID4595"/>
        <s v="ID4596"/>
        <s v="ID4597"/>
        <s v="ID4598"/>
        <s v="ID4599"/>
        <s v="ID4600"/>
        <s v="ID4601"/>
        <s v="ID4602"/>
        <s v="ID4603"/>
        <s v="ID4604"/>
        <s v="ID4605"/>
        <s v="ID4606"/>
        <s v="ID4607"/>
        <s v="ID4608"/>
        <s v="ID4609"/>
        <s v="ID4610"/>
        <s v="ID4611"/>
        <s v="ID4612"/>
        <s v="ID4613"/>
        <s v="ID4614"/>
        <s v="ID4615"/>
        <s v="ID4616"/>
        <s v="ID4617"/>
        <s v="ID4618"/>
        <s v="ID4619"/>
        <s v="ID4620"/>
        <s v="ID4621"/>
        <s v="ID4622"/>
        <s v="ID4623"/>
        <s v="ID4624"/>
        <s v="ID4625"/>
        <s v="ID4626"/>
        <s v="ID4627"/>
        <s v="ID4628"/>
        <s v="ID4629"/>
        <s v="ID4630"/>
        <s v="ID4631"/>
        <s v="ID4632"/>
        <s v="ID4633"/>
        <s v="ID4634"/>
        <s v="ID4635"/>
        <s v="ID4636"/>
        <s v="ID4637"/>
        <s v="ID4638"/>
        <s v="ID4639"/>
        <s v="ID4640"/>
        <s v="ID4641"/>
        <s v="ID4642"/>
        <s v="ID4643"/>
        <s v="ID4644"/>
        <s v="ID4645"/>
        <s v="ID4646"/>
        <s v="ID4647"/>
        <s v="ID4648"/>
        <s v="ID4649"/>
        <s v="ID4650"/>
        <s v="ID4651"/>
        <s v="ID4652"/>
        <s v="ID4653"/>
        <s v="ID4654"/>
        <s v="ID4655"/>
        <s v="ID4656"/>
        <s v="ID4657"/>
        <s v="ID4658"/>
        <s v="ID4659"/>
        <s v="ID4660"/>
        <s v="ID4661"/>
        <s v="ID4662"/>
        <s v="ID4663"/>
        <s v="ID4664"/>
        <s v="ID4665"/>
        <s v="ID4666"/>
        <s v="ID4667"/>
        <s v="ID4668"/>
        <s v="ID4669"/>
        <s v="ID4670"/>
        <s v="ID4671"/>
        <s v="ID4672"/>
        <s v="ID4673"/>
        <s v="ID4674"/>
        <s v="ID4675"/>
        <s v="ID4676"/>
        <s v="ID4677"/>
        <s v="ID4678"/>
        <s v="ID4679"/>
        <s v="ID4680"/>
        <s v="ID4681"/>
        <s v="ID4682"/>
        <s v="ID4683"/>
        <s v="ID4684"/>
        <s v="ID4685"/>
        <s v="ID4686"/>
        <s v="ID4687"/>
        <s v="ID4688"/>
        <s v="ID4689"/>
        <s v="ID4690"/>
        <s v="ID4691"/>
        <s v="ID4692"/>
        <s v="ID4693"/>
        <s v="ID4694"/>
        <s v="ID4695"/>
        <s v="ID4696"/>
        <s v="ID4697"/>
        <s v="ID4698"/>
        <s v="ID4699"/>
        <s v="ID4700"/>
        <s v="ID4701"/>
        <s v="ID4702"/>
        <s v="ID4703"/>
        <s v="ID4704"/>
        <s v="ID4705"/>
        <s v="ID4706"/>
        <s v="ID4707"/>
        <s v="ID4708"/>
        <s v="ID4709"/>
        <s v="ID4710"/>
        <s v="ID4711"/>
        <s v="ID4712"/>
        <s v="ID4713"/>
        <s v="ID4714"/>
        <s v="ID4715"/>
        <s v="ID4716"/>
        <s v="ID4717"/>
        <s v="ID4718"/>
        <s v="ID4719"/>
        <s v="ID4720"/>
        <s v="ID4721"/>
        <s v="ID4722"/>
        <s v="ID4723"/>
        <s v="ID4724"/>
        <s v="ID4725"/>
        <s v="ID4726"/>
        <s v="ID4727"/>
        <s v="ID4728"/>
        <s v="ID4729"/>
        <s v="ID4730"/>
        <s v="ID4731"/>
        <s v="ID4732"/>
        <s v="ID4733"/>
        <s v="ID4734"/>
        <s v="ID4735"/>
        <s v="ID4736"/>
        <s v="ID4737"/>
        <s v="ID4738"/>
        <s v="ID4739"/>
        <s v="ID4740"/>
        <s v="ID4741"/>
        <s v="ID4742"/>
        <s v="ID4743"/>
        <s v="ID4744"/>
        <s v="ID4745"/>
        <s v="ID4746"/>
        <s v="ID4747"/>
        <s v="ID4748"/>
        <s v="ID4749"/>
        <s v="ID4750"/>
        <s v="ID4751"/>
        <s v="ID4752"/>
        <s v="ID4753"/>
        <s v="ID4754"/>
        <s v="ID4755"/>
        <s v="ID4756"/>
        <s v="ID4757"/>
        <s v="ID4758"/>
        <s v="ID4759"/>
        <s v="ID4760"/>
        <s v="ID4761"/>
        <s v="ID4762"/>
        <s v="ID4763"/>
        <s v="ID4764"/>
        <s v="ID4765"/>
        <s v="ID4766"/>
        <s v="ID4767"/>
        <s v="ID4768"/>
        <s v="ID4769"/>
        <s v="ID4770"/>
        <s v="ID4771"/>
        <s v="ID4772"/>
        <s v="ID4773"/>
        <s v="ID4774"/>
        <s v="ID4775"/>
        <s v="ID4776"/>
        <s v="ID4777"/>
        <s v="ID4778"/>
        <s v="ID4779"/>
        <s v="ID4780"/>
        <s v="ID4781"/>
        <s v="ID4782"/>
        <s v="ID4783"/>
        <s v="ID4784"/>
        <s v="ID4785"/>
        <s v="ID4786"/>
        <s v="ID4787"/>
        <s v="ID4788"/>
        <s v="ID4789"/>
        <s v="ID4790"/>
        <s v="ID4791"/>
        <s v="ID4792"/>
        <s v="ID4793"/>
        <s v="ID4794"/>
        <s v="ID4795"/>
        <s v="ID4796"/>
        <s v="ID4797"/>
        <s v="ID4798"/>
        <s v="ID4799"/>
        <s v="ID4800"/>
        <s v="ID4801"/>
        <s v="ID4802"/>
        <s v="ID4803"/>
        <s v="ID4804"/>
        <s v="ID4805"/>
        <s v="ID4806"/>
        <s v="ID4807"/>
        <s v="ID4808"/>
        <s v="ID4809"/>
        <s v="ID4810"/>
        <s v="ID4811"/>
        <s v="ID4812"/>
        <s v="ID4813"/>
        <s v="ID4814"/>
        <s v="ID4815"/>
        <s v="ID4816"/>
        <s v="ID4817"/>
        <s v="ID4818"/>
        <s v="ID4819"/>
        <s v="ID4820"/>
        <s v="ID4821"/>
        <s v="ID4822"/>
        <s v="ID4823"/>
        <s v="ID4824"/>
        <s v="ID4825"/>
        <s v="ID4826"/>
        <s v="ID4827"/>
        <s v="ID4828"/>
        <s v="ID4829"/>
        <s v="ID4830"/>
        <s v="ID4831"/>
        <s v="ID4832"/>
        <s v="ID4833"/>
        <s v="ID4834"/>
        <s v="ID4835"/>
        <s v="ID4836"/>
        <s v="ID4837"/>
        <s v="ID4838"/>
        <s v="ID4839"/>
        <s v="ID4840"/>
        <s v="ID4841"/>
        <s v="ID4842"/>
        <s v="ID4843"/>
        <s v="ID4844"/>
        <s v="ID4845"/>
        <s v="ID4846"/>
        <s v="ID4847"/>
        <s v="ID4848"/>
        <s v="ID4849"/>
        <s v="ID4850"/>
        <s v="ID4851"/>
        <s v="ID4852"/>
        <s v="ID4853"/>
        <s v="ID4854"/>
        <s v="ID4855"/>
        <s v="ID4856"/>
        <s v="ID4857"/>
        <s v="ID4858"/>
        <s v="ID4859"/>
        <s v="ID4860"/>
        <s v="ID4861"/>
        <s v="ID4862"/>
        <s v="ID4863"/>
        <s v="ID4864"/>
        <s v="ID4865"/>
        <s v="ID4866"/>
        <s v="ID4867"/>
        <s v="ID4868"/>
        <s v="ID4869"/>
        <s v="ID4870"/>
        <s v="ID4871"/>
        <s v="ID4872"/>
        <s v="ID4873"/>
        <s v="ID4874"/>
        <s v="ID4875"/>
        <s v="ID4876"/>
        <s v="ID4877"/>
        <s v="ID4878"/>
        <s v="ID4879"/>
        <s v="ID4880"/>
        <s v="ID4881"/>
        <s v="ID4882"/>
        <s v="ID4883"/>
        <s v="ID4884"/>
        <s v="ID4885"/>
        <s v="ID4886"/>
        <s v="ID4887"/>
        <s v="ID4888"/>
        <s v="ID4889"/>
        <s v="ID4890"/>
        <s v="ID4891"/>
        <s v="ID4892"/>
        <s v="ID4893"/>
        <s v="ID4894"/>
        <s v="ID4895"/>
        <s v="ID4896"/>
        <s v="ID4897"/>
        <s v="ID4898"/>
        <s v="ID4899"/>
        <s v="ID4900"/>
        <s v="ID4901"/>
        <s v="ID4902"/>
        <s v="ID4903"/>
        <s v="ID4904"/>
        <s v="ID4905"/>
        <s v="ID4906"/>
        <s v="ID4907"/>
        <s v="ID4908"/>
        <s v="ID4909"/>
        <s v="ID4910"/>
        <s v="ID4911"/>
        <s v="ID4912"/>
        <s v="ID4913"/>
        <s v="ID4914"/>
        <s v="ID4915"/>
        <s v="ID4916"/>
        <s v="ID4917"/>
        <s v="ID4918"/>
        <s v="ID4919"/>
        <s v="ID4920"/>
        <s v="ID4921"/>
        <s v="ID4922"/>
        <s v="ID4923"/>
        <s v="ID4924"/>
        <s v="ID4925"/>
        <s v="ID4926"/>
        <s v="ID4927"/>
        <s v="ID4928"/>
        <s v="ID4929"/>
        <s v="ID4930"/>
        <s v="ID4931"/>
        <s v="ID4932"/>
        <s v="ID4933"/>
        <s v="ID4934"/>
        <s v="ID4935"/>
        <s v="ID4936"/>
        <s v="ID4937"/>
        <s v="ID4938"/>
        <s v="ID4939"/>
        <s v="ID4940"/>
        <s v="ID4941"/>
        <s v="ID4942"/>
        <s v="ID4943"/>
        <s v="ID4944"/>
        <s v="ID4945"/>
        <s v="ID4946"/>
        <s v="ID4947"/>
        <s v="ID4948"/>
        <s v="ID4949"/>
        <s v="ID4950"/>
        <s v="ID4951"/>
        <s v="ID4952"/>
        <s v="ID4953"/>
        <s v="ID4954"/>
        <s v="ID4955"/>
        <s v="ID4956"/>
        <s v="ID4957"/>
        <s v="ID4958"/>
        <s v="ID4959"/>
        <s v="ID4960"/>
        <s v="ID4961"/>
        <s v="ID4962"/>
        <s v="ID4963"/>
        <s v="ID4964"/>
        <s v="ID4965"/>
        <s v="ID4966"/>
        <s v="ID4967"/>
        <s v="ID4968"/>
        <s v="ID4969"/>
        <s v="ID4970"/>
        <s v="ID4971"/>
        <s v="ID4972"/>
        <s v="ID4973"/>
        <s v="ID4974"/>
        <s v="ID4975"/>
        <s v="ID4976"/>
        <s v="ID4977"/>
        <s v="ID4978"/>
        <s v="ID4979"/>
        <s v="ID4980"/>
        <s v="ID4981"/>
        <s v="ID4982"/>
        <s v="ID4983"/>
        <s v="ID4984"/>
        <s v="ID4985"/>
        <s v="ID4986"/>
        <s v="ID4987"/>
        <s v="ID4988"/>
        <s v="ID4989"/>
        <s v="ID4990"/>
        <s v="ID4991"/>
        <s v="ID4992"/>
        <s v="ID4993"/>
        <s v="ID4994"/>
        <s v="ID4995"/>
        <s v="ID4996"/>
        <s v="ID4997"/>
        <s v="ID4998"/>
        <s v="ID4999"/>
        <s v="ID5000"/>
      </sharedItems>
    </cacheField>
    <cacheField name="Agent" numFmtId="0">
      <sharedItems/>
    </cacheField>
    <cacheField name="Date" numFmtId="0">
      <sharedItems count="90"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</sharedItems>
    </cacheField>
    <cacheField name="Time" numFmtId="21">
      <sharedItems containsSemiMixedTypes="0" containsNonDate="0" containsDate="1" containsString="0" minDate="1899-12-30T09:00:00" maxDate="1899-12-30T18:00:00"/>
    </cacheField>
    <cacheField name="DateTime" numFmtId="164">
      <sharedItems containsSemiMixedTypes="0" containsNonDate="0" containsDate="1" containsString="0" minDate="2021-01-01T09:12:58" maxDate="2021-03-31T17:39:50"/>
    </cacheField>
    <cacheField name="DayOfWeek" numFmtId="21">
      <sharedItems count="7">
        <s v="Friday"/>
        <s v="Saturday"/>
        <s v="Sunday"/>
        <s v="Monday"/>
        <s v="Tuesday"/>
        <s v="Wednesday"/>
        <s v="Thursday"/>
      </sharedItems>
    </cacheField>
    <cacheField name="HourOfDay" numFmtId="1">
      <sharedItems containsSemiMixedTypes="0" containsString="0" containsNumber="1" containsInteger="1" minValue="9" maxValue="18" count="10">
        <n v="9"/>
        <n v="10"/>
        <n v="11"/>
        <n v="12"/>
        <n v="13"/>
        <n v="14"/>
        <n v="15"/>
        <n v="17"/>
        <n v="16"/>
        <n v="18"/>
      </sharedItems>
    </cacheField>
    <cacheField name="Topic" numFmtId="0">
      <sharedItems count="5">
        <s v="Contract related"/>
        <s v="Technical Support"/>
        <s v="Payment related"/>
        <s v="Admin Support"/>
        <s v="Streaming"/>
      </sharedItems>
    </cacheField>
    <cacheField name="Answered (Y/N)" numFmtId="0">
      <sharedItems count="2">
        <s v="Y"/>
        <s v="N"/>
      </sharedItems>
    </cacheField>
    <cacheField name="Resolved" numFmtId="0">
      <sharedItems/>
    </cacheField>
    <cacheField name="Speed of answer in seconds" numFmtId="0">
      <sharedItems containsString="0" containsBlank="1" containsNumber="1" containsInteger="1" minValue="10" maxValue="125"/>
    </cacheField>
    <cacheField name="WithinSLA" numFmtId="0">
      <sharedItems count="2">
        <s v="Breach"/>
        <s v="Within"/>
      </sharedItems>
    </cacheField>
    <cacheField name="AvgTalkDuration" numFmtId="0">
      <sharedItems containsNonDate="0" containsDate="1" containsString="0" containsBlank="1" minDate="1899-12-30T00:00:30" maxDate="1899-12-30T00:07:00"/>
    </cacheField>
    <cacheField name="Satisfaction rating" numFmtId="0">
      <sharedItems containsString="0" containsBlank="1" containsNumber="1" containsInteger="1" minValue="1" maxValue="5"/>
    </cacheField>
    <cacheField name="Field1" numFmtId="0" formula="'Answered (Y/N)'= &quot;Y&quot;" databaseField="0"/>
    <cacheField name="Field2" numFmtId="0" formula="IF('Speed of answer in seconds'= &quot;Y&quot;, 1, 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omas" refreshedDate="45989.788001388886" backgroundQuery="1" createdVersion="8" refreshedVersion="8" minRefreshableVersion="3" recordCount="0" supportSubquery="1" supportAdvancedDrill="1" xr:uid="{7AE6B1EC-A2C1-4005-8A3F-A3A44835A1A7}">
  <cacheSource type="external" connectionId="1"/>
  <cacheFields count="4">
    <cacheField name="[CallLog].[Date].[Date]" caption="Date" numFmtId="0" hierarchy="2" level="1">
      <sharedItems count="90"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</sharedItems>
    </cacheField>
    <cacheField name="[CallLog].[HourOfDay].[HourOfDay]" caption="HourOfDay" numFmtId="0" hierarchy="6" level="1">
      <sharedItems containsSemiMixedTypes="0" containsString="0" containsNumber="1" containsInteger="1" minValue="9" maxValue="18" count="10">
        <n v="9"/>
        <n v="10"/>
        <n v="11"/>
        <n v="12"/>
        <n v="13"/>
        <n v="14"/>
        <n v="15"/>
        <n v="17"/>
        <n v="16"/>
        <n v="18"/>
      </sharedItems>
      <extLst>
        <ext xmlns:x15="http://schemas.microsoft.com/office/spreadsheetml/2010/11/main" uri="{4F2E5C28-24EA-4eb8-9CBF-B6C8F9C3D259}">
          <x15:cachedUniqueNames>
            <x15:cachedUniqueName index="0" name="[CallLog].[HourOfDay].&amp;[9]"/>
            <x15:cachedUniqueName index="1" name="[CallLog].[HourOfDay].&amp;[10]"/>
            <x15:cachedUniqueName index="2" name="[CallLog].[HourOfDay].&amp;[11]"/>
            <x15:cachedUniqueName index="3" name="[CallLog].[HourOfDay].&amp;[12]"/>
            <x15:cachedUniqueName index="4" name="[CallLog].[HourOfDay].&amp;[13]"/>
            <x15:cachedUniqueName index="5" name="[CallLog].[HourOfDay].&amp;[14]"/>
            <x15:cachedUniqueName index="6" name="[CallLog].[HourOfDay].&amp;[15]"/>
            <x15:cachedUniqueName index="7" name="[CallLog].[HourOfDay].&amp;[17]"/>
            <x15:cachedUniqueName index="8" name="[CallLog].[HourOfDay].&amp;[16]"/>
            <x15:cachedUniqueName index="9" name="[CallLog].[HourOfDay].&amp;[18]"/>
          </x15:cachedUniqueNames>
        </ext>
      </extLst>
    </cacheField>
    <cacheField name="[Measures].[Sum of Speed of answer in seconds]" caption="Sum of Speed of answer in seconds" numFmtId="0" hierarchy="17" level="32767"/>
    <cacheField name="[Measures].[Distinct Count of Agent]" caption="Distinct Count of Agent" numFmtId="0" hierarchy="19" level="32767"/>
  </cacheFields>
  <cacheHierarchies count="20">
    <cacheHierarchy uniqueName="[CallLog].[Call Id]" caption="Call Id" attribute="1" defaultMemberUniqueName="[CallLog].[Call Id].[All]" allUniqueName="[CallLog].[Call Id].[All]" dimensionUniqueName="[CallLog]" displayFolder="" count="0" memberValueDatatype="130" unbalanced="0"/>
    <cacheHierarchy uniqueName="[CallLog].[Agent]" caption="Agent" attribute="1" defaultMemberUniqueName="[CallLog].[Agent].[All]" allUniqueName="[CallLog].[Agent].[All]" dimensionUniqueName="[CallLog]" displayFolder="" count="0" memberValueDatatype="130" unbalanced="0"/>
    <cacheHierarchy uniqueName="[CallLog].[Date]" caption="Date" attribute="1" defaultMemberUniqueName="[CallLog].[Date].[All]" allUniqueName="[CallLog].[Date].[All]" dimensionUniqueName="[CallLog]" displayFolder="" count="2" memberValueDatatype="130" unbalanced="0">
      <fieldsUsage count="2">
        <fieldUsage x="-1"/>
        <fieldUsage x="0"/>
      </fieldsUsage>
    </cacheHierarchy>
    <cacheHierarchy uniqueName="[CallLog].[Time]" caption="Time" attribute="1" time="1" defaultMemberUniqueName="[CallLog].[Time].[All]" allUniqueName="[CallLog].[Time].[All]" dimensionUniqueName="[CallLog]" displayFolder="" count="0" memberValueDatatype="7" unbalanced="0"/>
    <cacheHierarchy uniqueName="[CallLog].[DateTime]" caption="DateTime" attribute="1" time="1" defaultMemberUniqueName="[CallLog].[DateTime].[All]" allUniqueName="[CallLog].[DateTime].[All]" dimensionUniqueName="[CallLog]" displayFolder="" count="0" memberValueDatatype="7" unbalanced="0"/>
    <cacheHierarchy uniqueName="[CallLog].[DayOfWeek]" caption="DayOfWeek" attribute="1" defaultMemberUniqueName="[CallLog].[DayOfWeek].[All]" allUniqueName="[CallLog].[DayOfWeek].[All]" dimensionUniqueName="[CallLog]" displayFolder="" count="0" memberValueDatatype="130" unbalanced="0"/>
    <cacheHierarchy uniqueName="[CallLog].[HourOfDay]" caption="HourOfDay" attribute="1" defaultMemberUniqueName="[CallLog].[HourOfDay].[All]" allUniqueName="[CallLog].[HourOfDay].[All]" dimensionUniqueName="[CallLog]" displayFolder="" count="2" memberValueDatatype="20" unbalanced="0">
      <fieldsUsage count="2">
        <fieldUsage x="-1"/>
        <fieldUsage x="1"/>
      </fieldsUsage>
    </cacheHierarchy>
    <cacheHierarchy uniqueName="[CallLog].[Topic]" caption="Topic" attribute="1" defaultMemberUniqueName="[CallLog].[Topic].[All]" allUniqueName="[CallLog].[Topic].[All]" dimensionUniqueName="[CallLog]" displayFolder="" count="0" memberValueDatatype="130" unbalanced="0"/>
    <cacheHierarchy uniqueName="[CallLog].[Answered (Y/N)]" caption="Answered (Y/N)" attribute="1" defaultMemberUniqueName="[CallLog].[Answered (Y/N)].[All]" allUniqueName="[CallLog].[Answered (Y/N)].[All]" dimensionUniqueName="[CallLog]" displayFolder="" count="0" memberValueDatatype="130" unbalanced="0"/>
    <cacheHierarchy uniqueName="[CallLog].[Resolved]" caption="Resolved" attribute="1" defaultMemberUniqueName="[CallLog].[Resolved].[All]" allUniqueName="[CallLog].[Resolved].[All]" dimensionUniqueName="[CallLog]" displayFolder="" count="0" memberValueDatatype="130" unbalanced="0"/>
    <cacheHierarchy uniqueName="[CallLog].[Speed of answer in seconds]" caption="Speed of answer in seconds" attribute="1" defaultMemberUniqueName="[CallLog].[Speed of answer in seconds].[All]" allUniqueName="[CallLog].[Speed of answer in seconds].[All]" dimensionUniqueName="[CallLog]" displayFolder="" count="0" memberValueDatatype="20" unbalanced="0"/>
    <cacheHierarchy uniqueName="[CallLog].[WithinSLA]" caption="WithinSLA" attribute="1" defaultMemberUniqueName="[CallLog].[WithinSLA].[All]" allUniqueName="[CallLog].[WithinSLA].[All]" dimensionUniqueName="[CallLog]" displayFolder="" count="0" memberValueDatatype="130" unbalanced="0"/>
    <cacheHierarchy uniqueName="[CallLog].[AvgTalkDuration]" caption="AvgTalkDuration" attribute="1" time="1" defaultMemberUniqueName="[CallLog].[AvgTalkDuration].[All]" allUniqueName="[CallLog].[AvgTalkDuration].[All]" dimensionUniqueName="[CallLog]" displayFolder="" count="0" memberValueDatatype="7" unbalanced="0"/>
    <cacheHierarchy uniqueName="[CallLog].[Satisfaction rating]" caption="Satisfaction rating" attribute="1" defaultMemberUniqueName="[CallLog].[Satisfaction rating].[All]" allUniqueName="[CallLog].[Satisfaction rating].[All]" dimensionUniqueName="[CallLog]" displayFolder="" count="0" memberValueDatatype="20" unbalanced="0"/>
    <cacheHierarchy uniqueName="[Measures].[__XL_Count CallLog]" caption="__XL_Count CallLog" measure="1" displayFolder="" measureGroup="CallLog" count="0" hidden="1"/>
    <cacheHierarchy uniqueName="[Measures].[__No measures defined]" caption="__No measures defined" measure="1" displayFolder="" count="0" hidden="1"/>
    <cacheHierarchy uniqueName="[Measures].[Count of AvgTalkDuration]" caption="Count of AvgTalkDuration" measure="1" displayFolder="" measureGroup="CallLog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peed of answer in seconds]" caption="Sum of Speed of answer in seconds" measure="1" displayFolder="" measureGroup="CallLo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gent]" caption="Count of Agent" measure="1" displayFolder="" measureGroup="CallLog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Agent]" caption="Distinct Count of Agent" measure="1" displayFolder="" measureGroup="CallLog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CallLog" uniqueName="[CallLog]" caption="CallLog"/>
    <dimension measure="1" name="Measures" uniqueName="[Measures]" caption="Measures"/>
  </dimensions>
  <measureGroups count="1">
    <measureGroup name="CallLog" caption="CallLog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Diane"/>
    <x v="0"/>
    <d v="1899-12-30T09:12:58"/>
    <d v="2021-01-01T09:12:58"/>
    <x v="0"/>
    <x v="0"/>
    <x v="0"/>
    <x v="0"/>
    <s v="Y"/>
    <n v="109"/>
    <x v="0"/>
    <d v="1899-12-30T00:02:23"/>
    <n v="3"/>
  </r>
  <r>
    <x v="1"/>
    <s v="Becky"/>
    <x v="0"/>
    <d v="1899-12-30T09:12:58"/>
    <d v="2021-01-01T09:12:58"/>
    <x v="0"/>
    <x v="0"/>
    <x v="1"/>
    <x v="0"/>
    <s v="N"/>
    <n v="70"/>
    <x v="0"/>
    <d v="1899-12-30T00:04:02"/>
    <n v="3"/>
  </r>
  <r>
    <x v="2"/>
    <s v="Stewart"/>
    <x v="0"/>
    <d v="1899-12-30T09:47:31"/>
    <d v="2021-01-01T09:47:31"/>
    <x v="0"/>
    <x v="0"/>
    <x v="0"/>
    <x v="0"/>
    <s v="Y"/>
    <n v="10"/>
    <x v="1"/>
    <d v="1899-12-30T00:02:11"/>
    <n v="3"/>
  </r>
  <r>
    <x v="3"/>
    <s v="Greg"/>
    <x v="0"/>
    <d v="1899-12-30T09:47:31"/>
    <d v="2021-01-01T09:47:31"/>
    <x v="0"/>
    <x v="0"/>
    <x v="0"/>
    <x v="0"/>
    <s v="Y"/>
    <n v="53"/>
    <x v="0"/>
    <d v="1899-12-30T00:00:37"/>
    <n v="2"/>
  </r>
  <r>
    <x v="4"/>
    <s v="Becky"/>
    <x v="0"/>
    <d v="1899-12-30T10:00:29"/>
    <d v="2021-01-01T10:00:29"/>
    <x v="0"/>
    <x v="1"/>
    <x v="2"/>
    <x v="0"/>
    <s v="Y"/>
    <n v="95"/>
    <x v="0"/>
    <d v="1899-12-30T00:01:00"/>
    <n v="3"/>
  </r>
  <r>
    <x v="5"/>
    <s v="Stewart"/>
    <x v="0"/>
    <d v="1899-12-30T10:00:29"/>
    <d v="2021-01-01T10:00:29"/>
    <x v="0"/>
    <x v="1"/>
    <x v="1"/>
    <x v="1"/>
    <s v="N"/>
    <m/>
    <x v="0"/>
    <m/>
    <m/>
  </r>
  <r>
    <x v="6"/>
    <s v="Diane"/>
    <x v="0"/>
    <d v="1899-12-30T10:22:05"/>
    <d v="2021-01-01T10:22:05"/>
    <x v="0"/>
    <x v="1"/>
    <x v="2"/>
    <x v="0"/>
    <s v="Y"/>
    <n v="24"/>
    <x v="0"/>
    <d v="1899-12-30T00:03:40"/>
    <n v="2"/>
  </r>
  <r>
    <x v="7"/>
    <s v="Diane"/>
    <x v="0"/>
    <d v="1899-12-30T10:22:05"/>
    <d v="2021-01-01T10:22:05"/>
    <x v="0"/>
    <x v="1"/>
    <x v="2"/>
    <x v="0"/>
    <s v="Y"/>
    <n v="22"/>
    <x v="0"/>
    <d v="1899-12-30T00:00:38"/>
    <n v="4"/>
  </r>
  <r>
    <x v="8"/>
    <s v="Greg"/>
    <x v="0"/>
    <d v="1899-12-30T11:13:55"/>
    <d v="2021-01-01T11:13:55"/>
    <x v="0"/>
    <x v="2"/>
    <x v="3"/>
    <x v="0"/>
    <s v="Y"/>
    <n v="15"/>
    <x v="1"/>
    <d v="1899-12-30T00:06:38"/>
    <n v="4"/>
  </r>
  <r>
    <x v="9"/>
    <s v="Jim"/>
    <x v="0"/>
    <d v="1899-12-30T11:13:55"/>
    <d v="2021-01-01T11:13:55"/>
    <x v="0"/>
    <x v="2"/>
    <x v="4"/>
    <x v="0"/>
    <s v="Y"/>
    <n v="78"/>
    <x v="0"/>
    <d v="1899-12-30T00:01:04"/>
    <n v="3"/>
  </r>
  <r>
    <x v="10"/>
    <s v="Joe"/>
    <x v="0"/>
    <d v="1899-12-30T11:15:22"/>
    <d v="2021-01-01T11:15:22"/>
    <x v="0"/>
    <x v="2"/>
    <x v="2"/>
    <x v="1"/>
    <s v="N"/>
    <m/>
    <x v="0"/>
    <m/>
    <m/>
  </r>
  <r>
    <x v="11"/>
    <s v="Greg"/>
    <x v="0"/>
    <d v="1899-12-30T11:15:22"/>
    <d v="2021-01-01T11:15:22"/>
    <x v="0"/>
    <x v="2"/>
    <x v="2"/>
    <x v="0"/>
    <s v="Y"/>
    <n v="50"/>
    <x v="0"/>
    <d v="1899-12-30T00:00:32"/>
    <n v="4"/>
  </r>
  <r>
    <x v="12"/>
    <s v="Joe"/>
    <x v="0"/>
    <d v="1899-12-30T11:52:48"/>
    <d v="2021-01-01T11:52:48"/>
    <x v="0"/>
    <x v="2"/>
    <x v="2"/>
    <x v="0"/>
    <s v="Y"/>
    <n v="84"/>
    <x v="0"/>
    <d v="1899-12-30T00:03:34"/>
    <n v="3"/>
  </r>
  <r>
    <x v="13"/>
    <s v="Martha"/>
    <x v="0"/>
    <d v="1899-12-30T11:52:48"/>
    <d v="2021-01-01T11:52:48"/>
    <x v="0"/>
    <x v="2"/>
    <x v="0"/>
    <x v="0"/>
    <s v="Y"/>
    <n v="89"/>
    <x v="0"/>
    <d v="1899-12-30T00:05:44"/>
    <n v="3"/>
  </r>
  <r>
    <x v="14"/>
    <s v="Becky"/>
    <x v="0"/>
    <d v="1899-12-30T11:55:41"/>
    <d v="2021-01-01T11:55:41"/>
    <x v="0"/>
    <x v="2"/>
    <x v="3"/>
    <x v="0"/>
    <s v="Y"/>
    <n v="48"/>
    <x v="0"/>
    <d v="1899-12-30T00:03:47"/>
    <n v="4"/>
  </r>
  <r>
    <x v="15"/>
    <s v="Becky"/>
    <x v="0"/>
    <d v="1899-12-30T11:55:41"/>
    <d v="2021-01-01T11:55:41"/>
    <x v="0"/>
    <x v="2"/>
    <x v="3"/>
    <x v="0"/>
    <s v="Y"/>
    <n v="63"/>
    <x v="0"/>
    <d v="1899-12-30T00:05:26"/>
    <n v="2"/>
  </r>
  <r>
    <x v="16"/>
    <s v="Greg"/>
    <x v="0"/>
    <d v="1899-12-30T11:57:07"/>
    <d v="2021-01-01T11:57:07"/>
    <x v="0"/>
    <x v="2"/>
    <x v="1"/>
    <x v="0"/>
    <s v="Y"/>
    <n v="45"/>
    <x v="0"/>
    <d v="1899-12-30T00:05:32"/>
    <n v="5"/>
  </r>
  <r>
    <x v="17"/>
    <s v="Becky"/>
    <x v="0"/>
    <d v="1899-12-30T11:57:07"/>
    <d v="2021-01-01T11:57:07"/>
    <x v="0"/>
    <x v="2"/>
    <x v="3"/>
    <x v="1"/>
    <s v="N"/>
    <m/>
    <x v="0"/>
    <m/>
    <m/>
  </r>
  <r>
    <x v="18"/>
    <s v="Jim"/>
    <x v="0"/>
    <d v="1899-12-30T12:01:26"/>
    <d v="2021-01-01T12:01:26"/>
    <x v="0"/>
    <x v="3"/>
    <x v="4"/>
    <x v="1"/>
    <s v="N"/>
    <m/>
    <x v="0"/>
    <m/>
    <m/>
  </r>
  <r>
    <x v="19"/>
    <s v="Jim"/>
    <x v="0"/>
    <d v="1899-12-30T12:01:26"/>
    <d v="2021-01-01T12:01:26"/>
    <x v="0"/>
    <x v="3"/>
    <x v="0"/>
    <x v="0"/>
    <s v="Y"/>
    <n v="101"/>
    <x v="0"/>
    <d v="1899-12-30T00:02:27"/>
    <n v="3"/>
  </r>
  <r>
    <x v="20"/>
    <s v="Jim"/>
    <x v="0"/>
    <d v="1899-12-30T12:02:53"/>
    <d v="2021-01-01T12:02:53"/>
    <x v="0"/>
    <x v="3"/>
    <x v="1"/>
    <x v="0"/>
    <s v="Y"/>
    <n v="74"/>
    <x v="0"/>
    <d v="1899-12-30T00:05:22"/>
    <n v="5"/>
  </r>
  <r>
    <x v="21"/>
    <s v="Dan"/>
    <x v="0"/>
    <d v="1899-12-30T12:02:53"/>
    <d v="2021-01-01T12:02:53"/>
    <x v="0"/>
    <x v="3"/>
    <x v="3"/>
    <x v="0"/>
    <s v="Y"/>
    <n v="89"/>
    <x v="0"/>
    <d v="1899-12-30T00:05:50"/>
    <n v="5"/>
  </r>
  <r>
    <x v="22"/>
    <s v="Martha"/>
    <x v="0"/>
    <d v="1899-12-30T12:02:53"/>
    <d v="2021-01-01T12:02:53"/>
    <x v="0"/>
    <x v="3"/>
    <x v="1"/>
    <x v="1"/>
    <s v="N"/>
    <m/>
    <x v="0"/>
    <m/>
    <m/>
  </r>
  <r>
    <x v="23"/>
    <s v="Joe"/>
    <x v="0"/>
    <d v="1899-12-30T12:02:53"/>
    <d v="2021-01-01T12:02:53"/>
    <x v="0"/>
    <x v="3"/>
    <x v="1"/>
    <x v="0"/>
    <s v="Y"/>
    <n v="68"/>
    <x v="0"/>
    <d v="1899-12-30T00:05:25"/>
    <n v="2"/>
  </r>
  <r>
    <x v="24"/>
    <s v="Diane"/>
    <x v="0"/>
    <d v="1899-12-30T12:30:14"/>
    <d v="2021-01-01T12:30:14"/>
    <x v="0"/>
    <x v="3"/>
    <x v="4"/>
    <x v="0"/>
    <s v="Y"/>
    <n v="97"/>
    <x v="0"/>
    <d v="1899-12-30T00:04:09"/>
    <n v="3"/>
  </r>
  <r>
    <x v="25"/>
    <s v="Dan"/>
    <x v="0"/>
    <d v="1899-12-30T12:30:14"/>
    <d v="2021-01-01T12:30:14"/>
    <x v="0"/>
    <x v="3"/>
    <x v="2"/>
    <x v="1"/>
    <s v="N"/>
    <m/>
    <x v="0"/>
    <m/>
    <m/>
  </r>
  <r>
    <x v="26"/>
    <s v="Joe"/>
    <x v="0"/>
    <d v="1899-12-30T12:40:19"/>
    <d v="2021-01-01T12:40:19"/>
    <x v="0"/>
    <x v="3"/>
    <x v="4"/>
    <x v="0"/>
    <s v="Y"/>
    <n v="39"/>
    <x v="0"/>
    <d v="1899-12-30T00:04:00"/>
    <n v="3"/>
  </r>
  <r>
    <x v="27"/>
    <s v="Martha"/>
    <x v="0"/>
    <d v="1899-12-30T12:40:19"/>
    <d v="2021-01-01T12:40:19"/>
    <x v="0"/>
    <x v="3"/>
    <x v="0"/>
    <x v="0"/>
    <s v="Y"/>
    <n v="51"/>
    <x v="0"/>
    <d v="1899-12-30T00:02:34"/>
    <n v="4"/>
  </r>
  <r>
    <x v="28"/>
    <s v="Joe"/>
    <x v="0"/>
    <d v="1899-12-30T12:40:19"/>
    <d v="2021-01-01T12:40:19"/>
    <x v="0"/>
    <x v="3"/>
    <x v="1"/>
    <x v="0"/>
    <s v="Y"/>
    <n v="106"/>
    <x v="0"/>
    <d v="1899-12-30T00:02:09"/>
    <n v="4"/>
  </r>
  <r>
    <x v="29"/>
    <s v="Stewart"/>
    <x v="0"/>
    <d v="1899-12-30T12:40:19"/>
    <d v="2021-01-01T12:40:19"/>
    <x v="0"/>
    <x v="3"/>
    <x v="4"/>
    <x v="0"/>
    <s v="Y"/>
    <n v="107"/>
    <x v="0"/>
    <d v="1899-12-30T00:05:55"/>
    <n v="3"/>
  </r>
  <r>
    <x v="30"/>
    <s v="Joe"/>
    <x v="0"/>
    <d v="1899-12-30T13:24:58"/>
    <d v="2021-01-01T13:24:58"/>
    <x v="0"/>
    <x v="4"/>
    <x v="3"/>
    <x v="0"/>
    <s v="Y"/>
    <n v="22"/>
    <x v="0"/>
    <d v="1899-12-30T00:05:08"/>
    <n v="3"/>
  </r>
  <r>
    <x v="31"/>
    <s v="Joe"/>
    <x v="0"/>
    <d v="1899-12-30T13:24:58"/>
    <d v="2021-01-01T13:24:58"/>
    <x v="0"/>
    <x v="4"/>
    <x v="4"/>
    <x v="0"/>
    <s v="Y"/>
    <n v="122"/>
    <x v="0"/>
    <d v="1899-12-30T00:02:08"/>
    <n v="4"/>
  </r>
  <r>
    <x v="32"/>
    <s v="Diane"/>
    <x v="0"/>
    <d v="1899-12-30T13:33:36"/>
    <d v="2021-01-01T13:33:36"/>
    <x v="0"/>
    <x v="4"/>
    <x v="1"/>
    <x v="0"/>
    <s v="Y"/>
    <n v="57"/>
    <x v="0"/>
    <d v="1899-12-30T00:06:49"/>
    <n v="3"/>
  </r>
  <r>
    <x v="33"/>
    <s v="Jim"/>
    <x v="0"/>
    <d v="1899-12-30T13:33:36"/>
    <d v="2021-01-01T13:33:36"/>
    <x v="0"/>
    <x v="4"/>
    <x v="2"/>
    <x v="0"/>
    <s v="N"/>
    <n v="53"/>
    <x v="0"/>
    <d v="1899-12-30T00:01:44"/>
    <n v="2"/>
  </r>
  <r>
    <x v="34"/>
    <s v="Becky"/>
    <x v="0"/>
    <d v="1899-12-30T13:42:14"/>
    <d v="2021-01-01T13:42:14"/>
    <x v="0"/>
    <x v="4"/>
    <x v="4"/>
    <x v="0"/>
    <s v="Y"/>
    <n v="119"/>
    <x v="0"/>
    <d v="1899-12-30T00:01:31"/>
    <n v="5"/>
  </r>
  <r>
    <x v="35"/>
    <s v="Diane"/>
    <x v="0"/>
    <d v="1899-12-30T13:42:14"/>
    <d v="2021-01-01T13:42:14"/>
    <x v="0"/>
    <x v="4"/>
    <x v="4"/>
    <x v="1"/>
    <s v="N"/>
    <m/>
    <x v="0"/>
    <m/>
    <m/>
  </r>
  <r>
    <x v="36"/>
    <s v="Martha"/>
    <x v="0"/>
    <d v="1899-12-30T13:42:14"/>
    <d v="2021-01-01T13:42:14"/>
    <x v="0"/>
    <x v="4"/>
    <x v="1"/>
    <x v="0"/>
    <s v="N"/>
    <n v="20"/>
    <x v="1"/>
    <d v="1899-12-30T00:01:12"/>
    <n v="2"/>
  </r>
  <r>
    <x v="37"/>
    <s v="Joe"/>
    <x v="0"/>
    <d v="1899-12-30T13:42:14"/>
    <d v="2021-01-01T13:42:14"/>
    <x v="0"/>
    <x v="4"/>
    <x v="1"/>
    <x v="0"/>
    <s v="Y"/>
    <n v="52"/>
    <x v="0"/>
    <d v="1899-12-30T00:00:36"/>
    <n v="3"/>
  </r>
  <r>
    <x v="38"/>
    <s v="Stewart"/>
    <x v="0"/>
    <d v="1899-12-30T14:38:24"/>
    <d v="2021-01-01T14:38:24"/>
    <x v="0"/>
    <x v="5"/>
    <x v="0"/>
    <x v="0"/>
    <s v="Y"/>
    <n v="74"/>
    <x v="0"/>
    <d v="1899-12-30T00:06:41"/>
    <n v="1"/>
  </r>
  <r>
    <x v="39"/>
    <s v="Greg"/>
    <x v="0"/>
    <d v="1899-12-30T14:38:24"/>
    <d v="2021-01-01T14:38:24"/>
    <x v="0"/>
    <x v="5"/>
    <x v="1"/>
    <x v="0"/>
    <s v="Y"/>
    <n v="49"/>
    <x v="0"/>
    <d v="1899-12-30T00:02:29"/>
    <n v="3"/>
  </r>
  <r>
    <x v="40"/>
    <s v="Jim"/>
    <x v="0"/>
    <d v="1899-12-30T14:47:02"/>
    <d v="2021-01-01T14:47:02"/>
    <x v="0"/>
    <x v="5"/>
    <x v="1"/>
    <x v="0"/>
    <s v="Y"/>
    <n v="27"/>
    <x v="0"/>
    <d v="1899-12-30T00:02:09"/>
    <n v="5"/>
  </r>
  <r>
    <x v="41"/>
    <s v="Greg"/>
    <x v="0"/>
    <d v="1899-12-30T14:47:02"/>
    <d v="2021-01-01T14:47:02"/>
    <x v="0"/>
    <x v="5"/>
    <x v="0"/>
    <x v="0"/>
    <s v="Y"/>
    <n v="100"/>
    <x v="0"/>
    <d v="1899-12-30T00:04:54"/>
    <n v="5"/>
  </r>
  <r>
    <x v="42"/>
    <s v="Diane"/>
    <x v="0"/>
    <d v="1899-12-30T14:47:02"/>
    <d v="2021-01-01T14:47:02"/>
    <x v="0"/>
    <x v="5"/>
    <x v="1"/>
    <x v="0"/>
    <s v="Y"/>
    <n v="45"/>
    <x v="0"/>
    <d v="1899-12-30T00:06:21"/>
    <n v="3"/>
  </r>
  <r>
    <x v="43"/>
    <s v="Becky"/>
    <x v="0"/>
    <d v="1899-12-30T14:47:02"/>
    <d v="2021-01-01T14:47:02"/>
    <x v="0"/>
    <x v="5"/>
    <x v="2"/>
    <x v="0"/>
    <s v="Y"/>
    <n v="98"/>
    <x v="0"/>
    <d v="1899-12-30T00:03:14"/>
    <n v="5"/>
  </r>
  <r>
    <x v="44"/>
    <s v="Diane"/>
    <x v="0"/>
    <d v="1899-12-30T15:44:38"/>
    <d v="2021-01-01T15:44:38"/>
    <x v="0"/>
    <x v="6"/>
    <x v="3"/>
    <x v="0"/>
    <s v="Y"/>
    <n v="25"/>
    <x v="0"/>
    <d v="1899-12-30T00:05:13"/>
    <n v="5"/>
  </r>
  <r>
    <x v="45"/>
    <s v="Jim"/>
    <x v="0"/>
    <d v="1899-12-30T15:44:38"/>
    <d v="2021-01-01T15:44:38"/>
    <x v="0"/>
    <x v="6"/>
    <x v="0"/>
    <x v="1"/>
    <s v="N"/>
    <m/>
    <x v="0"/>
    <m/>
    <m/>
  </r>
  <r>
    <x v="46"/>
    <s v="Dan"/>
    <x v="0"/>
    <d v="1899-12-30T17:13:55"/>
    <d v="2021-01-01T17:13:55"/>
    <x v="0"/>
    <x v="7"/>
    <x v="3"/>
    <x v="0"/>
    <s v="Y"/>
    <n v="107"/>
    <x v="0"/>
    <d v="1899-12-30T00:02:22"/>
    <n v="3"/>
  </r>
  <r>
    <x v="47"/>
    <s v="Martha"/>
    <x v="0"/>
    <d v="1899-12-30T17:13:55"/>
    <d v="2021-01-01T17:13:55"/>
    <x v="0"/>
    <x v="7"/>
    <x v="0"/>
    <x v="1"/>
    <s v="N"/>
    <m/>
    <x v="0"/>
    <m/>
    <m/>
  </r>
  <r>
    <x v="48"/>
    <s v="Joe"/>
    <x v="0"/>
    <d v="1899-12-30T17:25:26"/>
    <d v="2021-01-01T17:25:26"/>
    <x v="0"/>
    <x v="7"/>
    <x v="1"/>
    <x v="0"/>
    <s v="Y"/>
    <n v="104"/>
    <x v="0"/>
    <d v="1899-12-30T00:03:35"/>
    <n v="5"/>
  </r>
  <r>
    <x v="49"/>
    <s v="Dan"/>
    <x v="0"/>
    <d v="1899-12-30T17:25:26"/>
    <d v="2021-01-01T17:25:26"/>
    <x v="0"/>
    <x v="7"/>
    <x v="1"/>
    <x v="1"/>
    <s v="N"/>
    <m/>
    <x v="0"/>
    <m/>
    <m/>
  </r>
  <r>
    <x v="50"/>
    <s v="Martha"/>
    <x v="0"/>
    <d v="1899-12-30T17:35:31"/>
    <d v="2021-01-01T17:35:31"/>
    <x v="0"/>
    <x v="7"/>
    <x v="0"/>
    <x v="1"/>
    <s v="N"/>
    <m/>
    <x v="0"/>
    <m/>
    <m/>
  </r>
  <r>
    <x v="51"/>
    <s v="Jim"/>
    <x v="0"/>
    <d v="1899-12-30T17:35:31"/>
    <d v="2021-01-01T17:35:31"/>
    <x v="0"/>
    <x v="7"/>
    <x v="3"/>
    <x v="1"/>
    <s v="N"/>
    <m/>
    <x v="0"/>
    <m/>
    <m/>
  </r>
  <r>
    <x v="52"/>
    <s v="Stewart"/>
    <x v="0"/>
    <d v="1899-12-30T17:36:58"/>
    <d v="2021-01-01T17:36:58"/>
    <x v="0"/>
    <x v="7"/>
    <x v="2"/>
    <x v="0"/>
    <s v="Y"/>
    <n v="13"/>
    <x v="1"/>
    <d v="1899-12-30T00:01:15"/>
    <n v="5"/>
  </r>
  <r>
    <x v="53"/>
    <s v="Dan"/>
    <x v="0"/>
    <d v="1899-12-30T17:36:58"/>
    <d v="2021-01-01T17:36:58"/>
    <x v="0"/>
    <x v="7"/>
    <x v="2"/>
    <x v="0"/>
    <s v="Y"/>
    <n v="119"/>
    <x v="0"/>
    <d v="1899-12-30T00:02:32"/>
    <n v="5"/>
  </r>
  <r>
    <x v="54"/>
    <s v="Becky"/>
    <x v="0"/>
    <d v="1899-12-30T17:44:10"/>
    <d v="2021-01-01T17:44:10"/>
    <x v="0"/>
    <x v="7"/>
    <x v="4"/>
    <x v="0"/>
    <s v="Y"/>
    <n v="35"/>
    <x v="0"/>
    <d v="1899-12-30T00:01:19"/>
    <n v="3"/>
  </r>
  <r>
    <x v="55"/>
    <s v="Dan"/>
    <x v="0"/>
    <d v="1899-12-30T17:44:10"/>
    <d v="2021-01-01T17:44:10"/>
    <x v="0"/>
    <x v="7"/>
    <x v="4"/>
    <x v="0"/>
    <s v="Y"/>
    <n v="83"/>
    <x v="0"/>
    <d v="1899-12-30T00:06:45"/>
    <n v="4"/>
  </r>
  <r>
    <x v="56"/>
    <s v="Jim"/>
    <x v="0"/>
    <d v="1899-12-30T17:57:07"/>
    <d v="2021-01-01T17:57:07"/>
    <x v="0"/>
    <x v="7"/>
    <x v="1"/>
    <x v="0"/>
    <s v="Y"/>
    <n v="48"/>
    <x v="0"/>
    <d v="1899-12-30T00:02:52"/>
    <n v="2"/>
  </r>
  <r>
    <x v="57"/>
    <s v="Stewart"/>
    <x v="0"/>
    <d v="1899-12-30T17:57:07"/>
    <d v="2021-01-01T17:57:07"/>
    <x v="0"/>
    <x v="7"/>
    <x v="3"/>
    <x v="0"/>
    <s v="Y"/>
    <n v="45"/>
    <x v="0"/>
    <d v="1899-12-30T00:03:23"/>
    <n v="5"/>
  </r>
  <r>
    <x v="58"/>
    <s v="Dan"/>
    <x v="1"/>
    <d v="1899-12-30T09:05:46"/>
    <d v="2021-01-02T09:05:46"/>
    <x v="1"/>
    <x v="0"/>
    <x v="1"/>
    <x v="0"/>
    <s v="Y"/>
    <n v="65"/>
    <x v="0"/>
    <d v="1899-12-30T00:06:00"/>
    <n v="5"/>
  </r>
  <r>
    <x v="59"/>
    <s v="Dan"/>
    <x v="1"/>
    <d v="1899-12-30T09:05:46"/>
    <d v="2021-01-02T09:05:46"/>
    <x v="1"/>
    <x v="0"/>
    <x v="0"/>
    <x v="0"/>
    <s v="Y"/>
    <n v="50"/>
    <x v="0"/>
    <d v="1899-12-30T00:04:26"/>
    <n v="3"/>
  </r>
  <r>
    <x v="60"/>
    <s v="Diane"/>
    <x v="1"/>
    <d v="1899-12-30T09:18:43"/>
    <d v="2021-01-02T09:18:43"/>
    <x v="1"/>
    <x v="0"/>
    <x v="4"/>
    <x v="0"/>
    <s v="Y"/>
    <n v="17"/>
    <x v="1"/>
    <d v="1899-12-30T00:06:15"/>
    <n v="3"/>
  </r>
  <r>
    <x v="61"/>
    <s v="Joe"/>
    <x v="1"/>
    <d v="1899-12-30T09:18:43"/>
    <d v="2021-01-02T09:18:43"/>
    <x v="1"/>
    <x v="0"/>
    <x v="1"/>
    <x v="1"/>
    <s v="N"/>
    <m/>
    <x v="0"/>
    <m/>
    <m/>
  </r>
  <r>
    <x v="62"/>
    <s v="Dan"/>
    <x v="1"/>
    <d v="1899-12-30T09:20:10"/>
    <d v="2021-01-02T09:20:10"/>
    <x v="1"/>
    <x v="0"/>
    <x v="4"/>
    <x v="0"/>
    <s v="Y"/>
    <n v="96"/>
    <x v="0"/>
    <d v="1899-12-30T00:06:46"/>
    <n v="1"/>
  </r>
  <r>
    <x v="63"/>
    <s v="Stewart"/>
    <x v="1"/>
    <d v="1899-12-30T09:20:10"/>
    <d v="2021-01-02T09:20:10"/>
    <x v="1"/>
    <x v="0"/>
    <x v="4"/>
    <x v="0"/>
    <s v="Y"/>
    <n v="90"/>
    <x v="0"/>
    <d v="1899-12-30T00:06:23"/>
    <n v="3"/>
  </r>
  <r>
    <x v="64"/>
    <s v="Jim"/>
    <x v="1"/>
    <d v="1899-12-30T09:38:53"/>
    <d v="2021-01-02T09:38:53"/>
    <x v="1"/>
    <x v="0"/>
    <x v="0"/>
    <x v="0"/>
    <s v="Y"/>
    <n v="98"/>
    <x v="0"/>
    <d v="1899-12-30T00:06:25"/>
    <n v="2"/>
  </r>
  <r>
    <x v="65"/>
    <s v="Diane"/>
    <x v="1"/>
    <d v="1899-12-30T09:38:53"/>
    <d v="2021-01-02T09:38:53"/>
    <x v="1"/>
    <x v="0"/>
    <x v="1"/>
    <x v="0"/>
    <s v="N"/>
    <n v="90"/>
    <x v="0"/>
    <d v="1899-12-30T00:01:23"/>
    <n v="4"/>
  </r>
  <r>
    <x v="66"/>
    <s v="Jim"/>
    <x v="1"/>
    <d v="1899-12-30T10:04:48"/>
    <d v="2021-01-02T10:04:48"/>
    <x v="1"/>
    <x v="1"/>
    <x v="0"/>
    <x v="0"/>
    <s v="Y"/>
    <n v="98"/>
    <x v="0"/>
    <d v="1899-12-30T00:05:49"/>
    <n v="5"/>
  </r>
  <r>
    <x v="67"/>
    <s v="Jim"/>
    <x v="1"/>
    <d v="1899-12-30T10:04:48"/>
    <d v="2021-01-02T10:04:48"/>
    <x v="1"/>
    <x v="1"/>
    <x v="0"/>
    <x v="0"/>
    <s v="Y"/>
    <n v="70"/>
    <x v="0"/>
    <d v="1899-12-30T00:03:12"/>
    <n v="5"/>
  </r>
  <r>
    <x v="68"/>
    <s v="Diane"/>
    <x v="1"/>
    <d v="1899-12-30T10:33:36"/>
    <d v="2021-01-02T10:33:36"/>
    <x v="1"/>
    <x v="1"/>
    <x v="0"/>
    <x v="0"/>
    <s v="Y"/>
    <n v="69"/>
    <x v="0"/>
    <d v="1899-12-30T00:04:45"/>
    <n v="4"/>
  </r>
  <r>
    <x v="69"/>
    <s v="Diane"/>
    <x v="1"/>
    <d v="1899-12-30T10:33:36"/>
    <d v="2021-01-02T10:33:36"/>
    <x v="1"/>
    <x v="1"/>
    <x v="3"/>
    <x v="1"/>
    <s v="N"/>
    <m/>
    <x v="0"/>
    <m/>
    <m/>
  </r>
  <r>
    <x v="70"/>
    <s v="Joe"/>
    <x v="1"/>
    <d v="1899-12-30T11:08:10"/>
    <d v="2021-01-02T11:08:10"/>
    <x v="1"/>
    <x v="2"/>
    <x v="1"/>
    <x v="0"/>
    <s v="Y"/>
    <n v="120"/>
    <x v="0"/>
    <d v="1899-12-30T00:02:11"/>
    <n v="4"/>
  </r>
  <r>
    <x v="71"/>
    <s v="Stewart"/>
    <x v="1"/>
    <d v="1899-12-30T11:08:10"/>
    <d v="2021-01-02T11:08:10"/>
    <x v="1"/>
    <x v="2"/>
    <x v="3"/>
    <x v="0"/>
    <s v="Y"/>
    <n v="113"/>
    <x v="0"/>
    <d v="1899-12-30T00:05:51"/>
    <n v="5"/>
  </r>
  <r>
    <x v="72"/>
    <s v="Greg"/>
    <x v="1"/>
    <d v="1899-12-30T11:26:53"/>
    <d v="2021-01-02T11:26:53"/>
    <x v="1"/>
    <x v="2"/>
    <x v="2"/>
    <x v="0"/>
    <s v="N"/>
    <n v="10"/>
    <x v="1"/>
    <d v="1899-12-30T00:02:19"/>
    <n v="5"/>
  </r>
  <r>
    <x v="73"/>
    <s v="Becky"/>
    <x v="1"/>
    <d v="1899-12-30T11:26:53"/>
    <d v="2021-01-02T11:26:53"/>
    <x v="1"/>
    <x v="2"/>
    <x v="0"/>
    <x v="0"/>
    <s v="Y"/>
    <n v="122"/>
    <x v="0"/>
    <d v="1899-12-30T00:04:53"/>
    <n v="1"/>
  </r>
  <r>
    <x v="74"/>
    <s v="Stewart"/>
    <x v="1"/>
    <d v="1899-12-30T11:42:43"/>
    <d v="2021-01-02T11:42:43"/>
    <x v="1"/>
    <x v="2"/>
    <x v="1"/>
    <x v="0"/>
    <s v="N"/>
    <n v="125"/>
    <x v="0"/>
    <d v="1899-12-30T00:01:38"/>
    <n v="3"/>
  </r>
  <r>
    <x v="75"/>
    <s v="Diane"/>
    <x v="1"/>
    <d v="1899-12-30T11:42:43"/>
    <d v="2021-01-02T11:42:43"/>
    <x v="1"/>
    <x v="2"/>
    <x v="3"/>
    <x v="1"/>
    <s v="N"/>
    <m/>
    <x v="0"/>
    <m/>
    <m/>
  </r>
  <r>
    <x v="76"/>
    <s v="Martha"/>
    <x v="1"/>
    <d v="1899-12-30T11:47:02"/>
    <d v="2021-01-02T11:47:02"/>
    <x v="1"/>
    <x v="2"/>
    <x v="1"/>
    <x v="0"/>
    <s v="Y"/>
    <n v="33"/>
    <x v="0"/>
    <d v="1899-12-30T00:06:38"/>
    <n v="2"/>
  </r>
  <r>
    <x v="77"/>
    <s v="Dan"/>
    <x v="1"/>
    <d v="1899-12-30T11:47:02"/>
    <d v="2021-01-02T11:47:02"/>
    <x v="1"/>
    <x v="2"/>
    <x v="0"/>
    <x v="0"/>
    <s v="Y"/>
    <n v="51"/>
    <x v="0"/>
    <d v="1899-12-30T00:06:22"/>
    <n v="2"/>
  </r>
  <r>
    <x v="78"/>
    <s v="Becky"/>
    <x v="1"/>
    <d v="1899-12-30T11:54:14"/>
    <d v="2021-01-02T11:54:14"/>
    <x v="1"/>
    <x v="2"/>
    <x v="0"/>
    <x v="0"/>
    <s v="Y"/>
    <n v="58"/>
    <x v="0"/>
    <d v="1899-12-30T00:03:28"/>
    <n v="3"/>
  </r>
  <r>
    <x v="79"/>
    <s v="Dan"/>
    <x v="1"/>
    <d v="1899-12-30T11:54:14"/>
    <d v="2021-01-02T11:54:14"/>
    <x v="1"/>
    <x v="2"/>
    <x v="3"/>
    <x v="0"/>
    <s v="Y"/>
    <n v="121"/>
    <x v="0"/>
    <d v="1899-12-30T00:04:47"/>
    <n v="5"/>
  </r>
  <r>
    <x v="80"/>
    <s v="Diane"/>
    <x v="1"/>
    <d v="1899-12-30T12:00:00"/>
    <d v="2021-01-02T12:00:00"/>
    <x v="1"/>
    <x v="3"/>
    <x v="3"/>
    <x v="0"/>
    <s v="Y"/>
    <n v="118"/>
    <x v="0"/>
    <d v="1899-12-30T00:02:06"/>
    <n v="4"/>
  </r>
  <r>
    <x v="81"/>
    <s v="Greg"/>
    <x v="1"/>
    <d v="1899-12-30T12:00:00"/>
    <d v="2021-01-02T12:00:00"/>
    <x v="1"/>
    <x v="3"/>
    <x v="2"/>
    <x v="0"/>
    <s v="Y"/>
    <n v="52"/>
    <x v="0"/>
    <d v="1899-12-30T00:06:56"/>
    <n v="4"/>
  </r>
  <r>
    <x v="82"/>
    <s v="Stewart"/>
    <x v="1"/>
    <d v="1899-12-30T12:20:10"/>
    <d v="2021-01-02T12:20:10"/>
    <x v="1"/>
    <x v="3"/>
    <x v="3"/>
    <x v="0"/>
    <s v="Y"/>
    <n v="55"/>
    <x v="0"/>
    <d v="1899-12-30T00:04:44"/>
    <n v="3"/>
  </r>
  <r>
    <x v="83"/>
    <s v="Dan"/>
    <x v="1"/>
    <d v="1899-12-30T12:20:10"/>
    <d v="2021-01-02T12:20:10"/>
    <x v="1"/>
    <x v="3"/>
    <x v="0"/>
    <x v="0"/>
    <s v="Y"/>
    <n v="68"/>
    <x v="0"/>
    <d v="1899-12-30T00:05:59"/>
    <n v="4"/>
  </r>
  <r>
    <x v="84"/>
    <s v="Becky"/>
    <x v="1"/>
    <d v="1899-12-30T12:41:46"/>
    <d v="2021-01-02T12:41:46"/>
    <x v="1"/>
    <x v="3"/>
    <x v="1"/>
    <x v="0"/>
    <s v="Y"/>
    <n v="106"/>
    <x v="0"/>
    <d v="1899-12-30T00:04:22"/>
    <n v="5"/>
  </r>
  <r>
    <x v="85"/>
    <s v="Martha"/>
    <x v="1"/>
    <d v="1899-12-30T12:41:46"/>
    <d v="2021-01-02T12:41:46"/>
    <x v="1"/>
    <x v="3"/>
    <x v="1"/>
    <x v="0"/>
    <s v="Y"/>
    <n v="32"/>
    <x v="0"/>
    <d v="1899-12-30T00:04:36"/>
    <n v="3"/>
  </r>
  <r>
    <x v="86"/>
    <s v="Jim"/>
    <x v="1"/>
    <d v="1899-12-30T12:44:38"/>
    <d v="2021-01-02T12:44:38"/>
    <x v="1"/>
    <x v="3"/>
    <x v="2"/>
    <x v="1"/>
    <s v="N"/>
    <m/>
    <x v="0"/>
    <m/>
    <m/>
  </r>
  <r>
    <x v="87"/>
    <s v="Martha"/>
    <x v="1"/>
    <d v="1899-12-30T12:44:38"/>
    <d v="2021-01-02T12:44:38"/>
    <x v="1"/>
    <x v="3"/>
    <x v="3"/>
    <x v="0"/>
    <s v="N"/>
    <n v="45"/>
    <x v="0"/>
    <d v="1899-12-30T00:01:26"/>
    <n v="4"/>
  </r>
  <r>
    <x v="88"/>
    <s v="Joe"/>
    <x v="1"/>
    <d v="1899-12-30T12:59:02"/>
    <d v="2021-01-02T12:59:02"/>
    <x v="1"/>
    <x v="3"/>
    <x v="1"/>
    <x v="0"/>
    <s v="Y"/>
    <n v="119"/>
    <x v="0"/>
    <d v="1899-12-30T00:03:32"/>
    <n v="4"/>
  </r>
  <r>
    <x v="89"/>
    <s v="Dan"/>
    <x v="1"/>
    <d v="1899-12-30T12:59:02"/>
    <d v="2021-01-02T12:59:02"/>
    <x v="1"/>
    <x v="3"/>
    <x v="4"/>
    <x v="1"/>
    <s v="N"/>
    <m/>
    <x v="0"/>
    <m/>
    <m/>
  </r>
  <r>
    <x v="90"/>
    <s v="Jim"/>
    <x v="1"/>
    <d v="1899-12-30T13:03:22"/>
    <d v="2021-01-02T13:03:22"/>
    <x v="1"/>
    <x v="4"/>
    <x v="0"/>
    <x v="0"/>
    <s v="Y"/>
    <n v="46"/>
    <x v="0"/>
    <d v="1899-12-30T00:05:41"/>
    <n v="1"/>
  </r>
  <r>
    <x v="91"/>
    <s v="Stewart"/>
    <x v="1"/>
    <d v="1899-12-30T13:03:22"/>
    <d v="2021-01-02T13:03:22"/>
    <x v="1"/>
    <x v="4"/>
    <x v="1"/>
    <x v="0"/>
    <s v="Y"/>
    <n v="101"/>
    <x v="0"/>
    <d v="1899-12-30T00:01:28"/>
    <n v="3"/>
  </r>
  <r>
    <x v="92"/>
    <s v="Jim"/>
    <x v="1"/>
    <d v="1899-12-30T13:04:48"/>
    <d v="2021-01-02T13:04:48"/>
    <x v="1"/>
    <x v="4"/>
    <x v="1"/>
    <x v="0"/>
    <s v="Y"/>
    <n v="56"/>
    <x v="0"/>
    <d v="1899-12-30T00:02:52"/>
    <n v="3"/>
  </r>
  <r>
    <x v="93"/>
    <s v="Becky"/>
    <x v="1"/>
    <d v="1899-12-30T13:04:48"/>
    <d v="2021-01-02T13:04:48"/>
    <x v="1"/>
    <x v="4"/>
    <x v="1"/>
    <x v="0"/>
    <s v="Y"/>
    <n v="80"/>
    <x v="0"/>
    <d v="1899-12-30T00:00:53"/>
    <n v="3"/>
  </r>
  <r>
    <x v="94"/>
    <s v="Diane"/>
    <x v="1"/>
    <d v="1899-12-30T13:13:26"/>
    <d v="2021-01-02T13:13:26"/>
    <x v="1"/>
    <x v="4"/>
    <x v="4"/>
    <x v="0"/>
    <s v="Y"/>
    <n v="24"/>
    <x v="0"/>
    <d v="1899-12-30T00:01:36"/>
    <n v="3"/>
  </r>
  <r>
    <x v="95"/>
    <s v="Stewart"/>
    <x v="1"/>
    <d v="1899-12-30T13:13:26"/>
    <d v="2021-01-02T13:13:26"/>
    <x v="1"/>
    <x v="4"/>
    <x v="2"/>
    <x v="0"/>
    <s v="Y"/>
    <n v="113"/>
    <x v="0"/>
    <d v="1899-12-30T00:03:54"/>
    <n v="2"/>
  </r>
  <r>
    <x v="96"/>
    <s v="Greg"/>
    <x v="1"/>
    <d v="1899-12-30T13:20:38"/>
    <d v="2021-01-02T13:20:38"/>
    <x v="1"/>
    <x v="4"/>
    <x v="0"/>
    <x v="0"/>
    <s v="Y"/>
    <n v="19"/>
    <x v="1"/>
    <d v="1899-12-30T00:02:03"/>
    <n v="4"/>
  </r>
  <r>
    <x v="97"/>
    <s v="Martha"/>
    <x v="1"/>
    <d v="1899-12-30T13:20:38"/>
    <d v="2021-01-02T13:20:38"/>
    <x v="1"/>
    <x v="4"/>
    <x v="4"/>
    <x v="1"/>
    <s v="N"/>
    <m/>
    <x v="0"/>
    <m/>
    <m/>
  </r>
  <r>
    <x v="98"/>
    <s v="Dan"/>
    <x v="1"/>
    <d v="1899-12-30T13:20:38"/>
    <d v="2021-01-02T13:20:38"/>
    <x v="1"/>
    <x v="4"/>
    <x v="0"/>
    <x v="0"/>
    <s v="Y"/>
    <n v="45"/>
    <x v="0"/>
    <d v="1899-12-30T00:06:37"/>
    <n v="3"/>
  </r>
  <r>
    <x v="99"/>
    <s v="Diane"/>
    <x v="1"/>
    <d v="1899-12-30T13:20:38"/>
    <d v="2021-01-02T13:20:38"/>
    <x v="1"/>
    <x v="4"/>
    <x v="1"/>
    <x v="0"/>
    <s v="Y"/>
    <n v="95"/>
    <x v="0"/>
    <d v="1899-12-30T00:05:11"/>
    <n v="1"/>
  </r>
  <r>
    <x v="100"/>
    <s v="Becky"/>
    <x v="1"/>
    <d v="1899-12-30T13:45:07"/>
    <d v="2021-01-02T13:45:07"/>
    <x v="1"/>
    <x v="4"/>
    <x v="1"/>
    <x v="1"/>
    <s v="N"/>
    <m/>
    <x v="0"/>
    <m/>
    <m/>
  </r>
  <r>
    <x v="101"/>
    <s v="Martha"/>
    <x v="1"/>
    <d v="1899-12-30T13:45:07"/>
    <d v="2021-01-02T13:45:07"/>
    <x v="1"/>
    <x v="4"/>
    <x v="1"/>
    <x v="0"/>
    <s v="N"/>
    <n v="79"/>
    <x v="0"/>
    <d v="1899-12-30T00:05:31"/>
    <n v="1"/>
  </r>
  <r>
    <x v="102"/>
    <s v="Diane"/>
    <x v="1"/>
    <d v="1899-12-30T13:49:26"/>
    <d v="2021-01-02T13:49:26"/>
    <x v="1"/>
    <x v="4"/>
    <x v="2"/>
    <x v="0"/>
    <s v="Y"/>
    <n v="22"/>
    <x v="0"/>
    <d v="1899-12-30T00:03:56"/>
    <n v="2"/>
  </r>
  <r>
    <x v="103"/>
    <s v="Martha"/>
    <x v="1"/>
    <d v="1899-12-30T13:49:26"/>
    <d v="2021-01-02T13:49:26"/>
    <x v="1"/>
    <x v="4"/>
    <x v="0"/>
    <x v="0"/>
    <s v="Y"/>
    <n v="38"/>
    <x v="0"/>
    <d v="1899-12-30T00:06:36"/>
    <n v="1"/>
  </r>
  <r>
    <x v="104"/>
    <s v="Becky"/>
    <x v="1"/>
    <d v="1899-12-30T13:53:46"/>
    <d v="2021-01-02T13:53:46"/>
    <x v="1"/>
    <x v="4"/>
    <x v="1"/>
    <x v="0"/>
    <s v="Y"/>
    <n v="112"/>
    <x v="0"/>
    <d v="1899-12-30T00:03:25"/>
    <n v="5"/>
  </r>
  <r>
    <x v="105"/>
    <s v="Becky"/>
    <x v="1"/>
    <d v="1899-12-30T13:53:46"/>
    <d v="2021-01-02T13:53:46"/>
    <x v="1"/>
    <x v="4"/>
    <x v="2"/>
    <x v="0"/>
    <s v="Y"/>
    <n v="65"/>
    <x v="0"/>
    <d v="1899-12-30T00:04:57"/>
    <n v="3"/>
  </r>
  <r>
    <x v="106"/>
    <s v="Joe"/>
    <x v="1"/>
    <d v="1899-12-30T14:22:34"/>
    <d v="2021-01-02T14:22:34"/>
    <x v="1"/>
    <x v="5"/>
    <x v="4"/>
    <x v="1"/>
    <s v="N"/>
    <m/>
    <x v="0"/>
    <m/>
    <m/>
  </r>
  <r>
    <x v="107"/>
    <s v="Becky"/>
    <x v="1"/>
    <d v="1899-12-30T14:22:34"/>
    <d v="2021-01-02T14:22:34"/>
    <x v="1"/>
    <x v="5"/>
    <x v="0"/>
    <x v="0"/>
    <s v="N"/>
    <n v="55"/>
    <x v="0"/>
    <d v="1899-12-30T00:02:32"/>
    <n v="1"/>
  </r>
  <r>
    <x v="108"/>
    <s v="Stewart"/>
    <x v="1"/>
    <d v="1899-12-30T14:52:48"/>
    <d v="2021-01-02T14:52:48"/>
    <x v="1"/>
    <x v="5"/>
    <x v="3"/>
    <x v="1"/>
    <s v="N"/>
    <m/>
    <x v="0"/>
    <m/>
    <m/>
  </r>
  <r>
    <x v="109"/>
    <s v="Joe"/>
    <x v="1"/>
    <d v="1899-12-30T14:52:48"/>
    <d v="2021-01-02T14:52:48"/>
    <x v="1"/>
    <x v="5"/>
    <x v="4"/>
    <x v="0"/>
    <s v="Y"/>
    <n v="19"/>
    <x v="1"/>
    <d v="1899-12-30T00:02:38"/>
    <n v="2"/>
  </r>
  <r>
    <x v="110"/>
    <s v="Becky"/>
    <x v="1"/>
    <d v="1899-12-30T15:10:05"/>
    <d v="2021-01-02T15:10:05"/>
    <x v="1"/>
    <x v="6"/>
    <x v="1"/>
    <x v="0"/>
    <s v="Y"/>
    <n v="53"/>
    <x v="0"/>
    <d v="1899-12-30T00:00:56"/>
    <n v="3"/>
  </r>
  <r>
    <x v="111"/>
    <s v="Diane"/>
    <x v="1"/>
    <d v="1899-12-30T15:10:05"/>
    <d v="2021-01-02T15:10:05"/>
    <x v="1"/>
    <x v="6"/>
    <x v="1"/>
    <x v="0"/>
    <s v="Y"/>
    <n v="24"/>
    <x v="0"/>
    <d v="1899-12-30T00:06:06"/>
    <n v="5"/>
  </r>
  <r>
    <x v="112"/>
    <s v="Martha"/>
    <x v="1"/>
    <d v="1899-12-30T15:36:00"/>
    <d v="2021-01-02T15:36:00"/>
    <x v="1"/>
    <x v="6"/>
    <x v="4"/>
    <x v="0"/>
    <s v="Y"/>
    <n v="73"/>
    <x v="0"/>
    <d v="1899-12-30T00:06:01"/>
    <n v="3"/>
  </r>
  <r>
    <x v="113"/>
    <s v="Stewart"/>
    <x v="1"/>
    <d v="1899-12-30T15:36:00"/>
    <d v="2021-01-02T15:36:00"/>
    <x v="1"/>
    <x v="6"/>
    <x v="1"/>
    <x v="1"/>
    <s v="N"/>
    <m/>
    <x v="0"/>
    <m/>
    <m/>
  </r>
  <r>
    <x v="114"/>
    <s v="Jim"/>
    <x v="1"/>
    <d v="1899-12-30T17:36:58"/>
    <d v="2021-01-02T17:36:58"/>
    <x v="1"/>
    <x v="7"/>
    <x v="1"/>
    <x v="0"/>
    <s v="Y"/>
    <n v="55"/>
    <x v="0"/>
    <d v="1899-12-30T00:05:47"/>
    <n v="5"/>
  </r>
  <r>
    <x v="115"/>
    <s v="Greg"/>
    <x v="1"/>
    <d v="1899-12-30T17:36:58"/>
    <d v="2021-01-02T17:36:58"/>
    <x v="1"/>
    <x v="7"/>
    <x v="2"/>
    <x v="1"/>
    <s v="N"/>
    <m/>
    <x v="0"/>
    <m/>
    <m/>
  </r>
  <r>
    <x v="116"/>
    <s v="Diane"/>
    <x v="1"/>
    <d v="1899-12-30T17:47:02"/>
    <d v="2021-01-02T17:47:02"/>
    <x v="1"/>
    <x v="7"/>
    <x v="4"/>
    <x v="1"/>
    <s v="N"/>
    <m/>
    <x v="0"/>
    <m/>
    <m/>
  </r>
  <r>
    <x v="117"/>
    <s v="Martha"/>
    <x v="1"/>
    <d v="1899-12-30T17:47:02"/>
    <d v="2021-01-02T17:47:02"/>
    <x v="1"/>
    <x v="7"/>
    <x v="4"/>
    <x v="0"/>
    <s v="Y"/>
    <n v="23"/>
    <x v="0"/>
    <d v="1899-12-30T00:05:18"/>
    <n v="4"/>
  </r>
  <r>
    <x v="118"/>
    <s v="Dan"/>
    <x v="2"/>
    <d v="1899-12-30T09:10:05"/>
    <d v="2021-01-03T09:10:05"/>
    <x v="2"/>
    <x v="0"/>
    <x v="2"/>
    <x v="0"/>
    <s v="N"/>
    <n v="124"/>
    <x v="0"/>
    <d v="1899-12-30T00:02:23"/>
    <n v="5"/>
  </r>
  <r>
    <x v="119"/>
    <s v="Dan"/>
    <x v="2"/>
    <d v="1899-12-30T09:10:05"/>
    <d v="2021-01-03T09:10:05"/>
    <x v="2"/>
    <x v="0"/>
    <x v="0"/>
    <x v="1"/>
    <s v="N"/>
    <m/>
    <x v="0"/>
    <m/>
    <m/>
  </r>
  <r>
    <x v="120"/>
    <s v="Dan"/>
    <x v="2"/>
    <d v="1899-12-30T09:47:31"/>
    <d v="2021-01-03T09:47:31"/>
    <x v="2"/>
    <x v="0"/>
    <x v="1"/>
    <x v="0"/>
    <s v="Y"/>
    <n v="103"/>
    <x v="0"/>
    <d v="1899-12-30T00:01:01"/>
    <n v="4"/>
  </r>
  <r>
    <x v="121"/>
    <s v="Martha"/>
    <x v="2"/>
    <d v="1899-12-30T09:47:31"/>
    <d v="2021-01-03T09:47:31"/>
    <x v="2"/>
    <x v="0"/>
    <x v="0"/>
    <x v="0"/>
    <s v="Y"/>
    <n v="69"/>
    <x v="0"/>
    <d v="1899-12-30T00:03:45"/>
    <n v="4"/>
  </r>
  <r>
    <x v="122"/>
    <s v="Joe"/>
    <x v="2"/>
    <d v="1899-12-30T10:29:17"/>
    <d v="2021-01-03T10:29:17"/>
    <x v="2"/>
    <x v="1"/>
    <x v="4"/>
    <x v="0"/>
    <s v="Y"/>
    <n v="78"/>
    <x v="0"/>
    <d v="1899-12-30T00:01:12"/>
    <n v="3"/>
  </r>
  <r>
    <x v="123"/>
    <s v="Martha"/>
    <x v="2"/>
    <d v="1899-12-30T10:29:17"/>
    <d v="2021-01-03T10:29:17"/>
    <x v="2"/>
    <x v="1"/>
    <x v="1"/>
    <x v="0"/>
    <s v="Y"/>
    <n v="78"/>
    <x v="0"/>
    <d v="1899-12-30T00:03:26"/>
    <n v="5"/>
  </r>
  <r>
    <x v="124"/>
    <s v="Martha"/>
    <x v="2"/>
    <d v="1899-12-30T10:37:55"/>
    <d v="2021-01-03T10:37:55"/>
    <x v="2"/>
    <x v="1"/>
    <x v="1"/>
    <x v="1"/>
    <s v="N"/>
    <m/>
    <x v="0"/>
    <m/>
    <m/>
  </r>
  <r>
    <x v="125"/>
    <s v="Diane"/>
    <x v="2"/>
    <d v="1899-12-30T10:37:55"/>
    <d v="2021-01-03T10:37:55"/>
    <x v="2"/>
    <x v="1"/>
    <x v="2"/>
    <x v="0"/>
    <s v="Y"/>
    <n v="44"/>
    <x v="0"/>
    <d v="1899-12-30T00:05:38"/>
    <n v="4"/>
  </r>
  <r>
    <x v="126"/>
    <s v="Martha"/>
    <x v="2"/>
    <d v="1899-12-30T10:52:19"/>
    <d v="2021-01-03T10:52:19"/>
    <x v="2"/>
    <x v="1"/>
    <x v="3"/>
    <x v="0"/>
    <s v="Y"/>
    <n v="35"/>
    <x v="0"/>
    <d v="1899-12-30T00:02:46"/>
    <n v="4"/>
  </r>
  <r>
    <x v="127"/>
    <s v="Becky"/>
    <x v="2"/>
    <d v="1899-12-30T10:52:19"/>
    <d v="2021-01-03T10:52:19"/>
    <x v="2"/>
    <x v="1"/>
    <x v="3"/>
    <x v="0"/>
    <s v="Y"/>
    <n v="102"/>
    <x v="0"/>
    <d v="1899-12-30T00:05:26"/>
    <n v="4"/>
  </r>
  <r>
    <x v="128"/>
    <s v="Jim"/>
    <x v="2"/>
    <d v="1899-12-30T10:52:19"/>
    <d v="2021-01-03T10:52:19"/>
    <x v="2"/>
    <x v="1"/>
    <x v="0"/>
    <x v="0"/>
    <s v="Y"/>
    <n v="99"/>
    <x v="0"/>
    <d v="1899-12-30T00:05:51"/>
    <n v="3"/>
  </r>
  <r>
    <x v="129"/>
    <s v="Jim"/>
    <x v="2"/>
    <d v="1899-12-30T10:52:19"/>
    <d v="2021-01-03T10:52:19"/>
    <x v="2"/>
    <x v="1"/>
    <x v="3"/>
    <x v="0"/>
    <s v="Y"/>
    <n v="29"/>
    <x v="0"/>
    <d v="1899-12-30T00:04:09"/>
    <n v="3"/>
  </r>
  <r>
    <x v="130"/>
    <s v="Becky"/>
    <x v="2"/>
    <d v="1899-12-30T10:58:05"/>
    <d v="2021-01-03T10:58:05"/>
    <x v="2"/>
    <x v="1"/>
    <x v="3"/>
    <x v="0"/>
    <s v="N"/>
    <n v="42"/>
    <x v="0"/>
    <d v="1899-12-30T00:00:59"/>
    <n v="5"/>
  </r>
  <r>
    <x v="131"/>
    <s v="Diane"/>
    <x v="2"/>
    <d v="1899-12-30T10:58:05"/>
    <d v="2021-01-03T10:58:05"/>
    <x v="2"/>
    <x v="1"/>
    <x v="2"/>
    <x v="0"/>
    <s v="Y"/>
    <n v="113"/>
    <x v="0"/>
    <d v="1899-12-30T00:05:40"/>
    <n v="4"/>
  </r>
  <r>
    <x v="132"/>
    <s v="Dan"/>
    <x v="2"/>
    <d v="1899-12-30T11:02:24"/>
    <d v="2021-01-03T11:02:24"/>
    <x v="2"/>
    <x v="2"/>
    <x v="3"/>
    <x v="0"/>
    <s v="Y"/>
    <n v="124"/>
    <x v="0"/>
    <d v="1899-12-30T00:00:53"/>
    <n v="2"/>
  </r>
  <r>
    <x v="133"/>
    <s v="Jim"/>
    <x v="2"/>
    <d v="1899-12-30T11:02:24"/>
    <d v="2021-01-03T11:02:24"/>
    <x v="2"/>
    <x v="2"/>
    <x v="1"/>
    <x v="1"/>
    <s v="N"/>
    <m/>
    <x v="0"/>
    <m/>
    <m/>
  </r>
  <r>
    <x v="134"/>
    <s v="Dan"/>
    <x v="2"/>
    <d v="1899-12-30T11:03:50"/>
    <d v="2021-01-03T11:03:50"/>
    <x v="2"/>
    <x v="2"/>
    <x v="2"/>
    <x v="0"/>
    <s v="Y"/>
    <n v="55"/>
    <x v="0"/>
    <d v="1899-12-30T00:02:13"/>
    <n v="1"/>
  </r>
  <r>
    <x v="135"/>
    <s v="Greg"/>
    <x v="2"/>
    <d v="1899-12-30T11:03:50"/>
    <d v="2021-01-03T11:03:50"/>
    <x v="2"/>
    <x v="2"/>
    <x v="1"/>
    <x v="0"/>
    <s v="N"/>
    <n v="105"/>
    <x v="0"/>
    <d v="1899-12-30T00:05:59"/>
    <n v="3"/>
  </r>
  <r>
    <x v="136"/>
    <s v="Stewart"/>
    <x v="2"/>
    <d v="1899-12-30T11:06:43"/>
    <d v="2021-01-03T11:06:43"/>
    <x v="2"/>
    <x v="2"/>
    <x v="0"/>
    <x v="0"/>
    <s v="N"/>
    <n v="112"/>
    <x v="0"/>
    <d v="1899-12-30T00:03:12"/>
    <n v="5"/>
  </r>
  <r>
    <x v="137"/>
    <s v="Martha"/>
    <x v="2"/>
    <d v="1899-12-30T11:06:43"/>
    <d v="2021-01-03T11:06:43"/>
    <x v="2"/>
    <x v="2"/>
    <x v="0"/>
    <x v="1"/>
    <s v="N"/>
    <m/>
    <x v="0"/>
    <m/>
    <m/>
  </r>
  <r>
    <x v="138"/>
    <s v="Becky"/>
    <x v="2"/>
    <d v="1899-12-30T11:16:48"/>
    <d v="2021-01-03T11:16:48"/>
    <x v="2"/>
    <x v="2"/>
    <x v="1"/>
    <x v="0"/>
    <s v="Y"/>
    <n v="43"/>
    <x v="0"/>
    <d v="1899-12-30T00:06:20"/>
    <n v="5"/>
  </r>
  <r>
    <x v="139"/>
    <s v="Joe"/>
    <x v="2"/>
    <d v="1899-12-30T11:16:48"/>
    <d v="2021-01-03T11:16:48"/>
    <x v="2"/>
    <x v="2"/>
    <x v="2"/>
    <x v="0"/>
    <s v="Y"/>
    <n v="20"/>
    <x v="1"/>
    <d v="1899-12-30T00:01:44"/>
    <n v="3"/>
  </r>
  <r>
    <x v="140"/>
    <s v="Greg"/>
    <x v="2"/>
    <d v="1899-12-30T11:26:53"/>
    <d v="2021-01-03T11:26:53"/>
    <x v="2"/>
    <x v="2"/>
    <x v="1"/>
    <x v="0"/>
    <s v="Y"/>
    <n v="84"/>
    <x v="0"/>
    <d v="1899-12-30T00:01:43"/>
    <n v="5"/>
  </r>
  <r>
    <x v="141"/>
    <s v="Jim"/>
    <x v="2"/>
    <d v="1899-12-30T11:26:53"/>
    <d v="2021-01-03T11:26:53"/>
    <x v="2"/>
    <x v="2"/>
    <x v="0"/>
    <x v="0"/>
    <s v="Y"/>
    <n v="20"/>
    <x v="1"/>
    <d v="1899-12-30T00:02:44"/>
    <n v="4"/>
  </r>
  <r>
    <x v="142"/>
    <s v="Greg"/>
    <x v="2"/>
    <d v="1899-12-30T11:38:24"/>
    <d v="2021-01-03T11:38:24"/>
    <x v="2"/>
    <x v="2"/>
    <x v="4"/>
    <x v="0"/>
    <s v="Y"/>
    <n v="101"/>
    <x v="0"/>
    <d v="1899-12-30T00:02:16"/>
    <n v="3"/>
  </r>
  <r>
    <x v="143"/>
    <s v="Diane"/>
    <x v="2"/>
    <d v="1899-12-30T11:38:24"/>
    <d v="2021-01-03T11:38:24"/>
    <x v="2"/>
    <x v="2"/>
    <x v="1"/>
    <x v="0"/>
    <s v="Y"/>
    <n v="31"/>
    <x v="0"/>
    <d v="1899-12-30T00:02:55"/>
    <n v="5"/>
  </r>
  <r>
    <x v="144"/>
    <s v="Jim"/>
    <x v="2"/>
    <d v="1899-12-30T11:52:48"/>
    <d v="2021-01-03T11:52:48"/>
    <x v="2"/>
    <x v="2"/>
    <x v="0"/>
    <x v="0"/>
    <s v="Y"/>
    <n v="56"/>
    <x v="0"/>
    <d v="1899-12-30T00:04:09"/>
    <n v="5"/>
  </r>
  <r>
    <x v="145"/>
    <s v="Joe"/>
    <x v="2"/>
    <d v="1899-12-30T11:52:48"/>
    <d v="2021-01-03T11:52:48"/>
    <x v="2"/>
    <x v="2"/>
    <x v="0"/>
    <x v="1"/>
    <s v="N"/>
    <m/>
    <x v="0"/>
    <m/>
    <m/>
  </r>
  <r>
    <x v="146"/>
    <s v="Joe"/>
    <x v="2"/>
    <d v="1899-12-30T11:55:41"/>
    <d v="2021-01-03T11:55:41"/>
    <x v="2"/>
    <x v="2"/>
    <x v="2"/>
    <x v="0"/>
    <s v="Y"/>
    <n v="77"/>
    <x v="0"/>
    <d v="1899-12-30T00:01:27"/>
    <n v="5"/>
  </r>
  <r>
    <x v="147"/>
    <s v="Jim"/>
    <x v="2"/>
    <d v="1899-12-30T11:55:41"/>
    <d v="2021-01-03T11:55:41"/>
    <x v="2"/>
    <x v="2"/>
    <x v="2"/>
    <x v="0"/>
    <s v="Y"/>
    <n v="46"/>
    <x v="0"/>
    <d v="1899-12-30T00:00:50"/>
    <n v="4"/>
  </r>
  <r>
    <x v="148"/>
    <s v="Stewart"/>
    <x v="2"/>
    <d v="1899-12-30T11:58:34"/>
    <d v="2021-01-03T11:58:34"/>
    <x v="2"/>
    <x v="2"/>
    <x v="3"/>
    <x v="0"/>
    <s v="Y"/>
    <n v="88"/>
    <x v="0"/>
    <d v="1899-12-30T00:04:26"/>
    <n v="3"/>
  </r>
  <r>
    <x v="149"/>
    <s v="Diane"/>
    <x v="2"/>
    <d v="1899-12-30T11:58:34"/>
    <d v="2021-01-03T11:58:34"/>
    <x v="2"/>
    <x v="2"/>
    <x v="2"/>
    <x v="0"/>
    <s v="Y"/>
    <n v="88"/>
    <x v="0"/>
    <d v="1899-12-30T00:00:58"/>
    <n v="1"/>
  </r>
  <r>
    <x v="150"/>
    <s v="Joe"/>
    <x v="2"/>
    <d v="1899-12-30T12:33:07"/>
    <d v="2021-01-03T12:33:07"/>
    <x v="2"/>
    <x v="3"/>
    <x v="1"/>
    <x v="0"/>
    <s v="Y"/>
    <n v="124"/>
    <x v="0"/>
    <d v="1899-12-30T00:06:03"/>
    <n v="1"/>
  </r>
  <r>
    <x v="151"/>
    <s v="Stewart"/>
    <x v="2"/>
    <d v="1899-12-30T12:33:07"/>
    <d v="2021-01-03T12:33:07"/>
    <x v="2"/>
    <x v="3"/>
    <x v="0"/>
    <x v="1"/>
    <s v="N"/>
    <m/>
    <x v="0"/>
    <m/>
    <m/>
  </r>
  <r>
    <x v="152"/>
    <s v="Martha"/>
    <x v="2"/>
    <d v="1899-12-30T12:54:43"/>
    <d v="2021-01-03T12:54:43"/>
    <x v="2"/>
    <x v="3"/>
    <x v="2"/>
    <x v="0"/>
    <s v="N"/>
    <n v="52"/>
    <x v="0"/>
    <d v="1899-12-30T00:06:59"/>
    <n v="4"/>
  </r>
  <r>
    <x v="153"/>
    <s v="Joe"/>
    <x v="2"/>
    <d v="1899-12-30T12:54:43"/>
    <d v="2021-01-03T12:54:43"/>
    <x v="2"/>
    <x v="3"/>
    <x v="3"/>
    <x v="0"/>
    <s v="Y"/>
    <n v="67"/>
    <x v="0"/>
    <d v="1899-12-30T00:06:10"/>
    <n v="5"/>
  </r>
  <r>
    <x v="154"/>
    <s v="Martha"/>
    <x v="2"/>
    <d v="1899-12-30T13:12:00"/>
    <d v="2021-01-03T13:12:00"/>
    <x v="2"/>
    <x v="4"/>
    <x v="2"/>
    <x v="0"/>
    <s v="Y"/>
    <n v="119"/>
    <x v="0"/>
    <d v="1899-12-30T00:04:16"/>
    <n v="3"/>
  </r>
  <r>
    <x v="155"/>
    <s v="Dan"/>
    <x v="2"/>
    <d v="1899-12-30T13:12:00"/>
    <d v="2021-01-03T13:12:00"/>
    <x v="2"/>
    <x v="4"/>
    <x v="3"/>
    <x v="0"/>
    <s v="Y"/>
    <n v="98"/>
    <x v="0"/>
    <d v="1899-12-30T00:04:37"/>
    <n v="2"/>
  </r>
  <r>
    <x v="156"/>
    <s v="Jim"/>
    <x v="2"/>
    <d v="1899-12-30T13:14:53"/>
    <d v="2021-01-03T13:14:53"/>
    <x v="2"/>
    <x v="4"/>
    <x v="1"/>
    <x v="1"/>
    <s v="N"/>
    <m/>
    <x v="0"/>
    <m/>
    <m/>
  </r>
  <r>
    <x v="157"/>
    <s v="Joe"/>
    <x v="2"/>
    <d v="1899-12-30T13:14:53"/>
    <d v="2021-01-03T13:14:53"/>
    <x v="2"/>
    <x v="4"/>
    <x v="1"/>
    <x v="0"/>
    <s v="Y"/>
    <n v="118"/>
    <x v="0"/>
    <d v="1899-12-30T00:04:18"/>
    <n v="3"/>
  </r>
  <r>
    <x v="158"/>
    <s v="Becky"/>
    <x v="2"/>
    <d v="1899-12-30T13:27:50"/>
    <d v="2021-01-03T13:27:50"/>
    <x v="2"/>
    <x v="4"/>
    <x v="3"/>
    <x v="0"/>
    <s v="Y"/>
    <n v="123"/>
    <x v="0"/>
    <d v="1899-12-30T00:01:15"/>
    <n v="3"/>
  </r>
  <r>
    <x v="159"/>
    <s v="Becky"/>
    <x v="2"/>
    <d v="1899-12-30T13:27:50"/>
    <d v="2021-01-03T13:27:50"/>
    <x v="2"/>
    <x v="4"/>
    <x v="4"/>
    <x v="0"/>
    <s v="N"/>
    <n v="86"/>
    <x v="0"/>
    <d v="1899-12-30T00:05:37"/>
    <n v="1"/>
  </r>
  <r>
    <x v="160"/>
    <s v="Greg"/>
    <x v="2"/>
    <d v="1899-12-30T13:35:02"/>
    <d v="2021-01-03T13:35:02"/>
    <x v="2"/>
    <x v="4"/>
    <x v="3"/>
    <x v="0"/>
    <s v="Y"/>
    <n v="104"/>
    <x v="0"/>
    <d v="1899-12-30T00:02:09"/>
    <n v="3"/>
  </r>
  <r>
    <x v="161"/>
    <s v="Greg"/>
    <x v="2"/>
    <d v="1899-12-30T13:35:02"/>
    <d v="2021-01-03T13:35:02"/>
    <x v="2"/>
    <x v="4"/>
    <x v="2"/>
    <x v="0"/>
    <s v="Y"/>
    <n v="69"/>
    <x v="0"/>
    <d v="1899-12-30T00:01:33"/>
    <n v="2"/>
  </r>
  <r>
    <x v="162"/>
    <s v="Dan"/>
    <x v="2"/>
    <d v="1899-12-30T13:58:05"/>
    <d v="2021-01-03T13:58:05"/>
    <x v="2"/>
    <x v="4"/>
    <x v="0"/>
    <x v="0"/>
    <s v="Y"/>
    <n v="113"/>
    <x v="0"/>
    <d v="1899-12-30T00:02:38"/>
    <n v="1"/>
  </r>
  <r>
    <x v="163"/>
    <s v="Joe"/>
    <x v="2"/>
    <d v="1899-12-30T13:58:05"/>
    <d v="2021-01-03T13:58:05"/>
    <x v="2"/>
    <x v="4"/>
    <x v="4"/>
    <x v="0"/>
    <s v="Y"/>
    <n v="88"/>
    <x v="0"/>
    <d v="1899-12-30T00:03:23"/>
    <n v="5"/>
  </r>
  <r>
    <x v="164"/>
    <s v="Joe"/>
    <x v="2"/>
    <d v="1899-12-30T13:58:05"/>
    <d v="2021-01-03T13:58:05"/>
    <x v="2"/>
    <x v="4"/>
    <x v="4"/>
    <x v="1"/>
    <s v="N"/>
    <m/>
    <x v="0"/>
    <m/>
    <m/>
  </r>
  <r>
    <x v="165"/>
    <s v="Stewart"/>
    <x v="2"/>
    <d v="1899-12-30T13:58:05"/>
    <d v="2021-01-03T13:58:05"/>
    <x v="2"/>
    <x v="4"/>
    <x v="2"/>
    <x v="1"/>
    <s v="N"/>
    <m/>
    <x v="0"/>
    <m/>
    <m/>
  </r>
  <r>
    <x v="166"/>
    <s v="Joe"/>
    <x v="2"/>
    <d v="1899-12-30T14:03:50"/>
    <d v="2021-01-03T14:03:50"/>
    <x v="2"/>
    <x v="5"/>
    <x v="2"/>
    <x v="0"/>
    <s v="Y"/>
    <n v="84"/>
    <x v="0"/>
    <d v="1899-12-30T00:00:58"/>
    <n v="2"/>
  </r>
  <r>
    <x v="167"/>
    <s v="Diane"/>
    <x v="2"/>
    <d v="1899-12-30T14:03:50"/>
    <d v="2021-01-03T14:03:50"/>
    <x v="2"/>
    <x v="5"/>
    <x v="4"/>
    <x v="0"/>
    <s v="Y"/>
    <n v="113"/>
    <x v="0"/>
    <d v="1899-12-30T00:01:22"/>
    <n v="3"/>
  </r>
  <r>
    <x v="168"/>
    <s v="Joe"/>
    <x v="2"/>
    <d v="1899-12-30T14:47:02"/>
    <d v="2021-01-03T14:47:02"/>
    <x v="2"/>
    <x v="5"/>
    <x v="4"/>
    <x v="0"/>
    <s v="Y"/>
    <n v="38"/>
    <x v="0"/>
    <d v="1899-12-30T00:05:31"/>
    <n v="4"/>
  </r>
  <r>
    <x v="169"/>
    <s v="Dan"/>
    <x v="2"/>
    <d v="1899-12-30T14:47:02"/>
    <d v="2021-01-03T14:47:02"/>
    <x v="2"/>
    <x v="5"/>
    <x v="4"/>
    <x v="0"/>
    <s v="Y"/>
    <n v="14"/>
    <x v="1"/>
    <d v="1899-12-30T00:06:14"/>
    <n v="4"/>
  </r>
  <r>
    <x v="170"/>
    <s v="Martha"/>
    <x v="2"/>
    <d v="1899-12-30T15:34:34"/>
    <d v="2021-01-03T15:34:34"/>
    <x v="2"/>
    <x v="6"/>
    <x v="4"/>
    <x v="0"/>
    <s v="N"/>
    <n v="25"/>
    <x v="0"/>
    <d v="1899-12-30T00:05:32"/>
    <n v="4"/>
  </r>
  <r>
    <x v="171"/>
    <s v="Dan"/>
    <x v="2"/>
    <d v="1899-12-30T15:34:34"/>
    <d v="2021-01-03T15:34:34"/>
    <x v="2"/>
    <x v="6"/>
    <x v="0"/>
    <x v="1"/>
    <s v="N"/>
    <m/>
    <x v="0"/>
    <m/>
    <m/>
  </r>
  <r>
    <x v="172"/>
    <s v="Diane"/>
    <x v="2"/>
    <d v="1899-12-30T16:29:17"/>
    <d v="2021-01-03T16:29:17"/>
    <x v="2"/>
    <x v="8"/>
    <x v="1"/>
    <x v="1"/>
    <s v="N"/>
    <m/>
    <x v="0"/>
    <m/>
    <m/>
  </r>
  <r>
    <x v="173"/>
    <s v="Joe"/>
    <x v="2"/>
    <d v="1899-12-30T16:29:17"/>
    <d v="2021-01-03T16:29:17"/>
    <x v="2"/>
    <x v="8"/>
    <x v="2"/>
    <x v="0"/>
    <s v="Y"/>
    <n v="117"/>
    <x v="0"/>
    <d v="1899-12-30T00:02:07"/>
    <n v="4"/>
  </r>
  <r>
    <x v="174"/>
    <s v="Stewart"/>
    <x v="2"/>
    <d v="1899-12-30T17:31:12"/>
    <d v="2021-01-03T17:31:12"/>
    <x v="2"/>
    <x v="7"/>
    <x v="2"/>
    <x v="0"/>
    <s v="N"/>
    <n v="57"/>
    <x v="0"/>
    <d v="1899-12-30T00:06:01"/>
    <n v="2"/>
  </r>
  <r>
    <x v="175"/>
    <s v="Martha"/>
    <x v="2"/>
    <d v="1899-12-30T17:31:12"/>
    <d v="2021-01-03T17:31:12"/>
    <x v="2"/>
    <x v="7"/>
    <x v="1"/>
    <x v="0"/>
    <s v="Y"/>
    <n v="119"/>
    <x v="0"/>
    <d v="1899-12-30T00:05:19"/>
    <n v="5"/>
  </r>
  <r>
    <x v="176"/>
    <s v="Martha"/>
    <x v="3"/>
    <d v="1899-12-30T09:01:26"/>
    <d v="2021-01-04T09:01:26"/>
    <x v="3"/>
    <x v="0"/>
    <x v="0"/>
    <x v="1"/>
    <s v="N"/>
    <m/>
    <x v="0"/>
    <m/>
    <m/>
  </r>
  <r>
    <x v="177"/>
    <s v="Diane"/>
    <x v="3"/>
    <d v="1899-12-30T09:01:26"/>
    <d v="2021-01-04T09:01:26"/>
    <x v="3"/>
    <x v="0"/>
    <x v="4"/>
    <x v="0"/>
    <s v="Y"/>
    <n v="93"/>
    <x v="0"/>
    <d v="1899-12-30T00:06:32"/>
    <n v="5"/>
  </r>
  <r>
    <x v="178"/>
    <s v="Martha"/>
    <x v="3"/>
    <d v="1899-12-30T09:31:41"/>
    <d v="2021-01-04T09:31:41"/>
    <x v="3"/>
    <x v="0"/>
    <x v="2"/>
    <x v="0"/>
    <s v="Y"/>
    <n v="86"/>
    <x v="0"/>
    <d v="1899-12-30T00:01:04"/>
    <n v="4"/>
  </r>
  <r>
    <x v="179"/>
    <s v="Joe"/>
    <x v="3"/>
    <d v="1899-12-30T09:31:41"/>
    <d v="2021-01-04T09:31:41"/>
    <x v="3"/>
    <x v="0"/>
    <x v="4"/>
    <x v="1"/>
    <s v="N"/>
    <m/>
    <x v="0"/>
    <m/>
    <m/>
  </r>
  <r>
    <x v="180"/>
    <s v="Dan"/>
    <x v="3"/>
    <d v="1899-12-30T09:43:12"/>
    <d v="2021-01-04T09:43:12"/>
    <x v="3"/>
    <x v="0"/>
    <x v="0"/>
    <x v="0"/>
    <s v="Y"/>
    <n v="92"/>
    <x v="0"/>
    <d v="1899-12-30T00:02:59"/>
    <n v="3"/>
  </r>
  <r>
    <x v="181"/>
    <s v="Greg"/>
    <x v="3"/>
    <d v="1899-12-30T09:43:12"/>
    <d v="2021-01-04T09:43:12"/>
    <x v="3"/>
    <x v="0"/>
    <x v="4"/>
    <x v="1"/>
    <s v="N"/>
    <m/>
    <x v="0"/>
    <m/>
    <m/>
  </r>
  <r>
    <x v="182"/>
    <s v="Martha"/>
    <x v="3"/>
    <d v="1899-12-30T10:03:22"/>
    <d v="2021-01-04T10:03:22"/>
    <x v="3"/>
    <x v="1"/>
    <x v="1"/>
    <x v="0"/>
    <s v="Y"/>
    <n v="106"/>
    <x v="0"/>
    <d v="1899-12-30T00:05:42"/>
    <n v="3"/>
  </r>
  <r>
    <x v="183"/>
    <s v="Stewart"/>
    <x v="3"/>
    <d v="1899-12-30T10:03:22"/>
    <d v="2021-01-04T10:03:22"/>
    <x v="3"/>
    <x v="1"/>
    <x v="1"/>
    <x v="0"/>
    <s v="Y"/>
    <n v="67"/>
    <x v="0"/>
    <d v="1899-12-30T00:02:44"/>
    <n v="3"/>
  </r>
  <r>
    <x v="184"/>
    <s v="Jim"/>
    <x v="3"/>
    <d v="1899-12-30T10:27:50"/>
    <d v="2021-01-04T10:27:50"/>
    <x v="3"/>
    <x v="1"/>
    <x v="4"/>
    <x v="0"/>
    <s v="Y"/>
    <n v="90"/>
    <x v="0"/>
    <d v="1899-12-30T00:04:17"/>
    <n v="3"/>
  </r>
  <r>
    <x v="185"/>
    <s v="Diane"/>
    <x v="3"/>
    <d v="1899-12-30T10:27:50"/>
    <d v="2021-01-04T10:27:50"/>
    <x v="3"/>
    <x v="1"/>
    <x v="1"/>
    <x v="1"/>
    <s v="N"/>
    <m/>
    <x v="0"/>
    <m/>
    <m/>
  </r>
  <r>
    <x v="186"/>
    <s v="Becky"/>
    <x v="3"/>
    <d v="1899-12-30T11:09:36"/>
    <d v="2021-01-04T11:09:36"/>
    <x v="3"/>
    <x v="2"/>
    <x v="4"/>
    <x v="0"/>
    <s v="N"/>
    <n v="50"/>
    <x v="0"/>
    <d v="1899-12-30T00:03:49"/>
    <n v="4"/>
  </r>
  <r>
    <x v="187"/>
    <s v="Diane"/>
    <x v="3"/>
    <d v="1899-12-30T11:09:36"/>
    <d v="2021-01-04T11:09:36"/>
    <x v="3"/>
    <x v="2"/>
    <x v="3"/>
    <x v="0"/>
    <s v="N"/>
    <n v="89"/>
    <x v="0"/>
    <d v="1899-12-30T00:04:16"/>
    <n v="3"/>
  </r>
  <r>
    <x v="188"/>
    <s v="Jim"/>
    <x v="3"/>
    <d v="1899-12-30T11:13:55"/>
    <d v="2021-01-04T11:13:55"/>
    <x v="3"/>
    <x v="2"/>
    <x v="3"/>
    <x v="0"/>
    <s v="Y"/>
    <n v="74"/>
    <x v="0"/>
    <d v="1899-12-30T00:06:18"/>
    <n v="3"/>
  </r>
  <r>
    <x v="189"/>
    <s v="Martha"/>
    <x v="3"/>
    <d v="1899-12-30T11:13:55"/>
    <d v="2021-01-04T11:13:55"/>
    <x v="3"/>
    <x v="2"/>
    <x v="2"/>
    <x v="0"/>
    <s v="Y"/>
    <n v="63"/>
    <x v="0"/>
    <d v="1899-12-30T00:02:22"/>
    <n v="2"/>
  </r>
  <r>
    <x v="190"/>
    <s v="Becky"/>
    <x v="3"/>
    <d v="1899-12-30T11:18:14"/>
    <d v="2021-01-04T11:18:14"/>
    <x v="3"/>
    <x v="2"/>
    <x v="0"/>
    <x v="0"/>
    <s v="Y"/>
    <n v="45"/>
    <x v="0"/>
    <d v="1899-12-30T00:06:31"/>
    <n v="5"/>
  </r>
  <r>
    <x v="191"/>
    <s v="Martha"/>
    <x v="3"/>
    <d v="1899-12-30T11:18:14"/>
    <d v="2021-01-04T11:18:14"/>
    <x v="3"/>
    <x v="2"/>
    <x v="1"/>
    <x v="1"/>
    <s v="N"/>
    <m/>
    <x v="0"/>
    <m/>
    <m/>
  </r>
  <r>
    <x v="192"/>
    <s v="Dan"/>
    <x v="3"/>
    <d v="1899-12-30T11:22:34"/>
    <d v="2021-01-04T11:22:34"/>
    <x v="3"/>
    <x v="2"/>
    <x v="2"/>
    <x v="0"/>
    <s v="Y"/>
    <n v="31"/>
    <x v="0"/>
    <d v="1899-12-30T00:06:43"/>
    <n v="2"/>
  </r>
  <r>
    <x v="193"/>
    <s v="Joe"/>
    <x v="3"/>
    <d v="1899-12-30T11:22:34"/>
    <d v="2021-01-04T11:22:34"/>
    <x v="3"/>
    <x v="2"/>
    <x v="4"/>
    <x v="1"/>
    <s v="N"/>
    <m/>
    <x v="0"/>
    <m/>
    <m/>
  </r>
  <r>
    <x v="194"/>
    <s v="Joe"/>
    <x v="3"/>
    <d v="1899-12-30T11:32:38"/>
    <d v="2021-01-04T11:32:38"/>
    <x v="3"/>
    <x v="2"/>
    <x v="0"/>
    <x v="0"/>
    <s v="Y"/>
    <n v="43"/>
    <x v="0"/>
    <d v="1899-12-30T00:03:44"/>
    <n v="5"/>
  </r>
  <r>
    <x v="195"/>
    <s v="Martha"/>
    <x v="3"/>
    <d v="1899-12-30T11:32:38"/>
    <d v="2021-01-04T11:32:38"/>
    <x v="3"/>
    <x v="2"/>
    <x v="4"/>
    <x v="0"/>
    <s v="Y"/>
    <n v="50"/>
    <x v="0"/>
    <d v="1899-12-30T00:05:42"/>
    <n v="4"/>
  </r>
  <r>
    <x v="196"/>
    <s v="Dan"/>
    <x v="3"/>
    <d v="1899-12-30T12:02:53"/>
    <d v="2021-01-04T12:02:53"/>
    <x v="3"/>
    <x v="3"/>
    <x v="1"/>
    <x v="0"/>
    <s v="Y"/>
    <n v="48"/>
    <x v="0"/>
    <d v="1899-12-30T00:05:12"/>
    <n v="4"/>
  </r>
  <r>
    <x v="197"/>
    <s v="Martha"/>
    <x v="3"/>
    <d v="1899-12-30T12:02:53"/>
    <d v="2021-01-04T12:02:53"/>
    <x v="3"/>
    <x v="3"/>
    <x v="3"/>
    <x v="0"/>
    <s v="Y"/>
    <n v="113"/>
    <x v="0"/>
    <d v="1899-12-30T00:02:44"/>
    <n v="5"/>
  </r>
  <r>
    <x v="198"/>
    <s v="Jim"/>
    <x v="3"/>
    <d v="1899-12-30T12:15:50"/>
    <d v="2021-01-04T12:15:50"/>
    <x v="3"/>
    <x v="3"/>
    <x v="4"/>
    <x v="1"/>
    <s v="N"/>
    <m/>
    <x v="0"/>
    <m/>
    <m/>
  </r>
  <r>
    <x v="199"/>
    <s v="Joe"/>
    <x v="3"/>
    <d v="1899-12-30T12:15:50"/>
    <d v="2021-01-04T12:15:50"/>
    <x v="3"/>
    <x v="3"/>
    <x v="1"/>
    <x v="0"/>
    <s v="Y"/>
    <n v="103"/>
    <x v="0"/>
    <d v="1899-12-30T00:06:40"/>
    <n v="5"/>
  </r>
  <r>
    <x v="200"/>
    <s v="Becky"/>
    <x v="3"/>
    <d v="1899-12-30T12:15:50"/>
    <d v="2021-01-04T12:15:50"/>
    <x v="3"/>
    <x v="3"/>
    <x v="1"/>
    <x v="0"/>
    <s v="N"/>
    <n v="95"/>
    <x v="0"/>
    <d v="1899-12-30T00:04:27"/>
    <n v="3"/>
  </r>
  <r>
    <x v="201"/>
    <s v="Joe"/>
    <x v="3"/>
    <d v="1899-12-30T12:15:50"/>
    <d v="2021-01-04T12:15:50"/>
    <x v="3"/>
    <x v="3"/>
    <x v="3"/>
    <x v="0"/>
    <s v="Y"/>
    <n v="30"/>
    <x v="0"/>
    <d v="1899-12-30T00:05:04"/>
    <n v="1"/>
  </r>
  <r>
    <x v="202"/>
    <s v="Greg"/>
    <x v="3"/>
    <d v="1899-12-30T13:32:10"/>
    <d v="2021-01-04T13:32:10"/>
    <x v="3"/>
    <x v="4"/>
    <x v="3"/>
    <x v="0"/>
    <s v="Y"/>
    <n v="124"/>
    <x v="0"/>
    <d v="1899-12-30T00:03:19"/>
    <n v="3"/>
  </r>
  <r>
    <x v="203"/>
    <s v="Diane"/>
    <x v="3"/>
    <d v="1899-12-30T13:32:10"/>
    <d v="2021-01-04T13:32:10"/>
    <x v="3"/>
    <x v="4"/>
    <x v="3"/>
    <x v="0"/>
    <s v="Y"/>
    <n v="17"/>
    <x v="1"/>
    <d v="1899-12-30T00:02:03"/>
    <n v="5"/>
  </r>
  <r>
    <x v="204"/>
    <s v="Stewart"/>
    <x v="3"/>
    <d v="1899-12-30T13:45:07"/>
    <d v="2021-01-04T13:45:07"/>
    <x v="3"/>
    <x v="4"/>
    <x v="4"/>
    <x v="0"/>
    <s v="Y"/>
    <n v="113"/>
    <x v="0"/>
    <d v="1899-12-30T00:06:00"/>
    <n v="3"/>
  </r>
  <r>
    <x v="205"/>
    <s v="Jim"/>
    <x v="3"/>
    <d v="1899-12-30T13:45:07"/>
    <d v="2021-01-04T13:45:07"/>
    <x v="3"/>
    <x v="4"/>
    <x v="1"/>
    <x v="0"/>
    <s v="Y"/>
    <n v="25"/>
    <x v="0"/>
    <d v="1899-12-30T00:02:27"/>
    <n v="5"/>
  </r>
  <r>
    <x v="206"/>
    <s v="Jim"/>
    <x v="3"/>
    <d v="1899-12-30T13:56:38"/>
    <d v="2021-01-04T13:56:38"/>
    <x v="3"/>
    <x v="4"/>
    <x v="3"/>
    <x v="0"/>
    <s v="Y"/>
    <n v="52"/>
    <x v="0"/>
    <d v="1899-12-30T00:04:22"/>
    <n v="5"/>
  </r>
  <r>
    <x v="207"/>
    <s v="Dan"/>
    <x v="3"/>
    <d v="1899-12-30T13:56:38"/>
    <d v="2021-01-04T13:56:38"/>
    <x v="3"/>
    <x v="4"/>
    <x v="3"/>
    <x v="0"/>
    <s v="Y"/>
    <n v="28"/>
    <x v="0"/>
    <d v="1899-12-30T00:02:44"/>
    <n v="5"/>
  </r>
  <r>
    <x v="208"/>
    <s v="Greg"/>
    <x v="3"/>
    <d v="1899-12-30T14:25:26"/>
    <d v="2021-01-04T14:25:26"/>
    <x v="3"/>
    <x v="5"/>
    <x v="1"/>
    <x v="0"/>
    <s v="Y"/>
    <n v="69"/>
    <x v="0"/>
    <d v="1899-12-30T00:03:05"/>
    <n v="3"/>
  </r>
  <r>
    <x v="209"/>
    <s v="Martha"/>
    <x v="3"/>
    <d v="1899-12-30T14:25:26"/>
    <d v="2021-01-04T14:25:26"/>
    <x v="3"/>
    <x v="5"/>
    <x v="4"/>
    <x v="0"/>
    <s v="Y"/>
    <n v="106"/>
    <x v="0"/>
    <d v="1899-12-30T00:03:52"/>
    <n v="3"/>
  </r>
  <r>
    <x v="210"/>
    <s v="Jim"/>
    <x v="3"/>
    <d v="1899-12-30T14:28:19"/>
    <d v="2021-01-04T14:28:19"/>
    <x v="3"/>
    <x v="5"/>
    <x v="1"/>
    <x v="1"/>
    <s v="N"/>
    <m/>
    <x v="0"/>
    <m/>
    <m/>
  </r>
  <r>
    <x v="211"/>
    <s v="Joe"/>
    <x v="3"/>
    <d v="1899-12-30T14:28:19"/>
    <d v="2021-01-04T14:28:19"/>
    <x v="3"/>
    <x v="5"/>
    <x v="2"/>
    <x v="0"/>
    <s v="Y"/>
    <n v="26"/>
    <x v="0"/>
    <d v="1899-12-30T00:04:59"/>
    <n v="3"/>
  </r>
  <r>
    <x v="212"/>
    <s v="Joe"/>
    <x v="3"/>
    <d v="1899-12-30T14:31:12"/>
    <d v="2021-01-04T14:31:12"/>
    <x v="3"/>
    <x v="5"/>
    <x v="2"/>
    <x v="0"/>
    <s v="Y"/>
    <n v="53"/>
    <x v="0"/>
    <d v="1899-12-30T00:05:55"/>
    <n v="4"/>
  </r>
  <r>
    <x v="213"/>
    <s v="Martha"/>
    <x v="3"/>
    <d v="1899-12-30T14:31:12"/>
    <d v="2021-01-04T14:31:12"/>
    <x v="3"/>
    <x v="5"/>
    <x v="1"/>
    <x v="0"/>
    <s v="Y"/>
    <n v="77"/>
    <x v="0"/>
    <d v="1899-12-30T00:04:10"/>
    <n v="2"/>
  </r>
  <r>
    <x v="214"/>
    <s v="Jim"/>
    <x v="3"/>
    <d v="1899-12-30T14:49:55"/>
    <d v="2021-01-04T14:49:55"/>
    <x v="3"/>
    <x v="5"/>
    <x v="0"/>
    <x v="0"/>
    <s v="Y"/>
    <n v="45"/>
    <x v="0"/>
    <d v="1899-12-30T00:03:02"/>
    <n v="3"/>
  </r>
  <r>
    <x v="215"/>
    <s v="Becky"/>
    <x v="3"/>
    <d v="1899-12-30T14:49:55"/>
    <d v="2021-01-04T14:49:55"/>
    <x v="3"/>
    <x v="5"/>
    <x v="1"/>
    <x v="1"/>
    <s v="N"/>
    <m/>
    <x v="0"/>
    <m/>
    <m/>
  </r>
  <r>
    <x v="216"/>
    <s v="Greg"/>
    <x v="3"/>
    <d v="1899-12-30T15:23:02"/>
    <d v="2021-01-04T15:23:02"/>
    <x v="3"/>
    <x v="6"/>
    <x v="4"/>
    <x v="0"/>
    <s v="Y"/>
    <n v="56"/>
    <x v="0"/>
    <d v="1899-12-30T00:04:16"/>
    <n v="4"/>
  </r>
  <r>
    <x v="217"/>
    <s v="Stewart"/>
    <x v="3"/>
    <d v="1899-12-30T15:23:02"/>
    <d v="2021-01-04T15:23:02"/>
    <x v="3"/>
    <x v="6"/>
    <x v="3"/>
    <x v="0"/>
    <s v="Y"/>
    <n v="13"/>
    <x v="1"/>
    <d v="1899-12-30T00:03:56"/>
    <n v="2"/>
  </r>
  <r>
    <x v="218"/>
    <s v="Stewart"/>
    <x v="3"/>
    <d v="1899-12-30T15:48:58"/>
    <d v="2021-01-04T15:48:58"/>
    <x v="3"/>
    <x v="6"/>
    <x v="3"/>
    <x v="0"/>
    <s v="Y"/>
    <n v="120"/>
    <x v="0"/>
    <d v="1899-12-30T00:06:50"/>
    <n v="5"/>
  </r>
  <r>
    <x v="219"/>
    <s v="Diane"/>
    <x v="3"/>
    <d v="1899-12-30T15:48:58"/>
    <d v="2021-01-04T15:48:58"/>
    <x v="3"/>
    <x v="6"/>
    <x v="2"/>
    <x v="0"/>
    <s v="Y"/>
    <n v="22"/>
    <x v="0"/>
    <d v="1899-12-30T00:00:50"/>
    <n v="1"/>
  </r>
  <r>
    <x v="220"/>
    <s v="Martha"/>
    <x v="3"/>
    <d v="1899-12-30T16:48:00"/>
    <d v="2021-01-04T16:48:00"/>
    <x v="3"/>
    <x v="8"/>
    <x v="2"/>
    <x v="0"/>
    <s v="Y"/>
    <n v="81"/>
    <x v="0"/>
    <d v="1899-12-30T00:03:21"/>
    <n v="4"/>
  </r>
  <r>
    <x v="221"/>
    <s v="Jim"/>
    <x v="3"/>
    <d v="1899-12-30T16:48:00"/>
    <d v="2021-01-04T16:48:00"/>
    <x v="3"/>
    <x v="8"/>
    <x v="4"/>
    <x v="1"/>
    <s v="N"/>
    <m/>
    <x v="0"/>
    <m/>
    <m/>
  </r>
  <r>
    <x v="222"/>
    <s v="Martha"/>
    <x v="3"/>
    <d v="1899-12-30T16:49:26"/>
    <d v="2021-01-04T16:49:26"/>
    <x v="3"/>
    <x v="8"/>
    <x v="0"/>
    <x v="0"/>
    <s v="Y"/>
    <n v="71"/>
    <x v="0"/>
    <d v="1899-12-30T00:00:48"/>
    <n v="2"/>
  </r>
  <r>
    <x v="223"/>
    <s v="Stewart"/>
    <x v="3"/>
    <d v="1899-12-30T16:49:26"/>
    <d v="2021-01-04T16:49:26"/>
    <x v="3"/>
    <x v="8"/>
    <x v="2"/>
    <x v="0"/>
    <s v="Y"/>
    <n v="75"/>
    <x v="0"/>
    <d v="1899-12-30T00:01:33"/>
    <n v="4"/>
  </r>
  <r>
    <x v="224"/>
    <s v="Martha"/>
    <x v="3"/>
    <d v="1899-12-30T16:49:26"/>
    <d v="2021-01-04T16:49:26"/>
    <x v="3"/>
    <x v="8"/>
    <x v="1"/>
    <x v="0"/>
    <s v="Y"/>
    <n v="77"/>
    <x v="0"/>
    <d v="1899-12-30T00:02:42"/>
    <n v="4"/>
  </r>
  <r>
    <x v="225"/>
    <s v="Joe"/>
    <x v="3"/>
    <d v="1899-12-30T16:49:26"/>
    <d v="2021-01-04T16:49:26"/>
    <x v="3"/>
    <x v="8"/>
    <x v="4"/>
    <x v="0"/>
    <s v="Y"/>
    <n v="88"/>
    <x v="0"/>
    <d v="1899-12-30T00:06:27"/>
    <n v="4"/>
  </r>
  <r>
    <x v="226"/>
    <s v="Stewart"/>
    <x v="3"/>
    <d v="1899-12-30T17:35:31"/>
    <d v="2021-01-04T17:35:31"/>
    <x v="3"/>
    <x v="7"/>
    <x v="3"/>
    <x v="0"/>
    <s v="Y"/>
    <n v="82"/>
    <x v="0"/>
    <d v="1899-12-30T00:03:05"/>
    <n v="2"/>
  </r>
  <r>
    <x v="227"/>
    <s v="Jim"/>
    <x v="3"/>
    <d v="1899-12-30T17:35:31"/>
    <d v="2021-01-04T17:35:31"/>
    <x v="3"/>
    <x v="7"/>
    <x v="1"/>
    <x v="0"/>
    <s v="Y"/>
    <n v="110"/>
    <x v="0"/>
    <d v="1899-12-30T00:06:30"/>
    <n v="3"/>
  </r>
  <r>
    <x v="228"/>
    <s v="Martha"/>
    <x v="3"/>
    <d v="1899-12-30T17:39:50"/>
    <d v="2021-01-04T17:39:50"/>
    <x v="3"/>
    <x v="7"/>
    <x v="3"/>
    <x v="0"/>
    <s v="N"/>
    <n v="70"/>
    <x v="0"/>
    <d v="1899-12-30T00:01:32"/>
    <n v="3"/>
  </r>
  <r>
    <x v="229"/>
    <s v="Becky"/>
    <x v="3"/>
    <d v="1899-12-30T17:39:50"/>
    <d v="2021-01-04T17:39:50"/>
    <x v="3"/>
    <x v="7"/>
    <x v="3"/>
    <x v="0"/>
    <s v="Y"/>
    <n v="117"/>
    <x v="0"/>
    <d v="1899-12-30T00:03:40"/>
    <n v="3"/>
  </r>
  <r>
    <x v="230"/>
    <s v="Joe"/>
    <x v="4"/>
    <d v="1899-12-30T09:08:38"/>
    <d v="2021-01-05T09:08:38"/>
    <x v="4"/>
    <x v="0"/>
    <x v="4"/>
    <x v="0"/>
    <s v="Y"/>
    <n v="18"/>
    <x v="1"/>
    <d v="1899-12-30T00:00:50"/>
    <n v="3"/>
  </r>
  <r>
    <x v="231"/>
    <s v="Joe"/>
    <x v="4"/>
    <d v="1899-12-30T09:08:38"/>
    <d v="2021-01-05T09:08:38"/>
    <x v="4"/>
    <x v="0"/>
    <x v="4"/>
    <x v="0"/>
    <s v="Y"/>
    <n v="113"/>
    <x v="0"/>
    <d v="1899-12-30T00:02:36"/>
    <n v="4"/>
  </r>
  <r>
    <x v="232"/>
    <s v="Stewart"/>
    <x v="4"/>
    <d v="1899-12-30T09:25:55"/>
    <d v="2021-01-05T09:25:55"/>
    <x v="4"/>
    <x v="0"/>
    <x v="0"/>
    <x v="0"/>
    <s v="N"/>
    <n v="68"/>
    <x v="0"/>
    <d v="1899-12-30T00:03:29"/>
    <n v="5"/>
  </r>
  <r>
    <x v="233"/>
    <s v="Greg"/>
    <x v="4"/>
    <d v="1899-12-30T09:25:55"/>
    <d v="2021-01-05T09:25:55"/>
    <x v="4"/>
    <x v="0"/>
    <x v="2"/>
    <x v="0"/>
    <s v="Y"/>
    <n v="67"/>
    <x v="0"/>
    <d v="1899-12-30T00:04:14"/>
    <n v="5"/>
  </r>
  <r>
    <x v="234"/>
    <s v="Joe"/>
    <x v="4"/>
    <d v="1899-12-30T09:33:07"/>
    <d v="2021-01-05T09:33:07"/>
    <x v="4"/>
    <x v="0"/>
    <x v="1"/>
    <x v="0"/>
    <s v="Y"/>
    <n v="36"/>
    <x v="0"/>
    <d v="1899-12-30T00:01:07"/>
    <n v="5"/>
  </r>
  <r>
    <x v="235"/>
    <s v="Stewart"/>
    <x v="4"/>
    <d v="1899-12-30T09:33:07"/>
    <d v="2021-01-05T09:33:07"/>
    <x v="4"/>
    <x v="0"/>
    <x v="4"/>
    <x v="1"/>
    <s v="N"/>
    <m/>
    <x v="0"/>
    <m/>
    <m/>
  </r>
  <r>
    <x v="236"/>
    <s v="Becky"/>
    <x v="4"/>
    <d v="1899-12-30T10:00:29"/>
    <d v="2021-01-05T10:00:29"/>
    <x v="4"/>
    <x v="1"/>
    <x v="1"/>
    <x v="0"/>
    <s v="Y"/>
    <n v="33"/>
    <x v="0"/>
    <d v="1899-12-30T00:02:30"/>
    <n v="1"/>
  </r>
  <r>
    <x v="237"/>
    <s v="Dan"/>
    <x v="4"/>
    <d v="1899-12-30T10:00:29"/>
    <d v="2021-01-05T10:00:29"/>
    <x v="4"/>
    <x v="1"/>
    <x v="0"/>
    <x v="0"/>
    <s v="Y"/>
    <n v="113"/>
    <x v="0"/>
    <d v="1899-12-30T00:01:59"/>
    <n v="5"/>
  </r>
  <r>
    <x v="238"/>
    <s v="Greg"/>
    <x v="4"/>
    <d v="1899-12-30T10:49:26"/>
    <d v="2021-01-05T10:49:26"/>
    <x v="4"/>
    <x v="1"/>
    <x v="0"/>
    <x v="0"/>
    <s v="Y"/>
    <n v="106"/>
    <x v="0"/>
    <d v="1899-12-30T00:06:19"/>
    <n v="3"/>
  </r>
  <r>
    <x v="239"/>
    <s v="Joe"/>
    <x v="4"/>
    <d v="1899-12-30T10:49:26"/>
    <d v="2021-01-05T10:49:26"/>
    <x v="4"/>
    <x v="1"/>
    <x v="4"/>
    <x v="0"/>
    <s v="Y"/>
    <n v="23"/>
    <x v="0"/>
    <d v="1899-12-30T00:04:59"/>
    <n v="3"/>
  </r>
  <r>
    <x v="240"/>
    <s v="Joe"/>
    <x v="4"/>
    <d v="1899-12-30T11:31:12"/>
    <d v="2021-01-05T11:31:12"/>
    <x v="4"/>
    <x v="2"/>
    <x v="4"/>
    <x v="1"/>
    <s v="N"/>
    <m/>
    <x v="0"/>
    <m/>
    <m/>
  </r>
  <r>
    <x v="241"/>
    <s v="Greg"/>
    <x v="4"/>
    <d v="1899-12-30T11:31:12"/>
    <d v="2021-01-05T11:31:12"/>
    <x v="4"/>
    <x v="2"/>
    <x v="2"/>
    <x v="0"/>
    <s v="Y"/>
    <n v="11"/>
    <x v="1"/>
    <d v="1899-12-30T00:04:42"/>
    <n v="1"/>
  </r>
  <r>
    <x v="242"/>
    <s v="Greg"/>
    <x v="4"/>
    <d v="1899-12-30T11:41:17"/>
    <d v="2021-01-05T11:41:17"/>
    <x v="4"/>
    <x v="2"/>
    <x v="0"/>
    <x v="0"/>
    <s v="Y"/>
    <n v="73"/>
    <x v="0"/>
    <d v="1899-12-30T00:04:45"/>
    <n v="5"/>
  </r>
  <r>
    <x v="243"/>
    <s v="Dan"/>
    <x v="4"/>
    <d v="1899-12-30T11:41:17"/>
    <d v="2021-01-05T11:41:17"/>
    <x v="4"/>
    <x v="2"/>
    <x v="3"/>
    <x v="0"/>
    <s v="Y"/>
    <n v="109"/>
    <x v="0"/>
    <d v="1899-12-30T00:04:49"/>
    <n v="5"/>
  </r>
  <r>
    <x v="244"/>
    <s v="Martha"/>
    <x v="4"/>
    <d v="1899-12-30T11:49:55"/>
    <d v="2021-01-05T11:49:55"/>
    <x v="4"/>
    <x v="2"/>
    <x v="2"/>
    <x v="0"/>
    <s v="Y"/>
    <n v="29"/>
    <x v="0"/>
    <d v="1899-12-30T00:04:14"/>
    <n v="4"/>
  </r>
  <r>
    <x v="245"/>
    <s v="Dan"/>
    <x v="4"/>
    <d v="1899-12-30T11:49:55"/>
    <d v="2021-01-05T11:49:55"/>
    <x v="4"/>
    <x v="2"/>
    <x v="4"/>
    <x v="1"/>
    <s v="N"/>
    <m/>
    <x v="0"/>
    <m/>
    <m/>
  </r>
  <r>
    <x v="246"/>
    <s v="Becky"/>
    <x v="4"/>
    <d v="1899-12-30T11:49:55"/>
    <d v="2021-01-05T11:49:55"/>
    <x v="4"/>
    <x v="2"/>
    <x v="3"/>
    <x v="0"/>
    <s v="Y"/>
    <n v="81"/>
    <x v="0"/>
    <d v="1899-12-30T00:01:14"/>
    <n v="4"/>
  </r>
  <r>
    <x v="247"/>
    <s v="Greg"/>
    <x v="4"/>
    <d v="1899-12-30T11:49:55"/>
    <d v="2021-01-05T11:49:55"/>
    <x v="4"/>
    <x v="2"/>
    <x v="0"/>
    <x v="0"/>
    <s v="Y"/>
    <n v="59"/>
    <x v="0"/>
    <d v="1899-12-30T00:03:52"/>
    <n v="1"/>
  </r>
  <r>
    <x v="248"/>
    <s v="Becky"/>
    <x v="4"/>
    <d v="1899-12-30T12:00:00"/>
    <d v="2021-01-05T12:00:00"/>
    <x v="4"/>
    <x v="3"/>
    <x v="4"/>
    <x v="0"/>
    <s v="Y"/>
    <n v="32"/>
    <x v="0"/>
    <d v="1899-12-30T00:06:29"/>
    <n v="4"/>
  </r>
  <r>
    <x v="249"/>
    <s v="Martha"/>
    <x v="4"/>
    <d v="1899-12-30T12:00:00"/>
    <d v="2021-01-05T12:00:00"/>
    <x v="4"/>
    <x v="3"/>
    <x v="3"/>
    <x v="0"/>
    <s v="Y"/>
    <n v="116"/>
    <x v="0"/>
    <d v="1899-12-30T00:00:42"/>
    <n v="4"/>
  </r>
  <r>
    <x v="250"/>
    <s v="Diane"/>
    <x v="4"/>
    <d v="1899-12-30T12:12:58"/>
    <d v="2021-01-05T12:12:58"/>
    <x v="4"/>
    <x v="3"/>
    <x v="2"/>
    <x v="0"/>
    <s v="Y"/>
    <n v="92"/>
    <x v="0"/>
    <d v="1899-12-30T00:01:55"/>
    <n v="5"/>
  </r>
  <r>
    <x v="251"/>
    <s v="Greg"/>
    <x v="4"/>
    <d v="1899-12-30T12:12:58"/>
    <d v="2021-01-05T12:12:58"/>
    <x v="4"/>
    <x v="3"/>
    <x v="4"/>
    <x v="0"/>
    <s v="Y"/>
    <n v="62"/>
    <x v="0"/>
    <d v="1899-12-30T00:06:02"/>
    <n v="5"/>
  </r>
  <r>
    <x v="252"/>
    <s v="Joe"/>
    <x v="4"/>
    <d v="1899-12-30T13:04:48"/>
    <d v="2021-01-05T13:04:48"/>
    <x v="4"/>
    <x v="4"/>
    <x v="2"/>
    <x v="0"/>
    <s v="Y"/>
    <n v="83"/>
    <x v="0"/>
    <d v="1899-12-30T00:01:53"/>
    <n v="5"/>
  </r>
  <r>
    <x v="253"/>
    <s v="Joe"/>
    <x v="4"/>
    <d v="1899-12-30T13:04:48"/>
    <d v="2021-01-05T13:04:48"/>
    <x v="4"/>
    <x v="4"/>
    <x v="3"/>
    <x v="0"/>
    <s v="Y"/>
    <n v="71"/>
    <x v="0"/>
    <d v="1899-12-30T00:02:31"/>
    <n v="3"/>
  </r>
  <r>
    <x v="254"/>
    <s v="Greg"/>
    <x v="4"/>
    <d v="1899-12-30T13:59:31"/>
    <d v="2021-01-05T13:59:31"/>
    <x v="4"/>
    <x v="4"/>
    <x v="3"/>
    <x v="0"/>
    <s v="N"/>
    <n v="74"/>
    <x v="0"/>
    <d v="1899-12-30T00:04:32"/>
    <n v="3"/>
  </r>
  <r>
    <x v="255"/>
    <s v="Joe"/>
    <x v="4"/>
    <d v="1899-12-30T13:59:31"/>
    <d v="2021-01-05T13:59:31"/>
    <x v="4"/>
    <x v="4"/>
    <x v="1"/>
    <x v="0"/>
    <s v="Y"/>
    <n v="96"/>
    <x v="0"/>
    <d v="1899-12-30T00:05:46"/>
    <n v="4"/>
  </r>
  <r>
    <x v="256"/>
    <s v="Diane"/>
    <x v="4"/>
    <d v="1899-12-30T14:42:43"/>
    <d v="2021-01-05T14:42:43"/>
    <x v="4"/>
    <x v="5"/>
    <x v="3"/>
    <x v="0"/>
    <s v="Y"/>
    <n v="110"/>
    <x v="0"/>
    <d v="1899-12-30T00:01:41"/>
    <n v="1"/>
  </r>
  <r>
    <x v="257"/>
    <s v="Jim"/>
    <x v="4"/>
    <d v="1899-12-30T14:42:43"/>
    <d v="2021-01-05T14:42:43"/>
    <x v="4"/>
    <x v="5"/>
    <x v="4"/>
    <x v="0"/>
    <s v="N"/>
    <n v="110"/>
    <x v="0"/>
    <d v="1899-12-30T00:02:38"/>
    <n v="3"/>
  </r>
  <r>
    <x v="258"/>
    <s v="Dan"/>
    <x v="4"/>
    <d v="1899-12-30T15:18:43"/>
    <d v="2021-01-05T15:18:43"/>
    <x v="4"/>
    <x v="6"/>
    <x v="1"/>
    <x v="0"/>
    <s v="Y"/>
    <n v="117"/>
    <x v="0"/>
    <d v="1899-12-30T00:03:03"/>
    <n v="4"/>
  </r>
  <r>
    <x v="259"/>
    <s v="Becky"/>
    <x v="4"/>
    <d v="1899-12-30T15:18:43"/>
    <d v="2021-01-05T15:18:43"/>
    <x v="4"/>
    <x v="6"/>
    <x v="3"/>
    <x v="0"/>
    <s v="Y"/>
    <n v="44"/>
    <x v="0"/>
    <d v="1899-12-30T00:05:53"/>
    <n v="3"/>
  </r>
  <r>
    <x v="260"/>
    <s v="Diane"/>
    <x v="4"/>
    <d v="1899-12-30T15:20:10"/>
    <d v="2021-01-05T15:20:10"/>
    <x v="4"/>
    <x v="6"/>
    <x v="0"/>
    <x v="0"/>
    <s v="Y"/>
    <n v="47"/>
    <x v="0"/>
    <d v="1899-12-30T00:06:02"/>
    <n v="4"/>
  </r>
  <r>
    <x v="261"/>
    <s v="Greg"/>
    <x v="4"/>
    <d v="1899-12-30T15:20:10"/>
    <d v="2021-01-05T15:20:10"/>
    <x v="4"/>
    <x v="6"/>
    <x v="3"/>
    <x v="0"/>
    <s v="Y"/>
    <n v="97"/>
    <x v="0"/>
    <d v="1899-12-30T00:01:16"/>
    <n v="3"/>
  </r>
  <r>
    <x v="262"/>
    <s v="Greg"/>
    <x v="4"/>
    <d v="1899-12-30T15:31:41"/>
    <d v="2021-01-05T15:31:41"/>
    <x v="4"/>
    <x v="6"/>
    <x v="4"/>
    <x v="0"/>
    <s v="Y"/>
    <n v="67"/>
    <x v="0"/>
    <d v="1899-12-30T00:02:39"/>
    <n v="4"/>
  </r>
  <r>
    <x v="263"/>
    <s v="Diane"/>
    <x v="4"/>
    <d v="1899-12-30T15:31:41"/>
    <d v="2021-01-05T15:31:41"/>
    <x v="4"/>
    <x v="6"/>
    <x v="4"/>
    <x v="0"/>
    <s v="Y"/>
    <n v="72"/>
    <x v="0"/>
    <d v="1899-12-30T00:06:48"/>
    <n v="3"/>
  </r>
  <r>
    <x v="264"/>
    <s v="Becky"/>
    <x v="4"/>
    <d v="1899-12-30T15:31:41"/>
    <d v="2021-01-05T15:31:41"/>
    <x v="4"/>
    <x v="6"/>
    <x v="0"/>
    <x v="0"/>
    <s v="Y"/>
    <n v="68"/>
    <x v="0"/>
    <d v="1899-12-30T00:04:21"/>
    <n v="3"/>
  </r>
  <r>
    <x v="265"/>
    <s v="Joe"/>
    <x v="4"/>
    <d v="1899-12-30T15:31:41"/>
    <d v="2021-01-05T15:31:41"/>
    <x v="4"/>
    <x v="6"/>
    <x v="2"/>
    <x v="0"/>
    <s v="Y"/>
    <n v="98"/>
    <x v="0"/>
    <d v="1899-12-30T00:06:22"/>
    <n v="5"/>
  </r>
  <r>
    <x v="266"/>
    <s v="Joe"/>
    <x v="4"/>
    <d v="1899-12-30T15:37:26"/>
    <d v="2021-01-05T15:37:26"/>
    <x v="4"/>
    <x v="6"/>
    <x v="4"/>
    <x v="0"/>
    <s v="Y"/>
    <n v="120"/>
    <x v="0"/>
    <d v="1899-12-30T00:00:56"/>
    <n v="3"/>
  </r>
  <r>
    <x v="267"/>
    <s v="Dan"/>
    <x v="4"/>
    <d v="1899-12-30T15:37:26"/>
    <d v="2021-01-05T15:37:26"/>
    <x v="4"/>
    <x v="6"/>
    <x v="2"/>
    <x v="0"/>
    <s v="Y"/>
    <n v="13"/>
    <x v="1"/>
    <d v="1899-12-30T00:02:33"/>
    <n v="1"/>
  </r>
  <r>
    <x v="268"/>
    <s v="Jim"/>
    <x v="4"/>
    <d v="1899-12-30T15:44:38"/>
    <d v="2021-01-05T15:44:38"/>
    <x v="4"/>
    <x v="6"/>
    <x v="3"/>
    <x v="0"/>
    <s v="Y"/>
    <n v="95"/>
    <x v="0"/>
    <d v="1899-12-30T00:01:47"/>
    <n v="5"/>
  </r>
  <r>
    <x v="269"/>
    <s v="Martha"/>
    <x v="4"/>
    <d v="1899-12-30T15:44:38"/>
    <d v="2021-01-05T15:44:38"/>
    <x v="4"/>
    <x v="6"/>
    <x v="2"/>
    <x v="0"/>
    <s v="Y"/>
    <n v="31"/>
    <x v="0"/>
    <d v="1899-12-30T00:00:42"/>
    <n v="5"/>
  </r>
  <r>
    <x v="270"/>
    <s v="Dan"/>
    <x v="4"/>
    <d v="1899-12-30T16:06:14"/>
    <d v="2021-01-05T16:06:14"/>
    <x v="4"/>
    <x v="8"/>
    <x v="4"/>
    <x v="0"/>
    <s v="Y"/>
    <n v="113"/>
    <x v="0"/>
    <d v="1899-12-30T00:06:22"/>
    <n v="3"/>
  </r>
  <r>
    <x v="271"/>
    <s v="Martha"/>
    <x v="4"/>
    <d v="1899-12-30T16:06:14"/>
    <d v="2021-01-05T16:06:14"/>
    <x v="4"/>
    <x v="8"/>
    <x v="1"/>
    <x v="0"/>
    <s v="Y"/>
    <n v="116"/>
    <x v="0"/>
    <d v="1899-12-30T00:04:40"/>
    <n v="3"/>
  </r>
  <r>
    <x v="272"/>
    <s v="Martha"/>
    <x v="4"/>
    <d v="1899-12-30T16:16:19"/>
    <d v="2021-01-05T16:16:19"/>
    <x v="4"/>
    <x v="8"/>
    <x v="3"/>
    <x v="0"/>
    <s v="N"/>
    <n v="94"/>
    <x v="0"/>
    <d v="1899-12-30T00:05:29"/>
    <n v="5"/>
  </r>
  <r>
    <x v="273"/>
    <s v="Martha"/>
    <x v="4"/>
    <d v="1899-12-30T16:16:19"/>
    <d v="2021-01-05T16:16:19"/>
    <x v="4"/>
    <x v="8"/>
    <x v="3"/>
    <x v="0"/>
    <s v="N"/>
    <n v="51"/>
    <x v="0"/>
    <d v="1899-12-30T00:04:42"/>
    <n v="4"/>
  </r>
  <r>
    <x v="274"/>
    <s v="Diane"/>
    <x v="4"/>
    <d v="1899-12-30T16:27:50"/>
    <d v="2021-01-05T16:27:50"/>
    <x v="4"/>
    <x v="8"/>
    <x v="1"/>
    <x v="0"/>
    <s v="Y"/>
    <n v="60"/>
    <x v="0"/>
    <d v="1899-12-30T00:04:07"/>
    <n v="4"/>
  </r>
  <r>
    <x v="275"/>
    <s v="Diane"/>
    <x v="4"/>
    <d v="1899-12-30T16:27:50"/>
    <d v="2021-01-05T16:27:50"/>
    <x v="4"/>
    <x v="8"/>
    <x v="0"/>
    <x v="0"/>
    <s v="Y"/>
    <n v="59"/>
    <x v="0"/>
    <d v="1899-12-30T00:06:04"/>
    <n v="2"/>
  </r>
  <r>
    <x v="276"/>
    <s v="Stewart"/>
    <x v="4"/>
    <d v="1899-12-30T17:25:26"/>
    <d v="2021-01-05T17:25:26"/>
    <x v="4"/>
    <x v="7"/>
    <x v="1"/>
    <x v="1"/>
    <s v="N"/>
    <m/>
    <x v="0"/>
    <m/>
    <m/>
  </r>
  <r>
    <x v="277"/>
    <s v="Greg"/>
    <x v="4"/>
    <d v="1899-12-30T17:25:26"/>
    <d v="2021-01-05T17:25:26"/>
    <x v="4"/>
    <x v="7"/>
    <x v="2"/>
    <x v="1"/>
    <s v="N"/>
    <m/>
    <x v="0"/>
    <m/>
    <m/>
  </r>
  <r>
    <x v="278"/>
    <s v="Joe"/>
    <x v="4"/>
    <d v="1899-12-30T17:29:46"/>
    <d v="2021-01-05T17:29:46"/>
    <x v="4"/>
    <x v="7"/>
    <x v="1"/>
    <x v="1"/>
    <s v="N"/>
    <m/>
    <x v="0"/>
    <m/>
    <m/>
  </r>
  <r>
    <x v="279"/>
    <s v="Dan"/>
    <x v="4"/>
    <d v="1899-12-30T17:29:46"/>
    <d v="2021-01-05T17:29:46"/>
    <x v="4"/>
    <x v="7"/>
    <x v="0"/>
    <x v="0"/>
    <s v="Y"/>
    <n v="16"/>
    <x v="1"/>
    <d v="1899-12-30T00:03:33"/>
    <n v="4"/>
  </r>
  <r>
    <x v="280"/>
    <s v="Diane"/>
    <x v="4"/>
    <d v="1899-12-30T17:38:24"/>
    <d v="2021-01-05T17:38:24"/>
    <x v="4"/>
    <x v="7"/>
    <x v="1"/>
    <x v="0"/>
    <s v="Y"/>
    <n v="81"/>
    <x v="0"/>
    <d v="1899-12-30T00:01:51"/>
    <n v="3"/>
  </r>
  <r>
    <x v="281"/>
    <s v="Joe"/>
    <x v="4"/>
    <d v="1899-12-30T17:38:24"/>
    <d v="2021-01-05T17:38:24"/>
    <x v="4"/>
    <x v="7"/>
    <x v="4"/>
    <x v="0"/>
    <s v="Y"/>
    <n v="65"/>
    <x v="0"/>
    <d v="1899-12-30T00:06:46"/>
    <n v="1"/>
  </r>
  <r>
    <x v="282"/>
    <s v="Martha"/>
    <x v="4"/>
    <d v="1899-12-30T17:44:10"/>
    <d v="2021-01-05T17:44:10"/>
    <x v="4"/>
    <x v="7"/>
    <x v="4"/>
    <x v="0"/>
    <s v="Y"/>
    <n v="55"/>
    <x v="0"/>
    <d v="1899-12-30T00:03:04"/>
    <n v="2"/>
  </r>
  <r>
    <x v="283"/>
    <s v="Martha"/>
    <x v="4"/>
    <d v="1899-12-30T17:44:10"/>
    <d v="2021-01-05T17:44:10"/>
    <x v="4"/>
    <x v="7"/>
    <x v="1"/>
    <x v="1"/>
    <s v="N"/>
    <m/>
    <x v="0"/>
    <m/>
    <m/>
  </r>
  <r>
    <x v="284"/>
    <s v="Martha"/>
    <x v="4"/>
    <d v="1899-12-30T17:57:07"/>
    <d v="2021-01-05T17:57:07"/>
    <x v="4"/>
    <x v="7"/>
    <x v="1"/>
    <x v="0"/>
    <s v="Y"/>
    <n v="31"/>
    <x v="0"/>
    <d v="1899-12-30T00:02:25"/>
    <n v="4"/>
  </r>
  <r>
    <x v="285"/>
    <s v="Diane"/>
    <x v="4"/>
    <d v="1899-12-30T17:57:07"/>
    <d v="2021-01-05T17:57:07"/>
    <x v="4"/>
    <x v="7"/>
    <x v="4"/>
    <x v="0"/>
    <s v="Y"/>
    <n v="45"/>
    <x v="0"/>
    <d v="1899-12-30T00:05:13"/>
    <n v="2"/>
  </r>
  <r>
    <x v="286"/>
    <s v="Greg"/>
    <x v="5"/>
    <d v="1899-12-30T09:08:38"/>
    <d v="2021-01-06T09:08:38"/>
    <x v="5"/>
    <x v="0"/>
    <x v="1"/>
    <x v="1"/>
    <s v="N"/>
    <m/>
    <x v="0"/>
    <m/>
    <m/>
  </r>
  <r>
    <x v="287"/>
    <s v="Stewart"/>
    <x v="5"/>
    <d v="1899-12-30T09:08:38"/>
    <d v="2021-01-06T09:08:38"/>
    <x v="5"/>
    <x v="0"/>
    <x v="2"/>
    <x v="0"/>
    <s v="Y"/>
    <n v="43"/>
    <x v="0"/>
    <d v="1899-12-30T00:02:09"/>
    <n v="5"/>
  </r>
  <r>
    <x v="288"/>
    <s v="Stewart"/>
    <x v="5"/>
    <d v="1899-12-30T10:06:14"/>
    <d v="2021-01-06T10:06:14"/>
    <x v="5"/>
    <x v="1"/>
    <x v="1"/>
    <x v="0"/>
    <s v="Y"/>
    <n v="55"/>
    <x v="0"/>
    <d v="1899-12-30T00:05:56"/>
    <n v="4"/>
  </r>
  <r>
    <x v="289"/>
    <s v="Stewart"/>
    <x v="5"/>
    <d v="1899-12-30T10:06:14"/>
    <d v="2021-01-06T10:06:14"/>
    <x v="5"/>
    <x v="1"/>
    <x v="0"/>
    <x v="0"/>
    <s v="Y"/>
    <n v="63"/>
    <x v="0"/>
    <d v="1899-12-30T00:02:19"/>
    <n v="3"/>
  </r>
  <r>
    <x v="290"/>
    <s v="Joe"/>
    <x v="5"/>
    <d v="1899-12-30T10:07:41"/>
    <d v="2021-01-06T10:07:41"/>
    <x v="5"/>
    <x v="1"/>
    <x v="2"/>
    <x v="1"/>
    <s v="N"/>
    <m/>
    <x v="0"/>
    <m/>
    <m/>
  </r>
  <r>
    <x v="291"/>
    <s v="Jim"/>
    <x v="5"/>
    <d v="1899-12-30T10:07:41"/>
    <d v="2021-01-06T10:07:41"/>
    <x v="5"/>
    <x v="1"/>
    <x v="0"/>
    <x v="0"/>
    <s v="Y"/>
    <n v="122"/>
    <x v="0"/>
    <d v="1899-12-30T00:05:52"/>
    <n v="1"/>
  </r>
  <r>
    <x v="292"/>
    <s v="Stewart"/>
    <x v="5"/>
    <d v="1899-12-30T10:32:10"/>
    <d v="2021-01-06T10:32:10"/>
    <x v="5"/>
    <x v="1"/>
    <x v="0"/>
    <x v="0"/>
    <s v="Y"/>
    <n v="71"/>
    <x v="0"/>
    <d v="1899-12-30T00:02:39"/>
    <n v="4"/>
  </r>
  <r>
    <x v="293"/>
    <s v="Jim"/>
    <x v="5"/>
    <d v="1899-12-30T10:32:10"/>
    <d v="2021-01-06T10:32:10"/>
    <x v="5"/>
    <x v="1"/>
    <x v="1"/>
    <x v="0"/>
    <s v="Y"/>
    <n v="54"/>
    <x v="0"/>
    <d v="1899-12-30T00:04:57"/>
    <n v="4"/>
  </r>
  <r>
    <x v="294"/>
    <s v="Stewart"/>
    <x v="5"/>
    <d v="1899-12-30T10:42:14"/>
    <d v="2021-01-06T10:42:14"/>
    <x v="5"/>
    <x v="1"/>
    <x v="4"/>
    <x v="0"/>
    <s v="Y"/>
    <n v="74"/>
    <x v="0"/>
    <d v="1899-12-30T00:03:22"/>
    <n v="4"/>
  </r>
  <r>
    <x v="295"/>
    <s v="Stewart"/>
    <x v="5"/>
    <d v="1899-12-30T10:42:14"/>
    <d v="2021-01-06T10:42:14"/>
    <x v="5"/>
    <x v="1"/>
    <x v="3"/>
    <x v="0"/>
    <s v="Y"/>
    <n v="125"/>
    <x v="0"/>
    <d v="1899-12-30T00:04:47"/>
    <n v="4"/>
  </r>
  <r>
    <x v="296"/>
    <s v="Dan"/>
    <x v="5"/>
    <d v="1899-12-30T11:12:29"/>
    <d v="2021-01-06T11:12:29"/>
    <x v="5"/>
    <x v="2"/>
    <x v="2"/>
    <x v="0"/>
    <s v="Y"/>
    <n v="110"/>
    <x v="0"/>
    <d v="1899-12-30T00:03:43"/>
    <n v="3"/>
  </r>
  <r>
    <x v="297"/>
    <s v="Becky"/>
    <x v="5"/>
    <d v="1899-12-30T11:12:29"/>
    <d v="2021-01-06T11:12:29"/>
    <x v="5"/>
    <x v="2"/>
    <x v="4"/>
    <x v="1"/>
    <s v="N"/>
    <m/>
    <x v="0"/>
    <m/>
    <m/>
  </r>
  <r>
    <x v="298"/>
    <s v="Martha"/>
    <x v="5"/>
    <d v="1899-12-30T11:29:46"/>
    <d v="2021-01-06T11:29:46"/>
    <x v="5"/>
    <x v="2"/>
    <x v="1"/>
    <x v="0"/>
    <s v="Y"/>
    <n v="74"/>
    <x v="0"/>
    <d v="1899-12-30T00:01:31"/>
    <n v="5"/>
  </r>
  <r>
    <x v="299"/>
    <s v="Diane"/>
    <x v="5"/>
    <d v="1899-12-30T11:29:46"/>
    <d v="2021-01-06T11:29:46"/>
    <x v="5"/>
    <x v="2"/>
    <x v="2"/>
    <x v="0"/>
    <s v="Y"/>
    <n v="80"/>
    <x v="0"/>
    <d v="1899-12-30T00:04:27"/>
    <n v="4"/>
  </r>
  <r>
    <x v="300"/>
    <s v="Dan"/>
    <x v="5"/>
    <d v="1899-12-30T11:38:24"/>
    <d v="2021-01-06T11:38:24"/>
    <x v="5"/>
    <x v="2"/>
    <x v="2"/>
    <x v="1"/>
    <s v="N"/>
    <m/>
    <x v="0"/>
    <m/>
    <m/>
  </r>
  <r>
    <x v="301"/>
    <s v="Joe"/>
    <x v="5"/>
    <d v="1899-12-30T11:38:24"/>
    <d v="2021-01-06T11:38:24"/>
    <x v="5"/>
    <x v="2"/>
    <x v="0"/>
    <x v="0"/>
    <s v="Y"/>
    <n v="110"/>
    <x v="0"/>
    <d v="1899-12-30T00:03:54"/>
    <n v="2"/>
  </r>
  <r>
    <x v="302"/>
    <s v="Stewart"/>
    <x v="5"/>
    <d v="1899-12-30T11:45:36"/>
    <d v="2021-01-06T11:45:36"/>
    <x v="5"/>
    <x v="2"/>
    <x v="2"/>
    <x v="0"/>
    <s v="Y"/>
    <n v="26"/>
    <x v="0"/>
    <d v="1899-12-30T00:03:08"/>
    <n v="3"/>
  </r>
  <r>
    <x v="303"/>
    <s v="Greg"/>
    <x v="5"/>
    <d v="1899-12-30T11:45:36"/>
    <d v="2021-01-06T11:45:36"/>
    <x v="5"/>
    <x v="2"/>
    <x v="1"/>
    <x v="1"/>
    <s v="N"/>
    <m/>
    <x v="0"/>
    <m/>
    <m/>
  </r>
  <r>
    <x v="304"/>
    <s v="Joe"/>
    <x v="5"/>
    <d v="1899-12-30T12:05:46"/>
    <d v="2021-01-06T12:05:46"/>
    <x v="5"/>
    <x v="3"/>
    <x v="3"/>
    <x v="0"/>
    <s v="Y"/>
    <n v="97"/>
    <x v="0"/>
    <d v="1899-12-30T00:01:47"/>
    <n v="3"/>
  </r>
  <r>
    <x v="305"/>
    <s v="Dan"/>
    <x v="5"/>
    <d v="1899-12-30T12:05:46"/>
    <d v="2021-01-06T12:05:46"/>
    <x v="5"/>
    <x v="3"/>
    <x v="3"/>
    <x v="0"/>
    <s v="N"/>
    <n v="82"/>
    <x v="0"/>
    <d v="1899-12-30T00:05:40"/>
    <n v="3"/>
  </r>
  <r>
    <x v="306"/>
    <s v="Becky"/>
    <x v="5"/>
    <d v="1899-12-30T12:07:12"/>
    <d v="2021-01-06T12:07:12"/>
    <x v="5"/>
    <x v="3"/>
    <x v="4"/>
    <x v="0"/>
    <s v="N"/>
    <n v="102"/>
    <x v="0"/>
    <d v="1899-12-30T00:05:53"/>
    <n v="5"/>
  </r>
  <r>
    <x v="307"/>
    <s v="Jim"/>
    <x v="5"/>
    <d v="1899-12-30T12:07:12"/>
    <d v="2021-01-06T12:07:12"/>
    <x v="5"/>
    <x v="3"/>
    <x v="3"/>
    <x v="0"/>
    <s v="Y"/>
    <n v="120"/>
    <x v="0"/>
    <d v="1899-12-30T00:00:52"/>
    <n v="5"/>
  </r>
  <r>
    <x v="308"/>
    <s v="Greg"/>
    <x v="5"/>
    <d v="1899-12-30T13:30:43"/>
    <d v="2021-01-06T13:30:43"/>
    <x v="5"/>
    <x v="4"/>
    <x v="4"/>
    <x v="0"/>
    <s v="Y"/>
    <n v="70"/>
    <x v="0"/>
    <d v="1899-12-30T00:05:19"/>
    <n v="3"/>
  </r>
  <r>
    <x v="309"/>
    <s v="Diane"/>
    <x v="5"/>
    <d v="1899-12-30T13:30:43"/>
    <d v="2021-01-06T13:30:43"/>
    <x v="5"/>
    <x v="4"/>
    <x v="3"/>
    <x v="1"/>
    <s v="N"/>
    <m/>
    <x v="0"/>
    <m/>
    <m/>
  </r>
  <r>
    <x v="310"/>
    <s v="Stewart"/>
    <x v="5"/>
    <d v="1899-12-30T13:58:05"/>
    <d v="2021-01-06T13:58:05"/>
    <x v="5"/>
    <x v="4"/>
    <x v="2"/>
    <x v="0"/>
    <s v="Y"/>
    <n v="122"/>
    <x v="0"/>
    <d v="1899-12-30T00:02:56"/>
    <n v="3"/>
  </r>
  <r>
    <x v="311"/>
    <s v="Martha"/>
    <x v="5"/>
    <d v="1899-12-30T13:58:05"/>
    <d v="2021-01-06T13:58:05"/>
    <x v="5"/>
    <x v="4"/>
    <x v="4"/>
    <x v="1"/>
    <s v="N"/>
    <m/>
    <x v="0"/>
    <m/>
    <m/>
  </r>
  <r>
    <x v="312"/>
    <s v="Joe"/>
    <x v="5"/>
    <d v="1899-12-30T14:03:50"/>
    <d v="2021-01-06T14:03:50"/>
    <x v="5"/>
    <x v="5"/>
    <x v="2"/>
    <x v="0"/>
    <s v="Y"/>
    <n v="19"/>
    <x v="1"/>
    <d v="1899-12-30T00:00:55"/>
    <n v="1"/>
  </r>
  <r>
    <x v="313"/>
    <s v="Greg"/>
    <x v="5"/>
    <d v="1899-12-30T14:03:50"/>
    <d v="2021-01-06T14:03:50"/>
    <x v="5"/>
    <x v="5"/>
    <x v="2"/>
    <x v="0"/>
    <s v="Y"/>
    <n v="71"/>
    <x v="0"/>
    <d v="1899-12-30T00:02:37"/>
    <n v="4"/>
  </r>
  <r>
    <x v="314"/>
    <s v="Joe"/>
    <x v="5"/>
    <d v="1899-12-30T14:13:55"/>
    <d v="2021-01-06T14:13:55"/>
    <x v="5"/>
    <x v="5"/>
    <x v="1"/>
    <x v="0"/>
    <s v="Y"/>
    <n v="24"/>
    <x v="0"/>
    <d v="1899-12-30T00:04:59"/>
    <n v="1"/>
  </r>
  <r>
    <x v="315"/>
    <s v="Martha"/>
    <x v="5"/>
    <d v="1899-12-30T14:13:55"/>
    <d v="2021-01-06T14:13:55"/>
    <x v="5"/>
    <x v="5"/>
    <x v="1"/>
    <x v="0"/>
    <s v="Y"/>
    <n v="67"/>
    <x v="0"/>
    <d v="1899-12-30T00:05:36"/>
    <n v="1"/>
  </r>
  <r>
    <x v="316"/>
    <s v="Martha"/>
    <x v="5"/>
    <d v="1899-12-30T14:32:38"/>
    <d v="2021-01-06T14:32:38"/>
    <x v="5"/>
    <x v="5"/>
    <x v="4"/>
    <x v="0"/>
    <s v="N"/>
    <n v="57"/>
    <x v="0"/>
    <d v="1899-12-30T00:04:14"/>
    <n v="3"/>
  </r>
  <r>
    <x v="317"/>
    <s v="Diane"/>
    <x v="5"/>
    <d v="1899-12-30T14:32:38"/>
    <d v="2021-01-06T14:32:38"/>
    <x v="5"/>
    <x v="5"/>
    <x v="4"/>
    <x v="0"/>
    <s v="Y"/>
    <n v="108"/>
    <x v="0"/>
    <d v="1899-12-30T00:05:03"/>
    <n v="4"/>
  </r>
  <r>
    <x v="318"/>
    <s v="Stewart"/>
    <x v="5"/>
    <d v="1899-12-30T14:57:07"/>
    <d v="2021-01-06T14:57:07"/>
    <x v="5"/>
    <x v="5"/>
    <x v="2"/>
    <x v="0"/>
    <s v="Y"/>
    <n v="99"/>
    <x v="0"/>
    <d v="1899-12-30T00:04:08"/>
    <n v="4"/>
  </r>
  <r>
    <x v="319"/>
    <s v="Stewart"/>
    <x v="5"/>
    <d v="1899-12-30T14:57:07"/>
    <d v="2021-01-06T14:57:07"/>
    <x v="5"/>
    <x v="5"/>
    <x v="2"/>
    <x v="0"/>
    <s v="Y"/>
    <n v="56"/>
    <x v="0"/>
    <d v="1899-12-30T00:04:52"/>
    <n v="1"/>
  </r>
  <r>
    <x v="320"/>
    <s v="Stewart"/>
    <x v="5"/>
    <d v="1899-12-30T15:02:53"/>
    <d v="2021-01-06T15:02:53"/>
    <x v="5"/>
    <x v="6"/>
    <x v="2"/>
    <x v="0"/>
    <s v="Y"/>
    <n v="121"/>
    <x v="0"/>
    <d v="1899-12-30T00:03:57"/>
    <n v="3"/>
  </r>
  <r>
    <x v="321"/>
    <s v="Greg"/>
    <x v="5"/>
    <d v="1899-12-30T15:02:53"/>
    <d v="2021-01-06T15:02:53"/>
    <x v="5"/>
    <x v="6"/>
    <x v="3"/>
    <x v="1"/>
    <s v="N"/>
    <m/>
    <x v="0"/>
    <m/>
    <m/>
  </r>
  <r>
    <x v="322"/>
    <s v="Joe"/>
    <x v="5"/>
    <d v="1899-12-30T15:12:58"/>
    <d v="2021-01-06T15:12:58"/>
    <x v="5"/>
    <x v="6"/>
    <x v="0"/>
    <x v="0"/>
    <s v="Y"/>
    <n v="72"/>
    <x v="0"/>
    <d v="1899-12-30T00:06:00"/>
    <n v="1"/>
  </r>
  <r>
    <x v="323"/>
    <s v="Greg"/>
    <x v="5"/>
    <d v="1899-12-30T15:12:58"/>
    <d v="2021-01-06T15:12:58"/>
    <x v="5"/>
    <x v="6"/>
    <x v="0"/>
    <x v="0"/>
    <s v="Y"/>
    <n v="54"/>
    <x v="0"/>
    <d v="1899-12-30T00:06:15"/>
    <n v="4"/>
  </r>
  <r>
    <x v="324"/>
    <s v="Martha"/>
    <x v="5"/>
    <d v="1899-12-30T16:17:46"/>
    <d v="2021-01-06T16:17:46"/>
    <x v="5"/>
    <x v="8"/>
    <x v="3"/>
    <x v="0"/>
    <s v="Y"/>
    <n v="30"/>
    <x v="0"/>
    <d v="1899-12-30T00:04:36"/>
    <n v="3"/>
  </r>
  <r>
    <x v="325"/>
    <s v="Jim"/>
    <x v="5"/>
    <d v="1899-12-30T16:17:46"/>
    <d v="2021-01-06T16:17:46"/>
    <x v="5"/>
    <x v="8"/>
    <x v="2"/>
    <x v="0"/>
    <s v="Y"/>
    <n v="44"/>
    <x v="0"/>
    <d v="1899-12-30T00:01:04"/>
    <n v="2"/>
  </r>
  <r>
    <x v="326"/>
    <s v="Greg"/>
    <x v="5"/>
    <d v="1899-12-30T16:22:05"/>
    <d v="2021-01-06T16:22:05"/>
    <x v="5"/>
    <x v="8"/>
    <x v="2"/>
    <x v="0"/>
    <s v="N"/>
    <n v="97"/>
    <x v="0"/>
    <d v="1899-12-30T00:01:58"/>
    <n v="4"/>
  </r>
  <r>
    <x v="327"/>
    <s v="Jim"/>
    <x v="5"/>
    <d v="1899-12-30T16:22:05"/>
    <d v="2021-01-06T16:22:05"/>
    <x v="5"/>
    <x v="8"/>
    <x v="4"/>
    <x v="0"/>
    <s v="Y"/>
    <n v="47"/>
    <x v="0"/>
    <d v="1899-12-30T00:01:49"/>
    <n v="3"/>
  </r>
  <r>
    <x v="328"/>
    <s v="Dan"/>
    <x v="5"/>
    <d v="1899-12-30T16:27:50"/>
    <d v="2021-01-06T16:27:50"/>
    <x v="5"/>
    <x v="8"/>
    <x v="4"/>
    <x v="0"/>
    <s v="Y"/>
    <n v="53"/>
    <x v="0"/>
    <d v="1899-12-30T00:01:43"/>
    <n v="3"/>
  </r>
  <r>
    <x v="329"/>
    <s v="Dan"/>
    <x v="5"/>
    <d v="1899-12-30T16:27:50"/>
    <d v="2021-01-06T16:27:50"/>
    <x v="5"/>
    <x v="8"/>
    <x v="0"/>
    <x v="1"/>
    <s v="N"/>
    <m/>
    <x v="0"/>
    <m/>
    <m/>
  </r>
  <r>
    <x v="330"/>
    <s v="Martha"/>
    <x v="5"/>
    <d v="1899-12-30T16:35:02"/>
    <d v="2021-01-06T16:35:02"/>
    <x v="5"/>
    <x v="8"/>
    <x v="2"/>
    <x v="1"/>
    <s v="N"/>
    <m/>
    <x v="0"/>
    <m/>
    <m/>
  </r>
  <r>
    <x v="331"/>
    <s v="Jim"/>
    <x v="5"/>
    <d v="1899-12-30T16:35:02"/>
    <d v="2021-01-06T16:35:02"/>
    <x v="5"/>
    <x v="8"/>
    <x v="4"/>
    <x v="1"/>
    <s v="N"/>
    <m/>
    <x v="0"/>
    <m/>
    <m/>
  </r>
  <r>
    <x v="332"/>
    <s v="Stewart"/>
    <x v="5"/>
    <d v="1899-12-30T16:39:22"/>
    <d v="2021-01-06T16:39:22"/>
    <x v="5"/>
    <x v="8"/>
    <x v="3"/>
    <x v="0"/>
    <s v="Y"/>
    <n v="81"/>
    <x v="0"/>
    <d v="1899-12-30T00:03:45"/>
    <n v="3"/>
  </r>
  <r>
    <x v="333"/>
    <s v="Diane"/>
    <x v="5"/>
    <d v="1899-12-30T16:39:22"/>
    <d v="2021-01-06T16:39:22"/>
    <x v="5"/>
    <x v="8"/>
    <x v="0"/>
    <x v="0"/>
    <s v="Y"/>
    <n v="11"/>
    <x v="1"/>
    <d v="1899-12-30T00:00:34"/>
    <n v="4"/>
  </r>
  <r>
    <x v="334"/>
    <s v="Martha"/>
    <x v="5"/>
    <d v="1899-12-30T17:00:58"/>
    <d v="2021-01-06T17:00:58"/>
    <x v="5"/>
    <x v="7"/>
    <x v="2"/>
    <x v="0"/>
    <s v="Y"/>
    <n v="48"/>
    <x v="0"/>
    <d v="1899-12-30T00:00:53"/>
    <n v="5"/>
  </r>
  <r>
    <x v="335"/>
    <s v="Stewart"/>
    <x v="5"/>
    <d v="1899-12-30T17:00:58"/>
    <d v="2021-01-06T17:00:58"/>
    <x v="5"/>
    <x v="7"/>
    <x v="0"/>
    <x v="0"/>
    <s v="Y"/>
    <n v="37"/>
    <x v="0"/>
    <d v="1899-12-30T00:06:54"/>
    <n v="5"/>
  </r>
  <r>
    <x v="336"/>
    <s v="Martha"/>
    <x v="5"/>
    <d v="1899-12-30T17:19:41"/>
    <d v="2021-01-06T17:19:41"/>
    <x v="5"/>
    <x v="7"/>
    <x v="1"/>
    <x v="0"/>
    <s v="Y"/>
    <n v="115"/>
    <x v="0"/>
    <d v="1899-12-30T00:02:34"/>
    <n v="4"/>
  </r>
  <r>
    <x v="337"/>
    <s v="Greg"/>
    <x v="5"/>
    <d v="1899-12-30T17:19:41"/>
    <d v="2021-01-06T17:19:41"/>
    <x v="5"/>
    <x v="7"/>
    <x v="2"/>
    <x v="0"/>
    <s v="Y"/>
    <n v="81"/>
    <x v="0"/>
    <d v="1899-12-30T00:00:53"/>
    <n v="4"/>
  </r>
  <r>
    <x v="338"/>
    <s v="Becky"/>
    <x v="5"/>
    <d v="1899-12-30T17:21:07"/>
    <d v="2021-01-06T17:21:07"/>
    <x v="5"/>
    <x v="7"/>
    <x v="0"/>
    <x v="1"/>
    <s v="N"/>
    <m/>
    <x v="0"/>
    <m/>
    <m/>
  </r>
  <r>
    <x v="339"/>
    <s v="Jim"/>
    <x v="5"/>
    <d v="1899-12-30T17:21:07"/>
    <d v="2021-01-06T17:21:07"/>
    <x v="5"/>
    <x v="7"/>
    <x v="3"/>
    <x v="0"/>
    <s v="Y"/>
    <n v="12"/>
    <x v="1"/>
    <d v="1899-12-30T00:03:12"/>
    <n v="5"/>
  </r>
  <r>
    <x v="340"/>
    <s v="Stewart"/>
    <x v="5"/>
    <d v="1899-12-30T17:22:34"/>
    <d v="2021-01-06T17:22:34"/>
    <x v="5"/>
    <x v="7"/>
    <x v="3"/>
    <x v="0"/>
    <s v="Y"/>
    <n v="75"/>
    <x v="0"/>
    <d v="1899-12-30T00:02:51"/>
    <n v="3"/>
  </r>
  <r>
    <x v="341"/>
    <s v="Jim"/>
    <x v="5"/>
    <d v="1899-12-30T17:22:34"/>
    <d v="2021-01-06T17:22:34"/>
    <x v="5"/>
    <x v="7"/>
    <x v="0"/>
    <x v="0"/>
    <s v="Y"/>
    <n v="42"/>
    <x v="0"/>
    <d v="1899-12-30T00:01:17"/>
    <n v="4"/>
  </r>
  <r>
    <x v="342"/>
    <s v="Greg"/>
    <x v="5"/>
    <d v="1899-12-30T17:24:00"/>
    <d v="2021-01-06T17:24:00"/>
    <x v="5"/>
    <x v="7"/>
    <x v="3"/>
    <x v="0"/>
    <s v="Y"/>
    <n v="96"/>
    <x v="0"/>
    <d v="1899-12-30T00:01:45"/>
    <n v="5"/>
  </r>
  <r>
    <x v="343"/>
    <s v="Stewart"/>
    <x v="5"/>
    <d v="1899-12-30T17:24:00"/>
    <d v="2021-01-06T17:24:00"/>
    <x v="5"/>
    <x v="7"/>
    <x v="2"/>
    <x v="0"/>
    <s v="Y"/>
    <n v="58"/>
    <x v="0"/>
    <d v="1899-12-30T00:01:51"/>
    <n v="5"/>
  </r>
  <r>
    <x v="344"/>
    <s v="Dan"/>
    <x v="6"/>
    <d v="1899-12-30T09:04:19"/>
    <d v="2021-01-07T09:04:19"/>
    <x v="6"/>
    <x v="0"/>
    <x v="0"/>
    <x v="0"/>
    <s v="Y"/>
    <n v="62"/>
    <x v="0"/>
    <d v="1899-12-30T00:05:16"/>
    <n v="5"/>
  </r>
  <r>
    <x v="345"/>
    <s v="Greg"/>
    <x v="6"/>
    <d v="1899-12-30T09:04:19"/>
    <d v="2021-01-07T09:04:19"/>
    <x v="6"/>
    <x v="0"/>
    <x v="2"/>
    <x v="0"/>
    <s v="Y"/>
    <n v="74"/>
    <x v="0"/>
    <d v="1899-12-30T00:02:10"/>
    <n v="5"/>
  </r>
  <r>
    <x v="346"/>
    <s v="Becky"/>
    <x v="6"/>
    <d v="1899-12-30T09:07:12"/>
    <d v="2021-01-07T09:07:12"/>
    <x v="6"/>
    <x v="0"/>
    <x v="1"/>
    <x v="0"/>
    <s v="Y"/>
    <n v="26"/>
    <x v="0"/>
    <d v="1899-12-30T00:01:10"/>
    <n v="3"/>
  </r>
  <r>
    <x v="347"/>
    <s v="Diane"/>
    <x v="6"/>
    <d v="1899-12-30T09:07:12"/>
    <d v="2021-01-07T09:07:12"/>
    <x v="6"/>
    <x v="0"/>
    <x v="1"/>
    <x v="1"/>
    <s v="N"/>
    <m/>
    <x v="0"/>
    <m/>
    <m/>
  </r>
  <r>
    <x v="348"/>
    <s v="Joe"/>
    <x v="6"/>
    <d v="1899-12-30T09:20:10"/>
    <d v="2021-01-07T09:20:10"/>
    <x v="6"/>
    <x v="0"/>
    <x v="1"/>
    <x v="0"/>
    <s v="Y"/>
    <n v="40"/>
    <x v="0"/>
    <d v="1899-12-30T00:05:08"/>
    <n v="2"/>
  </r>
  <r>
    <x v="349"/>
    <s v="Joe"/>
    <x v="6"/>
    <d v="1899-12-30T09:20:10"/>
    <d v="2021-01-07T09:20:10"/>
    <x v="6"/>
    <x v="0"/>
    <x v="4"/>
    <x v="0"/>
    <s v="Y"/>
    <n v="12"/>
    <x v="1"/>
    <d v="1899-12-30T00:04:54"/>
    <n v="3"/>
  </r>
  <r>
    <x v="350"/>
    <s v="Joe"/>
    <x v="6"/>
    <d v="1899-12-30T10:14:53"/>
    <d v="2021-01-07T10:14:53"/>
    <x v="6"/>
    <x v="1"/>
    <x v="0"/>
    <x v="0"/>
    <s v="Y"/>
    <n v="114"/>
    <x v="0"/>
    <d v="1899-12-30T00:03:41"/>
    <n v="5"/>
  </r>
  <r>
    <x v="351"/>
    <s v="Becky"/>
    <x v="6"/>
    <d v="1899-12-30T10:14:53"/>
    <d v="2021-01-07T10:14:53"/>
    <x v="6"/>
    <x v="1"/>
    <x v="0"/>
    <x v="0"/>
    <s v="Y"/>
    <n v="85"/>
    <x v="0"/>
    <d v="1899-12-30T00:03:29"/>
    <n v="4"/>
  </r>
  <r>
    <x v="352"/>
    <s v="Diane"/>
    <x v="6"/>
    <d v="1899-12-30T10:23:31"/>
    <d v="2021-01-07T10:23:31"/>
    <x v="6"/>
    <x v="1"/>
    <x v="3"/>
    <x v="0"/>
    <s v="Y"/>
    <n v="52"/>
    <x v="0"/>
    <d v="1899-12-30T00:01:55"/>
    <n v="5"/>
  </r>
  <r>
    <x v="353"/>
    <s v="Greg"/>
    <x v="6"/>
    <d v="1899-12-30T10:23:31"/>
    <d v="2021-01-07T10:23:31"/>
    <x v="6"/>
    <x v="1"/>
    <x v="4"/>
    <x v="0"/>
    <s v="Y"/>
    <n v="60"/>
    <x v="0"/>
    <d v="1899-12-30T00:04:18"/>
    <n v="3"/>
  </r>
  <r>
    <x v="354"/>
    <s v="Joe"/>
    <x v="6"/>
    <d v="1899-12-30T10:33:36"/>
    <d v="2021-01-07T10:33:36"/>
    <x v="6"/>
    <x v="1"/>
    <x v="3"/>
    <x v="0"/>
    <s v="Y"/>
    <n v="76"/>
    <x v="0"/>
    <d v="1899-12-30T00:05:07"/>
    <n v="4"/>
  </r>
  <r>
    <x v="355"/>
    <s v="Stewart"/>
    <x v="6"/>
    <d v="1899-12-30T10:33:36"/>
    <d v="2021-01-07T10:33:36"/>
    <x v="6"/>
    <x v="1"/>
    <x v="0"/>
    <x v="1"/>
    <s v="N"/>
    <m/>
    <x v="0"/>
    <m/>
    <m/>
  </r>
  <r>
    <x v="356"/>
    <s v="Becky"/>
    <x v="6"/>
    <d v="1899-12-30T10:48:00"/>
    <d v="2021-01-07T10:48:00"/>
    <x v="6"/>
    <x v="1"/>
    <x v="4"/>
    <x v="1"/>
    <s v="N"/>
    <m/>
    <x v="0"/>
    <m/>
    <m/>
  </r>
  <r>
    <x v="357"/>
    <s v="Joe"/>
    <x v="6"/>
    <d v="1899-12-30T10:48:00"/>
    <d v="2021-01-07T10:48:00"/>
    <x v="6"/>
    <x v="1"/>
    <x v="4"/>
    <x v="0"/>
    <s v="Y"/>
    <n v="25"/>
    <x v="0"/>
    <d v="1899-12-30T00:01:20"/>
    <n v="5"/>
  </r>
  <r>
    <x v="358"/>
    <s v="Greg"/>
    <x v="6"/>
    <d v="1899-12-30T11:36:58"/>
    <d v="2021-01-07T11:36:58"/>
    <x v="6"/>
    <x v="2"/>
    <x v="4"/>
    <x v="0"/>
    <s v="Y"/>
    <n v="37"/>
    <x v="0"/>
    <d v="1899-12-30T00:02:32"/>
    <n v="3"/>
  </r>
  <r>
    <x v="359"/>
    <s v="Dan"/>
    <x v="6"/>
    <d v="1899-12-30T11:36:58"/>
    <d v="2021-01-07T11:36:58"/>
    <x v="6"/>
    <x v="2"/>
    <x v="3"/>
    <x v="0"/>
    <s v="Y"/>
    <n v="71"/>
    <x v="0"/>
    <d v="1899-12-30T00:05:41"/>
    <n v="3"/>
  </r>
  <r>
    <x v="360"/>
    <s v="Jim"/>
    <x v="6"/>
    <d v="1899-12-30T11:42:43"/>
    <d v="2021-01-07T11:42:43"/>
    <x v="6"/>
    <x v="2"/>
    <x v="3"/>
    <x v="0"/>
    <s v="Y"/>
    <n v="76"/>
    <x v="0"/>
    <d v="1899-12-30T00:04:37"/>
    <n v="1"/>
  </r>
  <r>
    <x v="361"/>
    <s v="Stewart"/>
    <x v="6"/>
    <d v="1899-12-30T11:42:43"/>
    <d v="2021-01-07T11:42:43"/>
    <x v="6"/>
    <x v="2"/>
    <x v="1"/>
    <x v="0"/>
    <s v="Y"/>
    <n v="66"/>
    <x v="0"/>
    <d v="1899-12-30T00:06:50"/>
    <n v="3"/>
  </r>
  <r>
    <x v="362"/>
    <s v="Diane"/>
    <x v="6"/>
    <d v="1899-12-30T11:47:02"/>
    <d v="2021-01-07T11:47:02"/>
    <x v="6"/>
    <x v="2"/>
    <x v="3"/>
    <x v="0"/>
    <s v="Y"/>
    <n v="72"/>
    <x v="0"/>
    <d v="1899-12-30T00:03:25"/>
    <n v="3"/>
  </r>
  <r>
    <x v="363"/>
    <s v="Jim"/>
    <x v="6"/>
    <d v="1899-12-30T11:47:02"/>
    <d v="2021-01-07T11:47:02"/>
    <x v="6"/>
    <x v="2"/>
    <x v="3"/>
    <x v="0"/>
    <s v="Y"/>
    <n v="47"/>
    <x v="0"/>
    <d v="1899-12-30T00:06:37"/>
    <n v="5"/>
  </r>
  <r>
    <x v="364"/>
    <s v="Jim"/>
    <x v="6"/>
    <d v="1899-12-30T12:08:38"/>
    <d v="2021-01-07T12:08:38"/>
    <x v="6"/>
    <x v="3"/>
    <x v="2"/>
    <x v="1"/>
    <s v="N"/>
    <m/>
    <x v="0"/>
    <m/>
    <m/>
  </r>
  <r>
    <x v="365"/>
    <s v="Greg"/>
    <x v="6"/>
    <d v="1899-12-30T12:08:38"/>
    <d v="2021-01-07T12:08:38"/>
    <x v="6"/>
    <x v="3"/>
    <x v="2"/>
    <x v="0"/>
    <s v="Y"/>
    <n v="29"/>
    <x v="0"/>
    <d v="1899-12-30T00:02:51"/>
    <n v="5"/>
  </r>
  <r>
    <x v="366"/>
    <s v="Dan"/>
    <x v="6"/>
    <d v="1899-12-30T12:36:00"/>
    <d v="2021-01-07T12:36:00"/>
    <x v="6"/>
    <x v="3"/>
    <x v="4"/>
    <x v="1"/>
    <s v="N"/>
    <m/>
    <x v="0"/>
    <m/>
    <m/>
  </r>
  <r>
    <x v="367"/>
    <s v="Becky"/>
    <x v="6"/>
    <d v="1899-12-30T12:36:00"/>
    <d v="2021-01-07T12:36:00"/>
    <x v="6"/>
    <x v="3"/>
    <x v="0"/>
    <x v="0"/>
    <s v="Y"/>
    <n v="122"/>
    <x v="0"/>
    <d v="1899-12-30T00:01:40"/>
    <n v="4"/>
  </r>
  <r>
    <x v="368"/>
    <s v="Greg"/>
    <x v="6"/>
    <d v="1899-12-30T12:48:58"/>
    <d v="2021-01-07T12:48:58"/>
    <x v="6"/>
    <x v="3"/>
    <x v="1"/>
    <x v="0"/>
    <s v="Y"/>
    <n v="52"/>
    <x v="0"/>
    <d v="1899-12-30T00:04:06"/>
    <n v="5"/>
  </r>
  <r>
    <x v="369"/>
    <s v="Martha"/>
    <x v="6"/>
    <d v="1899-12-30T12:48:58"/>
    <d v="2021-01-07T12:48:58"/>
    <x v="6"/>
    <x v="3"/>
    <x v="3"/>
    <x v="0"/>
    <s v="Y"/>
    <n v="33"/>
    <x v="0"/>
    <d v="1899-12-30T00:04:26"/>
    <n v="4"/>
  </r>
  <r>
    <x v="370"/>
    <s v="Joe"/>
    <x v="6"/>
    <d v="1899-12-30T13:26:24"/>
    <d v="2021-01-07T13:26:24"/>
    <x v="6"/>
    <x v="4"/>
    <x v="2"/>
    <x v="0"/>
    <s v="Y"/>
    <n v="123"/>
    <x v="0"/>
    <d v="1899-12-30T00:02:24"/>
    <n v="3"/>
  </r>
  <r>
    <x v="371"/>
    <s v="Greg"/>
    <x v="6"/>
    <d v="1899-12-30T13:26:24"/>
    <d v="2021-01-07T13:26:24"/>
    <x v="6"/>
    <x v="4"/>
    <x v="1"/>
    <x v="0"/>
    <s v="Y"/>
    <n v="23"/>
    <x v="0"/>
    <d v="1899-12-30T00:02:03"/>
    <n v="4"/>
  </r>
  <r>
    <x v="372"/>
    <s v="Becky"/>
    <x v="6"/>
    <d v="1899-12-30T13:30:43"/>
    <d v="2021-01-07T13:30:43"/>
    <x v="6"/>
    <x v="4"/>
    <x v="4"/>
    <x v="1"/>
    <s v="N"/>
    <m/>
    <x v="0"/>
    <m/>
    <m/>
  </r>
  <r>
    <x v="373"/>
    <s v="Stewart"/>
    <x v="6"/>
    <d v="1899-12-30T13:30:43"/>
    <d v="2021-01-07T13:30:43"/>
    <x v="6"/>
    <x v="4"/>
    <x v="3"/>
    <x v="0"/>
    <s v="N"/>
    <n v="29"/>
    <x v="0"/>
    <d v="1899-12-30T00:03:25"/>
    <n v="5"/>
  </r>
  <r>
    <x v="374"/>
    <s v="Greg"/>
    <x v="6"/>
    <d v="1899-12-30T13:42:14"/>
    <d v="2021-01-07T13:42:14"/>
    <x v="6"/>
    <x v="4"/>
    <x v="0"/>
    <x v="1"/>
    <s v="N"/>
    <m/>
    <x v="0"/>
    <m/>
    <m/>
  </r>
  <r>
    <x v="375"/>
    <s v="Becky"/>
    <x v="6"/>
    <d v="1899-12-30T13:42:14"/>
    <d v="2021-01-07T13:42:14"/>
    <x v="6"/>
    <x v="4"/>
    <x v="4"/>
    <x v="0"/>
    <s v="Y"/>
    <n v="54"/>
    <x v="0"/>
    <d v="1899-12-30T00:03:48"/>
    <n v="5"/>
  </r>
  <r>
    <x v="376"/>
    <s v="Dan"/>
    <x v="6"/>
    <d v="1899-12-30T13:45:07"/>
    <d v="2021-01-07T13:45:07"/>
    <x v="6"/>
    <x v="4"/>
    <x v="4"/>
    <x v="0"/>
    <s v="Y"/>
    <n v="14"/>
    <x v="1"/>
    <d v="1899-12-30T00:04:43"/>
    <n v="4"/>
  </r>
  <r>
    <x v="377"/>
    <s v="Dan"/>
    <x v="6"/>
    <d v="1899-12-30T13:45:07"/>
    <d v="2021-01-07T13:45:07"/>
    <x v="6"/>
    <x v="4"/>
    <x v="2"/>
    <x v="0"/>
    <s v="Y"/>
    <n v="11"/>
    <x v="1"/>
    <d v="1899-12-30T00:04:25"/>
    <n v="3"/>
  </r>
  <r>
    <x v="378"/>
    <s v="Joe"/>
    <x v="6"/>
    <d v="1899-12-30T14:31:12"/>
    <d v="2021-01-07T14:31:12"/>
    <x v="6"/>
    <x v="5"/>
    <x v="2"/>
    <x v="0"/>
    <s v="Y"/>
    <n v="84"/>
    <x v="0"/>
    <d v="1899-12-30T00:04:59"/>
    <n v="1"/>
  </r>
  <r>
    <x v="379"/>
    <s v="Martha"/>
    <x v="6"/>
    <d v="1899-12-30T14:31:12"/>
    <d v="2021-01-07T14:31:12"/>
    <x v="6"/>
    <x v="5"/>
    <x v="2"/>
    <x v="0"/>
    <s v="Y"/>
    <n v="21"/>
    <x v="0"/>
    <d v="1899-12-30T00:02:51"/>
    <n v="4"/>
  </r>
  <r>
    <x v="380"/>
    <s v="Martha"/>
    <x v="6"/>
    <d v="1899-12-30T15:53:17"/>
    <d v="2021-01-07T15:53:17"/>
    <x v="6"/>
    <x v="6"/>
    <x v="1"/>
    <x v="0"/>
    <s v="N"/>
    <n v="81"/>
    <x v="0"/>
    <d v="1899-12-30T00:05:10"/>
    <n v="3"/>
  </r>
  <r>
    <x v="381"/>
    <s v="Dan"/>
    <x v="6"/>
    <d v="1899-12-30T15:53:17"/>
    <d v="2021-01-07T15:53:17"/>
    <x v="6"/>
    <x v="6"/>
    <x v="2"/>
    <x v="1"/>
    <s v="N"/>
    <m/>
    <x v="0"/>
    <m/>
    <m/>
  </r>
  <r>
    <x v="382"/>
    <s v="Diane"/>
    <x v="6"/>
    <d v="1899-12-30T16:07:41"/>
    <d v="2021-01-07T16:07:41"/>
    <x v="6"/>
    <x v="8"/>
    <x v="3"/>
    <x v="1"/>
    <s v="N"/>
    <m/>
    <x v="0"/>
    <m/>
    <m/>
  </r>
  <r>
    <x v="383"/>
    <s v="Stewart"/>
    <x v="6"/>
    <d v="1899-12-30T16:07:41"/>
    <d v="2021-01-07T16:07:41"/>
    <x v="6"/>
    <x v="8"/>
    <x v="1"/>
    <x v="0"/>
    <s v="Y"/>
    <n v="84"/>
    <x v="0"/>
    <d v="1899-12-30T00:06:22"/>
    <n v="4"/>
  </r>
  <r>
    <x v="384"/>
    <s v="Martha"/>
    <x v="6"/>
    <d v="1899-12-30T16:29:17"/>
    <d v="2021-01-07T16:29:17"/>
    <x v="6"/>
    <x v="8"/>
    <x v="4"/>
    <x v="0"/>
    <s v="Y"/>
    <n v="118"/>
    <x v="0"/>
    <d v="1899-12-30T00:03:35"/>
    <n v="2"/>
  </r>
  <r>
    <x v="385"/>
    <s v="Becky"/>
    <x v="6"/>
    <d v="1899-12-30T16:29:17"/>
    <d v="2021-01-07T16:29:17"/>
    <x v="6"/>
    <x v="8"/>
    <x v="1"/>
    <x v="0"/>
    <s v="Y"/>
    <n v="35"/>
    <x v="0"/>
    <d v="1899-12-30T00:06:15"/>
    <n v="2"/>
  </r>
  <r>
    <x v="386"/>
    <s v="Dan"/>
    <x v="6"/>
    <d v="1899-12-30T16:40:48"/>
    <d v="2021-01-07T16:40:48"/>
    <x v="6"/>
    <x v="8"/>
    <x v="2"/>
    <x v="0"/>
    <s v="Y"/>
    <n v="82"/>
    <x v="0"/>
    <d v="1899-12-30T00:02:13"/>
    <n v="3"/>
  </r>
  <r>
    <x v="387"/>
    <s v="Jim"/>
    <x v="6"/>
    <d v="1899-12-30T16:40:48"/>
    <d v="2021-01-07T16:40:48"/>
    <x v="6"/>
    <x v="8"/>
    <x v="4"/>
    <x v="0"/>
    <s v="Y"/>
    <n v="119"/>
    <x v="0"/>
    <d v="1899-12-30T00:03:03"/>
    <n v="4"/>
  </r>
  <r>
    <x v="388"/>
    <s v="Jim"/>
    <x v="6"/>
    <d v="1899-12-30T17:03:50"/>
    <d v="2021-01-07T17:03:50"/>
    <x v="6"/>
    <x v="7"/>
    <x v="0"/>
    <x v="0"/>
    <s v="Y"/>
    <n v="107"/>
    <x v="0"/>
    <d v="1899-12-30T00:06:46"/>
    <n v="2"/>
  </r>
  <r>
    <x v="389"/>
    <s v="Joe"/>
    <x v="6"/>
    <d v="1899-12-30T17:03:50"/>
    <d v="2021-01-07T17:03:50"/>
    <x v="6"/>
    <x v="7"/>
    <x v="0"/>
    <x v="0"/>
    <s v="Y"/>
    <n v="86"/>
    <x v="0"/>
    <d v="1899-12-30T00:00:42"/>
    <n v="4"/>
  </r>
  <r>
    <x v="390"/>
    <s v="Diane"/>
    <x v="6"/>
    <d v="1899-12-30T17:39:50"/>
    <d v="2021-01-07T17:39:50"/>
    <x v="6"/>
    <x v="7"/>
    <x v="4"/>
    <x v="0"/>
    <s v="Y"/>
    <n v="76"/>
    <x v="0"/>
    <d v="1899-12-30T00:01:23"/>
    <n v="4"/>
  </r>
  <r>
    <x v="391"/>
    <s v="Stewart"/>
    <x v="6"/>
    <d v="1899-12-30T17:39:50"/>
    <d v="2021-01-07T17:39:50"/>
    <x v="6"/>
    <x v="7"/>
    <x v="4"/>
    <x v="0"/>
    <s v="N"/>
    <n v="78"/>
    <x v="0"/>
    <d v="1899-12-30T00:03:07"/>
    <n v="3"/>
  </r>
  <r>
    <x v="392"/>
    <s v="Jim"/>
    <x v="6"/>
    <d v="1899-12-30T17:47:02"/>
    <d v="2021-01-07T17:47:02"/>
    <x v="6"/>
    <x v="7"/>
    <x v="3"/>
    <x v="0"/>
    <s v="Y"/>
    <n v="118"/>
    <x v="0"/>
    <d v="1899-12-30T00:00:33"/>
    <n v="3"/>
  </r>
  <r>
    <x v="393"/>
    <s v="Diane"/>
    <x v="6"/>
    <d v="1899-12-30T17:47:02"/>
    <d v="2021-01-07T17:47:02"/>
    <x v="6"/>
    <x v="7"/>
    <x v="1"/>
    <x v="1"/>
    <s v="N"/>
    <m/>
    <x v="0"/>
    <m/>
    <m/>
  </r>
  <r>
    <x v="394"/>
    <s v="Joe"/>
    <x v="6"/>
    <d v="1899-12-30T17:48:29"/>
    <d v="2021-01-07T17:48:29"/>
    <x v="6"/>
    <x v="7"/>
    <x v="3"/>
    <x v="0"/>
    <s v="Y"/>
    <n v="47"/>
    <x v="0"/>
    <d v="1899-12-30T00:02:02"/>
    <n v="5"/>
  </r>
  <r>
    <x v="395"/>
    <s v="Diane"/>
    <x v="6"/>
    <d v="1899-12-30T17:48:29"/>
    <d v="2021-01-07T17:48:29"/>
    <x v="6"/>
    <x v="7"/>
    <x v="3"/>
    <x v="0"/>
    <s v="Y"/>
    <n v="86"/>
    <x v="0"/>
    <d v="1899-12-30T00:02:58"/>
    <n v="2"/>
  </r>
  <r>
    <x v="396"/>
    <s v="Greg"/>
    <x v="6"/>
    <d v="1899-12-30T17:55:41"/>
    <d v="2021-01-07T17:55:41"/>
    <x v="6"/>
    <x v="7"/>
    <x v="1"/>
    <x v="0"/>
    <s v="Y"/>
    <n v="76"/>
    <x v="0"/>
    <d v="1899-12-30T00:05:52"/>
    <n v="3"/>
  </r>
  <r>
    <x v="397"/>
    <s v="Jim"/>
    <x v="6"/>
    <d v="1899-12-30T17:55:41"/>
    <d v="2021-01-07T17:55:41"/>
    <x v="6"/>
    <x v="7"/>
    <x v="2"/>
    <x v="0"/>
    <s v="Y"/>
    <n v="32"/>
    <x v="0"/>
    <d v="1899-12-30T00:03:23"/>
    <n v="4"/>
  </r>
  <r>
    <x v="398"/>
    <s v="Joe"/>
    <x v="7"/>
    <d v="1899-12-30T09:00:00"/>
    <d v="2021-01-08T09:00:00"/>
    <x v="0"/>
    <x v="0"/>
    <x v="3"/>
    <x v="0"/>
    <s v="Y"/>
    <n v="98"/>
    <x v="0"/>
    <d v="1899-12-30T00:03:33"/>
    <n v="5"/>
  </r>
  <r>
    <x v="399"/>
    <s v="Jim"/>
    <x v="7"/>
    <d v="1899-12-30T09:00:00"/>
    <d v="2021-01-08T09:00:00"/>
    <x v="0"/>
    <x v="0"/>
    <x v="1"/>
    <x v="0"/>
    <s v="Y"/>
    <n v="86"/>
    <x v="0"/>
    <d v="1899-12-30T00:00:37"/>
    <n v="4"/>
  </r>
  <r>
    <x v="400"/>
    <s v="Diane"/>
    <x v="7"/>
    <d v="1899-12-30T09:24:29"/>
    <d v="2021-01-08T09:24:29"/>
    <x v="0"/>
    <x v="0"/>
    <x v="1"/>
    <x v="0"/>
    <s v="Y"/>
    <n v="37"/>
    <x v="0"/>
    <d v="1899-12-30T00:01:05"/>
    <n v="3"/>
  </r>
  <r>
    <x v="401"/>
    <s v="Greg"/>
    <x v="7"/>
    <d v="1899-12-30T09:24:29"/>
    <d v="2021-01-08T09:24:29"/>
    <x v="0"/>
    <x v="0"/>
    <x v="3"/>
    <x v="0"/>
    <s v="Y"/>
    <n v="15"/>
    <x v="1"/>
    <d v="1899-12-30T00:04:27"/>
    <n v="5"/>
  </r>
  <r>
    <x v="402"/>
    <s v="Diane"/>
    <x v="7"/>
    <d v="1899-12-30T09:47:31"/>
    <d v="2021-01-08T09:47:31"/>
    <x v="0"/>
    <x v="0"/>
    <x v="0"/>
    <x v="0"/>
    <s v="Y"/>
    <n v="114"/>
    <x v="0"/>
    <d v="1899-12-30T00:04:13"/>
    <n v="5"/>
  </r>
  <r>
    <x v="403"/>
    <s v="Stewart"/>
    <x v="7"/>
    <d v="1899-12-30T09:47:31"/>
    <d v="2021-01-08T09:47:31"/>
    <x v="0"/>
    <x v="0"/>
    <x v="2"/>
    <x v="1"/>
    <s v="N"/>
    <m/>
    <x v="0"/>
    <m/>
    <m/>
  </r>
  <r>
    <x v="404"/>
    <s v="Jim"/>
    <x v="7"/>
    <d v="1899-12-30T09:59:02"/>
    <d v="2021-01-08T09:59:02"/>
    <x v="0"/>
    <x v="0"/>
    <x v="1"/>
    <x v="1"/>
    <s v="N"/>
    <m/>
    <x v="0"/>
    <m/>
    <m/>
  </r>
  <r>
    <x v="405"/>
    <s v="Martha"/>
    <x v="7"/>
    <d v="1899-12-30T09:59:02"/>
    <d v="2021-01-08T09:59:02"/>
    <x v="0"/>
    <x v="0"/>
    <x v="4"/>
    <x v="1"/>
    <s v="N"/>
    <m/>
    <x v="0"/>
    <m/>
    <m/>
  </r>
  <r>
    <x v="406"/>
    <s v="Martha"/>
    <x v="7"/>
    <d v="1899-12-30T10:42:14"/>
    <d v="2021-01-08T10:42:14"/>
    <x v="0"/>
    <x v="1"/>
    <x v="4"/>
    <x v="0"/>
    <s v="N"/>
    <n v="23"/>
    <x v="0"/>
    <d v="1899-12-30T00:02:16"/>
    <n v="3"/>
  </r>
  <r>
    <x v="407"/>
    <s v="Dan"/>
    <x v="7"/>
    <d v="1899-12-30T10:42:14"/>
    <d v="2021-01-08T10:42:14"/>
    <x v="0"/>
    <x v="1"/>
    <x v="2"/>
    <x v="1"/>
    <s v="N"/>
    <m/>
    <x v="0"/>
    <m/>
    <m/>
  </r>
  <r>
    <x v="408"/>
    <s v="Joe"/>
    <x v="7"/>
    <d v="1899-12-30T10:49:26"/>
    <d v="2021-01-08T10:49:26"/>
    <x v="0"/>
    <x v="1"/>
    <x v="3"/>
    <x v="0"/>
    <s v="Y"/>
    <n v="69"/>
    <x v="0"/>
    <d v="1899-12-30T00:05:41"/>
    <n v="3"/>
  </r>
  <r>
    <x v="409"/>
    <s v="Stewart"/>
    <x v="7"/>
    <d v="1899-12-30T10:49:26"/>
    <d v="2021-01-08T10:49:26"/>
    <x v="0"/>
    <x v="1"/>
    <x v="0"/>
    <x v="0"/>
    <s v="Y"/>
    <n v="15"/>
    <x v="1"/>
    <d v="1899-12-30T00:06:10"/>
    <n v="4"/>
  </r>
  <r>
    <x v="410"/>
    <s v="Becky"/>
    <x v="7"/>
    <d v="1899-12-30T10:49:26"/>
    <d v="2021-01-08T10:49:26"/>
    <x v="0"/>
    <x v="1"/>
    <x v="1"/>
    <x v="0"/>
    <s v="Y"/>
    <n v="119"/>
    <x v="0"/>
    <d v="1899-12-30T00:05:28"/>
    <n v="3"/>
  </r>
  <r>
    <x v="411"/>
    <s v="Becky"/>
    <x v="7"/>
    <d v="1899-12-30T10:49:26"/>
    <d v="2021-01-08T10:49:26"/>
    <x v="0"/>
    <x v="1"/>
    <x v="4"/>
    <x v="0"/>
    <s v="Y"/>
    <n v="68"/>
    <x v="0"/>
    <d v="1899-12-30T00:05:17"/>
    <n v="1"/>
  </r>
  <r>
    <x v="412"/>
    <s v="Diane"/>
    <x v="7"/>
    <d v="1899-12-30T11:00:58"/>
    <d v="2021-01-08T11:00:58"/>
    <x v="0"/>
    <x v="2"/>
    <x v="0"/>
    <x v="0"/>
    <s v="Y"/>
    <n v="115"/>
    <x v="0"/>
    <d v="1899-12-30T00:06:10"/>
    <n v="3"/>
  </r>
  <r>
    <x v="413"/>
    <s v="Joe"/>
    <x v="7"/>
    <d v="1899-12-30T11:00:58"/>
    <d v="2021-01-08T11:00:58"/>
    <x v="0"/>
    <x v="2"/>
    <x v="0"/>
    <x v="0"/>
    <s v="Y"/>
    <n v="84"/>
    <x v="0"/>
    <d v="1899-12-30T00:01:11"/>
    <n v="5"/>
  </r>
  <r>
    <x v="414"/>
    <s v="Dan"/>
    <x v="7"/>
    <d v="1899-12-30T11:16:48"/>
    <d v="2021-01-08T11:16:48"/>
    <x v="0"/>
    <x v="2"/>
    <x v="0"/>
    <x v="0"/>
    <s v="N"/>
    <n v="59"/>
    <x v="0"/>
    <d v="1899-12-30T00:01:17"/>
    <n v="4"/>
  </r>
  <r>
    <x v="415"/>
    <s v="Diane"/>
    <x v="7"/>
    <d v="1899-12-30T11:16:48"/>
    <d v="2021-01-08T11:16:48"/>
    <x v="0"/>
    <x v="2"/>
    <x v="1"/>
    <x v="0"/>
    <s v="N"/>
    <n v="112"/>
    <x v="0"/>
    <d v="1899-12-30T00:03:34"/>
    <n v="4"/>
  </r>
  <r>
    <x v="416"/>
    <s v="Dan"/>
    <x v="7"/>
    <d v="1899-12-30T11:16:48"/>
    <d v="2021-01-08T11:16:48"/>
    <x v="0"/>
    <x v="2"/>
    <x v="0"/>
    <x v="1"/>
    <s v="N"/>
    <m/>
    <x v="0"/>
    <m/>
    <m/>
  </r>
  <r>
    <x v="417"/>
    <s v="Dan"/>
    <x v="7"/>
    <d v="1899-12-30T11:16:48"/>
    <d v="2021-01-08T11:16:48"/>
    <x v="0"/>
    <x v="2"/>
    <x v="3"/>
    <x v="0"/>
    <s v="Y"/>
    <n v="39"/>
    <x v="0"/>
    <d v="1899-12-30T00:04:51"/>
    <n v="3"/>
  </r>
  <r>
    <x v="418"/>
    <s v="Jim"/>
    <x v="7"/>
    <d v="1899-12-30T12:12:58"/>
    <d v="2021-01-08T12:12:58"/>
    <x v="0"/>
    <x v="3"/>
    <x v="4"/>
    <x v="0"/>
    <s v="Y"/>
    <n v="31"/>
    <x v="0"/>
    <d v="1899-12-30T00:06:35"/>
    <n v="5"/>
  </r>
  <r>
    <x v="419"/>
    <s v="Dan"/>
    <x v="7"/>
    <d v="1899-12-30T12:12:58"/>
    <d v="2021-01-08T12:12:58"/>
    <x v="0"/>
    <x v="3"/>
    <x v="4"/>
    <x v="0"/>
    <s v="Y"/>
    <n v="112"/>
    <x v="0"/>
    <d v="1899-12-30T00:03:41"/>
    <n v="2"/>
  </r>
  <r>
    <x v="420"/>
    <s v="Greg"/>
    <x v="7"/>
    <d v="1899-12-30T12:14:24"/>
    <d v="2021-01-08T12:14:24"/>
    <x v="0"/>
    <x v="3"/>
    <x v="4"/>
    <x v="0"/>
    <s v="Y"/>
    <n v="49"/>
    <x v="0"/>
    <d v="1899-12-30T00:02:25"/>
    <n v="4"/>
  </r>
  <r>
    <x v="421"/>
    <s v="Greg"/>
    <x v="7"/>
    <d v="1899-12-30T12:14:24"/>
    <d v="2021-01-08T12:14:24"/>
    <x v="0"/>
    <x v="3"/>
    <x v="1"/>
    <x v="0"/>
    <s v="Y"/>
    <n v="18"/>
    <x v="1"/>
    <d v="1899-12-30T00:06:38"/>
    <n v="3"/>
  </r>
  <r>
    <x v="422"/>
    <s v="Stewart"/>
    <x v="7"/>
    <d v="1899-12-30T12:38:53"/>
    <d v="2021-01-08T12:38:53"/>
    <x v="0"/>
    <x v="3"/>
    <x v="1"/>
    <x v="0"/>
    <s v="Y"/>
    <n v="80"/>
    <x v="0"/>
    <d v="1899-12-30T00:02:43"/>
    <n v="4"/>
  </r>
  <r>
    <x v="423"/>
    <s v="Dan"/>
    <x v="7"/>
    <d v="1899-12-30T12:38:53"/>
    <d v="2021-01-08T12:38:53"/>
    <x v="0"/>
    <x v="3"/>
    <x v="3"/>
    <x v="0"/>
    <s v="Y"/>
    <n v="57"/>
    <x v="0"/>
    <d v="1899-12-30T00:02:33"/>
    <n v="3"/>
  </r>
  <r>
    <x v="424"/>
    <s v="Stewart"/>
    <x v="7"/>
    <d v="1899-12-30T12:48:58"/>
    <d v="2021-01-08T12:48:58"/>
    <x v="0"/>
    <x v="3"/>
    <x v="0"/>
    <x v="1"/>
    <s v="N"/>
    <m/>
    <x v="0"/>
    <m/>
    <m/>
  </r>
  <r>
    <x v="425"/>
    <s v="Diane"/>
    <x v="7"/>
    <d v="1899-12-30T12:48:58"/>
    <d v="2021-01-08T12:48:58"/>
    <x v="0"/>
    <x v="3"/>
    <x v="0"/>
    <x v="0"/>
    <s v="N"/>
    <n v="87"/>
    <x v="0"/>
    <d v="1899-12-30T00:06:18"/>
    <n v="4"/>
  </r>
  <r>
    <x v="426"/>
    <s v="Diane"/>
    <x v="7"/>
    <d v="1899-12-30T13:10:34"/>
    <d v="2021-01-08T13:10:34"/>
    <x v="0"/>
    <x v="4"/>
    <x v="2"/>
    <x v="1"/>
    <s v="N"/>
    <m/>
    <x v="0"/>
    <m/>
    <m/>
  </r>
  <r>
    <x v="427"/>
    <s v="Greg"/>
    <x v="7"/>
    <d v="1899-12-30T13:10:34"/>
    <d v="2021-01-08T13:10:34"/>
    <x v="0"/>
    <x v="4"/>
    <x v="4"/>
    <x v="0"/>
    <s v="Y"/>
    <n v="81"/>
    <x v="0"/>
    <d v="1899-12-30T00:05:56"/>
    <n v="3"/>
  </r>
  <r>
    <x v="428"/>
    <s v="Joe"/>
    <x v="7"/>
    <d v="1899-12-30T13:10:34"/>
    <d v="2021-01-08T13:10:34"/>
    <x v="0"/>
    <x v="4"/>
    <x v="1"/>
    <x v="1"/>
    <s v="N"/>
    <m/>
    <x v="0"/>
    <m/>
    <m/>
  </r>
  <r>
    <x v="429"/>
    <s v="Jim"/>
    <x v="7"/>
    <d v="1899-12-30T13:10:34"/>
    <d v="2021-01-08T13:10:34"/>
    <x v="0"/>
    <x v="4"/>
    <x v="4"/>
    <x v="0"/>
    <s v="Y"/>
    <n v="47"/>
    <x v="0"/>
    <d v="1899-12-30T00:02:11"/>
    <n v="5"/>
  </r>
  <r>
    <x v="430"/>
    <s v="Joe"/>
    <x v="7"/>
    <d v="1899-12-30T13:17:46"/>
    <d v="2021-01-08T13:17:46"/>
    <x v="0"/>
    <x v="4"/>
    <x v="4"/>
    <x v="0"/>
    <s v="Y"/>
    <n v="57"/>
    <x v="0"/>
    <d v="1899-12-30T00:06:15"/>
    <n v="4"/>
  </r>
  <r>
    <x v="431"/>
    <s v="Becky"/>
    <x v="7"/>
    <d v="1899-12-30T13:17:46"/>
    <d v="2021-01-08T13:17:46"/>
    <x v="0"/>
    <x v="4"/>
    <x v="2"/>
    <x v="1"/>
    <s v="N"/>
    <m/>
    <x v="0"/>
    <m/>
    <m/>
  </r>
  <r>
    <x v="432"/>
    <s v="Joe"/>
    <x v="7"/>
    <d v="1899-12-30T13:43:41"/>
    <d v="2021-01-08T13:43:41"/>
    <x v="0"/>
    <x v="4"/>
    <x v="0"/>
    <x v="0"/>
    <s v="Y"/>
    <n v="104"/>
    <x v="0"/>
    <d v="1899-12-30T00:03:55"/>
    <n v="4"/>
  </r>
  <r>
    <x v="433"/>
    <s v="Becky"/>
    <x v="7"/>
    <d v="1899-12-30T13:43:41"/>
    <d v="2021-01-08T13:43:41"/>
    <x v="0"/>
    <x v="4"/>
    <x v="3"/>
    <x v="0"/>
    <s v="Y"/>
    <n v="16"/>
    <x v="1"/>
    <d v="1899-12-30T00:05:46"/>
    <n v="3"/>
  </r>
  <r>
    <x v="434"/>
    <s v="Greg"/>
    <x v="7"/>
    <d v="1899-12-30T15:37:26"/>
    <d v="2021-01-08T15:37:26"/>
    <x v="0"/>
    <x v="6"/>
    <x v="4"/>
    <x v="0"/>
    <s v="Y"/>
    <n v="37"/>
    <x v="0"/>
    <d v="1899-12-30T00:04:13"/>
    <n v="4"/>
  </r>
  <r>
    <x v="435"/>
    <s v="Diane"/>
    <x v="7"/>
    <d v="1899-12-30T15:37:26"/>
    <d v="2021-01-08T15:37:26"/>
    <x v="0"/>
    <x v="6"/>
    <x v="3"/>
    <x v="1"/>
    <s v="N"/>
    <m/>
    <x v="0"/>
    <m/>
    <m/>
  </r>
  <r>
    <x v="436"/>
    <s v="Stewart"/>
    <x v="7"/>
    <d v="1899-12-30T15:43:12"/>
    <d v="2021-01-08T15:43:12"/>
    <x v="0"/>
    <x v="6"/>
    <x v="1"/>
    <x v="0"/>
    <s v="Y"/>
    <n v="61"/>
    <x v="0"/>
    <d v="1899-12-30T00:02:06"/>
    <n v="4"/>
  </r>
  <r>
    <x v="437"/>
    <s v="Stewart"/>
    <x v="7"/>
    <d v="1899-12-30T15:43:12"/>
    <d v="2021-01-08T15:43:12"/>
    <x v="0"/>
    <x v="6"/>
    <x v="3"/>
    <x v="0"/>
    <s v="N"/>
    <n v="41"/>
    <x v="0"/>
    <d v="1899-12-30T00:03:10"/>
    <n v="4"/>
  </r>
  <r>
    <x v="438"/>
    <s v="Diane"/>
    <x v="7"/>
    <d v="1899-12-30T15:53:17"/>
    <d v="2021-01-08T15:53:17"/>
    <x v="0"/>
    <x v="6"/>
    <x v="4"/>
    <x v="0"/>
    <s v="Y"/>
    <n v="40"/>
    <x v="0"/>
    <d v="1899-12-30T00:01:21"/>
    <n v="4"/>
  </r>
  <r>
    <x v="439"/>
    <s v="Diane"/>
    <x v="7"/>
    <d v="1899-12-30T15:53:17"/>
    <d v="2021-01-08T15:53:17"/>
    <x v="0"/>
    <x v="6"/>
    <x v="3"/>
    <x v="0"/>
    <s v="Y"/>
    <n v="55"/>
    <x v="0"/>
    <d v="1899-12-30T00:05:21"/>
    <n v="2"/>
  </r>
  <r>
    <x v="440"/>
    <s v="Greg"/>
    <x v="7"/>
    <d v="1899-12-30T15:54:43"/>
    <d v="2021-01-08T15:54:43"/>
    <x v="0"/>
    <x v="6"/>
    <x v="3"/>
    <x v="0"/>
    <s v="Y"/>
    <n v="92"/>
    <x v="0"/>
    <d v="1899-12-30T00:00:53"/>
    <n v="3"/>
  </r>
  <r>
    <x v="441"/>
    <s v="Dan"/>
    <x v="7"/>
    <d v="1899-12-30T15:54:43"/>
    <d v="2021-01-08T15:54:43"/>
    <x v="0"/>
    <x v="6"/>
    <x v="0"/>
    <x v="0"/>
    <s v="Y"/>
    <n v="118"/>
    <x v="0"/>
    <d v="1899-12-30T00:01:38"/>
    <n v="5"/>
  </r>
  <r>
    <x v="442"/>
    <s v="Dan"/>
    <x v="7"/>
    <d v="1899-12-30T16:37:55"/>
    <d v="2021-01-08T16:37:55"/>
    <x v="0"/>
    <x v="8"/>
    <x v="4"/>
    <x v="0"/>
    <s v="Y"/>
    <n v="82"/>
    <x v="0"/>
    <d v="1899-12-30T00:05:43"/>
    <n v="3"/>
  </r>
  <r>
    <x v="443"/>
    <s v="Dan"/>
    <x v="7"/>
    <d v="1899-12-30T16:37:55"/>
    <d v="2021-01-08T16:37:55"/>
    <x v="0"/>
    <x v="8"/>
    <x v="4"/>
    <x v="0"/>
    <s v="Y"/>
    <n v="83"/>
    <x v="0"/>
    <d v="1899-12-30T00:01:20"/>
    <n v="3"/>
  </r>
  <r>
    <x v="444"/>
    <s v="Jim"/>
    <x v="7"/>
    <d v="1899-12-30T18:00:00"/>
    <d v="2021-01-08T18:00:00"/>
    <x v="0"/>
    <x v="9"/>
    <x v="2"/>
    <x v="0"/>
    <s v="Y"/>
    <n v="78"/>
    <x v="0"/>
    <d v="1899-12-30T00:05:13"/>
    <n v="2"/>
  </r>
  <r>
    <x v="445"/>
    <s v="Diane"/>
    <x v="7"/>
    <d v="1899-12-30T18:00:00"/>
    <d v="2021-01-08T18:00:00"/>
    <x v="0"/>
    <x v="9"/>
    <x v="2"/>
    <x v="0"/>
    <s v="N"/>
    <n v="111"/>
    <x v="0"/>
    <d v="1899-12-30T00:05:14"/>
    <n v="5"/>
  </r>
  <r>
    <x v="446"/>
    <s v="Jim"/>
    <x v="8"/>
    <d v="1899-12-30T09:07:12"/>
    <d v="2021-01-09T09:07:12"/>
    <x v="1"/>
    <x v="0"/>
    <x v="0"/>
    <x v="0"/>
    <s v="Y"/>
    <n v="107"/>
    <x v="0"/>
    <d v="1899-12-30T00:05:22"/>
    <n v="4"/>
  </r>
  <r>
    <x v="447"/>
    <s v="Martha"/>
    <x v="8"/>
    <d v="1899-12-30T09:07:12"/>
    <d v="2021-01-09T09:07:12"/>
    <x v="1"/>
    <x v="0"/>
    <x v="4"/>
    <x v="0"/>
    <s v="Y"/>
    <n v="108"/>
    <x v="0"/>
    <d v="1899-12-30T00:04:03"/>
    <n v="2"/>
  </r>
  <r>
    <x v="448"/>
    <s v="Greg"/>
    <x v="8"/>
    <d v="1899-12-30T09:24:29"/>
    <d v="2021-01-09T09:24:29"/>
    <x v="1"/>
    <x v="0"/>
    <x v="2"/>
    <x v="0"/>
    <s v="Y"/>
    <n v="97"/>
    <x v="0"/>
    <d v="1899-12-30T00:02:39"/>
    <n v="5"/>
  </r>
  <r>
    <x v="449"/>
    <s v="Dan"/>
    <x v="8"/>
    <d v="1899-12-30T09:24:29"/>
    <d v="2021-01-09T09:24:29"/>
    <x v="1"/>
    <x v="0"/>
    <x v="4"/>
    <x v="0"/>
    <s v="Y"/>
    <n v="31"/>
    <x v="0"/>
    <d v="1899-12-30T00:06:20"/>
    <n v="5"/>
  </r>
  <r>
    <x v="450"/>
    <s v="Martha"/>
    <x v="8"/>
    <d v="1899-12-30T09:34:34"/>
    <d v="2021-01-09T09:34:34"/>
    <x v="1"/>
    <x v="0"/>
    <x v="2"/>
    <x v="0"/>
    <s v="Y"/>
    <n v="20"/>
    <x v="1"/>
    <d v="1899-12-30T00:01:49"/>
    <n v="4"/>
  </r>
  <r>
    <x v="451"/>
    <s v="Jim"/>
    <x v="8"/>
    <d v="1899-12-30T09:34:34"/>
    <d v="2021-01-09T09:34:34"/>
    <x v="1"/>
    <x v="0"/>
    <x v="3"/>
    <x v="0"/>
    <s v="Y"/>
    <n v="110"/>
    <x v="0"/>
    <d v="1899-12-30T00:06:53"/>
    <n v="3"/>
  </r>
  <r>
    <x v="452"/>
    <s v="Dan"/>
    <x v="8"/>
    <d v="1899-12-30T10:22:05"/>
    <d v="2021-01-09T10:22:05"/>
    <x v="1"/>
    <x v="1"/>
    <x v="1"/>
    <x v="0"/>
    <s v="Y"/>
    <n v="86"/>
    <x v="0"/>
    <d v="1899-12-30T00:05:02"/>
    <n v="5"/>
  </r>
  <r>
    <x v="453"/>
    <s v="Becky"/>
    <x v="8"/>
    <d v="1899-12-30T10:22:05"/>
    <d v="2021-01-09T10:22:05"/>
    <x v="1"/>
    <x v="1"/>
    <x v="4"/>
    <x v="0"/>
    <s v="Y"/>
    <n v="77"/>
    <x v="0"/>
    <d v="1899-12-30T00:02:11"/>
    <n v="4"/>
  </r>
  <r>
    <x v="454"/>
    <s v="Diane"/>
    <x v="8"/>
    <d v="1899-12-30T10:29:17"/>
    <d v="2021-01-09T10:29:17"/>
    <x v="1"/>
    <x v="1"/>
    <x v="4"/>
    <x v="0"/>
    <s v="Y"/>
    <n v="119"/>
    <x v="0"/>
    <d v="1899-12-30T00:06:47"/>
    <n v="3"/>
  </r>
  <r>
    <x v="455"/>
    <s v="Martha"/>
    <x v="8"/>
    <d v="1899-12-30T10:29:17"/>
    <d v="2021-01-09T10:29:17"/>
    <x v="1"/>
    <x v="1"/>
    <x v="3"/>
    <x v="1"/>
    <s v="N"/>
    <m/>
    <x v="0"/>
    <m/>
    <m/>
  </r>
  <r>
    <x v="456"/>
    <s v="Jim"/>
    <x v="8"/>
    <d v="1899-12-30T10:32:10"/>
    <d v="2021-01-09T10:32:10"/>
    <x v="1"/>
    <x v="1"/>
    <x v="1"/>
    <x v="0"/>
    <s v="Y"/>
    <n v="13"/>
    <x v="1"/>
    <d v="1899-12-30T00:03:06"/>
    <n v="3"/>
  </r>
  <r>
    <x v="457"/>
    <s v="Stewart"/>
    <x v="8"/>
    <d v="1899-12-30T10:32:10"/>
    <d v="2021-01-09T10:32:10"/>
    <x v="1"/>
    <x v="1"/>
    <x v="2"/>
    <x v="0"/>
    <s v="Y"/>
    <n v="106"/>
    <x v="0"/>
    <d v="1899-12-30T00:02:27"/>
    <n v="5"/>
  </r>
  <r>
    <x v="458"/>
    <s v="Joe"/>
    <x v="8"/>
    <d v="1899-12-30T10:58:05"/>
    <d v="2021-01-09T10:58:05"/>
    <x v="1"/>
    <x v="1"/>
    <x v="2"/>
    <x v="0"/>
    <s v="Y"/>
    <n v="35"/>
    <x v="0"/>
    <d v="1899-12-30T00:05:25"/>
    <n v="3"/>
  </r>
  <r>
    <x v="459"/>
    <s v="Martha"/>
    <x v="8"/>
    <d v="1899-12-30T10:58:05"/>
    <d v="2021-01-09T10:58:05"/>
    <x v="1"/>
    <x v="1"/>
    <x v="0"/>
    <x v="0"/>
    <s v="N"/>
    <n v="46"/>
    <x v="0"/>
    <d v="1899-12-30T00:05:23"/>
    <n v="3"/>
  </r>
  <r>
    <x v="460"/>
    <s v="Stewart"/>
    <x v="8"/>
    <d v="1899-12-30T11:05:17"/>
    <d v="2021-01-09T11:05:17"/>
    <x v="1"/>
    <x v="2"/>
    <x v="3"/>
    <x v="0"/>
    <s v="N"/>
    <n v="24"/>
    <x v="0"/>
    <d v="1899-12-30T00:06:15"/>
    <n v="3"/>
  </r>
  <r>
    <x v="461"/>
    <s v="Stewart"/>
    <x v="8"/>
    <d v="1899-12-30T11:05:17"/>
    <d v="2021-01-09T11:05:17"/>
    <x v="1"/>
    <x v="2"/>
    <x v="4"/>
    <x v="0"/>
    <s v="Y"/>
    <n v="88"/>
    <x v="0"/>
    <d v="1899-12-30T00:06:33"/>
    <n v="5"/>
  </r>
  <r>
    <x v="462"/>
    <s v="Joe"/>
    <x v="8"/>
    <d v="1899-12-30T11:11:02"/>
    <d v="2021-01-09T11:11:02"/>
    <x v="1"/>
    <x v="2"/>
    <x v="3"/>
    <x v="0"/>
    <s v="Y"/>
    <n v="81"/>
    <x v="0"/>
    <d v="1899-12-30T00:02:42"/>
    <n v="3"/>
  </r>
  <r>
    <x v="463"/>
    <s v="Jim"/>
    <x v="8"/>
    <d v="1899-12-30T11:11:02"/>
    <d v="2021-01-09T11:11:02"/>
    <x v="1"/>
    <x v="2"/>
    <x v="2"/>
    <x v="0"/>
    <s v="Y"/>
    <n v="96"/>
    <x v="0"/>
    <d v="1899-12-30T00:04:33"/>
    <n v="3"/>
  </r>
  <r>
    <x v="464"/>
    <s v="Becky"/>
    <x v="8"/>
    <d v="1899-12-30T11:16:48"/>
    <d v="2021-01-09T11:16:48"/>
    <x v="1"/>
    <x v="2"/>
    <x v="3"/>
    <x v="0"/>
    <s v="Y"/>
    <n v="46"/>
    <x v="0"/>
    <d v="1899-12-30T00:06:05"/>
    <n v="3"/>
  </r>
  <r>
    <x v="465"/>
    <s v="Dan"/>
    <x v="8"/>
    <d v="1899-12-30T11:16:48"/>
    <d v="2021-01-09T11:16:48"/>
    <x v="1"/>
    <x v="2"/>
    <x v="0"/>
    <x v="0"/>
    <s v="Y"/>
    <n v="25"/>
    <x v="0"/>
    <d v="1899-12-30T00:01:40"/>
    <n v="4"/>
  </r>
  <r>
    <x v="466"/>
    <s v="Stewart"/>
    <x v="8"/>
    <d v="1899-12-30T11:25:26"/>
    <d v="2021-01-09T11:25:26"/>
    <x v="1"/>
    <x v="2"/>
    <x v="3"/>
    <x v="0"/>
    <s v="Y"/>
    <n v="81"/>
    <x v="0"/>
    <d v="1899-12-30T00:02:07"/>
    <n v="4"/>
  </r>
  <r>
    <x v="467"/>
    <s v="Dan"/>
    <x v="8"/>
    <d v="1899-12-30T11:25:26"/>
    <d v="2021-01-09T11:25:26"/>
    <x v="1"/>
    <x v="2"/>
    <x v="2"/>
    <x v="1"/>
    <s v="N"/>
    <m/>
    <x v="0"/>
    <m/>
    <m/>
  </r>
  <r>
    <x v="468"/>
    <s v="Dan"/>
    <x v="8"/>
    <d v="1899-12-30T11:48:29"/>
    <d v="2021-01-09T11:48:29"/>
    <x v="1"/>
    <x v="2"/>
    <x v="1"/>
    <x v="0"/>
    <s v="Y"/>
    <n v="97"/>
    <x v="0"/>
    <d v="1899-12-30T00:06:50"/>
    <n v="1"/>
  </r>
  <r>
    <x v="469"/>
    <s v="Martha"/>
    <x v="8"/>
    <d v="1899-12-30T11:48:29"/>
    <d v="2021-01-09T11:48:29"/>
    <x v="1"/>
    <x v="2"/>
    <x v="1"/>
    <x v="0"/>
    <s v="Y"/>
    <n v="116"/>
    <x v="0"/>
    <d v="1899-12-30T00:03:16"/>
    <n v="5"/>
  </r>
  <r>
    <x v="470"/>
    <s v="Joe"/>
    <x v="8"/>
    <d v="1899-12-30T11:48:29"/>
    <d v="2021-01-09T11:48:29"/>
    <x v="1"/>
    <x v="2"/>
    <x v="2"/>
    <x v="1"/>
    <s v="N"/>
    <m/>
    <x v="0"/>
    <m/>
    <m/>
  </r>
  <r>
    <x v="471"/>
    <s v="Dan"/>
    <x v="8"/>
    <d v="1899-12-30T11:48:29"/>
    <d v="2021-01-09T11:48:29"/>
    <x v="1"/>
    <x v="2"/>
    <x v="3"/>
    <x v="1"/>
    <s v="N"/>
    <m/>
    <x v="0"/>
    <m/>
    <m/>
  </r>
  <r>
    <x v="472"/>
    <s v="Becky"/>
    <x v="8"/>
    <d v="1899-12-30T11:48:29"/>
    <d v="2021-01-09T11:48:29"/>
    <x v="1"/>
    <x v="2"/>
    <x v="2"/>
    <x v="0"/>
    <s v="Y"/>
    <n v="87"/>
    <x v="0"/>
    <d v="1899-12-30T00:05:45"/>
    <n v="5"/>
  </r>
  <r>
    <x v="473"/>
    <s v="Dan"/>
    <x v="8"/>
    <d v="1899-12-30T11:48:29"/>
    <d v="2021-01-09T11:48:29"/>
    <x v="1"/>
    <x v="2"/>
    <x v="1"/>
    <x v="0"/>
    <s v="Y"/>
    <n v="43"/>
    <x v="0"/>
    <d v="1899-12-30T00:00:35"/>
    <n v="4"/>
  </r>
  <r>
    <x v="474"/>
    <s v="Greg"/>
    <x v="8"/>
    <d v="1899-12-30T11:55:41"/>
    <d v="2021-01-09T11:55:41"/>
    <x v="1"/>
    <x v="2"/>
    <x v="0"/>
    <x v="0"/>
    <s v="Y"/>
    <n v="102"/>
    <x v="0"/>
    <d v="1899-12-30T00:04:48"/>
    <n v="3"/>
  </r>
  <r>
    <x v="475"/>
    <s v="Dan"/>
    <x v="8"/>
    <d v="1899-12-30T11:55:41"/>
    <d v="2021-01-09T11:55:41"/>
    <x v="1"/>
    <x v="2"/>
    <x v="2"/>
    <x v="0"/>
    <s v="Y"/>
    <n v="95"/>
    <x v="0"/>
    <d v="1899-12-30T00:05:49"/>
    <n v="5"/>
  </r>
  <r>
    <x v="476"/>
    <s v="Dan"/>
    <x v="8"/>
    <d v="1899-12-30T12:31:41"/>
    <d v="2021-01-09T12:31:41"/>
    <x v="1"/>
    <x v="3"/>
    <x v="1"/>
    <x v="0"/>
    <s v="Y"/>
    <n v="108"/>
    <x v="0"/>
    <d v="1899-12-30T00:04:45"/>
    <n v="3"/>
  </r>
  <r>
    <x v="477"/>
    <s v="Dan"/>
    <x v="8"/>
    <d v="1899-12-30T12:31:41"/>
    <d v="2021-01-09T12:31:41"/>
    <x v="1"/>
    <x v="3"/>
    <x v="3"/>
    <x v="0"/>
    <s v="Y"/>
    <n v="80"/>
    <x v="0"/>
    <d v="1899-12-30T00:02:11"/>
    <n v="4"/>
  </r>
  <r>
    <x v="478"/>
    <s v="Diane"/>
    <x v="8"/>
    <d v="1899-12-30T12:33:07"/>
    <d v="2021-01-09T12:33:07"/>
    <x v="1"/>
    <x v="3"/>
    <x v="2"/>
    <x v="0"/>
    <s v="Y"/>
    <n v="61"/>
    <x v="0"/>
    <d v="1899-12-30T00:00:36"/>
    <n v="5"/>
  </r>
  <r>
    <x v="479"/>
    <s v="Greg"/>
    <x v="8"/>
    <d v="1899-12-30T12:33:07"/>
    <d v="2021-01-09T12:33:07"/>
    <x v="1"/>
    <x v="3"/>
    <x v="0"/>
    <x v="0"/>
    <s v="Y"/>
    <n v="18"/>
    <x v="1"/>
    <d v="1899-12-30T00:05:05"/>
    <n v="5"/>
  </r>
  <r>
    <x v="480"/>
    <s v="Joe"/>
    <x v="8"/>
    <d v="1899-12-30T12:40:19"/>
    <d v="2021-01-09T12:40:19"/>
    <x v="1"/>
    <x v="3"/>
    <x v="2"/>
    <x v="1"/>
    <s v="N"/>
    <m/>
    <x v="0"/>
    <m/>
    <m/>
  </r>
  <r>
    <x v="481"/>
    <s v="Becky"/>
    <x v="8"/>
    <d v="1899-12-30T12:40:19"/>
    <d v="2021-01-09T12:40:19"/>
    <x v="1"/>
    <x v="3"/>
    <x v="3"/>
    <x v="0"/>
    <s v="N"/>
    <n v="10"/>
    <x v="1"/>
    <d v="1899-12-30T00:00:54"/>
    <n v="4"/>
  </r>
  <r>
    <x v="482"/>
    <s v="Diane"/>
    <x v="8"/>
    <d v="1899-12-30T12:50:24"/>
    <d v="2021-01-09T12:50:24"/>
    <x v="1"/>
    <x v="3"/>
    <x v="2"/>
    <x v="0"/>
    <s v="Y"/>
    <n v="92"/>
    <x v="0"/>
    <d v="1899-12-30T00:02:25"/>
    <n v="3"/>
  </r>
  <r>
    <x v="483"/>
    <s v="Jim"/>
    <x v="8"/>
    <d v="1899-12-30T12:50:24"/>
    <d v="2021-01-09T12:50:24"/>
    <x v="1"/>
    <x v="3"/>
    <x v="1"/>
    <x v="1"/>
    <s v="N"/>
    <m/>
    <x v="0"/>
    <m/>
    <m/>
  </r>
  <r>
    <x v="484"/>
    <s v="Becky"/>
    <x v="8"/>
    <d v="1899-12-30T13:03:22"/>
    <d v="2021-01-09T13:03:22"/>
    <x v="1"/>
    <x v="4"/>
    <x v="0"/>
    <x v="0"/>
    <s v="Y"/>
    <n v="120"/>
    <x v="0"/>
    <d v="1899-12-30T00:04:28"/>
    <n v="1"/>
  </r>
  <r>
    <x v="485"/>
    <s v="Dan"/>
    <x v="8"/>
    <d v="1899-12-30T13:03:22"/>
    <d v="2021-01-09T13:03:22"/>
    <x v="1"/>
    <x v="4"/>
    <x v="1"/>
    <x v="0"/>
    <s v="Y"/>
    <n v="63"/>
    <x v="0"/>
    <d v="1899-12-30T00:04:59"/>
    <n v="3"/>
  </r>
  <r>
    <x v="486"/>
    <s v="Becky"/>
    <x v="8"/>
    <d v="1899-12-30T13:39:22"/>
    <d v="2021-01-09T13:39:22"/>
    <x v="1"/>
    <x v="4"/>
    <x v="4"/>
    <x v="1"/>
    <s v="N"/>
    <m/>
    <x v="0"/>
    <m/>
    <m/>
  </r>
  <r>
    <x v="487"/>
    <s v="Joe"/>
    <x v="8"/>
    <d v="1899-12-30T13:39:22"/>
    <d v="2021-01-09T13:39:22"/>
    <x v="1"/>
    <x v="4"/>
    <x v="4"/>
    <x v="0"/>
    <s v="Y"/>
    <n v="101"/>
    <x v="0"/>
    <d v="1899-12-30T00:05:30"/>
    <n v="3"/>
  </r>
  <r>
    <x v="488"/>
    <s v="Joe"/>
    <x v="8"/>
    <d v="1899-12-30T13:59:31"/>
    <d v="2021-01-09T13:59:31"/>
    <x v="1"/>
    <x v="4"/>
    <x v="2"/>
    <x v="0"/>
    <s v="Y"/>
    <n v="105"/>
    <x v="0"/>
    <d v="1899-12-30T00:01:20"/>
    <n v="1"/>
  </r>
  <r>
    <x v="489"/>
    <s v="Joe"/>
    <x v="8"/>
    <d v="1899-12-30T13:59:31"/>
    <d v="2021-01-09T13:59:31"/>
    <x v="1"/>
    <x v="4"/>
    <x v="0"/>
    <x v="0"/>
    <s v="Y"/>
    <n v="21"/>
    <x v="0"/>
    <d v="1899-12-30T00:01:38"/>
    <n v="4"/>
  </r>
  <r>
    <x v="490"/>
    <s v="Joe"/>
    <x v="8"/>
    <d v="1899-12-30T14:12:29"/>
    <d v="2021-01-09T14:12:29"/>
    <x v="1"/>
    <x v="5"/>
    <x v="2"/>
    <x v="0"/>
    <s v="Y"/>
    <n v="34"/>
    <x v="0"/>
    <d v="1899-12-30T00:05:10"/>
    <n v="4"/>
  </r>
  <r>
    <x v="491"/>
    <s v="Stewart"/>
    <x v="8"/>
    <d v="1899-12-30T14:12:29"/>
    <d v="2021-01-09T14:12:29"/>
    <x v="1"/>
    <x v="5"/>
    <x v="1"/>
    <x v="0"/>
    <s v="Y"/>
    <n v="78"/>
    <x v="0"/>
    <d v="1899-12-30T00:03:25"/>
    <n v="1"/>
  </r>
  <r>
    <x v="492"/>
    <s v="Diane"/>
    <x v="8"/>
    <d v="1899-12-30T14:19:41"/>
    <d v="2021-01-09T14:19:41"/>
    <x v="1"/>
    <x v="5"/>
    <x v="4"/>
    <x v="0"/>
    <s v="Y"/>
    <n v="44"/>
    <x v="0"/>
    <d v="1899-12-30T00:02:54"/>
    <n v="3"/>
  </r>
  <r>
    <x v="493"/>
    <s v="Joe"/>
    <x v="8"/>
    <d v="1899-12-30T14:19:41"/>
    <d v="2021-01-09T14:19:41"/>
    <x v="1"/>
    <x v="5"/>
    <x v="3"/>
    <x v="0"/>
    <s v="Y"/>
    <n v="98"/>
    <x v="0"/>
    <d v="1899-12-30T00:01:43"/>
    <n v="1"/>
  </r>
  <r>
    <x v="494"/>
    <s v="Martha"/>
    <x v="8"/>
    <d v="1899-12-30T14:51:22"/>
    <d v="2021-01-09T14:51:22"/>
    <x v="1"/>
    <x v="5"/>
    <x v="2"/>
    <x v="0"/>
    <s v="Y"/>
    <n v="23"/>
    <x v="0"/>
    <d v="1899-12-30T00:03:23"/>
    <n v="1"/>
  </r>
  <r>
    <x v="495"/>
    <s v="Stewart"/>
    <x v="8"/>
    <d v="1899-12-30T14:51:22"/>
    <d v="2021-01-09T14:51:22"/>
    <x v="1"/>
    <x v="5"/>
    <x v="3"/>
    <x v="0"/>
    <s v="Y"/>
    <n v="28"/>
    <x v="0"/>
    <d v="1899-12-30T00:06:20"/>
    <n v="3"/>
  </r>
  <r>
    <x v="496"/>
    <s v="Joe"/>
    <x v="8"/>
    <d v="1899-12-30T15:43:12"/>
    <d v="2021-01-09T15:43:12"/>
    <x v="1"/>
    <x v="6"/>
    <x v="1"/>
    <x v="1"/>
    <s v="N"/>
    <m/>
    <x v="0"/>
    <m/>
    <m/>
  </r>
  <r>
    <x v="497"/>
    <s v="Martha"/>
    <x v="8"/>
    <d v="1899-12-30T15:43:12"/>
    <d v="2021-01-09T15:43:12"/>
    <x v="1"/>
    <x v="6"/>
    <x v="3"/>
    <x v="0"/>
    <s v="Y"/>
    <n v="43"/>
    <x v="0"/>
    <d v="1899-12-30T00:01:03"/>
    <n v="5"/>
  </r>
  <r>
    <x v="498"/>
    <s v="Stewart"/>
    <x v="8"/>
    <d v="1899-12-30T16:58:05"/>
    <d v="2021-01-09T16:58:05"/>
    <x v="1"/>
    <x v="8"/>
    <x v="4"/>
    <x v="1"/>
    <s v="N"/>
    <m/>
    <x v="0"/>
    <m/>
    <m/>
  </r>
  <r>
    <x v="499"/>
    <s v="Martha"/>
    <x v="8"/>
    <d v="1899-12-30T16:58:05"/>
    <d v="2021-01-09T16:58:05"/>
    <x v="1"/>
    <x v="8"/>
    <x v="0"/>
    <x v="1"/>
    <s v="N"/>
    <m/>
    <x v="0"/>
    <m/>
    <m/>
  </r>
  <r>
    <x v="500"/>
    <s v="Diane"/>
    <x v="8"/>
    <d v="1899-12-30T17:05:17"/>
    <d v="2021-01-09T17:05:17"/>
    <x v="1"/>
    <x v="7"/>
    <x v="2"/>
    <x v="0"/>
    <s v="Y"/>
    <n v="119"/>
    <x v="0"/>
    <d v="1899-12-30T00:00:50"/>
    <n v="4"/>
  </r>
  <r>
    <x v="501"/>
    <s v="Dan"/>
    <x v="8"/>
    <d v="1899-12-30T17:05:17"/>
    <d v="2021-01-09T17:05:17"/>
    <x v="1"/>
    <x v="7"/>
    <x v="2"/>
    <x v="0"/>
    <s v="Y"/>
    <n v="32"/>
    <x v="0"/>
    <d v="1899-12-30T00:02:54"/>
    <n v="5"/>
  </r>
  <r>
    <x v="502"/>
    <s v="Greg"/>
    <x v="8"/>
    <d v="1899-12-30T17:21:07"/>
    <d v="2021-01-09T17:21:07"/>
    <x v="1"/>
    <x v="7"/>
    <x v="4"/>
    <x v="0"/>
    <s v="N"/>
    <n v="50"/>
    <x v="0"/>
    <d v="1899-12-30T00:04:17"/>
    <n v="3"/>
  </r>
  <r>
    <x v="503"/>
    <s v="Jim"/>
    <x v="8"/>
    <d v="1899-12-30T17:21:07"/>
    <d v="2021-01-09T17:21:07"/>
    <x v="1"/>
    <x v="7"/>
    <x v="3"/>
    <x v="1"/>
    <s v="N"/>
    <m/>
    <x v="0"/>
    <m/>
    <m/>
  </r>
  <r>
    <x v="504"/>
    <s v="Joe"/>
    <x v="8"/>
    <d v="1899-12-30T17:22:34"/>
    <d v="2021-01-09T17:22:34"/>
    <x v="1"/>
    <x v="7"/>
    <x v="2"/>
    <x v="0"/>
    <s v="Y"/>
    <n v="35"/>
    <x v="0"/>
    <d v="1899-12-30T00:04:46"/>
    <n v="4"/>
  </r>
  <r>
    <x v="505"/>
    <s v="Jim"/>
    <x v="8"/>
    <d v="1899-12-30T17:22:34"/>
    <d v="2021-01-09T17:22:34"/>
    <x v="1"/>
    <x v="7"/>
    <x v="0"/>
    <x v="0"/>
    <s v="Y"/>
    <n v="27"/>
    <x v="0"/>
    <d v="1899-12-30T00:02:43"/>
    <n v="3"/>
  </r>
  <r>
    <x v="506"/>
    <s v="Stewart"/>
    <x v="8"/>
    <d v="1899-12-30T17:24:00"/>
    <d v="2021-01-09T17:24:00"/>
    <x v="1"/>
    <x v="7"/>
    <x v="4"/>
    <x v="0"/>
    <s v="Y"/>
    <n v="121"/>
    <x v="0"/>
    <d v="1899-12-30T00:03:20"/>
    <n v="4"/>
  </r>
  <r>
    <x v="507"/>
    <s v="Becky"/>
    <x v="8"/>
    <d v="1899-12-30T17:24:00"/>
    <d v="2021-01-09T17:24:00"/>
    <x v="1"/>
    <x v="7"/>
    <x v="4"/>
    <x v="0"/>
    <s v="Y"/>
    <n v="42"/>
    <x v="0"/>
    <d v="1899-12-30T00:06:58"/>
    <n v="2"/>
  </r>
  <r>
    <x v="508"/>
    <s v="Greg"/>
    <x v="8"/>
    <d v="1899-12-30T17:28:19"/>
    <d v="2021-01-09T17:28:19"/>
    <x v="1"/>
    <x v="7"/>
    <x v="1"/>
    <x v="1"/>
    <s v="N"/>
    <m/>
    <x v="0"/>
    <m/>
    <m/>
  </r>
  <r>
    <x v="509"/>
    <s v="Dan"/>
    <x v="8"/>
    <d v="1899-12-30T17:28:19"/>
    <d v="2021-01-09T17:28:19"/>
    <x v="1"/>
    <x v="7"/>
    <x v="1"/>
    <x v="1"/>
    <s v="N"/>
    <m/>
    <x v="0"/>
    <m/>
    <m/>
  </r>
  <r>
    <x v="510"/>
    <s v="Greg"/>
    <x v="8"/>
    <d v="1899-12-30T17:32:38"/>
    <d v="2021-01-09T17:32:38"/>
    <x v="1"/>
    <x v="7"/>
    <x v="2"/>
    <x v="0"/>
    <s v="Y"/>
    <n v="107"/>
    <x v="0"/>
    <d v="1899-12-30T00:01:05"/>
    <n v="5"/>
  </r>
  <r>
    <x v="511"/>
    <s v="Martha"/>
    <x v="8"/>
    <d v="1899-12-30T17:32:38"/>
    <d v="2021-01-09T17:32:38"/>
    <x v="1"/>
    <x v="7"/>
    <x v="4"/>
    <x v="0"/>
    <s v="Y"/>
    <n v="116"/>
    <x v="0"/>
    <d v="1899-12-30T00:03:31"/>
    <n v="4"/>
  </r>
  <r>
    <x v="512"/>
    <s v="Dan"/>
    <x v="8"/>
    <d v="1899-12-30T17:42:43"/>
    <d v="2021-01-09T17:42:43"/>
    <x v="1"/>
    <x v="7"/>
    <x v="1"/>
    <x v="0"/>
    <s v="N"/>
    <n v="60"/>
    <x v="0"/>
    <d v="1899-12-30T00:02:06"/>
    <n v="3"/>
  </r>
  <r>
    <x v="513"/>
    <s v="Jim"/>
    <x v="8"/>
    <d v="1899-12-30T17:42:43"/>
    <d v="2021-01-09T17:42:43"/>
    <x v="1"/>
    <x v="7"/>
    <x v="2"/>
    <x v="0"/>
    <s v="Y"/>
    <n v="116"/>
    <x v="0"/>
    <d v="1899-12-30T00:04:38"/>
    <n v="4"/>
  </r>
  <r>
    <x v="514"/>
    <s v="Stewart"/>
    <x v="9"/>
    <d v="1899-12-30T09:00:00"/>
    <d v="2021-01-10T09:00:00"/>
    <x v="2"/>
    <x v="0"/>
    <x v="2"/>
    <x v="0"/>
    <s v="Y"/>
    <n v="19"/>
    <x v="1"/>
    <d v="1899-12-30T00:06:11"/>
    <n v="5"/>
  </r>
  <r>
    <x v="515"/>
    <s v="Martha"/>
    <x v="9"/>
    <d v="1899-12-30T09:00:00"/>
    <d v="2021-01-10T09:00:00"/>
    <x v="2"/>
    <x v="0"/>
    <x v="0"/>
    <x v="0"/>
    <s v="Y"/>
    <n v="75"/>
    <x v="0"/>
    <d v="1899-12-30T00:05:50"/>
    <n v="3"/>
  </r>
  <r>
    <x v="516"/>
    <s v="Becky"/>
    <x v="9"/>
    <d v="1899-12-30T09:08:38"/>
    <d v="2021-01-10T09:08:38"/>
    <x v="2"/>
    <x v="0"/>
    <x v="3"/>
    <x v="0"/>
    <s v="Y"/>
    <n v="23"/>
    <x v="0"/>
    <d v="1899-12-30T00:00:48"/>
    <n v="3"/>
  </r>
  <r>
    <x v="517"/>
    <s v="Diane"/>
    <x v="9"/>
    <d v="1899-12-30T09:08:38"/>
    <d v="2021-01-10T09:08:38"/>
    <x v="2"/>
    <x v="0"/>
    <x v="1"/>
    <x v="0"/>
    <s v="Y"/>
    <n v="69"/>
    <x v="0"/>
    <d v="1899-12-30T00:03:53"/>
    <n v="3"/>
  </r>
  <r>
    <x v="518"/>
    <s v="Jim"/>
    <x v="9"/>
    <d v="1899-12-30T10:06:14"/>
    <d v="2021-01-10T10:06:14"/>
    <x v="2"/>
    <x v="1"/>
    <x v="4"/>
    <x v="0"/>
    <s v="Y"/>
    <n v="64"/>
    <x v="0"/>
    <d v="1899-12-30T00:04:23"/>
    <n v="5"/>
  </r>
  <r>
    <x v="519"/>
    <s v="Martha"/>
    <x v="9"/>
    <d v="1899-12-30T10:06:14"/>
    <d v="2021-01-10T10:06:14"/>
    <x v="2"/>
    <x v="1"/>
    <x v="4"/>
    <x v="0"/>
    <s v="Y"/>
    <n v="117"/>
    <x v="0"/>
    <d v="1899-12-30T00:03:23"/>
    <n v="3"/>
  </r>
  <r>
    <x v="520"/>
    <s v="Jim"/>
    <x v="9"/>
    <d v="1899-12-30T10:35:02"/>
    <d v="2021-01-10T10:35:02"/>
    <x v="2"/>
    <x v="1"/>
    <x v="4"/>
    <x v="0"/>
    <s v="Y"/>
    <n v="12"/>
    <x v="1"/>
    <d v="1899-12-30T00:06:34"/>
    <n v="4"/>
  </r>
  <r>
    <x v="521"/>
    <s v="Diane"/>
    <x v="9"/>
    <d v="1899-12-30T10:35:02"/>
    <d v="2021-01-10T10:35:02"/>
    <x v="2"/>
    <x v="1"/>
    <x v="3"/>
    <x v="0"/>
    <s v="Y"/>
    <n v="102"/>
    <x v="0"/>
    <d v="1899-12-30T00:02:38"/>
    <n v="4"/>
  </r>
  <r>
    <x v="522"/>
    <s v="Dan"/>
    <x v="9"/>
    <d v="1899-12-30T11:11:02"/>
    <d v="2021-01-10T11:11:02"/>
    <x v="2"/>
    <x v="2"/>
    <x v="1"/>
    <x v="0"/>
    <s v="Y"/>
    <n v="46"/>
    <x v="0"/>
    <d v="1899-12-30T00:06:32"/>
    <n v="4"/>
  </r>
  <r>
    <x v="523"/>
    <s v="Martha"/>
    <x v="9"/>
    <d v="1899-12-30T11:11:02"/>
    <d v="2021-01-10T11:11:02"/>
    <x v="2"/>
    <x v="2"/>
    <x v="4"/>
    <x v="0"/>
    <s v="N"/>
    <n v="47"/>
    <x v="0"/>
    <d v="1899-12-30T00:01:27"/>
    <n v="4"/>
  </r>
  <r>
    <x v="524"/>
    <s v="Dan"/>
    <x v="9"/>
    <d v="1899-12-30T11:18:14"/>
    <d v="2021-01-10T11:18:14"/>
    <x v="2"/>
    <x v="2"/>
    <x v="4"/>
    <x v="0"/>
    <s v="Y"/>
    <n v="98"/>
    <x v="0"/>
    <d v="1899-12-30T00:02:23"/>
    <n v="4"/>
  </r>
  <r>
    <x v="525"/>
    <s v="Jim"/>
    <x v="9"/>
    <d v="1899-12-30T11:18:14"/>
    <d v="2021-01-10T11:18:14"/>
    <x v="2"/>
    <x v="2"/>
    <x v="0"/>
    <x v="0"/>
    <s v="Y"/>
    <n v="84"/>
    <x v="0"/>
    <d v="1899-12-30T00:04:17"/>
    <n v="4"/>
  </r>
  <r>
    <x v="526"/>
    <s v="Greg"/>
    <x v="9"/>
    <d v="1899-12-30T11:29:46"/>
    <d v="2021-01-10T11:29:46"/>
    <x v="2"/>
    <x v="2"/>
    <x v="4"/>
    <x v="0"/>
    <s v="Y"/>
    <n v="12"/>
    <x v="1"/>
    <d v="1899-12-30T00:02:13"/>
    <n v="3"/>
  </r>
  <r>
    <x v="527"/>
    <s v="Greg"/>
    <x v="9"/>
    <d v="1899-12-30T11:29:46"/>
    <d v="2021-01-10T11:29:46"/>
    <x v="2"/>
    <x v="2"/>
    <x v="2"/>
    <x v="0"/>
    <s v="Y"/>
    <n v="88"/>
    <x v="0"/>
    <d v="1899-12-30T00:03:26"/>
    <n v="4"/>
  </r>
  <r>
    <x v="528"/>
    <s v="Stewart"/>
    <x v="9"/>
    <d v="1899-12-30T11:31:12"/>
    <d v="2021-01-10T11:31:12"/>
    <x v="2"/>
    <x v="2"/>
    <x v="0"/>
    <x v="0"/>
    <s v="Y"/>
    <n v="97"/>
    <x v="0"/>
    <d v="1899-12-30T00:05:53"/>
    <n v="1"/>
  </r>
  <r>
    <x v="529"/>
    <s v="Joe"/>
    <x v="9"/>
    <d v="1899-12-30T11:31:12"/>
    <d v="2021-01-10T11:31:12"/>
    <x v="2"/>
    <x v="2"/>
    <x v="3"/>
    <x v="0"/>
    <s v="Y"/>
    <n v="51"/>
    <x v="0"/>
    <d v="1899-12-30T00:05:56"/>
    <n v="3"/>
  </r>
  <r>
    <x v="530"/>
    <s v="Becky"/>
    <x v="9"/>
    <d v="1899-12-30T11:47:02"/>
    <d v="2021-01-10T11:47:02"/>
    <x v="2"/>
    <x v="2"/>
    <x v="3"/>
    <x v="1"/>
    <s v="N"/>
    <m/>
    <x v="0"/>
    <m/>
    <m/>
  </r>
  <r>
    <x v="531"/>
    <s v="Dan"/>
    <x v="9"/>
    <d v="1899-12-30T11:47:02"/>
    <d v="2021-01-10T11:47:02"/>
    <x v="2"/>
    <x v="2"/>
    <x v="4"/>
    <x v="0"/>
    <s v="Y"/>
    <n v="106"/>
    <x v="0"/>
    <d v="1899-12-30T00:02:37"/>
    <n v="4"/>
  </r>
  <r>
    <x v="532"/>
    <s v="Diane"/>
    <x v="9"/>
    <d v="1899-12-30T12:27:22"/>
    <d v="2021-01-10T12:27:22"/>
    <x v="2"/>
    <x v="3"/>
    <x v="3"/>
    <x v="0"/>
    <s v="Y"/>
    <n v="34"/>
    <x v="0"/>
    <d v="1899-12-30T00:03:52"/>
    <n v="4"/>
  </r>
  <r>
    <x v="533"/>
    <s v="Stewart"/>
    <x v="9"/>
    <d v="1899-12-30T12:27:22"/>
    <d v="2021-01-10T12:27:22"/>
    <x v="2"/>
    <x v="3"/>
    <x v="4"/>
    <x v="1"/>
    <s v="N"/>
    <m/>
    <x v="0"/>
    <m/>
    <m/>
  </r>
  <r>
    <x v="534"/>
    <s v="Dan"/>
    <x v="9"/>
    <d v="1899-12-30T12:33:07"/>
    <d v="2021-01-10T12:33:07"/>
    <x v="2"/>
    <x v="3"/>
    <x v="1"/>
    <x v="0"/>
    <s v="Y"/>
    <n v="51"/>
    <x v="0"/>
    <d v="1899-12-30T00:05:33"/>
    <n v="3"/>
  </r>
  <r>
    <x v="535"/>
    <s v="Greg"/>
    <x v="9"/>
    <d v="1899-12-30T12:33:07"/>
    <d v="2021-01-10T12:33:07"/>
    <x v="2"/>
    <x v="3"/>
    <x v="1"/>
    <x v="0"/>
    <s v="Y"/>
    <n v="74"/>
    <x v="0"/>
    <d v="1899-12-30T00:04:54"/>
    <n v="4"/>
  </r>
  <r>
    <x v="536"/>
    <s v="Greg"/>
    <x v="9"/>
    <d v="1899-12-30T12:56:10"/>
    <d v="2021-01-10T12:56:10"/>
    <x v="2"/>
    <x v="3"/>
    <x v="0"/>
    <x v="0"/>
    <s v="Y"/>
    <n v="29"/>
    <x v="0"/>
    <d v="1899-12-30T00:01:16"/>
    <n v="3"/>
  </r>
  <r>
    <x v="537"/>
    <s v="Martha"/>
    <x v="9"/>
    <d v="1899-12-30T12:56:10"/>
    <d v="2021-01-10T12:56:10"/>
    <x v="2"/>
    <x v="3"/>
    <x v="3"/>
    <x v="0"/>
    <s v="Y"/>
    <n v="123"/>
    <x v="0"/>
    <d v="1899-12-30T00:06:15"/>
    <n v="3"/>
  </r>
  <r>
    <x v="538"/>
    <s v="Becky"/>
    <x v="9"/>
    <d v="1899-12-30T13:13:26"/>
    <d v="2021-01-10T13:13:26"/>
    <x v="2"/>
    <x v="4"/>
    <x v="0"/>
    <x v="0"/>
    <s v="Y"/>
    <n v="100"/>
    <x v="0"/>
    <d v="1899-12-30T00:00:41"/>
    <n v="4"/>
  </r>
  <r>
    <x v="539"/>
    <s v="Dan"/>
    <x v="9"/>
    <d v="1899-12-30T13:13:26"/>
    <d v="2021-01-10T13:13:26"/>
    <x v="2"/>
    <x v="4"/>
    <x v="4"/>
    <x v="0"/>
    <s v="Y"/>
    <n v="43"/>
    <x v="0"/>
    <d v="1899-12-30T00:06:53"/>
    <n v="3"/>
  </r>
  <r>
    <x v="540"/>
    <s v="Becky"/>
    <x v="9"/>
    <d v="1899-12-30T13:48:00"/>
    <d v="2021-01-10T13:48:00"/>
    <x v="2"/>
    <x v="4"/>
    <x v="1"/>
    <x v="0"/>
    <s v="Y"/>
    <n v="24"/>
    <x v="0"/>
    <d v="1899-12-30T00:04:29"/>
    <n v="4"/>
  </r>
  <r>
    <x v="541"/>
    <s v="Jim"/>
    <x v="9"/>
    <d v="1899-12-30T13:48:00"/>
    <d v="2021-01-10T13:48:00"/>
    <x v="2"/>
    <x v="4"/>
    <x v="4"/>
    <x v="0"/>
    <s v="Y"/>
    <n v="78"/>
    <x v="0"/>
    <d v="1899-12-30T00:06:14"/>
    <n v="4"/>
  </r>
  <r>
    <x v="542"/>
    <s v="Joe"/>
    <x v="9"/>
    <d v="1899-12-30T13:52:19"/>
    <d v="2021-01-10T13:52:19"/>
    <x v="2"/>
    <x v="4"/>
    <x v="2"/>
    <x v="0"/>
    <s v="Y"/>
    <n v="28"/>
    <x v="0"/>
    <d v="1899-12-30T00:06:07"/>
    <n v="5"/>
  </r>
  <r>
    <x v="543"/>
    <s v="Joe"/>
    <x v="9"/>
    <d v="1899-12-30T13:52:19"/>
    <d v="2021-01-10T13:52:19"/>
    <x v="2"/>
    <x v="4"/>
    <x v="3"/>
    <x v="0"/>
    <s v="Y"/>
    <n v="36"/>
    <x v="0"/>
    <d v="1899-12-30T00:01:28"/>
    <n v="3"/>
  </r>
  <r>
    <x v="544"/>
    <s v="Joe"/>
    <x v="9"/>
    <d v="1899-12-30T14:09:36"/>
    <d v="2021-01-10T14:09:36"/>
    <x v="2"/>
    <x v="5"/>
    <x v="2"/>
    <x v="1"/>
    <s v="N"/>
    <m/>
    <x v="0"/>
    <m/>
    <m/>
  </r>
  <r>
    <x v="545"/>
    <s v="Jim"/>
    <x v="9"/>
    <d v="1899-12-30T14:09:36"/>
    <d v="2021-01-10T14:09:36"/>
    <x v="2"/>
    <x v="5"/>
    <x v="2"/>
    <x v="0"/>
    <s v="Y"/>
    <n v="10"/>
    <x v="1"/>
    <d v="1899-12-30T00:04:32"/>
    <n v="2"/>
  </r>
  <r>
    <x v="546"/>
    <s v="Dan"/>
    <x v="9"/>
    <d v="1899-12-30T14:16:48"/>
    <d v="2021-01-10T14:16:48"/>
    <x v="2"/>
    <x v="5"/>
    <x v="4"/>
    <x v="0"/>
    <s v="Y"/>
    <n v="43"/>
    <x v="0"/>
    <d v="1899-12-30T00:06:42"/>
    <n v="3"/>
  </r>
  <r>
    <x v="547"/>
    <s v="Stewart"/>
    <x v="9"/>
    <d v="1899-12-30T14:16:48"/>
    <d v="2021-01-10T14:16:48"/>
    <x v="2"/>
    <x v="5"/>
    <x v="1"/>
    <x v="0"/>
    <s v="Y"/>
    <n v="19"/>
    <x v="1"/>
    <d v="1899-12-30T00:00:38"/>
    <n v="3"/>
  </r>
  <r>
    <x v="548"/>
    <s v="Diane"/>
    <x v="9"/>
    <d v="1899-12-30T14:25:26"/>
    <d v="2021-01-10T14:25:26"/>
    <x v="2"/>
    <x v="5"/>
    <x v="3"/>
    <x v="0"/>
    <s v="Y"/>
    <n v="74"/>
    <x v="0"/>
    <d v="1899-12-30T00:06:34"/>
    <n v="3"/>
  </r>
  <r>
    <x v="549"/>
    <s v="Jim"/>
    <x v="9"/>
    <d v="1899-12-30T14:25:26"/>
    <d v="2021-01-10T14:25:26"/>
    <x v="2"/>
    <x v="5"/>
    <x v="4"/>
    <x v="0"/>
    <s v="Y"/>
    <n v="71"/>
    <x v="0"/>
    <d v="1899-12-30T00:04:05"/>
    <n v="1"/>
  </r>
  <r>
    <x v="550"/>
    <s v="Joe"/>
    <x v="9"/>
    <d v="1899-12-30T14:32:38"/>
    <d v="2021-01-10T14:32:38"/>
    <x v="2"/>
    <x v="5"/>
    <x v="3"/>
    <x v="0"/>
    <s v="Y"/>
    <n v="117"/>
    <x v="0"/>
    <d v="1899-12-30T00:06:16"/>
    <n v="5"/>
  </r>
  <r>
    <x v="551"/>
    <s v="Joe"/>
    <x v="9"/>
    <d v="1899-12-30T14:32:38"/>
    <d v="2021-01-10T14:32:38"/>
    <x v="2"/>
    <x v="5"/>
    <x v="0"/>
    <x v="0"/>
    <s v="Y"/>
    <n v="61"/>
    <x v="0"/>
    <d v="1899-12-30T00:05:01"/>
    <n v="3"/>
  </r>
  <r>
    <x v="552"/>
    <s v="Joe"/>
    <x v="9"/>
    <d v="1899-12-30T14:58:34"/>
    <d v="2021-01-10T14:58:34"/>
    <x v="2"/>
    <x v="5"/>
    <x v="0"/>
    <x v="0"/>
    <s v="Y"/>
    <n v="118"/>
    <x v="0"/>
    <d v="1899-12-30T00:03:20"/>
    <n v="3"/>
  </r>
  <r>
    <x v="553"/>
    <s v="Martha"/>
    <x v="9"/>
    <d v="1899-12-30T14:58:34"/>
    <d v="2021-01-10T14:58:34"/>
    <x v="2"/>
    <x v="5"/>
    <x v="3"/>
    <x v="0"/>
    <s v="Y"/>
    <n v="87"/>
    <x v="0"/>
    <d v="1899-12-30T00:04:18"/>
    <n v="4"/>
  </r>
  <r>
    <x v="554"/>
    <s v="Diane"/>
    <x v="9"/>
    <d v="1899-12-30T15:56:10"/>
    <d v="2021-01-10T15:56:10"/>
    <x v="2"/>
    <x v="6"/>
    <x v="2"/>
    <x v="0"/>
    <s v="Y"/>
    <n v="48"/>
    <x v="0"/>
    <d v="1899-12-30T00:01:06"/>
    <n v="4"/>
  </r>
  <r>
    <x v="555"/>
    <s v="Joe"/>
    <x v="9"/>
    <d v="1899-12-30T15:56:10"/>
    <d v="2021-01-10T15:56:10"/>
    <x v="2"/>
    <x v="6"/>
    <x v="0"/>
    <x v="0"/>
    <s v="Y"/>
    <n v="112"/>
    <x v="0"/>
    <d v="1899-12-30T00:02:14"/>
    <n v="1"/>
  </r>
  <r>
    <x v="556"/>
    <s v="Stewart"/>
    <x v="9"/>
    <d v="1899-12-30T16:00:29"/>
    <d v="2021-01-10T16:00:29"/>
    <x v="2"/>
    <x v="8"/>
    <x v="0"/>
    <x v="0"/>
    <s v="Y"/>
    <n v="99"/>
    <x v="0"/>
    <d v="1899-12-30T00:02:44"/>
    <n v="5"/>
  </r>
  <r>
    <x v="557"/>
    <s v="Becky"/>
    <x v="9"/>
    <d v="1899-12-30T16:00:29"/>
    <d v="2021-01-10T16:00:29"/>
    <x v="2"/>
    <x v="8"/>
    <x v="1"/>
    <x v="0"/>
    <s v="Y"/>
    <n v="103"/>
    <x v="0"/>
    <d v="1899-12-30T00:02:56"/>
    <n v="4"/>
  </r>
  <r>
    <x v="558"/>
    <s v="Joe"/>
    <x v="9"/>
    <d v="1899-12-30T16:37:55"/>
    <d v="2021-01-10T16:37:55"/>
    <x v="2"/>
    <x v="8"/>
    <x v="2"/>
    <x v="0"/>
    <s v="Y"/>
    <n v="102"/>
    <x v="0"/>
    <d v="1899-12-30T00:00:38"/>
    <n v="5"/>
  </r>
  <r>
    <x v="559"/>
    <s v="Joe"/>
    <x v="9"/>
    <d v="1899-12-30T16:37:55"/>
    <d v="2021-01-10T16:37:55"/>
    <x v="2"/>
    <x v="8"/>
    <x v="2"/>
    <x v="0"/>
    <s v="Y"/>
    <n v="74"/>
    <x v="0"/>
    <d v="1899-12-30T00:06:56"/>
    <n v="5"/>
  </r>
  <r>
    <x v="560"/>
    <s v="Greg"/>
    <x v="9"/>
    <d v="1899-12-30T16:37:55"/>
    <d v="2021-01-10T16:37:55"/>
    <x v="2"/>
    <x v="8"/>
    <x v="2"/>
    <x v="0"/>
    <s v="Y"/>
    <n v="28"/>
    <x v="0"/>
    <d v="1899-12-30T00:01:29"/>
    <n v="1"/>
  </r>
  <r>
    <x v="561"/>
    <s v="Joe"/>
    <x v="9"/>
    <d v="1899-12-30T16:37:55"/>
    <d v="2021-01-10T16:37:55"/>
    <x v="2"/>
    <x v="8"/>
    <x v="0"/>
    <x v="0"/>
    <s v="Y"/>
    <n v="64"/>
    <x v="0"/>
    <d v="1899-12-30T00:02:33"/>
    <n v="4"/>
  </r>
  <r>
    <x v="562"/>
    <s v="Diane"/>
    <x v="9"/>
    <d v="1899-12-30T16:42:14"/>
    <d v="2021-01-10T16:42:14"/>
    <x v="2"/>
    <x v="8"/>
    <x v="0"/>
    <x v="1"/>
    <s v="N"/>
    <m/>
    <x v="0"/>
    <m/>
    <m/>
  </r>
  <r>
    <x v="563"/>
    <s v="Becky"/>
    <x v="9"/>
    <d v="1899-12-30T16:42:14"/>
    <d v="2021-01-10T16:42:14"/>
    <x v="2"/>
    <x v="8"/>
    <x v="2"/>
    <x v="0"/>
    <s v="Y"/>
    <n v="81"/>
    <x v="0"/>
    <d v="1899-12-30T00:06:36"/>
    <n v="4"/>
  </r>
  <r>
    <x v="564"/>
    <s v="Becky"/>
    <x v="9"/>
    <d v="1899-12-30T16:58:05"/>
    <d v="2021-01-10T16:58:05"/>
    <x v="2"/>
    <x v="8"/>
    <x v="4"/>
    <x v="0"/>
    <s v="Y"/>
    <n v="121"/>
    <x v="0"/>
    <d v="1899-12-30T00:01:04"/>
    <n v="3"/>
  </r>
  <r>
    <x v="565"/>
    <s v="Joe"/>
    <x v="9"/>
    <d v="1899-12-30T16:58:05"/>
    <d v="2021-01-10T16:58:05"/>
    <x v="2"/>
    <x v="8"/>
    <x v="1"/>
    <x v="0"/>
    <s v="Y"/>
    <n v="117"/>
    <x v="0"/>
    <d v="1899-12-30T00:02:51"/>
    <n v="4"/>
  </r>
  <r>
    <x v="566"/>
    <s v="Diane"/>
    <x v="9"/>
    <d v="1899-12-30T17:24:00"/>
    <d v="2021-01-10T17:24:00"/>
    <x v="2"/>
    <x v="7"/>
    <x v="2"/>
    <x v="0"/>
    <s v="Y"/>
    <n v="55"/>
    <x v="0"/>
    <d v="1899-12-30T00:04:14"/>
    <n v="4"/>
  </r>
  <r>
    <x v="567"/>
    <s v="Stewart"/>
    <x v="9"/>
    <d v="1899-12-30T17:24:00"/>
    <d v="2021-01-10T17:24:00"/>
    <x v="2"/>
    <x v="7"/>
    <x v="1"/>
    <x v="1"/>
    <s v="N"/>
    <m/>
    <x v="0"/>
    <m/>
    <m/>
  </r>
  <r>
    <x v="568"/>
    <s v="Becky"/>
    <x v="9"/>
    <d v="1899-12-30T17:25:26"/>
    <d v="2021-01-10T17:25:26"/>
    <x v="2"/>
    <x v="7"/>
    <x v="4"/>
    <x v="0"/>
    <s v="Y"/>
    <n v="79"/>
    <x v="0"/>
    <d v="1899-12-30T00:02:30"/>
    <n v="3"/>
  </r>
  <r>
    <x v="569"/>
    <s v="Martha"/>
    <x v="9"/>
    <d v="1899-12-30T17:25:26"/>
    <d v="2021-01-10T17:25:26"/>
    <x v="2"/>
    <x v="7"/>
    <x v="1"/>
    <x v="0"/>
    <s v="Y"/>
    <n v="120"/>
    <x v="0"/>
    <d v="1899-12-30T00:02:09"/>
    <n v="1"/>
  </r>
  <r>
    <x v="570"/>
    <s v="Stewart"/>
    <x v="9"/>
    <d v="1899-12-30T17:31:12"/>
    <d v="2021-01-10T17:31:12"/>
    <x v="2"/>
    <x v="7"/>
    <x v="0"/>
    <x v="0"/>
    <s v="Y"/>
    <n v="50"/>
    <x v="0"/>
    <d v="1899-12-30T00:02:41"/>
    <n v="2"/>
  </r>
  <r>
    <x v="571"/>
    <s v="Martha"/>
    <x v="9"/>
    <d v="1899-12-30T17:31:12"/>
    <d v="2021-01-10T17:31:12"/>
    <x v="2"/>
    <x v="7"/>
    <x v="3"/>
    <x v="0"/>
    <s v="N"/>
    <n v="15"/>
    <x v="1"/>
    <d v="1899-12-30T00:03:03"/>
    <n v="1"/>
  </r>
  <r>
    <x v="572"/>
    <s v="Dan"/>
    <x v="9"/>
    <d v="1899-12-30T17:35:31"/>
    <d v="2021-01-10T17:35:31"/>
    <x v="2"/>
    <x v="7"/>
    <x v="4"/>
    <x v="0"/>
    <s v="Y"/>
    <n v="10"/>
    <x v="1"/>
    <d v="1899-12-30T00:04:58"/>
    <n v="3"/>
  </r>
  <r>
    <x v="573"/>
    <s v="Greg"/>
    <x v="9"/>
    <d v="1899-12-30T17:35:31"/>
    <d v="2021-01-10T17:35:31"/>
    <x v="2"/>
    <x v="7"/>
    <x v="1"/>
    <x v="0"/>
    <s v="Y"/>
    <n v="110"/>
    <x v="0"/>
    <d v="1899-12-30T00:04:14"/>
    <n v="3"/>
  </r>
  <r>
    <x v="574"/>
    <s v="Greg"/>
    <x v="9"/>
    <d v="1899-12-30T17:39:50"/>
    <d v="2021-01-10T17:39:50"/>
    <x v="2"/>
    <x v="7"/>
    <x v="2"/>
    <x v="0"/>
    <s v="Y"/>
    <n v="69"/>
    <x v="0"/>
    <d v="1899-12-30T00:00:47"/>
    <n v="3"/>
  </r>
  <r>
    <x v="575"/>
    <s v="Jim"/>
    <x v="9"/>
    <d v="1899-12-30T17:39:50"/>
    <d v="2021-01-10T17:39:50"/>
    <x v="2"/>
    <x v="7"/>
    <x v="0"/>
    <x v="0"/>
    <s v="N"/>
    <n v="122"/>
    <x v="0"/>
    <d v="1899-12-30T00:02:48"/>
    <n v="1"/>
  </r>
  <r>
    <x v="576"/>
    <s v="Diane"/>
    <x v="9"/>
    <d v="1899-12-30T17:48:29"/>
    <d v="2021-01-10T17:48:29"/>
    <x v="2"/>
    <x v="7"/>
    <x v="0"/>
    <x v="0"/>
    <s v="Y"/>
    <n v="47"/>
    <x v="0"/>
    <d v="1899-12-30T00:00:58"/>
    <n v="3"/>
  </r>
  <r>
    <x v="577"/>
    <s v="Greg"/>
    <x v="9"/>
    <d v="1899-12-30T17:48:29"/>
    <d v="2021-01-10T17:48:29"/>
    <x v="2"/>
    <x v="7"/>
    <x v="1"/>
    <x v="0"/>
    <s v="N"/>
    <n v="124"/>
    <x v="0"/>
    <d v="1899-12-30T00:06:46"/>
    <n v="5"/>
  </r>
  <r>
    <x v="578"/>
    <s v="Martha"/>
    <x v="10"/>
    <d v="1899-12-30T09:30:14"/>
    <d v="2021-01-11T09:30:14"/>
    <x v="3"/>
    <x v="0"/>
    <x v="4"/>
    <x v="0"/>
    <s v="Y"/>
    <n v="92"/>
    <x v="0"/>
    <d v="1899-12-30T00:02:01"/>
    <n v="3"/>
  </r>
  <r>
    <x v="579"/>
    <s v="Becky"/>
    <x v="10"/>
    <d v="1899-12-30T09:30:14"/>
    <d v="2021-01-11T09:30:14"/>
    <x v="3"/>
    <x v="0"/>
    <x v="2"/>
    <x v="0"/>
    <s v="Y"/>
    <n v="110"/>
    <x v="0"/>
    <d v="1899-12-30T00:05:32"/>
    <n v="2"/>
  </r>
  <r>
    <x v="580"/>
    <s v="Stewart"/>
    <x v="10"/>
    <d v="1899-12-30T09:37:26"/>
    <d v="2021-01-11T09:37:26"/>
    <x v="3"/>
    <x v="0"/>
    <x v="4"/>
    <x v="0"/>
    <s v="Y"/>
    <n v="84"/>
    <x v="0"/>
    <d v="1899-12-30T00:02:25"/>
    <n v="4"/>
  </r>
  <r>
    <x v="581"/>
    <s v="Stewart"/>
    <x v="10"/>
    <d v="1899-12-30T09:37:26"/>
    <d v="2021-01-11T09:37:26"/>
    <x v="3"/>
    <x v="0"/>
    <x v="3"/>
    <x v="1"/>
    <s v="N"/>
    <m/>
    <x v="0"/>
    <m/>
    <m/>
  </r>
  <r>
    <x v="582"/>
    <s v="Diane"/>
    <x v="10"/>
    <d v="1899-12-30T09:38:53"/>
    <d v="2021-01-11T09:38:53"/>
    <x v="3"/>
    <x v="0"/>
    <x v="3"/>
    <x v="0"/>
    <s v="Y"/>
    <n v="81"/>
    <x v="0"/>
    <d v="1899-12-30T00:04:21"/>
    <n v="5"/>
  </r>
  <r>
    <x v="583"/>
    <s v="Greg"/>
    <x v="10"/>
    <d v="1899-12-30T09:38:53"/>
    <d v="2021-01-11T09:38:53"/>
    <x v="3"/>
    <x v="0"/>
    <x v="2"/>
    <x v="0"/>
    <s v="Y"/>
    <n v="116"/>
    <x v="0"/>
    <d v="1899-12-30T00:02:09"/>
    <n v="4"/>
  </r>
  <r>
    <x v="584"/>
    <s v="Diane"/>
    <x v="10"/>
    <d v="1899-12-30T09:38:53"/>
    <d v="2021-01-11T09:38:53"/>
    <x v="3"/>
    <x v="0"/>
    <x v="2"/>
    <x v="1"/>
    <s v="N"/>
    <m/>
    <x v="0"/>
    <m/>
    <m/>
  </r>
  <r>
    <x v="585"/>
    <s v="Joe"/>
    <x v="10"/>
    <d v="1899-12-30T09:38:53"/>
    <d v="2021-01-11T09:38:53"/>
    <x v="3"/>
    <x v="0"/>
    <x v="4"/>
    <x v="0"/>
    <s v="Y"/>
    <n v="63"/>
    <x v="0"/>
    <d v="1899-12-30T00:04:09"/>
    <n v="3"/>
  </r>
  <r>
    <x v="586"/>
    <s v="Dan"/>
    <x v="10"/>
    <d v="1899-12-30T09:48:58"/>
    <d v="2021-01-11T09:48:58"/>
    <x v="3"/>
    <x v="0"/>
    <x v="4"/>
    <x v="1"/>
    <s v="N"/>
    <m/>
    <x v="0"/>
    <m/>
    <m/>
  </r>
  <r>
    <x v="587"/>
    <s v="Joe"/>
    <x v="10"/>
    <d v="1899-12-30T09:48:58"/>
    <d v="2021-01-11T09:48:58"/>
    <x v="3"/>
    <x v="0"/>
    <x v="4"/>
    <x v="0"/>
    <s v="Y"/>
    <n v="30"/>
    <x v="0"/>
    <d v="1899-12-30T00:04:31"/>
    <n v="3"/>
  </r>
  <r>
    <x v="588"/>
    <s v="Diane"/>
    <x v="10"/>
    <d v="1899-12-30T10:04:48"/>
    <d v="2021-01-11T10:04:48"/>
    <x v="3"/>
    <x v="1"/>
    <x v="3"/>
    <x v="0"/>
    <s v="Y"/>
    <n v="22"/>
    <x v="0"/>
    <d v="1899-12-30T00:05:42"/>
    <n v="3"/>
  </r>
  <r>
    <x v="589"/>
    <s v="Stewart"/>
    <x v="10"/>
    <d v="1899-12-30T10:04:48"/>
    <d v="2021-01-11T10:04:48"/>
    <x v="3"/>
    <x v="1"/>
    <x v="1"/>
    <x v="0"/>
    <s v="Y"/>
    <n v="31"/>
    <x v="0"/>
    <d v="1899-12-30T00:05:20"/>
    <n v="3"/>
  </r>
  <r>
    <x v="590"/>
    <s v="Diane"/>
    <x v="10"/>
    <d v="1899-12-30T10:13:26"/>
    <d v="2021-01-11T10:13:26"/>
    <x v="3"/>
    <x v="1"/>
    <x v="2"/>
    <x v="0"/>
    <s v="Y"/>
    <n v="47"/>
    <x v="0"/>
    <d v="1899-12-30T00:02:32"/>
    <n v="3"/>
  </r>
  <r>
    <x v="591"/>
    <s v="Dan"/>
    <x v="10"/>
    <d v="1899-12-30T10:13:26"/>
    <d v="2021-01-11T10:13:26"/>
    <x v="3"/>
    <x v="1"/>
    <x v="1"/>
    <x v="0"/>
    <s v="Y"/>
    <n v="88"/>
    <x v="0"/>
    <d v="1899-12-30T00:04:34"/>
    <n v="3"/>
  </r>
  <r>
    <x v="592"/>
    <s v="Martha"/>
    <x v="10"/>
    <d v="1899-12-30T10:20:38"/>
    <d v="2021-01-11T10:20:38"/>
    <x v="3"/>
    <x v="1"/>
    <x v="4"/>
    <x v="0"/>
    <s v="Y"/>
    <n v="106"/>
    <x v="0"/>
    <d v="1899-12-30T00:03:39"/>
    <n v="4"/>
  </r>
  <r>
    <x v="593"/>
    <s v="Diane"/>
    <x v="10"/>
    <d v="1899-12-30T10:20:38"/>
    <d v="2021-01-11T10:20:38"/>
    <x v="3"/>
    <x v="1"/>
    <x v="2"/>
    <x v="0"/>
    <s v="Y"/>
    <n v="70"/>
    <x v="0"/>
    <d v="1899-12-30T00:01:27"/>
    <n v="5"/>
  </r>
  <r>
    <x v="594"/>
    <s v="Martha"/>
    <x v="10"/>
    <d v="1899-12-30T10:26:24"/>
    <d v="2021-01-11T10:26:24"/>
    <x v="3"/>
    <x v="1"/>
    <x v="2"/>
    <x v="0"/>
    <s v="Y"/>
    <n v="77"/>
    <x v="0"/>
    <d v="1899-12-30T00:05:37"/>
    <n v="3"/>
  </r>
  <r>
    <x v="595"/>
    <s v="Joe"/>
    <x v="10"/>
    <d v="1899-12-30T10:26:24"/>
    <d v="2021-01-11T10:26:24"/>
    <x v="3"/>
    <x v="1"/>
    <x v="4"/>
    <x v="0"/>
    <s v="Y"/>
    <n v="82"/>
    <x v="0"/>
    <d v="1899-12-30T00:06:41"/>
    <n v="3"/>
  </r>
  <r>
    <x v="596"/>
    <s v="Greg"/>
    <x v="10"/>
    <d v="1899-12-30T10:32:10"/>
    <d v="2021-01-11T10:32:10"/>
    <x v="3"/>
    <x v="1"/>
    <x v="0"/>
    <x v="0"/>
    <s v="Y"/>
    <n v="84"/>
    <x v="0"/>
    <d v="1899-12-30T00:04:45"/>
    <n v="3"/>
  </r>
  <r>
    <x v="597"/>
    <s v="Martha"/>
    <x v="10"/>
    <d v="1899-12-30T10:32:10"/>
    <d v="2021-01-11T10:32:10"/>
    <x v="3"/>
    <x v="1"/>
    <x v="1"/>
    <x v="0"/>
    <s v="Y"/>
    <n v="50"/>
    <x v="0"/>
    <d v="1899-12-30T00:06:06"/>
    <n v="4"/>
  </r>
  <r>
    <x v="598"/>
    <s v="Martha"/>
    <x v="10"/>
    <d v="1899-12-30T11:05:17"/>
    <d v="2021-01-11T11:05:17"/>
    <x v="3"/>
    <x v="2"/>
    <x v="3"/>
    <x v="1"/>
    <s v="N"/>
    <m/>
    <x v="0"/>
    <m/>
    <m/>
  </r>
  <r>
    <x v="599"/>
    <s v="Becky"/>
    <x v="10"/>
    <d v="1899-12-30T11:05:17"/>
    <d v="2021-01-11T11:05:17"/>
    <x v="3"/>
    <x v="2"/>
    <x v="0"/>
    <x v="0"/>
    <s v="Y"/>
    <n v="73"/>
    <x v="0"/>
    <d v="1899-12-30T00:00:45"/>
    <n v="3"/>
  </r>
  <r>
    <x v="600"/>
    <s v="Greg"/>
    <x v="10"/>
    <d v="1899-12-30T11:28:19"/>
    <d v="2021-01-11T11:28:19"/>
    <x v="3"/>
    <x v="2"/>
    <x v="0"/>
    <x v="0"/>
    <s v="Y"/>
    <n v="79"/>
    <x v="0"/>
    <d v="1899-12-30T00:05:24"/>
    <n v="3"/>
  </r>
  <r>
    <x v="601"/>
    <s v="Dan"/>
    <x v="10"/>
    <d v="1899-12-30T11:28:19"/>
    <d v="2021-01-11T11:28:19"/>
    <x v="3"/>
    <x v="2"/>
    <x v="0"/>
    <x v="0"/>
    <s v="Y"/>
    <n v="124"/>
    <x v="0"/>
    <d v="1899-12-30T00:03:58"/>
    <n v="5"/>
  </r>
  <r>
    <x v="602"/>
    <s v="Stewart"/>
    <x v="10"/>
    <d v="1899-12-30T11:29:46"/>
    <d v="2021-01-11T11:29:46"/>
    <x v="3"/>
    <x v="2"/>
    <x v="3"/>
    <x v="1"/>
    <s v="N"/>
    <m/>
    <x v="0"/>
    <m/>
    <m/>
  </r>
  <r>
    <x v="603"/>
    <s v="Becky"/>
    <x v="10"/>
    <d v="1899-12-30T11:29:46"/>
    <d v="2021-01-11T11:29:46"/>
    <x v="3"/>
    <x v="2"/>
    <x v="1"/>
    <x v="0"/>
    <s v="N"/>
    <n v="75"/>
    <x v="0"/>
    <d v="1899-12-30T00:03:33"/>
    <n v="4"/>
  </r>
  <r>
    <x v="604"/>
    <s v="Becky"/>
    <x v="10"/>
    <d v="1899-12-30T11:36:58"/>
    <d v="2021-01-11T11:36:58"/>
    <x v="3"/>
    <x v="2"/>
    <x v="1"/>
    <x v="0"/>
    <s v="Y"/>
    <n v="34"/>
    <x v="0"/>
    <d v="1899-12-30T00:04:31"/>
    <n v="3"/>
  </r>
  <r>
    <x v="605"/>
    <s v="Stewart"/>
    <x v="10"/>
    <d v="1899-12-30T11:36:58"/>
    <d v="2021-01-11T11:36:58"/>
    <x v="3"/>
    <x v="2"/>
    <x v="2"/>
    <x v="1"/>
    <s v="N"/>
    <m/>
    <x v="0"/>
    <m/>
    <m/>
  </r>
  <r>
    <x v="606"/>
    <s v="Stewart"/>
    <x v="10"/>
    <d v="1899-12-30T11:47:02"/>
    <d v="2021-01-11T11:47:02"/>
    <x v="3"/>
    <x v="2"/>
    <x v="4"/>
    <x v="0"/>
    <s v="Y"/>
    <n v="116"/>
    <x v="0"/>
    <d v="1899-12-30T00:03:56"/>
    <n v="3"/>
  </r>
  <r>
    <x v="607"/>
    <s v="Dan"/>
    <x v="10"/>
    <d v="1899-12-30T11:47:02"/>
    <d v="2021-01-11T11:47:02"/>
    <x v="3"/>
    <x v="2"/>
    <x v="2"/>
    <x v="0"/>
    <s v="Y"/>
    <n v="20"/>
    <x v="1"/>
    <d v="1899-12-30T00:00:33"/>
    <n v="3"/>
  </r>
  <r>
    <x v="608"/>
    <s v="Jim"/>
    <x v="10"/>
    <d v="1899-12-30T12:10:05"/>
    <d v="2021-01-11T12:10:05"/>
    <x v="3"/>
    <x v="3"/>
    <x v="4"/>
    <x v="0"/>
    <s v="Y"/>
    <n v="105"/>
    <x v="0"/>
    <d v="1899-12-30T00:06:38"/>
    <n v="1"/>
  </r>
  <r>
    <x v="609"/>
    <s v="Diane"/>
    <x v="10"/>
    <d v="1899-12-30T12:10:05"/>
    <d v="2021-01-11T12:10:05"/>
    <x v="3"/>
    <x v="3"/>
    <x v="2"/>
    <x v="0"/>
    <s v="Y"/>
    <n v="25"/>
    <x v="0"/>
    <d v="1899-12-30T00:00:53"/>
    <n v="3"/>
  </r>
  <r>
    <x v="610"/>
    <s v="Diane"/>
    <x v="10"/>
    <d v="1899-12-30T12:20:10"/>
    <d v="2021-01-11T12:20:10"/>
    <x v="3"/>
    <x v="3"/>
    <x v="2"/>
    <x v="0"/>
    <s v="Y"/>
    <n v="16"/>
    <x v="1"/>
    <d v="1899-12-30T00:06:22"/>
    <n v="4"/>
  </r>
  <r>
    <x v="611"/>
    <s v="Martha"/>
    <x v="10"/>
    <d v="1899-12-30T12:20:10"/>
    <d v="2021-01-11T12:20:10"/>
    <x v="3"/>
    <x v="3"/>
    <x v="0"/>
    <x v="0"/>
    <s v="Y"/>
    <n v="64"/>
    <x v="0"/>
    <d v="1899-12-30T00:02:40"/>
    <n v="4"/>
  </r>
  <r>
    <x v="612"/>
    <s v="Stewart"/>
    <x v="10"/>
    <d v="1899-12-30T12:24:29"/>
    <d v="2021-01-11T12:24:29"/>
    <x v="3"/>
    <x v="3"/>
    <x v="3"/>
    <x v="0"/>
    <s v="Y"/>
    <n v="82"/>
    <x v="0"/>
    <d v="1899-12-30T00:06:51"/>
    <n v="3"/>
  </r>
  <r>
    <x v="613"/>
    <s v="Dan"/>
    <x v="10"/>
    <d v="1899-12-30T12:24:29"/>
    <d v="2021-01-11T12:24:29"/>
    <x v="3"/>
    <x v="3"/>
    <x v="4"/>
    <x v="0"/>
    <s v="Y"/>
    <n v="13"/>
    <x v="1"/>
    <d v="1899-12-30T00:02:09"/>
    <n v="5"/>
  </r>
  <r>
    <x v="614"/>
    <s v="Jim"/>
    <x v="10"/>
    <d v="1899-12-30T12:43:12"/>
    <d v="2021-01-11T12:43:12"/>
    <x v="3"/>
    <x v="3"/>
    <x v="0"/>
    <x v="0"/>
    <s v="Y"/>
    <n v="15"/>
    <x v="1"/>
    <d v="1899-12-30T00:00:45"/>
    <n v="5"/>
  </r>
  <r>
    <x v="615"/>
    <s v="Greg"/>
    <x v="10"/>
    <d v="1899-12-30T12:43:12"/>
    <d v="2021-01-11T12:43:12"/>
    <x v="3"/>
    <x v="3"/>
    <x v="0"/>
    <x v="0"/>
    <s v="Y"/>
    <n v="42"/>
    <x v="0"/>
    <d v="1899-12-30T00:06:08"/>
    <n v="2"/>
  </r>
  <r>
    <x v="616"/>
    <s v="Jim"/>
    <x v="10"/>
    <d v="1899-12-30T12:43:12"/>
    <d v="2021-01-11T12:43:12"/>
    <x v="3"/>
    <x v="3"/>
    <x v="2"/>
    <x v="1"/>
    <s v="N"/>
    <m/>
    <x v="0"/>
    <m/>
    <m/>
  </r>
  <r>
    <x v="617"/>
    <s v="Martha"/>
    <x v="10"/>
    <d v="1899-12-30T12:43:12"/>
    <d v="2021-01-11T12:43:12"/>
    <x v="3"/>
    <x v="3"/>
    <x v="2"/>
    <x v="0"/>
    <s v="Y"/>
    <n v="32"/>
    <x v="0"/>
    <d v="1899-12-30T00:05:41"/>
    <n v="3"/>
  </r>
  <r>
    <x v="618"/>
    <s v="Dan"/>
    <x v="10"/>
    <d v="1899-12-30T12:57:36"/>
    <d v="2021-01-11T12:57:36"/>
    <x v="3"/>
    <x v="3"/>
    <x v="2"/>
    <x v="0"/>
    <s v="Y"/>
    <n v="75"/>
    <x v="0"/>
    <d v="1899-12-30T00:04:10"/>
    <n v="3"/>
  </r>
  <r>
    <x v="619"/>
    <s v="Stewart"/>
    <x v="10"/>
    <d v="1899-12-30T12:57:36"/>
    <d v="2021-01-11T12:57:36"/>
    <x v="3"/>
    <x v="3"/>
    <x v="0"/>
    <x v="0"/>
    <s v="N"/>
    <n v="123"/>
    <x v="0"/>
    <d v="1899-12-30T00:02:50"/>
    <n v="3"/>
  </r>
  <r>
    <x v="620"/>
    <s v="Stewart"/>
    <x v="10"/>
    <d v="1899-12-30T13:19:12"/>
    <d v="2021-01-11T13:19:12"/>
    <x v="3"/>
    <x v="4"/>
    <x v="4"/>
    <x v="0"/>
    <s v="Y"/>
    <n v="22"/>
    <x v="0"/>
    <d v="1899-12-30T00:05:27"/>
    <n v="5"/>
  </r>
  <r>
    <x v="621"/>
    <s v="Greg"/>
    <x v="10"/>
    <d v="1899-12-30T13:19:12"/>
    <d v="2021-01-11T13:19:12"/>
    <x v="3"/>
    <x v="4"/>
    <x v="1"/>
    <x v="0"/>
    <s v="Y"/>
    <n v="21"/>
    <x v="0"/>
    <d v="1899-12-30T00:01:58"/>
    <n v="2"/>
  </r>
  <r>
    <x v="622"/>
    <s v="Greg"/>
    <x v="10"/>
    <d v="1899-12-30T13:55:12"/>
    <d v="2021-01-11T13:55:12"/>
    <x v="3"/>
    <x v="4"/>
    <x v="4"/>
    <x v="0"/>
    <s v="Y"/>
    <n v="15"/>
    <x v="1"/>
    <d v="1899-12-30T00:06:10"/>
    <n v="4"/>
  </r>
  <r>
    <x v="623"/>
    <s v="Diane"/>
    <x v="10"/>
    <d v="1899-12-30T13:55:12"/>
    <d v="2021-01-11T13:55:12"/>
    <x v="3"/>
    <x v="4"/>
    <x v="4"/>
    <x v="0"/>
    <s v="Y"/>
    <n v="76"/>
    <x v="0"/>
    <d v="1899-12-30T00:03:55"/>
    <n v="4"/>
  </r>
  <r>
    <x v="624"/>
    <s v="Joe"/>
    <x v="10"/>
    <d v="1899-12-30T14:09:36"/>
    <d v="2021-01-11T14:09:36"/>
    <x v="3"/>
    <x v="5"/>
    <x v="3"/>
    <x v="0"/>
    <s v="Y"/>
    <n v="92"/>
    <x v="0"/>
    <d v="1899-12-30T00:05:19"/>
    <n v="3"/>
  </r>
  <r>
    <x v="625"/>
    <s v="Greg"/>
    <x v="10"/>
    <d v="1899-12-30T14:09:36"/>
    <d v="2021-01-11T14:09:36"/>
    <x v="3"/>
    <x v="5"/>
    <x v="1"/>
    <x v="1"/>
    <s v="N"/>
    <m/>
    <x v="0"/>
    <m/>
    <m/>
  </r>
  <r>
    <x v="626"/>
    <s v="Martha"/>
    <x v="10"/>
    <d v="1899-12-30T14:13:55"/>
    <d v="2021-01-11T14:13:55"/>
    <x v="3"/>
    <x v="5"/>
    <x v="1"/>
    <x v="1"/>
    <s v="N"/>
    <m/>
    <x v="0"/>
    <m/>
    <m/>
  </r>
  <r>
    <x v="627"/>
    <s v="Becky"/>
    <x v="10"/>
    <d v="1899-12-30T14:13:55"/>
    <d v="2021-01-11T14:13:55"/>
    <x v="3"/>
    <x v="5"/>
    <x v="2"/>
    <x v="0"/>
    <s v="N"/>
    <n v="62"/>
    <x v="0"/>
    <d v="1899-12-30T00:03:59"/>
    <n v="4"/>
  </r>
  <r>
    <x v="628"/>
    <s v="Joe"/>
    <x v="10"/>
    <d v="1899-12-30T14:19:41"/>
    <d v="2021-01-11T14:19:41"/>
    <x v="3"/>
    <x v="5"/>
    <x v="3"/>
    <x v="0"/>
    <s v="Y"/>
    <n v="33"/>
    <x v="0"/>
    <d v="1899-12-30T00:04:58"/>
    <n v="3"/>
  </r>
  <r>
    <x v="629"/>
    <s v="Stewart"/>
    <x v="10"/>
    <d v="1899-12-30T14:19:41"/>
    <d v="2021-01-11T14:19:41"/>
    <x v="3"/>
    <x v="5"/>
    <x v="3"/>
    <x v="0"/>
    <s v="Y"/>
    <n v="122"/>
    <x v="0"/>
    <d v="1899-12-30T00:01:59"/>
    <n v="1"/>
  </r>
  <r>
    <x v="630"/>
    <s v="Stewart"/>
    <x v="10"/>
    <d v="1899-12-30T14:24:00"/>
    <d v="2021-01-11T14:24:00"/>
    <x v="3"/>
    <x v="5"/>
    <x v="4"/>
    <x v="0"/>
    <s v="N"/>
    <n v="47"/>
    <x v="0"/>
    <d v="1899-12-30T00:04:35"/>
    <n v="1"/>
  </r>
  <r>
    <x v="631"/>
    <s v="Diane"/>
    <x v="10"/>
    <d v="1899-12-30T14:24:00"/>
    <d v="2021-01-11T14:24:00"/>
    <x v="3"/>
    <x v="5"/>
    <x v="3"/>
    <x v="1"/>
    <s v="N"/>
    <m/>
    <x v="0"/>
    <m/>
    <m/>
  </r>
  <r>
    <x v="632"/>
    <s v="Martha"/>
    <x v="10"/>
    <d v="1899-12-30T14:26:53"/>
    <d v="2021-01-11T14:26:53"/>
    <x v="3"/>
    <x v="5"/>
    <x v="1"/>
    <x v="1"/>
    <s v="N"/>
    <m/>
    <x v="0"/>
    <m/>
    <m/>
  </r>
  <r>
    <x v="633"/>
    <s v="Joe"/>
    <x v="10"/>
    <d v="1899-12-30T14:26:53"/>
    <d v="2021-01-11T14:26:53"/>
    <x v="3"/>
    <x v="5"/>
    <x v="0"/>
    <x v="1"/>
    <s v="N"/>
    <m/>
    <x v="0"/>
    <m/>
    <m/>
  </r>
  <r>
    <x v="634"/>
    <s v="Stewart"/>
    <x v="10"/>
    <d v="1899-12-30T14:28:19"/>
    <d v="2021-01-11T14:28:19"/>
    <x v="3"/>
    <x v="5"/>
    <x v="4"/>
    <x v="0"/>
    <s v="Y"/>
    <n v="44"/>
    <x v="0"/>
    <d v="1899-12-30T00:00:39"/>
    <n v="4"/>
  </r>
  <r>
    <x v="635"/>
    <s v="Martha"/>
    <x v="10"/>
    <d v="1899-12-30T14:28:19"/>
    <d v="2021-01-11T14:28:19"/>
    <x v="3"/>
    <x v="5"/>
    <x v="0"/>
    <x v="0"/>
    <s v="Y"/>
    <n v="48"/>
    <x v="0"/>
    <d v="1899-12-30T00:04:41"/>
    <n v="3"/>
  </r>
  <r>
    <x v="636"/>
    <s v="Martha"/>
    <x v="10"/>
    <d v="1899-12-30T14:32:38"/>
    <d v="2021-01-11T14:32:38"/>
    <x v="3"/>
    <x v="5"/>
    <x v="3"/>
    <x v="0"/>
    <s v="Y"/>
    <n v="60"/>
    <x v="0"/>
    <d v="1899-12-30T00:00:59"/>
    <n v="3"/>
  </r>
  <r>
    <x v="637"/>
    <s v="Diane"/>
    <x v="10"/>
    <d v="1899-12-30T14:32:38"/>
    <d v="2021-01-11T14:32:38"/>
    <x v="3"/>
    <x v="5"/>
    <x v="4"/>
    <x v="1"/>
    <s v="N"/>
    <m/>
    <x v="0"/>
    <m/>
    <m/>
  </r>
  <r>
    <x v="638"/>
    <s v="Jim"/>
    <x v="10"/>
    <d v="1899-12-30T14:57:07"/>
    <d v="2021-01-11T14:57:07"/>
    <x v="3"/>
    <x v="5"/>
    <x v="1"/>
    <x v="0"/>
    <s v="Y"/>
    <n v="120"/>
    <x v="0"/>
    <d v="1899-12-30T00:03:21"/>
    <n v="2"/>
  </r>
  <r>
    <x v="639"/>
    <s v="Stewart"/>
    <x v="10"/>
    <d v="1899-12-30T14:57:07"/>
    <d v="2021-01-11T14:57:07"/>
    <x v="3"/>
    <x v="5"/>
    <x v="3"/>
    <x v="0"/>
    <s v="Y"/>
    <n v="61"/>
    <x v="0"/>
    <d v="1899-12-30T00:04:26"/>
    <n v="2"/>
  </r>
  <r>
    <x v="640"/>
    <s v="Greg"/>
    <x v="10"/>
    <d v="1899-12-30T15:12:58"/>
    <d v="2021-01-11T15:12:58"/>
    <x v="3"/>
    <x v="6"/>
    <x v="1"/>
    <x v="0"/>
    <s v="Y"/>
    <n v="103"/>
    <x v="0"/>
    <d v="1899-12-30T00:06:25"/>
    <n v="4"/>
  </r>
  <r>
    <x v="641"/>
    <s v="Becky"/>
    <x v="10"/>
    <d v="1899-12-30T15:12:58"/>
    <d v="2021-01-11T15:12:58"/>
    <x v="3"/>
    <x v="6"/>
    <x v="0"/>
    <x v="1"/>
    <s v="N"/>
    <m/>
    <x v="0"/>
    <m/>
    <m/>
  </r>
  <r>
    <x v="642"/>
    <s v="Jim"/>
    <x v="10"/>
    <d v="1899-12-30T15:37:26"/>
    <d v="2021-01-11T15:37:26"/>
    <x v="3"/>
    <x v="6"/>
    <x v="2"/>
    <x v="0"/>
    <s v="Y"/>
    <n v="32"/>
    <x v="0"/>
    <d v="1899-12-30T00:03:01"/>
    <n v="2"/>
  </r>
  <r>
    <x v="643"/>
    <s v="Joe"/>
    <x v="10"/>
    <d v="1899-12-30T15:37:26"/>
    <d v="2021-01-11T15:37:26"/>
    <x v="3"/>
    <x v="6"/>
    <x v="3"/>
    <x v="1"/>
    <s v="N"/>
    <m/>
    <x v="0"/>
    <m/>
    <m/>
  </r>
  <r>
    <x v="644"/>
    <s v="Jim"/>
    <x v="10"/>
    <d v="1899-12-30T15:59:02"/>
    <d v="2021-01-11T15:59:02"/>
    <x v="3"/>
    <x v="6"/>
    <x v="1"/>
    <x v="0"/>
    <s v="Y"/>
    <n v="53"/>
    <x v="0"/>
    <d v="1899-12-30T00:04:37"/>
    <n v="1"/>
  </r>
  <r>
    <x v="645"/>
    <s v="Diane"/>
    <x v="10"/>
    <d v="1899-12-30T15:59:02"/>
    <d v="2021-01-11T15:59:02"/>
    <x v="3"/>
    <x v="6"/>
    <x v="4"/>
    <x v="0"/>
    <s v="Y"/>
    <n v="40"/>
    <x v="0"/>
    <d v="1899-12-30T00:02:56"/>
    <n v="5"/>
  </r>
  <r>
    <x v="646"/>
    <s v="Stewart"/>
    <x v="10"/>
    <d v="1899-12-30T16:17:46"/>
    <d v="2021-01-11T16:17:46"/>
    <x v="3"/>
    <x v="8"/>
    <x v="0"/>
    <x v="0"/>
    <s v="N"/>
    <n v="58"/>
    <x v="0"/>
    <d v="1899-12-30T00:03:14"/>
    <n v="3"/>
  </r>
  <r>
    <x v="647"/>
    <s v="Stewart"/>
    <x v="10"/>
    <d v="1899-12-30T16:17:46"/>
    <d v="2021-01-11T16:17:46"/>
    <x v="3"/>
    <x v="8"/>
    <x v="1"/>
    <x v="0"/>
    <s v="Y"/>
    <n v="92"/>
    <x v="0"/>
    <d v="1899-12-30T00:02:27"/>
    <n v="2"/>
  </r>
  <r>
    <x v="648"/>
    <s v="Diane"/>
    <x v="10"/>
    <d v="1899-12-30T16:43:41"/>
    <d v="2021-01-11T16:43:41"/>
    <x v="3"/>
    <x v="8"/>
    <x v="2"/>
    <x v="1"/>
    <s v="N"/>
    <m/>
    <x v="0"/>
    <m/>
    <m/>
  </r>
  <r>
    <x v="649"/>
    <s v="Dan"/>
    <x v="10"/>
    <d v="1899-12-30T16:43:41"/>
    <d v="2021-01-11T16:43:41"/>
    <x v="3"/>
    <x v="8"/>
    <x v="4"/>
    <x v="0"/>
    <s v="Y"/>
    <n v="124"/>
    <x v="0"/>
    <d v="1899-12-30T00:00:49"/>
    <n v="5"/>
  </r>
  <r>
    <x v="650"/>
    <s v="Jim"/>
    <x v="10"/>
    <d v="1899-12-30T17:06:43"/>
    <d v="2021-01-11T17:06:43"/>
    <x v="3"/>
    <x v="7"/>
    <x v="3"/>
    <x v="0"/>
    <s v="Y"/>
    <n v="59"/>
    <x v="0"/>
    <d v="1899-12-30T00:04:30"/>
    <n v="3"/>
  </r>
  <r>
    <x v="651"/>
    <s v="Greg"/>
    <x v="10"/>
    <d v="1899-12-30T17:06:43"/>
    <d v="2021-01-11T17:06:43"/>
    <x v="3"/>
    <x v="7"/>
    <x v="4"/>
    <x v="0"/>
    <s v="Y"/>
    <n v="44"/>
    <x v="0"/>
    <d v="1899-12-30T00:05:02"/>
    <n v="1"/>
  </r>
  <r>
    <x v="652"/>
    <s v="Jim"/>
    <x v="10"/>
    <d v="1899-12-30T17:22:34"/>
    <d v="2021-01-11T17:22:34"/>
    <x v="3"/>
    <x v="7"/>
    <x v="3"/>
    <x v="0"/>
    <s v="Y"/>
    <n v="42"/>
    <x v="0"/>
    <d v="1899-12-30T00:03:38"/>
    <n v="2"/>
  </r>
  <r>
    <x v="653"/>
    <s v="Stewart"/>
    <x v="10"/>
    <d v="1899-12-30T17:22:34"/>
    <d v="2021-01-11T17:22:34"/>
    <x v="3"/>
    <x v="7"/>
    <x v="2"/>
    <x v="0"/>
    <s v="Y"/>
    <n v="21"/>
    <x v="0"/>
    <d v="1899-12-30T00:04:46"/>
    <n v="5"/>
  </r>
  <r>
    <x v="654"/>
    <s v="Stewart"/>
    <x v="10"/>
    <d v="1899-12-30T17:41:17"/>
    <d v="2021-01-11T17:41:17"/>
    <x v="3"/>
    <x v="7"/>
    <x v="0"/>
    <x v="0"/>
    <s v="Y"/>
    <n v="69"/>
    <x v="0"/>
    <d v="1899-12-30T00:00:32"/>
    <n v="4"/>
  </r>
  <r>
    <x v="655"/>
    <s v="Stewart"/>
    <x v="10"/>
    <d v="1899-12-30T17:41:17"/>
    <d v="2021-01-11T17:41:17"/>
    <x v="3"/>
    <x v="7"/>
    <x v="2"/>
    <x v="0"/>
    <s v="Y"/>
    <n v="46"/>
    <x v="0"/>
    <d v="1899-12-30T00:00:53"/>
    <n v="1"/>
  </r>
  <r>
    <x v="656"/>
    <s v="Martha"/>
    <x v="10"/>
    <d v="1899-12-30T17:41:17"/>
    <d v="2021-01-11T17:41:17"/>
    <x v="3"/>
    <x v="7"/>
    <x v="2"/>
    <x v="0"/>
    <s v="Y"/>
    <n v="24"/>
    <x v="0"/>
    <d v="1899-12-30T00:06:01"/>
    <n v="5"/>
  </r>
  <r>
    <x v="657"/>
    <s v="Stewart"/>
    <x v="10"/>
    <d v="1899-12-30T17:41:17"/>
    <d v="2021-01-11T17:41:17"/>
    <x v="3"/>
    <x v="7"/>
    <x v="4"/>
    <x v="0"/>
    <s v="Y"/>
    <n v="101"/>
    <x v="0"/>
    <d v="1899-12-30T00:04:45"/>
    <n v="2"/>
  </r>
  <r>
    <x v="658"/>
    <s v="Becky"/>
    <x v="10"/>
    <d v="1899-12-30T17:48:29"/>
    <d v="2021-01-11T17:48:29"/>
    <x v="3"/>
    <x v="7"/>
    <x v="2"/>
    <x v="0"/>
    <s v="Y"/>
    <n v="121"/>
    <x v="0"/>
    <d v="1899-12-30T00:01:21"/>
    <n v="5"/>
  </r>
  <r>
    <x v="659"/>
    <s v="Stewart"/>
    <x v="10"/>
    <d v="1899-12-30T17:48:29"/>
    <d v="2021-01-11T17:48:29"/>
    <x v="3"/>
    <x v="7"/>
    <x v="3"/>
    <x v="0"/>
    <s v="Y"/>
    <n v="61"/>
    <x v="0"/>
    <d v="1899-12-30T00:01:11"/>
    <n v="3"/>
  </r>
  <r>
    <x v="660"/>
    <s v="Becky"/>
    <x v="10"/>
    <d v="1899-12-30T17:49:55"/>
    <d v="2021-01-11T17:49:55"/>
    <x v="3"/>
    <x v="7"/>
    <x v="0"/>
    <x v="0"/>
    <s v="Y"/>
    <n v="45"/>
    <x v="0"/>
    <d v="1899-12-30T00:01:20"/>
    <n v="4"/>
  </r>
  <r>
    <x v="661"/>
    <s v="Becky"/>
    <x v="10"/>
    <d v="1899-12-30T17:49:55"/>
    <d v="2021-01-11T17:49:55"/>
    <x v="3"/>
    <x v="7"/>
    <x v="2"/>
    <x v="0"/>
    <s v="Y"/>
    <n v="40"/>
    <x v="0"/>
    <d v="1899-12-30T00:02:01"/>
    <n v="5"/>
  </r>
  <r>
    <x v="662"/>
    <s v="Dan"/>
    <x v="11"/>
    <d v="1899-12-30T09:51:50"/>
    <d v="2021-01-12T09:51:50"/>
    <x v="4"/>
    <x v="0"/>
    <x v="1"/>
    <x v="0"/>
    <s v="Y"/>
    <n v="94"/>
    <x v="0"/>
    <d v="1899-12-30T00:00:56"/>
    <n v="4"/>
  </r>
  <r>
    <x v="663"/>
    <s v="Greg"/>
    <x v="11"/>
    <d v="1899-12-30T09:51:50"/>
    <d v="2021-01-12T09:51:50"/>
    <x v="4"/>
    <x v="0"/>
    <x v="4"/>
    <x v="0"/>
    <s v="Y"/>
    <n v="85"/>
    <x v="0"/>
    <d v="1899-12-30T00:05:14"/>
    <n v="5"/>
  </r>
  <r>
    <x v="664"/>
    <s v="Jim"/>
    <x v="11"/>
    <d v="1899-12-30T09:57:36"/>
    <d v="2021-01-12T09:57:36"/>
    <x v="4"/>
    <x v="0"/>
    <x v="2"/>
    <x v="0"/>
    <s v="Y"/>
    <n v="22"/>
    <x v="0"/>
    <d v="1899-12-30T00:04:38"/>
    <n v="3"/>
  </r>
  <r>
    <x v="665"/>
    <s v="Becky"/>
    <x v="11"/>
    <d v="1899-12-30T09:57:36"/>
    <d v="2021-01-12T09:57:36"/>
    <x v="4"/>
    <x v="0"/>
    <x v="0"/>
    <x v="0"/>
    <s v="Y"/>
    <n v="119"/>
    <x v="0"/>
    <d v="1899-12-30T00:06:51"/>
    <n v="5"/>
  </r>
  <r>
    <x v="666"/>
    <s v="Becky"/>
    <x v="11"/>
    <d v="1899-12-30T10:12:00"/>
    <d v="2021-01-12T10:12:00"/>
    <x v="4"/>
    <x v="1"/>
    <x v="2"/>
    <x v="0"/>
    <s v="Y"/>
    <n v="13"/>
    <x v="1"/>
    <d v="1899-12-30T00:02:21"/>
    <n v="4"/>
  </r>
  <r>
    <x v="667"/>
    <s v="Martha"/>
    <x v="11"/>
    <d v="1899-12-30T10:12:00"/>
    <d v="2021-01-12T10:12:00"/>
    <x v="4"/>
    <x v="1"/>
    <x v="0"/>
    <x v="0"/>
    <s v="Y"/>
    <n v="60"/>
    <x v="0"/>
    <d v="1899-12-30T00:04:20"/>
    <n v="4"/>
  </r>
  <r>
    <x v="668"/>
    <s v="Diane"/>
    <x v="11"/>
    <d v="1899-12-30T10:16:19"/>
    <d v="2021-01-12T10:16:19"/>
    <x v="4"/>
    <x v="1"/>
    <x v="3"/>
    <x v="1"/>
    <s v="N"/>
    <m/>
    <x v="0"/>
    <m/>
    <m/>
  </r>
  <r>
    <x v="669"/>
    <s v="Jim"/>
    <x v="11"/>
    <d v="1899-12-30T10:16:19"/>
    <d v="2021-01-12T10:16:19"/>
    <x v="4"/>
    <x v="1"/>
    <x v="2"/>
    <x v="0"/>
    <s v="Y"/>
    <n v="29"/>
    <x v="0"/>
    <d v="1899-12-30T00:06:03"/>
    <n v="1"/>
  </r>
  <r>
    <x v="670"/>
    <s v="Diane"/>
    <x v="11"/>
    <d v="1899-12-30T10:39:22"/>
    <d v="2021-01-12T10:39:22"/>
    <x v="4"/>
    <x v="1"/>
    <x v="2"/>
    <x v="0"/>
    <s v="N"/>
    <n v="41"/>
    <x v="0"/>
    <d v="1899-12-30T00:05:47"/>
    <n v="5"/>
  </r>
  <r>
    <x v="671"/>
    <s v="Martha"/>
    <x v="11"/>
    <d v="1899-12-30T10:39:22"/>
    <d v="2021-01-12T10:39:22"/>
    <x v="4"/>
    <x v="1"/>
    <x v="0"/>
    <x v="0"/>
    <s v="Y"/>
    <n v="87"/>
    <x v="0"/>
    <d v="1899-12-30T00:05:40"/>
    <n v="5"/>
  </r>
  <r>
    <x v="672"/>
    <s v="Jim"/>
    <x v="11"/>
    <d v="1899-12-30T10:48:00"/>
    <d v="2021-01-12T10:48:00"/>
    <x v="4"/>
    <x v="1"/>
    <x v="0"/>
    <x v="0"/>
    <s v="Y"/>
    <n v="77"/>
    <x v="0"/>
    <d v="1899-12-30T00:04:28"/>
    <n v="5"/>
  </r>
  <r>
    <x v="673"/>
    <s v="Jim"/>
    <x v="11"/>
    <d v="1899-12-30T10:48:00"/>
    <d v="2021-01-12T10:48:00"/>
    <x v="4"/>
    <x v="1"/>
    <x v="2"/>
    <x v="1"/>
    <s v="N"/>
    <m/>
    <x v="0"/>
    <m/>
    <m/>
  </r>
  <r>
    <x v="674"/>
    <s v="Dan"/>
    <x v="11"/>
    <d v="1899-12-30T10:49:26"/>
    <d v="2021-01-12T10:49:26"/>
    <x v="4"/>
    <x v="1"/>
    <x v="3"/>
    <x v="0"/>
    <s v="Y"/>
    <n v="30"/>
    <x v="0"/>
    <d v="1899-12-30T00:02:46"/>
    <n v="4"/>
  </r>
  <r>
    <x v="675"/>
    <s v="Stewart"/>
    <x v="11"/>
    <d v="1899-12-30T10:49:26"/>
    <d v="2021-01-12T10:49:26"/>
    <x v="4"/>
    <x v="1"/>
    <x v="2"/>
    <x v="1"/>
    <s v="N"/>
    <m/>
    <x v="0"/>
    <m/>
    <m/>
  </r>
  <r>
    <x v="676"/>
    <s v="Jim"/>
    <x v="11"/>
    <d v="1899-12-30T11:06:43"/>
    <d v="2021-01-12T11:06:43"/>
    <x v="4"/>
    <x v="2"/>
    <x v="2"/>
    <x v="0"/>
    <s v="Y"/>
    <n v="81"/>
    <x v="0"/>
    <d v="1899-12-30T00:05:30"/>
    <n v="3"/>
  </r>
  <r>
    <x v="677"/>
    <s v="Stewart"/>
    <x v="11"/>
    <d v="1899-12-30T11:06:43"/>
    <d v="2021-01-12T11:06:43"/>
    <x v="4"/>
    <x v="2"/>
    <x v="0"/>
    <x v="0"/>
    <s v="Y"/>
    <n v="76"/>
    <x v="0"/>
    <d v="1899-12-30T00:02:22"/>
    <n v="4"/>
  </r>
  <r>
    <x v="678"/>
    <s v="Diane"/>
    <x v="11"/>
    <d v="1899-12-30T11:41:17"/>
    <d v="2021-01-12T11:41:17"/>
    <x v="4"/>
    <x v="2"/>
    <x v="0"/>
    <x v="1"/>
    <s v="N"/>
    <m/>
    <x v="0"/>
    <m/>
    <m/>
  </r>
  <r>
    <x v="679"/>
    <s v="Greg"/>
    <x v="11"/>
    <d v="1899-12-30T11:41:17"/>
    <d v="2021-01-12T11:41:17"/>
    <x v="4"/>
    <x v="2"/>
    <x v="0"/>
    <x v="0"/>
    <s v="Y"/>
    <n v="79"/>
    <x v="0"/>
    <d v="1899-12-30T00:03:25"/>
    <n v="4"/>
  </r>
  <r>
    <x v="680"/>
    <s v="Joe"/>
    <x v="11"/>
    <d v="1899-12-30T12:04:19"/>
    <d v="2021-01-12T12:04:19"/>
    <x v="4"/>
    <x v="3"/>
    <x v="3"/>
    <x v="0"/>
    <s v="Y"/>
    <n v="114"/>
    <x v="0"/>
    <d v="1899-12-30T00:05:30"/>
    <n v="3"/>
  </r>
  <r>
    <x v="681"/>
    <s v="Greg"/>
    <x v="11"/>
    <d v="1899-12-30T12:04:19"/>
    <d v="2021-01-12T12:04:19"/>
    <x v="4"/>
    <x v="3"/>
    <x v="0"/>
    <x v="0"/>
    <s v="Y"/>
    <n v="15"/>
    <x v="1"/>
    <d v="1899-12-30T00:07:00"/>
    <n v="2"/>
  </r>
  <r>
    <x v="682"/>
    <s v="Becky"/>
    <x v="11"/>
    <d v="1899-12-30T13:03:22"/>
    <d v="2021-01-12T13:03:22"/>
    <x v="4"/>
    <x v="4"/>
    <x v="4"/>
    <x v="0"/>
    <s v="Y"/>
    <n v="43"/>
    <x v="0"/>
    <d v="1899-12-30T00:03:20"/>
    <n v="4"/>
  </r>
  <r>
    <x v="683"/>
    <s v="Stewart"/>
    <x v="11"/>
    <d v="1899-12-30T13:03:22"/>
    <d v="2021-01-12T13:03:22"/>
    <x v="4"/>
    <x v="4"/>
    <x v="1"/>
    <x v="0"/>
    <s v="Y"/>
    <n v="26"/>
    <x v="0"/>
    <d v="1899-12-30T00:06:28"/>
    <n v="1"/>
  </r>
  <r>
    <x v="684"/>
    <s v="Greg"/>
    <x v="11"/>
    <d v="1899-12-30T13:30:43"/>
    <d v="2021-01-12T13:30:43"/>
    <x v="4"/>
    <x v="4"/>
    <x v="1"/>
    <x v="0"/>
    <s v="Y"/>
    <n v="57"/>
    <x v="0"/>
    <d v="1899-12-30T00:03:32"/>
    <n v="2"/>
  </r>
  <r>
    <x v="685"/>
    <s v="Stewart"/>
    <x v="11"/>
    <d v="1899-12-30T13:30:43"/>
    <d v="2021-01-12T13:30:43"/>
    <x v="4"/>
    <x v="4"/>
    <x v="0"/>
    <x v="0"/>
    <s v="Y"/>
    <n v="86"/>
    <x v="0"/>
    <d v="1899-12-30T00:02:34"/>
    <n v="3"/>
  </r>
  <r>
    <x v="686"/>
    <s v="Diane"/>
    <x v="11"/>
    <d v="1899-12-30T13:37:55"/>
    <d v="2021-01-12T13:37:55"/>
    <x v="4"/>
    <x v="4"/>
    <x v="2"/>
    <x v="0"/>
    <s v="Y"/>
    <n v="110"/>
    <x v="0"/>
    <d v="1899-12-30T00:04:46"/>
    <n v="3"/>
  </r>
  <r>
    <x v="687"/>
    <s v="Becky"/>
    <x v="11"/>
    <d v="1899-12-30T13:37:55"/>
    <d v="2021-01-12T13:37:55"/>
    <x v="4"/>
    <x v="4"/>
    <x v="0"/>
    <x v="0"/>
    <s v="Y"/>
    <n v="43"/>
    <x v="0"/>
    <d v="1899-12-30T00:04:50"/>
    <n v="2"/>
  </r>
  <r>
    <x v="688"/>
    <s v="Martha"/>
    <x v="11"/>
    <d v="1899-12-30T13:42:14"/>
    <d v="2021-01-12T13:42:14"/>
    <x v="4"/>
    <x v="4"/>
    <x v="1"/>
    <x v="1"/>
    <s v="N"/>
    <m/>
    <x v="0"/>
    <m/>
    <m/>
  </r>
  <r>
    <x v="689"/>
    <s v="Martha"/>
    <x v="11"/>
    <d v="1899-12-30T13:42:14"/>
    <d v="2021-01-12T13:42:14"/>
    <x v="4"/>
    <x v="4"/>
    <x v="3"/>
    <x v="1"/>
    <s v="N"/>
    <m/>
    <x v="0"/>
    <m/>
    <m/>
  </r>
  <r>
    <x v="690"/>
    <s v="Joe"/>
    <x v="11"/>
    <d v="1899-12-30T14:12:29"/>
    <d v="2021-01-12T14:12:29"/>
    <x v="4"/>
    <x v="5"/>
    <x v="1"/>
    <x v="0"/>
    <s v="Y"/>
    <n v="105"/>
    <x v="0"/>
    <d v="1899-12-30T00:03:01"/>
    <n v="2"/>
  </r>
  <r>
    <x v="691"/>
    <s v="Diane"/>
    <x v="11"/>
    <d v="1899-12-30T14:12:29"/>
    <d v="2021-01-12T14:12:29"/>
    <x v="4"/>
    <x v="5"/>
    <x v="1"/>
    <x v="1"/>
    <s v="N"/>
    <m/>
    <x v="0"/>
    <m/>
    <m/>
  </r>
  <r>
    <x v="692"/>
    <s v="Greg"/>
    <x v="11"/>
    <d v="1899-12-30T14:51:22"/>
    <d v="2021-01-12T14:51:22"/>
    <x v="4"/>
    <x v="5"/>
    <x v="3"/>
    <x v="0"/>
    <s v="Y"/>
    <n v="79"/>
    <x v="0"/>
    <d v="1899-12-30T00:00:48"/>
    <n v="4"/>
  </r>
  <r>
    <x v="693"/>
    <s v="Jim"/>
    <x v="11"/>
    <d v="1899-12-30T14:51:22"/>
    <d v="2021-01-12T14:51:22"/>
    <x v="4"/>
    <x v="5"/>
    <x v="2"/>
    <x v="0"/>
    <s v="N"/>
    <n v="42"/>
    <x v="0"/>
    <d v="1899-12-30T00:03:28"/>
    <n v="3"/>
  </r>
  <r>
    <x v="694"/>
    <s v="Jim"/>
    <x v="11"/>
    <d v="1899-12-30T15:08:38"/>
    <d v="2021-01-12T15:08:38"/>
    <x v="4"/>
    <x v="6"/>
    <x v="0"/>
    <x v="0"/>
    <s v="N"/>
    <n v="100"/>
    <x v="0"/>
    <d v="1899-12-30T00:00:57"/>
    <n v="4"/>
  </r>
  <r>
    <x v="695"/>
    <s v="Greg"/>
    <x v="11"/>
    <d v="1899-12-30T15:08:38"/>
    <d v="2021-01-12T15:08:38"/>
    <x v="4"/>
    <x v="6"/>
    <x v="4"/>
    <x v="0"/>
    <s v="Y"/>
    <n v="107"/>
    <x v="0"/>
    <d v="1899-12-30T00:06:28"/>
    <n v="4"/>
  </r>
  <r>
    <x v="696"/>
    <s v="Martha"/>
    <x v="11"/>
    <d v="1899-12-30T15:23:02"/>
    <d v="2021-01-12T15:23:02"/>
    <x v="4"/>
    <x v="6"/>
    <x v="2"/>
    <x v="0"/>
    <s v="Y"/>
    <n v="96"/>
    <x v="0"/>
    <d v="1899-12-30T00:03:47"/>
    <n v="5"/>
  </r>
  <r>
    <x v="697"/>
    <s v="Greg"/>
    <x v="11"/>
    <d v="1899-12-30T15:23:02"/>
    <d v="2021-01-12T15:23:02"/>
    <x v="4"/>
    <x v="6"/>
    <x v="4"/>
    <x v="0"/>
    <s v="N"/>
    <n v="116"/>
    <x v="0"/>
    <d v="1899-12-30T00:04:15"/>
    <n v="5"/>
  </r>
  <r>
    <x v="698"/>
    <s v="Martha"/>
    <x v="11"/>
    <d v="1899-12-30T15:47:31"/>
    <d v="2021-01-12T15:47:31"/>
    <x v="4"/>
    <x v="6"/>
    <x v="1"/>
    <x v="0"/>
    <s v="Y"/>
    <n v="54"/>
    <x v="0"/>
    <d v="1899-12-30T00:02:54"/>
    <n v="3"/>
  </r>
  <r>
    <x v="699"/>
    <s v="Diane"/>
    <x v="11"/>
    <d v="1899-12-30T15:47:31"/>
    <d v="2021-01-12T15:47:31"/>
    <x v="4"/>
    <x v="6"/>
    <x v="4"/>
    <x v="0"/>
    <s v="Y"/>
    <n v="24"/>
    <x v="0"/>
    <d v="1899-12-30T00:06:25"/>
    <n v="4"/>
  </r>
  <r>
    <x v="700"/>
    <s v="Dan"/>
    <x v="11"/>
    <d v="1899-12-30T15:51:50"/>
    <d v="2021-01-12T15:51:50"/>
    <x v="4"/>
    <x v="6"/>
    <x v="0"/>
    <x v="0"/>
    <s v="Y"/>
    <n v="52"/>
    <x v="0"/>
    <d v="1899-12-30T00:02:56"/>
    <n v="5"/>
  </r>
  <r>
    <x v="701"/>
    <s v="Dan"/>
    <x v="11"/>
    <d v="1899-12-30T15:51:50"/>
    <d v="2021-01-12T15:51:50"/>
    <x v="4"/>
    <x v="6"/>
    <x v="0"/>
    <x v="0"/>
    <s v="Y"/>
    <n v="77"/>
    <x v="0"/>
    <d v="1899-12-30T00:00:51"/>
    <n v="3"/>
  </r>
  <r>
    <x v="702"/>
    <s v="Diane"/>
    <x v="11"/>
    <d v="1899-12-30T16:12:00"/>
    <d v="2021-01-12T16:12:00"/>
    <x v="4"/>
    <x v="8"/>
    <x v="3"/>
    <x v="0"/>
    <s v="Y"/>
    <n v="91"/>
    <x v="0"/>
    <d v="1899-12-30T00:01:40"/>
    <n v="3"/>
  </r>
  <r>
    <x v="703"/>
    <s v="Dan"/>
    <x v="11"/>
    <d v="1899-12-30T16:12:00"/>
    <d v="2021-01-12T16:12:00"/>
    <x v="4"/>
    <x v="8"/>
    <x v="4"/>
    <x v="0"/>
    <s v="N"/>
    <n v="104"/>
    <x v="0"/>
    <d v="1899-12-30T00:01:44"/>
    <n v="3"/>
  </r>
  <r>
    <x v="704"/>
    <s v="Joe"/>
    <x v="11"/>
    <d v="1899-12-30T16:45:07"/>
    <d v="2021-01-12T16:45:07"/>
    <x v="4"/>
    <x v="8"/>
    <x v="1"/>
    <x v="0"/>
    <s v="Y"/>
    <n v="111"/>
    <x v="0"/>
    <d v="1899-12-30T00:02:36"/>
    <n v="3"/>
  </r>
  <r>
    <x v="705"/>
    <s v="Becky"/>
    <x v="11"/>
    <d v="1899-12-30T16:45:07"/>
    <d v="2021-01-12T16:45:07"/>
    <x v="4"/>
    <x v="8"/>
    <x v="1"/>
    <x v="1"/>
    <s v="N"/>
    <m/>
    <x v="0"/>
    <m/>
    <m/>
  </r>
  <r>
    <x v="706"/>
    <s v="Jim"/>
    <x v="11"/>
    <d v="1899-12-30T16:46:34"/>
    <d v="2021-01-12T16:46:34"/>
    <x v="4"/>
    <x v="8"/>
    <x v="2"/>
    <x v="0"/>
    <s v="Y"/>
    <n v="55"/>
    <x v="0"/>
    <d v="1899-12-30T00:05:08"/>
    <n v="4"/>
  </r>
  <r>
    <x v="707"/>
    <s v="Stewart"/>
    <x v="11"/>
    <d v="1899-12-30T16:46:34"/>
    <d v="2021-01-12T16:46:34"/>
    <x v="4"/>
    <x v="8"/>
    <x v="3"/>
    <x v="1"/>
    <s v="N"/>
    <m/>
    <x v="0"/>
    <m/>
    <m/>
  </r>
  <r>
    <x v="708"/>
    <s v="Joe"/>
    <x v="11"/>
    <d v="1899-12-30T16:49:26"/>
    <d v="2021-01-12T16:49:26"/>
    <x v="4"/>
    <x v="8"/>
    <x v="0"/>
    <x v="0"/>
    <s v="Y"/>
    <n v="124"/>
    <x v="0"/>
    <d v="1899-12-30T00:05:26"/>
    <n v="4"/>
  </r>
  <r>
    <x v="709"/>
    <s v="Martha"/>
    <x v="11"/>
    <d v="1899-12-30T16:49:26"/>
    <d v="2021-01-12T16:49:26"/>
    <x v="4"/>
    <x v="8"/>
    <x v="2"/>
    <x v="0"/>
    <s v="Y"/>
    <n v="68"/>
    <x v="0"/>
    <d v="1899-12-30T00:04:37"/>
    <n v="3"/>
  </r>
  <r>
    <x v="710"/>
    <s v="Dan"/>
    <x v="11"/>
    <d v="1899-12-30T16:50:53"/>
    <d v="2021-01-12T16:50:53"/>
    <x v="4"/>
    <x v="8"/>
    <x v="1"/>
    <x v="0"/>
    <s v="N"/>
    <n v="40"/>
    <x v="0"/>
    <d v="1899-12-30T00:04:33"/>
    <n v="3"/>
  </r>
  <r>
    <x v="711"/>
    <s v="Stewart"/>
    <x v="11"/>
    <d v="1899-12-30T16:50:53"/>
    <d v="2021-01-12T16:50:53"/>
    <x v="4"/>
    <x v="8"/>
    <x v="2"/>
    <x v="0"/>
    <s v="Y"/>
    <n v="119"/>
    <x v="0"/>
    <d v="1899-12-30T00:02:35"/>
    <n v="4"/>
  </r>
  <r>
    <x v="712"/>
    <s v="Dan"/>
    <x v="11"/>
    <d v="1899-12-30T16:52:19"/>
    <d v="2021-01-12T16:52:19"/>
    <x v="4"/>
    <x v="8"/>
    <x v="2"/>
    <x v="0"/>
    <s v="Y"/>
    <n v="42"/>
    <x v="0"/>
    <d v="1899-12-30T00:00:55"/>
    <n v="1"/>
  </r>
  <r>
    <x v="713"/>
    <s v="Joe"/>
    <x v="11"/>
    <d v="1899-12-30T16:52:19"/>
    <d v="2021-01-12T16:52:19"/>
    <x v="4"/>
    <x v="8"/>
    <x v="3"/>
    <x v="0"/>
    <s v="Y"/>
    <n v="30"/>
    <x v="0"/>
    <d v="1899-12-30T00:03:55"/>
    <n v="4"/>
  </r>
  <r>
    <x v="714"/>
    <s v="Jim"/>
    <x v="11"/>
    <d v="1899-12-30T17:06:43"/>
    <d v="2021-01-12T17:06:43"/>
    <x v="4"/>
    <x v="7"/>
    <x v="3"/>
    <x v="0"/>
    <s v="Y"/>
    <n v="79"/>
    <x v="0"/>
    <d v="1899-12-30T00:04:21"/>
    <n v="4"/>
  </r>
  <r>
    <x v="715"/>
    <s v="Becky"/>
    <x v="11"/>
    <d v="1899-12-30T17:06:43"/>
    <d v="2021-01-12T17:06:43"/>
    <x v="4"/>
    <x v="7"/>
    <x v="0"/>
    <x v="0"/>
    <s v="Y"/>
    <n v="44"/>
    <x v="0"/>
    <d v="1899-12-30T00:06:56"/>
    <n v="1"/>
  </r>
  <r>
    <x v="716"/>
    <s v="Jim"/>
    <x v="11"/>
    <d v="1899-12-30T18:00:00"/>
    <d v="2021-01-12T18:00:00"/>
    <x v="4"/>
    <x v="9"/>
    <x v="4"/>
    <x v="0"/>
    <s v="Y"/>
    <n v="71"/>
    <x v="0"/>
    <d v="1899-12-30T00:02:00"/>
    <n v="3"/>
  </r>
  <r>
    <x v="717"/>
    <s v="Greg"/>
    <x v="11"/>
    <d v="1899-12-30T18:00:00"/>
    <d v="2021-01-12T18:00:00"/>
    <x v="4"/>
    <x v="9"/>
    <x v="4"/>
    <x v="1"/>
    <s v="N"/>
    <m/>
    <x v="0"/>
    <m/>
    <m/>
  </r>
  <r>
    <x v="718"/>
    <s v="Joe"/>
    <x v="12"/>
    <d v="1899-12-30T09:21:36"/>
    <d v="2021-01-13T09:21:36"/>
    <x v="5"/>
    <x v="0"/>
    <x v="3"/>
    <x v="0"/>
    <s v="Y"/>
    <n v="21"/>
    <x v="0"/>
    <d v="1899-12-30T00:06:25"/>
    <n v="5"/>
  </r>
  <r>
    <x v="719"/>
    <s v="Jim"/>
    <x v="12"/>
    <d v="1899-12-30T09:21:36"/>
    <d v="2021-01-13T09:21:36"/>
    <x v="5"/>
    <x v="0"/>
    <x v="1"/>
    <x v="0"/>
    <s v="Y"/>
    <n v="122"/>
    <x v="0"/>
    <d v="1899-12-30T00:04:48"/>
    <n v="4"/>
  </r>
  <r>
    <x v="720"/>
    <s v="Becky"/>
    <x v="12"/>
    <d v="1899-12-30T09:44:38"/>
    <d v="2021-01-13T09:44:38"/>
    <x v="5"/>
    <x v="0"/>
    <x v="1"/>
    <x v="1"/>
    <s v="N"/>
    <m/>
    <x v="0"/>
    <m/>
    <m/>
  </r>
  <r>
    <x v="721"/>
    <s v="Becky"/>
    <x v="12"/>
    <d v="1899-12-30T09:44:38"/>
    <d v="2021-01-13T09:44:38"/>
    <x v="5"/>
    <x v="0"/>
    <x v="3"/>
    <x v="0"/>
    <s v="Y"/>
    <n v="62"/>
    <x v="0"/>
    <d v="1899-12-30T00:02:25"/>
    <n v="3"/>
  </r>
  <r>
    <x v="722"/>
    <s v="Stewart"/>
    <x v="12"/>
    <d v="1899-12-30T09:46:05"/>
    <d v="2021-01-13T09:46:05"/>
    <x v="5"/>
    <x v="0"/>
    <x v="0"/>
    <x v="0"/>
    <s v="N"/>
    <n v="37"/>
    <x v="0"/>
    <d v="1899-12-30T00:02:42"/>
    <n v="5"/>
  </r>
  <r>
    <x v="723"/>
    <s v="Diane"/>
    <x v="12"/>
    <d v="1899-12-30T09:46:05"/>
    <d v="2021-01-13T09:46:05"/>
    <x v="5"/>
    <x v="0"/>
    <x v="0"/>
    <x v="0"/>
    <s v="Y"/>
    <n v="112"/>
    <x v="0"/>
    <d v="1899-12-30T00:06:57"/>
    <n v="2"/>
  </r>
  <r>
    <x v="724"/>
    <s v="Jim"/>
    <x v="12"/>
    <d v="1899-12-30T09:56:10"/>
    <d v="2021-01-13T09:56:10"/>
    <x v="5"/>
    <x v="0"/>
    <x v="0"/>
    <x v="0"/>
    <s v="Y"/>
    <n v="40"/>
    <x v="0"/>
    <d v="1899-12-30T00:03:24"/>
    <n v="2"/>
  </r>
  <r>
    <x v="725"/>
    <s v="Joe"/>
    <x v="12"/>
    <d v="1899-12-30T09:56:10"/>
    <d v="2021-01-13T09:56:10"/>
    <x v="5"/>
    <x v="0"/>
    <x v="4"/>
    <x v="0"/>
    <s v="N"/>
    <n v="50"/>
    <x v="0"/>
    <d v="1899-12-30T00:01:53"/>
    <n v="5"/>
  </r>
  <r>
    <x v="726"/>
    <s v="Dan"/>
    <x v="12"/>
    <d v="1899-12-30T10:37:55"/>
    <d v="2021-01-13T10:37:55"/>
    <x v="5"/>
    <x v="1"/>
    <x v="4"/>
    <x v="0"/>
    <s v="Y"/>
    <n v="88"/>
    <x v="0"/>
    <d v="1899-12-30T00:04:10"/>
    <n v="4"/>
  </r>
  <r>
    <x v="727"/>
    <s v="Dan"/>
    <x v="12"/>
    <d v="1899-12-30T10:37:55"/>
    <d v="2021-01-13T10:37:55"/>
    <x v="5"/>
    <x v="1"/>
    <x v="3"/>
    <x v="0"/>
    <s v="Y"/>
    <n v="97"/>
    <x v="0"/>
    <d v="1899-12-30T00:00:52"/>
    <n v="3"/>
  </r>
  <r>
    <x v="728"/>
    <s v="Diane"/>
    <x v="12"/>
    <d v="1899-12-30T11:06:43"/>
    <d v="2021-01-13T11:06:43"/>
    <x v="5"/>
    <x v="2"/>
    <x v="2"/>
    <x v="1"/>
    <s v="N"/>
    <m/>
    <x v="0"/>
    <m/>
    <m/>
  </r>
  <r>
    <x v="729"/>
    <s v="Becky"/>
    <x v="12"/>
    <d v="1899-12-30T11:06:43"/>
    <d v="2021-01-13T11:06:43"/>
    <x v="5"/>
    <x v="2"/>
    <x v="4"/>
    <x v="0"/>
    <s v="Y"/>
    <n v="110"/>
    <x v="0"/>
    <d v="1899-12-30T00:04:43"/>
    <n v="4"/>
  </r>
  <r>
    <x v="730"/>
    <s v="Martha"/>
    <x v="12"/>
    <d v="1899-12-30T11:09:36"/>
    <d v="2021-01-13T11:09:36"/>
    <x v="5"/>
    <x v="2"/>
    <x v="4"/>
    <x v="1"/>
    <s v="N"/>
    <m/>
    <x v="0"/>
    <m/>
    <m/>
  </r>
  <r>
    <x v="731"/>
    <s v="Jim"/>
    <x v="12"/>
    <d v="1899-12-30T11:09:36"/>
    <d v="2021-01-13T11:09:36"/>
    <x v="5"/>
    <x v="2"/>
    <x v="1"/>
    <x v="0"/>
    <s v="Y"/>
    <n v="104"/>
    <x v="0"/>
    <d v="1899-12-30T00:03:24"/>
    <n v="5"/>
  </r>
  <r>
    <x v="732"/>
    <s v="Stewart"/>
    <x v="12"/>
    <d v="1899-12-30T11:45:36"/>
    <d v="2021-01-13T11:45:36"/>
    <x v="5"/>
    <x v="2"/>
    <x v="0"/>
    <x v="0"/>
    <s v="N"/>
    <n v="79"/>
    <x v="0"/>
    <d v="1899-12-30T00:04:58"/>
    <n v="3"/>
  </r>
  <r>
    <x v="733"/>
    <s v="Becky"/>
    <x v="12"/>
    <d v="1899-12-30T11:45:36"/>
    <d v="2021-01-13T11:45:36"/>
    <x v="5"/>
    <x v="2"/>
    <x v="2"/>
    <x v="0"/>
    <s v="Y"/>
    <n v="70"/>
    <x v="0"/>
    <d v="1899-12-30T00:01:31"/>
    <n v="3"/>
  </r>
  <r>
    <x v="734"/>
    <s v="Greg"/>
    <x v="12"/>
    <d v="1899-12-30T11:54:14"/>
    <d v="2021-01-13T11:54:14"/>
    <x v="5"/>
    <x v="2"/>
    <x v="3"/>
    <x v="1"/>
    <s v="N"/>
    <m/>
    <x v="0"/>
    <m/>
    <m/>
  </r>
  <r>
    <x v="735"/>
    <s v="Joe"/>
    <x v="12"/>
    <d v="1899-12-30T11:54:14"/>
    <d v="2021-01-13T11:54:14"/>
    <x v="5"/>
    <x v="2"/>
    <x v="4"/>
    <x v="0"/>
    <s v="Y"/>
    <n v="70"/>
    <x v="0"/>
    <d v="1899-12-30T00:05:39"/>
    <n v="1"/>
  </r>
  <r>
    <x v="736"/>
    <s v="Martha"/>
    <x v="12"/>
    <d v="1899-12-30T12:31:41"/>
    <d v="2021-01-13T12:31:41"/>
    <x v="5"/>
    <x v="3"/>
    <x v="0"/>
    <x v="0"/>
    <s v="Y"/>
    <n v="33"/>
    <x v="0"/>
    <d v="1899-12-30T00:00:52"/>
    <n v="3"/>
  </r>
  <r>
    <x v="737"/>
    <s v="Joe"/>
    <x v="12"/>
    <d v="1899-12-30T12:31:41"/>
    <d v="2021-01-13T12:31:41"/>
    <x v="5"/>
    <x v="3"/>
    <x v="2"/>
    <x v="0"/>
    <s v="Y"/>
    <n v="124"/>
    <x v="0"/>
    <d v="1899-12-30T00:00:54"/>
    <n v="4"/>
  </r>
  <r>
    <x v="738"/>
    <s v="Diane"/>
    <x v="12"/>
    <d v="1899-12-30T12:37:26"/>
    <d v="2021-01-13T12:37:26"/>
    <x v="5"/>
    <x v="3"/>
    <x v="2"/>
    <x v="0"/>
    <s v="Y"/>
    <n v="77"/>
    <x v="0"/>
    <d v="1899-12-30T00:02:04"/>
    <n v="3"/>
  </r>
  <r>
    <x v="739"/>
    <s v="Dan"/>
    <x v="12"/>
    <d v="1899-12-30T12:37:26"/>
    <d v="2021-01-13T12:37:26"/>
    <x v="5"/>
    <x v="3"/>
    <x v="4"/>
    <x v="0"/>
    <s v="Y"/>
    <n v="33"/>
    <x v="0"/>
    <d v="1899-12-30T00:06:21"/>
    <n v="3"/>
  </r>
  <r>
    <x v="740"/>
    <s v="Jim"/>
    <x v="12"/>
    <d v="1899-12-30T12:40:19"/>
    <d v="2021-01-13T12:40:19"/>
    <x v="5"/>
    <x v="3"/>
    <x v="0"/>
    <x v="0"/>
    <s v="Y"/>
    <n v="96"/>
    <x v="0"/>
    <d v="1899-12-30T00:01:07"/>
    <n v="5"/>
  </r>
  <r>
    <x v="741"/>
    <s v="Becky"/>
    <x v="12"/>
    <d v="1899-12-30T12:40:19"/>
    <d v="2021-01-13T12:40:19"/>
    <x v="5"/>
    <x v="3"/>
    <x v="4"/>
    <x v="1"/>
    <s v="N"/>
    <m/>
    <x v="0"/>
    <m/>
    <m/>
  </r>
  <r>
    <x v="742"/>
    <s v="Joe"/>
    <x v="12"/>
    <d v="1899-12-30T14:02:24"/>
    <d v="2021-01-13T14:02:24"/>
    <x v="5"/>
    <x v="5"/>
    <x v="2"/>
    <x v="0"/>
    <s v="Y"/>
    <n v="69"/>
    <x v="0"/>
    <d v="1899-12-30T00:03:48"/>
    <n v="5"/>
  </r>
  <r>
    <x v="743"/>
    <s v="Dan"/>
    <x v="12"/>
    <d v="1899-12-30T14:02:24"/>
    <d v="2021-01-13T14:02:24"/>
    <x v="5"/>
    <x v="5"/>
    <x v="3"/>
    <x v="0"/>
    <s v="Y"/>
    <n v="58"/>
    <x v="0"/>
    <d v="1899-12-30T00:06:32"/>
    <n v="4"/>
  </r>
  <r>
    <x v="744"/>
    <s v="Martha"/>
    <x v="12"/>
    <d v="1899-12-30T14:26:53"/>
    <d v="2021-01-13T14:26:53"/>
    <x v="5"/>
    <x v="5"/>
    <x v="3"/>
    <x v="0"/>
    <s v="N"/>
    <n v="112"/>
    <x v="0"/>
    <d v="1899-12-30T00:00:40"/>
    <n v="3"/>
  </r>
  <r>
    <x v="745"/>
    <s v="Jim"/>
    <x v="12"/>
    <d v="1899-12-30T14:26:53"/>
    <d v="2021-01-13T14:26:53"/>
    <x v="5"/>
    <x v="5"/>
    <x v="1"/>
    <x v="0"/>
    <s v="Y"/>
    <n v="61"/>
    <x v="0"/>
    <d v="1899-12-30T00:04:23"/>
    <n v="3"/>
  </r>
  <r>
    <x v="746"/>
    <s v="Dan"/>
    <x v="12"/>
    <d v="1899-12-30T14:48:29"/>
    <d v="2021-01-13T14:48:29"/>
    <x v="5"/>
    <x v="5"/>
    <x v="3"/>
    <x v="0"/>
    <s v="Y"/>
    <n v="89"/>
    <x v="0"/>
    <d v="1899-12-30T00:03:12"/>
    <n v="3"/>
  </r>
  <r>
    <x v="747"/>
    <s v="Becky"/>
    <x v="12"/>
    <d v="1899-12-30T14:48:29"/>
    <d v="2021-01-13T14:48:29"/>
    <x v="5"/>
    <x v="5"/>
    <x v="2"/>
    <x v="0"/>
    <s v="Y"/>
    <n v="84"/>
    <x v="0"/>
    <d v="1899-12-30T00:03:12"/>
    <n v="5"/>
  </r>
  <r>
    <x v="748"/>
    <s v="Diane"/>
    <x v="12"/>
    <d v="1899-12-30T15:14:24"/>
    <d v="2021-01-13T15:14:24"/>
    <x v="5"/>
    <x v="6"/>
    <x v="1"/>
    <x v="0"/>
    <s v="Y"/>
    <n v="53"/>
    <x v="0"/>
    <d v="1899-12-30T00:03:36"/>
    <n v="3"/>
  </r>
  <r>
    <x v="749"/>
    <s v="Becky"/>
    <x v="12"/>
    <d v="1899-12-30T15:14:24"/>
    <d v="2021-01-13T15:14:24"/>
    <x v="5"/>
    <x v="6"/>
    <x v="4"/>
    <x v="0"/>
    <s v="Y"/>
    <n v="73"/>
    <x v="0"/>
    <d v="1899-12-30T00:01:34"/>
    <n v="3"/>
  </r>
  <r>
    <x v="750"/>
    <s v="Stewart"/>
    <x v="12"/>
    <d v="1899-12-30T15:27:22"/>
    <d v="2021-01-13T15:27:22"/>
    <x v="5"/>
    <x v="6"/>
    <x v="0"/>
    <x v="0"/>
    <s v="Y"/>
    <n v="12"/>
    <x v="1"/>
    <d v="1899-12-30T00:02:11"/>
    <n v="2"/>
  </r>
  <r>
    <x v="751"/>
    <s v="Martha"/>
    <x v="12"/>
    <d v="1899-12-30T15:27:22"/>
    <d v="2021-01-13T15:27:22"/>
    <x v="5"/>
    <x v="6"/>
    <x v="3"/>
    <x v="0"/>
    <s v="Y"/>
    <n v="90"/>
    <x v="0"/>
    <d v="1899-12-30T00:06:32"/>
    <n v="4"/>
  </r>
  <r>
    <x v="752"/>
    <s v="Stewart"/>
    <x v="12"/>
    <d v="1899-12-30T15:34:34"/>
    <d v="2021-01-13T15:34:34"/>
    <x v="5"/>
    <x v="6"/>
    <x v="1"/>
    <x v="1"/>
    <s v="N"/>
    <m/>
    <x v="0"/>
    <m/>
    <m/>
  </r>
  <r>
    <x v="753"/>
    <s v="Dan"/>
    <x v="12"/>
    <d v="1899-12-30T15:34:34"/>
    <d v="2021-01-13T15:34:34"/>
    <x v="5"/>
    <x v="6"/>
    <x v="1"/>
    <x v="0"/>
    <s v="Y"/>
    <n v="23"/>
    <x v="0"/>
    <d v="1899-12-30T00:04:13"/>
    <n v="5"/>
  </r>
  <r>
    <x v="754"/>
    <s v="Greg"/>
    <x v="12"/>
    <d v="1899-12-30T15:40:19"/>
    <d v="2021-01-13T15:40:19"/>
    <x v="5"/>
    <x v="6"/>
    <x v="3"/>
    <x v="0"/>
    <s v="Y"/>
    <n v="98"/>
    <x v="0"/>
    <d v="1899-12-30T00:05:08"/>
    <n v="5"/>
  </r>
  <r>
    <x v="755"/>
    <s v="Diane"/>
    <x v="12"/>
    <d v="1899-12-30T15:40:19"/>
    <d v="2021-01-13T15:40:19"/>
    <x v="5"/>
    <x v="6"/>
    <x v="0"/>
    <x v="0"/>
    <s v="Y"/>
    <n v="28"/>
    <x v="0"/>
    <d v="1899-12-30T00:01:03"/>
    <n v="2"/>
  </r>
  <r>
    <x v="756"/>
    <s v="Diane"/>
    <x v="12"/>
    <d v="1899-12-30T17:58:34"/>
    <d v="2021-01-13T17:58:34"/>
    <x v="5"/>
    <x v="7"/>
    <x v="1"/>
    <x v="0"/>
    <s v="Y"/>
    <n v="123"/>
    <x v="0"/>
    <d v="1899-12-30T00:04:28"/>
    <n v="3"/>
  </r>
  <r>
    <x v="757"/>
    <s v="Becky"/>
    <x v="12"/>
    <d v="1899-12-30T17:58:34"/>
    <d v="2021-01-13T17:58:34"/>
    <x v="5"/>
    <x v="7"/>
    <x v="0"/>
    <x v="0"/>
    <s v="Y"/>
    <n v="82"/>
    <x v="0"/>
    <d v="1899-12-30T00:02:30"/>
    <n v="5"/>
  </r>
  <r>
    <x v="758"/>
    <s v="Martha"/>
    <x v="13"/>
    <d v="1899-12-30T09:02:53"/>
    <d v="2021-01-14T09:02:53"/>
    <x v="6"/>
    <x v="0"/>
    <x v="1"/>
    <x v="0"/>
    <s v="Y"/>
    <n v="57"/>
    <x v="0"/>
    <d v="1899-12-30T00:04:48"/>
    <n v="4"/>
  </r>
  <r>
    <x v="759"/>
    <s v="Stewart"/>
    <x v="13"/>
    <d v="1899-12-30T09:02:53"/>
    <d v="2021-01-14T09:02:53"/>
    <x v="6"/>
    <x v="0"/>
    <x v="4"/>
    <x v="0"/>
    <s v="Y"/>
    <n v="14"/>
    <x v="1"/>
    <d v="1899-12-30T00:01:11"/>
    <n v="5"/>
  </r>
  <r>
    <x v="760"/>
    <s v="Joe"/>
    <x v="13"/>
    <d v="1899-12-30T09:14:24"/>
    <d v="2021-01-14T09:14:24"/>
    <x v="6"/>
    <x v="0"/>
    <x v="1"/>
    <x v="0"/>
    <s v="Y"/>
    <n v="114"/>
    <x v="0"/>
    <d v="1899-12-30T00:00:37"/>
    <n v="4"/>
  </r>
  <r>
    <x v="761"/>
    <s v="Jim"/>
    <x v="13"/>
    <d v="1899-12-30T09:14:24"/>
    <d v="2021-01-14T09:14:24"/>
    <x v="6"/>
    <x v="0"/>
    <x v="2"/>
    <x v="0"/>
    <s v="Y"/>
    <n v="53"/>
    <x v="0"/>
    <d v="1899-12-30T00:04:21"/>
    <n v="5"/>
  </r>
  <r>
    <x v="762"/>
    <s v="Jim"/>
    <x v="13"/>
    <d v="1899-12-30T09:17:17"/>
    <d v="2021-01-14T09:17:17"/>
    <x v="6"/>
    <x v="0"/>
    <x v="1"/>
    <x v="1"/>
    <s v="N"/>
    <m/>
    <x v="0"/>
    <m/>
    <m/>
  </r>
  <r>
    <x v="763"/>
    <s v="Dan"/>
    <x v="13"/>
    <d v="1899-12-30T09:17:17"/>
    <d v="2021-01-14T09:17:17"/>
    <x v="6"/>
    <x v="0"/>
    <x v="1"/>
    <x v="0"/>
    <s v="Y"/>
    <n v="25"/>
    <x v="0"/>
    <d v="1899-12-30T00:04:33"/>
    <n v="4"/>
  </r>
  <r>
    <x v="764"/>
    <s v="Greg"/>
    <x v="13"/>
    <d v="1899-12-30T09:24:29"/>
    <d v="2021-01-14T09:24:29"/>
    <x v="6"/>
    <x v="0"/>
    <x v="3"/>
    <x v="0"/>
    <s v="Y"/>
    <n v="86"/>
    <x v="0"/>
    <d v="1899-12-30T00:03:20"/>
    <n v="2"/>
  </r>
  <r>
    <x v="765"/>
    <s v="Jim"/>
    <x v="13"/>
    <d v="1899-12-30T09:24:29"/>
    <d v="2021-01-14T09:24:29"/>
    <x v="6"/>
    <x v="0"/>
    <x v="2"/>
    <x v="0"/>
    <s v="Y"/>
    <n v="51"/>
    <x v="0"/>
    <d v="1899-12-30T00:02:08"/>
    <n v="4"/>
  </r>
  <r>
    <x v="766"/>
    <s v="Stewart"/>
    <x v="13"/>
    <d v="1899-12-30T10:01:55"/>
    <d v="2021-01-14T10:01:55"/>
    <x v="6"/>
    <x v="1"/>
    <x v="1"/>
    <x v="0"/>
    <s v="Y"/>
    <n v="31"/>
    <x v="0"/>
    <d v="1899-12-30T00:00:56"/>
    <n v="4"/>
  </r>
  <r>
    <x v="767"/>
    <s v="Dan"/>
    <x v="13"/>
    <d v="1899-12-30T10:01:55"/>
    <d v="2021-01-14T10:01:55"/>
    <x v="6"/>
    <x v="1"/>
    <x v="4"/>
    <x v="1"/>
    <s v="N"/>
    <m/>
    <x v="0"/>
    <m/>
    <m/>
  </r>
  <r>
    <x v="768"/>
    <s v="Martha"/>
    <x v="13"/>
    <d v="1899-12-30T10:53:46"/>
    <d v="2021-01-14T10:53:46"/>
    <x v="6"/>
    <x v="1"/>
    <x v="2"/>
    <x v="0"/>
    <s v="Y"/>
    <n v="124"/>
    <x v="0"/>
    <d v="1899-12-30T00:05:04"/>
    <n v="4"/>
  </r>
  <r>
    <x v="769"/>
    <s v="Jim"/>
    <x v="13"/>
    <d v="1899-12-30T10:53:46"/>
    <d v="2021-01-14T10:53:46"/>
    <x v="6"/>
    <x v="1"/>
    <x v="4"/>
    <x v="0"/>
    <s v="Y"/>
    <n v="116"/>
    <x v="0"/>
    <d v="1899-12-30T00:06:48"/>
    <n v="2"/>
  </r>
  <r>
    <x v="770"/>
    <s v="Becky"/>
    <x v="13"/>
    <d v="1899-12-30T11:19:41"/>
    <d v="2021-01-14T11:19:41"/>
    <x v="6"/>
    <x v="2"/>
    <x v="0"/>
    <x v="0"/>
    <s v="Y"/>
    <n v="41"/>
    <x v="0"/>
    <d v="1899-12-30T00:04:03"/>
    <n v="2"/>
  </r>
  <r>
    <x v="771"/>
    <s v="Greg"/>
    <x v="13"/>
    <d v="1899-12-30T11:19:41"/>
    <d v="2021-01-14T11:19:41"/>
    <x v="6"/>
    <x v="2"/>
    <x v="0"/>
    <x v="0"/>
    <s v="Y"/>
    <n v="53"/>
    <x v="0"/>
    <d v="1899-12-30T00:04:38"/>
    <n v="2"/>
  </r>
  <r>
    <x v="772"/>
    <s v="Martha"/>
    <x v="13"/>
    <d v="1899-12-30T11:32:38"/>
    <d v="2021-01-14T11:32:38"/>
    <x v="6"/>
    <x v="2"/>
    <x v="1"/>
    <x v="0"/>
    <s v="Y"/>
    <n v="85"/>
    <x v="0"/>
    <d v="1899-12-30T00:02:04"/>
    <n v="4"/>
  </r>
  <r>
    <x v="773"/>
    <s v="Joe"/>
    <x v="13"/>
    <d v="1899-12-30T11:32:38"/>
    <d v="2021-01-14T11:32:38"/>
    <x v="6"/>
    <x v="2"/>
    <x v="4"/>
    <x v="0"/>
    <s v="Y"/>
    <n v="18"/>
    <x v="1"/>
    <d v="1899-12-30T00:04:38"/>
    <n v="5"/>
  </r>
  <r>
    <x v="774"/>
    <s v="Stewart"/>
    <x v="13"/>
    <d v="1899-12-30T11:35:31"/>
    <d v="2021-01-14T11:35:31"/>
    <x v="6"/>
    <x v="2"/>
    <x v="2"/>
    <x v="0"/>
    <s v="Y"/>
    <n v="17"/>
    <x v="1"/>
    <d v="1899-12-30T00:04:13"/>
    <n v="4"/>
  </r>
  <r>
    <x v="775"/>
    <s v="Joe"/>
    <x v="13"/>
    <d v="1899-12-30T11:35:31"/>
    <d v="2021-01-14T11:35:31"/>
    <x v="6"/>
    <x v="2"/>
    <x v="1"/>
    <x v="0"/>
    <s v="Y"/>
    <n v="102"/>
    <x v="0"/>
    <d v="1899-12-30T00:02:58"/>
    <n v="4"/>
  </r>
  <r>
    <x v="776"/>
    <s v="Jim"/>
    <x v="13"/>
    <d v="1899-12-30T12:01:26"/>
    <d v="2021-01-14T12:01:26"/>
    <x v="6"/>
    <x v="3"/>
    <x v="1"/>
    <x v="0"/>
    <s v="Y"/>
    <n v="26"/>
    <x v="0"/>
    <d v="1899-12-30T00:06:41"/>
    <n v="1"/>
  </r>
  <r>
    <x v="777"/>
    <s v="Joe"/>
    <x v="13"/>
    <d v="1899-12-30T12:01:26"/>
    <d v="2021-01-14T12:01:26"/>
    <x v="6"/>
    <x v="3"/>
    <x v="2"/>
    <x v="0"/>
    <s v="Y"/>
    <n v="107"/>
    <x v="0"/>
    <d v="1899-12-30T00:06:22"/>
    <n v="3"/>
  </r>
  <r>
    <x v="778"/>
    <s v="Greg"/>
    <x v="13"/>
    <d v="1899-12-30T12:05:46"/>
    <d v="2021-01-14T12:05:46"/>
    <x v="6"/>
    <x v="3"/>
    <x v="1"/>
    <x v="1"/>
    <s v="N"/>
    <m/>
    <x v="0"/>
    <m/>
    <m/>
  </r>
  <r>
    <x v="779"/>
    <s v="Greg"/>
    <x v="13"/>
    <d v="1899-12-30T12:05:46"/>
    <d v="2021-01-14T12:05:46"/>
    <x v="6"/>
    <x v="3"/>
    <x v="4"/>
    <x v="0"/>
    <s v="Y"/>
    <n v="35"/>
    <x v="0"/>
    <d v="1899-12-30T00:04:24"/>
    <n v="5"/>
  </r>
  <r>
    <x v="780"/>
    <s v="Joe"/>
    <x v="13"/>
    <d v="1899-12-30T12:11:31"/>
    <d v="2021-01-14T12:11:31"/>
    <x v="6"/>
    <x v="3"/>
    <x v="1"/>
    <x v="0"/>
    <s v="Y"/>
    <n v="100"/>
    <x v="0"/>
    <d v="1899-12-30T00:05:24"/>
    <n v="2"/>
  </r>
  <r>
    <x v="781"/>
    <s v="Diane"/>
    <x v="13"/>
    <d v="1899-12-30T12:11:31"/>
    <d v="2021-01-14T12:11:31"/>
    <x v="6"/>
    <x v="3"/>
    <x v="3"/>
    <x v="0"/>
    <s v="Y"/>
    <n v="12"/>
    <x v="1"/>
    <d v="1899-12-30T00:06:19"/>
    <n v="4"/>
  </r>
  <r>
    <x v="782"/>
    <s v="Jim"/>
    <x v="13"/>
    <d v="1899-12-30T12:33:07"/>
    <d v="2021-01-14T12:33:07"/>
    <x v="6"/>
    <x v="3"/>
    <x v="2"/>
    <x v="0"/>
    <s v="Y"/>
    <n v="43"/>
    <x v="0"/>
    <d v="1899-12-30T00:03:54"/>
    <n v="4"/>
  </r>
  <r>
    <x v="783"/>
    <s v="Becky"/>
    <x v="13"/>
    <d v="1899-12-30T12:33:07"/>
    <d v="2021-01-14T12:33:07"/>
    <x v="6"/>
    <x v="3"/>
    <x v="2"/>
    <x v="0"/>
    <s v="Y"/>
    <n v="68"/>
    <x v="0"/>
    <d v="1899-12-30T00:01:49"/>
    <n v="4"/>
  </r>
  <r>
    <x v="784"/>
    <s v="Joe"/>
    <x v="13"/>
    <d v="1899-12-30T12:43:12"/>
    <d v="2021-01-14T12:43:12"/>
    <x v="6"/>
    <x v="3"/>
    <x v="4"/>
    <x v="0"/>
    <s v="Y"/>
    <n v="81"/>
    <x v="0"/>
    <d v="1899-12-30T00:01:55"/>
    <n v="3"/>
  </r>
  <r>
    <x v="785"/>
    <s v="Martha"/>
    <x v="13"/>
    <d v="1899-12-30T12:43:12"/>
    <d v="2021-01-14T12:43:12"/>
    <x v="6"/>
    <x v="3"/>
    <x v="0"/>
    <x v="0"/>
    <s v="N"/>
    <n v="49"/>
    <x v="0"/>
    <d v="1899-12-30T00:06:21"/>
    <n v="5"/>
  </r>
  <r>
    <x v="786"/>
    <s v="Dan"/>
    <x v="13"/>
    <d v="1899-12-30T13:01:55"/>
    <d v="2021-01-14T13:01:55"/>
    <x v="6"/>
    <x v="4"/>
    <x v="1"/>
    <x v="0"/>
    <s v="Y"/>
    <n v="101"/>
    <x v="0"/>
    <d v="1899-12-30T00:06:10"/>
    <n v="3"/>
  </r>
  <r>
    <x v="787"/>
    <s v="Joe"/>
    <x v="13"/>
    <d v="1899-12-30T13:01:55"/>
    <d v="2021-01-14T13:01:55"/>
    <x v="6"/>
    <x v="4"/>
    <x v="0"/>
    <x v="0"/>
    <s v="Y"/>
    <n v="72"/>
    <x v="0"/>
    <d v="1899-12-30T00:05:58"/>
    <n v="3"/>
  </r>
  <r>
    <x v="788"/>
    <s v="Martha"/>
    <x v="13"/>
    <d v="1899-12-30T13:30:43"/>
    <d v="2021-01-14T13:30:43"/>
    <x v="6"/>
    <x v="4"/>
    <x v="1"/>
    <x v="0"/>
    <s v="Y"/>
    <n v="18"/>
    <x v="1"/>
    <d v="1899-12-30T00:01:50"/>
    <n v="3"/>
  </r>
  <r>
    <x v="789"/>
    <s v="Diane"/>
    <x v="13"/>
    <d v="1899-12-30T13:30:43"/>
    <d v="2021-01-14T13:30:43"/>
    <x v="6"/>
    <x v="4"/>
    <x v="0"/>
    <x v="0"/>
    <s v="Y"/>
    <n v="86"/>
    <x v="0"/>
    <d v="1899-12-30T00:04:33"/>
    <n v="5"/>
  </r>
  <r>
    <x v="790"/>
    <s v="Dan"/>
    <x v="13"/>
    <d v="1899-12-30T13:35:02"/>
    <d v="2021-01-14T13:35:02"/>
    <x v="6"/>
    <x v="4"/>
    <x v="3"/>
    <x v="0"/>
    <s v="Y"/>
    <n v="109"/>
    <x v="0"/>
    <d v="1899-12-30T00:00:38"/>
    <n v="4"/>
  </r>
  <r>
    <x v="791"/>
    <s v="Martha"/>
    <x v="13"/>
    <d v="1899-12-30T13:35:02"/>
    <d v="2021-01-14T13:35:02"/>
    <x v="6"/>
    <x v="4"/>
    <x v="1"/>
    <x v="1"/>
    <s v="N"/>
    <m/>
    <x v="0"/>
    <m/>
    <m/>
  </r>
  <r>
    <x v="792"/>
    <s v="Martha"/>
    <x v="13"/>
    <d v="1899-12-30T14:09:36"/>
    <d v="2021-01-14T14:09:36"/>
    <x v="6"/>
    <x v="5"/>
    <x v="3"/>
    <x v="0"/>
    <s v="Y"/>
    <n v="32"/>
    <x v="0"/>
    <d v="1899-12-30T00:04:12"/>
    <n v="2"/>
  </r>
  <r>
    <x v="793"/>
    <s v="Dan"/>
    <x v="13"/>
    <d v="1899-12-30T14:09:36"/>
    <d v="2021-01-14T14:09:36"/>
    <x v="6"/>
    <x v="5"/>
    <x v="0"/>
    <x v="0"/>
    <s v="Y"/>
    <n v="68"/>
    <x v="0"/>
    <d v="1899-12-30T00:05:15"/>
    <n v="3"/>
  </r>
  <r>
    <x v="794"/>
    <s v="Joe"/>
    <x v="13"/>
    <d v="1899-12-30T14:38:24"/>
    <d v="2021-01-14T14:38:24"/>
    <x v="6"/>
    <x v="5"/>
    <x v="1"/>
    <x v="0"/>
    <s v="Y"/>
    <n v="10"/>
    <x v="1"/>
    <d v="1899-12-30T00:06:57"/>
    <n v="4"/>
  </r>
  <r>
    <x v="795"/>
    <s v="Jim"/>
    <x v="13"/>
    <d v="1899-12-30T14:38:24"/>
    <d v="2021-01-14T14:38:24"/>
    <x v="6"/>
    <x v="5"/>
    <x v="2"/>
    <x v="0"/>
    <s v="Y"/>
    <n v="76"/>
    <x v="0"/>
    <d v="1899-12-30T00:04:47"/>
    <n v="5"/>
  </r>
  <r>
    <x v="796"/>
    <s v="Dan"/>
    <x v="13"/>
    <d v="1899-12-30T14:57:07"/>
    <d v="2021-01-14T14:57:07"/>
    <x v="6"/>
    <x v="5"/>
    <x v="2"/>
    <x v="0"/>
    <s v="Y"/>
    <n v="124"/>
    <x v="0"/>
    <d v="1899-12-30T00:06:33"/>
    <n v="3"/>
  </r>
  <r>
    <x v="797"/>
    <s v="Becky"/>
    <x v="13"/>
    <d v="1899-12-30T14:57:07"/>
    <d v="2021-01-14T14:57:07"/>
    <x v="6"/>
    <x v="5"/>
    <x v="1"/>
    <x v="0"/>
    <s v="Y"/>
    <n v="28"/>
    <x v="0"/>
    <d v="1899-12-30T00:04:12"/>
    <n v="3"/>
  </r>
  <r>
    <x v="798"/>
    <s v="Becky"/>
    <x v="13"/>
    <d v="1899-12-30T15:20:10"/>
    <d v="2021-01-14T15:20:10"/>
    <x v="6"/>
    <x v="6"/>
    <x v="4"/>
    <x v="0"/>
    <s v="Y"/>
    <n v="107"/>
    <x v="0"/>
    <d v="1899-12-30T00:01:39"/>
    <n v="4"/>
  </r>
  <r>
    <x v="799"/>
    <s v="Martha"/>
    <x v="13"/>
    <d v="1899-12-30T15:20:10"/>
    <d v="2021-01-14T15:20:10"/>
    <x v="6"/>
    <x v="6"/>
    <x v="3"/>
    <x v="1"/>
    <s v="N"/>
    <m/>
    <x v="0"/>
    <m/>
    <m/>
  </r>
  <r>
    <x v="800"/>
    <s v="Diane"/>
    <x v="13"/>
    <d v="1899-12-30T15:51:50"/>
    <d v="2021-01-14T15:51:50"/>
    <x v="6"/>
    <x v="6"/>
    <x v="4"/>
    <x v="1"/>
    <s v="N"/>
    <m/>
    <x v="0"/>
    <m/>
    <m/>
  </r>
  <r>
    <x v="801"/>
    <s v="Martha"/>
    <x v="13"/>
    <d v="1899-12-30T15:51:50"/>
    <d v="2021-01-14T15:51:50"/>
    <x v="6"/>
    <x v="6"/>
    <x v="3"/>
    <x v="1"/>
    <s v="N"/>
    <m/>
    <x v="0"/>
    <m/>
    <m/>
  </r>
  <r>
    <x v="802"/>
    <s v="Stewart"/>
    <x v="13"/>
    <d v="1899-12-30T15:54:43"/>
    <d v="2021-01-14T15:54:43"/>
    <x v="6"/>
    <x v="6"/>
    <x v="4"/>
    <x v="1"/>
    <s v="N"/>
    <m/>
    <x v="0"/>
    <m/>
    <m/>
  </r>
  <r>
    <x v="803"/>
    <s v="Joe"/>
    <x v="13"/>
    <d v="1899-12-30T15:54:43"/>
    <d v="2021-01-14T15:54:43"/>
    <x v="6"/>
    <x v="6"/>
    <x v="1"/>
    <x v="1"/>
    <s v="N"/>
    <m/>
    <x v="0"/>
    <m/>
    <m/>
  </r>
  <r>
    <x v="804"/>
    <s v="Diane"/>
    <x v="13"/>
    <d v="1899-12-30T16:27:50"/>
    <d v="2021-01-14T16:27:50"/>
    <x v="6"/>
    <x v="8"/>
    <x v="0"/>
    <x v="0"/>
    <s v="Y"/>
    <n v="21"/>
    <x v="0"/>
    <d v="1899-12-30T00:01:40"/>
    <n v="4"/>
  </r>
  <r>
    <x v="805"/>
    <s v="Dan"/>
    <x v="13"/>
    <d v="1899-12-30T16:27:50"/>
    <d v="2021-01-14T16:27:50"/>
    <x v="6"/>
    <x v="8"/>
    <x v="4"/>
    <x v="0"/>
    <s v="Y"/>
    <n v="66"/>
    <x v="0"/>
    <d v="1899-12-30T00:05:43"/>
    <n v="2"/>
  </r>
  <r>
    <x v="806"/>
    <s v="Becky"/>
    <x v="13"/>
    <d v="1899-12-30T16:39:22"/>
    <d v="2021-01-14T16:39:22"/>
    <x v="6"/>
    <x v="8"/>
    <x v="1"/>
    <x v="1"/>
    <s v="N"/>
    <m/>
    <x v="0"/>
    <m/>
    <m/>
  </r>
  <r>
    <x v="807"/>
    <s v="Greg"/>
    <x v="13"/>
    <d v="1899-12-30T16:39:22"/>
    <d v="2021-01-14T16:39:22"/>
    <x v="6"/>
    <x v="8"/>
    <x v="4"/>
    <x v="0"/>
    <s v="Y"/>
    <n v="19"/>
    <x v="1"/>
    <d v="1899-12-30T00:06:32"/>
    <n v="3"/>
  </r>
  <r>
    <x v="808"/>
    <s v="Greg"/>
    <x v="13"/>
    <d v="1899-12-30T17:19:41"/>
    <d v="2021-01-14T17:19:41"/>
    <x v="6"/>
    <x v="7"/>
    <x v="0"/>
    <x v="0"/>
    <s v="Y"/>
    <n v="100"/>
    <x v="0"/>
    <d v="1899-12-30T00:05:59"/>
    <n v="4"/>
  </r>
  <r>
    <x v="809"/>
    <s v="Jim"/>
    <x v="13"/>
    <d v="1899-12-30T17:19:41"/>
    <d v="2021-01-14T17:19:41"/>
    <x v="6"/>
    <x v="7"/>
    <x v="1"/>
    <x v="0"/>
    <s v="Y"/>
    <n v="108"/>
    <x v="0"/>
    <d v="1899-12-30T00:06:24"/>
    <n v="4"/>
  </r>
  <r>
    <x v="810"/>
    <s v="Stewart"/>
    <x v="13"/>
    <d v="1899-12-30T17:22:34"/>
    <d v="2021-01-14T17:22:34"/>
    <x v="6"/>
    <x v="7"/>
    <x v="1"/>
    <x v="0"/>
    <s v="Y"/>
    <n v="123"/>
    <x v="0"/>
    <d v="1899-12-30T00:04:35"/>
    <n v="1"/>
  </r>
  <r>
    <x v="811"/>
    <s v="Greg"/>
    <x v="13"/>
    <d v="1899-12-30T17:22:34"/>
    <d v="2021-01-14T17:22:34"/>
    <x v="6"/>
    <x v="7"/>
    <x v="0"/>
    <x v="1"/>
    <s v="N"/>
    <m/>
    <x v="0"/>
    <m/>
    <m/>
  </r>
  <r>
    <x v="812"/>
    <s v="Dan"/>
    <x v="13"/>
    <d v="1899-12-30T17:32:38"/>
    <d v="2021-01-14T17:32:38"/>
    <x v="6"/>
    <x v="7"/>
    <x v="0"/>
    <x v="0"/>
    <s v="Y"/>
    <n v="76"/>
    <x v="0"/>
    <d v="1899-12-30T00:02:07"/>
    <n v="2"/>
  </r>
  <r>
    <x v="813"/>
    <s v="Joe"/>
    <x v="13"/>
    <d v="1899-12-30T17:32:38"/>
    <d v="2021-01-14T17:32:38"/>
    <x v="6"/>
    <x v="7"/>
    <x v="0"/>
    <x v="0"/>
    <s v="Y"/>
    <n v="78"/>
    <x v="0"/>
    <d v="1899-12-30T00:01:33"/>
    <n v="2"/>
  </r>
  <r>
    <x v="814"/>
    <s v="Becky"/>
    <x v="13"/>
    <d v="1899-12-30T17:32:38"/>
    <d v="2021-01-14T17:32:38"/>
    <x v="6"/>
    <x v="7"/>
    <x v="4"/>
    <x v="0"/>
    <s v="Y"/>
    <n v="17"/>
    <x v="1"/>
    <d v="1899-12-30T00:02:33"/>
    <n v="1"/>
  </r>
  <r>
    <x v="815"/>
    <s v="Diane"/>
    <x v="13"/>
    <d v="1899-12-30T17:32:38"/>
    <d v="2021-01-14T17:32:38"/>
    <x v="6"/>
    <x v="7"/>
    <x v="4"/>
    <x v="0"/>
    <s v="Y"/>
    <n v="60"/>
    <x v="0"/>
    <d v="1899-12-30T00:04:13"/>
    <n v="4"/>
  </r>
  <r>
    <x v="816"/>
    <s v="Jim"/>
    <x v="14"/>
    <d v="1899-12-30T09:40:19"/>
    <d v="2021-01-15T09:40:19"/>
    <x v="0"/>
    <x v="0"/>
    <x v="0"/>
    <x v="0"/>
    <s v="Y"/>
    <n v="76"/>
    <x v="0"/>
    <d v="1899-12-30T00:01:47"/>
    <n v="3"/>
  </r>
  <r>
    <x v="817"/>
    <s v="Greg"/>
    <x v="14"/>
    <d v="1899-12-30T09:40:19"/>
    <d v="2021-01-15T09:40:19"/>
    <x v="0"/>
    <x v="0"/>
    <x v="0"/>
    <x v="0"/>
    <s v="Y"/>
    <n v="80"/>
    <x v="0"/>
    <d v="1899-12-30T00:04:02"/>
    <n v="4"/>
  </r>
  <r>
    <x v="818"/>
    <s v="Greg"/>
    <x v="14"/>
    <d v="1899-12-30T09:40:19"/>
    <d v="2021-01-15T09:40:19"/>
    <x v="0"/>
    <x v="0"/>
    <x v="3"/>
    <x v="0"/>
    <s v="N"/>
    <n v="20"/>
    <x v="1"/>
    <d v="1899-12-30T00:05:37"/>
    <n v="4"/>
  </r>
  <r>
    <x v="819"/>
    <s v="Becky"/>
    <x v="14"/>
    <d v="1899-12-30T09:40:19"/>
    <d v="2021-01-15T09:40:19"/>
    <x v="0"/>
    <x v="0"/>
    <x v="3"/>
    <x v="0"/>
    <s v="Y"/>
    <n v="82"/>
    <x v="0"/>
    <d v="1899-12-30T00:06:22"/>
    <n v="3"/>
  </r>
  <r>
    <x v="820"/>
    <s v="Stewart"/>
    <x v="14"/>
    <d v="1899-12-30T09:50:24"/>
    <d v="2021-01-15T09:50:24"/>
    <x v="0"/>
    <x v="0"/>
    <x v="1"/>
    <x v="0"/>
    <s v="Y"/>
    <n v="33"/>
    <x v="0"/>
    <d v="1899-12-30T00:05:52"/>
    <n v="3"/>
  </r>
  <r>
    <x v="821"/>
    <s v="Stewart"/>
    <x v="14"/>
    <d v="1899-12-30T09:50:24"/>
    <d v="2021-01-15T09:50:24"/>
    <x v="0"/>
    <x v="0"/>
    <x v="3"/>
    <x v="0"/>
    <s v="Y"/>
    <n v="93"/>
    <x v="0"/>
    <d v="1899-12-30T00:01:56"/>
    <n v="3"/>
  </r>
  <r>
    <x v="822"/>
    <s v="Diane"/>
    <x v="14"/>
    <d v="1899-12-30T10:56:38"/>
    <d v="2021-01-15T10:56:38"/>
    <x v="0"/>
    <x v="1"/>
    <x v="4"/>
    <x v="0"/>
    <s v="Y"/>
    <n v="29"/>
    <x v="0"/>
    <d v="1899-12-30T00:03:00"/>
    <n v="4"/>
  </r>
  <r>
    <x v="823"/>
    <s v="Martha"/>
    <x v="14"/>
    <d v="1899-12-30T10:56:38"/>
    <d v="2021-01-15T10:56:38"/>
    <x v="0"/>
    <x v="1"/>
    <x v="3"/>
    <x v="0"/>
    <s v="Y"/>
    <n v="83"/>
    <x v="0"/>
    <d v="1899-12-30T00:06:53"/>
    <n v="4"/>
  </r>
  <r>
    <x v="824"/>
    <s v="Stewart"/>
    <x v="14"/>
    <d v="1899-12-30T11:31:12"/>
    <d v="2021-01-15T11:31:12"/>
    <x v="0"/>
    <x v="2"/>
    <x v="2"/>
    <x v="0"/>
    <s v="Y"/>
    <n v="113"/>
    <x v="0"/>
    <d v="1899-12-30T00:02:01"/>
    <n v="4"/>
  </r>
  <r>
    <x v="825"/>
    <s v="Stewart"/>
    <x v="14"/>
    <d v="1899-12-30T11:31:12"/>
    <d v="2021-01-15T11:31:12"/>
    <x v="0"/>
    <x v="2"/>
    <x v="3"/>
    <x v="0"/>
    <s v="Y"/>
    <n v="21"/>
    <x v="0"/>
    <d v="1899-12-30T00:03:26"/>
    <n v="4"/>
  </r>
  <r>
    <x v="826"/>
    <s v="Becky"/>
    <x v="14"/>
    <d v="1899-12-30T11:38:24"/>
    <d v="2021-01-15T11:38:24"/>
    <x v="0"/>
    <x v="2"/>
    <x v="3"/>
    <x v="0"/>
    <s v="N"/>
    <n v="82"/>
    <x v="0"/>
    <d v="1899-12-30T00:02:40"/>
    <n v="4"/>
  </r>
  <r>
    <x v="827"/>
    <s v="Diane"/>
    <x v="14"/>
    <d v="1899-12-30T11:38:24"/>
    <d v="2021-01-15T11:38:24"/>
    <x v="0"/>
    <x v="2"/>
    <x v="4"/>
    <x v="0"/>
    <s v="Y"/>
    <n v="91"/>
    <x v="0"/>
    <d v="1899-12-30T00:03:47"/>
    <n v="3"/>
  </r>
  <r>
    <x v="828"/>
    <s v="Dan"/>
    <x v="14"/>
    <d v="1899-12-30T11:45:36"/>
    <d v="2021-01-15T11:45:36"/>
    <x v="0"/>
    <x v="2"/>
    <x v="1"/>
    <x v="0"/>
    <s v="Y"/>
    <n v="111"/>
    <x v="0"/>
    <d v="1899-12-30T00:00:40"/>
    <n v="4"/>
  </r>
  <r>
    <x v="829"/>
    <s v="Martha"/>
    <x v="14"/>
    <d v="1899-12-30T11:45:36"/>
    <d v="2021-01-15T11:45:36"/>
    <x v="0"/>
    <x v="2"/>
    <x v="3"/>
    <x v="0"/>
    <s v="Y"/>
    <n v="70"/>
    <x v="0"/>
    <d v="1899-12-30T00:05:13"/>
    <n v="4"/>
  </r>
  <r>
    <x v="830"/>
    <s v="Dan"/>
    <x v="14"/>
    <d v="1899-12-30T13:46:34"/>
    <d v="2021-01-15T13:46:34"/>
    <x v="0"/>
    <x v="4"/>
    <x v="1"/>
    <x v="1"/>
    <s v="N"/>
    <m/>
    <x v="0"/>
    <m/>
    <m/>
  </r>
  <r>
    <x v="831"/>
    <s v="Joe"/>
    <x v="14"/>
    <d v="1899-12-30T13:46:34"/>
    <d v="2021-01-15T13:46:34"/>
    <x v="0"/>
    <x v="4"/>
    <x v="4"/>
    <x v="0"/>
    <s v="Y"/>
    <n v="58"/>
    <x v="0"/>
    <d v="1899-12-30T00:04:19"/>
    <n v="4"/>
  </r>
  <r>
    <x v="832"/>
    <s v="Jim"/>
    <x v="14"/>
    <d v="1899-12-30T13:53:46"/>
    <d v="2021-01-15T13:53:46"/>
    <x v="0"/>
    <x v="4"/>
    <x v="4"/>
    <x v="0"/>
    <s v="Y"/>
    <n v="10"/>
    <x v="1"/>
    <d v="1899-12-30T00:05:27"/>
    <n v="4"/>
  </r>
  <r>
    <x v="833"/>
    <s v="Becky"/>
    <x v="14"/>
    <d v="1899-12-30T13:53:46"/>
    <d v="2021-01-15T13:53:46"/>
    <x v="0"/>
    <x v="4"/>
    <x v="2"/>
    <x v="0"/>
    <s v="Y"/>
    <n v="77"/>
    <x v="0"/>
    <d v="1899-12-30T00:03:00"/>
    <n v="1"/>
  </r>
  <r>
    <x v="834"/>
    <s v="Diane"/>
    <x v="14"/>
    <d v="1899-12-30T14:08:10"/>
    <d v="2021-01-15T14:08:10"/>
    <x v="0"/>
    <x v="5"/>
    <x v="4"/>
    <x v="0"/>
    <s v="Y"/>
    <n v="92"/>
    <x v="0"/>
    <d v="1899-12-30T00:03:59"/>
    <n v="4"/>
  </r>
  <r>
    <x v="835"/>
    <s v="Jim"/>
    <x v="14"/>
    <d v="1899-12-30T14:08:10"/>
    <d v="2021-01-15T14:08:10"/>
    <x v="0"/>
    <x v="5"/>
    <x v="3"/>
    <x v="0"/>
    <s v="Y"/>
    <n v="59"/>
    <x v="0"/>
    <d v="1899-12-30T00:02:09"/>
    <n v="1"/>
  </r>
  <r>
    <x v="836"/>
    <s v="Diane"/>
    <x v="14"/>
    <d v="1899-12-30T14:13:55"/>
    <d v="2021-01-15T14:13:55"/>
    <x v="0"/>
    <x v="5"/>
    <x v="3"/>
    <x v="0"/>
    <s v="Y"/>
    <n v="42"/>
    <x v="0"/>
    <d v="1899-12-30T00:04:19"/>
    <n v="2"/>
  </r>
  <r>
    <x v="837"/>
    <s v="Greg"/>
    <x v="14"/>
    <d v="1899-12-30T14:13:55"/>
    <d v="2021-01-15T14:13:55"/>
    <x v="0"/>
    <x v="5"/>
    <x v="2"/>
    <x v="0"/>
    <s v="Y"/>
    <n v="110"/>
    <x v="0"/>
    <d v="1899-12-30T00:04:32"/>
    <n v="3"/>
  </r>
  <r>
    <x v="838"/>
    <s v="Jim"/>
    <x v="14"/>
    <d v="1899-12-30T15:01:26"/>
    <d v="2021-01-15T15:01:26"/>
    <x v="0"/>
    <x v="6"/>
    <x v="0"/>
    <x v="0"/>
    <s v="Y"/>
    <n v="21"/>
    <x v="0"/>
    <d v="1899-12-30T00:01:32"/>
    <n v="5"/>
  </r>
  <r>
    <x v="839"/>
    <s v="Diane"/>
    <x v="14"/>
    <d v="1899-12-30T15:01:26"/>
    <d v="2021-01-15T15:01:26"/>
    <x v="0"/>
    <x v="6"/>
    <x v="2"/>
    <x v="1"/>
    <s v="N"/>
    <m/>
    <x v="0"/>
    <m/>
    <m/>
  </r>
  <r>
    <x v="840"/>
    <s v="Diane"/>
    <x v="14"/>
    <d v="1899-12-30T15:21:36"/>
    <d v="2021-01-15T15:21:36"/>
    <x v="0"/>
    <x v="6"/>
    <x v="1"/>
    <x v="0"/>
    <s v="N"/>
    <n v="60"/>
    <x v="0"/>
    <d v="1899-12-30T00:03:28"/>
    <n v="4"/>
  </r>
  <r>
    <x v="841"/>
    <s v="Greg"/>
    <x v="14"/>
    <d v="1899-12-30T15:21:36"/>
    <d v="2021-01-15T15:21:36"/>
    <x v="0"/>
    <x v="6"/>
    <x v="2"/>
    <x v="0"/>
    <s v="Y"/>
    <n v="93"/>
    <x v="0"/>
    <d v="1899-12-30T00:02:25"/>
    <n v="2"/>
  </r>
  <r>
    <x v="842"/>
    <s v="Greg"/>
    <x v="14"/>
    <d v="1899-12-30T15:30:14"/>
    <d v="2021-01-15T15:30:14"/>
    <x v="0"/>
    <x v="6"/>
    <x v="0"/>
    <x v="1"/>
    <s v="N"/>
    <m/>
    <x v="0"/>
    <m/>
    <m/>
  </r>
  <r>
    <x v="843"/>
    <s v="Diane"/>
    <x v="14"/>
    <d v="1899-12-30T15:30:14"/>
    <d v="2021-01-15T15:30:14"/>
    <x v="0"/>
    <x v="6"/>
    <x v="4"/>
    <x v="0"/>
    <s v="Y"/>
    <n v="79"/>
    <x v="0"/>
    <d v="1899-12-30T00:06:12"/>
    <n v="3"/>
  </r>
  <r>
    <x v="844"/>
    <s v="Diane"/>
    <x v="14"/>
    <d v="1899-12-30T15:46:05"/>
    <d v="2021-01-15T15:46:05"/>
    <x v="0"/>
    <x v="6"/>
    <x v="1"/>
    <x v="0"/>
    <s v="Y"/>
    <n v="21"/>
    <x v="0"/>
    <d v="1899-12-30T00:05:57"/>
    <n v="5"/>
  </r>
  <r>
    <x v="845"/>
    <s v="Stewart"/>
    <x v="14"/>
    <d v="1899-12-30T15:46:05"/>
    <d v="2021-01-15T15:46:05"/>
    <x v="0"/>
    <x v="6"/>
    <x v="0"/>
    <x v="0"/>
    <s v="Y"/>
    <n v="102"/>
    <x v="0"/>
    <d v="1899-12-30T00:02:46"/>
    <n v="5"/>
  </r>
  <r>
    <x v="846"/>
    <s v="Joe"/>
    <x v="14"/>
    <d v="1899-12-30T16:06:14"/>
    <d v="2021-01-15T16:06:14"/>
    <x v="0"/>
    <x v="8"/>
    <x v="2"/>
    <x v="0"/>
    <s v="N"/>
    <n v="10"/>
    <x v="1"/>
    <d v="1899-12-30T00:01:18"/>
    <n v="5"/>
  </r>
  <r>
    <x v="847"/>
    <s v="Stewart"/>
    <x v="14"/>
    <d v="1899-12-30T16:06:14"/>
    <d v="2021-01-15T16:06:14"/>
    <x v="0"/>
    <x v="8"/>
    <x v="1"/>
    <x v="0"/>
    <s v="Y"/>
    <n v="117"/>
    <x v="0"/>
    <d v="1899-12-30T00:00:41"/>
    <n v="4"/>
  </r>
  <r>
    <x v="848"/>
    <s v="Becky"/>
    <x v="14"/>
    <d v="1899-12-30T16:37:55"/>
    <d v="2021-01-15T16:37:55"/>
    <x v="0"/>
    <x v="8"/>
    <x v="0"/>
    <x v="0"/>
    <s v="Y"/>
    <n v="45"/>
    <x v="0"/>
    <d v="1899-12-30T00:06:53"/>
    <n v="3"/>
  </r>
  <r>
    <x v="849"/>
    <s v="Greg"/>
    <x v="14"/>
    <d v="1899-12-30T16:37:55"/>
    <d v="2021-01-15T16:37:55"/>
    <x v="0"/>
    <x v="8"/>
    <x v="3"/>
    <x v="0"/>
    <s v="N"/>
    <n v="50"/>
    <x v="0"/>
    <d v="1899-12-30T00:01:01"/>
    <n v="3"/>
  </r>
  <r>
    <x v="850"/>
    <s v="Becky"/>
    <x v="14"/>
    <d v="1899-12-30T16:40:48"/>
    <d v="2021-01-15T16:40:48"/>
    <x v="0"/>
    <x v="8"/>
    <x v="3"/>
    <x v="0"/>
    <s v="Y"/>
    <n v="42"/>
    <x v="0"/>
    <d v="1899-12-30T00:02:48"/>
    <n v="3"/>
  </r>
  <r>
    <x v="851"/>
    <s v="Jim"/>
    <x v="14"/>
    <d v="1899-12-30T16:40:48"/>
    <d v="2021-01-15T16:40:48"/>
    <x v="0"/>
    <x v="8"/>
    <x v="0"/>
    <x v="0"/>
    <s v="Y"/>
    <n v="86"/>
    <x v="0"/>
    <d v="1899-12-30T00:06:03"/>
    <n v="3"/>
  </r>
  <r>
    <x v="852"/>
    <s v="Jim"/>
    <x v="14"/>
    <d v="1899-12-30T16:43:41"/>
    <d v="2021-01-15T16:43:41"/>
    <x v="0"/>
    <x v="8"/>
    <x v="0"/>
    <x v="0"/>
    <s v="Y"/>
    <n v="92"/>
    <x v="0"/>
    <d v="1899-12-30T00:04:43"/>
    <n v="5"/>
  </r>
  <r>
    <x v="853"/>
    <s v="Diane"/>
    <x v="14"/>
    <d v="1899-12-30T16:43:41"/>
    <d v="2021-01-15T16:43:41"/>
    <x v="0"/>
    <x v="8"/>
    <x v="4"/>
    <x v="0"/>
    <s v="Y"/>
    <n v="54"/>
    <x v="0"/>
    <d v="1899-12-30T00:05:39"/>
    <n v="5"/>
  </r>
  <r>
    <x v="854"/>
    <s v="Dan"/>
    <x v="14"/>
    <d v="1899-12-30T17:21:07"/>
    <d v="2021-01-15T17:21:07"/>
    <x v="0"/>
    <x v="7"/>
    <x v="4"/>
    <x v="0"/>
    <s v="Y"/>
    <n v="76"/>
    <x v="0"/>
    <d v="1899-12-30T00:06:35"/>
    <n v="3"/>
  </r>
  <r>
    <x v="855"/>
    <s v="Greg"/>
    <x v="14"/>
    <d v="1899-12-30T17:21:07"/>
    <d v="2021-01-15T17:21:07"/>
    <x v="0"/>
    <x v="7"/>
    <x v="3"/>
    <x v="0"/>
    <s v="Y"/>
    <n v="49"/>
    <x v="0"/>
    <d v="1899-12-30T00:01:59"/>
    <n v="5"/>
  </r>
  <r>
    <x v="856"/>
    <s v="Joe"/>
    <x v="14"/>
    <d v="1899-12-30T17:38:24"/>
    <d v="2021-01-15T17:38:24"/>
    <x v="0"/>
    <x v="7"/>
    <x v="0"/>
    <x v="0"/>
    <s v="Y"/>
    <n v="13"/>
    <x v="1"/>
    <d v="1899-12-30T00:04:50"/>
    <n v="3"/>
  </r>
  <r>
    <x v="857"/>
    <s v="Becky"/>
    <x v="14"/>
    <d v="1899-12-30T17:38:24"/>
    <d v="2021-01-15T17:38:24"/>
    <x v="0"/>
    <x v="7"/>
    <x v="2"/>
    <x v="1"/>
    <s v="N"/>
    <m/>
    <x v="0"/>
    <m/>
    <m/>
  </r>
  <r>
    <x v="858"/>
    <s v="Becky"/>
    <x v="14"/>
    <d v="1899-12-30T17:41:17"/>
    <d v="2021-01-15T17:41:17"/>
    <x v="0"/>
    <x v="7"/>
    <x v="4"/>
    <x v="0"/>
    <s v="Y"/>
    <n v="24"/>
    <x v="0"/>
    <d v="1899-12-30T00:05:30"/>
    <n v="5"/>
  </r>
  <r>
    <x v="859"/>
    <s v="Becky"/>
    <x v="14"/>
    <d v="1899-12-30T17:41:17"/>
    <d v="2021-01-15T17:41:17"/>
    <x v="0"/>
    <x v="7"/>
    <x v="4"/>
    <x v="0"/>
    <s v="Y"/>
    <n v="71"/>
    <x v="0"/>
    <d v="1899-12-30T00:02:39"/>
    <n v="3"/>
  </r>
  <r>
    <x v="860"/>
    <s v="Stewart"/>
    <x v="14"/>
    <d v="1899-12-30T18:00:00"/>
    <d v="2021-01-15T18:00:00"/>
    <x v="0"/>
    <x v="9"/>
    <x v="3"/>
    <x v="0"/>
    <s v="Y"/>
    <n v="42"/>
    <x v="0"/>
    <d v="1899-12-30T00:06:13"/>
    <n v="3"/>
  </r>
  <r>
    <x v="861"/>
    <s v="Becky"/>
    <x v="14"/>
    <d v="1899-12-30T18:00:00"/>
    <d v="2021-01-15T18:00:00"/>
    <x v="0"/>
    <x v="9"/>
    <x v="4"/>
    <x v="0"/>
    <s v="Y"/>
    <n v="63"/>
    <x v="0"/>
    <d v="1899-12-30T00:05:25"/>
    <n v="1"/>
  </r>
  <r>
    <x v="862"/>
    <s v="Becky"/>
    <x v="15"/>
    <d v="1899-12-30T09:00:00"/>
    <d v="2021-01-16T09:00:00"/>
    <x v="1"/>
    <x v="0"/>
    <x v="1"/>
    <x v="0"/>
    <s v="N"/>
    <n v="19"/>
    <x v="1"/>
    <d v="1899-12-30T00:00:36"/>
    <n v="5"/>
  </r>
  <r>
    <x v="863"/>
    <s v="Dan"/>
    <x v="15"/>
    <d v="1899-12-30T09:00:00"/>
    <d v="2021-01-16T09:00:00"/>
    <x v="1"/>
    <x v="0"/>
    <x v="4"/>
    <x v="0"/>
    <s v="Y"/>
    <n v="107"/>
    <x v="0"/>
    <d v="1899-12-30T00:05:11"/>
    <n v="1"/>
  </r>
  <r>
    <x v="864"/>
    <s v="Dan"/>
    <x v="15"/>
    <d v="1899-12-30T10:20:38"/>
    <d v="2021-01-16T10:20:38"/>
    <x v="1"/>
    <x v="1"/>
    <x v="1"/>
    <x v="1"/>
    <s v="N"/>
    <m/>
    <x v="0"/>
    <m/>
    <m/>
  </r>
  <r>
    <x v="865"/>
    <s v="Martha"/>
    <x v="15"/>
    <d v="1899-12-30T10:20:38"/>
    <d v="2021-01-16T10:20:38"/>
    <x v="1"/>
    <x v="1"/>
    <x v="3"/>
    <x v="0"/>
    <s v="Y"/>
    <n v="85"/>
    <x v="0"/>
    <d v="1899-12-30T00:05:21"/>
    <n v="4"/>
  </r>
  <r>
    <x v="866"/>
    <s v="Diane"/>
    <x v="15"/>
    <d v="1899-12-30T10:30:43"/>
    <d v="2021-01-16T10:30:43"/>
    <x v="1"/>
    <x v="1"/>
    <x v="1"/>
    <x v="0"/>
    <s v="Y"/>
    <n v="15"/>
    <x v="1"/>
    <d v="1899-12-30T00:01:09"/>
    <n v="2"/>
  </r>
  <r>
    <x v="867"/>
    <s v="Becky"/>
    <x v="15"/>
    <d v="1899-12-30T10:30:43"/>
    <d v="2021-01-16T10:30:43"/>
    <x v="1"/>
    <x v="1"/>
    <x v="1"/>
    <x v="0"/>
    <s v="Y"/>
    <n v="111"/>
    <x v="0"/>
    <d v="1899-12-30T00:06:45"/>
    <n v="5"/>
  </r>
  <r>
    <x v="868"/>
    <s v="Diane"/>
    <x v="15"/>
    <d v="1899-12-30T10:52:19"/>
    <d v="2021-01-16T10:52:19"/>
    <x v="1"/>
    <x v="1"/>
    <x v="0"/>
    <x v="0"/>
    <s v="Y"/>
    <n v="23"/>
    <x v="0"/>
    <d v="1899-12-30T00:01:01"/>
    <n v="4"/>
  </r>
  <r>
    <x v="869"/>
    <s v="Dan"/>
    <x v="15"/>
    <d v="1899-12-30T10:52:19"/>
    <d v="2021-01-16T10:52:19"/>
    <x v="1"/>
    <x v="1"/>
    <x v="2"/>
    <x v="0"/>
    <s v="Y"/>
    <n v="115"/>
    <x v="0"/>
    <d v="1899-12-30T00:00:36"/>
    <n v="3"/>
  </r>
  <r>
    <x v="870"/>
    <s v="Jim"/>
    <x v="15"/>
    <d v="1899-12-30T11:08:10"/>
    <d v="2021-01-16T11:08:10"/>
    <x v="1"/>
    <x v="2"/>
    <x v="1"/>
    <x v="0"/>
    <s v="Y"/>
    <n v="83"/>
    <x v="0"/>
    <d v="1899-12-30T00:00:52"/>
    <n v="3"/>
  </r>
  <r>
    <x v="871"/>
    <s v="Greg"/>
    <x v="15"/>
    <d v="1899-12-30T11:08:10"/>
    <d v="2021-01-16T11:08:10"/>
    <x v="1"/>
    <x v="2"/>
    <x v="3"/>
    <x v="1"/>
    <s v="N"/>
    <m/>
    <x v="0"/>
    <m/>
    <m/>
  </r>
  <r>
    <x v="872"/>
    <s v="Becky"/>
    <x v="15"/>
    <d v="1899-12-30T12:14:24"/>
    <d v="2021-01-16T12:14:24"/>
    <x v="1"/>
    <x v="3"/>
    <x v="4"/>
    <x v="1"/>
    <s v="N"/>
    <m/>
    <x v="0"/>
    <m/>
    <m/>
  </r>
  <r>
    <x v="873"/>
    <s v="Greg"/>
    <x v="15"/>
    <d v="1899-12-30T12:14:24"/>
    <d v="2021-01-16T12:14:24"/>
    <x v="1"/>
    <x v="3"/>
    <x v="1"/>
    <x v="0"/>
    <s v="Y"/>
    <n v="50"/>
    <x v="0"/>
    <d v="1899-12-30T00:06:29"/>
    <n v="3"/>
  </r>
  <r>
    <x v="874"/>
    <s v="Becky"/>
    <x v="15"/>
    <d v="1899-12-30T12:28:48"/>
    <d v="2021-01-16T12:28:48"/>
    <x v="1"/>
    <x v="3"/>
    <x v="2"/>
    <x v="0"/>
    <s v="Y"/>
    <n v="19"/>
    <x v="1"/>
    <d v="1899-12-30T00:01:23"/>
    <n v="3"/>
  </r>
  <r>
    <x v="875"/>
    <s v="Diane"/>
    <x v="15"/>
    <d v="1899-12-30T12:28:48"/>
    <d v="2021-01-16T12:28:48"/>
    <x v="1"/>
    <x v="3"/>
    <x v="0"/>
    <x v="0"/>
    <s v="N"/>
    <n v="107"/>
    <x v="0"/>
    <d v="1899-12-30T00:03:36"/>
    <n v="4"/>
  </r>
  <r>
    <x v="876"/>
    <s v="Joe"/>
    <x v="15"/>
    <d v="1899-12-30T12:44:38"/>
    <d v="2021-01-16T12:44:38"/>
    <x v="1"/>
    <x v="3"/>
    <x v="3"/>
    <x v="0"/>
    <s v="N"/>
    <n v="121"/>
    <x v="0"/>
    <d v="1899-12-30T00:03:49"/>
    <n v="3"/>
  </r>
  <r>
    <x v="877"/>
    <s v="Dan"/>
    <x v="15"/>
    <d v="1899-12-30T12:44:38"/>
    <d v="2021-01-16T12:44:38"/>
    <x v="1"/>
    <x v="3"/>
    <x v="2"/>
    <x v="0"/>
    <s v="Y"/>
    <n v="55"/>
    <x v="0"/>
    <d v="1899-12-30T00:05:07"/>
    <n v="3"/>
  </r>
  <r>
    <x v="878"/>
    <s v="Becky"/>
    <x v="15"/>
    <d v="1899-12-30T12:56:10"/>
    <d v="2021-01-16T12:56:10"/>
    <x v="1"/>
    <x v="3"/>
    <x v="4"/>
    <x v="0"/>
    <s v="Y"/>
    <n v="92"/>
    <x v="0"/>
    <d v="1899-12-30T00:01:19"/>
    <n v="2"/>
  </r>
  <r>
    <x v="879"/>
    <s v="Stewart"/>
    <x v="15"/>
    <d v="1899-12-30T12:56:10"/>
    <d v="2021-01-16T12:56:10"/>
    <x v="1"/>
    <x v="3"/>
    <x v="3"/>
    <x v="0"/>
    <s v="N"/>
    <n v="24"/>
    <x v="0"/>
    <d v="1899-12-30T00:05:48"/>
    <n v="3"/>
  </r>
  <r>
    <x v="880"/>
    <s v="Martha"/>
    <x v="15"/>
    <d v="1899-12-30T13:03:22"/>
    <d v="2021-01-16T13:03:22"/>
    <x v="1"/>
    <x v="4"/>
    <x v="1"/>
    <x v="1"/>
    <s v="N"/>
    <m/>
    <x v="0"/>
    <m/>
    <m/>
  </r>
  <r>
    <x v="881"/>
    <s v="Jim"/>
    <x v="15"/>
    <d v="1899-12-30T13:03:22"/>
    <d v="2021-01-16T13:03:22"/>
    <x v="1"/>
    <x v="4"/>
    <x v="4"/>
    <x v="0"/>
    <s v="Y"/>
    <n v="58"/>
    <x v="0"/>
    <d v="1899-12-30T00:02:18"/>
    <n v="5"/>
  </r>
  <r>
    <x v="882"/>
    <s v="Dan"/>
    <x v="15"/>
    <d v="1899-12-30T13:35:02"/>
    <d v="2021-01-16T13:35:02"/>
    <x v="1"/>
    <x v="4"/>
    <x v="1"/>
    <x v="1"/>
    <s v="N"/>
    <m/>
    <x v="0"/>
    <m/>
    <m/>
  </r>
  <r>
    <x v="883"/>
    <s v="Stewart"/>
    <x v="15"/>
    <d v="1899-12-30T13:35:02"/>
    <d v="2021-01-16T13:35:02"/>
    <x v="1"/>
    <x v="4"/>
    <x v="2"/>
    <x v="1"/>
    <s v="N"/>
    <m/>
    <x v="0"/>
    <m/>
    <m/>
  </r>
  <r>
    <x v="884"/>
    <s v="Greg"/>
    <x v="15"/>
    <d v="1899-12-30T13:36:29"/>
    <d v="2021-01-16T13:36:29"/>
    <x v="1"/>
    <x v="4"/>
    <x v="4"/>
    <x v="0"/>
    <s v="Y"/>
    <n v="28"/>
    <x v="0"/>
    <d v="1899-12-30T00:06:55"/>
    <n v="4"/>
  </r>
  <r>
    <x v="885"/>
    <s v="Joe"/>
    <x v="15"/>
    <d v="1899-12-30T13:36:29"/>
    <d v="2021-01-16T13:36:29"/>
    <x v="1"/>
    <x v="4"/>
    <x v="1"/>
    <x v="0"/>
    <s v="Y"/>
    <n v="30"/>
    <x v="0"/>
    <d v="1899-12-30T00:06:49"/>
    <n v="4"/>
  </r>
  <r>
    <x v="886"/>
    <s v="Greg"/>
    <x v="15"/>
    <d v="1899-12-30T14:02:24"/>
    <d v="2021-01-16T14:02:24"/>
    <x v="1"/>
    <x v="5"/>
    <x v="3"/>
    <x v="0"/>
    <s v="Y"/>
    <n v="84"/>
    <x v="0"/>
    <d v="1899-12-30T00:02:42"/>
    <n v="3"/>
  </r>
  <r>
    <x v="887"/>
    <s v="Jim"/>
    <x v="15"/>
    <d v="1899-12-30T14:02:24"/>
    <d v="2021-01-16T14:02:24"/>
    <x v="1"/>
    <x v="5"/>
    <x v="1"/>
    <x v="0"/>
    <s v="Y"/>
    <n v="78"/>
    <x v="0"/>
    <d v="1899-12-30T00:04:57"/>
    <n v="2"/>
  </r>
  <r>
    <x v="888"/>
    <s v="Jim"/>
    <x v="15"/>
    <d v="1899-12-30T14:11:02"/>
    <d v="2021-01-16T14:11:02"/>
    <x v="1"/>
    <x v="5"/>
    <x v="3"/>
    <x v="0"/>
    <s v="Y"/>
    <n v="122"/>
    <x v="0"/>
    <d v="1899-12-30T00:01:05"/>
    <n v="3"/>
  </r>
  <r>
    <x v="889"/>
    <s v="Diane"/>
    <x v="15"/>
    <d v="1899-12-30T14:11:02"/>
    <d v="2021-01-16T14:11:02"/>
    <x v="1"/>
    <x v="5"/>
    <x v="0"/>
    <x v="0"/>
    <s v="Y"/>
    <n v="26"/>
    <x v="0"/>
    <d v="1899-12-30T00:01:11"/>
    <n v="1"/>
  </r>
  <r>
    <x v="890"/>
    <s v="Jim"/>
    <x v="15"/>
    <d v="1899-12-30T14:25:26"/>
    <d v="2021-01-16T14:25:26"/>
    <x v="1"/>
    <x v="5"/>
    <x v="1"/>
    <x v="0"/>
    <s v="Y"/>
    <n v="95"/>
    <x v="0"/>
    <d v="1899-12-30T00:00:57"/>
    <n v="3"/>
  </r>
  <r>
    <x v="891"/>
    <s v="Stewart"/>
    <x v="15"/>
    <d v="1899-12-30T14:25:26"/>
    <d v="2021-01-16T14:25:26"/>
    <x v="1"/>
    <x v="5"/>
    <x v="1"/>
    <x v="0"/>
    <s v="Y"/>
    <n v="45"/>
    <x v="0"/>
    <d v="1899-12-30T00:01:48"/>
    <n v="4"/>
  </r>
  <r>
    <x v="892"/>
    <s v="Diane"/>
    <x v="15"/>
    <d v="1899-12-30T14:39:50"/>
    <d v="2021-01-16T14:39:50"/>
    <x v="1"/>
    <x v="5"/>
    <x v="1"/>
    <x v="1"/>
    <s v="N"/>
    <m/>
    <x v="0"/>
    <m/>
    <m/>
  </r>
  <r>
    <x v="893"/>
    <s v="Diane"/>
    <x v="15"/>
    <d v="1899-12-30T14:39:50"/>
    <d v="2021-01-16T14:39:50"/>
    <x v="1"/>
    <x v="5"/>
    <x v="0"/>
    <x v="1"/>
    <s v="N"/>
    <m/>
    <x v="0"/>
    <m/>
    <m/>
  </r>
  <r>
    <x v="894"/>
    <s v="Dan"/>
    <x v="15"/>
    <d v="1899-12-30T14:49:55"/>
    <d v="2021-01-16T14:49:55"/>
    <x v="1"/>
    <x v="5"/>
    <x v="4"/>
    <x v="0"/>
    <s v="N"/>
    <n v="76"/>
    <x v="0"/>
    <d v="1899-12-30T00:06:40"/>
    <n v="3"/>
  </r>
  <r>
    <x v="895"/>
    <s v="Martha"/>
    <x v="15"/>
    <d v="1899-12-30T14:49:55"/>
    <d v="2021-01-16T14:49:55"/>
    <x v="1"/>
    <x v="5"/>
    <x v="4"/>
    <x v="0"/>
    <s v="N"/>
    <n v="97"/>
    <x v="0"/>
    <d v="1899-12-30T00:01:36"/>
    <n v="4"/>
  </r>
  <r>
    <x v="896"/>
    <s v="Stewart"/>
    <x v="15"/>
    <d v="1899-12-30T15:24:29"/>
    <d v="2021-01-16T15:24:29"/>
    <x v="1"/>
    <x v="6"/>
    <x v="1"/>
    <x v="1"/>
    <s v="N"/>
    <m/>
    <x v="0"/>
    <m/>
    <m/>
  </r>
  <r>
    <x v="897"/>
    <s v="Stewart"/>
    <x v="15"/>
    <d v="1899-12-30T15:24:29"/>
    <d v="2021-01-16T15:24:29"/>
    <x v="1"/>
    <x v="6"/>
    <x v="0"/>
    <x v="0"/>
    <s v="Y"/>
    <n v="22"/>
    <x v="0"/>
    <d v="1899-12-30T00:02:57"/>
    <n v="3"/>
  </r>
  <r>
    <x v="898"/>
    <s v="Becky"/>
    <x v="15"/>
    <d v="1899-12-30T15:30:14"/>
    <d v="2021-01-16T15:30:14"/>
    <x v="1"/>
    <x v="6"/>
    <x v="4"/>
    <x v="0"/>
    <s v="N"/>
    <n v="55"/>
    <x v="0"/>
    <d v="1899-12-30T00:00:52"/>
    <n v="3"/>
  </r>
  <r>
    <x v="899"/>
    <s v="Joe"/>
    <x v="15"/>
    <d v="1899-12-30T15:30:14"/>
    <d v="2021-01-16T15:30:14"/>
    <x v="1"/>
    <x v="6"/>
    <x v="2"/>
    <x v="0"/>
    <s v="N"/>
    <n v="64"/>
    <x v="0"/>
    <d v="1899-12-30T00:01:08"/>
    <n v="4"/>
  </r>
  <r>
    <x v="900"/>
    <s v="Greg"/>
    <x v="15"/>
    <d v="1899-12-30T15:47:31"/>
    <d v="2021-01-16T15:47:31"/>
    <x v="1"/>
    <x v="6"/>
    <x v="4"/>
    <x v="0"/>
    <s v="Y"/>
    <n v="87"/>
    <x v="0"/>
    <d v="1899-12-30T00:01:13"/>
    <n v="3"/>
  </r>
  <r>
    <x v="901"/>
    <s v="Stewart"/>
    <x v="15"/>
    <d v="1899-12-30T15:47:31"/>
    <d v="2021-01-16T15:47:31"/>
    <x v="1"/>
    <x v="6"/>
    <x v="1"/>
    <x v="1"/>
    <s v="N"/>
    <m/>
    <x v="0"/>
    <m/>
    <m/>
  </r>
  <r>
    <x v="902"/>
    <s v="Martha"/>
    <x v="15"/>
    <d v="1899-12-30T15:53:17"/>
    <d v="2021-01-16T15:53:17"/>
    <x v="1"/>
    <x v="6"/>
    <x v="4"/>
    <x v="0"/>
    <s v="Y"/>
    <n v="79"/>
    <x v="0"/>
    <d v="1899-12-30T00:04:00"/>
    <n v="4"/>
  </r>
  <r>
    <x v="903"/>
    <s v="Becky"/>
    <x v="15"/>
    <d v="1899-12-30T15:53:17"/>
    <d v="2021-01-16T15:53:17"/>
    <x v="1"/>
    <x v="6"/>
    <x v="0"/>
    <x v="0"/>
    <s v="Y"/>
    <n v="33"/>
    <x v="0"/>
    <d v="1899-12-30T00:05:02"/>
    <n v="4"/>
  </r>
  <r>
    <x v="904"/>
    <s v="Joe"/>
    <x v="15"/>
    <d v="1899-12-30T16:35:02"/>
    <d v="2021-01-16T16:35:02"/>
    <x v="1"/>
    <x v="8"/>
    <x v="1"/>
    <x v="0"/>
    <s v="Y"/>
    <n v="114"/>
    <x v="0"/>
    <d v="1899-12-30T00:05:22"/>
    <n v="4"/>
  </r>
  <r>
    <x v="905"/>
    <s v="Stewart"/>
    <x v="15"/>
    <d v="1899-12-30T16:35:02"/>
    <d v="2021-01-16T16:35:02"/>
    <x v="1"/>
    <x v="8"/>
    <x v="1"/>
    <x v="0"/>
    <s v="Y"/>
    <n v="112"/>
    <x v="0"/>
    <d v="1899-12-30T00:00:54"/>
    <n v="5"/>
  </r>
  <r>
    <x v="906"/>
    <s v="Becky"/>
    <x v="15"/>
    <d v="1899-12-30T16:36:29"/>
    <d v="2021-01-16T16:36:29"/>
    <x v="1"/>
    <x v="8"/>
    <x v="1"/>
    <x v="0"/>
    <s v="Y"/>
    <n v="61"/>
    <x v="0"/>
    <d v="1899-12-30T00:06:14"/>
    <n v="3"/>
  </r>
  <r>
    <x v="907"/>
    <s v="Jim"/>
    <x v="15"/>
    <d v="1899-12-30T16:36:29"/>
    <d v="2021-01-16T16:36:29"/>
    <x v="1"/>
    <x v="8"/>
    <x v="1"/>
    <x v="1"/>
    <s v="N"/>
    <m/>
    <x v="0"/>
    <m/>
    <m/>
  </r>
  <r>
    <x v="908"/>
    <s v="Jim"/>
    <x v="15"/>
    <d v="1899-12-30T16:52:19"/>
    <d v="2021-01-16T16:52:19"/>
    <x v="1"/>
    <x v="8"/>
    <x v="2"/>
    <x v="0"/>
    <s v="N"/>
    <n v="58"/>
    <x v="0"/>
    <d v="1899-12-30T00:04:31"/>
    <n v="2"/>
  </r>
  <r>
    <x v="909"/>
    <s v="Becky"/>
    <x v="15"/>
    <d v="1899-12-30T16:52:19"/>
    <d v="2021-01-16T16:52:19"/>
    <x v="1"/>
    <x v="8"/>
    <x v="4"/>
    <x v="0"/>
    <s v="Y"/>
    <n v="13"/>
    <x v="1"/>
    <d v="1899-12-30T00:02:05"/>
    <n v="3"/>
  </r>
  <r>
    <x v="910"/>
    <s v="Stewart"/>
    <x v="15"/>
    <d v="1899-12-30T17:42:43"/>
    <d v="2021-01-16T17:42:43"/>
    <x v="1"/>
    <x v="7"/>
    <x v="0"/>
    <x v="0"/>
    <s v="Y"/>
    <n v="36"/>
    <x v="0"/>
    <d v="1899-12-30T00:03:58"/>
    <n v="4"/>
  </r>
  <r>
    <x v="911"/>
    <s v="Greg"/>
    <x v="15"/>
    <d v="1899-12-30T17:42:43"/>
    <d v="2021-01-16T17:42:43"/>
    <x v="1"/>
    <x v="7"/>
    <x v="0"/>
    <x v="0"/>
    <s v="Y"/>
    <n v="48"/>
    <x v="0"/>
    <d v="1899-12-30T00:03:38"/>
    <n v="3"/>
  </r>
  <r>
    <x v="912"/>
    <s v="Stewart"/>
    <x v="15"/>
    <d v="1899-12-30T17:57:07"/>
    <d v="2021-01-16T17:57:07"/>
    <x v="1"/>
    <x v="7"/>
    <x v="2"/>
    <x v="0"/>
    <s v="Y"/>
    <n v="99"/>
    <x v="0"/>
    <d v="1899-12-30T00:00:33"/>
    <n v="5"/>
  </r>
  <r>
    <x v="913"/>
    <s v="Joe"/>
    <x v="15"/>
    <d v="1899-12-30T17:57:07"/>
    <d v="2021-01-16T17:57:07"/>
    <x v="1"/>
    <x v="7"/>
    <x v="1"/>
    <x v="0"/>
    <s v="Y"/>
    <n v="78"/>
    <x v="0"/>
    <d v="1899-12-30T00:01:47"/>
    <n v="3"/>
  </r>
  <r>
    <x v="914"/>
    <s v="Greg"/>
    <x v="15"/>
    <d v="1899-12-30T17:58:34"/>
    <d v="2021-01-16T17:58:34"/>
    <x v="1"/>
    <x v="7"/>
    <x v="4"/>
    <x v="0"/>
    <s v="Y"/>
    <n v="82"/>
    <x v="0"/>
    <d v="1899-12-30T00:02:52"/>
    <n v="4"/>
  </r>
  <r>
    <x v="915"/>
    <s v="Becky"/>
    <x v="15"/>
    <d v="1899-12-30T17:58:34"/>
    <d v="2021-01-16T17:58:34"/>
    <x v="1"/>
    <x v="7"/>
    <x v="3"/>
    <x v="1"/>
    <s v="N"/>
    <m/>
    <x v="0"/>
    <m/>
    <m/>
  </r>
  <r>
    <x v="916"/>
    <s v="Stewart"/>
    <x v="15"/>
    <d v="1899-12-30T18:00:00"/>
    <d v="2021-01-16T18:00:00"/>
    <x v="1"/>
    <x v="9"/>
    <x v="4"/>
    <x v="0"/>
    <s v="Y"/>
    <n v="19"/>
    <x v="1"/>
    <d v="1899-12-30T00:01:43"/>
    <n v="5"/>
  </r>
  <r>
    <x v="917"/>
    <s v="Becky"/>
    <x v="15"/>
    <d v="1899-12-30T18:00:00"/>
    <d v="2021-01-16T18:00:00"/>
    <x v="1"/>
    <x v="9"/>
    <x v="4"/>
    <x v="0"/>
    <s v="Y"/>
    <n v="34"/>
    <x v="0"/>
    <d v="1899-12-30T00:06:45"/>
    <n v="4"/>
  </r>
  <r>
    <x v="918"/>
    <s v="Becky"/>
    <x v="16"/>
    <d v="1899-12-30T09:51:50"/>
    <d v="2021-01-17T09:51:50"/>
    <x v="2"/>
    <x v="0"/>
    <x v="1"/>
    <x v="0"/>
    <s v="Y"/>
    <n v="89"/>
    <x v="0"/>
    <d v="1899-12-30T00:03:11"/>
    <n v="3"/>
  </r>
  <r>
    <x v="919"/>
    <s v="Martha"/>
    <x v="16"/>
    <d v="1899-12-30T09:51:50"/>
    <d v="2021-01-17T09:51:50"/>
    <x v="2"/>
    <x v="0"/>
    <x v="0"/>
    <x v="0"/>
    <s v="Y"/>
    <n v="116"/>
    <x v="0"/>
    <d v="1899-12-30T00:06:18"/>
    <n v="4"/>
  </r>
  <r>
    <x v="920"/>
    <s v="Martha"/>
    <x v="16"/>
    <d v="1899-12-30T10:32:10"/>
    <d v="2021-01-17T10:32:10"/>
    <x v="2"/>
    <x v="1"/>
    <x v="4"/>
    <x v="0"/>
    <s v="Y"/>
    <n v="88"/>
    <x v="0"/>
    <d v="1899-12-30T00:04:03"/>
    <n v="4"/>
  </r>
  <r>
    <x v="921"/>
    <s v="Stewart"/>
    <x v="16"/>
    <d v="1899-12-30T10:32:10"/>
    <d v="2021-01-17T10:32:10"/>
    <x v="2"/>
    <x v="1"/>
    <x v="4"/>
    <x v="0"/>
    <s v="Y"/>
    <n v="15"/>
    <x v="1"/>
    <d v="1899-12-30T00:03:04"/>
    <n v="3"/>
  </r>
  <r>
    <x v="922"/>
    <s v="Martha"/>
    <x v="16"/>
    <d v="1899-12-30T11:42:43"/>
    <d v="2021-01-17T11:42:43"/>
    <x v="2"/>
    <x v="2"/>
    <x v="0"/>
    <x v="0"/>
    <s v="Y"/>
    <n v="59"/>
    <x v="0"/>
    <d v="1899-12-30T00:02:17"/>
    <n v="5"/>
  </r>
  <r>
    <x v="923"/>
    <s v="Greg"/>
    <x v="16"/>
    <d v="1899-12-30T11:42:43"/>
    <d v="2021-01-17T11:42:43"/>
    <x v="2"/>
    <x v="2"/>
    <x v="0"/>
    <x v="1"/>
    <s v="N"/>
    <m/>
    <x v="0"/>
    <m/>
    <m/>
  </r>
  <r>
    <x v="924"/>
    <s v="Martha"/>
    <x v="16"/>
    <d v="1899-12-30T11:42:43"/>
    <d v="2021-01-17T11:42:43"/>
    <x v="2"/>
    <x v="2"/>
    <x v="0"/>
    <x v="0"/>
    <s v="Y"/>
    <n v="125"/>
    <x v="0"/>
    <d v="1899-12-30T00:03:09"/>
    <n v="2"/>
  </r>
  <r>
    <x v="925"/>
    <s v="Greg"/>
    <x v="16"/>
    <d v="1899-12-30T11:42:43"/>
    <d v="2021-01-17T11:42:43"/>
    <x v="2"/>
    <x v="2"/>
    <x v="4"/>
    <x v="0"/>
    <s v="Y"/>
    <n v="88"/>
    <x v="0"/>
    <d v="1899-12-30T00:04:06"/>
    <n v="4"/>
  </r>
  <r>
    <x v="926"/>
    <s v="Jim"/>
    <x v="16"/>
    <d v="1899-12-30T11:45:36"/>
    <d v="2021-01-17T11:45:36"/>
    <x v="2"/>
    <x v="2"/>
    <x v="4"/>
    <x v="0"/>
    <s v="Y"/>
    <n v="20"/>
    <x v="1"/>
    <d v="1899-12-30T00:04:39"/>
    <n v="5"/>
  </r>
  <r>
    <x v="927"/>
    <s v="Stewart"/>
    <x v="16"/>
    <d v="1899-12-30T11:45:36"/>
    <d v="2021-01-17T11:45:36"/>
    <x v="2"/>
    <x v="2"/>
    <x v="0"/>
    <x v="0"/>
    <s v="Y"/>
    <n v="64"/>
    <x v="0"/>
    <d v="1899-12-30T00:05:46"/>
    <n v="3"/>
  </r>
  <r>
    <x v="928"/>
    <s v="Jim"/>
    <x v="16"/>
    <d v="1899-12-30T12:38:53"/>
    <d v="2021-01-17T12:38:53"/>
    <x v="2"/>
    <x v="3"/>
    <x v="4"/>
    <x v="1"/>
    <s v="N"/>
    <m/>
    <x v="0"/>
    <m/>
    <m/>
  </r>
  <r>
    <x v="929"/>
    <s v="Stewart"/>
    <x v="16"/>
    <d v="1899-12-30T12:38:53"/>
    <d v="2021-01-17T12:38:53"/>
    <x v="2"/>
    <x v="3"/>
    <x v="3"/>
    <x v="0"/>
    <s v="Y"/>
    <n v="111"/>
    <x v="0"/>
    <d v="1899-12-30T00:02:19"/>
    <n v="5"/>
  </r>
  <r>
    <x v="930"/>
    <s v="Joe"/>
    <x v="16"/>
    <d v="1899-12-30T12:44:38"/>
    <d v="2021-01-17T12:44:38"/>
    <x v="2"/>
    <x v="3"/>
    <x v="3"/>
    <x v="1"/>
    <s v="N"/>
    <m/>
    <x v="0"/>
    <m/>
    <m/>
  </r>
  <r>
    <x v="931"/>
    <s v="Jim"/>
    <x v="16"/>
    <d v="1899-12-30T12:44:38"/>
    <d v="2021-01-17T12:44:38"/>
    <x v="2"/>
    <x v="3"/>
    <x v="1"/>
    <x v="1"/>
    <s v="N"/>
    <m/>
    <x v="0"/>
    <m/>
    <m/>
  </r>
  <r>
    <x v="932"/>
    <s v="Joe"/>
    <x v="16"/>
    <d v="1899-12-30T13:29:17"/>
    <d v="2021-01-17T13:29:17"/>
    <x v="2"/>
    <x v="4"/>
    <x v="1"/>
    <x v="0"/>
    <s v="Y"/>
    <n v="40"/>
    <x v="0"/>
    <d v="1899-12-30T00:03:01"/>
    <n v="4"/>
  </r>
  <r>
    <x v="933"/>
    <s v="Martha"/>
    <x v="16"/>
    <d v="1899-12-30T13:29:17"/>
    <d v="2021-01-17T13:29:17"/>
    <x v="2"/>
    <x v="4"/>
    <x v="1"/>
    <x v="0"/>
    <s v="Y"/>
    <n v="35"/>
    <x v="0"/>
    <d v="1899-12-30T00:03:07"/>
    <n v="2"/>
  </r>
  <r>
    <x v="934"/>
    <s v="Martha"/>
    <x v="16"/>
    <d v="1899-12-30T13:30:43"/>
    <d v="2021-01-17T13:30:43"/>
    <x v="2"/>
    <x v="4"/>
    <x v="0"/>
    <x v="0"/>
    <s v="Y"/>
    <n v="106"/>
    <x v="0"/>
    <d v="1899-12-30T00:02:47"/>
    <n v="5"/>
  </r>
  <r>
    <x v="935"/>
    <s v="Diane"/>
    <x v="16"/>
    <d v="1899-12-30T13:30:43"/>
    <d v="2021-01-17T13:30:43"/>
    <x v="2"/>
    <x v="4"/>
    <x v="2"/>
    <x v="0"/>
    <s v="Y"/>
    <n v="97"/>
    <x v="0"/>
    <d v="1899-12-30T00:02:39"/>
    <n v="2"/>
  </r>
  <r>
    <x v="936"/>
    <s v="Diane"/>
    <x v="16"/>
    <d v="1899-12-30T13:36:29"/>
    <d v="2021-01-17T13:36:29"/>
    <x v="2"/>
    <x v="4"/>
    <x v="0"/>
    <x v="0"/>
    <s v="Y"/>
    <n v="67"/>
    <x v="0"/>
    <d v="1899-12-30T00:01:51"/>
    <n v="3"/>
  </r>
  <r>
    <x v="937"/>
    <s v="Stewart"/>
    <x v="16"/>
    <d v="1899-12-30T13:36:29"/>
    <d v="2021-01-17T13:36:29"/>
    <x v="2"/>
    <x v="4"/>
    <x v="0"/>
    <x v="0"/>
    <s v="Y"/>
    <n v="98"/>
    <x v="0"/>
    <d v="1899-12-30T00:01:16"/>
    <n v="5"/>
  </r>
  <r>
    <x v="938"/>
    <s v="Joe"/>
    <x v="16"/>
    <d v="1899-12-30T13:53:46"/>
    <d v="2021-01-17T13:53:46"/>
    <x v="2"/>
    <x v="4"/>
    <x v="0"/>
    <x v="0"/>
    <s v="Y"/>
    <n v="120"/>
    <x v="0"/>
    <d v="1899-12-30T00:02:20"/>
    <n v="4"/>
  </r>
  <r>
    <x v="939"/>
    <s v="Becky"/>
    <x v="16"/>
    <d v="1899-12-30T13:53:46"/>
    <d v="2021-01-17T13:53:46"/>
    <x v="2"/>
    <x v="4"/>
    <x v="1"/>
    <x v="0"/>
    <s v="Y"/>
    <n v="91"/>
    <x v="0"/>
    <d v="1899-12-30T00:00:45"/>
    <n v="5"/>
  </r>
  <r>
    <x v="940"/>
    <s v="Martha"/>
    <x v="16"/>
    <d v="1899-12-30T14:00:58"/>
    <d v="2021-01-17T14:00:58"/>
    <x v="2"/>
    <x v="5"/>
    <x v="2"/>
    <x v="0"/>
    <s v="Y"/>
    <n v="22"/>
    <x v="0"/>
    <d v="1899-12-30T00:04:53"/>
    <n v="5"/>
  </r>
  <r>
    <x v="941"/>
    <s v="Diane"/>
    <x v="16"/>
    <d v="1899-12-30T14:00:58"/>
    <d v="2021-01-17T14:00:58"/>
    <x v="2"/>
    <x v="5"/>
    <x v="4"/>
    <x v="0"/>
    <s v="N"/>
    <n v="113"/>
    <x v="0"/>
    <d v="1899-12-30T00:02:45"/>
    <n v="2"/>
  </r>
  <r>
    <x v="942"/>
    <s v="Diane"/>
    <x v="16"/>
    <d v="1899-12-30T14:18:14"/>
    <d v="2021-01-17T14:18:14"/>
    <x v="2"/>
    <x v="5"/>
    <x v="4"/>
    <x v="1"/>
    <s v="N"/>
    <m/>
    <x v="0"/>
    <m/>
    <m/>
  </r>
  <r>
    <x v="943"/>
    <s v="Jim"/>
    <x v="16"/>
    <d v="1899-12-30T14:18:14"/>
    <d v="2021-01-17T14:18:14"/>
    <x v="2"/>
    <x v="5"/>
    <x v="2"/>
    <x v="0"/>
    <s v="Y"/>
    <n v="60"/>
    <x v="0"/>
    <d v="1899-12-30T00:01:58"/>
    <n v="4"/>
  </r>
  <r>
    <x v="944"/>
    <s v="Diane"/>
    <x v="16"/>
    <d v="1899-12-30T14:28:19"/>
    <d v="2021-01-17T14:28:19"/>
    <x v="2"/>
    <x v="5"/>
    <x v="2"/>
    <x v="0"/>
    <s v="Y"/>
    <n v="97"/>
    <x v="0"/>
    <d v="1899-12-30T00:02:35"/>
    <n v="5"/>
  </r>
  <r>
    <x v="945"/>
    <s v="Becky"/>
    <x v="16"/>
    <d v="1899-12-30T14:28:19"/>
    <d v="2021-01-17T14:28:19"/>
    <x v="2"/>
    <x v="5"/>
    <x v="4"/>
    <x v="0"/>
    <s v="Y"/>
    <n v="118"/>
    <x v="0"/>
    <d v="1899-12-30T00:00:52"/>
    <n v="4"/>
  </r>
  <r>
    <x v="946"/>
    <s v="Dan"/>
    <x v="16"/>
    <d v="1899-12-30T14:31:12"/>
    <d v="2021-01-17T14:31:12"/>
    <x v="2"/>
    <x v="5"/>
    <x v="1"/>
    <x v="0"/>
    <s v="Y"/>
    <n v="19"/>
    <x v="1"/>
    <d v="1899-12-30T00:01:21"/>
    <n v="5"/>
  </r>
  <r>
    <x v="947"/>
    <s v="Stewart"/>
    <x v="16"/>
    <d v="1899-12-30T14:31:12"/>
    <d v="2021-01-17T14:31:12"/>
    <x v="2"/>
    <x v="5"/>
    <x v="0"/>
    <x v="1"/>
    <s v="N"/>
    <m/>
    <x v="0"/>
    <m/>
    <m/>
  </r>
  <r>
    <x v="948"/>
    <s v="Greg"/>
    <x v="16"/>
    <d v="1899-12-30T15:00:00"/>
    <d v="2021-01-17T15:00:00"/>
    <x v="2"/>
    <x v="6"/>
    <x v="4"/>
    <x v="1"/>
    <s v="N"/>
    <m/>
    <x v="0"/>
    <m/>
    <m/>
  </r>
  <r>
    <x v="949"/>
    <s v="Dan"/>
    <x v="16"/>
    <d v="1899-12-30T15:00:00"/>
    <d v="2021-01-17T15:00:00"/>
    <x v="2"/>
    <x v="6"/>
    <x v="4"/>
    <x v="0"/>
    <s v="Y"/>
    <n v="124"/>
    <x v="0"/>
    <d v="1899-12-30T00:06:18"/>
    <n v="4"/>
  </r>
  <r>
    <x v="950"/>
    <s v="Dan"/>
    <x v="16"/>
    <d v="1899-12-30T15:01:26"/>
    <d v="2021-01-17T15:01:26"/>
    <x v="2"/>
    <x v="6"/>
    <x v="2"/>
    <x v="0"/>
    <s v="Y"/>
    <n v="53"/>
    <x v="0"/>
    <d v="1899-12-30T00:05:11"/>
    <n v="2"/>
  </r>
  <r>
    <x v="951"/>
    <s v="Diane"/>
    <x v="16"/>
    <d v="1899-12-30T15:01:26"/>
    <d v="2021-01-17T15:01:26"/>
    <x v="2"/>
    <x v="6"/>
    <x v="3"/>
    <x v="0"/>
    <s v="Y"/>
    <n v="61"/>
    <x v="0"/>
    <d v="1899-12-30T00:00:38"/>
    <n v="5"/>
  </r>
  <r>
    <x v="952"/>
    <s v="Joe"/>
    <x v="16"/>
    <d v="1899-12-30T15:21:36"/>
    <d v="2021-01-17T15:21:36"/>
    <x v="2"/>
    <x v="6"/>
    <x v="0"/>
    <x v="0"/>
    <s v="Y"/>
    <n v="18"/>
    <x v="1"/>
    <d v="1899-12-30T00:00:46"/>
    <n v="1"/>
  </r>
  <r>
    <x v="953"/>
    <s v="Greg"/>
    <x v="16"/>
    <d v="1899-12-30T15:21:36"/>
    <d v="2021-01-17T15:21:36"/>
    <x v="2"/>
    <x v="6"/>
    <x v="3"/>
    <x v="0"/>
    <s v="Y"/>
    <n v="80"/>
    <x v="0"/>
    <d v="1899-12-30T00:01:16"/>
    <n v="3"/>
  </r>
  <r>
    <x v="954"/>
    <s v="Stewart"/>
    <x v="16"/>
    <d v="1899-12-30T16:22:05"/>
    <d v="2021-01-17T16:22:05"/>
    <x v="2"/>
    <x v="8"/>
    <x v="1"/>
    <x v="0"/>
    <s v="Y"/>
    <n v="47"/>
    <x v="0"/>
    <d v="1899-12-30T00:04:08"/>
    <n v="4"/>
  </r>
  <r>
    <x v="955"/>
    <s v="Stewart"/>
    <x v="16"/>
    <d v="1899-12-30T16:22:05"/>
    <d v="2021-01-17T16:22:05"/>
    <x v="2"/>
    <x v="8"/>
    <x v="2"/>
    <x v="0"/>
    <s v="Y"/>
    <n v="101"/>
    <x v="0"/>
    <d v="1899-12-30T00:05:20"/>
    <n v="2"/>
  </r>
  <r>
    <x v="956"/>
    <s v="Joe"/>
    <x v="16"/>
    <d v="1899-12-30T16:24:58"/>
    <d v="2021-01-17T16:24:58"/>
    <x v="2"/>
    <x v="8"/>
    <x v="4"/>
    <x v="0"/>
    <s v="Y"/>
    <n v="71"/>
    <x v="0"/>
    <d v="1899-12-30T00:05:40"/>
    <n v="3"/>
  </r>
  <r>
    <x v="957"/>
    <s v="Martha"/>
    <x v="16"/>
    <d v="1899-12-30T16:24:58"/>
    <d v="2021-01-17T16:24:58"/>
    <x v="2"/>
    <x v="8"/>
    <x v="1"/>
    <x v="0"/>
    <s v="Y"/>
    <n v="44"/>
    <x v="0"/>
    <d v="1899-12-30T00:04:07"/>
    <n v="4"/>
  </r>
  <r>
    <x v="958"/>
    <s v="Becky"/>
    <x v="16"/>
    <d v="1899-12-30T16:29:17"/>
    <d v="2021-01-17T16:29:17"/>
    <x v="2"/>
    <x v="8"/>
    <x v="2"/>
    <x v="0"/>
    <s v="Y"/>
    <n v="14"/>
    <x v="1"/>
    <d v="1899-12-30T00:03:00"/>
    <n v="4"/>
  </r>
  <r>
    <x v="959"/>
    <s v="Martha"/>
    <x v="16"/>
    <d v="1899-12-30T16:29:17"/>
    <d v="2021-01-17T16:29:17"/>
    <x v="2"/>
    <x v="8"/>
    <x v="2"/>
    <x v="1"/>
    <s v="N"/>
    <m/>
    <x v="0"/>
    <m/>
    <m/>
  </r>
  <r>
    <x v="960"/>
    <s v="Jim"/>
    <x v="16"/>
    <d v="1899-12-30T17:06:43"/>
    <d v="2021-01-17T17:06:43"/>
    <x v="2"/>
    <x v="7"/>
    <x v="0"/>
    <x v="0"/>
    <s v="Y"/>
    <n v="44"/>
    <x v="0"/>
    <d v="1899-12-30T00:02:40"/>
    <n v="2"/>
  </r>
  <r>
    <x v="961"/>
    <s v="Diane"/>
    <x v="16"/>
    <d v="1899-12-30T17:06:43"/>
    <d v="2021-01-17T17:06:43"/>
    <x v="2"/>
    <x v="7"/>
    <x v="3"/>
    <x v="0"/>
    <s v="Y"/>
    <n v="97"/>
    <x v="0"/>
    <d v="1899-12-30T00:06:46"/>
    <n v="4"/>
  </r>
  <r>
    <x v="962"/>
    <s v="Becky"/>
    <x v="16"/>
    <d v="1899-12-30T17:16:48"/>
    <d v="2021-01-17T17:16:48"/>
    <x v="2"/>
    <x v="7"/>
    <x v="4"/>
    <x v="1"/>
    <s v="N"/>
    <m/>
    <x v="0"/>
    <m/>
    <m/>
  </r>
  <r>
    <x v="963"/>
    <s v="Diane"/>
    <x v="16"/>
    <d v="1899-12-30T17:16:48"/>
    <d v="2021-01-17T17:16:48"/>
    <x v="2"/>
    <x v="7"/>
    <x v="3"/>
    <x v="0"/>
    <s v="N"/>
    <n v="91"/>
    <x v="0"/>
    <d v="1899-12-30T00:04:09"/>
    <n v="3"/>
  </r>
  <r>
    <x v="964"/>
    <s v="Dan"/>
    <x v="16"/>
    <d v="1899-12-30T17:21:07"/>
    <d v="2021-01-17T17:21:07"/>
    <x v="2"/>
    <x v="7"/>
    <x v="2"/>
    <x v="0"/>
    <s v="Y"/>
    <n v="48"/>
    <x v="0"/>
    <d v="1899-12-30T00:03:13"/>
    <n v="3"/>
  </r>
  <r>
    <x v="965"/>
    <s v="Greg"/>
    <x v="16"/>
    <d v="1899-12-30T17:21:07"/>
    <d v="2021-01-17T17:21:07"/>
    <x v="2"/>
    <x v="7"/>
    <x v="0"/>
    <x v="0"/>
    <s v="Y"/>
    <n v="45"/>
    <x v="0"/>
    <d v="1899-12-30T00:01:39"/>
    <n v="3"/>
  </r>
  <r>
    <x v="966"/>
    <s v="Becky"/>
    <x v="16"/>
    <d v="1899-12-30T17:54:14"/>
    <d v="2021-01-17T17:54:14"/>
    <x v="2"/>
    <x v="7"/>
    <x v="3"/>
    <x v="0"/>
    <s v="Y"/>
    <n v="60"/>
    <x v="0"/>
    <d v="1899-12-30T00:02:00"/>
    <n v="5"/>
  </r>
  <r>
    <x v="967"/>
    <s v="Jim"/>
    <x v="16"/>
    <d v="1899-12-30T17:54:14"/>
    <d v="2021-01-17T17:54:14"/>
    <x v="2"/>
    <x v="7"/>
    <x v="4"/>
    <x v="0"/>
    <s v="Y"/>
    <n v="85"/>
    <x v="0"/>
    <d v="1899-12-30T00:05:32"/>
    <n v="4"/>
  </r>
  <r>
    <x v="968"/>
    <s v="Joe"/>
    <x v="17"/>
    <d v="1899-12-30T09:24:29"/>
    <d v="2021-01-18T09:24:29"/>
    <x v="3"/>
    <x v="0"/>
    <x v="3"/>
    <x v="0"/>
    <s v="Y"/>
    <n v="53"/>
    <x v="0"/>
    <d v="1899-12-30T00:06:06"/>
    <n v="4"/>
  </r>
  <r>
    <x v="969"/>
    <s v="Greg"/>
    <x v="17"/>
    <d v="1899-12-30T09:24:29"/>
    <d v="2021-01-18T09:24:29"/>
    <x v="3"/>
    <x v="0"/>
    <x v="0"/>
    <x v="0"/>
    <s v="N"/>
    <n v="27"/>
    <x v="0"/>
    <d v="1899-12-30T00:06:14"/>
    <n v="5"/>
  </r>
  <r>
    <x v="970"/>
    <s v="Joe"/>
    <x v="17"/>
    <d v="1899-12-30T09:24:29"/>
    <d v="2021-01-18T09:24:29"/>
    <x v="3"/>
    <x v="0"/>
    <x v="3"/>
    <x v="0"/>
    <s v="Y"/>
    <n v="30"/>
    <x v="0"/>
    <d v="1899-12-30T00:04:03"/>
    <n v="3"/>
  </r>
  <r>
    <x v="971"/>
    <s v="Dan"/>
    <x v="17"/>
    <d v="1899-12-30T09:24:29"/>
    <d v="2021-01-18T09:24:29"/>
    <x v="3"/>
    <x v="0"/>
    <x v="0"/>
    <x v="1"/>
    <s v="N"/>
    <m/>
    <x v="0"/>
    <m/>
    <m/>
  </r>
  <r>
    <x v="972"/>
    <s v="Jim"/>
    <x v="17"/>
    <d v="1899-12-30T09:31:41"/>
    <d v="2021-01-18T09:31:41"/>
    <x v="3"/>
    <x v="0"/>
    <x v="3"/>
    <x v="0"/>
    <s v="Y"/>
    <n v="113"/>
    <x v="0"/>
    <d v="1899-12-30T00:03:01"/>
    <n v="5"/>
  </r>
  <r>
    <x v="973"/>
    <s v="Jim"/>
    <x v="17"/>
    <d v="1899-12-30T09:31:41"/>
    <d v="2021-01-18T09:31:41"/>
    <x v="3"/>
    <x v="0"/>
    <x v="1"/>
    <x v="1"/>
    <s v="N"/>
    <m/>
    <x v="0"/>
    <m/>
    <m/>
  </r>
  <r>
    <x v="974"/>
    <s v="Diane"/>
    <x v="17"/>
    <d v="1899-12-30T09:36:00"/>
    <d v="2021-01-18T09:36:00"/>
    <x v="3"/>
    <x v="0"/>
    <x v="3"/>
    <x v="1"/>
    <s v="N"/>
    <m/>
    <x v="0"/>
    <m/>
    <m/>
  </r>
  <r>
    <x v="975"/>
    <s v="Jim"/>
    <x v="17"/>
    <d v="1899-12-30T09:36:00"/>
    <d v="2021-01-18T09:36:00"/>
    <x v="3"/>
    <x v="0"/>
    <x v="4"/>
    <x v="0"/>
    <s v="Y"/>
    <n v="80"/>
    <x v="0"/>
    <d v="1899-12-30T00:06:57"/>
    <n v="4"/>
  </r>
  <r>
    <x v="976"/>
    <s v="Stewart"/>
    <x v="17"/>
    <d v="1899-12-30T10:16:19"/>
    <d v="2021-01-18T10:16:19"/>
    <x v="3"/>
    <x v="1"/>
    <x v="0"/>
    <x v="0"/>
    <s v="Y"/>
    <n v="45"/>
    <x v="0"/>
    <d v="1899-12-30T00:07:00"/>
    <n v="5"/>
  </r>
  <r>
    <x v="977"/>
    <s v="Joe"/>
    <x v="17"/>
    <d v="1899-12-30T10:16:19"/>
    <d v="2021-01-18T10:16:19"/>
    <x v="3"/>
    <x v="1"/>
    <x v="3"/>
    <x v="0"/>
    <s v="Y"/>
    <n v="95"/>
    <x v="0"/>
    <d v="1899-12-30T00:02:16"/>
    <n v="1"/>
  </r>
  <r>
    <x v="978"/>
    <s v="Martha"/>
    <x v="17"/>
    <d v="1899-12-30T11:28:19"/>
    <d v="2021-01-18T11:28:19"/>
    <x v="3"/>
    <x v="2"/>
    <x v="4"/>
    <x v="1"/>
    <s v="N"/>
    <m/>
    <x v="0"/>
    <m/>
    <m/>
  </r>
  <r>
    <x v="979"/>
    <s v="Dan"/>
    <x v="17"/>
    <d v="1899-12-30T11:28:19"/>
    <d v="2021-01-18T11:28:19"/>
    <x v="3"/>
    <x v="2"/>
    <x v="2"/>
    <x v="0"/>
    <s v="Y"/>
    <n v="33"/>
    <x v="0"/>
    <d v="1899-12-30T00:01:28"/>
    <n v="3"/>
  </r>
  <r>
    <x v="980"/>
    <s v="Stewart"/>
    <x v="17"/>
    <d v="1899-12-30T11:47:02"/>
    <d v="2021-01-18T11:47:02"/>
    <x v="3"/>
    <x v="2"/>
    <x v="2"/>
    <x v="1"/>
    <s v="N"/>
    <m/>
    <x v="0"/>
    <m/>
    <m/>
  </r>
  <r>
    <x v="981"/>
    <s v="Jim"/>
    <x v="17"/>
    <d v="1899-12-30T11:47:02"/>
    <d v="2021-01-18T11:47:02"/>
    <x v="3"/>
    <x v="2"/>
    <x v="4"/>
    <x v="0"/>
    <s v="Y"/>
    <n v="90"/>
    <x v="0"/>
    <d v="1899-12-30T00:06:47"/>
    <n v="3"/>
  </r>
  <r>
    <x v="982"/>
    <s v="Greg"/>
    <x v="17"/>
    <d v="1899-12-30T11:51:22"/>
    <d v="2021-01-18T11:51:22"/>
    <x v="3"/>
    <x v="2"/>
    <x v="2"/>
    <x v="0"/>
    <s v="Y"/>
    <n v="90"/>
    <x v="0"/>
    <d v="1899-12-30T00:02:14"/>
    <n v="3"/>
  </r>
  <r>
    <x v="983"/>
    <s v="Jim"/>
    <x v="17"/>
    <d v="1899-12-30T11:51:22"/>
    <d v="2021-01-18T11:51:22"/>
    <x v="3"/>
    <x v="2"/>
    <x v="4"/>
    <x v="0"/>
    <s v="N"/>
    <n v="57"/>
    <x v="0"/>
    <d v="1899-12-30T00:04:10"/>
    <n v="1"/>
  </r>
  <r>
    <x v="984"/>
    <s v="Becky"/>
    <x v="17"/>
    <d v="1899-12-30T11:55:41"/>
    <d v="2021-01-18T11:55:41"/>
    <x v="3"/>
    <x v="2"/>
    <x v="3"/>
    <x v="0"/>
    <s v="Y"/>
    <n v="123"/>
    <x v="0"/>
    <d v="1899-12-30T00:05:50"/>
    <n v="2"/>
  </r>
  <r>
    <x v="985"/>
    <s v="Diane"/>
    <x v="17"/>
    <d v="1899-12-30T11:55:41"/>
    <d v="2021-01-18T11:55:41"/>
    <x v="3"/>
    <x v="2"/>
    <x v="3"/>
    <x v="0"/>
    <s v="Y"/>
    <n v="39"/>
    <x v="0"/>
    <d v="1899-12-30T00:06:51"/>
    <n v="4"/>
  </r>
  <r>
    <x v="986"/>
    <s v="Greg"/>
    <x v="17"/>
    <d v="1899-12-30T11:57:07"/>
    <d v="2021-01-18T11:57:07"/>
    <x v="3"/>
    <x v="2"/>
    <x v="1"/>
    <x v="0"/>
    <s v="N"/>
    <n v="38"/>
    <x v="0"/>
    <d v="1899-12-30T00:02:16"/>
    <n v="5"/>
  </r>
  <r>
    <x v="987"/>
    <s v="Diane"/>
    <x v="17"/>
    <d v="1899-12-30T11:57:07"/>
    <d v="2021-01-18T11:57:07"/>
    <x v="3"/>
    <x v="2"/>
    <x v="4"/>
    <x v="0"/>
    <s v="Y"/>
    <n v="26"/>
    <x v="0"/>
    <d v="1899-12-30T00:01:35"/>
    <n v="1"/>
  </r>
  <r>
    <x v="988"/>
    <s v="Diane"/>
    <x v="17"/>
    <d v="1899-12-30T11:58:34"/>
    <d v="2021-01-18T11:58:34"/>
    <x v="3"/>
    <x v="2"/>
    <x v="0"/>
    <x v="0"/>
    <s v="Y"/>
    <n v="43"/>
    <x v="0"/>
    <d v="1899-12-30T00:02:34"/>
    <n v="3"/>
  </r>
  <r>
    <x v="989"/>
    <s v="Jim"/>
    <x v="17"/>
    <d v="1899-12-30T11:58:34"/>
    <d v="2021-01-18T11:58:34"/>
    <x v="3"/>
    <x v="2"/>
    <x v="4"/>
    <x v="0"/>
    <s v="Y"/>
    <n v="89"/>
    <x v="0"/>
    <d v="1899-12-30T00:05:53"/>
    <n v="3"/>
  </r>
  <r>
    <x v="990"/>
    <s v="Jim"/>
    <x v="17"/>
    <d v="1899-12-30T12:00:00"/>
    <d v="2021-01-18T12:00:00"/>
    <x v="3"/>
    <x v="3"/>
    <x v="0"/>
    <x v="0"/>
    <s v="Y"/>
    <n v="121"/>
    <x v="0"/>
    <d v="1899-12-30T00:05:24"/>
    <n v="3"/>
  </r>
  <r>
    <x v="991"/>
    <s v="Jim"/>
    <x v="17"/>
    <d v="1899-12-30T12:00:00"/>
    <d v="2021-01-18T12:00:00"/>
    <x v="3"/>
    <x v="3"/>
    <x v="2"/>
    <x v="0"/>
    <s v="Y"/>
    <n v="114"/>
    <x v="0"/>
    <d v="1899-12-30T00:03:10"/>
    <n v="4"/>
  </r>
  <r>
    <x v="992"/>
    <s v="Stewart"/>
    <x v="17"/>
    <d v="1899-12-30T12:34:34"/>
    <d v="2021-01-18T12:34:34"/>
    <x v="3"/>
    <x v="3"/>
    <x v="0"/>
    <x v="1"/>
    <s v="N"/>
    <m/>
    <x v="0"/>
    <m/>
    <m/>
  </r>
  <r>
    <x v="993"/>
    <s v="Dan"/>
    <x v="17"/>
    <d v="1899-12-30T12:34:34"/>
    <d v="2021-01-18T12:34:34"/>
    <x v="3"/>
    <x v="3"/>
    <x v="1"/>
    <x v="1"/>
    <s v="N"/>
    <m/>
    <x v="0"/>
    <m/>
    <m/>
  </r>
  <r>
    <x v="994"/>
    <s v="Becky"/>
    <x v="17"/>
    <d v="1899-12-30T12:37:26"/>
    <d v="2021-01-18T12:37:26"/>
    <x v="3"/>
    <x v="3"/>
    <x v="4"/>
    <x v="1"/>
    <s v="N"/>
    <m/>
    <x v="0"/>
    <m/>
    <m/>
  </r>
  <r>
    <x v="995"/>
    <s v="Becky"/>
    <x v="17"/>
    <d v="1899-12-30T12:37:26"/>
    <d v="2021-01-18T12:37:26"/>
    <x v="3"/>
    <x v="3"/>
    <x v="3"/>
    <x v="0"/>
    <s v="N"/>
    <n v="101"/>
    <x v="0"/>
    <d v="1899-12-30T00:04:36"/>
    <n v="3"/>
  </r>
  <r>
    <x v="996"/>
    <s v="Joe"/>
    <x v="17"/>
    <d v="1899-12-30T12:38:53"/>
    <d v="2021-01-18T12:38:53"/>
    <x v="3"/>
    <x v="3"/>
    <x v="2"/>
    <x v="0"/>
    <s v="Y"/>
    <n v="87"/>
    <x v="0"/>
    <d v="1899-12-30T00:05:19"/>
    <n v="4"/>
  </r>
  <r>
    <x v="997"/>
    <s v="Greg"/>
    <x v="17"/>
    <d v="1899-12-30T12:38:53"/>
    <d v="2021-01-18T12:38:53"/>
    <x v="3"/>
    <x v="3"/>
    <x v="3"/>
    <x v="0"/>
    <s v="Y"/>
    <n v="22"/>
    <x v="0"/>
    <d v="1899-12-30T00:06:02"/>
    <n v="5"/>
  </r>
  <r>
    <x v="998"/>
    <s v="Stewart"/>
    <x v="17"/>
    <d v="1899-12-30T12:41:46"/>
    <d v="2021-01-18T12:41:46"/>
    <x v="3"/>
    <x v="3"/>
    <x v="4"/>
    <x v="0"/>
    <s v="Y"/>
    <n v="19"/>
    <x v="1"/>
    <d v="1899-12-30T00:03:57"/>
    <n v="2"/>
  </r>
  <r>
    <x v="999"/>
    <s v="Becky"/>
    <x v="17"/>
    <d v="1899-12-30T12:41:46"/>
    <d v="2021-01-18T12:41:46"/>
    <x v="3"/>
    <x v="3"/>
    <x v="3"/>
    <x v="0"/>
    <s v="Y"/>
    <n v="31"/>
    <x v="0"/>
    <d v="1899-12-30T00:02:30"/>
    <n v="4"/>
  </r>
  <r>
    <x v="1000"/>
    <s v="Martha"/>
    <x v="17"/>
    <d v="1899-12-30T12:48:58"/>
    <d v="2021-01-18T12:48:58"/>
    <x v="3"/>
    <x v="3"/>
    <x v="2"/>
    <x v="0"/>
    <s v="Y"/>
    <n v="24"/>
    <x v="0"/>
    <d v="1899-12-30T00:06:03"/>
    <n v="4"/>
  </r>
  <r>
    <x v="1001"/>
    <s v="Dan"/>
    <x v="17"/>
    <d v="1899-12-30T12:48:58"/>
    <d v="2021-01-18T12:48:58"/>
    <x v="3"/>
    <x v="3"/>
    <x v="2"/>
    <x v="0"/>
    <s v="N"/>
    <n v="94"/>
    <x v="0"/>
    <d v="1899-12-30T00:04:42"/>
    <n v="4"/>
  </r>
  <r>
    <x v="1002"/>
    <s v="Dan"/>
    <x v="17"/>
    <d v="1899-12-30T13:10:34"/>
    <d v="2021-01-18T13:10:34"/>
    <x v="3"/>
    <x v="4"/>
    <x v="4"/>
    <x v="0"/>
    <s v="Y"/>
    <n v="79"/>
    <x v="0"/>
    <d v="1899-12-30T00:00:47"/>
    <n v="4"/>
  </r>
  <r>
    <x v="1003"/>
    <s v="Jim"/>
    <x v="17"/>
    <d v="1899-12-30T13:10:34"/>
    <d v="2021-01-18T13:10:34"/>
    <x v="3"/>
    <x v="4"/>
    <x v="1"/>
    <x v="1"/>
    <s v="N"/>
    <m/>
    <x v="0"/>
    <m/>
    <m/>
  </r>
  <r>
    <x v="1004"/>
    <s v="Martha"/>
    <x v="17"/>
    <d v="1899-12-30T13:10:34"/>
    <d v="2021-01-18T13:10:34"/>
    <x v="3"/>
    <x v="4"/>
    <x v="3"/>
    <x v="0"/>
    <s v="Y"/>
    <n v="87"/>
    <x v="0"/>
    <d v="1899-12-30T00:04:40"/>
    <n v="4"/>
  </r>
  <r>
    <x v="1005"/>
    <s v="Dan"/>
    <x v="17"/>
    <d v="1899-12-30T13:10:34"/>
    <d v="2021-01-18T13:10:34"/>
    <x v="3"/>
    <x v="4"/>
    <x v="0"/>
    <x v="0"/>
    <s v="N"/>
    <n v="65"/>
    <x v="0"/>
    <d v="1899-12-30T00:06:04"/>
    <n v="4"/>
  </r>
  <r>
    <x v="1006"/>
    <s v="Martha"/>
    <x v="17"/>
    <d v="1899-12-30T14:58:34"/>
    <d v="2021-01-18T14:58:34"/>
    <x v="3"/>
    <x v="5"/>
    <x v="0"/>
    <x v="0"/>
    <s v="Y"/>
    <n v="36"/>
    <x v="0"/>
    <d v="1899-12-30T00:04:23"/>
    <n v="3"/>
  </r>
  <r>
    <x v="1007"/>
    <s v="Joe"/>
    <x v="17"/>
    <d v="1899-12-30T14:58:34"/>
    <d v="2021-01-18T14:58:34"/>
    <x v="3"/>
    <x v="5"/>
    <x v="1"/>
    <x v="1"/>
    <s v="N"/>
    <m/>
    <x v="0"/>
    <m/>
    <m/>
  </r>
  <r>
    <x v="1008"/>
    <s v="Stewart"/>
    <x v="17"/>
    <d v="1899-12-30T15:18:43"/>
    <d v="2021-01-18T15:18:43"/>
    <x v="3"/>
    <x v="6"/>
    <x v="4"/>
    <x v="0"/>
    <s v="Y"/>
    <n v="33"/>
    <x v="0"/>
    <d v="1899-12-30T00:02:16"/>
    <n v="4"/>
  </r>
  <r>
    <x v="1009"/>
    <s v="Becky"/>
    <x v="17"/>
    <d v="1899-12-30T15:18:43"/>
    <d v="2021-01-18T15:18:43"/>
    <x v="3"/>
    <x v="6"/>
    <x v="0"/>
    <x v="1"/>
    <s v="N"/>
    <m/>
    <x v="0"/>
    <m/>
    <m/>
  </r>
  <r>
    <x v="1010"/>
    <s v="Jim"/>
    <x v="17"/>
    <d v="1899-12-30T15:50:24"/>
    <d v="2021-01-18T15:50:24"/>
    <x v="3"/>
    <x v="6"/>
    <x v="3"/>
    <x v="1"/>
    <s v="N"/>
    <m/>
    <x v="0"/>
    <m/>
    <m/>
  </r>
  <r>
    <x v="1011"/>
    <s v="Greg"/>
    <x v="17"/>
    <d v="1899-12-30T15:50:24"/>
    <d v="2021-01-18T15:50:24"/>
    <x v="3"/>
    <x v="6"/>
    <x v="4"/>
    <x v="0"/>
    <s v="Y"/>
    <n v="24"/>
    <x v="0"/>
    <d v="1899-12-30T00:03:15"/>
    <n v="5"/>
  </r>
  <r>
    <x v="1012"/>
    <s v="Stewart"/>
    <x v="17"/>
    <d v="1899-12-30T16:12:00"/>
    <d v="2021-01-18T16:12:00"/>
    <x v="3"/>
    <x v="8"/>
    <x v="3"/>
    <x v="0"/>
    <s v="Y"/>
    <n v="32"/>
    <x v="0"/>
    <d v="1899-12-30T00:03:40"/>
    <n v="5"/>
  </r>
  <r>
    <x v="1013"/>
    <s v="Joe"/>
    <x v="17"/>
    <d v="1899-12-30T16:12:00"/>
    <d v="2021-01-18T16:12:00"/>
    <x v="3"/>
    <x v="8"/>
    <x v="0"/>
    <x v="0"/>
    <s v="N"/>
    <n v="24"/>
    <x v="0"/>
    <d v="1899-12-30T00:03:46"/>
    <n v="4"/>
  </r>
  <r>
    <x v="1014"/>
    <s v="Stewart"/>
    <x v="17"/>
    <d v="1899-12-30T16:49:26"/>
    <d v="2021-01-18T16:49:26"/>
    <x v="3"/>
    <x v="8"/>
    <x v="1"/>
    <x v="0"/>
    <s v="Y"/>
    <n v="96"/>
    <x v="0"/>
    <d v="1899-12-30T00:05:29"/>
    <n v="5"/>
  </r>
  <r>
    <x v="1015"/>
    <s v="Joe"/>
    <x v="17"/>
    <d v="1899-12-30T16:49:26"/>
    <d v="2021-01-18T16:49:26"/>
    <x v="3"/>
    <x v="8"/>
    <x v="1"/>
    <x v="0"/>
    <s v="Y"/>
    <n v="45"/>
    <x v="0"/>
    <d v="1899-12-30T00:02:05"/>
    <n v="5"/>
  </r>
  <r>
    <x v="1016"/>
    <s v="Jim"/>
    <x v="17"/>
    <d v="1899-12-30T17:13:55"/>
    <d v="2021-01-18T17:13:55"/>
    <x v="3"/>
    <x v="7"/>
    <x v="3"/>
    <x v="0"/>
    <s v="Y"/>
    <n v="16"/>
    <x v="1"/>
    <d v="1899-12-30T00:05:09"/>
    <n v="1"/>
  </r>
  <r>
    <x v="1017"/>
    <s v="Greg"/>
    <x v="17"/>
    <d v="1899-12-30T17:13:55"/>
    <d v="2021-01-18T17:13:55"/>
    <x v="3"/>
    <x v="7"/>
    <x v="1"/>
    <x v="0"/>
    <s v="Y"/>
    <n v="75"/>
    <x v="0"/>
    <d v="1899-12-30T00:06:56"/>
    <n v="5"/>
  </r>
  <r>
    <x v="1018"/>
    <s v="Joe"/>
    <x v="17"/>
    <d v="1899-12-30T17:18:14"/>
    <d v="2021-01-18T17:18:14"/>
    <x v="3"/>
    <x v="7"/>
    <x v="0"/>
    <x v="0"/>
    <s v="Y"/>
    <n v="71"/>
    <x v="0"/>
    <d v="1899-12-30T00:00:37"/>
    <n v="3"/>
  </r>
  <r>
    <x v="1019"/>
    <s v="Stewart"/>
    <x v="17"/>
    <d v="1899-12-30T17:18:14"/>
    <d v="2021-01-18T17:18:14"/>
    <x v="3"/>
    <x v="7"/>
    <x v="1"/>
    <x v="0"/>
    <s v="Y"/>
    <n v="47"/>
    <x v="0"/>
    <d v="1899-12-30T00:02:17"/>
    <n v="3"/>
  </r>
  <r>
    <x v="1020"/>
    <s v="Stewart"/>
    <x v="17"/>
    <d v="1899-12-30T17:18:14"/>
    <d v="2021-01-18T17:18:14"/>
    <x v="3"/>
    <x v="7"/>
    <x v="3"/>
    <x v="0"/>
    <s v="Y"/>
    <n v="54"/>
    <x v="0"/>
    <d v="1899-12-30T00:04:48"/>
    <n v="3"/>
  </r>
  <r>
    <x v="1021"/>
    <s v="Becky"/>
    <x v="17"/>
    <d v="1899-12-30T17:18:14"/>
    <d v="2021-01-18T17:18:14"/>
    <x v="3"/>
    <x v="7"/>
    <x v="2"/>
    <x v="0"/>
    <s v="Y"/>
    <n v="101"/>
    <x v="0"/>
    <d v="1899-12-30T00:04:29"/>
    <n v="4"/>
  </r>
  <r>
    <x v="1022"/>
    <s v="Martha"/>
    <x v="17"/>
    <d v="1899-12-30T17:25:26"/>
    <d v="2021-01-18T17:25:26"/>
    <x v="3"/>
    <x v="7"/>
    <x v="4"/>
    <x v="0"/>
    <s v="Y"/>
    <n v="46"/>
    <x v="0"/>
    <d v="1899-12-30T00:02:07"/>
    <n v="3"/>
  </r>
  <r>
    <x v="1023"/>
    <s v="Becky"/>
    <x v="17"/>
    <d v="1899-12-30T17:25:26"/>
    <d v="2021-01-18T17:25:26"/>
    <x v="3"/>
    <x v="7"/>
    <x v="1"/>
    <x v="0"/>
    <s v="Y"/>
    <n v="45"/>
    <x v="0"/>
    <d v="1899-12-30T00:06:55"/>
    <n v="3"/>
  </r>
  <r>
    <x v="1024"/>
    <s v="Martha"/>
    <x v="17"/>
    <d v="1899-12-30T17:26:53"/>
    <d v="2021-01-18T17:26:53"/>
    <x v="3"/>
    <x v="7"/>
    <x v="1"/>
    <x v="0"/>
    <s v="Y"/>
    <n v="45"/>
    <x v="0"/>
    <d v="1899-12-30T00:05:25"/>
    <n v="4"/>
  </r>
  <r>
    <x v="1025"/>
    <s v="Jim"/>
    <x v="17"/>
    <d v="1899-12-30T17:26:53"/>
    <d v="2021-01-18T17:26:53"/>
    <x v="3"/>
    <x v="7"/>
    <x v="3"/>
    <x v="0"/>
    <s v="Y"/>
    <n v="30"/>
    <x v="0"/>
    <d v="1899-12-30T00:04:58"/>
    <n v="5"/>
  </r>
  <r>
    <x v="1026"/>
    <s v="Greg"/>
    <x v="17"/>
    <d v="1899-12-30T17:42:43"/>
    <d v="2021-01-18T17:42:43"/>
    <x v="3"/>
    <x v="7"/>
    <x v="1"/>
    <x v="0"/>
    <s v="Y"/>
    <n v="105"/>
    <x v="0"/>
    <d v="1899-12-30T00:04:54"/>
    <n v="4"/>
  </r>
  <r>
    <x v="1027"/>
    <s v="Jim"/>
    <x v="17"/>
    <d v="1899-12-30T17:42:43"/>
    <d v="2021-01-18T17:42:43"/>
    <x v="3"/>
    <x v="7"/>
    <x v="2"/>
    <x v="0"/>
    <s v="Y"/>
    <n v="102"/>
    <x v="0"/>
    <d v="1899-12-30T00:04:54"/>
    <n v="4"/>
  </r>
  <r>
    <x v="1028"/>
    <s v="Greg"/>
    <x v="17"/>
    <d v="1899-12-30T17:55:41"/>
    <d v="2021-01-18T17:55:41"/>
    <x v="3"/>
    <x v="7"/>
    <x v="2"/>
    <x v="0"/>
    <s v="Y"/>
    <n v="46"/>
    <x v="0"/>
    <d v="1899-12-30T00:05:01"/>
    <n v="3"/>
  </r>
  <r>
    <x v="1029"/>
    <s v="Stewart"/>
    <x v="17"/>
    <d v="1899-12-30T17:55:41"/>
    <d v="2021-01-18T17:55:41"/>
    <x v="3"/>
    <x v="7"/>
    <x v="3"/>
    <x v="0"/>
    <s v="Y"/>
    <n v="11"/>
    <x v="1"/>
    <d v="1899-12-30T00:00:52"/>
    <n v="1"/>
  </r>
  <r>
    <x v="1030"/>
    <s v="Dan"/>
    <x v="18"/>
    <d v="1899-12-30T09:02:53"/>
    <d v="2021-01-19T09:02:53"/>
    <x v="4"/>
    <x v="0"/>
    <x v="2"/>
    <x v="0"/>
    <s v="Y"/>
    <n v="125"/>
    <x v="0"/>
    <d v="1899-12-30T00:06:03"/>
    <n v="3"/>
  </r>
  <r>
    <x v="1031"/>
    <s v="Stewart"/>
    <x v="18"/>
    <d v="1899-12-30T09:02:53"/>
    <d v="2021-01-19T09:02:53"/>
    <x v="4"/>
    <x v="0"/>
    <x v="3"/>
    <x v="0"/>
    <s v="Y"/>
    <n v="112"/>
    <x v="0"/>
    <d v="1899-12-30T00:01:53"/>
    <n v="3"/>
  </r>
  <r>
    <x v="1032"/>
    <s v="Becky"/>
    <x v="18"/>
    <d v="1899-12-30T09:15:50"/>
    <d v="2021-01-19T09:15:50"/>
    <x v="4"/>
    <x v="0"/>
    <x v="1"/>
    <x v="0"/>
    <s v="Y"/>
    <n v="14"/>
    <x v="1"/>
    <d v="1899-12-30T00:01:56"/>
    <n v="3"/>
  </r>
  <r>
    <x v="1033"/>
    <s v="Joe"/>
    <x v="18"/>
    <d v="1899-12-30T09:15:50"/>
    <d v="2021-01-19T09:15:50"/>
    <x v="4"/>
    <x v="0"/>
    <x v="0"/>
    <x v="0"/>
    <s v="N"/>
    <n v="10"/>
    <x v="1"/>
    <d v="1899-12-30T00:04:43"/>
    <n v="4"/>
  </r>
  <r>
    <x v="1034"/>
    <s v="Martha"/>
    <x v="18"/>
    <d v="1899-12-30T09:18:43"/>
    <d v="2021-01-19T09:18:43"/>
    <x v="4"/>
    <x v="0"/>
    <x v="0"/>
    <x v="0"/>
    <s v="Y"/>
    <n v="60"/>
    <x v="0"/>
    <d v="1899-12-30T00:00:32"/>
    <n v="3"/>
  </r>
  <r>
    <x v="1035"/>
    <s v="Diane"/>
    <x v="18"/>
    <d v="1899-12-30T09:18:43"/>
    <d v="2021-01-19T09:18:43"/>
    <x v="4"/>
    <x v="0"/>
    <x v="4"/>
    <x v="0"/>
    <s v="Y"/>
    <n v="59"/>
    <x v="0"/>
    <d v="1899-12-30T00:05:02"/>
    <n v="5"/>
  </r>
  <r>
    <x v="1036"/>
    <s v="Stewart"/>
    <x v="18"/>
    <d v="1899-12-30T09:36:00"/>
    <d v="2021-01-19T09:36:00"/>
    <x v="4"/>
    <x v="0"/>
    <x v="1"/>
    <x v="0"/>
    <s v="Y"/>
    <n v="87"/>
    <x v="0"/>
    <d v="1899-12-30T00:03:43"/>
    <n v="5"/>
  </r>
  <r>
    <x v="1037"/>
    <s v="Martha"/>
    <x v="18"/>
    <d v="1899-12-30T09:36:00"/>
    <d v="2021-01-19T09:36:00"/>
    <x v="4"/>
    <x v="0"/>
    <x v="0"/>
    <x v="0"/>
    <s v="Y"/>
    <n v="111"/>
    <x v="0"/>
    <d v="1899-12-30T00:03:06"/>
    <n v="5"/>
  </r>
  <r>
    <x v="1038"/>
    <s v="Joe"/>
    <x v="18"/>
    <d v="1899-12-30T09:44:38"/>
    <d v="2021-01-19T09:44:38"/>
    <x v="4"/>
    <x v="0"/>
    <x v="0"/>
    <x v="1"/>
    <s v="N"/>
    <m/>
    <x v="0"/>
    <m/>
    <m/>
  </r>
  <r>
    <x v="1039"/>
    <s v="Becky"/>
    <x v="18"/>
    <d v="1899-12-30T09:44:38"/>
    <d v="2021-01-19T09:44:38"/>
    <x v="4"/>
    <x v="0"/>
    <x v="2"/>
    <x v="0"/>
    <s v="Y"/>
    <n v="10"/>
    <x v="1"/>
    <d v="1899-12-30T00:03:11"/>
    <n v="2"/>
  </r>
  <r>
    <x v="1040"/>
    <s v="Joe"/>
    <x v="18"/>
    <d v="1899-12-30T10:13:26"/>
    <d v="2021-01-19T10:13:26"/>
    <x v="4"/>
    <x v="1"/>
    <x v="1"/>
    <x v="1"/>
    <s v="N"/>
    <m/>
    <x v="0"/>
    <m/>
    <m/>
  </r>
  <r>
    <x v="1041"/>
    <s v="Joe"/>
    <x v="18"/>
    <d v="1899-12-30T10:13:26"/>
    <d v="2021-01-19T10:13:26"/>
    <x v="4"/>
    <x v="1"/>
    <x v="4"/>
    <x v="1"/>
    <s v="N"/>
    <m/>
    <x v="0"/>
    <m/>
    <m/>
  </r>
  <r>
    <x v="1042"/>
    <s v="Greg"/>
    <x v="18"/>
    <d v="1899-12-30T10:19:12"/>
    <d v="2021-01-19T10:19:12"/>
    <x v="4"/>
    <x v="1"/>
    <x v="2"/>
    <x v="0"/>
    <s v="Y"/>
    <n v="116"/>
    <x v="0"/>
    <d v="1899-12-30T00:05:48"/>
    <n v="5"/>
  </r>
  <r>
    <x v="1043"/>
    <s v="Diane"/>
    <x v="18"/>
    <d v="1899-12-30T10:19:12"/>
    <d v="2021-01-19T10:19:12"/>
    <x v="4"/>
    <x v="1"/>
    <x v="3"/>
    <x v="0"/>
    <s v="N"/>
    <n v="89"/>
    <x v="0"/>
    <d v="1899-12-30T00:03:20"/>
    <n v="3"/>
  </r>
  <r>
    <x v="1044"/>
    <s v="Becky"/>
    <x v="18"/>
    <d v="1899-12-30T10:33:36"/>
    <d v="2021-01-19T10:33:36"/>
    <x v="4"/>
    <x v="1"/>
    <x v="0"/>
    <x v="1"/>
    <s v="N"/>
    <m/>
    <x v="0"/>
    <m/>
    <m/>
  </r>
  <r>
    <x v="1045"/>
    <s v="Joe"/>
    <x v="18"/>
    <d v="1899-12-30T10:33:36"/>
    <d v="2021-01-19T10:33:36"/>
    <x v="4"/>
    <x v="1"/>
    <x v="0"/>
    <x v="0"/>
    <s v="N"/>
    <n v="106"/>
    <x v="0"/>
    <d v="1899-12-30T00:03:52"/>
    <n v="4"/>
  </r>
  <r>
    <x v="1046"/>
    <s v="Stewart"/>
    <x v="18"/>
    <d v="1899-12-30T10:52:19"/>
    <d v="2021-01-19T10:52:19"/>
    <x v="4"/>
    <x v="1"/>
    <x v="4"/>
    <x v="1"/>
    <s v="N"/>
    <m/>
    <x v="0"/>
    <m/>
    <m/>
  </r>
  <r>
    <x v="1047"/>
    <s v="Martha"/>
    <x v="18"/>
    <d v="1899-12-30T10:52:19"/>
    <d v="2021-01-19T10:52:19"/>
    <x v="4"/>
    <x v="1"/>
    <x v="4"/>
    <x v="0"/>
    <s v="Y"/>
    <n v="81"/>
    <x v="0"/>
    <d v="1899-12-30T00:01:27"/>
    <n v="4"/>
  </r>
  <r>
    <x v="1048"/>
    <s v="Dan"/>
    <x v="18"/>
    <d v="1899-12-30T11:25:26"/>
    <d v="2021-01-19T11:25:26"/>
    <x v="4"/>
    <x v="2"/>
    <x v="0"/>
    <x v="1"/>
    <s v="N"/>
    <m/>
    <x v="0"/>
    <m/>
    <m/>
  </r>
  <r>
    <x v="1049"/>
    <s v="Jim"/>
    <x v="18"/>
    <d v="1899-12-30T11:25:26"/>
    <d v="2021-01-19T11:25:26"/>
    <x v="4"/>
    <x v="2"/>
    <x v="3"/>
    <x v="0"/>
    <s v="Y"/>
    <n v="96"/>
    <x v="0"/>
    <d v="1899-12-30T00:05:39"/>
    <n v="5"/>
  </r>
  <r>
    <x v="1050"/>
    <s v="Jim"/>
    <x v="18"/>
    <d v="1899-12-30T11:44:10"/>
    <d v="2021-01-19T11:44:10"/>
    <x v="4"/>
    <x v="2"/>
    <x v="2"/>
    <x v="0"/>
    <s v="Y"/>
    <n v="64"/>
    <x v="0"/>
    <d v="1899-12-30T00:06:06"/>
    <n v="5"/>
  </r>
  <r>
    <x v="1051"/>
    <s v="Jim"/>
    <x v="18"/>
    <d v="1899-12-30T11:44:10"/>
    <d v="2021-01-19T11:44:10"/>
    <x v="4"/>
    <x v="2"/>
    <x v="0"/>
    <x v="0"/>
    <s v="N"/>
    <n v="79"/>
    <x v="0"/>
    <d v="1899-12-30T00:06:49"/>
    <n v="1"/>
  </r>
  <r>
    <x v="1052"/>
    <s v="Jim"/>
    <x v="18"/>
    <d v="1899-12-30T11:55:41"/>
    <d v="2021-01-19T11:55:41"/>
    <x v="4"/>
    <x v="2"/>
    <x v="2"/>
    <x v="0"/>
    <s v="Y"/>
    <n v="98"/>
    <x v="0"/>
    <d v="1899-12-30T00:02:23"/>
    <n v="1"/>
  </r>
  <r>
    <x v="1053"/>
    <s v="Joe"/>
    <x v="18"/>
    <d v="1899-12-30T11:55:41"/>
    <d v="2021-01-19T11:55:41"/>
    <x v="4"/>
    <x v="2"/>
    <x v="3"/>
    <x v="0"/>
    <s v="Y"/>
    <n v="91"/>
    <x v="0"/>
    <d v="1899-12-30T00:04:00"/>
    <n v="5"/>
  </r>
  <r>
    <x v="1054"/>
    <s v="Martha"/>
    <x v="18"/>
    <d v="1899-12-30T12:28:48"/>
    <d v="2021-01-19T12:28:48"/>
    <x v="4"/>
    <x v="3"/>
    <x v="4"/>
    <x v="1"/>
    <s v="N"/>
    <m/>
    <x v="0"/>
    <m/>
    <m/>
  </r>
  <r>
    <x v="1055"/>
    <s v="Stewart"/>
    <x v="18"/>
    <d v="1899-12-30T12:28:48"/>
    <d v="2021-01-19T12:28:48"/>
    <x v="4"/>
    <x v="3"/>
    <x v="0"/>
    <x v="0"/>
    <s v="Y"/>
    <n v="84"/>
    <x v="0"/>
    <d v="1899-12-30T00:06:44"/>
    <n v="2"/>
  </r>
  <r>
    <x v="1056"/>
    <s v="Joe"/>
    <x v="18"/>
    <d v="1899-12-30T12:40:19"/>
    <d v="2021-01-19T12:40:19"/>
    <x v="4"/>
    <x v="3"/>
    <x v="1"/>
    <x v="0"/>
    <s v="Y"/>
    <n v="47"/>
    <x v="0"/>
    <d v="1899-12-30T00:05:58"/>
    <n v="5"/>
  </r>
  <r>
    <x v="1057"/>
    <s v="Martha"/>
    <x v="18"/>
    <d v="1899-12-30T12:40:19"/>
    <d v="2021-01-19T12:40:19"/>
    <x v="4"/>
    <x v="3"/>
    <x v="2"/>
    <x v="0"/>
    <s v="Y"/>
    <n v="42"/>
    <x v="0"/>
    <d v="1899-12-30T00:02:06"/>
    <n v="5"/>
  </r>
  <r>
    <x v="1058"/>
    <s v="Dan"/>
    <x v="18"/>
    <d v="1899-12-30T12:59:02"/>
    <d v="2021-01-19T12:59:02"/>
    <x v="4"/>
    <x v="3"/>
    <x v="4"/>
    <x v="0"/>
    <s v="N"/>
    <n v="45"/>
    <x v="0"/>
    <d v="1899-12-30T00:03:44"/>
    <n v="4"/>
  </r>
  <r>
    <x v="1059"/>
    <s v="Dan"/>
    <x v="18"/>
    <d v="1899-12-30T12:59:02"/>
    <d v="2021-01-19T12:59:02"/>
    <x v="4"/>
    <x v="3"/>
    <x v="1"/>
    <x v="1"/>
    <s v="N"/>
    <m/>
    <x v="0"/>
    <m/>
    <m/>
  </r>
  <r>
    <x v="1060"/>
    <s v="Jim"/>
    <x v="18"/>
    <d v="1899-12-30T13:14:53"/>
    <d v="2021-01-19T13:14:53"/>
    <x v="4"/>
    <x v="4"/>
    <x v="2"/>
    <x v="0"/>
    <s v="Y"/>
    <n v="19"/>
    <x v="1"/>
    <d v="1899-12-30T00:01:36"/>
    <n v="5"/>
  </r>
  <r>
    <x v="1061"/>
    <s v="Greg"/>
    <x v="18"/>
    <d v="1899-12-30T13:14:53"/>
    <d v="2021-01-19T13:14:53"/>
    <x v="4"/>
    <x v="4"/>
    <x v="0"/>
    <x v="0"/>
    <s v="Y"/>
    <n v="114"/>
    <x v="0"/>
    <d v="1899-12-30T00:01:25"/>
    <n v="3"/>
  </r>
  <r>
    <x v="1062"/>
    <s v="Jim"/>
    <x v="18"/>
    <d v="1899-12-30T13:22:05"/>
    <d v="2021-01-19T13:22:05"/>
    <x v="4"/>
    <x v="4"/>
    <x v="3"/>
    <x v="0"/>
    <s v="Y"/>
    <n v="94"/>
    <x v="0"/>
    <d v="1899-12-30T00:00:57"/>
    <n v="5"/>
  </r>
  <r>
    <x v="1063"/>
    <s v="Dan"/>
    <x v="18"/>
    <d v="1899-12-30T13:22:05"/>
    <d v="2021-01-19T13:22:05"/>
    <x v="4"/>
    <x v="4"/>
    <x v="2"/>
    <x v="1"/>
    <s v="N"/>
    <m/>
    <x v="0"/>
    <m/>
    <m/>
  </r>
  <r>
    <x v="1064"/>
    <s v="Diane"/>
    <x v="18"/>
    <d v="1899-12-30T13:26:24"/>
    <d v="2021-01-19T13:26:24"/>
    <x v="4"/>
    <x v="4"/>
    <x v="4"/>
    <x v="0"/>
    <s v="Y"/>
    <n v="99"/>
    <x v="0"/>
    <d v="1899-12-30T00:02:16"/>
    <n v="5"/>
  </r>
  <r>
    <x v="1065"/>
    <s v="Diane"/>
    <x v="18"/>
    <d v="1899-12-30T13:26:24"/>
    <d v="2021-01-19T13:26:24"/>
    <x v="4"/>
    <x v="4"/>
    <x v="4"/>
    <x v="0"/>
    <s v="Y"/>
    <n v="23"/>
    <x v="0"/>
    <d v="1899-12-30T00:04:32"/>
    <n v="4"/>
  </r>
  <r>
    <x v="1066"/>
    <s v="Greg"/>
    <x v="18"/>
    <d v="1899-12-30T13:36:29"/>
    <d v="2021-01-19T13:36:29"/>
    <x v="4"/>
    <x v="4"/>
    <x v="1"/>
    <x v="1"/>
    <s v="N"/>
    <m/>
    <x v="0"/>
    <m/>
    <m/>
  </r>
  <r>
    <x v="1067"/>
    <s v="Dan"/>
    <x v="18"/>
    <d v="1899-12-30T13:36:29"/>
    <d v="2021-01-19T13:36:29"/>
    <x v="4"/>
    <x v="4"/>
    <x v="3"/>
    <x v="0"/>
    <s v="Y"/>
    <n v="80"/>
    <x v="0"/>
    <d v="1899-12-30T00:04:52"/>
    <n v="5"/>
  </r>
  <r>
    <x v="1068"/>
    <s v="Stewart"/>
    <x v="18"/>
    <d v="1899-12-30T13:37:55"/>
    <d v="2021-01-19T13:37:55"/>
    <x v="4"/>
    <x v="4"/>
    <x v="2"/>
    <x v="0"/>
    <s v="Y"/>
    <n v="18"/>
    <x v="1"/>
    <d v="1899-12-30T00:05:19"/>
    <n v="3"/>
  </r>
  <r>
    <x v="1069"/>
    <s v="Diane"/>
    <x v="18"/>
    <d v="1899-12-30T13:37:55"/>
    <d v="2021-01-19T13:37:55"/>
    <x v="4"/>
    <x v="4"/>
    <x v="0"/>
    <x v="1"/>
    <s v="N"/>
    <m/>
    <x v="0"/>
    <m/>
    <m/>
  </r>
  <r>
    <x v="1070"/>
    <s v="Martha"/>
    <x v="18"/>
    <d v="1899-12-30T13:45:07"/>
    <d v="2021-01-19T13:45:07"/>
    <x v="4"/>
    <x v="4"/>
    <x v="2"/>
    <x v="0"/>
    <s v="Y"/>
    <n v="104"/>
    <x v="0"/>
    <d v="1899-12-30T00:03:33"/>
    <n v="4"/>
  </r>
  <r>
    <x v="1071"/>
    <s v="Martha"/>
    <x v="18"/>
    <d v="1899-12-30T13:45:07"/>
    <d v="2021-01-19T13:45:07"/>
    <x v="4"/>
    <x v="4"/>
    <x v="2"/>
    <x v="0"/>
    <s v="Y"/>
    <n v="116"/>
    <x v="0"/>
    <d v="1899-12-30T00:05:45"/>
    <n v="3"/>
  </r>
  <r>
    <x v="1072"/>
    <s v="Stewart"/>
    <x v="18"/>
    <d v="1899-12-30T14:22:34"/>
    <d v="2021-01-19T14:22:34"/>
    <x v="4"/>
    <x v="5"/>
    <x v="4"/>
    <x v="0"/>
    <s v="Y"/>
    <n v="44"/>
    <x v="0"/>
    <d v="1899-12-30T00:06:09"/>
    <n v="5"/>
  </r>
  <r>
    <x v="1073"/>
    <s v="Joe"/>
    <x v="18"/>
    <d v="1899-12-30T14:22:34"/>
    <d v="2021-01-19T14:22:34"/>
    <x v="4"/>
    <x v="5"/>
    <x v="2"/>
    <x v="0"/>
    <s v="Y"/>
    <n v="91"/>
    <x v="0"/>
    <d v="1899-12-30T00:06:43"/>
    <n v="4"/>
  </r>
  <r>
    <x v="1074"/>
    <s v="Greg"/>
    <x v="18"/>
    <d v="1899-12-30T15:00:00"/>
    <d v="2021-01-19T15:00:00"/>
    <x v="4"/>
    <x v="6"/>
    <x v="0"/>
    <x v="1"/>
    <s v="N"/>
    <m/>
    <x v="0"/>
    <m/>
    <m/>
  </r>
  <r>
    <x v="1075"/>
    <s v="Martha"/>
    <x v="18"/>
    <d v="1899-12-30T15:00:00"/>
    <d v="2021-01-19T15:00:00"/>
    <x v="4"/>
    <x v="6"/>
    <x v="1"/>
    <x v="0"/>
    <s v="Y"/>
    <n v="122"/>
    <x v="0"/>
    <d v="1899-12-30T00:04:15"/>
    <n v="3"/>
  </r>
  <r>
    <x v="1076"/>
    <s v="Becky"/>
    <x v="18"/>
    <d v="1899-12-30T15:30:14"/>
    <d v="2021-01-19T15:30:14"/>
    <x v="4"/>
    <x v="6"/>
    <x v="4"/>
    <x v="0"/>
    <s v="Y"/>
    <n v="103"/>
    <x v="0"/>
    <d v="1899-12-30T00:02:49"/>
    <n v="3"/>
  </r>
  <r>
    <x v="1077"/>
    <s v="Becky"/>
    <x v="18"/>
    <d v="1899-12-30T15:30:14"/>
    <d v="2021-01-19T15:30:14"/>
    <x v="4"/>
    <x v="6"/>
    <x v="1"/>
    <x v="0"/>
    <s v="Y"/>
    <n v="18"/>
    <x v="1"/>
    <d v="1899-12-30T00:02:01"/>
    <n v="5"/>
  </r>
  <r>
    <x v="1078"/>
    <s v="Jim"/>
    <x v="18"/>
    <d v="1899-12-30T15:34:34"/>
    <d v="2021-01-19T15:34:34"/>
    <x v="4"/>
    <x v="6"/>
    <x v="0"/>
    <x v="0"/>
    <s v="Y"/>
    <n v="20"/>
    <x v="1"/>
    <d v="1899-12-30T00:02:27"/>
    <n v="4"/>
  </r>
  <r>
    <x v="1079"/>
    <s v="Greg"/>
    <x v="18"/>
    <d v="1899-12-30T15:34:34"/>
    <d v="2021-01-19T15:34:34"/>
    <x v="4"/>
    <x v="6"/>
    <x v="2"/>
    <x v="0"/>
    <s v="Y"/>
    <n v="93"/>
    <x v="0"/>
    <d v="1899-12-30T00:01:41"/>
    <n v="2"/>
  </r>
  <r>
    <x v="1080"/>
    <s v="Becky"/>
    <x v="18"/>
    <d v="1899-12-30T15:54:43"/>
    <d v="2021-01-19T15:54:43"/>
    <x v="4"/>
    <x v="6"/>
    <x v="3"/>
    <x v="1"/>
    <s v="N"/>
    <m/>
    <x v="0"/>
    <m/>
    <m/>
  </r>
  <r>
    <x v="1081"/>
    <s v="Joe"/>
    <x v="18"/>
    <d v="1899-12-30T15:54:43"/>
    <d v="2021-01-19T15:54:43"/>
    <x v="4"/>
    <x v="6"/>
    <x v="1"/>
    <x v="0"/>
    <s v="Y"/>
    <n v="63"/>
    <x v="0"/>
    <d v="1899-12-30T00:04:20"/>
    <n v="4"/>
  </r>
  <r>
    <x v="1082"/>
    <s v="Greg"/>
    <x v="18"/>
    <d v="1899-12-30T16:09:07"/>
    <d v="2021-01-19T16:09:07"/>
    <x v="4"/>
    <x v="8"/>
    <x v="0"/>
    <x v="0"/>
    <s v="Y"/>
    <n v="90"/>
    <x v="0"/>
    <d v="1899-12-30T00:06:32"/>
    <n v="4"/>
  </r>
  <r>
    <x v="1083"/>
    <s v="Dan"/>
    <x v="18"/>
    <d v="1899-12-30T16:09:07"/>
    <d v="2021-01-19T16:09:07"/>
    <x v="4"/>
    <x v="8"/>
    <x v="0"/>
    <x v="0"/>
    <s v="Y"/>
    <n v="43"/>
    <x v="0"/>
    <d v="1899-12-30T00:04:00"/>
    <n v="4"/>
  </r>
  <r>
    <x v="1084"/>
    <s v="Jim"/>
    <x v="18"/>
    <d v="1899-12-30T16:40:48"/>
    <d v="2021-01-19T16:40:48"/>
    <x v="4"/>
    <x v="8"/>
    <x v="0"/>
    <x v="0"/>
    <s v="N"/>
    <n v="105"/>
    <x v="0"/>
    <d v="1899-12-30T00:01:50"/>
    <n v="4"/>
  </r>
  <r>
    <x v="1085"/>
    <s v="Joe"/>
    <x v="18"/>
    <d v="1899-12-30T16:40:48"/>
    <d v="2021-01-19T16:40:48"/>
    <x v="4"/>
    <x v="8"/>
    <x v="0"/>
    <x v="0"/>
    <s v="Y"/>
    <n v="59"/>
    <x v="0"/>
    <d v="1899-12-30T00:05:10"/>
    <n v="5"/>
  </r>
  <r>
    <x v="1086"/>
    <s v="Joe"/>
    <x v="18"/>
    <d v="1899-12-30T16:56:38"/>
    <d v="2021-01-19T16:56:38"/>
    <x v="4"/>
    <x v="8"/>
    <x v="3"/>
    <x v="0"/>
    <s v="Y"/>
    <n v="115"/>
    <x v="0"/>
    <d v="1899-12-30T00:06:47"/>
    <n v="4"/>
  </r>
  <r>
    <x v="1087"/>
    <s v="Dan"/>
    <x v="18"/>
    <d v="1899-12-30T16:56:38"/>
    <d v="2021-01-19T16:56:38"/>
    <x v="4"/>
    <x v="8"/>
    <x v="2"/>
    <x v="0"/>
    <s v="Y"/>
    <n v="106"/>
    <x v="0"/>
    <d v="1899-12-30T00:01:51"/>
    <n v="4"/>
  </r>
  <r>
    <x v="1088"/>
    <s v="Becky"/>
    <x v="18"/>
    <d v="1899-12-30T17:15:22"/>
    <d v="2021-01-19T17:15:22"/>
    <x v="4"/>
    <x v="7"/>
    <x v="4"/>
    <x v="0"/>
    <s v="Y"/>
    <n v="35"/>
    <x v="0"/>
    <d v="1899-12-30T00:00:59"/>
    <n v="3"/>
  </r>
  <r>
    <x v="1089"/>
    <s v="Diane"/>
    <x v="18"/>
    <d v="1899-12-30T17:15:22"/>
    <d v="2021-01-19T17:15:22"/>
    <x v="4"/>
    <x v="7"/>
    <x v="0"/>
    <x v="0"/>
    <s v="Y"/>
    <n v="48"/>
    <x v="0"/>
    <d v="1899-12-30T00:06:35"/>
    <n v="4"/>
  </r>
  <r>
    <x v="1090"/>
    <s v="Jim"/>
    <x v="18"/>
    <d v="1899-12-30T17:24:00"/>
    <d v="2021-01-19T17:24:00"/>
    <x v="4"/>
    <x v="7"/>
    <x v="0"/>
    <x v="1"/>
    <s v="N"/>
    <m/>
    <x v="0"/>
    <m/>
    <m/>
  </r>
  <r>
    <x v="1091"/>
    <s v="Jim"/>
    <x v="18"/>
    <d v="1899-12-30T17:24:00"/>
    <d v="2021-01-19T17:24:00"/>
    <x v="4"/>
    <x v="7"/>
    <x v="1"/>
    <x v="0"/>
    <s v="Y"/>
    <n v="56"/>
    <x v="0"/>
    <d v="1899-12-30T00:06:38"/>
    <n v="4"/>
  </r>
  <r>
    <x v="1092"/>
    <s v="Stewart"/>
    <x v="19"/>
    <d v="1899-12-30T09:05:46"/>
    <d v="2021-01-20T09:05:46"/>
    <x v="5"/>
    <x v="0"/>
    <x v="1"/>
    <x v="1"/>
    <s v="N"/>
    <m/>
    <x v="0"/>
    <m/>
    <m/>
  </r>
  <r>
    <x v="1093"/>
    <s v="Stewart"/>
    <x v="19"/>
    <d v="1899-12-30T09:05:46"/>
    <d v="2021-01-20T09:05:46"/>
    <x v="5"/>
    <x v="0"/>
    <x v="3"/>
    <x v="0"/>
    <s v="Y"/>
    <n v="99"/>
    <x v="0"/>
    <d v="1899-12-30T00:04:39"/>
    <n v="4"/>
  </r>
  <r>
    <x v="1094"/>
    <s v="Joe"/>
    <x v="19"/>
    <d v="1899-12-30T09:46:05"/>
    <d v="2021-01-20T09:46:05"/>
    <x v="5"/>
    <x v="0"/>
    <x v="3"/>
    <x v="0"/>
    <s v="Y"/>
    <n v="71"/>
    <x v="0"/>
    <d v="1899-12-30T00:02:41"/>
    <n v="3"/>
  </r>
  <r>
    <x v="1095"/>
    <s v="Stewart"/>
    <x v="19"/>
    <d v="1899-12-30T09:46:05"/>
    <d v="2021-01-20T09:46:05"/>
    <x v="5"/>
    <x v="0"/>
    <x v="2"/>
    <x v="0"/>
    <s v="Y"/>
    <n v="54"/>
    <x v="0"/>
    <d v="1899-12-30T00:04:24"/>
    <n v="4"/>
  </r>
  <r>
    <x v="1096"/>
    <s v="Greg"/>
    <x v="19"/>
    <d v="1899-12-30T09:46:05"/>
    <d v="2021-01-20T09:46:05"/>
    <x v="5"/>
    <x v="0"/>
    <x v="3"/>
    <x v="1"/>
    <s v="N"/>
    <m/>
    <x v="0"/>
    <m/>
    <m/>
  </r>
  <r>
    <x v="1097"/>
    <s v="Dan"/>
    <x v="19"/>
    <d v="1899-12-30T09:46:05"/>
    <d v="2021-01-20T09:46:05"/>
    <x v="5"/>
    <x v="0"/>
    <x v="2"/>
    <x v="1"/>
    <s v="N"/>
    <m/>
    <x v="0"/>
    <m/>
    <m/>
  </r>
  <r>
    <x v="1098"/>
    <s v="Jim"/>
    <x v="19"/>
    <d v="1899-12-30T09:46:05"/>
    <d v="2021-01-20T09:46:05"/>
    <x v="5"/>
    <x v="0"/>
    <x v="4"/>
    <x v="0"/>
    <s v="Y"/>
    <n v="54"/>
    <x v="0"/>
    <d v="1899-12-30T00:01:26"/>
    <n v="4"/>
  </r>
  <r>
    <x v="1099"/>
    <s v="Joe"/>
    <x v="19"/>
    <d v="1899-12-30T09:46:05"/>
    <d v="2021-01-20T09:46:05"/>
    <x v="5"/>
    <x v="0"/>
    <x v="1"/>
    <x v="0"/>
    <s v="Y"/>
    <n v="62"/>
    <x v="0"/>
    <d v="1899-12-30T00:01:49"/>
    <n v="2"/>
  </r>
  <r>
    <x v="1100"/>
    <s v="Stewart"/>
    <x v="19"/>
    <d v="1899-12-30T10:22:05"/>
    <d v="2021-01-20T10:22:05"/>
    <x v="5"/>
    <x v="1"/>
    <x v="2"/>
    <x v="0"/>
    <s v="Y"/>
    <n v="24"/>
    <x v="0"/>
    <d v="1899-12-30T00:04:08"/>
    <n v="4"/>
  </r>
  <r>
    <x v="1101"/>
    <s v="Jim"/>
    <x v="19"/>
    <d v="1899-12-30T10:22:05"/>
    <d v="2021-01-20T10:22:05"/>
    <x v="5"/>
    <x v="1"/>
    <x v="3"/>
    <x v="0"/>
    <s v="Y"/>
    <n v="94"/>
    <x v="0"/>
    <d v="1899-12-30T00:04:10"/>
    <n v="5"/>
  </r>
  <r>
    <x v="1102"/>
    <s v="Becky"/>
    <x v="19"/>
    <d v="1899-12-30T11:24:00"/>
    <d v="2021-01-20T11:24:00"/>
    <x v="5"/>
    <x v="2"/>
    <x v="2"/>
    <x v="0"/>
    <s v="Y"/>
    <n v="43"/>
    <x v="0"/>
    <d v="1899-12-30T00:00:56"/>
    <n v="3"/>
  </r>
  <r>
    <x v="1103"/>
    <s v="Martha"/>
    <x v="19"/>
    <d v="1899-12-30T11:24:00"/>
    <d v="2021-01-20T11:24:00"/>
    <x v="5"/>
    <x v="2"/>
    <x v="4"/>
    <x v="1"/>
    <s v="N"/>
    <m/>
    <x v="0"/>
    <m/>
    <m/>
  </r>
  <r>
    <x v="1104"/>
    <s v="Joe"/>
    <x v="19"/>
    <d v="1899-12-30T12:00:00"/>
    <d v="2021-01-20T12:00:00"/>
    <x v="5"/>
    <x v="3"/>
    <x v="4"/>
    <x v="0"/>
    <s v="Y"/>
    <n v="58"/>
    <x v="0"/>
    <d v="1899-12-30T00:04:14"/>
    <n v="5"/>
  </r>
  <r>
    <x v="1105"/>
    <s v="Greg"/>
    <x v="19"/>
    <d v="1899-12-30T12:00:00"/>
    <d v="2021-01-20T12:00:00"/>
    <x v="5"/>
    <x v="3"/>
    <x v="2"/>
    <x v="0"/>
    <s v="Y"/>
    <n v="15"/>
    <x v="1"/>
    <d v="1899-12-30T00:06:35"/>
    <n v="1"/>
  </r>
  <r>
    <x v="1106"/>
    <s v="Becky"/>
    <x v="19"/>
    <d v="1899-12-30T12:07:12"/>
    <d v="2021-01-20T12:07:12"/>
    <x v="5"/>
    <x v="3"/>
    <x v="0"/>
    <x v="0"/>
    <s v="Y"/>
    <n v="102"/>
    <x v="0"/>
    <d v="1899-12-30T00:01:16"/>
    <n v="1"/>
  </r>
  <r>
    <x v="1107"/>
    <s v="Greg"/>
    <x v="19"/>
    <d v="1899-12-30T12:07:12"/>
    <d v="2021-01-20T12:07:12"/>
    <x v="5"/>
    <x v="3"/>
    <x v="0"/>
    <x v="0"/>
    <s v="Y"/>
    <n v="40"/>
    <x v="0"/>
    <d v="1899-12-30T00:05:22"/>
    <n v="2"/>
  </r>
  <r>
    <x v="1108"/>
    <s v="Diane"/>
    <x v="19"/>
    <d v="1899-12-30T12:27:22"/>
    <d v="2021-01-20T12:27:22"/>
    <x v="5"/>
    <x v="3"/>
    <x v="1"/>
    <x v="0"/>
    <s v="Y"/>
    <n v="63"/>
    <x v="0"/>
    <d v="1899-12-30T00:04:50"/>
    <n v="2"/>
  </r>
  <r>
    <x v="1109"/>
    <s v="Martha"/>
    <x v="19"/>
    <d v="1899-12-30T12:27:22"/>
    <d v="2021-01-20T12:27:22"/>
    <x v="5"/>
    <x v="3"/>
    <x v="4"/>
    <x v="0"/>
    <s v="Y"/>
    <n v="77"/>
    <x v="0"/>
    <d v="1899-12-30T00:06:22"/>
    <n v="4"/>
  </r>
  <r>
    <x v="1110"/>
    <s v="Martha"/>
    <x v="19"/>
    <d v="1899-12-30T12:59:02"/>
    <d v="2021-01-20T12:59:02"/>
    <x v="5"/>
    <x v="3"/>
    <x v="1"/>
    <x v="0"/>
    <s v="Y"/>
    <n v="93"/>
    <x v="0"/>
    <d v="1899-12-30T00:05:30"/>
    <n v="4"/>
  </r>
  <r>
    <x v="1111"/>
    <s v="Becky"/>
    <x v="19"/>
    <d v="1899-12-30T12:59:02"/>
    <d v="2021-01-20T12:59:02"/>
    <x v="5"/>
    <x v="3"/>
    <x v="4"/>
    <x v="0"/>
    <s v="Y"/>
    <n v="101"/>
    <x v="0"/>
    <d v="1899-12-30T00:03:22"/>
    <n v="5"/>
  </r>
  <r>
    <x v="1112"/>
    <s v="Stewart"/>
    <x v="19"/>
    <d v="1899-12-30T13:00:29"/>
    <d v="2021-01-20T13:00:29"/>
    <x v="5"/>
    <x v="4"/>
    <x v="2"/>
    <x v="0"/>
    <s v="Y"/>
    <n v="34"/>
    <x v="0"/>
    <d v="1899-12-30T00:00:34"/>
    <n v="5"/>
  </r>
  <r>
    <x v="1113"/>
    <s v="Stewart"/>
    <x v="19"/>
    <d v="1899-12-30T13:00:29"/>
    <d v="2021-01-20T13:00:29"/>
    <x v="5"/>
    <x v="4"/>
    <x v="2"/>
    <x v="0"/>
    <s v="Y"/>
    <n v="64"/>
    <x v="0"/>
    <d v="1899-12-30T00:01:34"/>
    <n v="5"/>
  </r>
  <r>
    <x v="1114"/>
    <s v="Greg"/>
    <x v="19"/>
    <d v="1899-12-30T13:26:24"/>
    <d v="2021-01-20T13:26:24"/>
    <x v="5"/>
    <x v="4"/>
    <x v="1"/>
    <x v="0"/>
    <s v="N"/>
    <n v="25"/>
    <x v="0"/>
    <d v="1899-12-30T00:06:32"/>
    <n v="3"/>
  </r>
  <r>
    <x v="1115"/>
    <s v="Jim"/>
    <x v="19"/>
    <d v="1899-12-30T13:26:24"/>
    <d v="2021-01-20T13:26:24"/>
    <x v="5"/>
    <x v="4"/>
    <x v="3"/>
    <x v="0"/>
    <s v="Y"/>
    <n v="122"/>
    <x v="0"/>
    <d v="1899-12-30T00:02:13"/>
    <n v="4"/>
  </r>
  <r>
    <x v="1116"/>
    <s v="Stewart"/>
    <x v="19"/>
    <d v="1899-12-30T13:26:24"/>
    <d v="2021-01-20T13:26:24"/>
    <x v="5"/>
    <x v="4"/>
    <x v="4"/>
    <x v="0"/>
    <s v="Y"/>
    <n v="36"/>
    <x v="0"/>
    <d v="1899-12-30T00:01:01"/>
    <n v="4"/>
  </r>
  <r>
    <x v="1117"/>
    <s v="Stewart"/>
    <x v="19"/>
    <d v="1899-12-30T13:26:24"/>
    <d v="2021-01-20T13:26:24"/>
    <x v="5"/>
    <x v="4"/>
    <x v="0"/>
    <x v="0"/>
    <s v="Y"/>
    <n v="37"/>
    <x v="0"/>
    <d v="1899-12-30T00:01:34"/>
    <n v="3"/>
  </r>
  <r>
    <x v="1118"/>
    <s v="Joe"/>
    <x v="19"/>
    <d v="1899-12-30T13:59:31"/>
    <d v="2021-01-20T13:59:31"/>
    <x v="5"/>
    <x v="4"/>
    <x v="4"/>
    <x v="0"/>
    <s v="Y"/>
    <n v="112"/>
    <x v="0"/>
    <d v="1899-12-30T00:06:46"/>
    <n v="3"/>
  </r>
  <r>
    <x v="1119"/>
    <s v="Diane"/>
    <x v="19"/>
    <d v="1899-12-30T13:59:31"/>
    <d v="2021-01-20T13:59:31"/>
    <x v="5"/>
    <x v="4"/>
    <x v="2"/>
    <x v="1"/>
    <s v="N"/>
    <m/>
    <x v="0"/>
    <m/>
    <m/>
  </r>
  <r>
    <x v="1120"/>
    <s v="Jim"/>
    <x v="19"/>
    <d v="1899-12-30T14:03:50"/>
    <d v="2021-01-20T14:03:50"/>
    <x v="5"/>
    <x v="5"/>
    <x v="3"/>
    <x v="0"/>
    <s v="Y"/>
    <n v="57"/>
    <x v="0"/>
    <d v="1899-12-30T00:04:53"/>
    <n v="3"/>
  </r>
  <r>
    <x v="1121"/>
    <s v="Jim"/>
    <x v="19"/>
    <d v="1899-12-30T14:03:50"/>
    <d v="2021-01-20T14:03:50"/>
    <x v="5"/>
    <x v="5"/>
    <x v="3"/>
    <x v="0"/>
    <s v="Y"/>
    <n v="14"/>
    <x v="1"/>
    <d v="1899-12-30T00:02:28"/>
    <n v="3"/>
  </r>
  <r>
    <x v="1122"/>
    <s v="Becky"/>
    <x v="19"/>
    <d v="1899-12-30T16:00:29"/>
    <d v="2021-01-20T16:00:29"/>
    <x v="5"/>
    <x v="8"/>
    <x v="3"/>
    <x v="0"/>
    <s v="Y"/>
    <n v="72"/>
    <x v="0"/>
    <d v="1899-12-30T00:04:11"/>
    <n v="2"/>
  </r>
  <r>
    <x v="1123"/>
    <s v="Becky"/>
    <x v="19"/>
    <d v="1899-12-30T16:00:29"/>
    <d v="2021-01-20T16:00:29"/>
    <x v="5"/>
    <x v="8"/>
    <x v="3"/>
    <x v="0"/>
    <s v="Y"/>
    <n v="60"/>
    <x v="0"/>
    <d v="1899-12-30T00:06:32"/>
    <n v="3"/>
  </r>
  <r>
    <x v="1124"/>
    <s v="Becky"/>
    <x v="19"/>
    <d v="1899-12-30T16:20:38"/>
    <d v="2021-01-20T16:20:38"/>
    <x v="5"/>
    <x v="8"/>
    <x v="2"/>
    <x v="0"/>
    <s v="Y"/>
    <n v="52"/>
    <x v="0"/>
    <d v="1899-12-30T00:02:57"/>
    <n v="5"/>
  </r>
  <r>
    <x v="1125"/>
    <s v="Stewart"/>
    <x v="19"/>
    <d v="1899-12-30T16:20:38"/>
    <d v="2021-01-20T16:20:38"/>
    <x v="5"/>
    <x v="8"/>
    <x v="0"/>
    <x v="1"/>
    <s v="N"/>
    <m/>
    <x v="0"/>
    <m/>
    <m/>
  </r>
  <r>
    <x v="1126"/>
    <s v="Joe"/>
    <x v="19"/>
    <d v="1899-12-30T17:42:43"/>
    <d v="2021-01-20T17:42:43"/>
    <x v="5"/>
    <x v="7"/>
    <x v="4"/>
    <x v="0"/>
    <s v="Y"/>
    <n v="73"/>
    <x v="0"/>
    <d v="1899-12-30T00:00:45"/>
    <n v="3"/>
  </r>
  <r>
    <x v="1127"/>
    <s v="Becky"/>
    <x v="19"/>
    <d v="1899-12-30T17:42:43"/>
    <d v="2021-01-20T17:42:43"/>
    <x v="5"/>
    <x v="7"/>
    <x v="0"/>
    <x v="0"/>
    <s v="Y"/>
    <n v="108"/>
    <x v="0"/>
    <d v="1899-12-30T00:02:20"/>
    <n v="4"/>
  </r>
  <r>
    <x v="1128"/>
    <s v="Joe"/>
    <x v="19"/>
    <d v="1899-12-30T17:55:41"/>
    <d v="2021-01-20T17:55:41"/>
    <x v="5"/>
    <x v="7"/>
    <x v="4"/>
    <x v="0"/>
    <s v="Y"/>
    <n v="50"/>
    <x v="0"/>
    <d v="1899-12-30T00:01:48"/>
    <n v="4"/>
  </r>
  <r>
    <x v="1129"/>
    <s v="Stewart"/>
    <x v="19"/>
    <d v="1899-12-30T17:55:41"/>
    <d v="2021-01-20T17:55:41"/>
    <x v="5"/>
    <x v="7"/>
    <x v="1"/>
    <x v="1"/>
    <s v="N"/>
    <m/>
    <x v="0"/>
    <m/>
    <m/>
  </r>
  <r>
    <x v="1130"/>
    <s v="Joe"/>
    <x v="19"/>
    <d v="1899-12-30T17:57:07"/>
    <d v="2021-01-20T17:57:07"/>
    <x v="5"/>
    <x v="7"/>
    <x v="3"/>
    <x v="0"/>
    <s v="N"/>
    <n v="100"/>
    <x v="0"/>
    <d v="1899-12-30T00:04:04"/>
    <n v="2"/>
  </r>
  <r>
    <x v="1131"/>
    <s v="Joe"/>
    <x v="19"/>
    <d v="1899-12-30T17:57:07"/>
    <d v="2021-01-20T17:57:07"/>
    <x v="5"/>
    <x v="7"/>
    <x v="1"/>
    <x v="0"/>
    <s v="Y"/>
    <n v="69"/>
    <x v="0"/>
    <d v="1899-12-30T00:01:22"/>
    <n v="3"/>
  </r>
  <r>
    <x v="1132"/>
    <s v="Becky"/>
    <x v="20"/>
    <d v="1899-12-30T09:20:10"/>
    <d v="2021-01-21T09:20:10"/>
    <x v="6"/>
    <x v="0"/>
    <x v="4"/>
    <x v="0"/>
    <s v="Y"/>
    <n v="39"/>
    <x v="0"/>
    <d v="1899-12-30T00:02:11"/>
    <n v="1"/>
  </r>
  <r>
    <x v="1133"/>
    <s v="Jim"/>
    <x v="20"/>
    <d v="1899-12-30T09:20:10"/>
    <d v="2021-01-21T09:20:10"/>
    <x v="6"/>
    <x v="0"/>
    <x v="1"/>
    <x v="0"/>
    <s v="Y"/>
    <n v="71"/>
    <x v="0"/>
    <d v="1899-12-30T00:02:54"/>
    <n v="5"/>
  </r>
  <r>
    <x v="1134"/>
    <s v="Dan"/>
    <x v="20"/>
    <d v="1899-12-30T09:37:26"/>
    <d v="2021-01-21T09:37:26"/>
    <x v="6"/>
    <x v="0"/>
    <x v="4"/>
    <x v="1"/>
    <s v="N"/>
    <m/>
    <x v="0"/>
    <m/>
    <m/>
  </r>
  <r>
    <x v="1135"/>
    <s v="Greg"/>
    <x v="20"/>
    <d v="1899-12-30T09:37:26"/>
    <d v="2021-01-21T09:37:26"/>
    <x v="6"/>
    <x v="0"/>
    <x v="1"/>
    <x v="0"/>
    <s v="Y"/>
    <n v="79"/>
    <x v="0"/>
    <d v="1899-12-30T00:01:19"/>
    <n v="5"/>
  </r>
  <r>
    <x v="1136"/>
    <s v="Martha"/>
    <x v="20"/>
    <d v="1899-12-30T09:56:10"/>
    <d v="2021-01-21T09:56:10"/>
    <x v="6"/>
    <x v="0"/>
    <x v="0"/>
    <x v="0"/>
    <s v="Y"/>
    <n v="57"/>
    <x v="0"/>
    <d v="1899-12-30T00:05:24"/>
    <n v="3"/>
  </r>
  <r>
    <x v="1137"/>
    <s v="Diane"/>
    <x v="20"/>
    <d v="1899-12-30T09:56:10"/>
    <d v="2021-01-21T09:56:10"/>
    <x v="6"/>
    <x v="0"/>
    <x v="3"/>
    <x v="0"/>
    <s v="Y"/>
    <n v="82"/>
    <x v="0"/>
    <d v="1899-12-30T00:04:53"/>
    <n v="4"/>
  </r>
  <r>
    <x v="1138"/>
    <s v="Jim"/>
    <x v="20"/>
    <d v="1899-12-30T10:14:53"/>
    <d v="2021-01-21T10:14:53"/>
    <x v="6"/>
    <x v="1"/>
    <x v="0"/>
    <x v="0"/>
    <s v="Y"/>
    <n v="73"/>
    <x v="0"/>
    <d v="1899-12-30T00:03:13"/>
    <n v="1"/>
  </r>
  <r>
    <x v="1139"/>
    <s v="Jim"/>
    <x v="20"/>
    <d v="1899-12-30T10:14:53"/>
    <d v="2021-01-21T10:14:53"/>
    <x v="6"/>
    <x v="1"/>
    <x v="1"/>
    <x v="0"/>
    <s v="Y"/>
    <n v="110"/>
    <x v="0"/>
    <d v="1899-12-30T00:02:11"/>
    <n v="5"/>
  </r>
  <r>
    <x v="1140"/>
    <s v="Martha"/>
    <x v="20"/>
    <d v="1899-12-30T10:19:12"/>
    <d v="2021-01-21T10:19:12"/>
    <x v="6"/>
    <x v="1"/>
    <x v="3"/>
    <x v="0"/>
    <s v="Y"/>
    <n v="106"/>
    <x v="0"/>
    <d v="1899-12-30T00:01:49"/>
    <n v="5"/>
  </r>
  <r>
    <x v="1141"/>
    <s v="Jim"/>
    <x v="20"/>
    <d v="1899-12-30T10:19:12"/>
    <d v="2021-01-21T10:19:12"/>
    <x v="6"/>
    <x v="1"/>
    <x v="4"/>
    <x v="0"/>
    <s v="Y"/>
    <n v="92"/>
    <x v="0"/>
    <d v="1899-12-30T00:02:13"/>
    <n v="4"/>
  </r>
  <r>
    <x v="1142"/>
    <s v="Greg"/>
    <x v="20"/>
    <d v="1899-12-30T10:24:58"/>
    <d v="2021-01-21T10:24:58"/>
    <x v="6"/>
    <x v="1"/>
    <x v="4"/>
    <x v="0"/>
    <s v="Y"/>
    <n v="28"/>
    <x v="0"/>
    <d v="1899-12-30T00:06:00"/>
    <n v="4"/>
  </r>
  <r>
    <x v="1143"/>
    <s v="Martha"/>
    <x v="20"/>
    <d v="1899-12-30T10:24:58"/>
    <d v="2021-01-21T10:24:58"/>
    <x v="6"/>
    <x v="1"/>
    <x v="0"/>
    <x v="0"/>
    <s v="Y"/>
    <n v="108"/>
    <x v="0"/>
    <d v="1899-12-30T00:06:02"/>
    <n v="1"/>
  </r>
  <r>
    <x v="1144"/>
    <s v="Becky"/>
    <x v="20"/>
    <d v="1899-12-30T10:53:46"/>
    <d v="2021-01-21T10:53:46"/>
    <x v="6"/>
    <x v="1"/>
    <x v="4"/>
    <x v="0"/>
    <s v="Y"/>
    <n v="57"/>
    <x v="0"/>
    <d v="1899-12-30T00:01:47"/>
    <n v="4"/>
  </r>
  <r>
    <x v="1145"/>
    <s v="Martha"/>
    <x v="20"/>
    <d v="1899-12-30T10:53:46"/>
    <d v="2021-01-21T10:53:46"/>
    <x v="6"/>
    <x v="1"/>
    <x v="0"/>
    <x v="0"/>
    <s v="Y"/>
    <n v="109"/>
    <x v="0"/>
    <d v="1899-12-30T00:05:56"/>
    <n v="3"/>
  </r>
  <r>
    <x v="1146"/>
    <s v="Greg"/>
    <x v="20"/>
    <d v="1899-12-30T10:59:31"/>
    <d v="2021-01-21T10:59:31"/>
    <x v="6"/>
    <x v="1"/>
    <x v="0"/>
    <x v="0"/>
    <s v="Y"/>
    <n v="55"/>
    <x v="0"/>
    <d v="1899-12-30T00:01:37"/>
    <n v="2"/>
  </r>
  <r>
    <x v="1147"/>
    <s v="Martha"/>
    <x v="20"/>
    <d v="1899-12-30T10:59:31"/>
    <d v="2021-01-21T10:59:31"/>
    <x v="6"/>
    <x v="1"/>
    <x v="1"/>
    <x v="1"/>
    <s v="N"/>
    <m/>
    <x v="0"/>
    <m/>
    <m/>
  </r>
  <r>
    <x v="1148"/>
    <s v="Dan"/>
    <x v="20"/>
    <d v="1899-12-30T11:15:22"/>
    <d v="2021-01-21T11:15:22"/>
    <x v="6"/>
    <x v="2"/>
    <x v="2"/>
    <x v="0"/>
    <s v="Y"/>
    <n v="68"/>
    <x v="0"/>
    <d v="1899-12-30T00:06:53"/>
    <n v="1"/>
  </r>
  <r>
    <x v="1149"/>
    <s v="Jim"/>
    <x v="20"/>
    <d v="1899-12-30T11:15:22"/>
    <d v="2021-01-21T11:15:22"/>
    <x v="6"/>
    <x v="2"/>
    <x v="3"/>
    <x v="0"/>
    <s v="N"/>
    <n v="46"/>
    <x v="0"/>
    <d v="1899-12-30T00:00:34"/>
    <n v="3"/>
  </r>
  <r>
    <x v="1150"/>
    <s v="Jim"/>
    <x v="20"/>
    <d v="1899-12-30T12:02:53"/>
    <d v="2021-01-21T12:02:53"/>
    <x v="6"/>
    <x v="3"/>
    <x v="1"/>
    <x v="0"/>
    <s v="Y"/>
    <n v="30"/>
    <x v="0"/>
    <d v="1899-12-30T00:04:59"/>
    <n v="3"/>
  </r>
  <r>
    <x v="1151"/>
    <s v="Martha"/>
    <x v="20"/>
    <d v="1899-12-30T12:02:53"/>
    <d v="2021-01-21T12:02:53"/>
    <x v="6"/>
    <x v="3"/>
    <x v="3"/>
    <x v="0"/>
    <s v="Y"/>
    <n v="107"/>
    <x v="0"/>
    <d v="1899-12-30T00:00:50"/>
    <n v="4"/>
  </r>
  <r>
    <x v="1152"/>
    <s v="Greg"/>
    <x v="20"/>
    <d v="1899-12-30T12:02:53"/>
    <d v="2021-01-21T12:02:53"/>
    <x v="6"/>
    <x v="3"/>
    <x v="1"/>
    <x v="0"/>
    <s v="Y"/>
    <n v="122"/>
    <x v="0"/>
    <d v="1899-12-30T00:06:25"/>
    <n v="5"/>
  </r>
  <r>
    <x v="1153"/>
    <s v="Martha"/>
    <x v="20"/>
    <d v="1899-12-30T12:02:53"/>
    <d v="2021-01-21T12:02:53"/>
    <x v="6"/>
    <x v="3"/>
    <x v="3"/>
    <x v="1"/>
    <s v="N"/>
    <m/>
    <x v="0"/>
    <m/>
    <m/>
  </r>
  <r>
    <x v="1154"/>
    <s v="Stewart"/>
    <x v="20"/>
    <d v="1899-12-30T12:07:12"/>
    <d v="2021-01-21T12:07:12"/>
    <x v="6"/>
    <x v="3"/>
    <x v="1"/>
    <x v="0"/>
    <s v="Y"/>
    <n v="18"/>
    <x v="1"/>
    <d v="1899-12-30T00:00:37"/>
    <n v="5"/>
  </r>
  <r>
    <x v="1155"/>
    <s v="Joe"/>
    <x v="20"/>
    <d v="1899-12-30T12:07:12"/>
    <d v="2021-01-21T12:07:12"/>
    <x v="6"/>
    <x v="3"/>
    <x v="4"/>
    <x v="1"/>
    <s v="N"/>
    <m/>
    <x v="0"/>
    <m/>
    <m/>
  </r>
  <r>
    <x v="1156"/>
    <s v="Joe"/>
    <x v="20"/>
    <d v="1899-12-30T15:47:31"/>
    <d v="2021-01-21T15:47:31"/>
    <x v="6"/>
    <x v="6"/>
    <x v="2"/>
    <x v="1"/>
    <s v="N"/>
    <m/>
    <x v="0"/>
    <m/>
    <m/>
  </r>
  <r>
    <x v="1157"/>
    <s v="Joe"/>
    <x v="20"/>
    <d v="1899-12-30T15:47:31"/>
    <d v="2021-01-21T15:47:31"/>
    <x v="6"/>
    <x v="6"/>
    <x v="1"/>
    <x v="1"/>
    <s v="N"/>
    <m/>
    <x v="0"/>
    <m/>
    <m/>
  </r>
  <r>
    <x v="1158"/>
    <s v="Martha"/>
    <x v="20"/>
    <d v="1899-12-30T15:48:58"/>
    <d v="2021-01-21T15:48:58"/>
    <x v="6"/>
    <x v="6"/>
    <x v="1"/>
    <x v="1"/>
    <s v="N"/>
    <m/>
    <x v="0"/>
    <m/>
    <m/>
  </r>
  <r>
    <x v="1159"/>
    <s v="Stewart"/>
    <x v="20"/>
    <d v="1899-12-30T15:48:58"/>
    <d v="2021-01-21T15:48:58"/>
    <x v="6"/>
    <x v="6"/>
    <x v="4"/>
    <x v="0"/>
    <s v="Y"/>
    <n v="99"/>
    <x v="0"/>
    <d v="1899-12-30T00:02:14"/>
    <n v="4"/>
  </r>
  <r>
    <x v="1160"/>
    <s v="Dan"/>
    <x v="20"/>
    <d v="1899-12-30T16:03:22"/>
    <d v="2021-01-21T16:03:22"/>
    <x v="6"/>
    <x v="8"/>
    <x v="0"/>
    <x v="0"/>
    <s v="Y"/>
    <n v="52"/>
    <x v="0"/>
    <d v="1899-12-30T00:01:47"/>
    <n v="2"/>
  </r>
  <r>
    <x v="1161"/>
    <s v="Martha"/>
    <x v="20"/>
    <d v="1899-12-30T16:03:22"/>
    <d v="2021-01-21T16:03:22"/>
    <x v="6"/>
    <x v="8"/>
    <x v="3"/>
    <x v="1"/>
    <s v="N"/>
    <m/>
    <x v="0"/>
    <m/>
    <m/>
  </r>
  <r>
    <x v="1162"/>
    <s v="Becky"/>
    <x v="20"/>
    <d v="1899-12-30T16:20:38"/>
    <d v="2021-01-21T16:20:38"/>
    <x v="6"/>
    <x v="8"/>
    <x v="2"/>
    <x v="1"/>
    <s v="N"/>
    <m/>
    <x v="0"/>
    <m/>
    <m/>
  </r>
  <r>
    <x v="1163"/>
    <s v="Jim"/>
    <x v="20"/>
    <d v="1899-12-30T16:20:38"/>
    <d v="2021-01-21T16:20:38"/>
    <x v="6"/>
    <x v="8"/>
    <x v="0"/>
    <x v="0"/>
    <s v="Y"/>
    <n v="79"/>
    <x v="0"/>
    <d v="1899-12-30T00:00:47"/>
    <n v="3"/>
  </r>
  <r>
    <x v="1164"/>
    <s v="Martha"/>
    <x v="20"/>
    <d v="1899-12-30T16:29:17"/>
    <d v="2021-01-21T16:29:17"/>
    <x v="6"/>
    <x v="8"/>
    <x v="4"/>
    <x v="0"/>
    <s v="Y"/>
    <n v="112"/>
    <x v="0"/>
    <d v="1899-12-30T00:02:51"/>
    <n v="5"/>
  </r>
  <r>
    <x v="1165"/>
    <s v="Diane"/>
    <x v="20"/>
    <d v="1899-12-30T16:29:17"/>
    <d v="2021-01-21T16:29:17"/>
    <x v="6"/>
    <x v="8"/>
    <x v="2"/>
    <x v="0"/>
    <s v="Y"/>
    <n v="16"/>
    <x v="1"/>
    <d v="1899-12-30T00:04:23"/>
    <n v="3"/>
  </r>
  <r>
    <x v="1166"/>
    <s v="Joe"/>
    <x v="20"/>
    <d v="1899-12-30T16:46:34"/>
    <d v="2021-01-21T16:46:34"/>
    <x v="6"/>
    <x v="8"/>
    <x v="0"/>
    <x v="0"/>
    <s v="Y"/>
    <n v="22"/>
    <x v="0"/>
    <d v="1899-12-30T00:06:58"/>
    <n v="3"/>
  </r>
  <r>
    <x v="1167"/>
    <s v="Dan"/>
    <x v="20"/>
    <d v="1899-12-30T16:46:34"/>
    <d v="2021-01-21T16:46:34"/>
    <x v="6"/>
    <x v="8"/>
    <x v="0"/>
    <x v="0"/>
    <s v="Y"/>
    <n v="115"/>
    <x v="0"/>
    <d v="1899-12-30T00:01:25"/>
    <n v="1"/>
  </r>
  <r>
    <x v="1168"/>
    <s v="Dan"/>
    <x v="20"/>
    <d v="1899-12-30T17:11:02"/>
    <d v="2021-01-21T17:11:02"/>
    <x v="6"/>
    <x v="7"/>
    <x v="1"/>
    <x v="0"/>
    <s v="Y"/>
    <n v="125"/>
    <x v="0"/>
    <d v="1899-12-30T00:04:37"/>
    <n v="4"/>
  </r>
  <r>
    <x v="1169"/>
    <s v="Martha"/>
    <x v="20"/>
    <d v="1899-12-30T17:11:02"/>
    <d v="2021-01-21T17:11:02"/>
    <x v="6"/>
    <x v="7"/>
    <x v="2"/>
    <x v="0"/>
    <s v="Y"/>
    <n v="68"/>
    <x v="0"/>
    <d v="1899-12-30T00:05:06"/>
    <n v="3"/>
  </r>
  <r>
    <x v="1170"/>
    <s v="Jim"/>
    <x v="20"/>
    <d v="1899-12-30T17:26:53"/>
    <d v="2021-01-21T17:26:53"/>
    <x v="6"/>
    <x v="7"/>
    <x v="1"/>
    <x v="0"/>
    <s v="Y"/>
    <n v="44"/>
    <x v="0"/>
    <d v="1899-12-30T00:01:16"/>
    <n v="4"/>
  </r>
  <r>
    <x v="1171"/>
    <s v="Becky"/>
    <x v="20"/>
    <d v="1899-12-30T17:26:53"/>
    <d v="2021-01-21T17:26:53"/>
    <x v="6"/>
    <x v="7"/>
    <x v="1"/>
    <x v="1"/>
    <s v="N"/>
    <m/>
    <x v="0"/>
    <m/>
    <m/>
  </r>
  <r>
    <x v="1172"/>
    <s v="Stewart"/>
    <x v="20"/>
    <d v="1899-12-30T17:26:53"/>
    <d v="2021-01-21T17:26:53"/>
    <x v="6"/>
    <x v="7"/>
    <x v="4"/>
    <x v="0"/>
    <s v="Y"/>
    <n v="119"/>
    <x v="0"/>
    <d v="1899-12-30T00:00:42"/>
    <n v="4"/>
  </r>
  <r>
    <x v="1173"/>
    <s v="Martha"/>
    <x v="20"/>
    <d v="1899-12-30T17:26:53"/>
    <d v="2021-01-21T17:26:53"/>
    <x v="6"/>
    <x v="7"/>
    <x v="4"/>
    <x v="0"/>
    <s v="Y"/>
    <n v="62"/>
    <x v="0"/>
    <d v="1899-12-30T00:00:54"/>
    <n v="5"/>
  </r>
  <r>
    <x v="1174"/>
    <s v="Greg"/>
    <x v="20"/>
    <d v="1899-12-30T17:26:53"/>
    <d v="2021-01-21T17:26:53"/>
    <x v="6"/>
    <x v="7"/>
    <x v="4"/>
    <x v="0"/>
    <s v="Y"/>
    <n v="84"/>
    <x v="0"/>
    <d v="1899-12-30T00:06:04"/>
    <n v="5"/>
  </r>
  <r>
    <x v="1175"/>
    <s v="Martha"/>
    <x v="20"/>
    <d v="1899-12-30T17:26:53"/>
    <d v="2021-01-21T17:26:53"/>
    <x v="6"/>
    <x v="7"/>
    <x v="1"/>
    <x v="1"/>
    <s v="N"/>
    <m/>
    <x v="0"/>
    <m/>
    <m/>
  </r>
  <r>
    <x v="1176"/>
    <s v="Greg"/>
    <x v="20"/>
    <d v="1899-12-30T17:36:58"/>
    <d v="2021-01-21T17:36:58"/>
    <x v="6"/>
    <x v="7"/>
    <x v="4"/>
    <x v="0"/>
    <s v="Y"/>
    <n v="75"/>
    <x v="0"/>
    <d v="1899-12-30T00:06:28"/>
    <n v="4"/>
  </r>
  <r>
    <x v="1177"/>
    <s v="Martha"/>
    <x v="20"/>
    <d v="1899-12-30T17:36:58"/>
    <d v="2021-01-21T17:36:58"/>
    <x v="6"/>
    <x v="7"/>
    <x v="2"/>
    <x v="0"/>
    <s v="Y"/>
    <n v="114"/>
    <x v="0"/>
    <d v="1899-12-30T00:02:54"/>
    <n v="4"/>
  </r>
  <r>
    <x v="1178"/>
    <s v="Dan"/>
    <x v="20"/>
    <d v="1899-12-30T17:38:24"/>
    <d v="2021-01-21T17:38:24"/>
    <x v="6"/>
    <x v="7"/>
    <x v="1"/>
    <x v="1"/>
    <s v="N"/>
    <m/>
    <x v="0"/>
    <m/>
    <m/>
  </r>
  <r>
    <x v="1179"/>
    <s v="Stewart"/>
    <x v="20"/>
    <d v="1899-12-30T17:38:24"/>
    <d v="2021-01-21T17:38:24"/>
    <x v="6"/>
    <x v="7"/>
    <x v="3"/>
    <x v="0"/>
    <s v="Y"/>
    <n v="21"/>
    <x v="0"/>
    <d v="1899-12-30T00:02:10"/>
    <n v="4"/>
  </r>
  <r>
    <x v="1180"/>
    <s v="Stewart"/>
    <x v="21"/>
    <d v="1899-12-30T09:11:31"/>
    <d v="2021-01-22T09:11:31"/>
    <x v="0"/>
    <x v="0"/>
    <x v="1"/>
    <x v="1"/>
    <s v="N"/>
    <m/>
    <x v="0"/>
    <m/>
    <m/>
  </r>
  <r>
    <x v="1181"/>
    <s v="Diane"/>
    <x v="21"/>
    <d v="1899-12-30T09:11:31"/>
    <d v="2021-01-22T09:11:31"/>
    <x v="0"/>
    <x v="0"/>
    <x v="3"/>
    <x v="0"/>
    <s v="Y"/>
    <n v="20"/>
    <x v="1"/>
    <d v="1899-12-30T00:01:08"/>
    <n v="3"/>
  </r>
  <r>
    <x v="1182"/>
    <s v="Diane"/>
    <x v="21"/>
    <d v="1899-12-30T09:11:31"/>
    <d v="2021-01-22T09:11:31"/>
    <x v="0"/>
    <x v="0"/>
    <x v="1"/>
    <x v="0"/>
    <s v="Y"/>
    <n v="112"/>
    <x v="0"/>
    <d v="1899-12-30T00:03:37"/>
    <n v="1"/>
  </r>
  <r>
    <x v="1183"/>
    <s v="Becky"/>
    <x v="21"/>
    <d v="1899-12-30T09:11:31"/>
    <d v="2021-01-22T09:11:31"/>
    <x v="0"/>
    <x v="0"/>
    <x v="4"/>
    <x v="0"/>
    <s v="Y"/>
    <n v="85"/>
    <x v="0"/>
    <d v="1899-12-30T00:05:24"/>
    <n v="4"/>
  </r>
  <r>
    <x v="1184"/>
    <s v="Martha"/>
    <x v="21"/>
    <d v="1899-12-30T09:24:29"/>
    <d v="2021-01-22T09:24:29"/>
    <x v="0"/>
    <x v="0"/>
    <x v="3"/>
    <x v="0"/>
    <s v="Y"/>
    <n v="34"/>
    <x v="0"/>
    <d v="1899-12-30T00:06:07"/>
    <n v="3"/>
  </r>
  <r>
    <x v="1185"/>
    <s v="Diane"/>
    <x v="21"/>
    <d v="1899-12-30T09:24:29"/>
    <d v="2021-01-22T09:24:29"/>
    <x v="0"/>
    <x v="0"/>
    <x v="4"/>
    <x v="0"/>
    <s v="Y"/>
    <n v="53"/>
    <x v="0"/>
    <d v="1899-12-30T00:05:02"/>
    <n v="4"/>
  </r>
  <r>
    <x v="1186"/>
    <s v="Martha"/>
    <x v="21"/>
    <d v="1899-12-30T09:48:58"/>
    <d v="2021-01-22T09:48:58"/>
    <x v="0"/>
    <x v="0"/>
    <x v="4"/>
    <x v="0"/>
    <s v="Y"/>
    <n v="103"/>
    <x v="0"/>
    <d v="1899-12-30T00:02:14"/>
    <n v="5"/>
  </r>
  <r>
    <x v="1187"/>
    <s v="Becky"/>
    <x v="21"/>
    <d v="1899-12-30T09:48:58"/>
    <d v="2021-01-22T09:48:58"/>
    <x v="0"/>
    <x v="0"/>
    <x v="0"/>
    <x v="0"/>
    <s v="Y"/>
    <n v="98"/>
    <x v="0"/>
    <d v="1899-12-30T00:06:53"/>
    <n v="4"/>
  </r>
  <r>
    <x v="1188"/>
    <s v="Becky"/>
    <x v="21"/>
    <d v="1899-12-30T09:59:02"/>
    <d v="2021-01-22T09:59:02"/>
    <x v="0"/>
    <x v="0"/>
    <x v="1"/>
    <x v="0"/>
    <s v="Y"/>
    <n v="23"/>
    <x v="0"/>
    <d v="1899-12-30T00:04:44"/>
    <n v="1"/>
  </r>
  <r>
    <x v="1189"/>
    <s v="Martha"/>
    <x v="21"/>
    <d v="1899-12-30T09:59:02"/>
    <d v="2021-01-22T09:59:02"/>
    <x v="0"/>
    <x v="0"/>
    <x v="3"/>
    <x v="0"/>
    <s v="Y"/>
    <n v="53"/>
    <x v="0"/>
    <d v="1899-12-30T00:01:17"/>
    <n v="2"/>
  </r>
  <r>
    <x v="1190"/>
    <s v="Becky"/>
    <x v="21"/>
    <d v="1899-12-30T10:37:55"/>
    <d v="2021-01-22T10:37:55"/>
    <x v="0"/>
    <x v="1"/>
    <x v="1"/>
    <x v="1"/>
    <s v="N"/>
    <m/>
    <x v="0"/>
    <m/>
    <m/>
  </r>
  <r>
    <x v="1191"/>
    <s v="Diane"/>
    <x v="21"/>
    <d v="1899-12-30T10:37:55"/>
    <d v="2021-01-22T10:37:55"/>
    <x v="0"/>
    <x v="1"/>
    <x v="0"/>
    <x v="0"/>
    <s v="N"/>
    <n v="55"/>
    <x v="0"/>
    <d v="1899-12-30T00:04:40"/>
    <n v="4"/>
  </r>
  <r>
    <x v="1192"/>
    <s v="Martha"/>
    <x v="21"/>
    <d v="1899-12-30T11:39:50"/>
    <d v="2021-01-22T11:39:50"/>
    <x v="0"/>
    <x v="2"/>
    <x v="3"/>
    <x v="0"/>
    <s v="Y"/>
    <n v="77"/>
    <x v="0"/>
    <d v="1899-12-30T00:05:02"/>
    <n v="5"/>
  </r>
  <r>
    <x v="1193"/>
    <s v="Becky"/>
    <x v="21"/>
    <d v="1899-12-30T11:39:50"/>
    <d v="2021-01-22T11:39:50"/>
    <x v="0"/>
    <x v="2"/>
    <x v="1"/>
    <x v="0"/>
    <s v="Y"/>
    <n v="46"/>
    <x v="0"/>
    <d v="1899-12-30T00:06:05"/>
    <n v="3"/>
  </r>
  <r>
    <x v="1194"/>
    <s v="Greg"/>
    <x v="21"/>
    <d v="1899-12-30T11:42:43"/>
    <d v="2021-01-22T11:42:43"/>
    <x v="0"/>
    <x v="2"/>
    <x v="1"/>
    <x v="1"/>
    <s v="N"/>
    <m/>
    <x v="0"/>
    <m/>
    <m/>
  </r>
  <r>
    <x v="1195"/>
    <s v="Martha"/>
    <x v="21"/>
    <d v="1899-12-30T11:42:43"/>
    <d v="2021-01-22T11:42:43"/>
    <x v="0"/>
    <x v="2"/>
    <x v="2"/>
    <x v="0"/>
    <s v="Y"/>
    <n v="39"/>
    <x v="0"/>
    <d v="1899-12-30T00:05:05"/>
    <n v="4"/>
  </r>
  <r>
    <x v="1196"/>
    <s v="Greg"/>
    <x v="21"/>
    <d v="1899-12-30T11:55:41"/>
    <d v="2021-01-22T11:55:41"/>
    <x v="0"/>
    <x v="2"/>
    <x v="2"/>
    <x v="0"/>
    <s v="Y"/>
    <n v="13"/>
    <x v="1"/>
    <d v="1899-12-30T00:07:00"/>
    <n v="3"/>
  </r>
  <r>
    <x v="1197"/>
    <s v="Jim"/>
    <x v="21"/>
    <d v="1899-12-30T11:55:41"/>
    <d v="2021-01-22T11:55:41"/>
    <x v="0"/>
    <x v="2"/>
    <x v="3"/>
    <x v="0"/>
    <s v="Y"/>
    <n v="84"/>
    <x v="0"/>
    <d v="1899-12-30T00:05:34"/>
    <n v="5"/>
  </r>
  <r>
    <x v="1198"/>
    <s v="Dan"/>
    <x v="21"/>
    <d v="1899-12-30T11:55:41"/>
    <d v="2021-01-22T11:55:41"/>
    <x v="0"/>
    <x v="2"/>
    <x v="3"/>
    <x v="0"/>
    <s v="Y"/>
    <n v="60"/>
    <x v="0"/>
    <d v="1899-12-30T00:04:46"/>
    <n v="3"/>
  </r>
  <r>
    <x v="1199"/>
    <s v="Dan"/>
    <x v="21"/>
    <d v="1899-12-30T11:55:41"/>
    <d v="2021-01-22T11:55:41"/>
    <x v="0"/>
    <x v="2"/>
    <x v="3"/>
    <x v="0"/>
    <s v="Y"/>
    <n v="32"/>
    <x v="0"/>
    <d v="1899-12-30T00:00:35"/>
    <n v="5"/>
  </r>
  <r>
    <x v="1200"/>
    <s v="Stewart"/>
    <x v="21"/>
    <d v="1899-12-30T12:47:31"/>
    <d v="2021-01-22T12:47:31"/>
    <x v="0"/>
    <x v="3"/>
    <x v="1"/>
    <x v="1"/>
    <s v="N"/>
    <m/>
    <x v="0"/>
    <m/>
    <m/>
  </r>
  <r>
    <x v="1201"/>
    <s v="Greg"/>
    <x v="21"/>
    <d v="1899-12-30T12:47:31"/>
    <d v="2021-01-22T12:47:31"/>
    <x v="0"/>
    <x v="3"/>
    <x v="0"/>
    <x v="1"/>
    <s v="N"/>
    <m/>
    <x v="0"/>
    <m/>
    <m/>
  </r>
  <r>
    <x v="1202"/>
    <s v="Joe"/>
    <x v="21"/>
    <d v="1899-12-30T14:19:41"/>
    <d v="2021-01-22T14:19:41"/>
    <x v="0"/>
    <x v="5"/>
    <x v="3"/>
    <x v="1"/>
    <s v="N"/>
    <m/>
    <x v="0"/>
    <m/>
    <m/>
  </r>
  <r>
    <x v="1203"/>
    <s v="Dan"/>
    <x v="21"/>
    <d v="1899-12-30T14:19:41"/>
    <d v="2021-01-22T14:19:41"/>
    <x v="0"/>
    <x v="5"/>
    <x v="2"/>
    <x v="0"/>
    <s v="Y"/>
    <n v="67"/>
    <x v="0"/>
    <d v="1899-12-30T00:06:42"/>
    <n v="4"/>
  </r>
  <r>
    <x v="1204"/>
    <s v="Stewart"/>
    <x v="21"/>
    <d v="1899-12-30T14:22:34"/>
    <d v="2021-01-22T14:22:34"/>
    <x v="0"/>
    <x v="5"/>
    <x v="4"/>
    <x v="0"/>
    <s v="N"/>
    <n v="94"/>
    <x v="0"/>
    <d v="1899-12-30T00:03:58"/>
    <n v="4"/>
  </r>
  <r>
    <x v="1205"/>
    <s v="Stewart"/>
    <x v="21"/>
    <d v="1899-12-30T14:22:34"/>
    <d v="2021-01-22T14:22:34"/>
    <x v="0"/>
    <x v="5"/>
    <x v="4"/>
    <x v="0"/>
    <s v="Y"/>
    <n v="92"/>
    <x v="0"/>
    <d v="1899-12-30T00:06:10"/>
    <n v="1"/>
  </r>
  <r>
    <x v="1206"/>
    <s v="Becky"/>
    <x v="21"/>
    <d v="1899-12-30T14:44:10"/>
    <d v="2021-01-22T14:44:10"/>
    <x v="0"/>
    <x v="5"/>
    <x v="4"/>
    <x v="0"/>
    <s v="Y"/>
    <n v="35"/>
    <x v="0"/>
    <d v="1899-12-30T00:01:10"/>
    <n v="3"/>
  </r>
  <r>
    <x v="1207"/>
    <s v="Diane"/>
    <x v="21"/>
    <d v="1899-12-30T14:44:10"/>
    <d v="2021-01-22T14:44:10"/>
    <x v="0"/>
    <x v="5"/>
    <x v="3"/>
    <x v="0"/>
    <s v="Y"/>
    <n v="57"/>
    <x v="0"/>
    <d v="1899-12-30T00:01:21"/>
    <n v="5"/>
  </r>
  <r>
    <x v="1208"/>
    <s v="Stewart"/>
    <x v="21"/>
    <d v="1899-12-30T14:48:29"/>
    <d v="2021-01-22T14:48:29"/>
    <x v="0"/>
    <x v="5"/>
    <x v="4"/>
    <x v="1"/>
    <s v="N"/>
    <m/>
    <x v="0"/>
    <m/>
    <m/>
  </r>
  <r>
    <x v="1209"/>
    <s v="Jim"/>
    <x v="21"/>
    <d v="1899-12-30T14:48:29"/>
    <d v="2021-01-22T14:48:29"/>
    <x v="0"/>
    <x v="5"/>
    <x v="3"/>
    <x v="0"/>
    <s v="Y"/>
    <n v="15"/>
    <x v="1"/>
    <d v="1899-12-30T00:04:55"/>
    <n v="4"/>
  </r>
  <r>
    <x v="1210"/>
    <s v="Becky"/>
    <x v="21"/>
    <d v="1899-12-30T14:49:55"/>
    <d v="2021-01-22T14:49:55"/>
    <x v="0"/>
    <x v="5"/>
    <x v="3"/>
    <x v="0"/>
    <s v="N"/>
    <n v="54"/>
    <x v="0"/>
    <d v="1899-12-30T00:03:15"/>
    <n v="5"/>
  </r>
  <r>
    <x v="1211"/>
    <s v="Greg"/>
    <x v="21"/>
    <d v="1899-12-30T14:49:55"/>
    <d v="2021-01-22T14:49:55"/>
    <x v="0"/>
    <x v="5"/>
    <x v="2"/>
    <x v="0"/>
    <s v="Y"/>
    <n v="99"/>
    <x v="0"/>
    <d v="1899-12-30T00:01:00"/>
    <n v="1"/>
  </r>
  <r>
    <x v="1212"/>
    <s v="Martha"/>
    <x v="21"/>
    <d v="1899-12-30T15:30:14"/>
    <d v="2021-01-22T15:30:14"/>
    <x v="0"/>
    <x v="6"/>
    <x v="0"/>
    <x v="1"/>
    <s v="N"/>
    <m/>
    <x v="0"/>
    <m/>
    <m/>
  </r>
  <r>
    <x v="1213"/>
    <s v="Jim"/>
    <x v="21"/>
    <d v="1899-12-30T15:30:14"/>
    <d v="2021-01-22T15:30:14"/>
    <x v="0"/>
    <x v="6"/>
    <x v="4"/>
    <x v="1"/>
    <s v="N"/>
    <m/>
    <x v="0"/>
    <m/>
    <m/>
  </r>
  <r>
    <x v="1214"/>
    <s v="Martha"/>
    <x v="21"/>
    <d v="1899-12-30T15:56:10"/>
    <d v="2021-01-22T15:56:10"/>
    <x v="0"/>
    <x v="6"/>
    <x v="4"/>
    <x v="1"/>
    <s v="N"/>
    <m/>
    <x v="0"/>
    <m/>
    <m/>
  </r>
  <r>
    <x v="1215"/>
    <s v="Martha"/>
    <x v="21"/>
    <d v="1899-12-30T15:56:10"/>
    <d v="2021-01-22T15:56:10"/>
    <x v="0"/>
    <x v="6"/>
    <x v="3"/>
    <x v="1"/>
    <s v="N"/>
    <m/>
    <x v="0"/>
    <m/>
    <m/>
  </r>
  <r>
    <x v="1216"/>
    <s v="Martha"/>
    <x v="21"/>
    <d v="1899-12-30T16:01:55"/>
    <d v="2021-01-22T16:01:55"/>
    <x v="0"/>
    <x v="8"/>
    <x v="2"/>
    <x v="1"/>
    <s v="N"/>
    <m/>
    <x v="0"/>
    <m/>
    <m/>
  </r>
  <r>
    <x v="1217"/>
    <s v="Becky"/>
    <x v="21"/>
    <d v="1899-12-30T16:01:55"/>
    <d v="2021-01-22T16:01:55"/>
    <x v="0"/>
    <x v="8"/>
    <x v="4"/>
    <x v="0"/>
    <s v="Y"/>
    <n v="78"/>
    <x v="0"/>
    <d v="1899-12-30T00:01:05"/>
    <n v="5"/>
  </r>
  <r>
    <x v="1218"/>
    <s v="Greg"/>
    <x v="21"/>
    <d v="1899-12-30T16:39:22"/>
    <d v="2021-01-22T16:39:22"/>
    <x v="0"/>
    <x v="8"/>
    <x v="3"/>
    <x v="1"/>
    <s v="N"/>
    <m/>
    <x v="0"/>
    <m/>
    <m/>
  </r>
  <r>
    <x v="1219"/>
    <s v="Jim"/>
    <x v="21"/>
    <d v="1899-12-30T16:39:22"/>
    <d v="2021-01-22T16:39:22"/>
    <x v="0"/>
    <x v="8"/>
    <x v="2"/>
    <x v="0"/>
    <s v="N"/>
    <n v="35"/>
    <x v="0"/>
    <d v="1899-12-30T00:05:09"/>
    <n v="5"/>
  </r>
  <r>
    <x v="1220"/>
    <s v="Becky"/>
    <x v="21"/>
    <d v="1899-12-30T16:50:53"/>
    <d v="2021-01-22T16:50:53"/>
    <x v="0"/>
    <x v="8"/>
    <x v="0"/>
    <x v="1"/>
    <s v="N"/>
    <m/>
    <x v="0"/>
    <m/>
    <m/>
  </r>
  <r>
    <x v="1221"/>
    <s v="Stewart"/>
    <x v="21"/>
    <d v="1899-12-30T16:50:53"/>
    <d v="2021-01-22T16:50:53"/>
    <x v="0"/>
    <x v="8"/>
    <x v="0"/>
    <x v="0"/>
    <s v="Y"/>
    <n v="33"/>
    <x v="0"/>
    <d v="1899-12-30T00:06:09"/>
    <n v="5"/>
  </r>
  <r>
    <x v="1222"/>
    <s v="Greg"/>
    <x v="21"/>
    <d v="1899-12-30T16:56:38"/>
    <d v="2021-01-22T16:56:38"/>
    <x v="0"/>
    <x v="8"/>
    <x v="4"/>
    <x v="0"/>
    <s v="Y"/>
    <n v="72"/>
    <x v="0"/>
    <d v="1899-12-30T00:04:09"/>
    <n v="5"/>
  </r>
  <r>
    <x v="1223"/>
    <s v="Joe"/>
    <x v="21"/>
    <d v="1899-12-30T16:56:38"/>
    <d v="2021-01-22T16:56:38"/>
    <x v="0"/>
    <x v="8"/>
    <x v="1"/>
    <x v="0"/>
    <s v="N"/>
    <n v="82"/>
    <x v="0"/>
    <d v="1899-12-30T00:05:02"/>
    <n v="1"/>
  </r>
  <r>
    <x v="1224"/>
    <s v="Greg"/>
    <x v="21"/>
    <d v="1899-12-30T17:25:26"/>
    <d v="2021-01-22T17:25:26"/>
    <x v="0"/>
    <x v="7"/>
    <x v="3"/>
    <x v="1"/>
    <s v="N"/>
    <m/>
    <x v="0"/>
    <m/>
    <m/>
  </r>
  <r>
    <x v="1225"/>
    <s v="Greg"/>
    <x v="21"/>
    <d v="1899-12-30T17:25:26"/>
    <d v="2021-01-22T17:25:26"/>
    <x v="0"/>
    <x v="7"/>
    <x v="2"/>
    <x v="0"/>
    <s v="Y"/>
    <n v="115"/>
    <x v="0"/>
    <d v="1899-12-30T00:04:12"/>
    <n v="5"/>
  </r>
  <r>
    <x v="1226"/>
    <s v="Diane"/>
    <x v="21"/>
    <d v="1899-12-30T17:38:24"/>
    <d v="2021-01-22T17:38:24"/>
    <x v="0"/>
    <x v="7"/>
    <x v="4"/>
    <x v="0"/>
    <s v="Y"/>
    <n v="64"/>
    <x v="0"/>
    <d v="1899-12-30T00:01:42"/>
    <n v="3"/>
  </r>
  <r>
    <x v="1227"/>
    <s v="Martha"/>
    <x v="21"/>
    <d v="1899-12-30T17:38:24"/>
    <d v="2021-01-22T17:38:24"/>
    <x v="0"/>
    <x v="7"/>
    <x v="1"/>
    <x v="1"/>
    <s v="N"/>
    <m/>
    <x v="0"/>
    <m/>
    <m/>
  </r>
  <r>
    <x v="1228"/>
    <s v="Jim"/>
    <x v="21"/>
    <d v="1899-12-30T17:47:02"/>
    <d v="2021-01-22T17:47:02"/>
    <x v="0"/>
    <x v="7"/>
    <x v="2"/>
    <x v="0"/>
    <s v="Y"/>
    <n v="71"/>
    <x v="0"/>
    <d v="1899-12-30T00:04:01"/>
    <n v="2"/>
  </r>
  <r>
    <x v="1229"/>
    <s v="Becky"/>
    <x v="21"/>
    <d v="1899-12-30T17:47:02"/>
    <d v="2021-01-22T17:47:02"/>
    <x v="0"/>
    <x v="7"/>
    <x v="4"/>
    <x v="0"/>
    <s v="N"/>
    <n v="50"/>
    <x v="0"/>
    <d v="1899-12-30T00:05:08"/>
    <n v="3"/>
  </r>
  <r>
    <x v="1230"/>
    <s v="Greg"/>
    <x v="22"/>
    <d v="1899-12-30T09:31:41"/>
    <d v="2021-01-23T09:31:41"/>
    <x v="1"/>
    <x v="0"/>
    <x v="4"/>
    <x v="0"/>
    <s v="Y"/>
    <n v="116"/>
    <x v="0"/>
    <d v="1899-12-30T00:01:13"/>
    <n v="2"/>
  </r>
  <r>
    <x v="1231"/>
    <s v="Martha"/>
    <x v="22"/>
    <d v="1899-12-30T09:31:41"/>
    <d v="2021-01-23T09:31:41"/>
    <x v="1"/>
    <x v="0"/>
    <x v="3"/>
    <x v="0"/>
    <s v="Y"/>
    <n v="52"/>
    <x v="0"/>
    <d v="1899-12-30T00:01:27"/>
    <n v="5"/>
  </r>
  <r>
    <x v="1232"/>
    <s v="Greg"/>
    <x v="22"/>
    <d v="1899-12-30T09:40:19"/>
    <d v="2021-01-23T09:40:19"/>
    <x v="1"/>
    <x v="0"/>
    <x v="1"/>
    <x v="0"/>
    <s v="Y"/>
    <n v="112"/>
    <x v="0"/>
    <d v="1899-12-30T00:03:37"/>
    <n v="5"/>
  </r>
  <r>
    <x v="1233"/>
    <s v="Stewart"/>
    <x v="22"/>
    <d v="1899-12-30T09:40:19"/>
    <d v="2021-01-23T09:40:19"/>
    <x v="1"/>
    <x v="0"/>
    <x v="3"/>
    <x v="0"/>
    <s v="Y"/>
    <n v="116"/>
    <x v="0"/>
    <d v="1899-12-30T00:02:42"/>
    <n v="3"/>
  </r>
  <r>
    <x v="1234"/>
    <s v="Becky"/>
    <x v="22"/>
    <d v="1899-12-30T09:51:50"/>
    <d v="2021-01-23T09:51:50"/>
    <x v="1"/>
    <x v="0"/>
    <x v="2"/>
    <x v="0"/>
    <s v="N"/>
    <n v="112"/>
    <x v="0"/>
    <d v="1899-12-30T00:06:18"/>
    <n v="2"/>
  </r>
  <r>
    <x v="1235"/>
    <s v="Dan"/>
    <x v="22"/>
    <d v="1899-12-30T09:51:50"/>
    <d v="2021-01-23T09:51:50"/>
    <x v="1"/>
    <x v="0"/>
    <x v="4"/>
    <x v="0"/>
    <s v="Y"/>
    <n v="53"/>
    <x v="0"/>
    <d v="1899-12-30T00:05:46"/>
    <n v="4"/>
  </r>
  <r>
    <x v="1236"/>
    <s v="Diane"/>
    <x v="22"/>
    <d v="1899-12-30T09:57:36"/>
    <d v="2021-01-23T09:57:36"/>
    <x v="1"/>
    <x v="0"/>
    <x v="3"/>
    <x v="0"/>
    <s v="Y"/>
    <n v="12"/>
    <x v="1"/>
    <d v="1899-12-30T00:05:31"/>
    <n v="3"/>
  </r>
  <r>
    <x v="1237"/>
    <s v="Joe"/>
    <x v="22"/>
    <d v="1899-12-30T09:57:36"/>
    <d v="2021-01-23T09:57:36"/>
    <x v="1"/>
    <x v="0"/>
    <x v="1"/>
    <x v="0"/>
    <s v="N"/>
    <n v="120"/>
    <x v="0"/>
    <d v="1899-12-30T00:00:54"/>
    <n v="4"/>
  </r>
  <r>
    <x v="1238"/>
    <s v="Diane"/>
    <x v="22"/>
    <d v="1899-12-30T10:49:26"/>
    <d v="2021-01-23T10:49:26"/>
    <x v="1"/>
    <x v="1"/>
    <x v="3"/>
    <x v="1"/>
    <s v="N"/>
    <m/>
    <x v="0"/>
    <m/>
    <m/>
  </r>
  <r>
    <x v="1239"/>
    <s v="Dan"/>
    <x v="22"/>
    <d v="1899-12-30T10:49:26"/>
    <d v="2021-01-23T10:49:26"/>
    <x v="1"/>
    <x v="1"/>
    <x v="1"/>
    <x v="0"/>
    <s v="Y"/>
    <n v="118"/>
    <x v="0"/>
    <d v="1899-12-30T00:02:49"/>
    <n v="4"/>
  </r>
  <r>
    <x v="1240"/>
    <s v="Jim"/>
    <x v="22"/>
    <d v="1899-12-30T11:00:58"/>
    <d v="2021-01-23T11:00:58"/>
    <x v="1"/>
    <x v="2"/>
    <x v="0"/>
    <x v="0"/>
    <s v="Y"/>
    <n v="121"/>
    <x v="0"/>
    <d v="1899-12-30T00:02:49"/>
    <n v="2"/>
  </r>
  <r>
    <x v="1241"/>
    <s v="Martha"/>
    <x v="22"/>
    <d v="1899-12-30T11:00:58"/>
    <d v="2021-01-23T11:00:58"/>
    <x v="1"/>
    <x v="2"/>
    <x v="4"/>
    <x v="0"/>
    <s v="Y"/>
    <n v="83"/>
    <x v="0"/>
    <d v="1899-12-30T00:06:48"/>
    <n v="5"/>
  </r>
  <r>
    <x v="1242"/>
    <s v="Joe"/>
    <x v="22"/>
    <d v="1899-12-30T11:18:14"/>
    <d v="2021-01-23T11:18:14"/>
    <x v="1"/>
    <x v="2"/>
    <x v="4"/>
    <x v="0"/>
    <s v="Y"/>
    <n v="84"/>
    <x v="0"/>
    <d v="1899-12-30T00:01:21"/>
    <n v="5"/>
  </r>
  <r>
    <x v="1243"/>
    <s v="Becky"/>
    <x v="22"/>
    <d v="1899-12-30T11:18:14"/>
    <d v="2021-01-23T11:18:14"/>
    <x v="1"/>
    <x v="2"/>
    <x v="2"/>
    <x v="0"/>
    <s v="N"/>
    <n v="63"/>
    <x v="0"/>
    <d v="1899-12-30T00:05:00"/>
    <n v="4"/>
  </r>
  <r>
    <x v="1244"/>
    <s v="Jim"/>
    <x v="22"/>
    <d v="1899-12-30T11:29:46"/>
    <d v="2021-01-23T11:29:46"/>
    <x v="1"/>
    <x v="2"/>
    <x v="1"/>
    <x v="0"/>
    <s v="Y"/>
    <n v="33"/>
    <x v="0"/>
    <d v="1899-12-30T00:03:29"/>
    <n v="3"/>
  </r>
  <r>
    <x v="1245"/>
    <s v="Dan"/>
    <x v="22"/>
    <d v="1899-12-30T11:29:46"/>
    <d v="2021-01-23T11:29:46"/>
    <x v="1"/>
    <x v="2"/>
    <x v="0"/>
    <x v="1"/>
    <s v="N"/>
    <m/>
    <x v="0"/>
    <m/>
    <m/>
  </r>
  <r>
    <x v="1246"/>
    <s v="Greg"/>
    <x v="22"/>
    <d v="1899-12-30T11:32:38"/>
    <d v="2021-01-23T11:32:38"/>
    <x v="1"/>
    <x v="2"/>
    <x v="3"/>
    <x v="0"/>
    <s v="N"/>
    <n v="10"/>
    <x v="1"/>
    <d v="1899-12-30T00:01:01"/>
    <n v="5"/>
  </r>
  <r>
    <x v="1247"/>
    <s v="Joe"/>
    <x v="22"/>
    <d v="1899-12-30T11:32:38"/>
    <d v="2021-01-23T11:32:38"/>
    <x v="1"/>
    <x v="2"/>
    <x v="3"/>
    <x v="0"/>
    <s v="Y"/>
    <n v="100"/>
    <x v="0"/>
    <d v="1899-12-30T00:00:42"/>
    <n v="5"/>
  </r>
  <r>
    <x v="1248"/>
    <s v="Diane"/>
    <x v="22"/>
    <d v="1899-12-30T11:35:31"/>
    <d v="2021-01-23T11:35:31"/>
    <x v="1"/>
    <x v="2"/>
    <x v="0"/>
    <x v="0"/>
    <s v="Y"/>
    <n v="110"/>
    <x v="0"/>
    <d v="1899-12-30T00:05:03"/>
    <n v="5"/>
  </r>
  <r>
    <x v="1249"/>
    <s v="Stewart"/>
    <x v="22"/>
    <d v="1899-12-30T11:35:31"/>
    <d v="2021-01-23T11:35:31"/>
    <x v="1"/>
    <x v="2"/>
    <x v="2"/>
    <x v="0"/>
    <s v="Y"/>
    <n v="28"/>
    <x v="0"/>
    <d v="1899-12-30T00:05:16"/>
    <n v="2"/>
  </r>
  <r>
    <x v="1250"/>
    <s v="Joe"/>
    <x v="22"/>
    <d v="1899-12-30T11:36:58"/>
    <d v="2021-01-23T11:36:58"/>
    <x v="1"/>
    <x v="2"/>
    <x v="3"/>
    <x v="0"/>
    <s v="Y"/>
    <n v="74"/>
    <x v="0"/>
    <d v="1899-12-30T00:01:15"/>
    <n v="3"/>
  </r>
  <r>
    <x v="1251"/>
    <s v="Jim"/>
    <x v="22"/>
    <d v="1899-12-30T11:36:58"/>
    <d v="2021-01-23T11:36:58"/>
    <x v="1"/>
    <x v="2"/>
    <x v="3"/>
    <x v="0"/>
    <s v="Y"/>
    <n v="18"/>
    <x v="1"/>
    <d v="1899-12-30T00:01:21"/>
    <n v="3"/>
  </r>
  <r>
    <x v="1252"/>
    <s v="Becky"/>
    <x v="22"/>
    <d v="1899-12-30T11:44:10"/>
    <d v="2021-01-23T11:44:10"/>
    <x v="1"/>
    <x v="2"/>
    <x v="4"/>
    <x v="0"/>
    <s v="Y"/>
    <n v="22"/>
    <x v="0"/>
    <d v="1899-12-30T00:06:12"/>
    <n v="3"/>
  </r>
  <r>
    <x v="1253"/>
    <s v="Diane"/>
    <x v="22"/>
    <d v="1899-12-30T11:44:10"/>
    <d v="2021-01-23T11:44:10"/>
    <x v="1"/>
    <x v="2"/>
    <x v="4"/>
    <x v="1"/>
    <s v="N"/>
    <m/>
    <x v="0"/>
    <m/>
    <m/>
  </r>
  <r>
    <x v="1254"/>
    <s v="Martha"/>
    <x v="22"/>
    <d v="1899-12-30T11:55:41"/>
    <d v="2021-01-23T11:55:41"/>
    <x v="1"/>
    <x v="2"/>
    <x v="0"/>
    <x v="0"/>
    <s v="Y"/>
    <n v="15"/>
    <x v="1"/>
    <d v="1899-12-30T00:03:37"/>
    <n v="3"/>
  </r>
  <r>
    <x v="1255"/>
    <s v="Martha"/>
    <x v="22"/>
    <d v="1899-12-30T11:55:41"/>
    <d v="2021-01-23T11:55:41"/>
    <x v="1"/>
    <x v="2"/>
    <x v="3"/>
    <x v="0"/>
    <s v="Y"/>
    <n v="120"/>
    <x v="0"/>
    <d v="1899-12-30T00:04:12"/>
    <n v="2"/>
  </r>
  <r>
    <x v="1256"/>
    <s v="Martha"/>
    <x v="22"/>
    <d v="1899-12-30T12:14:24"/>
    <d v="2021-01-23T12:14:24"/>
    <x v="1"/>
    <x v="3"/>
    <x v="0"/>
    <x v="0"/>
    <s v="Y"/>
    <n v="26"/>
    <x v="0"/>
    <d v="1899-12-30T00:03:47"/>
    <n v="3"/>
  </r>
  <r>
    <x v="1257"/>
    <s v="Diane"/>
    <x v="22"/>
    <d v="1899-12-30T12:14:24"/>
    <d v="2021-01-23T12:14:24"/>
    <x v="1"/>
    <x v="3"/>
    <x v="2"/>
    <x v="0"/>
    <s v="Y"/>
    <n v="33"/>
    <x v="0"/>
    <d v="1899-12-30T00:01:44"/>
    <n v="5"/>
  </r>
  <r>
    <x v="1258"/>
    <s v="Dan"/>
    <x v="22"/>
    <d v="1899-12-30T12:43:12"/>
    <d v="2021-01-23T12:43:12"/>
    <x v="1"/>
    <x v="3"/>
    <x v="4"/>
    <x v="0"/>
    <s v="Y"/>
    <n v="18"/>
    <x v="1"/>
    <d v="1899-12-30T00:01:14"/>
    <n v="4"/>
  </r>
  <r>
    <x v="1259"/>
    <s v="Greg"/>
    <x v="22"/>
    <d v="1899-12-30T12:43:12"/>
    <d v="2021-01-23T12:43:12"/>
    <x v="1"/>
    <x v="3"/>
    <x v="2"/>
    <x v="0"/>
    <s v="Y"/>
    <n v="29"/>
    <x v="0"/>
    <d v="1899-12-30T00:05:55"/>
    <n v="5"/>
  </r>
  <r>
    <x v="1260"/>
    <s v="Greg"/>
    <x v="22"/>
    <d v="1899-12-30T12:54:43"/>
    <d v="2021-01-23T12:54:43"/>
    <x v="1"/>
    <x v="3"/>
    <x v="2"/>
    <x v="0"/>
    <s v="Y"/>
    <n v="89"/>
    <x v="0"/>
    <d v="1899-12-30T00:01:34"/>
    <n v="2"/>
  </r>
  <r>
    <x v="1261"/>
    <s v="Martha"/>
    <x v="22"/>
    <d v="1899-12-30T12:54:43"/>
    <d v="2021-01-23T12:54:43"/>
    <x v="1"/>
    <x v="3"/>
    <x v="1"/>
    <x v="1"/>
    <s v="N"/>
    <m/>
    <x v="0"/>
    <m/>
    <m/>
  </r>
  <r>
    <x v="1262"/>
    <s v="Diane"/>
    <x v="22"/>
    <d v="1899-12-30T13:33:36"/>
    <d v="2021-01-23T13:33:36"/>
    <x v="1"/>
    <x v="4"/>
    <x v="3"/>
    <x v="0"/>
    <s v="Y"/>
    <n v="44"/>
    <x v="0"/>
    <d v="1899-12-30T00:03:12"/>
    <n v="5"/>
  </r>
  <r>
    <x v="1263"/>
    <s v="Diane"/>
    <x v="22"/>
    <d v="1899-12-30T13:33:36"/>
    <d v="2021-01-23T13:33:36"/>
    <x v="1"/>
    <x v="4"/>
    <x v="0"/>
    <x v="0"/>
    <s v="N"/>
    <n v="62"/>
    <x v="0"/>
    <d v="1899-12-30T00:03:33"/>
    <n v="4"/>
  </r>
  <r>
    <x v="1264"/>
    <s v="Dan"/>
    <x v="22"/>
    <d v="1899-12-30T13:37:55"/>
    <d v="2021-01-23T13:37:55"/>
    <x v="1"/>
    <x v="4"/>
    <x v="3"/>
    <x v="0"/>
    <s v="Y"/>
    <n v="29"/>
    <x v="0"/>
    <d v="1899-12-30T00:01:50"/>
    <n v="5"/>
  </r>
  <r>
    <x v="1265"/>
    <s v="Joe"/>
    <x v="22"/>
    <d v="1899-12-30T13:37:55"/>
    <d v="2021-01-23T13:37:55"/>
    <x v="1"/>
    <x v="4"/>
    <x v="3"/>
    <x v="0"/>
    <s v="Y"/>
    <n v="10"/>
    <x v="1"/>
    <d v="1899-12-30T00:06:42"/>
    <n v="5"/>
  </r>
  <r>
    <x v="1266"/>
    <s v="Dan"/>
    <x v="22"/>
    <d v="1899-12-30T14:13:55"/>
    <d v="2021-01-23T14:13:55"/>
    <x v="1"/>
    <x v="5"/>
    <x v="2"/>
    <x v="0"/>
    <s v="Y"/>
    <n v="75"/>
    <x v="0"/>
    <d v="1899-12-30T00:02:00"/>
    <n v="4"/>
  </r>
  <r>
    <x v="1267"/>
    <s v="Martha"/>
    <x v="22"/>
    <d v="1899-12-30T14:13:55"/>
    <d v="2021-01-23T14:13:55"/>
    <x v="1"/>
    <x v="5"/>
    <x v="4"/>
    <x v="1"/>
    <s v="N"/>
    <m/>
    <x v="0"/>
    <m/>
    <m/>
  </r>
  <r>
    <x v="1268"/>
    <s v="Dan"/>
    <x v="22"/>
    <d v="1899-12-30T14:52:48"/>
    <d v="2021-01-23T14:52:48"/>
    <x v="1"/>
    <x v="5"/>
    <x v="1"/>
    <x v="0"/>
    <s v="Y"/>
    <n v="33"/>
    <x v="0"/>
    <d v="1899-12-30T00:01:06"/>
    <n v="5"/>
  </r>
  <r>
    <x v="1269"/>
    <s v="Becky"/>
    <x v="22"/>
    <d v="1899-12-30T14:52:48"/>
    <d v="2021-01-23T14:52:48"/>
    <x v="1"/>
    <x v="5"/>
    <x v="1"/>
    <x v="1"/>
    <s v="N"/>
    <m/>
    <x v="0"/>
    <m/>
    <m/>
  </r>
  <r>
    <x v="1270"/>
    <s v="Becky"/>
    <x v="22"/>
    <d v="1899-12-30T16:01:55"/>
    <d v="2021-01-23T16:01:55"/>
    <x v="1"/>
    <x v="8"/>
    <x v="2"/>
    <x v="0"/>
    <s v="N"/>
    <n v="56"/>
    <x v="0"/>
    <d v="1899-12-30T00:01:58"/>
    <n v="4"/>
  </r>
  <r>
    <x v="1271"/>
    <s v="Martha"/>
    <x v="22"/>
    <d v="1899-12-30T16:01:55"/>
    <d v="2021-01-23T16:01:55"/>
    <x v="1"/>
    <x v="8"/>
    <x v="3"/>
    <x v="1"/>
    <s v="N"/>
    <m/>
    <x v="0"/>
    <m/>
    <m/>
  </r>
  <r>
    <x v="1272"/>
    <s v="Stewart"/>
    <x v="22"/>
    <d v="1899-12-30T16:13:26"/>
    <d v="2021-01-23T16:13:26"/>
    <x v="1"/>
    <x v="8"/>
    <x v="0"/>
    <x v="0"/>
    <s v="N"/>
    <n v="31"/>
    <x v="0"/>
    <d v="1899-12-30T00:00:31"/>
    <n v="3"/>
  </r>
  <r>
    <x v="1273"/>
    <s v="Greg"/>
    <x v="22"/>
    <d v="1899-12-30T16:13:26"/>
    <d v="2021-01-23T16:13:26"/>
    <x v="1"/>
    <x v="8"/>
    <x v="4"/>
    <x v="0"/>
    <s v="Y"/>
    <n v="56"/>
    <x v="0"/>
    <d v="1899-12-30T00:01:20"/>
    <n v="2"/>
  </r>
  <r>
    <x v="1274"/>
    <s v="Jim"/>
    <x v="22"/>
    <d v="1899-12-30T16:37:55"/>
    <d v="2021-01-23T16:37:55"/>
    <x v="1"/>
    <x v="8"/>
    <x v="2"/>
    <x v="0"/>
    <s v="Y"/>
    <n v="53"/>
    <x v="0"/>
    <d v="1899-12-30T00:01:43"/>
    <n v="4"/>
  </r>
  <r>
    <x v="1275"/>
    <s v="Diane"/>
    <x v="22"/>
    <d v="1899-12-30T16:37:55"/>
    <d v="2021-01-23T16:37:55"/>
    <x v="1"/>
    <x v="8"/>
    <x v="1"/>
    <x v="0"/>
    <s v="Y"/>
    <n v="12"/>
    <x v="1"/>
    <d v="1899-12-30T00:05:48"/>
    <n v="3"/>
  </r>
  <r>
    <x v="1276"/>
    <s v="Stewart"/>
    <x v="22"/>
    <d v="1899-12-30T16:45:07"/>
    <d v="2021-01-23T16:45:07"/>
    <x v="1"/>
    <x v="8"/>
    <x v="4"/>
    <x v="0"/>
    <s v="Y"/>
    <n v="53"/>
    <x v="0"/>
    <d v="1899-12-30T00:06:03"/>
    <n v="3"/>
  </r>
  <r>
    <x v="1277"/>
    <s v="Diane"/>
    <x v="22"/>
    <d v="1899-12-30T16:45:07"/>
    <d v="2021-01-23T16:45:07"/>
    <x v="1"/>
    <x v="8"/>
    <x v="4"/>
    <x v="0"/>
    <s v="Y"/>
    <n v="116"/>
    <x v="0"/>
    <d v="1899-12-30T00:04:58"/>
    <n v="3"/>
  </r>
  <r>
    <x v="1278"/>
    <s v="Joe"/>
    <x v="22"/>
    <d v="1899-12-30T17:24:00"/>
    <d v="2021-01-23T17:24:00"/>
    <x v="1"/>
    <x v="7"/>
    <x v="2"/>
    <x v="0"/>
    <s v="Y"/>
    <n v="19"/>
    <x v="1"/>
    <d v="1899-12-30T00:01:11"/>
    <n v="4"/>
  </r>
  <r>
    <x v="1279"/>
    <s v="Dan"/>
    <x v="22"/>
    <d v="1899-12-30T17:24:00"/>
    <d v="2021-01-23T17:24:00"/>
    <x v="1"/>
    <x v="7"/>
    <x v="0"/>
    <x v="1"/>
    <s v="N"/>
    <m/>
    <x v="0"/>
    <m/>
    <m/>
  </r>
  <r>
    <x v="1280"/>
    <s v="Joe"/>
    <x v="22"/>
    <d v="1899-12-30T17:41:17"/>
    <d v="2021-01-23T17:41:17"/>
    <x v="1"/>
    <x v="7"/>
    <x v="4"/>
    <x v="0"/>
    <s v="Y"/>
    <n v="74"/>
    <x v="0"/>
    <d v="1899-12-30T00:05:54"/>
    <n v="2"/>
  </r>
  <r>
    <x v="1281"/>
    <s v="Greg"/>
    <x v="22"/>
    <d v="1899-12-30T17:41:17"/>
    <d v="2021-01-23T17:41:17"/>
    <x v="1"/>
    <x v="7"/>
    <x v="4"/>
    <x v="0"/>
    <s v="Y"/>
    <n v="85"/>
    <x v="0"/>
    <d v="1899-12-30T00:02:44"/>
    <n v="3"/>
  </r>
  <r>
    <x v="1282"/>
    <s v="Greg"/>
    <x v="22"/>
    <d v="1899-12-30T17:44:10"/>
    <d v="2021-01-23T17:44:10"/>
    <x v="1"/>
    <x v="7"/>
    <x v="0"/>
    <x v="1"/>
    <s v="N"/>
    <m/>
    <x v="0"/>
    <m/>
    <m/>
  </r>
  <r>
    <x v="1283"/>
    <s v="Stewart"/>
    <x v="22"/>
    <d v="1899-12-30T17:44:10"/>
    <d v="2021-01-23T17:44:10"/>
    <x v="1"/>
    <x v="7"/>
    <x v="2"/>
    <x v="1"/>
    <s v="N"/>
    <m/>
    <x v="0"/>
    <m/>
    <m/>
  </r>
  <r>
    <x v="1284"/>
    <s v="Dan"/>
    <x v="23"/>
    <d v="1899-12-30T09:05:46"/>
    <d v="2021-01-24T09:05:46"/>
    <x v="2"/>
    <x v="0"/>
    <x v="2"/>
    <x v="1"/>
    <s v="N"/>
    <m/>
    <x v="0"/>
    <m/>
    <m/>
  </r>
  <r>
    <x v="1285"/>
    <s v="Diane"/>
    <x v="23"/>
    <d v="1899-12-30T09:05:46"/>
    <d v="2021-01-24T09:05:46"/>
    <x v="2"/>
    <x v="0"/>
    <x v="4"/>
    <x v="0"/>
    <s v="Y"/>
    <n v="48"/>
    <x v="0"/>
    <d v="1899-12-30T00:06:36"/>
    <n v="2"/>
  </r>
  <r>
    <x v="1286"/>
    <s v="Joe"/>
    <x v="23"/>
    <d v="1899-12-30T09:05:46"/>
    <d v="2021-01-24T09:05:46"/>
    <x v="2"/>
    <x v="0"/>
    <x v="2"/>
    <x v="0"/>
    <s v="Y"/>
    <n v="57"/>
    <x v="0"/>
    <d v="1899-12-30T00:04:32"/>
    <n v="3"/>
  </r>
  <r>
    <x v="1287"/>
    <s v="Jim"/>
    <x v="23"/>
    <d v="1899-12-30T09:05:46"/>
    <d v="2021-01-24T09:05:46"/>
    <x v="2"/>
    <x v="0"/>
    <x v="3"/>
    <x v="0"/>
    <s v="N"/>
    <n v="116"/>
    <x v="0"/>
    <d v="1899-12-30T00:05:09"/>
    <n v="3"/>
  </r>
  <r>
    <x v="1288"/>
    <s v="Greg"/>
    <x v="23"/>
    <d v="1899-12-30T09:12:58"/>
    <d v="2021-01-24T09:12:58"/>
    <x v="2"/>
    <x v="0"/>
    <x v="3"/>
    <x v="0"/>
    <s v="Y"/>
    <n v="21"/>
    <x v="0"/>
    <d v="1899-12-30T00:00:50"/>
    <n v="1"/>
  </r>
  <r>
    <x v="1289"/>
    <s v="Martha"/>
    <x v="23"/>
    <d v="1899-12-30T09:12:58"/>
    <d v="2021-01-24T09:12:58"/>
    <x v="2"/>
    <x v="0"/>
    <x v="0"/>
    <x v="0"/>
    <s v="Y"/>
    <n v="87"/>
    <x v="0"/>
    <d v="1899-12-30T00:02:11"/>
    <n v="3"/>
  </r>
  <r>
    <x v="1290"/>
    <s v="Joe"/>
    <x v="23"/>
    <d v="1899-12-30T09:20:10"/>
    <d v="2021-01-24T09:20:10"/>
    <x v="2"/>
    <x v="0"/>
    <x v="1"/>
    <x v="0"/>
    <s v="Y"/>
    <n v="42"/>
    <x v="0"/>
    <d v="1899-12-30T00:03:56"/>
    <n v="3"/>
  </r>
  <r>
    <x v="1291"/>
    <s v="Greg"/>
    <x v="23"/>
    <d v="1899-12-30T09:20:10"/>
    <d v="2021-01-24T09:20:10"/>
    <x v="2"/>
    <x v="0"/>
    <x v="1"/>
    <x v="0"/>
    <s v="Y"/>
    <n v="86"/>
    <x v="0"/>
    <d v="1899-12-30T00:01:28"/>
    <n v="1"/>
  </r>
  <r>
    <x v="1292"/>
    <s v="Joe"/>
    <x v="23"/>
    <d v="1899-12-30T09:24:29"/>
    <d v="2021-01-24T09:24:29"/>
    <x v="2"/>
    <x v="0"/>
    <x v="2"/>
    <x v="0"/>
    <s v="Y"/>
    <n v="95"/>
    <x v="0"/>
    <d v="1899-12-30T00:03:05"/>
    <n v="5"/>
  </r>
  <r>
    <x v="1293"/>
    <s v="Joe"/>
    <x v="23"/>
    <d v="1899-12-30T09:24:29"/>
    <d v="2021-01-24T09:24:29"/>
    <x v="2"/>
    <x v="0"/>
    <x v="0"/>
    <x v="1"/>
    <s v="N"/>
    <m/>
    <x v="0"/>
    <m/>
    <m/>
  </r>
  <r>
    <x v="1294"/>
    <s v="Jim"/>
    <x v="23"/>
    <d v="1899-12-30T09:54:43"/>
    <d v="2021-01-24T09:54:43"/>
    <x v="2"/>
    <x v="0"/>
    <x v="1"/>
    <x v="0"/>
    <s v="Y"/>
    <n v="109"/>
    <x v="0"/>
    <d v="1899-12-30T00:05:47"/>
    <n v="3"/>
  </r>
  <r>
    <x v="1295"/>
    <s v="Greg"/>
    <x v="23"/>
    <d v="1899-12-30T09:54:43"/>
    <d v="2021-01-24T09:54:43"/>
    <x v="2"/>
    <x v="0"/>
    <x v="2"/>
    <x v="1"/>
    <s v="N"/>
    <m/>
    <x v="0"/>
    <m/>
    <m/>
  </r>
  <r>
    <x v="1296"/>
    <s v="Greg"/>
    <x v="23"/>
    <d v="1899-12-30T10:03:22"/>
    <d v="2021-01-24T10:03:22"/>
    <x v="2"/>
    <x v="1"/>
    <x v="3"/>
    <x v="0"/>
    <s v="Y"/>
    <n v="104"/>
    <x v="0"/>
    <d v="1899-12-30T00:05:35"/>
    <n v="2"/>
  </r>
  <r>
    <x v="1297"/>
    <s v="Martha"/>
    <x v="23"/>
    <d v="1899-12-30T10:03:22"/>
    <d v="2021-01-24T10:03:22"/>
    <x v="2"/>
    <x v="1"/>
    <x v="2"/>
    <x v="0"/>
    <s v="Y"/>
    <n v="123"/>
    <x v="0"/>
    <d v="1899-12-30T00:01:55"/>
    <n v="1"/>
  </r>
  <r>
    <x v="1298"/>
    <s v="Martha"/>
    <x v="23"/>
    <d v="1899-12-30T10:04:48"/>
    <d v="2021-01-24T10:04:48"/>
    <x v="2"/>
    <x v="1"/>
    <x v="4"/>
    <x v="0"/>
    <s v="Y"/>
    <n v="72"/>
    <x v="0"/>
    <d v="1899-12-30T00:05:11"/>
    <n v="5"/>
  </r>
  <r>
    <x v="1299"/>
    <s v="Jim"/>
    <x v="23"/>
    <d v="1899-12-30T10:04:48"/>
    <d v="2021-01-24T10:04:48"/>
    <x v="2"/>
    <x v="1"/>
    <x v="1"/>
    <x v="1"/>
    <s v="N"/>
    <m/>
    <x v="0"/>
    <m/>
    <m/>
  </r>
  <r>
    <x v="1300"/>
    <s v="Stewart"/>
    <x v="23"/>
    <d v="1899-12-30T10:04:48"/>
    <d v="2021-01-24T10:04:48"/>
    <x v="2"/>
    <x v="1"/>
    <x v="0"/>
    <x v="0"/>
    <s v="N"/>
    <n v="28"/>
    <x v="0"/>
    <d v="1899-12-30T00:00:52"/>
    <n v="4"/>
  </r>
  <r>
    <x v="1301"/>
    <s v="Dan"/>
    <x v="23"/>
    <d v="1899-12-30T10:04:48"/>
    <d v="2021-01-24T10:04:48"/>
    <x v="2"/>
    <x v="1"/>
    <x v="4"/>
    <x v="0"/>
    <s v="Y"/>
    <n v="124"/>
    <x v="0"/>
    <d v="1899-12-30T00:03:13"/>
    <n v="4"/>
  </r>
  <r>
    <x v="1302"/>
    <s v="Jim"/>
    <x v="23"/>
    <d v="1899-12-30T10:29:17"/>
    <d v="2021-01-24T10:29:17"/>
    <x v="2"/>
    <x v="1"/>
    <x v="2"/>
    <x v="0"/>
    <s v="Y"/>
    <n v="16"/>
    <x v="1"/>
    <d v="1899-12-30T00:04:35"/>
    <n v="4"/>
  </r>
  <r>
    <x v="1303"/>
    <s v="Martha"/>
    <x v="23"/>
    <d v="1899-12-30T10:29:17"/>
    <d v="2021-01-24T10:29:17"/>
    <x v="2"/>
    <x v="1"/>
    <x v="3"/>
    <x v="1"/>
    <s v="N"/>
    <m/>
    <x v="0"/>
    <m/>
    <m/>
  </r>
  <r>
    <x v="1304"/>
    <s v="Joe"/>
    <x v="23"/>
    <d v="1899-12-30T10:32:10"/>
    <d v="2021-01-24T10:32:10"/>
    <x v="2"/>
    <x v="1"/>
    <x v="3"/>
    <x v="0"/>
    <s v="Y"/>
    <n v="125"/>
    <x v="0"/>
    <d v="1899-12-30T00:00:31"/>
    <n v="3"/>
  </r>
  <r>
    <x v="1305"/>
    <s v="Becky"/>
    <x v="23"/>
    <d v="1899-12-30T10:32:10"/>
    <d v="2021-01-24T10:32:10"/>
    <x v="2"/>
    <x v="1"/>
    <x v="0"/>
    <x v="1"/>
    <s v="N"/>
    <m/>
    <x v="0"/>
    <m/>
    <m/>
  </r>
  <r>
    <x v="1306"/>
    <s v="Dan"/>
    <x v="23"/>
    <d v="1899-12-30T11:11:02"/>
    <d v="2021-01-24T11:11:02"/>
    <x v="2"/>
    <x v="2"/>
    <x v="0"/>
    <x v="0"/>
    <s v="Y"/>
    <n v="61"/>
    <x v="0"/>
    <d v="1899-12-30T00:03:05"/>
    <n v="3"/>
  </r>
  <r>
    <x v="1307"/>
    <s v="Diane"/>
    <x v="23"/>
    <d v="1899-12-30T11:11:02"/>
    <d v="2021-01-24T11:11:02"/>
    <x v="2"/>
    <x v="2"/>
    <x v="4"/>
    <x v="0"/>
    <s v="Y"/>
    <n v="55"/>
    <x v="0"/>
    <d v="1899-12-30T00:06:30"/>
    <n v="1"/>
  </r>
  <r>
    <x v="1308"/>
    <s v="Becky"/>
    <x v="23"/>
    <d v="1899-12-30T11:42:43"/>
    <d v="2021-01-24T11:42:43"/>
    <x v="2"/>
    <x v="2"/>
    <x v="1"/>
    <x v="0"/>
    <s v="Y"/>
    <n v="41"/>
    <x v="0"/>
    <d v="1899-12-30T00:03:54"/>
    <n v="4"/>
  </r>
  <r>
    <x v="1309"/>
    <s v="Greg"/>
    <x v="23"/>
    <d v="1899-12-30T11:42:43"/>
    <d v="2021-01-24T11:42:43"/>
    <x v="2"/>
    <x v="2"/>
    <x v="0"/>
    <x v="0"/>
    <s v="Y"/>
    <n v="81"/>
    <x v="0"/>
    <d v="1899-12-30T00:06:19"/>
    <n v="3"/>
  </r>
  <r>
    <x v="1310"/>
    <s v="Stewart"/>
    <x v="23"/>
    <d v="1899-12-30T12:21:36"/>
    <d v="2021-01-24T12:21:36"/>
    <x v="2"/>
    <x v="3"/>
    <x v="0"/>
    <x v="0"/>
    <s v="Y"/>
    <n v="112"/>
    <x v="0"/>
    <d v="1899-12-30T00:03:43"/>
    <n v="3"/>
  </r>
  <r>
    <x v="1311"/>
    <s v="Diane"/>
    <x v="23"/>
    <d v="1899-12-30T12:21:36"/>
    <d v="2021-01-24T12:21:36"/>
    <x v="2"/>
    <x v="3"/>
    <x v="4"/>
    <x v="0"/>
    <s v="Y"/>
    <n v="58"/>
    <x v="0"/>
    <d v="1899-12-30T00:04:19"/>
    <n v="4"/>
  </r>
  <r>
    <x v="1312"/>
    <s v="Jim"/>
    <x v="23"/>
    <d v="1899-12-30T12:25:55"/>
    <d v="2021-01-24T12:25:55"/>
    <x v="2"/>
    <x v="3"/>
    <x v="4"/>
    <x v="0"/>
    <s v="N"/>
    <n v="61"/>
    <x v="0"/>
    <d v="1899-12-30T00:00:42"/>
    <n v="5"/>
  </r>
  <r>
    <x v="1313"/>
    <s v="Becky"/>
    <x v="23"/>
    <d v="1899-12-30T12:25:55"/>
    <d v="2021-01-24T12:25:55"/>
    <x v="2"/>
    <x v="3"/>
    <x v="2"/>
    <x v="0"/>
    <s v="Y"/>
    <n v="51"/>
    <x v="0"/>
    <d v="1899-12-30T00:06:44"/>
    <n v="3"/>
  </r>
  <r>
    <x v="1314"/>
    <s v="Jim"/>
    <x v="23"/>
    <d v="1899-12-30T13:00:29"/>
    <d v="2021-01-24T13:00:29"/>
    <x v="2"/>
    <x v="4"/>
    <x v="4"/>
    <x v="0"/>
    <s v="Y"/>
    <n v="102"/>
    <x v="0"/>
    <d v="1899-12-30T00:03:59"/>
    <n v="4"/>
  </r>
  <r>
    <x v="1315"/>
    <s v="Joe"/>
    <x v="23"/>
    <d v="1899-12-30T13:00:29"/>
    <d v="2021-01-24T13:00:29"/>
    <x v="2"/>
    <x v="4"/>
    <x v="2"/>
    <x v="0"/>
    <s v="Y"/>
    <n v="19"/>
    <x v="1"/>
    <d v="1899-12-30T00:05:43"/>
    <n v="4"/>
  </r>
  <r>
    <x v="1316"/>
    <s v="Dan"/>
    <x v="23"/>
    <d v="1899-12-30T13:13:26"/>
    <d v="2021-01-24T13:13:26"/>
    <x v="2"/>
    <x v="4"/>
    <x v="4"/>
    <x v="0"/>
    <s v="Y"/>
    <n v="33"/>
    <x v="0"/>
    <d v="1899-12-30T00:03:06"/>
    <n v="2"/>
  </r>
  <r>
    <x v="1317"/>
    <s v="Joe"/>
    <x v="23"/>
    <d v="1899-12-30T13:13:26"/>
    <d v="2021-01-24T13:13:26"/>
    <x v="2"/>
    <x v="4"/>
    <x v="1"/>
    <x v="0"/>
    <s v="Y"/>
    <n v="113"/>
    <x v="0"/>
    <d v="1899-12-30T00:06:04"/>
    <n v="3"/>
  </r>
  <r>
    <x v="1318"/>
    <s v="Diane"/>
    <x v="23"/>
    <d v="1899-12-30T14:15:22"/>
    <d v="2021-01-24T14:15:22"/>
    <x v="2"/>
    <x v="5"/>
    <x v="1"/>
    <x v="0"/>
    <s v="Y"/>
    <n v="28"/>
    <x v="0"/>
    <d v="1899-12-30T00:03:50"/>
    <n v="5"/>
  </r>
  <r>
    <x v="1319"/>
    <s v="Dan"/>
    <x v="23"/>
    <d v="1899-12-30T14:15:22"/>
    <d v="2021-01-24T14:15:22"/>
    <x v="2"/>
    <x v="5"/>
    <x v="1"/>
    <x v="0"/>
    <s v="Y"/>
    <n v="46"/>
    <x v="0"/>
    <d v="1899-12-30T00:04:43"/>
    <n v="1"/>
  </r>
  <r>
    <x v="1320"/>
    <s v="Joe"/>
    <x v="23"/>
    <d v="1899-12-30T14:45:36"/>
    <d v="2021-01-24T14:45:36"/>
    <x v="2"/>
    <x v="5"/>
    <x v="1"/>
    <x v="0"/>
    <s v="Y"/>
    <n v="76"/>
    <x v="0"/>
    <d v="1899-12-30T00:01:09"/>
    <n v="3"/>
  </r>
  <r>
    <x v="1321"/>
    <s v="Diane"/>
    <x v="23"/>
    <d v="1899-12-30T14:45:36"/>
    <d v="2021-01-24T14:45:36"/>
    <x v="2"/>
    <x v="5"/>
    <x v="1"/>
    <x v="0"/>
    <s v="Y"/>
    <n v="124"/>
    <x v="0"/>
    <d v="1899-12-30T00:03:09"/>
    <n v="2"/>
  </r>
  <r>
    <x v="1322"/>
    <s v="Martha"/>
    <x v="23"/>
    <d v="1899-12-30T14:47:02"/>
    <d v="2021-01-24T14:47:02"/>
    <x v="2"/>
    <x v="5"/>
    <x v="1"/>
    <x v="0"/>
    <s v="Y"/>
    <n v="96"/>
    <x v="0"/>
    <d v="1899-12-30T00:04:30"/>
    <n v="2"/>
  </r>
  <r>
    <x v="1323"/>
    <s v="Greg"/>
    <x v="23"/>
    <d v="1899-12-30T14:47:02"/>
    <d v="2021-01-24T14:47:02"/>
    <x v="2"/>
    <x v="5"/>
    <x v="4"/>
    <x v="0"/>
    <s v="N"/>
    <n v="110"/>
    <x v="0"/>
    <d v="1899-12-30T00:05:03"/>
    <n v="5"/>
  </r>
  <r>
    <x v="1324"/>
    <s v="Dan"/>
    <x v="23"/>
    <d v="1899-12-30T15:48:58"/>
    <d v="2021-01-24T15:48:58"/>
    <x v="2"/>
    <x v="6"/>
    <x v="2"/>
    <x v="0"/>
    <s v="Y"/>
    <n v="116"/>
    <x v="0"/>
    <d v="1899-12-30T00:03:39"/>
    <n v="5"/>
  </r>
  <r>
    <x v="1325"/>
    <s v="Dan"/>
    <x v="23"/>
    <d v="1899-12-30T15:48:58"/>
    <d v="2021-01-24T15:48:58"/>
    <x v="2"/>
    <x v="6"/>
    <x v="2"/>
    <x v="0"/>
    <s v="Y"/>
    <n v="14"/>
    <x v="1"/>
    <d v="1899-12-30T00:06:11"/>
    <n v="5"/>
  </r>
  <r>
    <x v="1326"/>
    <s v="Stewart"/>
    <x v="23"/>
    <d v="1899-12-30T15:59:02"/>
    <d v="2021-01-24T15:59:02"/>
    <x v="2"/>
    <x v="6"/>
    <x v="3"/>
    <x v="0"/>
    <s v="Y"/>
    <n v="53"/>
    <x v="0"/>
    <d v="1899-12-30T00:06:01"/>
    <n v="4"/>
  </r>
  <r>
    <x v="1327"/>
    <s v="Joe"/>
    <x v="23"/>
    <d v="1899-12-30T15:59:02"/>
    <d v="2021-01-24T15:59:02"/>
    <x v="2"/>
    <x v="6"/>
    <x v="4"/>
    <x v="0"/>
    <s v="Y"/>
    <n v="37"/>
    <x v="0"/>
    <d v="1899-12-30T00:04:49"/>
    <n v="2"/>
  </r>
  <r>
    <x v="1328"/>
    <s v="Greg"/>
    <x v="23"/>
    <d v="1899-12-30T16:01:55"/>
    <d v="2021-01-24T16:01:55"/>
    <x v="2"/>
    <x v="8"/>
    <x v="3"/>
    <x v="0"/>
    <s v="Y"/>
    <n v="68"/>
    <x v="0"/>
    <d v="1899-12-30T00:00:43"/>
    <n v="1"/>
  </r>
  <r>
    <x v="1329"/>
    <s v="Greg"/>
    <x v="23"/>
    <d v="1899-12-30T16:01:55"/>
    <d v="2021-01-24T16:01:55"/>
    <x v="2"/>
    <x v="8"/>
    <x v="4"/>
    <x v="0"/>
    <s v="Y"/>
    <n v="43"/>
    <x v="0"/>
    <d v="1899-12-30T00:03:10"/>
    <n v="3"/>
  </r>
  <r>
    <x v="1330"/>
    <s v="Greg"/>
    <x v="23"/>
    <d v="1899-12-30T16:45:07"/>
    <d v="2021-01-24T16:45:07"/>
    <x v="2"/>
    <x v="8"/>
    <x v="1"/>
    <x v="0"/>
    <s v="Y"/>
    <n v="19"/>
    <x v="1"/>
    <d v="1899-12-30T00:02:21"/>
    <n v="3"/>
  </r>
  <r>
    <x v="1331"/>
    <s v="Stewart"/>
    <x v="23"/>
    <d v="1899-12-30T16:45:07"/>
    <d v="2021-01-24T16:45:07"/>
    <x v="2"/>
    <x v="8"/>
    <x v="1"/>
    <x v="0"/>
    <s v="Y"/>
    <n v="47"/>
    <x v="0"/>
    <d v="1899-12-30T00:04:26"/>
    <n v="3"/>
  </r>
  <r>
    <x v="1332"/>
    <s v="Becky"/>
    <x v="23"/>
    <d v="1899-12-30T17:16:48"/>
    <d v="2021-01-24T17:16:48"/>
    <x v="2"/>
    <x v="7"/>
    <x v="0"/>
    <x v="1"/>
    <s v="N"/>
    <m/>
    <x v="0"/>
    <m/>
    <m/>
  </r>
  <r>
    <x v="1333"/>
    <s v="Greg"/>
    <x v="23"/>
    <d v="1899-12-30T17:16:48"/>
    <d v="2021-01-24T17:16:48"/>
    <x v="2"/>
    <x v="7"/>
    <x v="2"/>
    <x v="0"/>
    <s v="Y"/>
    <n v="84"/>
    <x v="0"/>
    <d v="1899-12-30T00:06:21"/>
    <n v="4"/>
  </r>
  <r>
    <x v="1334"/>
    <s v="Jim"/>
    <x v="23"/>
    <d v="1899-12-30T17:25:26"/>
    <d v="2021-01-24T17:25:26"/>
    <x v="2"/>
    <x v="7"/>
    <x v="2"/>
    <x v="0"/>
    <s v="Y"/>
    <n v="17"/>
    <x v="1"/>
    <d v="1899-12-30T00:02:35"/>
    <n v="1"/>
  </r>
  <r>
    <x v="1335"/>
    <s v="Becky"/>
    <x v="23"/>
    <d v="1899-12-30T17:25:26"/>
    <d v="2021-01-24T17:25:26"/>
    <x v="2"/>
    <x v="7"/>
    <x v="2"/>
    <x v="0"/>
    <s v="Y"/>
    <n v="116"/>
    <x v="0"/>
    <d v="1899-12-30T00:01:17"/>
    <n v="4"/>
  </r>
  <r>
    <x v="1336"/>
    <s v="Diane"/>
    <x v="23"/>
    <d v="1899-12-30T17:54:14"/>
    <d v="2021-01-24T17:54:14"/>
    <x v="2"/>
    <x v="7"/>
    <x v="3"/>
    <x v="0"/>
    <s v="Y"/>
    <n v="22"/>
    <x v="0"/>
    <d v="1899-12-30T00:01:46"/>
    <n v="4"/>
  </r>
  <r>
    <x v="1337"/>
    <s v="Jim"/>
    <x v="23"/>
    <d v="1899-12-30T17:54:14"/>
    <d v="2021-01-24T17:54:14"/>
    <x v="2"/>
    <x v="7"/>
    <x v="1"/>
    <x v="0"/>
    <s v="Y"/>
    <n v="10"/>
    <x v="1"/>
    <d v="1899-12-30T00:06:13"/>
    <n v="4"/>
  </r>
  <r>
    <x v="1338"/>
    <s v="Dan"/>
    <x v="24"/>
    <d v="1899-12-30T09:15:50"/>
    <d v="2021-01-25T09:15:50"/>
    <x v="3"/>
    <x v="0"/>
    <x v="4"/>
    <x v="0"/>
    <s v="Y"/>
    <n v="76"/>
    <x v="0"/>
    <d v="1899-12-30T00:01:32"/>
    <n v="4"/>
  </r>
  <r>
    <x v="1339"/>
    <s v="Joe"/>
    <x v="24"/>
    <d v="1899-12-30T09:15:50"/>
    <d v="2021-01-25T09:15:50"/>
    <x v="3"/>
    <x v="0"/>
    <x v="2"/>
    <x v="0"/>
    <s v="Y"/>
    <n v="104"/>
    <x v="0"/>
    <d v="1899-12-30T00:06:36"/>
    <n v="4"/>
  </r>
  <r>
    <x v="1340"/>
    <s v="Jim"/>
    <x v="24"/>
    <d v="1899-12-30T09:25:55"/>
    <d v="2021-01-25T09:25:55"/>
    <x v="3"/>
    <x v="0"/>
    <x v="4"/>
    <x v="0"/>
    <s v="Y"/>
    <n v="44"/>
    <x v="0"/>
    <d v="1899-12-30T00:06:50"/>
    <n v="3"/>
  </r>
  <r>
    <x v="1341"/>
    <s v="Jim"/>
    <x v="24"/>
    <d v="1899-12-30T09:25:55"/>
    <d v="2021-01-25T09:25:55"/>
    <x v="3"/>
    <x v="0"/>
    <x v="3"/>
    <x v="0"/>
    <s v="Y"/>
    <n v="24"/>
    <x v="0"/>
    <d v="1899-12-30T00:03:40"/>
    <n v="5"/>
  </r>
  <r>
    <x v="1342"/>
    <s v="Dan"/>
    <x v="24"/>
    <d v="1899-12-30T09:33:07"/>
    <d v="2021-01-25T09:33:07"/>
    <x v="3"/>
    <x v="0"/>
    <x v="1"/>
    <x v="0"/>
    <s v="Y"/>
    <n v="40"/>
    <x v="0"/>
    <d v="1899-12-30T00:06:57"/>
    <n v="3"/>
  </r>
  <r>
    <x v="1343"/>
    <s v="Becky"/>
    <x v="24"/>
    <d v="1899-12-30T09:33:07"/>
    <d v="2021-01-25T09:33:07"/>
    <x v="3"/>
    <x v="0"/>
    <x v="2"/>
    <x v="0"/>
    <s v="Y"/>
    <n v="57"/>
    <x v="0"/>
    <d v="1899-12-30T00:05:45"/>
    <n v="4"/>
  </r>
  <r>
    <x v="1344"/>
    <s v="Stewart"/>
    <x v="24"/>
    <d v="1899-12-30T09:37:26"/>
    <d v="2021-01-25T09:37:26"/>
    <x v="3"/>
    <x v="0"/>
    <x v="1"/>
    <x v="0"/>
    <s v="Y"/>
    <n v="19"/>
    <x v="1"/>
    <d v="1899-12-30T00:06:23"/>
    <n v="3"/>
  </r>
  <r>
    <x v="1345"/>
    <s v="Martha"/>
    <x v="24"/>
    <d v="1899-12-30T09:37:26"/>
    <d v="2021-01-25T09:37:26"/>
    <x v="3"/>
    <x v="0"/>
    <x v="4"/>
    <x v="0"/>
    <s v="Y"/>
    <n v="55"/>
    <x v="0"/>
    <d v="1899-12-30T00:06:35"/>
    <n v="3"/>
  </r>
  <r>
    <x v="1346"/>
    <s v="Martha"/>
    <x v="24"/>
    <d v="1899-12-30T10:10:34"/>
    <d v="2021-01-25T10:10:34"/>
    <x v="3"/>
    <x v="1"/>
    <x v="0"/>
    <x v="0"/>
    <s v="Y"/>
    <n v="102"/>
    <x v="0"/>
    <d v="1899-12-30T00:05:13"/>
    <n v="5"/>
  </r>
  <r>
    <x v="1347"/>
    <s v="Joe"/>
    <x v="24"/>
    <d v="1899-12-30T10:10:34"/>
    <d v="2021-01-25T10:10:34"/>
    <x v="3"/>
    <x v="1"/>
    <x v="2"/>
    <x v="0"/>
    <s v="N"/>
    <n v="123"/>
    <x v="0"/>
    <d v="1899-12-30T00:00:38"/>
    <n v="3"/>
  </r>
  <r>
    <x v="1348"/>
    <s v="Diane"/>
    <x v="24"/>
    <d v="1899-12-30T10:27:50"/>
    <d v="2021-01-25T10:27:50"/>
    <x v="3"/>
    <x v="1"/>
    <x v="3"/>
    <x v="1"/>
    <s v="N"/>
    <m/>
    <x v="0"/>
    <m/>
    <m/>
  </r>
  <r>
    <x v="1349"/>
    <s v="Joe"/>
    <x v="24"/>
    <d v="1899-12-30T10:27:50"/>
    <d v="2021-01-25T10:27:50"/>
    <x v="3"/>
    <x v="1"/>
    <x v="0"/>
    <x v="1"/>
    <s v="N"/>
    <m/>
    <x v="0"/>
    <m/>
    <m/>
  </r>
  <r>
    <x v="1350"/>
    <s v="Joe"/>
    <x v="24"/>
    <d v="1899-12-30T10:42:14"/>
    <d v="2021-01-25T10:42:14"/>
    <x v="3"/>
    <x v="1"/>
    <x v="4"/>
    <x v="0"/>
    <s v="Y"/>
    <n v="115"/>
    <x v="0"/>
    <d v="1899-12-30T00:05:58"/>
    <n v="4"/>
  </r>
  <r>
    <x v="1351"/>
    <s v="Dan"/>
    <x v="24"/>
    <d v="1899-12-30T10:42:14"/>
    <d v="2021-01-25T10:42:14"/>
    <x v="3"/>
    <x v="1"/>
    <x v="1"/>
    <x v="0"/>
    <s v="Y"/>
    <n v="53"/>
    <x v="0"/>
    <d v="1899-12-30T00:06:05"/>
    <n v="5"/>
  </r>
  <r>
    <x v="1352"/>
    <s v="Diane"/>
    <x v="24"/>
    <d v="1899-12-30T11:03:50"/>
    <d v="2021-01-25T11:03:50"/>
    <x v="3"/>
    <x v="2"/>
    <x v="1"/>
    <x v="0"/>
    <s v="Y"/>
    <n v="61"/>
    <x v="0"/>
    <d v="1899-12-30T00:02:05"/>
    <n v="5"/>
  </r>
  <r>
    <x v="1353"/>
    <s v="Diane"/>
    <x v="24"/>
    <d v="1899-12-30T11:03:50"/>
    <d v="2021-01-25T11:03:50"/>
    <x v="3"/>
    <x v="2"/>
    <x v="1"/>
    <x v="0"/>
    <s v="Y"/>
    <n v="99"/>
    <x v="0"/>
    <d v="1899-12-30T00:05:33"/>
    <n v="5"/>
  </r>
  <r>
    <x v="1354"/>
    <s v="Greg"/>
    <x v="24"/>
    <d v="1899-12-30T11:42:43"/>
    <d v="2021-01-25T11:42:43"/>
    <x v="3"/>
    <x v="2"/>
    <x v="3"/>
    <x v="1"/>
    <s v="N"/>
    <m/>
    <x v="0"/>
    <m/>
    <m/>
  </r>
  <r>
    <x v="1355"/>
    <s v="Greg"/>
    <x v="24"/>
    <d v="1899-12-30T11:42:43"/>
    <d v="2021-01-25T11:42:43"/>
    <x v="3"/>
    <x v="2"/>
    <x v="2"/>
    <x v="0"/>
    <s v="N"/>
    <n v="57"/>
    <x v="0"/>
    <d v="1899-12-30T00:02:26"/>
    <n v="3"/>
  </r>
  <r>
    <x v="1356"/>
    <s v="Diane"/>
    <x v="24"/>
    <d v="1899-12-30T11:48:29"/>
    <d v="2021-01-25T11:48:29"/>
    <x v="3"/>
    <x v="2"/>
    <x v="0"/>
    <x v="0"/>
    <s v="Y"/>
    <n v="24"/>
    <x v="0"/>
    <d v="1899-12-30T00:04:43"/>
    <n v="3"/>
  </r>
  <r>
    <x v="1357"/>
    <s v="Stewart"/>
    <x v="24"/>
    <d v="1899-12-30T11:48:29"/>
    <d v="2021-01-25T11:48:29"/>
    <x v="3"/>
    <x v="2"/>
    <x v="0"/>
    <x v="0"/>
    <s v="Y"/>
    <n v="75"/>
    <x v="0"/>
    <d v="1899-12-30T00:01:43"/>
    <n v="4"/>
  </r>
  <r>
    <x v="1358"/>
    <s v="Joe"/>
    <x v="24"/>
    <d v="1899-12-30T11:54:14"/>
    <d v="2021-01-25T11:54:14"/>
    <x v="3"/>
    <x v="2"/>
    <x v="0"/>
    <x v="0"/>
    <s v="Y"/>
    <n v="72"/>
    <x v="0"/>
    <d v="1899-12-30T00:05:31"/>
    <n v="4"/>
  </r>
  <r>
    <x v="1359"/>
    <s v="Stewart"/>
    <x v="24"/>
    <d v="1899-12-30T11:54:14"/>
    <d v="2021-01-25T11:54:14"/>
    <x v="3"/>
    <x v="2"/>
    <x v="2"/>
    <x v="0"/>
    <s v="Y"/>
    <n v="73"/>
    <x v="0"/>
    <d v="1899-12-30T00:03:14"/>
    <n v="4"/>
  </r>
  <r>
    <x v="1360"/>
    <s v="Martha"/>
    <x v="24"/>
    <d v="1899-12-30T11:54:14"/>
    <d v="2021-01-25T11:54:14"/>
    <x v="3"/>
    <x v="2"/>
    <x v="2"/>
    <x v="0"/>
    <s v="N"/>
    <n v="105"/>
    <x v="0"/>
    <d v="1899-12-30T00:03:05"/>
    <n v="4"/>
  </r>
  <r>
    <x v="1361"/>
    <s v="Greg"/>
    <x v="24"/>
    <d v="1899-12-30T11:54:14"/>
    <d v="2021-01-25T11:54:14"/>
    <x v="3"/>
    <x v="2"/>
    <x v="1"/>
    <x v="0"/>
    <s v="Y"/>
    <n v="75"/>
    <x v="0"/>
    <d v="1899-12-30T00:03:45"/>
    <n v="3"/>
  </r>
  <r>
    <x v="1362"/>
    <s v="Becky"/>
    <x v="24"/>
    <d v="1899-12-30T12:00:00"/>
    <d v="2021-01-25T12:00:00"/>
    <x v="3"/>
    <x v="3"/>
    <x v="2"/>
    <x v="0"/>
    <s v="Y"/>
    <n v="29"/>
    <x v="0"/>
    <d v="1899-12-30T00:04:49"/>
    <n v="4"/>
  </r>
  <r>
    <x v="1363"/>
    <s v="Stewart"/>
    <x v="24"/>
    <d v="1899-12-30T12:00:00"/>
    <d v="2021-01-25T12:00:00"/>
    <x v="3"/>
    <x v="3"/>
    <x v="1"/>
    <x v="0"/>
    <s v="Y"/>
    <n v="41"/>
    <x v="0"/>
    <d v="1899-12-30T00:01:43"/>
    <n v="1"/>
  </r>
  <r>
    <x v="1364"/>
    <s v="Martha"/>
    <x v="24"/>
    <d v="1899-12-30T12:10:05"/>
    <d v="2021-01-25T12:10:05"/>
    <x v="3"/>
    <x v="3"/>
    <x v="3"/>
    <x v="0"/>
    <s v="Y"/>
    <n v="93"/>
    <x v="0"/>
    <d v="1899-12-30T00:03:11"/>
    <n v="4"/>
  </r>
  <r>
    <x v="1365"/>
    <s v="Jim"/>
    <x v="24"/>
    <d v="1899-12-30T12:10:05"/>
    <d v="2021-01-25T12:10:05"/>
    <x v="3"/>
    <x v="3"/>
    <x v="3"/>
    <x v="1"/>
    <s v="N"/>
    <m/>
    <x v="0"/>
    <m/>
    <m/>
  </r>
  <r>
    <x v="1366"/>
    <s v="Dan"/>
    <x v="24"/>
    <d v="1899-12-30T12:12:58"/>
    <d v="2021-01-25T12:12:58"/>
    <x v="3"/>
    <x v="3"/>
    <x v="3"/>
    <x v="0"/>
    <s v="Y"/>
    <n v="73"/>
    <x v="0"/>
    <d v="1899-12-30T00:05:35"/>
    <n v="3"/>
  </r>
  <r>
    <x v="1367"/>
    <s v="Stewart"/>
    <x v="24"/>
    <d v="1899-12-30T12:12:58"/>
    <d v="2021-01-25T12:12:58"/>
    <x v="3"/>
    <x v="3"/>
    <x v="4"/>
    <x v="1"/>
    <s v="N"/>
    <m/>
    <x v="0"/>
    <m/>
    <m/>
  </r>
  <r>
    <x v="1368"/>
    <s v="Greg"/>
    <x v="24"/>
    <d v="1899-12-30T12:18:43"/>
    <d v="2021-01-25T12:18:43"/>
    <x v="3"/>
    <x v="3"/>
    <x v="2"/>
    <x v="0"/>
    <s v="Y"/>
    <n v="112"/>
    <x v="0"/>
    <d v="1899-12-30T00:01:21"/>
    <n v="4"/>
  </r>
  <r>
    <x v="1369"/>
    <s v="Diane"/>
    <x v="24"/>
    <d v="1899-12-30T12:18:43"/>
    <d v="2021-01-25T12:18:43"/>
    <x v="3"/>
    <x v="3"/>
    <x v="2"/>
    <x v="0"/>
    <s v="Y"/>
    <n v="37"/>
    <x v="0"/>
    <d v="1899-12-30T00:05:39"/>
    <n v="4"/>
  </r>
  <r>
    <x v="1370"/>
    <s v="Greg"/>
    <x v="24"/>
    <d v="1899-12-30T12:21:36"/>
    <d v="2021-01-25T12:21:36"/>
    <x v="3"/>
    <x v="3"/>
    <x v="0"/>
    <x v="0"/>
    <s v="Y"/>
    <n v="59"/>
    <x v="0"/>
    <d v="1899-12-30T00:05:50"/>
    <n v="5"/>
  </r>
  <r>
    <x v="1371"/>
    <s v="Jim"/>
    <x v="24"/>
    <d v="1899-12-30T12:21:36"/>
    <d v="2021-01-25T12:21:36"/>
    <x v="3"/>
    <x v="3"/>
    <x v="1"/>
    <x v="1"/>
    <s v="N"/>
    <m/>
    <x v="0"/>
    <m/>
    <m/>
  </r>
  <r>
    <x v="1372"/>
    <s v="Becky"/>
    <x v="24"/>
    <d v="1899-12-30T12:21:36"/>
    <d v="2021-01-25T12:21:36"/>
    <x v="3"/>
    <x v="3"/>
    <x v="1"/>
    <x v="0"/>
    <s v="Y"/>
    <n v="56"/>
    <x v="0"/>
    <d v="1899-12-30T00:01:23"/>
    <n v="3"/>
  </r>
  <r>
    <x v="1373"/>
    <s v="Greg"/>
    <x v="24"/>
    <d v="1899-12-30T12:21:36"/>
    <d v="2021-01-25T12:21:36"/>
    <x v="3"/>
    <x v="3"/>
    <x v="0"/>
    <x v="0"/>
    <s v="Y"/>
    <n v="56"/>
    <x v="0"/>
    <d v="1899-12-30T00:05:12"/>
    <n v="3"/>
  </r>
  <r>
    <x v="1374"/>
    <s v="Jim"/>
    <x v="24"/>
    <d v="1899-12-30T12:43:12"/>
    <d v="2021-01-25T12:43:12"/>
    <x v="3"/>
    <x v="3"/>
    <x v="3"/>
    <x v="1"/>
    <s v="N"/>
    <m/>
    <x v="0"/>
    <m/>
    <m/>
  </r>
  <r>
    <x v="1375"/>
    <s v="Stewart"/>
    <x v="24"/>
    <d v="1899-12-30T12:43:12"/>
    <d v="2021-01-25T12:43:12"/>
    <x v="3"/>
    <x v="3"/>
    <x v="3"/>
    <x v="0"/>
    <s v="Y"/>
    <n v="43"/>
    <x v="0"/>
    <d v="1899-12-30T00:06:30"/>
    <n v="5"/>
  </r>
  <r>
    <x v="1376"/>
    <s v="Dan"/>
    <x v="24"/>
    <d v="1899-12-30T12:53:17"/>
    <d v="2021-01-25T12:53:17"/>
    <x v="3"/>
    <x v="3"/>
    <x v="2"/>
    <x v="0"/>
    <s v="Y"/>
    <n v="80"/>
    <x v="0"/>
    <d v="1899-12-30T00:06:09"/>
    <n v="2"/>
  </r>
  <r>
    <x v="1377"/>
    <s v="Jim"/>
    <x v="24"/>
    <d v="1899-12-30T12:53:17"/>
    <d v="2021-01-25T12:53:17"/>
    <x v="3"/>
    <x v="3"/>
    <x v="3"/>
    <x v="0"/>
    <s v="Y"/>
    <n v="66"/>
    <x v="0"/>
    <d v="1899-12-30T00:06:03"/>
    <n v="3"/>
  </r>
  <r>
    <x v="1378"/>
    <s v="Becky"/>
    <x v="24"/>
    <d v="1899-12-30T14:11:02"/>
    <d v="2021-01-25T14:11:02"/>
    <x v="3"/>
    <x v="5"/>
    <x v="0"/>
    <x v="0"/>
    <s v="Y"/>
    <n v="54"/>
    <x v="0"/>
    <d v="1899-12-30T00:04:11"/>
    <n v="3"/>
  </r>
  <r>
    <x v="1379"/>
    <s v="Joe"/>
    <x v="24"/>
    <d v="1899-12-30T14:11:02"/>
    <d v="2021-01-25T14:11:02"/>
    <x v="3"/>
    <x v="5"/>
    <x v="4"/>
    <x v="0"/>
    <s v="Y"/>
    <n v="94"/>
    <x v="0"/>
    <d v="1899-12-30T00:05:03"/>
    <n v="2"/>
  </r>
  <r>
    <x v="1380"/>
    <s v="Becky"/>
    <x v="24"/>
    <d v="1899-12-30T14:11:02"/>
    <d v="2021-01-25T14:11:02"/>
    <x v="3"/>
    <x v="5"/>
    <x v="4"/>
    <x v="1"/>
    <s v="N"/>
    <m/>
    <x v="0"/>
    <m/>
    <m/>
  </r>
  <r>
    <x v="1381"/>
    <s v="Martha"/>
    <x v="24"/>
    <d v="1899-12-30T14:11:02"/>
    <d v="2021-01-25T14:11:02"/>
    <x v="3"/>
    <x v="5"/>
    <x v="4"/>
    <x v="0"/>
    <s v="Y"/>
    <n v="24"/>
    <x v="0"/>
    <d v="1899-12-30T00:04:04"/>
    <n v="4"/>
  </r>
  <r>
    <x v="1382"/>
    <s v="Diane"/>
    <x v="24"/>
    <d v="1899-12-30T14:12:29"/>
    <d v="2021-01-25T14:12:29"/>
    <x v="3"/>
    <x v="5"/>
    <x v="4"/>
    <x v="1"/>
    <s v="N"/>
    <m/>
    <x v="0"/>
    <m/>
    <m/>
  </r>
  <r>
    <x v="1383"/>
    <s v="Martha"/>
    <x v="24"/>
    <d v="1899-12-30T14:12:29"/>
    <d v="2021-01-25T14:12:29"/>
    <x v="3"/>
    <x v="5"/>
    <x v="0"/>
    <x v="0"/>
    <s v="Y"/>
    <n v="108"/>
    <x v="0"/>
    <d v="1899-12-30T00:06:36"/>
    <n v="3"/>
  </r>
  <r>
    <x v="1384"/>
    <s v="Joe"/>
    <x v="24"/>
    <d v="1899-12-30T14:26:53"/>
    <d v="2021-01-25T14:26:53"/>
    <x v="3"/>
    <x v="5"/>
    <x v="2"/>
    <x v="0"/>
    <s v="Y"/>
    <n v="106"/>
    <x v="0"/>
    <d v="1899-12-30T00:00:54"/>
    <n v="3"/>
  </r>
  <r>
    <x v="1385"/>
    <s v="Joe"/>
    <x v="24"/>
    <d v="1899-12-30T14:26:53"/>
    <d v="2021-01-25T14:26:53"/>
    <x v="3"/>
    <x v="5"/>
    <x v="1"/>
    <x v="1"/>
    <s v="N"/>
    <m/>
    <x v="0"/>
    <m/>
    <m/>
  </r>
  <r>
    <x v="1386"/>
    <s v="Becky"/>
    <x v="24"/>
    <d v="1899-12-30T14:34:05"/>
    <d v="2021-01-25T14:34:05"/>
    <x v="3"/>
    <x v="5"/>
    <x v="2"/>
    <x v="0"/>
    <s v="Y"/>
    <n v="111"/>
    <x v="0"/>
    <d v="1899-12-30T00:06:03"/>
    <n v="3"/>
  </r>
  <r>
    <x v="1387"/>
    <s v="Joe"/>
    <x v="24"/>
    <d v="1899-12-30T14:34:05"/>
    <d v="2021-01-25T14:34:05"/>
    <x v="3"/>
    <x v="5"/>
    <x v="3"/>
    <x v="0"/>
    <s v="Y"/>
    <n v="56"/>
    <x v="0"/>
    <d v="1899-12-30T00:03:18"/>
    <n v="3"/>
  </r>
  <r>
    <x v="1388"/>
    <s v="Dan"/>
    <x v="24"/>
    <d v="1899-12-30T15:04:19"/>
    <d v="2021-01-25T15:04:19"/>
    <x v="3"/>
    <x v="6"/>
    <x v="0"/>
    <x v="0"/>
    <s v="Y"/>
    <n v="78"/>
    <x v="0"/>
    <d v="1899-12-30T00:05:10"/>
    <n v="4"/>
  </r>
  <r>
    <x v="1389"/>
    <s v="Stewart"/>
    <x v="24"/>
    <d v="1899-12-30T15:04:19"/>
    <d v="2021-01-25T15:04:19"/>
    <x v="3"/>
    <x v="6"/>
    <x v="4"/>
    <x v="0"/>
    <s v="Y"/>
    <n v="15"/>
    <x v="1"/>
    <d v="1899-12-30T00:02:10"/>
    <n v="3"/>
  </r>
  <r>
    <x v="1390"/>
    <s v="Becky"/>
    <x v="24"/>
    <d v="1899-12-30T15:05:46"/>
    <d v="2021-01-25T15:05:46"/>
    <x v="3"/>
    <x v="6"/>
    <x v="2"/>
    <x v="1"/>
    <s v="N"/>
    <m/>
    <x v="0"/>
    <m/>
    <m/>
  </r>
  <r>
    <x v="1391"/>
    <s v="Martha"/>
    <x v="24"/>
    <d v="1899-12-30T15:05:46"/>
    <d v="2021-01-25T15:05:46"/>
    <x v="3"/>
    <x v="6"/>
    <x v="4"/>
    <x v="0"/>
    <s v="Y"/>
    <n v="50"/>
    <x v="0"/>
    <d v="1899-12-30T00:00:32"/>
    <n v="3"/>
  </r>
  <r>
    <x v="1392"/>
    <s v="Dan"/>
    <x v="24"/>
    <d v="1899-12-30T15:20:10"/>
    <d v="2021-01-25T15:20:10"/>
    <x v="3"/>
    <x v="6"/>
    <x v="4"/>
    <x v="0"/>
    <s v="Y"/>
    <n v="53"/>
    <x v="0"/>
    <d v="1899-12-30T00:03:48"/>
    <n v="3"/>
  </r>
  <r>
    <x v="1393"/>
    <s v="Joe"/>
    <x v="24"/>
    <d v="1899-12-30T15:20:10"/>
    <d v="2021-01-25T15:20:10"/>
    <x v="3"/>
    <x v="6"/>
    <x v="1"/>
    <x v="0"/>
    <s v="Y"/>
    <n v="106"/>
    <x v="0"/>
    <d v="1899-12-30T00:06:35"/>
    <n v="1"/>
  </r>
  <r>
    <x v="1394"/>
    <s v="Diane"/>
    <x v="24"/>
    <d v="1899-12-30T15:51:50"/>
    <d v="2021-01-25T15:51:50"/>
    <x v="3"/>
    <x v="6"/>
    <x v="3"/>
    <x v="0"/>
    <s v="Y"/>
    <n v="44"/>
    <x v="0"/>
    <d v="1899-12-30T00:05:57"/>
    <n v="5"/>
  </r>
  <r>
    <x v="1395"/>
    <s v="Becky"/>
    <x v="24"/>
    <d v="1899-12-30T15:51:50"/>
    <d v="2021-01-25T15:51:50"/>
    <x v="3"/>
    <x v="6"/>
    <x v="0"/>
    <x v="1"/>
    <s v="N"/>
    <m/>
    <x v="0"/>
    <m/>
    <m/>
  </r>
  <r>
    <x v="1396"/>
    <s v="Greg"/>
    <x v="24"/>
    <d v="1899-12-30T15:53:17"/>
    <d v="2021-01-25T15:53:17"/>
    <x v="3"/>
    <x v="6"/>
    <x v="3"/>
    <x v="0"/>
    <s v="Y"/>
    <n v="31"/>
    <x v="0"/>
    <d v="1899-12-30T00:04:53"/>
    <n v="3"/>
  </r>
  <r>
    <x v="1397"/>
    <s v="Joe"/>
    <x v="24"/>
    <d v="1899-12-30T15:53:17"/>
    <d v="2021-01-25T15:53:17"/>
    <x v="3"/>
    <x v="6"/>
    <x v="3"/>
    <x v="0"/>
    <s v="Y"/>
    <n v="41"/>
    <x v="0"/>
    <d v="1899-12-30T00:05:02"/>
    <n v="5"/>
  </r>
  <r>
    <x v="1398"/>
    <s v="Becky"/>
    <x v="24"/>
    <d v="1899-12-30T16:13:26"/>
    <d v="2021-01-25T16:13:26"/>
    <x v="3"/>
    <x v="8"/>
    <x v="4"/>
    <x v="0"/>
    <s v="Y"/>
    <n v="109"/>
    <x v="0"/>
    <d v="1899-12-30T00:05:46"/>
    <n v="3"/>
  </r>
  <r>
    <x v="1399"/>
    <s v="Martha"/>
    <x v="24"/>
    <d v="1899-12-30T16:13:26"/>
    <d v="2021-01-25T16:13:26"/>
    <x v="3"/>
    <x v="8"/>
    <x v="3"/>
    <x v="0"/>
    <s v="Y"/>
    <n v="13"/>
    <x v="1"/>
    <d v="1899-12-30T00:01:09"/>
    <n v="3"/>
  </r>
  <r>
    <x v="1400"/>
    <s v="Diane"/>
    <x v="24"/>
    <d v="1899-12-30T17:32:38"/>
    <d v="2021-01-25T17:32:38"/>
    <x v="3"/>
    <x v="7"/>
    <x v="2"/>
    <x v="0"/>
    <s v="Y"/>
    <n v="19"/>
    <x v="1"/>
    <d v="1899-12-30T00:06:38"/>
    <n v="5"/>
  </r>
  <r>
    <x v="1401"/>
    <s v="Stewart"/>
    <x v="24"/>
    <d v="1899-12-30T17:32:38"/>
    <d v="2021-01-25T17:32:38"/>
    <x v="3"/>
    <x v="7"/>
    <x v="0"/>
    <x v="0"/>
    <s v="Y"/>
    <n v="76"/>
    <x v="0"/>
    <d v="1899-12-30T00:05:44"/>
    <n v="5"/>
  </r>
  <r>
    <x v="1402"/>
    <s v="Becky"/>
    <x v="25"/>
    <d v="1899-12-30T09:05:46"/>
    <d v="2021-01-26T09:05:46"/>
    <x v="4"/>
    <x v="0"/>
    <x v="0"/>
    <x v="0"/>
    <s v="Y"/>
    <n v="86"/>
    <x v="0"/>
    <d v="1899-12-30T00:01:02"/>
    <n v="4"/>
  </r>
  <r>
    <x v="1403"/>
    <s v="Martha"/>
    <x v="25"/>
    <d v="1899-12-30T09:05:46"/>
    <d v="2021-01-26T09:05:46"/>
    <x v="4"/>
    <x v="0"/>
    <x v="0"/>
    <x v="0"/>
    <s v="Y"/>
    <n v="63"/>
    <x v="0"/>
    <d v="1899-12-30T00:02:25"/>
    <n v="4"/>
  </r>
  <r>
    <x v="1404"/>
    <s v="Dan"/>
    <x v="25"/>
    <d v="1899-12-30T09:30:14"/>
    <d v="2021-01-26T09:30:14"/>
    <x v="4"/>
    <x v="0"/>
    <x v="2"/>
    <x v="0"/>
    <s v="Y"/>
    <n v="113"/>
    <x v="0"/>
    <d v="1899-12-30T00:00:51"/>
    <n v="5"/>
  </r>
  <r>
    <x v="1405"/>
    <s v="Greg"/>
    <x v="25"/>
    <d v="1899-12-30T09:30:14"/>
    <d v="2021-01-26T09:30:14"/>
    <x v="4"/>
    <x v="0"/>
    <x v="3"/>
    <x v="0"/>
    <s v="Y"/>
    <n v="84"/>
    <x v="0"/>
    <d v="1899-12-30T00:01:17"/>
    <n v="3"/>
  </r>
  <r>
    <x v="1406"/>
    <s v="Jim"/>
    <x v="25"/>
    <d v="1899-12-30T09:41:46"/>
    <d v="2021-01-26T09:41:46"/>
    <x v="4"/>
    <x v="0"/>
    <x v="3"/>
    <x v="0"/>
    <s v="N"/>
    <n v="41"/>
    <x v="0"/>
    <d v="1899-12-30T00:03:26"/>
    <n v="4"/>
  </r>
  <r>
    <x v="1407"/>
    <s v="Becky"/>
    <x v="25"/>
    <d v="1899-12-30T09:41:46"/>
    <d v="2021-01-26T09:41:46"/>
    <x v="4"/>
    <x v="0"/>
    <x v="2"/>
    <x v="0"/>
    <s v="Y"/>
    <n v="13"/>
    <x v="1"/>
    <d v="1899-12-30T00:03:53"/>
    <n v="3"/>
  </r>
  <r>
    <x v="1408"/>
    <s v="Stewart"/>
    <x v="25"/>
    <d v="1899-12-30T09:51:50"/>
    <d v="2021-01-26T09:51:50"/>
    <x v="4"/>
    <x v="0"/>
    <x v="1"/>
    <x v="1"/>
    <s v="N"/>
    <m/>
    <x v="0"/>
    <m/>
    <m/>
  </r>
  <r>
    <x v="1409"/>
    <s v="Jim"/>
    <x v="25"/>
    <d v="1899-12-30T09:51:50"/>
    <d v="2021-01-26T09:51:50"/>
    <x v="4"/>
    <x v="0"/>
    <x v="2"/>
    <x v="0"/>
    <s v="Y"/>
    <n v="79"/>
    <x v="0"/>
    <d v="1899-12-30T00:02:50"/>
    <n v="3"/>
  </r>
  <r>
    <x v="1410"/>
    <s v="Diane"/>
    <x v="25"/>
    <d v="1899-12-30T10:27:50"/>
    <d v="2021-01-26T10:27:50"/>
    <x v="4"/>
    <x v="1"/>
    <x v="0"/>
    <x v="0"/>
    <s v="Y"/>
    <n v="103"/>
    <x v="0"/>
    <d v="1899-12-30T00:02:31"/>
    <n v="3"/>
  </r>
  <r>
    <x v="1411"/>
    <s v="Diane"/>
    <x v="25"/>
    <d v="1899-12-30T10:27:50"/>
    <d v="2021-01-26T10:27:50"/>
    <x v="4"/>
    <x v="1"/>
    <x v="0"/>
    <x v="0"/>
    <s v="Y"/>
    <n v="68"/>
    <x v="0"/>
    <d v="1899-12-30T00:02:18"/>
    <n v="3"/>
  </r>
  <r>
    <x v="1412"/>
    <s v="Diane"/>
    <x v="25"/>
    <d v="1899-12-30T10:40:48"/>
    <d v="2021-01-26T10:40:48"/>
    <x v="4"/>
    <x v="1"/>
    <x v="0"/>
    <x v="0"/>
    <s v="Y"/>
    <n v="57"/>
    <x v="0"/>
    <d v="1899-12-30T00:05:29"/>
    <n v="2"/>
  </r>
  <r>
    <x v="1413"/>
    <s v="Stewart"/>
    <x v="25"/>
    <d v="1899-12-30T10:40:48"/>
    <d v="2021-01-26T10:40:48"/>
    <x v="4"/>
    <x v="1"/>
    <x v="2"/>
    <x v="1"/>
    <s v="N"/>
    <m/>
    <x v="0"/>
    <m/>
    <m/>
  </r>
  <r>
    <x v="1414"/>
    <s v="Diane"/>
    <x v="25"/>
    <d v="1899-12-30T10:50:53"/>
    <d v="2021-01-26T10:50:53"/>
    <x v="4"/>
    <x v="1"/>
    <x v="2"/>
    <x v="0"/>
    <s v="Y"/>
    <n v="72"/>
    <x v="0"/>
    <d v="1899-12-30T00:01:31"/>
    <n v="3"/>
  </r>
  <r>
    <x v="1415"/>
    <s v="Stewart"/>
    <x v="25"/>
    <d v="1899-12-30T10:50:53"/>
    <d v="2021-01-26T10:50:53"/>
    <x v="4"/>
    <x v="1"/>
    <x v="4"/>
    <x v="0"/>
    <s v="Y"/>
    <n v="53"/>
    <x v="0"/>
    <d v="1899-12-30T00:05:52"/>
    <n v="5"/>
  </r>
  <r>
    <x v="1416"/>
    <s v="Becky"/>
    <x v="25"/>
    <d v="1899-12-30T10:52:19"/>
    <d v="2021-01-26T10:52:19"/>
    <x v="4"/>
    <x v="1"/>
    <x v="0"/>
    <x v="0"/>
    <s v="Y"/>
    <n v="16"/>
    <x v="1"/>
    <d v="1899-12-30T00:03:35"/>
    <n v="1"/>
  </r>
  <r>
    <x v="1417"/>
    <s v="Becky"/>
    <x v="25"/>
    <d v="1899-12-30T10:52:19"/>
    <d v="2021-01-26T10:52:19"/>
    <x v="4"/>
    <x v="1"/>
    <x v="1"/>
    <x v="0"/>
    <s v="Y"/>
    <n v="77"/>
    <x v="0"/>
    <d v="1899-12-30T00:01:42"/>
    <n v="3"/>
  </r>
  <r>
    <x v="1418"/>
    <s v="Dan"/>
    <x v="25"/>
    <d v="1899-12-30T10:59:31"/>
    <d v="2021-01-26T10:59:31"/>
    <x v="4"/>
    <x v="1"/>
    <x v="2"/>
    <x v="0"/>
    <s v="Y"/>
    <n v="68"/>
    <x v="0"/>
    <d v="1899-12-30T00:06:48"/>
    <n v="5"/>
  </r>
  <r>
    <x v="1419"/>
    <s v="Dan"/>
    <x v="25"/>
    <d v="1899-12-30T10:59:31"/>
    <d v="2021-01-26T10:59:31"/>
    <x v="4"/>
    <x v="1"/>
    <x v="4"/>
    <x v="0"/>
    <s v="Y"/>
    <n v="50"/>
    <x v="0"/>
    <d v="1899-12-30T00:02:46"/>
    <n v="4"/>
  </r>
  <r>
    <x v="1420"/>
    <s v="Joe"/>
    <x v="25"/>
    <d v="1899-12-30T11:19:41"/>
    <d v="2021-01-26T11:19:41"/>
    <x v="4"/>
    <x v="2"/>
    <x v="3"/>
    <x v="1"/>
    <s v="N"/>
    <m/>
    <x v="0"/>
    <m/>
    <m/>
  </r>
  <r>
    <x v="1421"/>
    <s v="Dan"/>
    <x v="25"/>
    <d v="1899-12-30T11:19:41"/>
    <d v="2021-01-26T11:19:41"/>
    <x v="4"/>
    <x v="2"/>
    <x v="2"/>
    <x v="0"/>
    <s v="Y"/>
    <n v="68"/>
    <x v="0"/>
    <d v="1899-12-30T00:05:16"/>
    <n v="3"/>
  </r>
  <r>
    <x v="1422"/>
    <s v="Diane"/>
    <x v="25"/>
    <d v="1899-12-30T11:47:02"/>
    <d v="2021-01-26T11:47:02"/>
    <x v="4"/>
    <x v="2"/>
    <x v="4"/>
    <x v="0"/>
    <s v="Y"/>
    <n v="39"/>
    <x v="0"/>
    <d v="1899-12-30T00:03:52"/>
    <n v="5"/>
  </r>
  <r>
    <x v="1423"/>
    <s v="Diane"/>
    <x v="25"/>
    <d v="1899-12-30T11:47:02"/>
    <d v="2021-01-26T11:47:02"/>
    <x v="4"/>
    <x v="2"/>
    <x v="0"/>
    <x v="0"/>
    <s v="Y"/>
    <n v="78"/>
    <x v="0"/>
    <d v="1899-12-30T00:06:35"/>
    <n v="4"/>
  </r>
  <r>
    <x v="1424"/>
    <s v="Diane"/>
    <x v="25"/>
    <d v="1899-12-30T12:48:58"/>
    <d v="2021-01-26T12:48:58"/>
    <x v="4"/>
    <x v="3"/>
    <x v="4"/>
    <x v="0"/>
    <s v="Y"/>
    <n v="106"/>
    <x v="0"/>
    <d v="1899-12-30T00:01:52"/>
    <n v="3"/>
  </r>
  <r>
    <x v="1425"/>
    <s v="Becky"/>
    <x v="25"/>
    <d v="1899-12-30T12:48:58"/>
    <d v="2021-01-26T12:48:58"/>
    <x v="4"/>
    <x v="3"/>
    <x v="4"/>
    <x v="1"/>
    <s v="N"/>
    <m/>
    <x v="0"/>
    <m/>
    <m/>
  </r>
  <r>
    <x v="1426"/>
    <s v="Dan"/>
    <x v="25"/>
    <d v="1899-12-30T12:50:24"/>
    <d v="2021-01-26T12:50:24"/>
    <x v="4"/>
    <x v="3"/>
    <x v="3"/>
    <x v="0"/>
    <s v="Y"/>
    <n v="66"/>
    <x v="0"/>
    <d v="1899-12-30T00:00:44"/>
    <n v="3"/>
  </r>
  <r>
    <x v="1427"/>
    <s v="Greg"/>
    <x v="25"/>
    <d v="1899-12-30T12:50:24"/>
    <d v="2021-01-26T12:50:24"/>
    <x v="4"/>
    <x v="3"/>
    <x v="1"/>
    <x v="0"/>
    <s v="Y"/>
    <n v="120"/>
    <x v="0"/>
    <d v="1899-12-30T00:04:21"/>
    <n v="5"/>
  </r>
  <r>
    <x v="1428"/>
    <s v="Stewart"/>
    <x v="25"/>
    <d v="1899-12-30T12:56:10"/>
    <d v="2021-01-26T12:56:10"/>
    <x v="4"/>
    <x v="3"/>
    <x v="4"/>
    <x v="0"/>
    <s v="Y"/>
    <n v="115"/>
    <x v="0"/>
    <d v="1899-12-30T00:02:27"/>
    <n v="3"/>
  </r>
  <r>
    <x v="1429"/>
    <s v="Stewart"/>
    <x v="25"/>
    <d v="1899-12-30T12:56:10"/>
    <d v="2021-01-26T12:56:10"/>
    <x v="4"/>
    <x v="3"/>
    <x v="2"/>
    <x v="0"/>
    <s v="Y"/>
    <n v="28"/>
    <x v="0"/>
    <d v="1899-12-30T00:04:37"/>
    <n v="4"/>
  </r>
  <r>
    <x v="1430"/>
    <s v="Dan"/>
    <x v="25"/>
    <d v="1899-12-30T13:04:48"/>
    <d v="2021-01-26T13:04:48"/>
    <x v="4"/>
    <x v="4"/>
    <x v="4"/>
    <x v="0"/>
    <s v="Y"/>
    <n v="57"/>
    <x v="0"/>
    <d v="1899-12-30T00:01:30"/>
    <n v="3"/>
  </r>
  <r>
    <x v="1431"/>
    <s v="Diane"/>
    <x v="25"/>
    <d v="1899-12-30T13:04:48"/>
    <d v="2021-01-26T13:04:48"/>
    <x v="4"/>
    <x v="4"/>
    <x v="4"/>
    <x v="0"/>
    <s v="Y"/>
    <n v="110"/>
    <x v="0"/>
    <d v="1899-12-30T00:05:17"/>
    <n v="2"/>
  </r>
  <r>
    <x v="1432"/>
    <s v="Dan"/>
    <x v="25"/>
    <d v="1899-12-30T13:04:48"/>
    <d v="2021-01-26T13:04:48"/>
    <x v="4"/>
    <x v="4"/>
    <x v="1"/>
    <x v="0"/>
    <s v="Y"/>
    <n v="103"/>
    <x v="0"/>
    <d v="1899-12-30T00:02:51"/>
    <n v="4"/>
  </r>
  <r>
    <x v="1433"/>
    <s v="Jim"/>
    <x v="25"/>
    <d v="1899-12-30T13:04:48"/>
    <d v="2021-01-26T13:04:48"/>
    <x v="4"/>
    <x v="4"/>
    <x v="1"/>
    <x v="0"/>
    <s v="Y"/>
    <n v="94"/>
    <x v="0"/>
    <d v="1899-12-30T00:06:12"/>
    <n v="5"/>
  </r>
  <r>
    <x v="1434"/>
    <s v="Jim"/>
    <x v="25"/>
    <d v="1899-12-30T14:08:10"/>
    <d v="2021-01-26T14:08:10"/>
    <x v="4"/>
    <x v="5"/>
    <x v="4"/>
    <x v="0"/>
    <s v="Y"/>
    <n v="61"/>
    <x v="0"/>
    <d v="1899-12-30T00:04:47"/>
    <n v="5"/>
  </r>
  <r>
    <x v="1435"/>
    <s v="Stewart"/>
    <x v="25"/>
    <d v="1899-12-30T14:08:10"/>
    <d v="2021-01-26T14:08:10"/>
    <x v="4"/>
    <x v="5"/>
    <x v="4"/>
    <x v="1"/>
    <s v="N"/>
    <m/>
    <x v="0"/>
    <m/>
    <m/>
  </r>
  <r>
    <x v="1436"/>
    <s v="Jim"/>
    <x v="25"/>
    <d v="1899-12-30T14:18:14"/>
    <d v="2021-01-26T14:18:14"/>
    <x v="4"/>
    <x v="5"/>
    <x v="4"/>
    <x v="0"/>
    <s v="Y"/>
    <n v="77"/>
    <x v="0"/>
    <d v="1899-12-30T00:04:26"/>
    <n v="2"/>
  </r>
  <r>
    <x v="1437"/>
    <s v="Greg"/>
    <x v="25"/>
    <d v="1899-12-30T14:18:14"/>
    <d v="2021-01-26T14:18:14"/>
    <x v="4"/>
    <x v="5"/>
    <x v="0"/>
    <x v="0"/>
    <s v="Y"/>
    <n v="56"/>
    <x v="0"/>
    <d v="1899-12-30T00:03:44"/>
    <n v="4"/>
  </r>
  <r>
    <x v="1438"/>
    <s v="Diane"/>
    <x v="25"/>
    <d v="1899-12-30T14:26:53"/>
    <d v="2021-01-26T14:26:53"/>
    <x v="4"/>
    <x v="5"/>
    <x v="3"/>
    <x v="0"/>
    <s v="Y"/>
    <n v="65"/>
    <x v="0"/>
    <d v="1899-12-30T00:06:42"/>
    <n v="5"/>
  </r>
  <r>
    <x v="1439"/>
    <s v="Becky"/>
    <x v="25"/>
    <d v="1899-12-30T14:26:53"/>
    <d v="2021-01-26T14:26:53"/>
    <x v="4"/>
    <x v="5"/>
    <x v="1"/>
    <x v="0"/>
    <s v="Y"/>
    <n v="99"/>
    <x v="0"/>
    <d v="1899-12-30T00:05:42"/>
    <n v="3"/>
  </r>
  <r>
    <x v="1440"/>
    <s v="Diane"/>
    <x v="25"/>
    <d v="1899-12-30T14:51:22"/>
    <d v="2021-01-26T14:51:22"/>
    <x v="4"/>
    <x v="5"/>
    <x v="3"/>
    <x v="0"/>
    <s v="Y"/>
    <n v="40"/>
    <x v="0"/>
    <d v="1899-12-30T00:04:48"/>
    <n v="3"/>
  </r>
  <r>
    <x v="1441"/>
    <s v="Stewart"/>
    <x v="25"/>
    <d v="1899-12-30T14:51:22"/>
    <d v="2021-01-26T14:51:22"/>
    <x v="4"/>
    <x v="5"/>
    <x v="2"/>
    <x v="0"/>
    <s v="Y"/>
    <n v="110"/>
    <x v="0"/>
    <d v="1899-12-30T00:05:20"/>
    <n v="3"/>
  </r>
  <r>
    <x v="1442"/>
    <s v="Diane"/>
    <x v="25"/>
    <d v="1899-12-30T15:15:50"/>
    <d v="2021-01-26T15:15:50"/>
    <x v="4"/>
    <x v="6"/>
    <x v="3"/>
    <x v="0"/>
    <s v="Y"/>
    <n v="109"/>
    <x v="0"/>
    <d v="1899-12-30T00:00:52"/>
    <n v="1"/>
  </r>
  <r>
    <x v="1443"/>
    <s v="Martha"/>
    <x v="25"/>
    <d v="1899-12-30T15:15:50"/>
    <d v="2021-01-26T15:15:50"/>
    <x v="4"/>
    <x v="6"/>
    <x v="0"/>
    <x v="0"/>
    <s v="Y"/>
    <n v="116"/>
    <x v="0"/>
    <d v="1899-12-30T00:05:08"/>
    <n v="3"/>
  </r>
  <r>
    <x v="1444"/>
    <s v="Martha"/>
    <x v="25"/>
    <d v="1899-12-30T15:21:36"/>
    <d v="2021-01-26T15:21:36"/>
    <x v="4"/>
    <x v="6"/>
    <x v="4"/>
    <x v="0"/>
    <s v="Y"/>
    <n v="82"/>
    <x v="0"/>
    <d v="1899-12-30T00:02:18"/>
    <n v="2"/>
  </r>
  <r>
    <x v="1445"/>
    <s v="Greg"/>
    <x v="25"/>
    <d v="1899-12-30T15:21:36"/>
    <d v="2021-01-26T15:21:36"/>
    <x v="4"/>
    <x v="6"/>
    <x v="0"/>
    <x v="0"/>
    <s v="Y"/>
    <n v="65"/>
    <x v="0"/>
    <d v="1899-12-30T00:02:29"/>
    <n v="4"/>
  </r>
  <r>
    <x v="1446"/>
    <s v="Dan"/>
    <x v="25"/>
    <d v="1899-12-30T15:25:55"/>
    <d v="2021-01-26T15:25:55"/>
    <x v="4"/>
    <x v="6"/>
    <x v="0"/>
    <x v="0"/>
    <s v="Y"/>
    <n v="24"/>
    <x v="0"/>
    <d v="1899-12-30T00:03:29"/>
    <n v="4"/>
  </r>
  <r>
    <x v="1447"/>
    <s v="Diane"/>
    <x v="25"/>
    <d v="1899-12-30T15:25:55"/>
    <d v="2021-01-26T15:25:55"/>
    <x v="4"/>
    <x v="6"/>
    <x v="2"/>
    <x v="0"/>
    <s v="Y"/>
    <n v="125"/>
    <x v="0"/>
    <d v="1899-12-30T00:01:22"/>
    <n v="5"/>
  </r>
  <r>
    <x v="1448"/>
    <s v="Greg"/>
    <x v="25"/>
    <d v="1899-12-30T15:28:48"/>
    <d v="2021-01-26T15:28:48"/>
    <x v="4"/>
    <x v="6"/>
    <x v="3"/>
    <x v="0"/>
    <s v="Y"/>
    <n v="87"/>
    <x v="0"/>
    <d v="1899-12-30T00:01:04"/>
    <n v="5"/>
  </r>
  <r>
    <x v="1449"/>
    <s v="Jim"/>
    <x v="25"/>
    <d v="1899-12-30T15:28:48"/>
    <d v="2021-01-26T15:28:48"/>
    <x v="4"/>
    <x v="6"/>
    <x v="4"/>
    <x v="0"/>
    <s v="Y"/>
    <n v="119"/>
    <x v="0"/>
    <d v="1899-12-30T00:00:43"/>
    <n v="4"/>
  </r>
  <r>
    <x v="1450"/>
    <s v="Diane"/>
    <x v="25"/>
    <d v="1899-12-30T15:30:14"/>
    <d v="2021-01-26T15:30:14"/>
    <x v="4"/>
    <x v="6"/>
    <x v="0"/>
    <x v="0"/>
    <s v="Y"/>
    <n v="94"/>
    <x v="0"/>
    <d v="1899-12-30T00:00:46"/>
    <n v="4"/>
  </r>
  <r>
    <x v="1451"/>
    <s v="Dan"/>
    <x v="25"/>
    <d v="1899-12-30T15:30:14"/>
    <d v="2021-01-26T15:30:14"/>
    <x v="4"/>
    <x v="6"/>
    <x v="2"/>
    <x v="1"/>
    <s v="N"/>
    <m/>
    <x v="0"/>
    <m/>
    <m/>
  </r>
  <r>
    <x v="1452"/>
    <s v="Dan"/>
    <x v="25"/>
    <d v="1899-12-30T15:37:26"/>
    <d v="2021-01-26T15:37:26"/>
    <x v="4"/>
    <x v="6"/>
    <x v="2"/>
    <x v="0"/>
    <s v="Y"/>
    <n v="19"/>
    <x v="1"/>
    <d v="1899-12-30T00:05:37"/>
    <n v="1"/>
  </r>
  <r>
    <x v="1453"/>
    <s v="Dan"/>
    <x v="25"/>
    <d v="1899-12-30T15:37:26"/>
    <d v="2021-01-26T15:37:26"/>
    <x v="4"/>
    <x v="6"/>
    <x v="0"/>
    <x v="0"/>
    <s v="Y"/>
    <n v="68"/>
    <x v="0"/>
    <d v="1899-12-30T00:02:44"/>
    <n v="3"/>
  </r>
  <r>
    <x v="1454"/>
    <s v="Joe"/>
    <x v="25"/>
    <d v="1899-12-30T16:00:29"/>
    <d v="2021-01-26T16:00:29"/>
    <x v="4"/>
    <x v="8"/>
    <x v="2"/>
    <x v="0"/>
    <s v="Y"/>
    <n v="36"/>
    <x v="0"/>
    <d v="1899-12-30T00:06:22"/>
    <n v="3"/>
  </r>
  <r>
    <x v="1455"/>
    <s v="Martha"/>
    <x v="25"/>
    <d v="1899-12-30T16:00:29"/>
    <d v="2021-01-26T16:00:29"/>
    <x v="4"/>
    <x v="8"/>
    <x v="2"/>
    <x v="0"/>
    <s v="Y"/>
    <n v="50"/>
    <x v="0"/>
    <d v="1899-12-30T00:01:06"/>
    <n v="4"/>
  </r>
  <r>
    <x v="1456"/>
    <s v="Becky"/>
    <x v="25"/>
    <d v="1899-12-30T16:06:14"/>
    <d v="2021-01-26T16:06:14"/>
    <x v="4"/>
    <x v="8"/>
    <x v="2"/>
    <x v="1"/>
    <s v="N"/>
    <m/>
    <x v="0"/>
    <m/>
    <m/>
  </r>
  <r>
    <x v="1457"/>
    <s v="Greg"/>
    <x v="25"/>
    <d v="1899-12-30T16:06:14"/>
    <d v="2021-01-26T16:06:14"/>
    <x v="4"/>
    <x v="8"/>
    <x v="0"/>
    <x v="0"/>
    <s v="Y"/>
    <n v="60"/>
    <x v="0"/>
    <d v="1899-12-30T00:02:14"/>
    <n v="3"/>
  </r>
  <r>
    <x v="1458"/>
    <s v="Becky"/>
    <x v="25"/>
    <d v="1899-12-30T17:18:14"/>
    <d v="2021-01-26T17:18:14"/>
    <x v="4"/>
    <x v="7"/>
    <x v="0"/>
    <x v="0"/>
    <s v="Y"/>
    <n v="38"/>
    <x v="0"/>
    <d v="1899-12-30T00:06:58"/>
    <n v="1"/>
  </r>
  <r>
    <x v="1459"/>
    <s v="Becky"/>
    <x v="25"/>
    <d v="1899-12-30T17:18:14"/>
    <d v="2021-01-26T17:18:14"/>
    <x v="4"/>
    <x v="7"/>
    <x v="0"/>
    <x v="0"/>
    <s v="Y"/>
    <n v="115"/>
    <x v="0"/>
    <d v="1899-12-30T00:06:15"/>
    <n v="3"/>
  </r>
  <r>
    <x v="1460"/>
    <s v="Dan"/>
    <x v="25"/>
    <d v="1899-12-30T17:52:48"/>
    <d v="2021-01-26T17:52:48"/>
    <x v="4"/>
    <x v="7"/>
    <x v="4"/>
    <x v="0"/>
    <s v="Y"/>
    <n v="82"/>
    <x v="0"/>
    <d v="1899-12-30T00:06:37"/>
    <n v="1"/>
  </r>
  <r>
    <x v="1461"/>
    <s v="Jim"/>
    <x v="25"/>
    <d v="1899-12-30T17:52:48"/>
    <d v="2021-01-26T17:52:48"/>
    <x v="4"/>
    <x v="7"/>
    <x v="1"/>
    <x v="0"/>
    <s v="Y"/>
    <n v="34"/>
    <x v="0"/>
    <d v="1899-12-30T00:04:18"/>
    <n v="2"/>
  </r>
  <r>
    <x v="1462"/>
    <s v="Diane"/>
    <x v="26"/>
    <d v="1899-12-30T09:10:05"/>
    <d v="2021-01-27T09:10:05"/>
    <x v="5"/>
    <x v="0"/>
    <x v="4"/>
    <x v="0"/>
    <s v="Y"/>
    <n v="95"/>
    <x v="0"/>
    <d v="1899-12-30T00:02:55"/>
    <n v="3"/>
  </r>
  <r>
    <x v="1463"/>
    <s v="Diane"/>
    <x v="26"/>
    <d v="1899-12-30T09:10:05"/>
    <d v="2021-01-27T09:10:05"/>
    <x v="5"/>
    <x v="0"/>
    <x v="0"/>
    <x v="0"/>
    <s v="Y"/>
    <n v="13"/>
    <x v="1"/>
    <d v="1899-12-30T00:03:14"/>
    <n v="5"/>
  </r>
  <r>
    <x v="1464"/>
    <s v="Becky"/>
    <x v="26"/>
    <d v="1899-12-30T09:38:53"/>
    <d v="2021-01-27T09:38:53"/>
    <x v="5"/>
    <x v="0"/>
    <x v="1"/>
    <x v="0"/>
    <s v="Y"/>
    <n v="22"/>
    <x v="0"/>
    <d v="1899-12-30T00:04:12"/>
    <n v="3"/>
  </r>
  <r>
    <x v="1465"/>
    <s v="Greg"/>
    <x v="26"/>
    <d v="1899-12-30T09:38:53"/>
    <d v="2021-01-27T09:38:53"/>
    <x v="5"/>
    <x v="0"/>
    <x v="4"/>
    <x v="1"/>
    <s v="N"/>
    <m/>
    <x v="0"/>
    <m/>
    <m/>
  </r>
  <r>
    <x v="1466"/>
    <s v="Martha"/>
    <x v="26"/>
    <d v="1899-12-30T09:41:46"/>
    <d v="2021-01-27T09:41:46"/>
    <x v="5"/>
    <x v="0"/>
    <x v="3"/>
    <x v="0"/>
    <s v="Y"/>
    <n v="86"/>
    <x v="0"/>
    <d v="1899-12-30T00:02:52"/>
    <n v="1"/>
  </r>
  <r>
    <x v="1467"/>
    <s v="Joe"/>
    <x v="26"/>
    <d v="1899-12-30T09:41:46"/>
    <d v="2021-01-27T09:41:46"/>
    <x v="5"/>
    <x v="0"/>
    <x v="0"/>
    <x v="0"/>
    <s v="Y"/>
    <n v="20"/>
    <x v="1"/>
    <d v="1899-12-30T00:04:23"/>
    <n v="4"/>
  </r>
  <r>
    <x v="1468"/>
    <s v="Greg"/>
    <x v="26"/>
    <d v="1899-12-30T09:54:43"/>
    <d v="2021-01-27T09:54:43"/>
    <x v="5"/>
    <x v="0"/>
    <x v="2"/>
    <x v="1"/>
    <s v="N"/>
    <m/>
    <x v="0"/>
    <m/>
    <m/>
  </r>
  <r>
    <x v="1469"/>
    <s v="Martha"/>
    <x v="26"/>
    <d v="1899-12-30T09:54:43"/>
    <d v="2021-01-27T09:54:43"/>
    <x v="5"/>
    <x v="0"/>
    <x v="0"/>
    <x v="0"/>
    <s v="Y"/>
    <n v="36"/>
    <x v="0"/>
    <d v="1899-12-30T00:04:21"/>
    <n v="4"/>
  </r>
  <r>
    <x v="1470"/>
    <s v="Martha"/>
    <x v="26"/>
    <d v="1899-12-30T09:57:36"/>
    <d v="2021-01-27T09:57:36"/>
    <x v="5"/>
    <x v="0"/>
    <x v="4"/>
    <x v="0"/>
    <s v="Y"/>
    <n v="118"/>
    <x v="0"/>
    <d v="1899-12-30T00:03:27"/>
    <n v="4"/>
  </r>
  <r>
    <x v="1471"/>
    <s v="Stewart"/>
    <x v="26"/>
    <d v="1899-12-30T09:57:36"/>
    <d v="2021-01-27T09:57:36"/>
    <x v="5"/>
    <x v="0"/>
    <x v="0"/>
    <x v="0"/>
    <s v="Y"/>
    <n v="40"/>
    <x v="0"/>
    <d v="1899-12-30T00:04:06"/>
    <n v="4"/>
  </r>
  <r>
    <x v="1472"/>
    <s v="Jim"/>
    <x v="26"/>
    <d v="1899-12-30T10:43:41"/>
    <d v="2021-01-27T10:43:41"/>
    <x v="5"/>
    <x v="1"/>
    <x v="0"/>
    <x v="0"/>
    <s v="Y"/>
    <n v="97"/>
    <x v="0"/>
    <d v="1899-12-30T00:06:37"/>
    <n v="4"/>
  </r>
  <r>
    <x v="1473"/>
    <s v="Martha"/>
    <x v="26"/>
    <d v="1899-12-30T10:43:41"/>
    <d v="2021-01-27T10:43:41"/>
    <x v="5"/>
    <x v="1"/>
    <x v="0"/>
    <x v="0"/>
    <s v="Y"/>
    <n v="75"/>
    <x v="0"/>
    <d v="1899-12-30T00:02:50"/>
    <n v="4"/>
  </r>
  <r>
    <x v="1474"/>
    <s v="Dan"/>
    <x v="26"/>
    <d v="1899-12-30T11:09:36"/>
    <d v="2021-01-27T11:09:36"/>
    <x v="5"/>
    <x v="2"/>
    <x v="1"/>
    <x v="0"/>
    <s v="Y"/>
    <n v="61"/>
    <x v="0"/>
    <d v="1899-12-30T00:02:39"/>
    <n v="3"/>
  </r>
  <r>
    <x v="1475"/>
    <s v="Dan"/>
    <x v="26"/>
    <d v="1899-12-30T11:09:36"/>
    <d v="2021-01-27T11:09:36"/>
    <x v="5"/>
    <x v="2"/>
    <x v="4"/>
    <x v="0"/>
    <s v="Y"/>
    <n v="125"/>
    <x v="0"/>
    <d v="1899-12-30T00:06:05"/>
    <n v="5"/>
  </r>
  <r>
    <x v="1476"/>
    <s v="Jim"/>
    <x v="26"/>
    <d v="1899-12-30T12:40:19"/>
    <d v="2021-01-27T12:40:19"/>
    <x v="5"/>
    <x v="3"/>
    <x v="0"/>
    <x v="1"/>
    <s v="N"/>
    <m/>
    <x v="0"/>
    <m/>
    <m/>
  </r>
  <r>
    <x v="1477"/>
    <s v="Dan"/>
    <x v="26"/>
    <d v="1899-12-30T12:40:19"/>
    <d v="2021-01-27T12:40:19"/>
    <x v="5"/>
    <x v="3"/>
    <x v="1"/>
    <x v="0"/>
    <s v="Y"/>
    <n v="33"/>
    <x v="0"/>
    <d v="1899-12-30T00:05:52"/>
    <n v="5"/>
  </r>
  <r>
    <x v="1478"/>
    <s v="Martha"/>
    <x v="26"/>
    <d v="1899-12-30T13:00:29"/>
    <d v="2021-01-27T13:00:29"/>
    <x v="5"/>
    <x v="4"/>
    <x v="1"/>
    <x v="1"/>
    <s v="N"/>
    <m/>
    <x v="0"/>
    <m/>
    <m/>
  </r>
  <r>
    <x v="1479"/>
    <s v="Martha"/>
    <x v="26"/>
    <d v="1899-12-30T13:00:29"/>
    <d v="2021-01-27T13:00:29"/>
    <x v="5"/>
    <x v="4"/>
    <x v="4"/>
    <x v="0"/>
    <s v="Y"/>
    <n v="50"/>
    <x v="0"/>
    <d v="1899-12-30T00:03:51"/>
    <n v="5"/>
  </r>
  <r>
    <x v="1480"/>
    <s v="Jim"/>
    <x v="26"/>
    <d v="1899-12-30T13:03:22"/>
    <d v="2021-01-27T13:03:22"/>
    <x v="5"/>
    <x v="4"/>
    <x v="3"/>
    <x v="0"/>
    <s v="Y"/>
    <n v="114"/>
    <x v="0"/>
    <d v="1899-12-30T00:04:21"/>
    <n v="3"/>
  </r>
  <r>
    <x v="1481"/>
    <s v="Jim"/>
    <x v="26"/>
    <d v="1899-12-30T13:03:22"/>
    <d v="2021-01-27T13:03:22"/>
    <x v="5"/>
    <x v="4"/>
    <x v="1"/>
    <x v="1"/>
    <s v="N"/>
    <m/>
    <x v="0"/>
    <m/>
    <m/>
  </r>
  <r>
    <x v="1482"/>
    <s v="Dan"/>
    <x v="26"/>
    <d v="1899-12-30T13:07:41"/>
    <d v="2021-01-27T13:07:41"/>
    <x v="5"/>
    <x v="4"/>
    <x v="4"/>
    <x v="0"/>
    <s v="Y"/>
    <n v="58"/>
    <x v="0"/>
    <d v="1899-12-30T00:02:01"/>
    <n v="4"/>
  </r>
  <r>
    <x v="1483"/>
    <s v="Diane"/>
    <x v="26"/>
    <d v="1899-12-30T13:07:41"/>
    <d v="2021-01-27T13:07:41"/>
    <x v="5"/>
    <x v="4"/>
    <x v="4"/>
    <x v="0"/>
    <s v="Y"/>
    <n v="86"/>
    <x v="0"/>
    <d v="1899-12-30T00:03:27"/>
    <n v="2"/>
  </r>
  <r>
    <x v="1484"/>
    <s v="Dan"/>
    <x v="26"/>
    <d v="1899-12-30T13:09:07"/>
    <d v="2021-01-27T13:09:07"/>
    <x v="5"/>
    <x v="4"/>
    <x v="4"/>
    <x v="0"/>
    <s v="Y"/>
    <n v="45"/>
    <x v="0"/>
    <d v="1899-12-30T00:03:53"/>
    <n v="5"/>
  </r>
  <r>
    <x v="1485"/>
    <s v="Dan"/>
    <x v="26"/>
    <d v="1899-12-30T13:09:07"/>
    <d v="2021-01-27T13:09:07"/>
    <x v="5"/>
    <x v="4"/>
    <x v="4"/>
    <x v="0"/>
    <s v="Y"/>
    <n v="84"/>
    <x v="0"/>
    <d v="1899-12-30T00:02:33"/>
    <n v="2"/>
  </r>
  <r>
    <x v="1486"/>
    <s v="Diane"/>
    <x v="26"/>
    <d v="1899-12-30T13:22:05"/>
    <d v="2021-01-27T13:22:05"/>
    <x v="5"/>
    <x v="4"/>
    <x v="0"/>
    <x v="0"/>
    <s v="Y"/>
    <n v="15"/>
    <x v="1"/>
    <d v="1899-12-30T00:06:54"/>
    <n v="2"/>
  </r>
  <r>
    <x v="1487"/>
    <s v="Stewart"/>
    <x v="26"/>
    <d v="1899-12-30T13:22:05"/>
    <d v="2021-01-27T13:22:05"/>
    <x v="5"/>
    <x v="4"/>
    <x v="3"/>
    <x v="0"/>
    <s v="Y"/>
    <n v="47"/>
    <x v="0"/>
    <d v="1899-12-30T00:04:07"/>
    <n v="2"/>
  </r>
  <r>
    <x v="1488"/>
    <s v="Dan"/>
    <x v="26"/>
    <d v="1899-12-30T13:27:50"/>
    <d v="2021-01-27T13:27:50"/>
    <x v="5"/>
    <x v="4"/>
    <x v="2"/>
    <x v="0"/>
    <s v="Y"/>
    <n v="27"/>
    <x v="0"/>
    <d v="1899-12-30T00:02:37"/>
    <n v="3"/>
  </r>
  <r>
    <x v="1489"/>
    <s v="Martha"/>
    <x v="26"/>
    <d v="1899-12-30T13:27:50"/>
    <d v="2021-01-27T13:27:50"/>
    <x v="5"/>
    <x v="4"/>
    <x v="3"/>
    <x v="0"/>
    <s v="Y"/>
    <n v="49"/>
    <x v="0"/>
    <d v="1899-12-30T00:01:24"/>
    <n v="4"/>
  </r>
  <r>
    <x v="1490"/>
    <s v="Joe"/>
    <x v="26"/>
    <d v="1899-12-30T13:52:19"/>
    <d v="2021-01-27T13:52:19"/>
    <x v="5"/>
    <x v="4"/>
    <x v="0"/>
    <x v="0"/>
    <s v="Y"/>
    <n v="50"/>
    <x v="0"/>
    <d v="1899-12-30T00:01:45"/>
    <n v="4"/>
  </r>
  <r>
    <x v="1491"/>
    <s v="Greg"/>
    <x v="26"/>
    <d v="1899-12-30T13:52:19"/>
    <d v="2021-01-27T13:52:19"/>
    <x v="5"/>
    <x v="4"/>
    <x v="4"/>
    <x v="0"/>
    <s v="Y"/>
    <n v="87"/>
    <x v="0"/>
    <d v="1899-12-30T00:05:01"/>
    <n v="2"/>
  </r>
  <r>
    <x v="1492"/>
    <s v="Jim"/>
    <x v="26"/>
    <d v="1899-12-30T14:45:36"/>
    <d v="2021-01-27T14:45:36"/>
    <x v="5"/>
    <x v="5"/>
    <x v="3"/>
    <x v="0"/>
    <s v="Y"/>
    <n v="87"/>
    <x v="0"/>
    <d v="1899-12-30T00:06:34"/>
    <n v="3"/>
  </r>
  <r>
    <x v="1493"/>
    <s v="Jim"/>
    <x v="26"/>
    <d v="1899-12-30T14:45:36"/>
    <d v="2021-01-27T14:45:36"/>
    <x v="5"/>
    <x v="5"/>
    <x v="2"/>
    <x v="0"/>
    <s v="Y"/>
    <n v="15"/>
    <x v="1"/>
    <d v="1899-12-30T00:05:58"/>
    <n v="3"/>
  </r>
  <r>
    <x v="1494"/>
    <s v="Dan"/>
    <x v="26"/>
    <d v="1899-12-30T14:54:14"/>
    <d v="2021-01-27T14:54:14"/>
    <x v="5"/>
    <x v="5"/>
    <x v="1"/>
    <x v="0"/>
    <s v="Y"/>
    <n v="123"/>
    <x v="0"/>
    <d v="1899-12-30T00:06:49"/>
    <n v="5"/>
  </r>
  <r>
    <x v="1495"/>
    <s v="Becky"/>
    <x v="26"/>
    <d v="1899-12-30T14:54:14"/>
    <d v="2021-01-27T14:54:14"/>
    <x v="5"/>
    <x v="5"/>
    <x v="2"/>
    <x v="0"/>
    <s v="Y"/>
    <n v="32"/>
    <x v="0"/>
    <d v="1899-12-30T00:04:42"/>
    <n v="3"/>
  </r>
  <r>
    <x v="1496"/>
    <s v="Stewart"/>
    <x v="26"/>
    <d v="1899-12-30T15:21:36"/>
    <d v="2021-01-27T15:21:36"/>
    <x v="5"/>
    <x v="6"/>
    <x v="2"/>
    <x v="0"/>
    <s v="Y"/>
    <n v="10"/>
    <x v="1"/>
    <d v="1899-12-30T00:01:25"/>
    <n v="5"/>
  </r>
  <r>
    <x v="1497"/>
    <s v="Dan"/>
    <x v="26"/>
    <d v="1899-12-30T15:21:36"/>
    <d v="2021-01-27T15:21:36"/>
    <x v="5"/>
    <x v="6"/>
    <x v="3"/>
    <x v="0"/>
    <s v="Y"/>
    <n v="19"/>
    <x v="1"/>
    <d v="1899-12-30T00:04:43"/>
    <n v="2"/>
  </r>
  <r>
    <x v="1498"/>
    <s v="Becky"/>
    <x v="26"/>
    <d v="1899-12-30T15:23:02"/>
    <d v="2021-01-27T15:23:02"/>
    <x v="5"/>
    <x v="6"/>
    <x v="3"/>
    <x v="0"/>
    <s v="Y"/>
    <n v="10"/>
    <x v="1"/>
    <d v="1899-12-30T00:06:04"/>
    <n v="5"/>
  </r>
  <r>
    <x v="1499"/>
    <s v="Diane"/>
    <x v="26"/>
    <d v="1899-12-30T15:23:02"/>
    <d v="2021-01-27T15:23:02"/>
    <x v="5"/>
    <x v="6"/>
    <x v="4"/>
    <x v="1"/>
    <s v="N"/>
    <m/>
    <x v="0"/>
    <m/>
    <m/>
  </r>
  <r>
    <x v="1500"/>
    <s v="Stewart"/>
    <x v="26"/>
    <d v="1899-12-30T15:40:19"/>
    <d v="2021-01-27T15:40:19"/>
    <x v="5"/>
    <x v="6"/>
    <x v="4"/>
    <x v="0"/>
    <s v="Y"/>
    <n v="112"/>
    <x v="0"/>
    <d v="1899-12-30T00:02:43"/>
    <n v="4"/>
  </r>
  <r>
    <x v="1501"/>
    <s v="Becky"/>
    <x v="26"/>
    <d v="1899-12-30T15:40:19"/>
    <d v="2021-01-27T15:40:19"/>
    <x v="5"/>
    <x v="6"/>
    <x v="0"/>
    <x v="0"/>
    <s v="N"/>
    <n v="10"/>
    <x v="1"/>
    <d v="1899-12-30T00:03:42"/>
    <n v="4"/>
  </r>
  <r>
    <x v="1502"/>
    <s v="Jim"/>
    <x v="26"/>
    <d v="1899-12-30T16:00:29"/>
    <d v="2021-01-27T16:00:29"/>
    <x v="5"/>
    <x v="8"/>
    <x v="3"/>
    <x v="0"/>
    <s v="Y"/>
    <n v="26"/>
    <x v="0"/>
    <d v="1899-12-30T00:01:56"/>
    <n v="2"/>
  </r>
  <r>
    <x v="1503"/>
    <s v="Martha"/>
    <x v="26"/>
    <d v="1899-12-30T16:00:29"/>
    <d v="2021-01-27T16:00:29"/>
    <x v="5"/>
    <x v="8"/>
    <x v="3"/>
    <x v="0"/>
    <s v="Y"/>
    <n v="96"/>
    <x v="0"/>
    <d v="1899-12-30T00:06:29"/>
    <n v="4"/>
  </r>
  <r>
    <x v="1504"/>
    <s v="Dan"/>
    <x v="26"/>
    <d v="1899-12-30T16:01:55"/>
    <d v="2021-01-27T16:01:55"/>
    <x v="5"/>
    <x v="8"/>
    <x v="2"/>
    <x v="0"/>
    <s v="Y"/>
    <n v="99"/>
    <x v="0"/>
    <d v="1899-12-30T00:04:22"/>
    <n v="3"/>
  </r>
  <r>
    <x v="1505"/>
    <s v="Greg"/>
    <x v="26"/>
    <d v="1899-12-30T16:01:55"/>
    <d v="2021-01-27T16:01:55"/>
    <x v="5"/>
    <x v="8"/>
    <x v="1"/>
    <x v="1"/>
    <s v="N"/>
    <m/>
    <x v="0"/>
    <m/>
    <m/>
  </r>
  <r>
    <x v="1506"/>
    <s v="Jim"/>
    <x v="26"/>
    <d v="1899-12-30T16:10:34"/>
    <d v="2021-01-27T16:10:34"/>
    <x v="5"/>
    <x v="8"/>
    <x v="3"/>
    <x v="0"/>
    <s v="Y"/>
    <n v="77"/>
    <x v="0"/>
    <d v="1899-12-30T00:03:15"/>
    <n v="5"/>
  </r>
  <r>
    <x v="1507"/>
    <s v="Joe"/>
    <x v="26"/>
    <d v="1899-12-30T16:10:34"/>
    <d v="2021-01-27T16:10:34"/>
    <x v="5"/>
    <x v="8"/>
    <x v="3"/>
    <x v="0"/>
    <s v="Y"/>
    <n v="16"/>
    <x v="1"/>
    <d v="1899-12-30T00:05:21"/>
    <n v="4"/>
  </r>
  <r>
    <x v="1508"/>
    <s v="Martha"/>
    <x v="26"/>
    <d v="1899-12-30T16:58:05"/>
    <d v="2021-01-27T16:58:05"/>
    <x v="5"/>
    <x v="8"/>
    <x v="0"/>
    <x v="0"/>
    <s v="Y"/>
    <n v="100"/>
    <x v="0"/>
    <d v="1899-12-30T00:02:43"/>
    <n v="4"/>
  </r>
  <r>
    <x v="1509"/>
    <s v="Jim"/>
    <x v="26"/>
    <d v="1899-12-30T16:58:05"/>
    <d v="2021-01-27T16:58:05"/>
    <x v="5"/>
    <x v="8"/>
    <x v="0"/>
    <x v="0"/>
    <s v="Y"/>
    <n v="27"/>
    <x v="0"/>
    <d v="1899-12-30T00:05:09"/>
    <n v="3"/>
  </r>
  <r>
    <x v="1510"/>
    <s v="Becky"/>
    <x v="26"/>
    <d v="1899-12-30T17:00:58"/>
    <d v="2021-01-27T17:00:58"/>
    <x v="5"/>
    <x v="7"/>
    <x v="2"/>
    <x v="0"/>
    <s v="Y"/>
    <n v="31"/>
    <x v="0"/>
    <d v="1899-12-30T00:04:27"/>
    <n v="1"/>
  </r>
  <r>
    <x v="1511"/>
    <s v="Joe"/>
    <x v="26"/>
    <d v="1899-12-30T17:00:58"/>
    <d v="2021-01-27T17:00:58"/>
    <x v="5"/>
    <x v="7"/>
    <x v="0"/>
    <x v="0"/>
    <s v="Y"/>
    <n v="33"/>
    <x v="0"/>
    <d v="1899-12-30T00:06:32"/>
    <n v="2"/>
  </r>
  <r>
    <x v="1512"/>
    <s v="Jim"/>
    <x v="26"/>
    <d v="1899-12-30T17:12:29"/>
    <d v="2021-01-27T17:12:29"/>
    <x v="5"/>
    <x v="7"/>
    <x v="4"/>
    <x v="0"/>
    <s v="Y"/>
    <n v="107"/>
    <x v="0"/>
    <d v="1899-12-30T00:03:07"/>
    <n v="4"/>
  </r>
  <r>
    <x v="1513"/>
    <s v="Dan"/>
    <x v="26"/>
    <d v="1899-12-30T17:12:29"/>
    <d v="2021-01-27T17:12:29"/>
    <x v="5"/>
    <x v="7"/>
    <x v="2"/>
    <x v="0"/>
    <s v="Y"/>
    <n v="77"/>
    <x v="0"/>
    <d v="1899-12-30T00:06:04"/>
    <n v="3"/>
  </r>
  <r>
    <x v="1514"/>
    <s v="Jim"/>
    <x v="26"/>
    <d v="1899-12-30T17:18:14"/>
    <d v="2021-01-27T17:18:14"/>
    <x v="5"/>
    <x v="7"/>
    <x v="4"/>
    <x v="0"/>
    <s v="Y"/>
    <n v="28"/>
    <x v="0"/>
    <d v="1899-12-30T00:03:04"/>
    <n v="5"/>
  </r>
  <r>
    <x v="1515"/>
    <s v="Greg"/>
    <x v="26"/>
    <d v="1899-12-30T17:18:14"/>
    <d v="2021-01-27T17:18:14"/>
    <x v="5"/>
    <x v="7"/>
    <x v="0"/>
    <x v="1"/>
    <s v="N"/>
    <m/>
    <x v="0"/>
    <m/>
    <m/>
  </r>
  <r>
    <x v="1516"/>
    <s v="Jim"/>
    <x v="26"/>
    <d v="1899-12-30T17:42:43"/>
    <d v="2021-01-27T17:42:43"/>
    <x v="5"/>
    <x v="7"/>
    <x v="0"/>
    <x v="0"/>
    <s v="Y"/>
    <n v="93"/>
    <x v="0"/>
    <d v="1899-12-30T00:00:56"/>
    <n v="4"/>
  </r>
  <r>
    <x v="1517"/>
    <s v="Martha"/>
    <x v="26"/>
    <d v="1899-12-30T17:42:43"/>
    <d v="2021-01-27T17:42:43"/>
    <x v="5"/>
    <x v="7"/>
    <x v="1"/>
    <x v="1"/>
    <s v="N"/>
    <m/>
    <x v="0"/>
    <m/>
    <m/>
  </r>
  <r>
    <x v="1518"/>
    <s v="Jim"/>
    <x v="27"/>
    <d v="1899-12-30T09:04:19"/>
    <d v="2021-01-28T09:04:19"/>
    <x v="6"/>
    <x v="0"/>
    <x v="4"/>
    <x v="0"/>
    <s v="Y"/>
    <n v="46"/>
    <x v="0"/>
    <d v="1899-12-30T00:04:27"/>
    <n v="5"/>
  </r>
  <r>
    <x v="1519"/>
    <s v="Joe"/>
    <x v="27"/>
    <d v="1899-12-30T09:04:19"/>
    <d v="2021-01-28T09:04:19"/>
    <x v="6"/>
    <x v="0"/>
    <x v="4"/>
    <x v="0"/>
    <s v="Y"/>
    <n v="14"/>
    <x v="1"/>
    <d v="1899-12-30T00:05:41"/>
    <n v="3"/>
  </r>
  <r>
    <x v="1520"/>
    <s v="Greg"/>
    <x v="27"/>
    <d v="1899-12-30T09:11:31"/>
    <d v="2021-01-28T09:11:31"/>
    <x v="6"/>
    <x v="0"/>
    <x v="3"/>
    <x v="0"/>
    <s v="Y"/>
    <n v="58"/>
    <x v="0"/>
    <d v="1899-12-30T00:04:57"/>
    <n v="3"/>
  </r>
  <r>
    <x v="1521"/>
    <s v="Martha"/>
    <x v="27"/>
    <d v="1899-12-30T09:11:31"/>
    <d v="2021-01-28T09:11:31"/>
    <x v="6"/>
    <x v="0"/>
    <x v="2"/>
    <x v="0"/>
    <s v="Y"/>
    <n v="61"/>
    <x v="0"/>
    <d v="1899-12-30T00:05:16"/>
    <n v="3"/>
  </r>
  <r>
    <x v="1522"/>
    <s v="Martha"/>
    <x v="27"/>
    <d v="1899-12-30T09:12:58"/>
    <d v="2021-01-28T09:12:58"/>
    <x v="6"/>
    <x v="0"/>
    <x v="2"/>
    <x v="0"/>
    <s v="Y"/>
    <n v="38"/>
    <x v="0"/>
    <d v="1899-12-30T00:06:24"/>
    <n v="4"/>
  </r>
  <r>
    <x v="1523"/>
    <s v="Martha"/>
    <x v="27"/>
    <d v="1899-12-30T09:12:58"/>
    <d v="2021-01-28T09:12:58"/>
    <x v="6"/>
    <x v="0"/>
    <x v="2"/>
    <x v="0"/>
    <s v="Y"/>
    <n v="39"/>
    <x v="0"/>
    <d v="1899-12-30T00:05:36"/>
    <n v="3"/>
  </r>
  <r>
    <x v="1524"/>
    <s v="Stewart"/>
    <x v="27"/>
    <d v="1899-12-30T09:46:05"/>
    <d v="2021-01-28T09:46:05"/>
    <x v="6"/>
    <x v="0"/>
    <x v="1"/>
    <x v="0"/>
    <s v="Y"/>
    <n v="87"/>
    <x v="0"/>
    <d v="1899-12-30T00:01:34"/>
    <n v="4"/>
  </r>
  <r>
    <x v="1525"/>
    <s v="Stewart"/>
    <x v="27"/>
    <d v="1899-12-30T09:46:05"/>
    <d v="2021-01-28T09:46:05"/>
    <x v="6"/>
    <x v="0"/>
    <x v="1"/>
    <x v="0"/>
    <s v="Y"/>
    <n v="26"/>
    <x v="0"/>
    <d v="1899-12-30T00:01:55"/>
    <n v="2"/>
  </r>
  <r>
    <x v="1526"/>
    <s v="Greg"/>
    <x v="27"/>
    <d v="1899-12-30T10:04:48"/>
    <d v="2021-01-28T10:04:48"/>
    <x v="6"/>
    <x v="1"/>
    <x v="1"/>
    <x v="0"/>
    <s v="N"/>
    <n v="120"/>
    <x v="0"/>
    <d v="1899-12-30T00:01:27"/>
    <n v="4"/>
  </r>
  <r>
    <x v="1527"/>
    <s v="Dan"/>
    <x v="27"/>
    <d v="1899-12-30T10:04:48"/>
    <d v="2021-01-28T10:04:48"/>
    <x v="6"/>
    <x v="1"/>
    <x v="2"/>
    <x v="0"/>
    <s v="Y"/>
    <n v="123"/>
    <x v="0"/>
    <d v="1899-12-30T00:01:57"/>
    <n v="4"/>
  </r>
  <r>
    <x v="1528"/>
    <s v="Diane"/>
    <x v="27"/>
    <d v="1899-12-30T10:40:48"/>
    <d v="2021-01-28T10:40:48"/>
    <x v="6"/>
    <x v="1"/>
    <x v="0"/>
    <x v="0"/>
    <s v="Y"/>
    <n v="48"/>
    <x v="0"/>
    <d v="1899-12-30T00:01:31"/>
    <n v="3"/>
  </r>
  <r>
    <x v="1529"/>
    <s v="Diane"/>
    <x v="27"/>
    <d v="1899-12-30T10:40:48"/>
    <d v="2021-01-28T10:40:48"/>
    <x v="6"/>
    <x v="1"/>
    <x v="4"/>
    <x v="0"/>
    <s v="N"/>
    <n v="58"/>
    <x v="0"/>
    <d v="1899-12-30T00:02:35"/>
    <n v="1"/>
  </r>
  <r>
    <x v="1530"/>
    <s v="Martha"/>
    <x v="27"/>
    <d v="1899-12-30T10:52:19"/>
    <d v="2021-01-28T10:52:19"/>
    <x v="6"/>
    <x v="1"/>
    <x v="0"/>
    <x v="0"/>
    <s v="Y"/>
    <n v="90"/>
    <x v="0"/>
    <d v="1899-12-30T00:04:45"/>
    <n v="3"/>
  </r>
  <r>
    <x v="1531"/>
    <s v="Dan"/>
    <x v="27"/>
    <d v="1899-12-30T10:52:19"/>
    <d v="2021-01-28T10:52:19"/>
    <x v="6"/>
    <x v="1"/>
    <x v="2"/>
    <x v="0"/>
    <s v="Y"/>
    <n v="104"/>
    <x v="0"/>
    <d v="1899-12-30T00:06:11"/>
    <n v="5"/>
  </r>
  <r>
    <x v="1532"/>
    <s v="Stewart"/>
    <x v="27"/>
    <d v="1899-12-30T11:06:43"/>
    <d v="2021-01-28T11:06:43"/>
    <x v="6"/>
    <x v="2"/>
    <x v="4"/>
    <x v="0"/>
    <s v="Y"/>
    <n v="41"/>
    <x v="0"/>
    <d v="1899-12-30T00:03:08"/>
    <n v="4"/>
  </r>
  <r>
    <x v="1533"/>
    <s v="Greg"/>
    <x v="27"/>
    <d v="1899-12-30T11:06:43"/>
    <d v="2021-01-28T11:06:43"/>
    <x v="6"/>
    <x v="2"/>
    <x v="1"/>
    <x v="0"/>
    <s v="Y"/>
    <n v="26"/>
    <x v="0"/>
    <d v="1899-12-30T00:01:47"/>
    <n v="5"/>
  </r>
  <r>
    <x v="1534"/>
    <s v="Becky"/>
    <x v="27"/>
    <d v="1899-12-30T11:21:07"/>
    <d v="2021-01-28T11:21:07"/>
    <x v="6"/>
    <x v="2"/>
    <x v="2"/>
    <x v="0"/>
    <s v="Y"/>
    <n v="66"/>
    <x v="0"/>
    <d v="1899-12-30T00:05:44"/>
    <n v="4"/>
  </r>
  <r>
    <x v="1535"/>
    <s v="Becky"/>
    <x v="27"/>
    <d v="1899-12-30T11:21:07"/>
    <d v="2021-01-28T11:21:07"/>
    <x v="6"/>
    <x v="2"/>
    <x v="3"/>
    <x v="0"/>
    <s v="Y"/>
    <n v="65"/>
    <x v="0"/>
    <d v="1899-12-30T00:01:51"/>
    <n v="5"/>
  </r>
  <r>
    <x v="1536"/>
    <s v="Becky"/>
    <x v="27"/>
    <d v="1899-12-30T11:29:46"/>
    <d v="2021-01-28T11:29:46"/>
    <x v="6"/>
    <x v="2"/>
    <x v="3"/>
    <x v="0"/>
    <s v="Y"/>
    <n v="22"/>
    <x v="0"/>
    <d v="1899-12-30T00:05:02"/>
    <n v="3"/>
  </r>
  <r>
    <x v="1537"/>
    <s v="Joe"/>
    <x v="27"/>
    <d v="1899-12-30T11:29:46"/>
    <d v="2021-01-28T11:29:46"/>
    <x v="6"/>
    <x v="2"/>
    <x v="4"/>
    <x v="0"/>
    <s v="N"/>
    <n v="96"/>
    <x v="0"/>
    <d v="1899-12-30T00:03:54"/>
    <n v="1"/>
  </r>
  <r>
    <x v="1538"/>
    <s v="Diane"/>
    <x v="27"/>
    <d v="1899-12-30T11:54:14"/>
    <d v="2021-01-28T11:54:14"/>
    <x v="6"/>
    <x v="2"/>
    <x v="1"/>
    <x v="0"/>
    <s v="Y"/>
    <n v="101"/>
    <x v="0"/>
    <d v="1899-12-30T00:04:45"/>
    <n v="4"/>
  </r>
  <r>
    <x v="1539"/>
    <s v="Becky"/>
    <x v="27"/>
    <d v="1899-12-30T11:54:14"/>
    <d v="2021-01-28T11:54:14"/>
    <x v="6"/>
    <x v="2"/>
    <x v="3"/>
    <x v="0"/>
    <s v="Y"/>
    <n v="124"/>
    <x v="0"/>
    <d v="1899-12-30T00:01:38"/>
    <n v="4"/>
  </r>
  <r>
    <x v="1540"/>
    <s v="Dan"/>
    <x v="27"/>
    <d v="1899-12-30T11:55:41"/>
    <d v="2021-01-28T11:55:41"/>
    <x v="6"/>
    <x v="2"/>
    <x v="0"/>
    <x v="0"/>
    <s v="Y"/>
    <n v="28"/>
    <x v="0"/>
    <d v="1899-12-30T00:05:25"/>
    <n v="3"/>
  </r>
  <r>
    <x v="1541"/>
    <s v="Becky"/>
    <x v="27"/>
    <d v="1899-12-30T11:55:41"/>
    <d v="2021-01-28T11:55:41"/>
    <x v="6"/>
    <x v="2"/>
    <x v="0"/>
    <x v="0"/>
    <s v="Y"/>
    <n v="90"/>
    <x v="0"/>
    <d v="1899-12-30T00:03:49"/>
    <n v="3"/>
  </r>
  <r>
    <x v="1542"/>
    <s v="Martha"/>
    <x v="27"/>
    <d v="1899-12-30T12:46:05"/>
    <d v="2021-01-28T12:46:05"/>
    <x v="6"/>
    <x v="3"/>
    <x v="0"/>
    <x v="0"/>
    <s v="Y"/>
    <n v="111"/>
    <x v="0"/>
    <d v="1899-12-30T00:03:55"/>
    <n v="5"/>
  </r>
  <r>
    <x v="1543"/>
    <s v="Becky"/>
    <x v="27"/>
    <d v="1899-12-30T12:46:05"/>
    <d v="2021-01-28T12:46:05"/>
    <x v="6"/>
    <x v="3"/>
    <x v="4"/>
    <x v="0"/>
    <s v="Y"/>
    <n v="123"/>
    <x v="0"/>
    <d v="1899-12-30T00:00:41"/>
    <n v="4"/>
  </r>
  <r>
    <x v="1544"/>
    <s v="Jim"/>
    <x v="27"/>
    <d v="1899-12-30T13:00:29"/>
    <d v="2021-01-28T13:00:29"/>
    <x v="6"/>
    <x v="4"/>
    <x v="0"/>
    <x v="1"/>
    <s v="N"/>
    <m/>
    <x v="0"/>
    <m/>
    <m/>
  </r>
  <r>
    <x v="1545"/>
    <s v="Dan"/>
    <x v="27"/>
    <d v="1899-12-30T13:00:29"/>
    <d v="2021-01-28T13:00:29"/>
    <x v="6"/>
    <x v="4"/>
    <x v="4"/>
    <x v="0"/>
    <s v="Y"/>
    <n v="101"/>
    <x v="0"/>
    <d v="1899-12-30T00:05:22"/>
    <n v="4"/>
  </r>
  <r>
    <x v="1546"/>
    <s v="Joe"/>
    <x v="27"/>
    <d v="1899-12-30T13:17:46"/>
    <d v="2021-01-28T13:17:46"/>
    <x v="6"/>
    <x v="4"/>
    <x v="3"/>
    <x v="0"/>
    <s v="Y"/>
    <n v="44"/>
    <x v="0"/>
    <d v="1899-12-30T00:02:09"/>
    <n v="5"/>
  </r>
  <r>
    <x v="1547"/>
    <s v="Stewart"/>
    <x v="27"/>
    <d v="1899-12-30T13:17:46"/>
    <d v="2021-01-28T13:17:46"/>
    <x v="6"/>
    <x v="4"/>
    <x v="4"/>
    <x v="0"/>
    <s v="Y"/>
    <n v="10"/>
    <x v="1"/>
    <d v="1899-12-30T00:01:51"/>
    <n v="3"/>
  </r>
  <r>
    <x v="1548"/>
    <s v="Diane"/>
    <x v="27"/>
    <d v="1899-12-30T13:19:12"/>
    <d v="2021-01-28T13:19:12"/>
    <x v="6"/>
    <x v="4"/>
    <x v="4"/>
    <x v="0"/>
    <s v="Y"/>
    <n v="45"/>
    <x v="0"/>
    <d v="1899-12-30T00:03:26"/>
    <n v="1"/>
  </r>
  <r>
    <x v="1549"/>
    <s v="Stewart"/>
    <x v="27"/>
    <d v="1899-12-30T13:19:12"/>
    <d v="2021-01-28T13:19:12"/>
    <x v="6"/>
    <x v="4"/>
    <x v="1"/>
    <x v="0"/>
    <s v="Y"/>
    <n v="24"/>
    <x v="0"/>
    <d v="1899-12-30T00:02:16"/>
    <n v="4"/>
  </r>
  <r>
    <x v="1550"/>
    <s v="Joe"/>
    <x v="27"/>
    <d v="1899-12-30T14:18:14"/>
    <d v="2021-01-28T14:18:14"/>
    <x v="6"/>
    <x v="5"/>
    <x v="2"/>
    <x v="0"/>
    <s v="Y"/>
    <n v="70"/>
    <x v="0"/>
    <d v="1899-12-30T00:05:53"/>
    <n v="1"/>
  </r>
  <r>
    <x v="1551"/>
    <s v="Martha"/>
    <x v="27"/>
    <d v="1899-12-30T14:18:14"/>
    <d v="2021-01-28T14:18:14"/>
    <x v="6"/>
    <x v="5"/>
    <x v="4"/>
    <x v="0"/>
    <s v="Y"/>
    <n v="101"/>
    <x v="0"/>
    <d v="1899-12-30T00:05:52"/>
    <n v="5"/>
  </r>
  <r>
    <x v="1552"/>
    <s v="Dan"/>
    <x v="27"/>
    <d v="1899-12-30T14:19:41"/>
    <d v="2021-01-28T14:19:41"/>
    <x v="6"/>
    <x v="5"/>
    <x v="4"/>
    <x v="0"/>
    <s v="Y"/>
    <n v="23"/>
    <x v="0"/>
    <d v="1899-12-30T00:03:16"/>
    <n v="3"/>
  </r>
  <r>
    <x v="1553"/>
    <s v="Joe"/>
    <x v="27"/>
    <d v="1899-12-30T14:19:41"/>
    <d v="2021-01-28T14:19:41"/>
    <x v="6"/>
    <x v="5"/>
    <x v="0"/>
    <x v="0"/>
    <s v="N"/>
    <n v="86"/>
    <x v="0"/>
    <d v="1899-12-30T00:03:51"/>
    <n v="3"/>
  </r>
  <r>
    <x v="1554"/>
    <s v="Dan"/>
    <x v="27"/>
    <d v="1899-12-30T14:32:38"/>
    <d v="2021-01-28T14:32:38"/>
    <x v="6"/>
    <x v="5"/>
    <x v="3"/>
    <x v="0"/>
    <s v="Y"/>
    <n v="25"/>
    <x v="0"/>
    <d v="1899-12-30T00:02:15"/>
    <n v="2"/>
  </r>
  <r>
    <x v="1555"/>
    <s v="Jim"/>
    <x v="27"/>
    <d v="1899-12-30T14:32:38"/>
    <d v="2021-01-28T14:32:38"/>
    <x v="6"/>
    <x v="5"/>
    <x v="3"/>
    <x v="0"/>
    <s v="Y"/>
    <n v="46"/>
    <x v="0"/>
    <d v="1899-12-30T00:02:57"/>
    <n v="4"/>
  </r>
  <r>
    <x v="1556"/>
    <s v="Diane"/>
    <x v="27"/>
    <d v="1899-12-30T14:57:07"/>
    <d v="2021-01-28T14:57:07"/>
    <x v="6"/>
    <x v="5"/>
    <x v="4"/>
    <x v="0"/>
    <s v="Y"/>
    <n v="45"/>
    <x v="0"/>
    <d v="1899-12-30T00:03:52"/>
    <n v="4"/>
  </r>
  <r>
    <x v="1557"/>
    <s v="Becky"/>
    <x v="27"/>
    <d v="1899-12-30T14:57:07"/>
    <d v="2021-01-28T14:57:07"/>
    <x v="6"/>
    <x v="5"/>
    <x v="1"/>
    <x v="1"/>
    <s v="N"/>
    <m/>
    <x v="0"/>
    <m/>
    <m/>
  </r>
  <r>
    <x v="1558"/>
    <s v="Greg"/>
    <x v="27"/>
    <d v="1899-12-30T15:53:17"/>
    <d v="2021-01-28T15:53:17"/>
    <x v="6"/>
    <x v="6"/>
    <x v="1"/>
    <x v="0"/>
    <s v="Y"/>
    <n v="93"/>
    <x v="0"/>
    <d v="1899-12-30T00:06:31"/>
    <n v="3"/>
  </r>
  <r>
    <x v="1559"/>
    <s v="Joe"/>
    <x v="27"/>
    <d v="1899-12-30T15:53:17"/>
    <d v="2021-01-28T15:53:17"/>
    <x v="6"/>
    <x v="6"/>
    <x v="2"/>
    <x v="0"/>
    <s v="Y"/>
    <n v="61"/>
    <x v="0"/>
    <d v="1899-12-30T00:02:01"/>
    <n v="1"/>
  </r>
  <r>
    <x v="1560"/>
    <s v="Diane"/>
    <x v="27"/>
    <d v="1899-12-30T16:13:26"/>
    <d v="2021-01-28T16:13:26"/>
    <x v="6"/>
    <x v="8"/>
    <x v="4"/>
    <x v="1"/>
    <s v="N"/>
    <m/>
    <x v="0"/>
    <m/>
    <m/>
  </r>
  <r>
    <x v="1561"/>
    <s v="Jim"/>
    <x v="27"/>
    <d v="1899-12-30T16:13:26"/>
    <d v="2021-01-28T16:13:26"/>
    <x v="6"/>
    <x v="8"/>
    <x v="4"/>
    <x v="0"/>
    <s v="Y"/>
    <n v="66"/>
    <x v="0"/>
    <d v="1899-12-30T00:02:36"/>
    <n v="3"/>
  </r>
  <r>
    <x v="1562"/>
    <s v="Greg"/>
    <x v="27"/>
    <d v="1899-12-30T16:19:12"/>
    <d v="2021-01-28T16:19:12"/>
    <x v="6"/>
    <x v="8"/>
    <x v="0"/>
    <x v="0"/>
    <s v="Y"/>
    <n v="29"/>
    <x v="0"/>
    <d v="1899-12-30T00:04:35"/>
    <n v="3"/>
  </r>
  <r>
    <x v="1563"/>
    <s v="Greg"/>
    <x v="27"/>
    <d v="1899-12-30T16:19:12"/>
    <d v="2021-01-28T16:19:12"/>
    <x v="6"/>
    <x v="8"/>
    <x v="3"/>
    <x v="0"/>
    <s v="Y"/>
    <n v="67"/>
    <x v="0"/>
    <d v="1899-12-30T00:06:42"/>
    <n v="2"/>
  </r>
  <r>
    <x v="1564"/>
    <s v="Dan"/>
    <x v="27"/>
    <d v="1899-12-30T16:40:48"/>
    <d v="2021-01-28T16:40:48"/>
    <x v="6"/>
    <x v="8"/>
    <x v="0"/>
    <x v="0"/>
    <s v="Y"/>
    <n v="94"/>
    <x v="0"/>
    <d v="1899-12-30T00:01:43"/>
    <n v="4"/>
  </r>
  <r>
    <x v="1565"/>
    <s v="Joe"/>
    <x v="27"/>
    <d v="1899-12-30T16:40:48"/>
    <d v="2021-01-28T16:40:48"/>
    <x v="6"/>
    <x v="8"/>
    <x v="4"/>
    <x v="0"/>
    <s v="N"/>
    <n v="80"/>
    <x v="0"/>
    <d v="1899-12-30T00:05:00"/>
    <n v="4"/>
  </r>
  <r>
    <x v="1566"/>
    <s v="Dan"/>
    <x v="27"/>
    <d v="1899-12-30T17:03:50"/>
    <d v="2021-01-28T17:03:50"/>
    <x v="6"/>
    <x v="7"/>
    <x v="2"/>
    <x v="0"/>
    <s v="Y"/>
    <n v="27"/>
    <x v="0"/>
    <d v="1899-12-30T00:03:16"/>
    <n v="4"/>
  </r>
  <r>
    <x v="1567"/>
    <s v="Dan"/>
    <x v="27"/>
    <d v="1899-12-30T17:03:50"/>
    <d v="2021-01-28T17:03:50"/>
    <x v="6"/>
    <x v="7"/>
    <x v="4"/>
    <x v="0"/>
    <s v="Y"/>
    <n v="41"/>
    <x v="0"/>
    <d v="1899-12-30T00:03:17"/>
    <n v="4"/>
  </r>
  <r>
    <x v="1568"/>
    <s v="Martha"/>
    <x v="27"/>
    <d v="1899-12-30T17:16:48"/>
    <d v="2021-01-28T17:16:48"/>
    <x v="6"/>
    <x v="7"/>
    <x v="1"/>
    <x v="0"/>
    <s v="Y"/>
    <n v="84"/>
    <x v="0"/>
    <d v="1899-12-30T00:04:17"/>
    <n v="4"/>
  </r>
  <r>
    <x v="1569"/>
    <s v="Greg"/>
    <x v="27"/>
    <d v="1899-12-30T17:16:48"/>
    <d v="2021-01-28T17:16:48"/>
    <x v="6"/>
    <x v="7"/>
    <x v="0"/>
    <x v="0"/>
    <s v="Y"/>
    <n v="121"/>
    <x v="0"/>
    <d v="1899-12-30T00:01:57"/>
    <n v="4"/>
  </r>
  <r>
    <x v="1570"/>
    <s v="Diane"/>
    <x v="27"/>
    <d v="1899-12-30T17:52:48"/>
    <d v="2021-01-28T17:52:48"/>
    <x v="6"/>
    <x v="7"/>
    <x v="2"/>
    <x v="0"/>
    <s v="Y"/>
    <n v="61"/>
    <x v="0"/>
    <d v="1899-12-30T00:00:43"/>
    <n v="1"/>
  </r>
  <r>
    <x v="1571"/>
    <s v="Martha"/>
    <x v="27"/>
    <d v="1899-12-30T17:52:48"/>
    <d v="2021-01-28T17:52:48"/>
    <x v="6"/>
    <x v="7"/>
    <x v="3"/>
    <x v="1"/>
    <s v="N"/>
    <m/>
    <x v="0"/>
    <m/>
    <m/>
  </r>
  <r>
    <x v="1572"/>
    <s v="Diane"/>
    <x v="27"/>
    <d v="1899-12-30T18:00:00"/>
    <d v="2021-01-28T18:00:00"/>
    <x v="6"/>
    <x v="9"/>
    <x v="2"/>
    <x v="0"/>
    <s v="Y"/>
    <n v="54"/>
    <x v="0"/>
    <d v="1899-12-30T00:06:11"/>
    <n v="2"/>
  </r>
  <r>
    <x v="1573"/>
    <s v="Stewart"/>
    <x v="27"/>
    <d v="1899-12-30T18:00:00"/>
    <d v="2021-01-28T18:00:00"/>
    <x v="6"/>
    <x v="9"/>
    <x v="4"/>
    <x v="0"/>
    <s v="Y"/>
    <n v="82"/>
    <x v="0"/>
    <d v="1899-12-30T00:05:46"/>
    <n v="5"/>
  </r>
  <r>
    <x v="1574"/>
    <s v="Greg"/>
    <x v="28"/>
    <d v="1899-12-30T09:02:53"/>
    <d v="2021-01-29T09:02:53"/>
    <x v="0"/>
    <x v="0"/>
    <x v="3"/>
    <x v="0"/>
    <s v="Y"/>
    <n v="55"/>
    <x v="0"/>
    <d v="1899-12-30T00:03:08"/>
    <n v="4"/>
  </r>
  <r>
    <x v="1575"/>
    <s v="Jim"/>
    <x v="28"/>
    <d v="1899-12-30T09:02:53"/>
    <d v="2021-01-29T09:02:53"/>
    <x v="0"/>
    <x v="0"/>
    <x v="3"/>
    <x v="1"/>
    <s v="N"/>
    <m/>
    <x v="0"/>
    <m/>
    <m/>
  </r>
  <r>
    <x v="1576"/>
    <s v="Dan"/>
    <x v="28"/>
    <d v="1899-12-30T09:08:38"/>
    <d v="2021-01-29T09:08:38"/>
    <x v="0"/>
    <x v="0"/>
    <x v="2"/>
    <x v="0"/>
    <s v="Y"/>
    <n v="87"/>
    <x v="0"/>
    <d v="1899-12-30T00:01:09"/>
    <n v="5"/>
  </r>
  <r>
    <x v="1577"/>
    <s v="Greg"/>
    <x v="28"/>
    <d v="1899-12-30T09:08:38"/>
    <d v="2021-01-29T09:08:38"/>
    <x v="0"/>
    <x v="0"/>
    <x v="2"/>
    <x v="1"/>
    <s v="N"/>
    <m/>
    <x v="0"/>
    <m/>
    <m/>
  </r>
  <r>
    <x v="1578"/>
    <s v="Greg"/>
    <x v="28"/>
    <d v="1899-12-30T09:20:10"/>
    <d v="2021-01-29T09:20:10"/>
    <x v="0"/>
    <x v="0"/>
    <x v="3"/>
    <x v="0"/>
    <s v="Y"/>
    <n v="22"/>
    <x v="0"/>
    <d v="1899-12-30T00:04:57"/>
    <n v="3"/>
  </r>
  <r>
    <x v="1579"/>
    <s v="Stewart"/>
    <x v="28"/>
    <d v="1899-12-30T09:20:10"/>
    <d v="2021-01-29T09:20:10"/>
    <x v="0"/>
    <x v="0"/>
    <x v="2"/>
    <x v="1"/>
    <s v="N"/>
    <m/>
    <x v="0"/>
    <m/>
    <m/>
  </r>
  <r>
    <x v="1580"/>
    <s v="Dan"/>
    <x v="28"/>
    <d v="1899-12-30T09:57:36"/>
    <d v="2021-01-29T09:57:36"/>
    <x v="0"/>
    <x v="0"/>
    <x v="4"/>
    <x v="0"/>
    <s v="Y"/>
    <n v="95"/>
    <x v="0"/>
    <d v="1899-12-30T00:01:46"/>
    <n v="5"/>
  </r>
  <r>
    <x v="1581"/>
    <s v="Dan"/>
    <x v="28"/>
    <d v="1899-12-30T09:57:36"/>
    <d v="2021-01-29T09:57:36"/>
    <x v="0"/>
    <x v="0"/>
    <x v="1"/>
    <x v="0"/>
    <s v="Y"/>
    <n v="23"/>
    <x v="0"/>
    <d v="1899-12-30T00:06:15"/>
    <n v="4"/>
  </r>
  <r>
    <x v="1582"/>
    <s v="Greg"/>
    <x v="28"/>
    <d v="1899-12-30T10:20:38"/>
    <d v="2021-01-29T10:20:38"/>
    <x v="0"/>
    <x v="1"/>
    <x v="3"/>
    <x v="0"/>
    <s v="Y"/>
    <n v="43"/>
    <x v="0"/>
    <d v="1899-12-30T00:02:05"/>
    <n v="4"/>
  </r>
  <r>
    <x v="1583"/>
    <s v="Becky"/>
    <x v="28"/>
    <d v="1899-12-30T10:20:38"/>
    <d v="2021-01-29T10:20:38"/>
    <x v="0"/>
    <x v="1"/>
    <x v="2"/>
    <x v="1"/>
    <s v="N"/>
    <m/>
    <x v="0"/>
    <m/>
    <m/>
  </r>
  <r>
    <x v="1584"/>
    <s v="Joe"/>
    <x v="28"/>
    <d v="1899-12-30T10:29:17"/>
    <d v="2021-01-29T10:29:17"/>
    <x v="0"/>
    <x v="1"/>
    <x v="0"/>
    <x v="0"/>
    <s v="Y"/>
    <n v="118"/>
    <x v="0"/>
    <d v="1899-12-30T00:04:03"/>
    <n v="3"/>
  </r>
  <r>
    <x v="1585"/>
    <s v="Jim"/>
    <x v="28"/>
    <d v="1899-12-30T10:29:17"/>
    <d v="2021-01-29T10:29:17"/>
    <x v="0"/>
    <x v="1"/>
    <x v="2"/>
    <x v="0"/>
    <s v="Y"/>
    <n v="94"/>
    <x v="0"/>
    <d v="1899-12-30T00:01:12"/>
    <n v="3"/>
  </r>
  <r>
    <x v="1586"/>
    <s v="Diane"/>
    <x v="28"/>
    <d v="1899-12-30T10:50:53"/>
    <d v="2021-01-29T10:50:53"/>
    <x v="0"/>
    <x v="1"/>
    <x v="1"/>
    <x v="0"/>
    <s v="Y"/>
    <n v="59"/>
    <x v="0"/>
    <d v="1899-12-30T00:04:55"/>
    <n v="4"/>
  </r>
  <r>
    <x v="1587"/>
    <s v="Jim"/>
    <x v="28"/>
    <d v="1899-12-30T10:50:53"/>
    <d v="2021-01-29T10:50:53"/>
    <x v="0"/>
    <x v="1"/>
    <x v="1"/>
    <x v="1"/>
    <s v="N"/>
    <m/>
    <x v="0"/>
    <m/>
    <m/>
  </r>
  <r>
    <x v="1588"/>
    <s v="Stewart"/>
    <x v="28"/>
    <d v="1899-12-30T10:52:19"/>
    <d v="2021-01-29T10:52:19"/>
    <x v="0"/>
    <x v="1"/>
    <x v="3"/>
    <x v="0"/>
    <s v="Y"/>
    <n v="92"/>
    <x v="0"/>
    <d v="1899-12-30T00:03:13"/>
    <n v="5"/>
  </r>
  <r>
    <x v="1589"/>
    <s v="Jim"/>
    <x v="28"/>
    <d v="1899-12-30T10:52:19"/>
    <d v="2021-01-29T10:52:19"/>
    <x v="0"/>
    <x v="1"/>
    <x v="1"/>
    <x v="0"/>
    <s v="Y"/>
    <n v="51"/>
    <x v="0"/>
    <d v="1899-12-30T00:02:40"/>
    <n v="2"/>
  </r>
  <r>
    <x v="1590"/>
    <s v="Diane"/>
    <x v="28"/>
    <d v="1899-12-30T11:57:07"/>
    <d v="2021-01-29T11:57:07"/>
    <x v="0"/>
    <x v="2"/>
    <x v="2"/>
    <x v="1"/>
    <s v="N"/>
    <m/>
    <x v="0"/>
    <m/>
    <m/>
  </r>
  <r>
    <x v="1591"/>
    <s v="Greg"/>
    <x v="28"/>
    <d v="1899-12-30T11:57:07"/>
    <d v="2021-01-29T11:57:07"/>
    <x v="0"/>
    <x v="2"/>
    <x v="1"/>
    <x v="0"/>
    <s v="Y"/>
    <n v="11"/>
    <x v="1"/>
    <d v="1899-12-30T00:04:23"/>
    <n v="5"/>
  </r>
  <r>
    <x v="1592"/>
    <s v="Joe"/>
    <x v="28"/>
    <d v="1899-12-30T12:44:38"/>
    <d v="2021-01-29T12:44:38"/>
    <x v="0"/>
    <x v="3"/>
    <x v="2"/>
    <x v="0"/>
    <s v="Y"/>
    <n v="62"/>
    <x v="0"/>
    <d v="1899-12-30T00:02:21"/>
    <n v="1"/>
  </r>
  <r>
    <x v="1593"/>
    <s v="Joe"/>
    <x v="28"/>
    <d v="1899-12-30T12:44:38"/>
    <d v="2021-01-29T12:44:38"/>
    <x v="0"/>
    <x v="3"/>
    <x v="1"/>
    <x v="0"/>
    <s v="Y"/>
    <n v="122"/>
    <x v="0"/>
    <d v="1899-12-30T00:04:58"/>
    <n v="3"/>
  </r>
  <r>
    <x v="1594"/>
    <s v="Dan"/>
    <x v="28"/>
    <d v="1899-12-30T12:46:05"/>
    <d v="2021-01-29T12:46:05"/>
    <x v="0"/>
    <x v="3"/>
    <x v="4"/>
    <x v="0"/>
    <s v="Y"/>
    <n v="37"/>
    <x v="0"/>
    <d v="1899-12-30T00:05:23"/>
    <n v="3"/>
  </r>
  <r>
    <x v="1595"/>
    <s v="Stewart"/>
    <x v="28"/>
    <d v="1899-12-30T12:46:05"/>
    <d v="2021-01-29T12:46:05"/>
    <x v="0"/>
    <x v="3"/>
    <x v="2"/>
    <x v="0"/>
    <s v="N"/>
    <n v="42"/>
    <x v="0"/>
    <d v="1899-12-30T00:03:37"/>
    <n v="4"/>
  </r>
  <r>
    <x v="1596"/>
    <s v="Diane"/>
    <x v="28"/>
    <d v="1899-12-30T12:51:50"/>
    <d v="2021-01-29T12:51:50"/>
    <x v="0"/>
    <x v="3"/>
    <x v="1"/>
    <x v="0"/>
    <s v="Y"/>
    <n v="112"/>
    <x v="0"/>
    <d v="1899-12-30T00:04:29"/>
    <n v="3"/>
  </r>
  <r>
    <x v="1597"/>
    <s v="Martha"/>
    <x v="28"/>
    <d v="1899-12-30T12:51:50"/>
    <d v="2021-01-29T12:51:50"/>
    <x v="0"/>
    <x v="3"/>
    <x v="2"/>
    <x v="0"/>
    <s v="Y"/>
    <n v="98"/>
    <x v="0"/>
    <d v="1899-12-30T00:03:09"/>
    <n v="4"/>
  </r>
  <r>
    <x v="1598"/>
    <s v="Stewart"/>
    <x v="28"/>
    <d v="1899-12-30T12:51:50"/>
    <d v="2021-01-29T12:51:50"/>
    <x v="0"/>
    <x v="3"/>
    <x v="2"/>
    <x v="0"/>
    <s v="Y"/>
    <n v="105"/>
    <x v="0"/>
    <d v="1899-12-30T00:03:13"/>
    <n v="2"/>
  </r>
  <r>
    <x v="1599"/>
    <s v="Diane"/>
    <x v="28"/>
    <d v="1899-12-30T12:51:50"/>
    <d v="2021-01-29T12:51:50"/>
    <x v="0"/>
    <x v="3"/>
    <x v="1"/>
    <x v="0"/>
    <s v="Y"/>
    <n v="78"/>
    <x v="0"/>
    <d v="1899-12-30T00:03:03"/>
    <n v="5"/>
  </r>
  <r>
    <x v="1600"/>
    <s v="Martha"/>
    <x v="28"/>
    <d v="1899-12-30T13:00:29"/>
    <d v="2021-01-29T13:00:29"/>
    <x v="0"/>
    <x v="4"/>
    <x v="0"/>
    <x v="0"/>
    <s v="Y"/>
    <n v="68"/>
    <x v="0"/>
    <d v="1899-12-30T00:00:45"/>
    <n v="4"/>
  </r>
  <r>
    <x v="1601"/>
    <s v="Jim"/>
    <x v="28"/>
    <d v="1899-12-30T13:00:29"/>
    <d v="2021-01-29T13:00:29"/>
    <x v="0"/>
    <x v="4"/>
    <x v="0"/>
    <x v="0"/>
    <s v="Y"/>
    <n v="17"/>
    <x v="1"/>
    <d v="1899-12-30T00:05:47"/>
    <n v="3"/>
  </r>
  <r>
    <x v="1602"/>
    <s v="Diane"/>
    <x v="28"/>
    <d v="1899-12-30T13:04:48"/>
    <d v="2021-01-29T13:04:48"/>
    <x v="0"/>
    <x v="4"/>
    <x v="3"/>
    <x v="0"/>
    <s v="Y"/>
    <n v="23"/>
    <x v="0"/>
    <d v="1899-12-30T00:01:20"/>
    <n v="4"/>
  </r>
  <r>
    <x v="1603"/>
    <s v="Diane"/>
    <x v="28"/>
    <d v="1899-12-30T13:04:48"/>
    <d v="2021-01-29T13:04:48"/>
    <x v="0"/>
    <x v="4"/>
    <x v="3"/>
    <x v="0"/>
    <s v="Y"/>
    <n v="39"/>
    <x v="0"/>
    <d v="1899-12-30T00:01:09"/>
    <n v="1"/>
  </r>
  <r>
    <x v="1604"/>
    <s v="Greg"/>
    <x v="28"/>
    <d v="1899-12-30T13:12:00"/>
    <d v="2021-01-29T13:12:00"/>
    <x v="0"/>
    <x v="4"/>
    <x v="0"/>
    <x v="0"/>
    <s v="Y"/>
    <n v="102"/>
    <x v="0"/>
    <d v="1899-12-30T00:04:45"/>
    <n v="3"/>
  </r>
  <r>
    <x v="1605"/>
    <s v="Dan"/>
    <x v="28"/>
    <d v="1899-12-30T13:12:00"/>
    <d v="2021-01-29T13:12:00"/>
    <x v="0"/>
    <x v="4"/>
    <x v="3"/>
    <x v="0"/>
    <s v="N"/>
    <n v="75"/>
    <x v="0"/>
    <d v="1899-12-30T00:05:30"/>
    <n v="3"/>
  </r>
  <r>
    <x v="1606"/>
    <s v="Becky"/>
    <x v="28"/>
    <d v="1899-12-30T13:37:55"/>
    <d v="2021-01-29T13:37:55"/>
    <x v="0"/>
    <x v="4"/>
    <x v="0"/>
    <x v="0"/>
    <s v="Y"/>
    <n v="14"/>
    <x v="1"/>
    <d v="1899-12-30T00:02:10"/>
    <n v="4"/>
  </r>
  <r>
    <x v="1607"/>
    <s v="Dan"/>
    <x v="28"/>
    <d v="1899-12-30T13:37:55"/>
    <d v="2021-01-29T13:37:55"/>
    <x v="0"/>
    <x v="4"/>
    <x v="2"/>
    <x v="0"/>
    <s v="Y"/>
    <n v="77"/>
    <x v="0"/>
    <d v="1899-12-30T00:02:36"/>
    <n v="3"/>
  </r>
  <r>
    <x v="1608"/>
    <s v="Diane"/>
    <x v="28"/>
    <d v="1899-12-30T14:11:02"/>
    <d v="2021-01-29T14:11:02"/>
    <x v="0"/>
    <x v="5"/>
    <x v="4"/>
    <x v="0"/>
    <s v="N"/>
    <n v="83"/>
    <x v="0"/>
    <d v="1899-12-30T00:00:34"/>
    <n v="4"/>
  </r>
  <r>
    <x v="1609"/>
    <s v="Stewart"/>
    <x v="28"/>
    <d v="1899-12-30T14:11:02"/>
    <d v="2021-01-29T14:11:02"/>
    <x v="0"/>
    <x v="5"/>
    <x v="1"/>
    <x v="1"/>
    <s v="N"/>
    <m/>
    <x v="0"/>
    <m/>
    <m/>
  </r>
  <r>
    <x v="1610"/>
    <s v="Stewart"/>
    <x v="28"/>
    <d v="1899-12-30T14:32:38"/>
    <d v="2021-01-29T14:32:38"/>
    <x v="0"/>
    <x v="5"/>
    <x v="0"/>
    <x v="1"/>
    <s v="N"/>
    <m/>
    <x v="0"/>
    <m/>
    <m/>
  </r>
  <r>
    <x v="1611"/>
    <s v="Dan"/>
    <x v="28"/>
    <d v="1899-12-30T14:32:38"/>
    <d v="2021-01-29T14:32:38"/>
    <x v="0"/>
    <x v="5"/>
    <x v="3"/>
    <x v="0"/>
    <s v="Y"/>
    <n v="65"/>
    <x v="0"/>
    <d v="1899-12-30T00:05:13"/>
    <n v="5"/>
  </r>
  <r>
    <x v="1612"/>
    <s v="Becky"/>
    <x v="28"/>
    <d v="1899-12-30T14:49:55"/>
    <d v="2021-01-29T14:49:55"/>
    <x v="0"/>
    <x v="5"/>
    <x v="0"/>
    <x v="0"/>
    <s v="Y"/>
    <n v="23"/>
    <x v="0"/>
    <d v="1899-12-30T00:00:45"/>
    <n v="4"/>
  </r>
  <r>
    <x v="1613"/>
    <s v="Jim"/>
    <x v="28"/>
    <d v="1899-12-30T14:49:55"/>
    <d v="2021-01-29T14:49:55"/>
    <x v="0"/>
    <x v="5"/>
    <x v="4"/>
    <x v="0"/>
    <s v="Y"/>
    <n v="34"/>
    <x v="0"/>
    <d v="1899-12-30T00:03:54"/>
    <n v="3"/>
  </r>
  <r>
    <x v="1614"/>
    <s v="Diane"/>
    <x v="28"/>
    <d v="1899-12-30T15:08:38"/>
    <d v="2021-01-29T15:08:38"/>
    <x v="0"/>
    <x v="6"/>
    <x v="1"/>
    <x v="0"/>
    <s v="Y"/>
    <n v="45"/>
    <x v="0"/>
    <d v="1899-12-30T00:05:51"/>
    <n v="3"/>
  </r>
  <r>
    <x v="1615"/>
    <s v="Diane"/>
    <x v="28"/>
    <d v="1899-12-30T15:08:38"/>
    <d v="2021-01-29T15:08:38"/>
    <x v="0"/>
    <x v="6"/>
    <x v="1"/>
    <x v="0"/>
    <s v="Y"/>
    <n v="29"/>
    <x v="0"/>
    <d v="1899-12-30T00:04:48"/>
    <n v="3"/>
  </r>
  <r>
    <x v="1616"/>
    <s v="Stewart"/>
    <x v="28"/>
    <d v="1899-12-30T15:21:36"/>
    <d v="2021-01-29T15:21:36"/>
    <x v="0"/>
    <x v="6"/>
    <x v="0"/>
    <x v="0"/>
    <s v="Y"/>
    <n v="84"/>
    <x v="0"/>
    <d v="1899-12-30T00:06:43"/>
    <n v="3"/>
  </r>
  <r>
    <x v="1617"/>
    <s v="Joe"/>
    <x v="28"/>
    <d v="1899-12-30T15:21:36"/>
    <d v="2021-01-29T15:21:36"/>
    <x v="0"/>
    <x v="6"/>
    <x v="2"/>
    <x v="0"/>
    <s v="N"/>
    <n v="105"/>
    <x v="0"/>
    <d v="1899-12-30T00:02:23"/>
    <n v="3"/>
  </r>
  <r>
    <x v="1618"/>
    <s v="Diane"/>
    <x v="28"/>
    <d v="1899-12-30T15:44:38"/>
    <d v="2021-01-29T15:44:38"/>
    <x v="0"/>
    <x v="6"/>
    <x v="2"/>
    <x v="0"/>
    <s v="Y"/>
    <n v="75"/>
    <x v="0"/>
    <d v="1899-12-30T00:04:18"/>
    <n v="2"/>
  </r>
  <r>
    <x v="1619"/>
    <s v="Jim"/>
    <x v="28"/>
    <d v="1899-12-30T15:44:38"/>
    <d v="2021-01-29T15:44:38"/>
    <x v="0"/>
    <x v="6"/>
    <x v="0"/>
    <x v="0"/>
    <s v="Y"/>
    <n v="20"/>
    <x v="1"/>
    <d v="1899-12-30T00:06:53"/>
    <n v="3"/>
  </r>
  <r>
    <x v="1620"/>
    <s v="Greg"/>
    <x v="28"/>
    <d v="1899-12-30T15:46:05"/>
    <d v="2021-01-29T15:46:05"/>
    <x v="0"/>
    <x v="6"/>
    <x v="3"/>
    <x v="0"/>
    <s v="Y"/>
    <n v="88"/>
    <x v="0"/>
    <d v="1899-12-30T00:05:50"/>
    <n v="5"/>
  </r>
  <r>
    <x v="1621"/>
    <s v="Stewart"/>
    <x v="28"/>
    <d v="1899-12-30T15:46:05"/>
    <d v="2021-01-29T15:46:05"/>
    <x v="0"/>
    <x v="6"/>
    <x v="1"/>
    <x v="0"/>
    <s v="Y"/>
    <n v="93"/>
    <x v="0"/>
    <d v="1899-12-30T00:03:09"/>
    <n v="5"/>
  </r>
  <r>
    <x v="1622"/>
    <s v="Dan"/>
    <x v="28"/>
    <d v="1899-12-30T15:51:50"/>
    <d v="2021-01-29T15:51:50"/>
    <x v="0"/>
    <x v="6"/>
    <x v="1"/>
    <x v="0"/>
    <s v="Y"/>
    <n v="65"/>
    <x v="0"/>
    <d v="1899-12-30T00:01:48"/>
    <n v="3"/>
  </r>
  <r>
    <x v="1623"/>
    <s v="Becky"/>
    <x v="28"/>
    <d v="1899-12-30T15:51:50"/>
    <d v="2021-01-29T15:51:50"/>
    <x v="0"/>
    <x v="6"/>
    <x v="2"/>
    <x v="1"/>
    <s v="N"/>
    <m/>
    <x v="0"/>
    <m/>
    <m/>
  </r>
  <r>
    <x v="1624"/>
    <s v="Joe"/>
    <x v="28"/>
    <d v="1899-12-30T16:10:34"/>
    <d v="2021-01-29T16:10:34"/>
    <x v="0"/>
    <x v="8"/>
    <x v="4"/>
    <x v="1"/>
    <s v="N"/>
    <m/>
    <x v="0"/>
    <m/>
    <m/>
  </r>
  <r>
    <x v="1625"/>
    <s v="Joe"/>
    <x v="28"/>
    <d v="1899-12-30T16:10:34"/>
    <d v="2021-01-29T16:10:34"/>
    <x v="0"/>
    <x v="8"/>
    <x v="1"/>
    <x v="1"/>
    <s v="N"/>
    <m/>
    <x v="0"/>
    <m/>
    <m/>
  </r>
  <r>
    <x v="1626"/>
    <s v="Greg"/>
    <x v="28"/>
    <d v="1899-12-30T17:12:29"/>
    <d v="2021-01-29T17:12:29"/>
    <x v="0"/>
    <x v="7"/>
    <x v="2"/>
    <x v="0"/>
    <s v="N"/>
    <n v="124"/>
    <x v="0"/>
    <d v="1899-12-30T00:04:18"/>
    <n v="5"/>
  </r>
  <r>
    <x v="1627"/>
    <s v="Martha"/>
    <x v="28"/>
    <d v="1899-12-30T17:12:29"/>
    <d v="2021-01-29T17:12:29"/>
    <x v="0"/>
    <x v="7"/>
    <x v="0"/>
    <x v="0"/>
    <s v="Y"/>
    <n v="44"/>
    <x v="0"/>
    <d v="1899-12-30T00:02:37"/>
    <n v="4"/>
  </r>
  <r>
    <x v="1628"/>
    <s v="Greg"/>
    <x v="28"/>
    <d v="1899-12-30T17:41:17"/>
    <d v="2021-01-29T17:41:17"/>
    <x v="0"/>
    <x v="7"/>
    <x v="3"/>
    <x v="0"/>
    <s v="Y"/>
    <n v="28"/>
    <x v="0"/>
    <d v="1899-12-30T00:00:39"/>
    <n v="4"/>
  </r>
  <r>
    <x v="1629"/>
    <s v="Diane"/>
    <x v="28"/>
    <d v="1899-12-30T17:41:17"/>
    <d v="2021-01-29T17:41:17"/>
    <x v="0"/>
    <x v="7"/>
    <x v="4"/>
    <x v="0"/>
    <s v="N"/>
    <n v="43"/>
    <x v="0"/>
    <d v="1899-12-30T00:02:08"/>
    <n v="4"/>
  </r>
  <r>
    <x v="1630"/>
    <s v="Stewart"/>
    <x v="28"/>
    <d v="1899-12-30T17:52:48"/>
    <d v="2021-01-29T17:52:48"/>
    <x v="0"/>
    <x v="7"/>
    <x v="1"/>
    <x v="1"/>
    <s v="N"/>
    <m/>
    <x v="0"/>
    <m/>
    <m/>
  </r>
  <r>
    <x v="1631"/>
    <s v="Stewart"/>
    <x v="28"/>
    <d v="1899-12-30T17:52:48"/>
    <d v="2021-01-29T17:52:48"/>
    <x v="0"/>
    <x v="7"/>
    <x v="3"/>
    <x v="0"/>
    <s v="Y"/>
    <n v="53"/>
    <x v="0"/>
    <d v="1899-12-30T00:01:44"/>
    <n v="4"/>
  </r>
  <r>
    <x v="1632"/>
    <s v="Diane"/>
    <x v="29"/>
    <d v="1899-12-30T09:05:46"/>
    <d v="2021-01-30T09:05:46"/>
    <x v="1"/>
    <x v="0"/>
    <x v="0"/>
    <x v="0"/>
    <s v="Y"/>
    <n v="84"/>
    <x v="0"/>
    <d v="1899-12-30T00:01:42"/>
    <n v="4"/>
  </r>
  <r>
    <x v="1633"/>
    <s v="Becky"/>
    <x v="29"/>
    <d v="1899-12-30T09:05:46"/>
    <d v="2021-01-30T09:05:46"/>
    <x v="1"/>
    <x v="0"/>
    <x v="2"/>
    <x v="0"/>
    <s v="Y"/>
    <n v="84"/>
    <x v="0"/>
    <d v="1899-12-30T00:04:58"/>
    <n v="5"/>
  </r>
  <r>
    <x v="1634"/>
    <s v="Dan"/>
    <x v="29"/>
    <d v="1899-12-30T09:47:31"/>
    <d v="2021-01-30T09:47:31"/>
    <x v="1"/>
    <x v="0"/>
    <x v="3"/>
    <x v="0"/>
    <s v="Y"/>
    <n v="12"/>
    <x v="1"/>
    <d v="1899-12-30T00:05:56"/>
    <n v="5"/>
  </r>
  <r>
    <x v="1635"/>
    <s v="Jim"/>
    <x v="29"/>
    <d v="1899-12-30T09:47:31"/>
    <d v="2021-01-30T09:47:31"/>
    <x v="1"/>
    <x v="0"/>
    <x v="0"/>
    <x v="0"/>
    <s v="Y"/>
    <n v="85"/>
    <x v="0"/>
    <d v="1899-12-30T00:03:42"/>
    <n v="3"/>
  </r>
  <r>
    <x v="1636"/>
    <s v="Diane"/>
    <x v="29"/>
    <d v="1899-12-30T09:53:17"/>
    <d v="2021-01-30T09:53:17"/>
    <x v="1"/>
    <x v="0"/>
    <x v="4"/>
    <x v="0"/>
    <s v="Y"/>
    <n v="124"/>
    <x v="0"/>
    <d v="1899-12-30T00:01:01"/>
    <n v="4"/>
  </r>
  <r>
    <x v="1637"/>
    <s v="Becky"/>
    <x v="29"/>
    <d v="1899-12-30T09:53:17"/>
    <d v="2021-01-30T09:53:17"/>
    <x v="1"/>
    <x v="0"/>
    <x v="2"/>
    <x v="0"/>
    <s v="N"/>
    <n v="92"/>
    <x v="0"/>
    <d v="1899-12-30T00:02:01"/>
    <n v="5"/>
  </r>
  <r>
    <x v="1638"/>
    <s v="Stewart"/>
    <x v="29"/>
    <d v="1899-12-30T10:07:41"/>
    <d v="2021-01-30T10:07:41"/>
    <x v="1"/>
    <x v="1"/>
    <x v="1"/>
    <x v="0"/>
    <s v="Y"/>
    <n v="116"/>
    <x v="0"/>
    <d v="1899-12-30T00:03:30"/>
    <n v="1"/>
  </r>
  <r>
    <x v="1639"/>
    <s v="Joe"/>
    <x v="29"/>
    <d v="1899-12-30T10:07:41"/>
    <d v="2021-01-30T10:07:41"/>
    <x v="1"/>
    <x v="1"/>
    <x v="4"/>
    <x v="0"/>
    <s v="Y"/>
    <n v="118"/>
    <x v="0"/>
    <d v="1899-12-30T00:02:46"/>
    <n v="2"/>
  </r>
  <r>
    <x v="1640"/>
    <s v="Greg"/>
    <x v="29"/>
    <d v="1899-12-30T10:09:07"/>
    <d v="2021-01-30T10:09:07"/>
    <x v="1"/>
    <x v="1"/>
    <x v="1"/>
    <x v="0"/>
    <s v="Y"/>
    <n v="99"/>
    <x v="0"/>
    <d v="1899-12-30T00:02:32"/>
    <n v="2"/>
  </r>
  <r>
    <x v="1641"/>
    <s v="Joe"/>
    <x v="29"/>
    <d v="1899-12-30T10:09:07"/>
    <d v="2021-01-30T10:09:07"/>
    <x v="1"/>
    <x v="1"/>
    <x v="2"/>
    <x v="0"/>
    <s v="Y"/>
    <n v="77"/>
    <x v="0"/>
    <d v="1899-12-30T00:04:24"/>
    <n v="4"/>
  </r>
  <r>
    <x v="1642"/>
    <s v="Jim"/>
    <x v="29"/>
    <d v="1899-12-30T10:27:50"/>
    <d v="2021-01-30T10:27:50"/>
    <x v="1"/>
    <x v="1"/>
    <x v="1"/>
    <x v="0"/>
    <s v="Y"/>
    <n v="57"/>
    <x v="0"/>
    <d v="1899-12-30T00:04:26"/>
    <n v="5"/>
  </r>
  <r>
    <x v="1643"/>
    <s v="Martha"/>
    <x v="29"/>
    <d v="1899-12-30T10:27:50"/>
    <d v="2021-01-30T10:27:50"/>
    <x v="1"/>
    <x v="1"/>
    <x v="4"/>
    <x v="0"/>
    <s v="Y"/>
    <n v="113"/>
    <x v="0"/>
    <d v="1899-12-30T00:02:34"/>
    <n v="3"/>
  </r>
  <r>
    <x v="1644"/>
    <s v="Becky"/>
    <x v="29"/>
    <d v="1899-12-30T10:40:48"/>
    <d v="2021-01-30T10:40:48"/>
    <x v="1"/>
    <x v="1"/>
    <x v="2"/>
    <x v="0"/>
    <s v="Y"/>
    <n v="22"/>
    <x v="0"/>
    <d v="1899-12-30T00:00:43"/>
    <n v="3"/>
  </r>
  <r>
    <x v="1645"/>
    <s v="Diane"/>
    <x v="29"/>
    <d v="1899-12-30T10:40:48"/>
    <d v="2021-01-30T10:40:48"/>
    <x v="1"/>
    <x v="1"/>
    <x v="2"/>
    <x v="0"/>
    <s v="Y"/>
    <n v="20"/>
    <x v="1"/>
    <d v="1899-12-30T00:04:58"/>
    <n v="4"/>
  </r>
  <r>
    <x v="1646"/>
    <s v="Dan"/>
    <x v="29"/>
    <d v="1899-12-30T11:12:29"/>
    <d v="2021-01-30T11:12:29"/>
    <x v="1"/>
    <x v="2"/>
    <x v="4"/>
    <x v="1"/>
    <s v="N"/>
    <m/>
    <x v="0"/>
    <m/>
    <m/>
  </r>
  <r>
    <x v="1647"/>
    <s v="Jim"/>
    <x v="29"/>
    <d v="1899-12-30T11:12:29"/>
    <d v="2021-01-30T11:12:29"/>
    <x v="1"/>
    <x v="2"/>
    <x v="1"/>
    <x v="0"/>
    <s v="Y"/>
    <n v="23"/>
    <x v="0"/>
    <d v="1899-12-30T00:05:59"/>
    <n v="5"/>
  </r>
  <r>
    <x v="1648"/>
    <s v="Jim"/>
    <x v="29"/>
    <d v="1899-12-30T11:26:53"/>
    <d v="2021-01-30T11:26:53"/>
    <x v="1"/>
    <x v="2"/>
    <x v="0"/>
    <x v="0"/>
    <s v="Y"/>
    <n v="79"/>
    <x v="0"/>
    <d v="1899-12-30T00:04:34"/>
    <n v="4"/>
  </r>
  <r>
    <x v="1649"/>
    <s v="Stewart"/>
    <x v="29"/>
    <d v="1899-12-30T11:26:53"/>
    <d v="2021-01-30T11:26:53"/>
    <x v="1"/>
    <x v="2"/>
    <x v="0"/>
    <x v="0"/>
    <s v="N"/>
    <n v="94"/>
    <x v="0"/>
    <d v="1899-12-30T00:06:56"/>
    <n v="5"/>
  </r>
  <r>
    <x v="1650"/>
    <s v="Jim"/>
    <x v="29"/>
    <d v="1899-12-30T11:52:48"/>
    <d v="2021-01-30T11:52:48"/>
    <x v="1"/>
    <x v="2"/>
    <x v="1"/>
    <x v="0"/>
    <s v="Y"/>
    <n v="118"/>
    <x v="0"/>
    <d v="1899-12-30T00:02:13"/>
    <n v="4"/>
  </r>
  <r>
    <x v="1651"/>
    <s v="Martha"/>
    <x v="29"/>
    <d v="1899-12-30T11:52:48"/>
    <d v="2021-01-30T11:52:48"/>
    <x v="1"/>
    <x v="2"/>
    <x v="3"/>
    <x v="0"/>
    <s v="N"/>
    <n v="68"/>
    <x v="0"/>
    <d v="1899-12-30T00:02:38"/>
    <n v="2"/>
  </r>
  <r>
    <x v="1652"/>
    <s v="Diane"/>
    <x v="29"/>
    <d v="1899-12-30T12:17:17"/>
    <d v="2021-01-30T12:17:17"/>
    <x v="1"/>
    <x v="3"/>
    <x v="4"/>
    <x v="0"/>
    <s v="Y"/>
    <n v="53"/>
    <x v="0"/>
    <d v="1899-12-30T00:01:24"/>
    <n v="3"/>
  </r>
  <r>
    <x v="1653"/>
    <s v="Stewart"/>
    <x v="29"/>
    <d v="1899-12-30T12:17:17"/>
    <d v="2021-01-30T12:17:17"/>
    <x v="1"/>
    <x v="3"/>
    <x v="3"/>
    <x v="0"/>
    <s v="Y"/>
    <n v="52"/>
    <x v="0"/>
    <d v="1899-12-30T00:06:10"/>
    <n v="3"/>
  </r>
  <r>
    <x v="1654"/>
    <s v="Dan"/>
    <x v="29"/>
    <d v="1899-12-30T12:23:02"/>
    <d v="2021-01-30T12:23:02"/>
    <x v="1"/>
    <x v="3"/>
    <x v="2"/>
    <x v="0"/>
    <s v="Y"/>
    <n v="13"/>
    <x v="1"/>
    <d v="1899-12-30T00:05:51"/>
    <n v="3"/>
  </r>
  <r>
    <x v="1655"/>
    <s v="Diane"/>
    <x v="29"/>
    <d v="1899-12-30T12:23:02"/>
    <d v="2021-01-30T12:23:02"/>
    <x v="1"/>
    <x v="3"/>
    <x v="0"/>
    <x v="0"/>
    <s v="Y"/>
    <n v="78"/>
    <x v="0"/>
    <d v="1899-12-30T00:04:34"/>
    <n v="5"/>
  </r>
  <r>
    <x v="1656"/>
    <s v="Dan"/>
    <x v="29"/>
    <d v="1899-12-30T12:37:26"/>
    <d v="2021-01-30T12:37:26"/>
    <x v="1"/>
    <x v="3"/>
    <x v="0"/>
    <x v="0"/>
    <s v="Y"/>
    <n v="32"/>
    <x v="0"/>
    <d v="1899-12-30T00:02:05"/>
    <n v="4"/>
  </r>
  <r>
    <x v="1657"/>
    <s v="Martha"/>
    <x v="29"/>
    <d v="1899-12-30T12:37:26"/>
    <d v="2021-01-30T12:37:26"/>
    <x v="1"/>
    <x v="3"/>
    <x v="0"/>
    <x v="1"/>
    <s v="N"/>
    <m/>
    <x v="0"/>
    <m/>
    <m/>
  </r>
  <r>
    <x v="1658"/>
    <s v="Martha"/>
    <x v="29"/>
    <d v="1899-12-30T12:40:19"/>
    <d v="2021-01-30T12:40:19"/>
    <x v="1"/>
    <x v="3"/>
    <x v="3"/>
    <x v="0"/>
    <s v="Y"/>
    <n v="13"/>
    <x v="1"/>
    <d v="1899-12-30T00:02:03"/>
    <n v="4"/>
  </r>
  <r>
    <x v="1659"/>
    <s v="Greg"/>
    <x v="29"/>
    <d v="1899-12-30T12:40:19"/>
    <d v="2021-01-30T12:40:19"/>
    <x v="1"/>
    <x v="3"/>
    <x v="4"/>
    <x v="0"/>
    <s v="N"/>
    <n v="91"/>
    <x v="0"/>
    <d v="1899-12-30T00:04:01"/>
    <n v="3"/>
  </r>
  <r>
    <x v="1660"/>
    <s v="Jim"/>
    <x v="29"/>
    <d v="1899-12-30T12:44:38"/>
    <d v="2021-01-30T12:44:38"/>
    <x v="1"/>
    <x v="3"/>
    <x v="3"/>
    <x v="0"/>
    <s v="Y"/>
    <n v="41"/>
    <x v="0"/>
    <d v="1899-12-30T00:01:28"/>
    <n v="3"/>
  </r>
  <r>
    <x v="1661"/>
    <s v="Becky"/>
    <x v="29"/>
    <d v="1899-12-30T12:44:38"/>
    <d v="2021-01-30T12:44:38"/>
    <x v="1"/>
    <x v="3"/>
    <x v="4"/>
    <x v="0"/>
    <s v="Y"/>
    <n v="69"/>
    <x v="0"/>
    <d v="1899-12-30T00:06:58"/>
    <n v="2"/>
  </r>
  <r>
    <x v="1662"/>
    <s v="Stewart"/>
    <x v="29"/>
    <d v="1899-12-30T12:48:58"/>
    <d v="2021-01-30T12:48:58"/>
    <x v="1"/>
    <x v="3"/>
    <x v="2"/>
    <x v="0"/>
    <s v="Y"/>
    <n v="116"/>
    <x v="0"/>
    <d v="1899-12-30T00:06:13"/>
    <n v="4"/>
  </r>
  <r>
    <x v="1663"/>
    <s v="Becky"/>
    <x v="29"/>
    <d v="1899-12-30T12:48:58"/>
    <d v="2021-01-30T12:48:58"/>
    <x v="1"/>
    <x v="3"/>
    <x v="2"/>
    <x v="0"/>
    <s v="N"/>
    <n v="98"/>
    <x v="0"/>
    <d v="1899-12-30T00:06:11"/>
    <n v="5"/>
  </r>
  <r>
    <x v="1664"/>
    <s v="Dan"/>
    <x v="29"/>
    <d v="1899-12-30T12:51:50"/>
    <d v="2021-01-30T12:51:50"/>
    <x v="1"/>
    <x v="3"/>
    <x v="2"/>
    <x v="0"/>
    <s v="Y"/>
    <n v="16"/>
    <x v="1"/>
    <d v="1899-12-30T00:04:08"/>
    <n v="1"/>
  </r>
  <r>
    <x v="1665"/>
    <s v="Martha"/>
    <x v="29"/>
    <d v="1899-12-30T12:51:50"/>
    <d v="2021-01-30T12:51:50"/>
    <x v="1"/>
    <x v="3"/>
    <x v="1"/>
    <x v="0"/>
    <s v="Y"/>
    <n v="43"/>
    <x v="0"/>
    <d v="1899-12-30T00:01:54"/>
    <n v="1"/>
  </r>
  <r>
    <x v="1666"/>
    <s v="Dan"/>
    <x v="29"/>
    <d v="1899-12-30T13:03:22"/>
    <d v="2021-01-30T13:03:22"/>
    <x v="1"/>
    <x v="4"/>
    <x v="4"/>
    <x v="0"/>
    <s v="Y"/>
    <n v="17"/>
    <x v="1"/>
    <d v="1899-12-30T00:03:40"/>
    <n v="5"/>
  </r>
  <r>
    <x v="1667"/>
    <s v="Becky"/>
    <x v="29"/>
    <d v="1899-12-30T13:03:22"/>
    <d v="2021-01-30T13:03:22"/>
    <x v="1"/>
    <x v="4"/>
    <x v="1"/>
    <x v="0"/>
    <s v="Y"/>
    <n v="27"/>
    <x v="0"/>
    <d v="1899-12-30T00:02:47"/>
    <n v="5"/>
  </r>
  <r>
    <x v="1668"/>
    <s v="Becky"/>
    <x v="29"/>
    <d v="1899-12-30T13:39:22"/>
    <d v="2021-01-30T13:39:22"/>
    <x v="1"/>
    <x v="4"/>
    <x v="3"/>
    <x v="0"/>
    <s v="Y"/>
    <n v="88"/>
    <x v="0"/>
    <d v="1899-12-30T00:06:12"/>
    <n v="5"/>
  </r>
  <r>
    <x v="1669"/>
    <s v="Dan"/>
    <x v="29"/>
    <d v="1899-12-30T13:39:22"/>
    <d v="2021-01-30T13:39:22"/>
    <x v="1"/>
    <x v="4"/>
    <x v="1"/>
    <x v="0"/>
    <s v="N"/>
    <n v="45"/>
    <x v="0"/>
    <d v="1899-12-30T00:06:50"/>
    <n v="4"/>
  </r>
  <r>
    <x v="1670"/>
    <s v="Joe"/>
    <x v="29"/>
    <d v="1899-12-30T14:00:58"/>
    <d v="2021-01-30T14:00:58"/>
    <x v="1"/>
    <x v="5"/>
    <x v="1"/>
    <x v="0"/>
    <s v="N"/>
    <n v="19"/>
    <x v="1"/>
    <d v="1899-12-30T00:02:16"/>
    <n v="4"/>
  </r>
  <r>
    <x v="1671"/>
    <s v="Joe"/>
    <x v="29"/>
    <d v="1899-12-30T14:00:58"/>
    <d v="2021-01-30T14:00:58"/>
    <x v="1"/>
    <x v="5"/>
    <x v="2"/>
    <x v="1"/>
    <s v="N"/>
    <m/>
    <x v="0"/>
    <m/>
    <m/>
  </r>
  <r>
    <x v="1672"/>
    <s v="Stewart"/>
    <x v="29"/>
    <d v="1899-12-30T14:09:36"/>
    <d v="2021-01-30T14:09:36"/>
    <x v="1"/>
    <x v="5"/>
    <x v="0"/>
    <x v="0"/>
    <s v="Y"/>
    <n v="85"/>
    <x v="0"/>
    <d v="1899-12-30T00:03:04"/>
    <n v="4"/>
  </r>
  <r>
    <x v="1673"/>
    <s v="Stewart"/>
    <x v="29"/>
    <d v="1899-12-30T14:09:36"/>
    <d v="2021-01-30T14:09:36"/>
    <x v="1"/>
    <x v="5"/>
    <x v="2"/>
    <x v="1"/>
    <s v="N"/>
    <m/>
    <x v="0"/>
    <m/>
    <m/>
  </r>
  <r>
    <x v="1674"/>
    <s v="Stewart"/>
    <x v="29"/>
    <d v="1899-12-30T14:11:02"/>
    <d v="2021-01-30T14:11:02"/>
    <x v="1"/>
    <x v="5"/>
    <x v="2"/>
    <x v="0"/>
    <s v="N"/>
    <n v="122"/>
    <x v="0"/>
    <d v="1899-12-30T00:03:36"/>
    <n v="3"/>
  </r>
  <r>
    <x v="1675"/>
    <s v="Becky"/>
    <x v="29"/>
    <d v="1899-12-30T14:11:02"/>
    <d v="2021-01-30T14:11:02"/>
    <x v="1"/>
    <x v="5"/>
    <x v="1"/>
    <x v="0"/>
    <s v="Y"/>
    <n v="78"/>
    <x v="0"/>
    <d v="1899-12-30T00:05:41"/>
    <n v="2"/>
  </r>
  <r>
    <x v="1676"/>
    <s v="Joe"/>
    <x v="29"/>
    <d v="1899-12-30T14:36:58"/>
    <d v="2021-01-30T14:36:58"/>
    <x v="1"/>
    <x v="5"/>
    <x v="2"/>
    <x v="0"/>
    <s v="N"/>
    <n v="68"/>
    <x v="0"/>
    <d v="1899-12-30T00:01:05"/>
    <n v="2"/>
  </r>
  <r>
    <x v="1677"/>
    <s v="Greg"/>
    <x v="29"/>
    <d v="1899-12-30T14:36:58"/>
    <d v="2021-01-30T14:36:58"/>
    <x v="1"/>
    <x v="5"/>
    <x v="4"/>
    <x v="0"/>
    <s v="Y"/>
    <n v="33"/>
    <x v="0"/>
    <d v="1899-12-30T00:04:35"/>
    <n v="3"/>
  </r>
  <r>
    <x v="1678"/>
    <s v="Becky"/>
    <x v="29"/>
    <d v="1899-12-30T15:00:00"/>
    <d v="2021-01-30T15:00:00"/>
    <x v="1"/>
    <x v="6"/>
    <x v="2"/>
    <x v="0"/>
    <s v="Y"/>
    <n v="19"/>
    <x v="1"/>
    <d v="1899-12-30T00:05:57"/>
    <n v="1"/>
  </r>
  <r>
    <x v="1679"/>
    <s v="Martha"/>
    <x v="29"/>
    <d v="1899-12-30T15:00:00"/>
    <d v="2021-01-30T15:00:00"/>
    <x v="1"/>
    <x v="6"/>
    <x v="0"/>
    <x v="0"/>
    <s v="Y"/>
    <n v="97"/>
    <x v="0"/>
    <d v="1899-12-30T00:06:53"/>
    <n v="5"/>
  </r>
  <r>
    <x v="1680"/>
    <s v="Joe"/>
    <x v="29"/>
    <d v="1899-12-30T15:38:53"/>
    <d v="2021-01-30T15:38:53"/>
    <x v="1"/>
    <x v="6"/>
    <x v="2"/>
    <x v="0"/>
    <s v="Y"/>
    <n v="33"/>
    <x v="0"/>
    <d v="1899-12-30T00:01:19"/>
    <n v="2"/>
  </r>
  <r>
    <x v="1681"/>
    <s v="Martha"/>
    <x v="29"/>
    <d v="1899-12-30T15:38:53"/>
    <d v="2021-01-30T15:38:53"/>
    <x v="1"/>
    <x v="6"/>
    <x v="3"/>
    <x v="0"/>
    <s v="Y"/>
    <n v="124"/>
    <x v="0"/>
    <d v="1899-12-30T00:04:48"/>
    <n v="5"/>
  </r>
  <r>
    <x v="1682"/>
    <s v="Stewart"/>
    <x v="29"/>
    <d v="1899-12-30T15:44:38"/>
    <d v="2021-01-30T15:44:38"/>
    <x v="1"/>
    <x v="6"/>
    <x v="3"/>
    <x v="0"/>
    <s v="Y"/>
    <n v="78"/>
    <x v="0"/>
    <d v="1899-12-30T00:05:09"/>
    <n v="1"/>
  </r>
  <r>
    <x v="1683"/>
    <s v="Diane"/>
    <x v="29"/>
    <d v="1899-12-30T15:44:38"/>
    <d v="2021-01-30T15:44:38"/>
    <x v="1"/>
    <x v="6"/>
    <x v="2"/>
    <x v="1"/>
    <s v="N"/>
    <m/>
    <x v="0"/>
    <m/>
    <m/>
  </r>
  <r>
    <x v="1684"/>
    <s v="Dan"/>
    <x v="29"/>
    <d v="1899-12-30T15:51:50"/>
    <d v="2021-01-30T15:51:50"/>
    <x v="1"/>
    <x v="6"/>
    <x v="1"/>
    <x v="0"/>
    <s v="Y"/>
    <n v="111"/>
    <x v="0"/>
    <d v="1899-12-30T00:02:35"/>
    <n v="5"/>
  </r>
  <r>
    <x v="1685"/>
    <s v="Diane"/>
    <x v="29"/>
    <d v="1899-12-30T15:51:50"/>
    <d v="2021-01-30T15:51:50"/>
    <x v="1"/>
    <x v="6"/>
    <x v="0"/>
    <x v="0"/>
    <s v="Y"/>
    <n v="27"/>
    <x v="0"/>
    <d v="1899-12-30T00:03:37"/>
    <n v="5"/>
  </r>
  <r>
    <x v="1686"/>
    <s v="Dan"/>
    <x v="29"/>
    <d v="1899-12-30T15:59:02"/>
    <d v="2021-01-30T15:59:02"/>
    <x v="1"/>
    <x v="6"/>
    <x v="1"/>
    <x v="0"/>
    <s v="Y"/>
    <n v="18"/>
    <x v="1"/>
    <d v="1899-12-30T00:04:41"/>
    <n v="3"/>
  </r>
  <r>
    <x v="1687"/>
    <s v="Greg"/>
    <x v="29"/>
    <d v="1899-12-30T15:59:02"/>
    <d v="2021-01-30T15:59:02"/>
    <x v="1"/>
    <x v="6"/>
    <x v="4"/>
    <x v="0"/>
    <s v="Y"/>
    <n v="31"/>
    <x v="0"/>
    <d v="1899-12-30T00:04:18"/>
    <n v="4"/>
  </r>
  <r>
    <x v="1688"/>
    <s v="Stewart"/>
    <x v="29"/>
    <d v="1899-12-30T16:13:26"/>
    <d v="2021-01-30T16:13:26"/>
    <x v="1"/>
    <x v="8"/>
    <x v="3"/>
    <x v="0"/>
    <s v="N"/>
    <n v="65"/>
    <x v="0"/>
    <d v="1899-12-30T00:03:41"/>
    <n v="4"/>
  </r>
  <r>
    <x v="1689"/>
    <s v="Becky"/>
    <x v="29"/>
    <d v="1899-12-30T16:13:26"/>
    <d v="2021-01-30T16:13:26"/>
    <x v="1"/>
    <x v="8"/>
    <x v="3"/>
    <x v="1"/>
    <s v="N"/>
    <m/>
    <x v="0"/>
    <m/>
    <m/>
  </r>
  <r>
    <x v="1690"/>
    <s v="Becky"/>
    <x v="29"/>
    <d v="1899-12-30T16:19:12"/>
    <d v="2021-01-30T16:19:12"/>
    <x v="1"/>
    <x v="8"/>
    <x v="1"/>
    <x v="0"/>
    <s v="Y"/>
    <n v="91"/>
    <x v="0"/>
    <d v="1899-12-30T00:00:50"/>
    <n v="3"/>
  </r>
  <r>
    <x v="1691"/>
    <s v="Stewart"/>
    <x v="29"/>
    <d v="1899-12-30T16:19:12"/>
    <d v="2021-01-30T16:19:12"/>
    <x v="1"/>
    <x v="8"/>
    <x v="1"/>
    <x v="0"/>
    <s v="Y"/>
    <n v="71"/>
    <x v="0"/>
    <d v="1899-12-30T00:01:27"/>
    <n v="2"/>
  </r>
  <r>
    <x v="1692"/>
    <s v="Greg"/>
    <x v="29"/>
    <d v="1899-12-30T16:19:12"/>
    <d v="2021-01-30T16:19:12"/>
    <x v="1"/>
    <x v="8"/>
    <x v="0"/>
    <x v="1"/>
    <s v="N"/>
    <m/>
    <x v="0"/>
    <m/>
    <m/>
  </r>
  <r>
    <x v="1693"/>
    <s v="Stewart"/>
    <x v="29"/>
    <d v="1899-12-30T16:19:12"/>
    <d v="2021-01-30T16:19:12"/>
    <x v="1"/>
    <x v="8"/>
    <x v="0"/>
    <x v="0"/>
    <s v="Y"/>
    <n v="78"/>
    <x v="0"/>
    <d v="1899-12-30T00:04:26"/>
    <n v="3"/>
  </r>
  <r>
    <x v="1694"/>
    <s v="Jim"/>
    <x v="29"/>
    <d v="1899-12-30T16:32:10"/>
    <d v="2021-01-30T16:32:10"/>
    <x v="1"/>
    <x v="8"/>
    <x v="1"/>
    <x v="1"/>
    <s v="N"/>
    <m/>
    <x v="0"/>
    <m/>
    <m/>
  </r>
  <r>
    <x v="1695"/>
    <s v="Jim"/>
    <x v="29"/>
    <d v="1899-12-30T16:32:10"/>
    <d v="2021-01-30T16:32:10"/>
    <x v="1"/>
    <x v="8"/>
    <x v="0"/>
    <x v="1"/>
    <s v="N"/>
    <m/>
    <x v="0"/>
    <m/>
    <m/>
  </r>
  <r>
    <x v="1696"/>
    <s v="Dan"/>
    <x v="29"/>
    <d v="1899-12-30T16:49:26"/>
    <d v="2021-01-30T16:49:26"/>
    <x v="1"/>
    <x v="8"/>
    <x v="1"/>
    <x v="1"/>
    <s v="N"/>
    <m/>
    <x v="0"/>
    <m/>
    <m/>
  </r>
  <r>
    <x v="1697"/>
    <s v="Jim"/>
    <x v="29"/>
    <d v="1899-12-30T16:49:26"/>
    <d v="2021-01-30T16:49:26"/>
    <x v="1"/>
    <x v="8"/>
    <x v="3"/>
    <x v="0"/>
    <s v="Y"/>
    <n v="107"/>
    <x v="0"/>
    <d v="1899-12-30T00:03:17"/>
    <n v="3"/>
  </r>
  <r>
    <x v="1698"/>
    <s v="Dan"/>
    <x v="29"/>
    <d v="1899-12-30T16:52:19"/>
    <d v="2021-01-30T16:52:19"/>
    <x v="1"/>
    <x v="8"/>
    <x v="4"/>
    <x v="0"/>
    <s v="Y"/>
    <n v="17"/>
    <x v="1"/>
    <d v="1899-12-30T00:03:12"/>
    <n v="3"/>
  </r>
  <r>
    <x v="1699"/>
    <s v="Becky"/>
    <x v="29"/>
    <d v="1899-12-30T16:52:19"/>
    <d v="2021-01-30T16:52:19"/>
    <x v="1"/>
    <x v="8"/>
    <x v="0"/>
    <x v="0"/>
    <s v="Y"/>
    <n v="53"/>
    <x v="0"/>
    <d v="1899-12-30T00:03:40"/>
    <n v="1"/>
  </r>
  <r>
    <x v="1700"/>
    <s v="Diane"/>
    <x v="29"/>
    <d v="1899-12-30T17:09:36"/>
    <d v="2021-01-30T17:09:36"/>
    <x v="1"/>
    <x v="7"/>
    <x v="1"/>
    <x v="0"/>
    <s v="Y"/>
    <n v="49"/>
    <x v="0"/>
    <d v="1899-12-30T00:06:33"/>
    <n v="5"/>
  </r>
  <r>
    <x v="1701"/>
    <s v="Greg"/>
    <x v="29"/>
    <d v="1899-12-30T17:09:36"/>
    <d v="2021-01-30T17:09:36"/>
    <x v="1"/>
    <x v="7"/>
    <x v="4"/>
    <x v="0"/>
    <s v="Y"/>
    <n v="33"/>
    <x v="0"/>
    <d v="1899-12-30T00:01:05"/>
    <n v="5"/>
  </r>
  <r>
    <x v="1702"/>
    <s v="Diane"/>
    <x v="29"/>
    <d v="1899-12-30T17:12:29"/>
    <d v="2021-01-30T17:12:29"/>
    <x v="1"/>
    <x v="7"/>
    <x v="4"/>
    <x v="0"/>
    <s v="Y"/>
    <n v="103"/>
    <x v="0"/>
    <d v="1899-12-30T00:03:39"/>
    <n v="2"/>
  </r>
  <r>
    <x v="1703"/>
    <s v="Greg"/>
    <x v="29"/>
    <d v="1899-12-30T17:12:29"/>
    <d v="2021-01-30T17:12:29"/>
    <x v="1"/>
    <x v="7"/>
    <x v="2"/>
    <x v="0"/>
    <s v="Y"/>
    <n v="114"/>
    <x v="0"/>
    <d v="1899-12-30T00:03:22"/>
    <n v="3"/>
  </r>
  <r>
    <x v="1704"/>
    <s v="Stewart"/>
    <x v="29"/>
    <d v="1899-12-30T17:18:14"/>
    <d v="2021-01-30T17:18:14"/>
    <x v="1"/>
    <x v="7"/>
    <x v="0"/>
    <x v="1"/>
    <s v="N"/>
    <m/>
    <x v="0"/>
    <m/>
    <m/>
  </r>
  <r>
    <x v="1705"/>
    <s v="Jim"/>
    <x v="29"/>
    <d v="1899-12-30T17:18:14"/>
    <d v="2021-01-30T17:18:14"/>
    <x v="1"/>
    <x v="7"/>
    <x v="3"/>
    <x v="1"/>
    <s v="N"/>
    <m/>
    <x v="0"/>
    <m/>
    <m/>
  </r>
  <r>
    <x v="1706"/>
    <s v="Martha"/>
    <x v="29"/>
    <d v="1899-12-30T17:25:26"/>
    <d v="2021-01-30T17:25:26"/>
    <x v="1"/>
    <x v="7"/>
    <x v="2"/>
    <x v="1"/>
    <s v="N"/>
    <m/>
    <x v="0"/>
    <m/>
    <m/>
  </r>
  <r>
    <x v="1707"/>
    <s v="Dan"/>
    <x v="29"/>
    <d v="1899-12-30T17:25:26"/>
    <d v="2021-01-30T17:25:26"/>
    <x v="1"/>
    <x v="7"/>
    <x v="4"/>
    <x v="0"/>
    <s v="Y"/>
    <n v="38"/>
    <x v="0"/>
    <d v="1899-12-30T00:06:51"/>
    <n v="2"/>
  </r>
  <r>
    <x v="1708"/>
    <s v="Stewart"/>
    <x v="29"/>
    <d v="1899-12-30T17:29:46"/>
    <d v="2021-01-30T17:29:46"/>
    <x v="1"/>
    <x v="7"/>
    <x v="0"/>
    <x v="0"/>
    <s v="N"/>
    <n v="50"/>
    <x v="0"/>
    <d v="1899-12-30T00:01:19"/>
    <n v="2"/>
  </r>
  <r>
    <x v="1709"/>
    <s v="Becky"/>
    <x v="29"/>
    <d v="1899-12-30T17:29:46"/>
    <d v="2021-01-30T17:29:46"/>
    <x v="1"/>
    <x v="7"/>
    <x v="0"/>
    <x v="0"/>
    <s v="N"/>
    <n v="33"/>
    <x v="0"/>
    <d v="1899-12-30T00:03:56"/>
    <n v="4"/>
  </r>
  <r>
    <x v="1710"/>
    <s v="Stewart"/>
    <x v="29"/>
    <d v="1899-12-30T17:31:12"/>
    <d v="2021-01-30T17:31:12"/>
    <x v="1"/>
    <x v="7"/>
    <x v="2"/>
    <x v="0"/>
    <s v="Y"/>
    <n v="97"/>
    <x v="0"/>
    <d v="1899-12-30T00:02:52"/>
    <n v="3"/>
  </r>
  <r>
    <x v="1711"/>
    <s v="Jim"/>
    <x v="29"/>
    <d v="1899-12-30T17:31:12"/>
    <d v="2021-01-30T17:31:12"/>
    <x v="1"/>
    <x v="7"/>
    <x v="4"/>
    <x v="0"/>
    <s v="Y"/>
    <n v="20"/>
    <x v="1"/>
    <d v="1899-12-30T00:05:07"/>
    <n v="5"/>
  </r>
  <r>
    <x v="1712"/>
    <s v="Dan"/>
    <x v="30"/>
    <d v="1899-12-30T09:00:00"/>
    <d v="2021-01-31T09:00:00"/>
    <x v="2"/>
    <x v="0"/>
    <x v="2"/>
    <x v="0"/>
    <s v="N"/>
    <n v="100"/>
    <x v="0"/>
    <d v="1899-12-30T00:06:22"/>
    <n v="5"/>
  </r>
  <r>
    <x v="1713"/>
    <s v="Becky"/>
    <x v="30"/>
    <d v="1899-12-30T09:00:00"/>
    <d v="2021-01-31T09:00:00"/>
    <x v="2"/>
    <x v="0"/>
    <x v="2"/>
    <x v="0"/>
    <s v="Y"/>
    <n v="114"/>
    <x v="0"/>
    <d v="1899-12-30T00:05:42"/>
    <n v="4"/>
  </r>
  <r>
    <x v="1714"/>
    <s v="Greg"/>
    <x v="30"/>
    <d v="1899-12-30T09:08:38"/>
    <d v="2021-01-31T09:08:38"/>
    <x v="2"/>
    <x v="0"/>
    <x v="2"/>
    <x v="0"/>
    <s v="Y"/>
    <n v="27"/>
    <x v="0"/>
    <d v="1899-12-30T00:03:12"/>
    <n v="3"/>
  </r>
  <r>
    <x v="1715"/>
    <s v="Joe"/>
    <x v="30"/>
    <d v="1899-12-30T09:08:38"/>
    <d v="2021-01-31T09:08:38"/>
    <x v="2"/>
    <x v="0"/>
    <x v="0"/>
    <x v="0"/>
    <s v="Y"/>
    <n v="119"/>
    <x v="0"/>
    <d v="1899-12-30T00:02:42"/>
    <n v="4"/>
  </r>
  <r>
    <x v="1716"/>
    <s v="Becky"/>
    <x v="30"/>
    <d v="1899-12-30T09:14:24"/>
    <d v="2021-01-31T09:14:24"/>
    <x v="2"/>
    <x v="0"/>
    <x v="1"/>
    <x v="0"/>
    <s v="Y"/>
    <n v="30"/>
    <x v="0"/>
    <d v="1899-12-30T00:00:59"/>
    <n v="5"/>
  </r>
  <r>
    <x v="1717"/>
    <s v="Stewart"/>
    <x v="30"/>
    <d v="1899-12-30T09:14:24"/>
    <d v="2021-01-31T09:14:24"/>
    <x v="2"/>
    <x v="0"/>
    <x v="0"/>
    <x v="0"/>
    <s v="Y"/>
    <n v="23"/>
    <x v="0"/>
    <d v="1899-12-30T00:06:40"/>
    <n v="3"/>
  </r>
  <r>
    <x v="1718"/>
    <s v="Diane"/>
    <x v="30"/>
    <d v="1899-12-30T09:24:29"/>
    <d v="2021-01-31T09:24:29"/>
    <x v="2"/>
    <x v="0"/>
    <x v="0"/>
    <x v="0"/>
    <s v="Y"/>
    <n v="32"/>
    <x v="0"/>
    <d v="1899-12-30T00:06:00"/>
    <n v="1"/>
  </r>
  <r>
    <x v="1719"/>
    <s v="Greg"/>
    <x v="30"/>
    <d v="1899-12-30T09:24:29"/>
    <d v="2021-01-31T09:24:29"/>
    <x v="2"/>
    <x v="0"/>
    <x v="4"/>
    <x v="1"/>
    <s v="N"/>
    <m/>
    <x v="0"/>
    <m/>
    <m/>
  </r>
  <r>
    <x v="1720"/>
    <s v="Diane"/>
    <x v="30"/>
    <d v="1899-12-30T09:27:22"/>
    <d v="2021-01-31T09:27:22"/>
    <x v="2"/>
    <x v="0"/>
    <x v="2"/>
    <x v="0"/>
    <s v="N"/>
    <n v="67"/>
    <x v="0"/>
    <d v="1899-12-30T00:00:58"/>
    <n v="1"/>
  </r>
  <r>
    <x v="1721"/>
    <s v="Becky"/>
    <x v="30"/>
    <d v="1899-12-30T09:27:22"/>
    <d v="2021-01-31T09:27:22"/>
    <x v="2"/>
    <x v="0"/>
    <x v="4"/>
    <x v="0"/>
    <s v="Y"/>
    <n v="16"/>
    <x v="1"/>
    <d v="1899-12-30T00:05:36"/>
    <n v="5"/>
  </r>
  <r>
    <x v="1722"/>
    <s v="Stewart"/>
    <x v="30"/>
    <d v="1899-12-30T09:30:14"/>
    <d v="2021-01-31T09:30:14"/>
    <x v="2"/>
    <x v="0"/>
    <x v="0"/>
    <x v="0"/>
    <s v="Y"/>
    <n v="120"/>
    <x v="0"/>
    <d v="1899-12-30T00:03:10"/>
    <n v="1"/>
  </r>
  <r>
    <x v="1723"/>
    <s v="Joe"/>
    <x v="30"/>
    <d v="1899-12-30T09:30:14"/>
    <d v="2021-01-31T09:30:14"/>
    <x v="2"/>
    <x v="0"/>
    <x v="2"/>
    <x v="0"/>
    <s v="Y"/>
    <n v="73"/>
    <x v="0"/>
    <d v="1899-12-30T00:05:43"/>
    <n v="2"/>
  </r>
  <r>
    <x v="1724"/>
    <s v="Jim"/>
    <x v="30"/>
    <d v="1899-12-30T11:32:38"/>
    <d v="2021-01-31T11:32:38"/>
    <x v="2"/>
    <x v="2"/>
    <x v="2"/>
    <x v="1"/>
    <s v="N"/>
    <m/>
    <x v="0"/>
    <m/>
    <m/>
  </r>
  <r>
    <x v="1725"/>
    <s v="Greg"/>
    <x v="30"/>
    <d v="1899-12-30T11:32:38"/>
    <d v="2021-01-31T11:32:38"/>
    <x v="2"/>
    <x v="2"/>
    <x v="0"/>
    <x v="1"/>
    <s v="N"/>
    <m/>
    <x v="0"/>
    <m/>
    <m/>
  </r>
  <r>
    <x v="1726"/>
    <s v="Joe"/>
    <x v="30"/>
    <d v="1899-12-30T11:35:31"/>
    <d v="2021-01-31T11:35:31"/>
    <x v="2"/>
    <x v="2"/>
    <x v="3"/>
    <x v="1"/>
    <s v="N"/>
    <m/>
    <x v="0"/>
    <m/>
    <m/>
  </r>
  <r>
    <x v="1727"/>
    <s v="Joe"/>
    <x v="30"/>
    <d v="1899-12-30T11:35:31"/>
    <d v="2021-01-31T11:35:31"/>
    <x v="2"/>
    <x v="2"/>
    <x v="0"/>
    <x v="0"/>
    <s v="Y"/>
    <n v="88"/>
    <x v="0"/>
    <d v="1899-12-30T00:01:11"/>
    <n v="1"/>
  </r>
  <r>
    <x v="1728"/>
    <s v="Dan"/>
    <x v="30"/>
    <d v="1899-12-30T11:39:50"/>
    <d v="2021-01-31T11:39:50"/>
    <x v="2"/>
    <x v="2"/>
    <x v="2"/>
    <x v="0"/>
    <s v="Y"/>
    <n v="79"/>
    <x v="0"/>
    <d v="1899-12-30T00:01:21"/>
    <n v="5"/>
  </r>
  <r>
    <x v="1729"/>
    <s v="Joe"/>
    <x v="30"/>
    <d v="1899-12-30T11:39:50"/>
    <d v="2021-01-31T11:39:50"/>
    <x v="2"/>
    <x v="2"/>
    <x v="1"/>
    <x v="0"/>
    <s v="Y"/>
    <n v="42"/>
    <x v="0"/>
    <d v="1899-12-30T00:01:40"/>
    <n v="5"/>
  </r>
  <r>
    <x v="1730"/>
    <s v="Dan"/>
    <x v="30"/>
    <d v="1899-12-30T11:58:34"/>
    <d v="2021-01-31T11:58:34"/>
    <x v="2"/>
    <x v="2"/>
    <x v="0"/>
    <x v="1"/>
    <s v="N"/>
    <m/>
    <x v="0"/>
    <m/>
    <m/>
  </r>
  <r>
    <x v="1731"/>
    <s v="Diane"/>
    <x v="30"/>
    <d v="1899-12-30T11:58:34"/>
    <d v="2021-01-31T11:58:34"/>
    <x v="2"/>
    <x v="2"/>
    <x v="2"/>
    <x v="0"/>
    <s v="Y"/>
    <n v="38"/>
    <x v="0"/>
    <d v="1899-12-30T00:03:48"/>
    <n v="4"/>
  </r>
  <r>
    <x v="1732"/>
    <s v="Greg"/>
    <x v="30"/>
    <d v="1899-12-30T12:00:00"/>
    <d v="2021-01-31T12:00:00"/>
    <x v="2"/>
    <x v="3"/>
    <x v="2"/>
    <x v="0"/>
    <s v="Y"/>
    <n v="102"/>
    <x v="0"/>
    <d v="1899-12-30T00:03:48"/>
    <n v="3"/>
  </r>
  <r>
    <x v="1733"/>
    <s v="Dan"/>
    <x v="30"/>
    <d v="1899-12-30T12:00:00"/>
    <d v="2021-01-31T12:00:00"/>
    <x v="2"/>
    <x v="3"/>
    <x v="1"/>
    <x v="0"/>
    <s v="Y"/>
    <n v="112"/>
    <x v="0"/>
    <d v="1899-12-30T00:06:43"/>
    <n v="3"/>
  </r>
  <r>
    <x v="1734"/>
    <s v="Jim"/>
    <x v="30"/>
    <d v="1899-12-30T12:00:00"/>
    <d v="2021-01-31T12:00:00"/>
    <x v="2"/>
    <x v="3"/>
    <x v="1"/>
    <x v="0"/>
    <s v="Y"/>
    <n v="107"/>
    <x v="0"/>
    <d v="1899-12-30T00:03:14"/>
    <n v="1"/>
  </r>
  <r>
    <x v="1735"/>
    <s v="Stewart"/>
    <x v="30"/>
    <d v="1899-12-30T12:00:00"/>
    <d v="2021-01-31T12:00:00"/>
    <x v="2"/>
    <x v="3"/>
    <x v="0"/>
    <x v="0"/>
    <s v="Y"/>
    <n v="93"/>
    <x v="0"/>
    <d v="1899-12-30T00:02:39"/>
    <n v="5"/>
  </r>
  <r>
    <x v="1736"/>
    <s v="Diane"/>
    <x v="30"/>
    <d v="1899-12-30T12:15:50"/>
    <d v="2021-01-31T12:15:50"/>
    <x v="2"/>
    <x v="3"/>
    <x v="2"/>
    <x v="0"/>
    <s v="Y"/>
    <n v="37"/>
    <x v="0"/>
    <d v="1899-12-30T00:06:57"/>
    <n v="4"/>
  </r>
  <r>
    <x v="1737"/>
    <s v="Dan"/>
    <x v="30"/>
    <d v="1899-12-30T12:15:50"/>
    <d v="2021-01-31T12:15:50"/>
    <x v="2"/>
    <x v="3"/>
    <x v="1"/>
    <x v="0"/>
    <s v="Y"/>
    <n v="29"/>
    <x v="0"/>
    <d v="1899-12-30T00:06:29"/>
    <n v="5"/>
  </r>
  <r>
    <x v="1738"/>
    <s v="Stewart"/>
    <x v="30"/>
    <d v="1899-12-30T12:37:26"/>
    <d v="2021-01-31T12:37:26"/>
    <x v="2"/>
    <x v="3"/>
    <x v="2"/>
    <x v="0"/>
    <s v="N"/>
    <n v="17"/>
    <x v="1"/>
    <d v="1899-12-30T00:03:49"/>
    <n v="5"/>
  </r>
  <r>
    <x v="1739"/>
    <s v="Jim"/>
    <x v="30"/>
    <d v="1899-12-30T12:37:26"/>
    <d v="2021-01-31T12:37:26"/>
    <x v="2"/>
    <x v="3"/>
    <x v="4"/>
    <x v="1"/>
    <s v="N"/>
    <m/>
    <x v="0"/>
    <m/>
    <m/>
  </r>
  <r>
    <x v="1740"/>
    <s v="Dan"/>
    <x v="30"/>
    <d v="1899-12-30T12:43:12"/>
    <d v="2021-01-31T12:43:12"/>
    <x v="2"/>
    <x v="3"/>
    <x v="1"/>
    <x v="0"/>
    <s v="Y"/>
    <n v="28"/>
    <x v="0"/>
    <d v="1899-12-30T00:06:11"/>
    <n v="4"/>
  </r>
  <r>
    <x v="1741"/>
    <s v="Dan"/>
    <x v="30"/>
    <d v="1899-12-30T12:43:12"/>
    <d v="2021-01-31T12:43:12"/>
    <x v="2"/>
    <x v="3"/>
    <x v="2"/>
    <x v="0"/>
    <s v="Y"/>
    <n v="16"/>
    <x v="1"/>
    <d v="1899-12-30T00:03:31"/>
    <n v="1"/>
  </r>
  <r>
    <x v="1742"/>
    <s v="Stewart"/>
    <x v="30"/>
    <d v="1899-12-30T12:50:24"/>
    <d v="2021-01-31T12:50:24"/>
    <x v="2"/>
    <x v="3"/>
    <x v="3"/>
    <x v="0"/>
    <s v="Y"/>
    <n v="123"/>
    <x v="0"/>
    <d v="1899-12-30T00:06:18"/>
    <n v="2"/>
  </r>
  <r>
    <x v="1743"/>
    <s v="Martha"/>
    <x v="30"/>
    <d v="1899-12-30T12:50:24"/>
    <d v="2021-01-31T12:50:24"/>
    <x v="2"/>
    <x v="3"/>
    <x v="0"/>
    <x v="1"/>
    <s v="N"/>
    <m/>
    <x v="0"/>
    <m/>
    <m/>
  </r>
  <r>
    <x v="1744"/>
    <s v="Jim"/>
    <x v="30"/>
    <d v="1899-12-30T14:05:17"/>
    <d v="2021-01-31T14:05:17"/>
    <x v="2"/>
    <x v="5"/>
    <x v="2"/>
    <x v="0"/>
    <s v="Y"/>
    <n v="124"/>
    <x v="0"/>
    <d v="1899-12-30T00:06:42"/>
    <n v="5"/>
  </r>
  <r>
    <x v="1745"/>
    <s v="Jim"/>
    <x v="30"/>
    <d v="1899-12-30T14:05:17"/>
    <d v="2021-01-31T14:05:17"/>
    <x v="2"/>
    <x v="5"/>
    <x v="2"/>
    <x v="0"/>
    <s v="Y"/>
    <n v="18"/>
    <x v="1"/>
    <d v="1899-12-30T00:06:16"/>
    <n v="1"/>
  </r>
  <r>
    <x v="1746"/>
    <s v="Becky"/>
    <x v="30"/>
    <d v="1899-12-30T14:05:17"/>
    <d v="2021-01-31T14:05:17"/>
    <x v="2"/>
    <x v="5"/>
    <x v="2"/>
    <x v="0"/>
    <s v="Y"/>
    <n v="95"/>
    <x v="0"/>
    <d v="1899-12-30T00:02:27"/>
    <n v="4"/>
  </r>
  <r>
    <x v="1747"/>
    <s v="Becky"/>
    <x v="30"/>
    <d v="1899-12-30T14:05:17"/>
    <d v="2021-01-31T14:05:17"/>
    <x v="2"/>
    <x v="5"/>
    <x v="4"/>
    <x v="0"/>
    <s v="Y"/>
    <n v="17"/>
    <x v="1"/>
    <d v="1899-12-30T00:05:25"/>
    <n v="3"/>
  </r>
  <r>
    <x v="1748"/>
    <s v="Jim"/>
    <x v="30"/>
    <d v="1899-12-30T14:05:17"/>
    <d v="2021-01-31T14:05:17"/>
    <x v="2"/>
    <x v="5"/>
    <x v="1"/>
    <x v="1"/>
    <s v="N"/>
    <m/>
    <x v="0"/>
    <m/>
    <m/>
  </r>
  <r>
    <x v="1749"/>
    <s v="Stewart"/>
    <x v="30"/>
    <d v="1899-12-30T14:05:17"/>
    <d v="2021-01-31T14:05:17"/>
    <x v="2"/>
    <x v="5"/>
    <x v="2"/>
    <x v="0"/>
    <s v="Y"/>
    <n v="75"/>
    <x v="0"/>
    <d v="1899-12-30T00:00:33"/>
    <n v="3"/>
  </r>
  <r>
    <x v="1750"/>
    <s v="Joe"/>
    <x v="30"/>
    <d v="1899-12-30T14:44:10"/>
    <d v="2021-01-31T14:44:10"/>
    <x v="2"/>
    <x v="5"/>
    <x v="2"/>
    <x v="0"/>
    <s v="Y"/>
    <n v="37"/>
    <x v="0"/>
    <d v="1899-12-30T00:05:46"/>
    <n v="4"/>
  </r>
  <r>
    <x v="1751"/>
    <s v="Martha"/>
    <x v="30"/>
    <d v="1899-12-30T14:44:10"/>
    <d v="2021-01-31T14:44:10"/>
    <x v="2"/>
    <x v="5"/>
    <x v="4"/>
    <x v="0"/>
    <s v="Y"/>
    <n v="36"/>
    <x v="0"/>
    <d v="1899-12-30T00:01:26"/>
    <n v="3"/>
  </r>
  <r>
    <x v="1752"/>
    <s v="Diane"/>
    <x v="30"/>
    <d v="1899-12-30T15:01:26"/>
    <d v="2021-01-31T15:01:26"/>
    <x v="2"/>
    <x v="6"/>
    <x v="1"/>
    <x v="0"/>
    <s v="Y"/>
    <n v="113"/>
    <x v="0"/>
    <d v="1899-12-30T00:02:32"/>
    <n v="1"/>
  </r>
  <r>
    <x v="1753"/>
    <s v="Diane"/>
    <x v="30"/>
    <d v="1899-12-30T15:01:26"/>
    <d v="2021-01-31T15:01:26"/>
    <x v="2"/>
    <x v="6"/>
    <x v="4"/>
    <x v="0"/>
    <s v="Y"/>
    <n v="93"/>
    <x v="0"/>
    <d v="1899-12-30T00:02:19"/>
    <n v="4"/>
  </r>
  <r>
    <x v="1754"/>
    <s v="Dan"/>
    <x v="30"/>
    <d v="1899-12-30T15:04:19"/>
    <d v="2021-01-31T15:04:19"/>
    <x v="2"/>
    <x v="6"/>
    <x v="1"/>
    <x v="0"/>
    <s v="Y"/>
    <n v="24"/>
    <x v="0"/>
    <d v="1899-12-30T00:04:51"/>
    <n v="1"/>
  </r>
  <r>
    <x v="1755"/>
    <s v="Diane"/>
    <x v="30"/>
    <d v="1899-12-30T15:04:19"/>
    <d v="2021-01-31T15:04:19"/>
    <x v="2"/>
    <x v="6"/>
    <x v="4"/>
    <x v="0"/>
    <s v="Y"/>
    <n v="92"/>
    <x v="0"/>
    <d v="1899-12-30T00:02:28"/>
    <n v="3"/>
  </r>
  <r>
    <x v="1756"/>
    <s v="Jim"/>
    <x v="30"/>
    <d v="1899-12-30T15:38:53"/>
    <d v="2021-01-31T15:38:53"/>
    <x v="2"/>
    <x v="6"/>
    <x v="4"/>
    <x v="1"/>
    <s v="N"/>
    <m/>
    <x v="0"/>
    <m/>
    <m/>
  </r>
  <r>
    <x v="1757"/>
    <s v="Dan"/>
    <x v="30"/>
    <d v="1899-12-30T15:38:53"/>
    <d v="2021-01-31T15:38:53"/>
    <x v="2"/>
    <x v="6"/>
    <x v="0"/>
    <x v="0"/>
    <s v="Y"/>
    <n v="20"/>
    <x v="1"/>
    <d v="1899-12-30T00:01:19"/>
    <n v="4"/>
  </r>
  <r>
    <x v="1758"/>
    <s v="Jim"/>
    <x v="30"/>
    <d v="1899-12-30T15:56:10"/>
    <d v="2021-01-31T15:56:10"/>
    <x v="2"/>
    <x v="6"/>
    <x v="3"/>
    <x v="0"/>
    <s v="Y"/>
    <n v="50"/>
    <x v="0"/>
    <d v="1899-12-30T00:00:31"/>
    <n v="2"/>
  </r>
  <r>
    <x v="1759"/>
    <s v="Martha"/>
    <x v="30"/>
    <d v="1899-12-30T15:56:10"/>
    <d v="2021-01-31T15:56:10"/>
    <x v="2"/>
    <x v="6"/>
    <x v="3"/>
    <x v="1"/>
    <s v="N"/>
    <m/>
    <x v="0"/>
    <m/>
    <m/>
  </r>
  <r>
    <x v="1760"/>
    <s v="Stewart"/>
    <x v="30"/>
    <d v="1899-12-30T16:09:07"/>
    <d v="2021-01-31T16:09:07"/>
    <x v="2"/>
    <x v="8"/>
    <x v="0"/>
    <x v="0"/>
    <s v="Y"/>
    <n v="103"/>
    <x v="0"/>
    <d v="1899-12-30T00:06:14"/>
    <n v="4"/>
  </r>
  <r>
    <x v="1761"/>
    <s v="Becky"/>
    <x v="30"/>
    <d v="1899-12-30T16:09:07"/>
    <d v="2021-01-31T16:09:07"/>
    <x v="2"/>
    <x v="8"/>
    <x v="0"/>
    <x v="0"/>
    <s v="Y"/>
    <n v="81"/>
    <x v="0"/>
    <d v="1899-12-30T00:03:26"/>
    <n v="2"/>
  </r>
  <r>
    <x v="1762"/>
    <s v="Stewart"/>
    <x v="30"/>
    <d v="1899-12-30T16:09:07"/>
    <d v="2021-01-31T16:09:07"/>
    <x v="2"/>
    <x v="8"/>
    <x v="4"/>
    <x v="0"/>
    <s v="Y"/>
    <n v="48"/>
    <x v="0"/>
    <d v="1899-12-30T00:03:57"/>
    <n v="5"/>
  </r>
  <r>
    <x v="1763"/>
    <s v="Dan"/>
    <x v="30"/>
    <d v="1899-12-30T16:09:07"/>
    <d v="2021-01-31T16:09:07"/>
    <x v="2"/>
    <x v="8"/>
    <x v="4"/>
    <x v="0"/>
    <s v="Y"/>
    <n v="92"/>
    <x v="0"/>
    <d v="1899-12-30T00:06:01"/>
    <n v="3"/>
  </r>
  <r>
    <x v="1764"/>
    <s v="Greg"/>
    <x v="30"/>
    <d v="1899-12-30T16:20:38"/>
    <d v="2021-01-31T16:20:38"/>
    <x v="2"/>
    <x v="8"/>
    <x v="4"/>
    <x v="0"/>
    <s v="Y"/>
    <n v="95"/>
    <x v="0"/>
    <d v="1899-12-30T00:05:01"/>
    <n v="3"/>
  </r>
  <r>
    <x v="1765"/>
    <s v="Becky"/>
    <x v="30"/>
    <d v="1899-12-30T16:20:38"/>
    <d v="2021-01-31T16:20:38"/>
    <x v="2"/>
    <x v="8"/>
    <x v="0"/>
    <x v="0"/>
    <s v="Y"/>
    <n v="49"/>
    <x v="0"/>
    <d v="1899-12-30T00:01:58"/>
    <n v="3"/>
  </r>
  <r>
    <x v="1766"/>
    <s v="Becky"/>
    <x v="30"/>
    <d v="1899-12-30T16:56:38"/>
    <d v="2021-01-31T16:56:38"/>
    <x v="2"/>
    <x v="8"/>
    <x v="0"/>
    <x v="0"/>
    <s v="Y"/>
    <n v="58"/>
    <x v="0"/>
    <d v="1899-12-30T00:04:42"/>
    <n v="5"/>
  </r>
  <r>
    <x v="1767"/>
    <s v="Dan"/>
    <x v="30"/>
    <d v="1899-12-30T16:56:38"/>
    <d v="2021-01-31T16:56:38"/>
    <x v="2"/>
    <x v="8"/>
    <x v="4"/>
    <x v="1"/>
    <s v="N"/>
    <m/>
    <x v="0"/>
    <m/>
    <m/>
  </r>
  <r>
    <x v="1768"/>
    <s v="Dan"/>
    <x v="30"/>
    <d v="1899-12-30T17:08:10"/>
    <d v="2021-01-31T17:08:10"/>
    <x v="2"/>
    <x v="7"/>
    <x v="3"/>
    <x v="1"/>
    <s v="N"/>
    <m/>
    <x v="0"/>
    <m/>
    <m/>
  </r>
  <r>
    <x v="1769"/>
    <s v="Diane"/>
    <x v="30"/>
    <d v="1899-12-30T17:08:10"/>
    <d v="2021-01-31T17:08:10"/>
    <x v="2"/>
    <x v="7"/>
    <x v="2"/>
    <x v="0"/>
    <s v="Y"/>
    <n v="78"/>
    <x v="0"/>
    <d v="1899-12-30T00:01:03"/>
    <n v="4"/>
  </r>
  <r>
    <x v="1770"/>
    <s v="Jim"/>
    <x v="30"/>
    <d v="1899-12-30T17:34:05"/>
    <d v="2021-01-31T17:34:05"/>
    <x v="2"/>
    <x v="7"/>
    <x v="3"/>
    <x v="0"/>
    <s v="Y"/>
    <n v="91"/>
    <x v="0"/>
    <d v="1899-12-30T00:02:59"/>
    <n v="3"/>
  </r>
  <r>
    <x v="1771"/>
    <s v="Greg"/>
    <x v="30"/>
    <d v="1899-12-30T17:34:05"/>
    <d v="2021-01-31T17:34:05"/>
    <x v="2"/>
    <x v="7"/>
    <x v="1"/>
    <x v="0"/>
    <s v="Y"/>
    <n v="121"/>
    <x v="0"/>
    <d v="1899-12-30T00:06:01"/>
    <n v="2"/>
  </r>
  <r>
    <x v="1772"/>
    <s v="Dan"/>
    <x v="31"/>
    <d v="1899-12-30T09:18:43"/>
    <d v="2021-02-01T09:18:43"/>
    <x v="3"/>
    <x v="0"/>
    <x v="0"/>
    <x v="1"/>
    <s v="N"/>
    <m/>
    <x v="0"/>
    <m/>
    <m/>
  </r>
  <r>
    <x v="1773"/>
    <s v="Martha"/>
    <x v="31"/>
    <d v="1899-12-30T09:18:43"/>
    <d v="2021-02-01T09:18:43"/>
    <x v="3"/>
    <x v="0"/>
    <x v="3"/>
    <x v="0"/>
    <s v="Y"/>
    <n v="38"/>
    <x v="0"/>
    <d v="1899-12-30T00:05:41"/>
    <n v="3"/>
  </r>
  <r>
    <x v="1774"/>
    <s v="Becky"/>
    <x v="31"/>
    <d v="1899-12-30T09:24:29"/>
    <d v="2021-02-01T09:24:29"/>
    <x v="3"/>
    <x v="0"/>
    <x v="1"/>
    <x v="0"/>
    <s v="Y"/>
    <n v="44"/>
    <x v="0"/>
    <d v="1899-12-30T00:02:15"/>
    <n v="2"/>
  </r>
  <r>
    <x v="1775"/>
    <s v="Diane"/>
    <x v="31"/>
    <d v="1899-12-30T09:24:29"/>
    <d v="2021-02-01T09:24:29"/>
    <x v="3"/>
    <x v="0"/>
    <x v="0"/>
    <x v="0"/>
    <s v="Y"/>
    <n v="64"/>
    <x v="0"/>
    <d v="1899-12-30T00:03:09"/>
    <n v="3"/>
  </r>
  <r>
    <x v="1776"/>
    <s v="Jim"/>
    <x v="31"/>
    <d v="1899-12-30T09:25:55"/>
    <d v="2021-02-01T09:25:55"/>
    <x v="3"/>
    <x v="0"/>
    <x v="1"/>
    <x v="1"/>
    <s v="N"/>
    <m/>
    <x v="0"/>
    <m/>
    <m/>
  </r>
  <r>
    <x v="1777"/>
    <s v="Becky"/>
    <x v="31"/>
    <d v="1899-12-30T09:25:55"/>
    <d v="2021-02-01T09:25:55"/>
    <x v="3"/>
    <x v="0"/>
    <x v="2"/>
    <x v="0"/>
    <s v="N"/>
    <n v="125"/>
    <x v="0"/>
    <d v="1899-12-30T00:06:46"/>
    <n v="4"/>
  </r>
  <r>
    <x v="1778"/>
    <s v="Martha"/>
    <x v="31"/>
    <d v="1899-12-30T09:37:26"/>
    <d v="2021-02-01T09:37:26"/>
    <x v="3"/>
    <x v="0"/>
    <x v="1"/>
    <x v="0"/>
    <s v="Y"/>
    <n v="47"/>
    <x v="0"/>
    <d v="1899-12-30T00:01:25"/>
    <n v="4"/>
  </r>
  <r>
    <x v="1779"/>
    <s v="Martha"/>
    <x v="31"/>
    <d v="1899-12-30T09:37:26"/>
    <d v="2021-02-01T09:37:26"/>
    <x v="3"/>
    <x v="0"/>
    <x v="1"/>
    <x v="1"/>
    <s v="N"/>
    <m/>
    <x v="0"/>
    <m/>
    <m/>
  </r>
  <r>
    <x v="1780"/>
    <s v="Becky"/>
    <x v="31"/>
    <d v="1899-12-30T09:37:26"/>
    <d v="2021-02-01T09:37:26"/>
    <x v="3"/>
    <x v="0"/>
    <x v="0"/>
    <x v="1"/>
    <s v="N"/>
    <m/>
    <x v="0"/>
    <m/>
    <m/>
  </r>
  <r>
    <x v="1781"/>
    <s v="Jim"/>
    <x v="31"/>
    <d v="1899-12-30T09:37:26"/>
    <d v="2021-02-01T09:37:26"/>
    <x v="3"/>
    <x v="0"/>
    <x v="3"/>
    <x v="0"/>
    <s v="Y"/>
    <n v="116"/>
    <x v="0"/>
    <d v="1899-12-30T00:04:22"/>
    <n v="3"/>
  </r>
  <r>
    <x v="1782"/>
    <s v="Diane"/>
    <x v="31"/>
    <d v="1899-12-30T10:07:41"/>
    <d v="2021-02-01T10:07:41"/>
    <x v="3"/>
    <x v="1"/>
    <x v="2"/>
    <x v="0"/>
    <s v="Y"/>
    <n v="13"/>
    <x v="1"/>
    <d v="1899-12-30T00:01:56"/>
    <n v="4"/>
  </r>
  <r>
    <x v="1783"/>
    <s v="Greg"/>
    <x v="31"/>
    <d v="1899-12-30T10:07:41"/>
    <d v="2021-02-01T10:07:41"/>
    <x v="3"/>
    <x v="1"/>
    <x v="0"/>
    <x v="0"/>
    <s v="Y"/>
    <n v="124"/>
    <x v="0"/>
    <d v="1899-12-30T00:03:21"/>
    <n v="5"/>
  </r>
  <r>
    <x v="1784"/>
    <s v="Becky"/>
    <x v="31"/>
    <d v="1899-12-30T10:32:10"/>
    <d v="2021-02-01T10:32:10"/>
    <x v="3"/>
    <x v="1"/>
    <x v="3"/>
    <x v="1"/>
    <s v="N"/>
    <m/>
    <x v="0"/>
    <m/>
    <m/>
  </r>
  <r>
    <x v="1785"/>
    <s v="Greg"/>
    <x v="31"/>
    <d v="1899-12-30T10:32:10"/>
    <d v="2021-02-01T10:32:10"/>
    <x v="3"/>
    <x v="1"/>
    <x v="1"/>
    <x v="0"/>
    <s v="Y"/>
    <n v="46"/>
    <x v="0"/>
    <d v="1899-12-30T00:02:10"/>
    <n v="5"/>
  </r>
  <r>
    <x v="1786"/>
    <s v="Greg"/>
    <x v="31"/>
    <d v="1899-12-30T11:15:22"/>
    <d v="2021-02-01T11:15:22"/>
    <x v="3"/>
    <x v="2"/>
    <x v="1"/>
    <x v="0"/>
    <s v="Y"/>
    <n v="11"/>
    <x v="1"/>
    <d v="1899-12-30T00:03:08"/>
    <n v="3"/>
  </r>
  <r>
    <x v="1787"/>
    <s v="Greg"/>
    <x v="31"/>
    <d v="1899-12-30T11:15:22"/>
    <d v="2021-02-01T11:15:22"/>
    <x v="3"/>
    <x v="2"/>
    <x v="2"/>
    <x v="0"/>
    <s v="N"/>
    <n v="62"/>
    <x v="0"/>
    <d v="1899-12-30T00:03:57"/>
    <n v="3"/>
  </r>
  <r>
    <x v="1788"/>
    <s v="Greg"/>
    <x v="31"/>
    <d v="1899-12-30T11:18:14"/>
    <d v="2021-02-01T11:18:14"/>
    <x v="3"/>
    <x v="2"/>
    <x v="4"/>
    <x v="1"/>
    <s v="N"/>
    <m/>
    <x v="0"/>
    <m/>
    <m/>
  </r>
  <r>
    <x v="1789"/>
    <s v="Stewart"/>
    <x v="31"/>
    <d v="1899-12-30T11:18:14"/>
    <d v="2021-02-01T11:18:14"/>
    <x v="3"/>
    <x v="2"/>
    <x v="3"/>
    <x v="0"/>
    <s v="Y"/>
    <n v="61"/>
    <x v="0"/>
    <d v="1899-12-30T00:02:56"/>
    <n v="5"/>
  </r>
  <r>
    <x v="1790"/>
    <s v="Dan"/>
    <x v="31"/>
    <d v="1899-12-30T12:07:12"/>
    <d v="2021-02-01T12:07:12"/>
    <x v="3"/>
    <x v="3"/>
    <x v="1"/>
    <x v="1"/>
    <s v="N"/>
    <m/>
    <x v="0"/>
    <m/>
    <m/>
  </r>
  <r>
    <x v="1791"/>
    <s v="Joe"/>
    <x v="31"/>
    <d v="1899-12-30T12:07:12"/>
    <d v="2021-02-01T12:07:12"/>
    <x v="3"/>
    <x v="3"/>
    <x v="1"/>
    <x v="0"/>
    <s v="Y"/>
    <n v="29"/>
    <x v="0"/>
    <d v="1899-12-30T00:06:48"/>
    <n v="5"/>
  </r>
  <r>
    <x v="1792"/>
    <s v="Dan"/>
    <x v="31"/>
    <d v="1899-12-30T12:18:43"/>
    <d v="2021-02-01T12:18:43"/>
    <x v="3"/>
    <x v="3"/>
    <x v="0"/>
    <x v="0"/>
    <s v="Y"/>
    <n v="109"/>
    <x v="0"/>
    <d v="1899-12-30T00:00:52"/>
    <n v="3"/>
  </r>
  <r>
    <x v="1793"/>
    <s v="Dan"/>
    <x v="31"/>
    <d v="1899-12-30T12:18:43"/>
    <d v="2021-02-01T12:18:43"/>
    <x v="3"/>
    <x v="3"/>
    <x v="0"/>
    <x v="0"/>
    <s v="Y"/>
    <n v="52"/>
    <x v="0"/>
    <d v="1899-12-30T00:05:58"/>
    <n v="3"/>
  </r>
  <r>
    <x v="1794"/>
    <s v="Dan"/>
    <x v="31"/>
    <d v="1899-12-30T12:31:41"/>
    <d v="2021-02-01T12:31:41"/>
    <x v="3"/>
    <x v="3"/>
    <x v="1"/>
    <x v="0"/>
    <s v="Y"/>
    <n v="117"/>
    <x v="0"/>
    <d v="1899-12-30T00:04:50"/>
    <n v="1"/>
  </r>
  <r>
    <x v="1795"/>
    <s v="Martha"/>
    <x v="31"/>
    <d v="1899-12-30T12:31:41"/>
    <d v="2021-02-01T12:31:41"/>
    <x v="3"/>
    <x v="3"/>
    <x v="0"/>
    <x v="0"/>
    <s v="Y"/>
    <n v="17"/>
    <x v="1"/>
    <d v="1899-12-30T00:03:37"/>
    <n v="3"/>
  </r>
  <r>
    <x v="1796"/>
    <s v="Jim"/>
    <x v="31"/>
    <d v="1899-12-30T12:41:46"/>
    <d v="2021-02-01T12:41:46"/>
    <x v="3"/>
    <x v="3"/>
    <x v="4"/>
    <x v="0"/>
    <s v="Y"/>
    <n v="46"/>
    <x v="0"/>
    <d v="1899-12-30T00:01:47"/>
    <n v="4"/>
  </r>
  <r>
    <x v="1797"/>
    <s v="Martha"/>
    <x v="31"/>
    <d v="1899-12-30T12:41:46"/>
    <d v="2021-02-01T12:41:46"/>
    <x v="3"/>
    <x v="3"/>
    <x v="3"/>
    <x v="0"/>
    <s v="Y"/>
    <n v="60"/>
    <x v="0"/>
    <d v="1899-12-30T00:03:43"/>
    <n v="2"/>
  </r>
  <r>
    <x v="1798"/>
    <s v="Jim"/>
    <x v="31"/>
    <d v="1899-12-30T13:01:55"/>
    <d v="2021-02-01T13:01:55"/>
    <x v="3"/>
    <x v="4"/>
    <x v="1"/>
    <x v="0"/>
    <s v="Y"/>
    <n v="53"/>
    <x v="0"/>
    <d v="1899-12-30T00:03:29"/>
    <n v="3"/>
  </r>
  <r>
    <x v="1799"/>
    <s v="Stewart"/>
    <x v="31"/>
    <d v="1899-12-30T13:01:55"/>
    <d v="2021-02-01T13:01:55"/>
    <x v="3"/>
    <x v="4"/>
    <x v="2"/>
    <x v="0"/>
    <s v="Y"/>
    <n v="72"/>
    <x v="0"/>
    <d v="1899-12-30T00:01:22"/>
    <n v="4"/>
  </r>
  <r>
    <x v="1800"/>
    <s v="Stewart"/>
    <x v="31"/>
    <d v="1899-12-30T13:24:58"/>
    <d v="2021-02-01T13:24:58"/>
    <x v="3"/>
    <x v="4"/>
    <x v="2"/>
    <x v="0"/>
    <s v="Y"/>
    <n v="113"/>
    <x v="0"/>
    <d v="1899-12-30T00:04:54"/>
    <n v="3"/>
  </r>
  <r>
    <x v="1801"/>
    <s v="Joe"/>
    <x v="31"/>
    <d v="1899-12-30T13:24:58"/>
    <d v="2021-02-01T13:24:58"/>
    <x v="3"/>
    <x v="4"/>
    <x v="2"/>
    <x v="0"/>
    <s v="Y"/>
    <n v="51"/>
    <x v="0"/>
    <d v="1899-12-30T00:02:57"/>
    <n v="4"/>
  </r>
  <r>
    <x v="1802"/>
    <s v="Jim"/>
    <x v="31"/>
    <d v="1899-12-30T13:30:43"/>
    <d v="2021-02-01T13:30:43"/>
    <x v="3"/>
    <x v="4"/>
    <x v="3"/>
    <x v="0"/>
    <s v="Y"/>
    <n v="99"/>
    <x v="0"/>
    <d v="1899-12-30T00:01:30"/>
    <n v="4"/>
  </r>
  <r>
    <x v="1803"/>
    <s v="Dan"/>
    <x v="31"/>
    <d v="1899-12-30T13:30:43"/>
    <d v="2021-02-01T13:30:43"/>
    <x v="3"/>
    <x v="4"/>
    <x v="4"/>
    <x v="0"/>
    <s v="Y"/>
    <n v="99"/>
    <x v="0"/>
    <d v="1899-12-30T00:00:55"/>
    <n v="2"/>
  </r>
  <r>
    <x v="1804"/>
    <s v="Dan"/>
    <x v="31"/>
    <d v="1899-12-30T13:36:29"/>
    <d v="2021-02-01T13:36:29"/>
    <x v="3"/>
    <x v="4"/>
    <x v="0"/>
    <x v="1"/>
    <s v="N"/>
    <m/>
    <x v="0"/>
    <m/>
    <m/>
  </r>
  <r>
    <x v="1805"/>
    <s v="Jim"/>
    <x v="31"/>
    <d v="1899-12-30T13:36:29"/>
    <d v="2021-02-01T13:36:29"/>
    <x v="3"/>
    <x v="4"/>
    <x v="4"/>
    <x v="0"/>
    <s v="Y"/>
    <n v="37"/>
    <x v="0"/>
    <d v="1899-12-30T00:03:02"/>
    <n v="4"/>
  </r>
  <r>
    <x v="1806"/>
    <s v="Martha"/>
    <x v="31"/>
    <d v="1899-12-30T13:37:55"/>
    <d v="2021-02-01T13:37:55"/>
    <x v="3"/>
    <x v="4"/>
    <x v="0"/>
    <x v="0"/>
    <s v="Y"/>
    <n v="115"/>
    <x v="0"/>
    <d v="1899-12-30T00:01:51"/>
    <n v="3"/>
  </r>
  <r>
    <x v="1807"/>
    <s v="Martha"/>
    <x v="31"/>
    <d v="1899-12-30T13:37:55"/>
    <d v="2021-02-01T13:37:55"/>
    <x v="3"/>
    <x v="4"/>
    <x v="0"/>
    <x v="0"/>
    <s v="Y"/>
    <n v="97"/>
    <x v="0"/>
    <d v="1899-12-30T00:03:00"/>
    <n v="5"/>
  </r>
  <r>
    <x v="1808"/>
    <s v="Becky"/>
    <x v="31"/>
    <d v="1899-12-30T13:46:34"/>
    <d v="2021-02-01T13:46:34"/>
    <x v="3"/>
    <x v="4"/>
    <x v="0"/>
    <x v="1"/>
    <s v="N"/>
    <m/>
    <x v="0"/>
    <m/>
    <m/>
  </r>
  <r>
    <x v="1809"/>
    <s v="Dan"/>
    <x v="31"/>
    <d v="1899-12-30T13:46:34"/>
    <d v="2021-02-01T13:46:34"/>
    <x v="3"/>
    <x v="4"/>
    <x v="0"/>
    <x v="0"/>
    <s v="N"/>
    <n v="87"/>
    <x v="0"/>
    <d v="1899-12-30T00:06:47"/>
    <n v="5"/>
  </r>
  <r>
    <x v="1810"/>
    <s v="Becky"/>
    <x v="31"/>
    <d v="1899-12-30T13:50:53"/>
    <d v="2021-02-01T13:50:53"/>
    <x v="3"/>
    <x v="4"/>
    <x v="2"/>
    <x v="0"/>
    <s v="Y"/>
    <n v="97"/>
    <x v="0"/>
    <d v="1899-12-30T00:04:47"/>
    <n v="1"/>
  </r>
  <r>
    <x v="1811"/>
    <s v="Greg"/>
    <x v="31"/>
    <d v="1899-12-30T13:50:53"/>
    <d v="2021-02-01T13:50:53"/>
    <x v="3"/>
    <x v="4"/>
    <x v="4"/>
    <x v="0"/>
    <s v="N"/>
    <n v="119"/>
    <x v="0"/>
    <d v="1899-12-30T00:01:03"/>
    <n v="5"/>
  </r>
  <r>
    <x v="1812"/>
    <s v="Diane"/>
    <x v="31"/>
    <d v="1899-12-30T13:58:05"/>
    <d v="2021-02-01T13:58:05"/>
    <x v="3"/>
    <x v="4"/>
    <x v="0"/>
    <x v="0"/>
    <s v="Y"/>
    <n v="122"/>
    <x v="0"/>
    <d v="1899-12-30T00:02:18"/>
    <n v="3"/>
  </r>
  <r>
    <x v="1813"/>
    <s v="Becky"/>
    <x v="31"/>
    <d v="1899-12-30T13:58:05"/>
    <d v="2021-02-01T13:58:05"/>
    <x v="3"/>
    <x v="4"/>
    <x v="0"/>
    <x v="0"/>
    <s v="Y"/>
    <n v="60"/>
    <x v="0"/>
    <d v="1899-12-30T00:02:10"/>
    <n v="1"/>
  </r>
  <r>
    <x v="1814"/>
    <s v="Greg"/>
    <x v="31"/>
    <d v="1899-12-30T14:16:48"/>
    <d v="2021-02-01T14:16:48"/>
    <x v="3"/>
    <x v="5"/>
    <x v="1"/>
    <x v="0"/>
    <s v="N"/>
    <n v="58"/>
    <x v="0"/>
    <d v="1899-12-30T00:02:19"/>
    <n v="2"/>
  </r>
  <r>
    <x v="1815"/>
    <s v="Greg"/>
    <x v="31"/>
    <d v="1899-12-30T14:16:48"/>
    <d v="2021-02-01T14:16:48"/>
    <x v="3"/>
    <x v="5"/>
    <x v="3"/>
    <x v="0"/>
    <s v="Y"/>
    <n v="84"/>
    <x v="0"/>
    <d v="1899-12-30T00:06:27"/>
    <n v="4"/>
  </r>
  <r>
    <x v="1816"/>
    <s v="Joe"/>
    <x v="31"/>
    <d v="1899-12-30T14:32:38"/>
    <d v="2021-02-01T14:32:38"/>
    <x v="3"/>
    <x v="5"/>
    <x v="2"/>
    <x v="1"/>
    <s v="N"/>
    <m/>
    <x v="0"/>
    <m/>
    <m/>
  </r>
  <r>
    <x v="1817"/>
    <s v="Dan"/>
    <x v="31"/>
    <d v="1899-12-30T14:32:38"/>
    <d v="2021-02-01T14:32:38"/>
    <x v="3"/>
    <x v="5"/>
    <x v="2"/>
    <x v="0"/>
    <s v="Y"/>
    <n v="72"/>
    <x v="0"/>
    <d v="1899-12-30T00:02:54"/>
    <n v="2"/>
  </r>
  <r>
    <x v="1818"/>
    <s v="Martha"/>
    <x v="31"/>
    <d v="1899-12-30T14:35:31"/>
    <d v="2021-02-01T14:35:31"/>
    <x v="3"/>
    <x v="5"/>
    <x v="4"/>
    <x v="0"/>
    <s v="Y"/>
    <n v="46"/>
    <x v="0"/>
    <d v="1899-12-30T00:03:02"/>
    <n v="4"/>
  </r>
  <r>
    <x v="1819"/>
    <s v="Martha"/>
    <x v="31"/>
    <d v="1899-12-30T14:35:31"/>
    <d v="2021-02-01T14:35:31"/>
    <x v="3"/>
    <x v="5"/>
    <x v="2"/>
    <x v="0"/>
    <s v="Y"/>
    <n v="101"/>
    <x v="0"/>
    <d v="1899-12-30T00:04:45"/>
    <n v="5"/>
  </r>
  <r>
    <x v="1820"/>
    <s v="Jim"/>
    <x v="31"/>
    <d v="1899-12-30T15:28:48"/>
    <d v="2021-02-01T15:28:48"/>
    <x v="3"/>
    <x v="6"/>
    <x v="0"/>
    <x v="0"/>
    <s v="Y"/>
    <n v="101"/>
    <x v="0"/>
    <d v="1899-12-30T00:04:50"/>
    <n v="2"/>
  </r>
  <r>
    <x v="1821"/>
    <s v="Jim"/>
    <x v="31"/>
    <d v="1899-12-30T15:28:48"/>
    <d v="2021-02-01T15:28:48"/>
    <x v="3"/>
    <x v="6"/>
    <x v="3"/>
    <x v="0"/>
    <s v="Y"/>
    <n v="63"/>
    <x v="0"/>
    <d v="1899-12-30T00:05:50"/>
    <n v="1"/>
  </r>
  <r>
    <x v="1822"/>
    <s v="Jim"/>
    <x v="31"/>
    <d v="1899-12-30T16:14:53"/>
    <d v="2021-02-01T16:14:53"/>
    <x v="3"/>
    <x v="8"/>
    <x v="2"/>
    <x v="0"/>
    <s v="Y"/>
    <n v="125"/>
    <x v="0"/>
    <d v="1899-12-30T00:02:55"/>
    <n v="1"/>
  </r>
  <r>
    <x v="1823"/>
    <s v="Martha"/>
    <x v="31"/>
    <d v="1899-12-30T16:14:53"/>
    <d v="2021-02-01T16:14:53"/>
    <x v="3"/>
    <x v="8"/>
    <x v="2"/>
    <x v="0"/>
    <s v="Y"/>
    <n v="44"/>
    <x v="0"/>
    <d v="1899-12-30T00:00:41"/>
    <n v="5"/>
  </r>
  <r>
    <x v="1824"/>
    <s v="Martha"/>
    <x v="31"/>
    <d v="1899-12-30T16:22:05"/>
    <d v="2021-02-01T16:22:05"/>
    <x v="3"/>
    <x v="8"/>
    <x v="4"/>
    <x v="0"/>
    <s v="Y"/>
    <n v="16"/>
    <x v="1"/>
    <d v="1899-12-30T00:02:16"/>
    <n v="5"/>
  </r>
  <r>
    <x v="1825"/>
    <s v="Dan"/>
    <x v="31"/>
    <d v="1899-12-30T16:22:05"/>
    <d v="2021-02-01T16:22:05"/>
    <x v="3"/>
    <x v="8"/>
    <x v="1"/>
    <x v="0"/>
    <s v="Y"/>
    <n v="31"/>
    <x v="0"/>
    <d v="1899-12-30T00:03:31"/>
    <n v="4"/>
  </r>
  <r>
    <x v="1826"/>
    <s v="Dan"/>
    <x v="31"/>
    <d v="1899-12-30T16:22:05"/>
    <d v="2021-02-01T16:22:05"/>
    <x v="3"/>
    <x v="8"/>
    <x v="3"/>
    <x v="0"/>
    <s v="Y"/>
    <n v="114"/>
    <x v="0"/>
    <d v="1899-12-30T00:00:45"/>
    <n v="5"/>
  </r>
  <r>
    <x v="1827"/>
    <s v="Greg"/>
    <x v="31"/>
    <d v="1899-12-30T16:22:05"/>
    <d v="2021-02-01T16:22:05"/>
    <x v="3"/>
    <x v="8"/>
    <x v="0"/>
    <x v="0"/>
    <s v="Y"/>
    <n v="10"/>
    <x v="1"/>
    <d v="1899-12-30T00:03:21"/>
    <n v="2"/>
  </r>
  <r>
    <x v="1828"/>
    <s v="Greg"/>
    <x v="31"/>
    <d v="1899-12-30T16:46:34"/>
    <d v="2021-02-01T16:46:34"/>
    <x v="3"/>
    <x v="8"/>
    <x v="4"/>
    <x v="0"/>
    <s v="Y"/>
    <n v="105"/>
    <x v="0"/>
    <d v="1899-12-30T00:04:33"/>
    <n v="3"/>
  </r>
  <r>
    <x v="1829"/>
    <s v="Greg"/>
    <x v="31"/>
    <d v="1899-12-30T16:46:34"/>
    <d v="2021-02-01T16:46:34"/>
    <x v="3"/>
    <x v="8"/>
    <x v="2"/>
    <x v="1"/>
    <s v="N"/>
    <m/>
    <x v="0"/>
    <m/>
    <m/>
  </r>
  <r>
    <x v="1830"/>
    <s v="Dan"/>
    <x v="31"/>
    <d v="1899-12-30T17:12:29"/>
    <d v="2021-02-01T17:12:29"/>
    <x v="3"/>
    <x v="7"/>
    <x v="3"/>
    <x v="0"/>
    <s v="Y"/>
    <n v="120"/>
    <x v="0"/>
    <d v="1899-12-30T00:02:22"/>
    <n v="4"/>
  </r>
  <r>
    <x v="1831"/>
    <s v="Joe"/>
    <x v="31"/>
    <d v="1899-12-30T17:12:29"/>
    <d v="2021-02-01T17:12:29"/>
    <x v="3"/>
    <x v="7"/>
    <x v="2"/>
    <x v="1"/>
    <s v="N"/>
    <m/>
    <x v="0"/>
    <m/>
    <m/>
  </r>
  <r>
    <x v="1832"/>
    <s v="Stewart"/>
    <x v="31"/>
    <d v="1899-12-30T17:24:00"/>
    <d v="2021-02-01T17:24:00"/>
    <x v="3"/>
    <x v="7"/>
    <x v="1"/>
    <x v="1"/>
    <s v="N"/>
    <m/>
    <x v="0"/>
    <m/>
    <m/>
  </r>
  <r>
    <x v="1833"/>
    <s v="Greg"/>
    <x v="31"/>
    <d v="1899-12-30T17:24:00"/>
    <d v="2021-02-01T17:24:00"/>
    <x v="3"/>
    <x v="7"/>
    <x v="2"/>
    <x v="1"/>
    <s v="N"/>
    <m/>
    <x v="0"/>
    <m/>
    <m/>
  </r>
  <r>
    <x v="1834"/>
    <s v="Jim"/>
    <x v="31"/>
    <d v="1899-12-30T17:34:05"/>
    <d v="2021-02-01T17:34:05"/>
    <x v="3"/>
    <x v="7"/>
    <x v="1"/>
    <x v="0"/>
    <s v="Y"/>
    <n v="51"/>
    <x v="0"/>
    <d v="1899-12-30T00:04:30"/>
    <n v="5"/>
  </r>
  <r>
    <x v="1835"/>
    <s v="Stewart"/>
    <x v="31"/>
    <d v="1899-12-30T17:34:05"/>
    <d v="2021-02-01T17:34:05"/>
    <x v="3"/>
    <x v="7"/>
    <x v="1"/>
    <x v="0"/>
    <s v="Y"/>
    <n v="124"/>
    <x v="0"/>
    <d v="1899-12-30T00:06:19"/>
    <n v="3"/>
  </r>
  <r>
    <x v="1836"/>
    <s v="Dan"/>
    <x v="31"/>
    <d v="1899-12-30T17:38:24"/>
    <d v="2021-02-01T17:38:24"/>
    <x v="3"/>
    <x v="7"/>
    <x v="2"/>
    <x v="0"/>
    <s v="N"/>
    <n v="22"/>
    <x v="0"/>
    <d v="1899-12-30T00:01:49"/>
    <n v="4"/>
  </r>
  <r>
    <x v="1837"/>
    <s v="Martha"/>
    <x v="31"/>
    <d v="1899-12-30T17:38:24"/>
    <d v="2021-02-01T17:38:24"/>
    <x v="3"/>
    <x v="7"/>
    <x v="2"/>
    <x v="0"/>
    <s v="N"/>
    <n v="29"/>
    <x v="0"/>
    <d v="1899-12-30T00:04:20"/>
    <n v="3"/>
  </r>
  <r>
    <x v="1838"/>
    <s v="Becky"/>
    <x v="31"/>
    <d v="1899-12-30T17:39:50"/>
    <d v="2021-02-01T17:39:50"/>
    <x v="3"/>
    <x v="7"/>
    <x v="1"/>
    <x v="0"/>
    <s v="Y"/>
    <n v="125"/>
    <x v="0"/>
    <d v="1899-12-30T00:02:24"/>
    <n v="4"/>
  </r>
  <r>
    <x v="1839"/>
    <s v="Jim"/>
    <x v="31"/>
    <d v="1899-12-30T17:39:50"/>
    <d v="2021-02-01T17:39:50"/>
    <x v="3"/>
    <x v="7"/>
    <x v="0"/>
    <x v="0"/>
    <s v="Y"/>
    <n v="54"/>
    <x v="0"/>
    <d v="1899-12-30T00:05:09"/>
    <n v="4"/>
  </r>
  <r>
    <x v="1840"/>
    <s v="Martha"/>
    <x v="31"/>
    <d v="1899-12-30T17:48:29"/>
    <d v="2021-02-01T17:48:29"/>
    <x v="3"/>
    <x v="7"/>
    <x v="1"/>
    <x v="0"/>
    <s v="Y"/>
    <n v="45"/>
    <x v="0"/>
    <d v="1899-12-30T00:06:08"/>
    <n v="3"/>
  </r>
  <r>
    <x v="1841"/>
    <s v="Diane"/>
    <x v="31"/>
    <d v="1899-12-30T17:48:29"/>
    <d v="2021-02-01T17:48:29"/>
    <x v="3"/>
    <x v="7"/>
    <x v="3"/>
    <x v="0"/>
    <s v="Y"/>
    <n v="101"/>
    <x v="0"/>
    <d v="1899-12-30T00:01:55"/>
    <n v="5"/>
  </r>
  <r>
    <x v="1842"/>
    <s v="Diane"/>
    <x v="31"/>
    <d v="1899-12-30T17:57:07"/>
    <d v="2021-02-01T17:57:07"/>
    <x v="3"/>
    <x v="7"/>
    <x v="0"/>
    <x v="0"/>
    <s v="Y"/>
    <n v="80"/>
    <x v="0"/>
    <d v="1899-12-30T00:03:53"/>
    <n v="3"/>
  </r>
  <r>
    <x v="1843"/>
    <s v="Diane"/>
    <x v="31"/>
    <d v="1899-12-30T17:57:07"/>
    <d v="2021-02-01T17:57:07"/>
    <x v="3"/>
    <x v="7"/>
    <x v="4"/>
    <x v="1"/>
    <s v="N"/>
    <m/>
    <x v="0"/>
    <m/>
    <m/>
  </r>
  <r>
    <x v="1844"/>
    <s v="Joe"/>
    <x v="32"/>
    <d v="1899-12-30T09:20:10"/>
    <d v="2021-02-02T09:20:10"/>
    <x v="4"/>
    <x v="0"/>
    <x v="2"/>
    <x v="0"/>
    <s v="Y"/>
    <n v="118"/>
    <x v="0"/>
    <d v="1899-12-30T00:03:57"/>
    <n v="5"/>
  </r>
  <r>
    <x v="1845"/>
    <s v="Greg"/>
    <x v="32"/>
    <d v="1899-12-30T09:20:10"/>
    <d v="2021-02-02T09:20:10"/>
    <x v="4"/>
    <x v="0"/>
    <x v="4"/>
    <x v="0"/>
    <s v="Y"/>
    <n v="13"/>
    <x v="1"/>
    <d v="1899-12-30T00:06:12"/>
    <n v="5"/>
  </r>
  <r>
    <x v="1846"/>
    <s v="Dan"/>
    <x v="32"/>
    <d v="1899-12-30T09:44:38"/>
    <d v="2021-02-02T09:44:38"/>
    <x v="4"/>
    <x v="0"/>
    <x v="4"/>
    <x v="0"/>
    <s v="Y"/>
    <n v="64"/>
    <x v="0"/>
    <d v="1899-12-30T00:01:28"/>
    <n v="5"/>
  </r>
  <r>
    <x v="1847"/>
    <s v="Jim"/>
    <x v="32"/>
    <d v="1899-12-30T09:44:38"/>
    <d v="2021-02-02T09:44:38"/>
    <x v="4"/>
    <x v="0"/>
    <x v="0"/>
    <x v="0"/>
    <s v="Y"/>
    <n v="39"/>
    <x v="0"/>
    <d v="1899-12-30T00:06:59"/>
    <n v="4"/>
  </r>
  <r>
    <x v="1848"/>
    <s v="Joe"/>
    <x v="32"/>
    <d v="1899-12-30T09:54:43"/>
    <d v="2021-02-02T09:54:43"/>
    <x v="4"/>
    <x v="0"/>
    <x v="3"/>
    <x v="1"/>
    <s v="N"/>
    <m/>
    <x v="0"/>
    <m/>
    <m/>
  </r>
  <r>
    <x v="1849"/>
    <s v="Stewart"/>
    <x v="32"/>
    <d v="1899-12-30T09:54:43"/>
    <d v="2021-02-02T09:54:43"/>
    <x v="4"/>
    <x v="0"/>
    <x v="0"/>
    <x v="1"/>
    <s v="N"/>
    <m/>
    <x v="0"/>
    <m/>
    <m/>
  </r>
  <r>
    <x v="1850"/>
    <s v="Martha"/>
    <x v="32"/>
    <d v="1899-12-30T09:57:36"/>
    <d v="2021-02-02T09:57:36"/>
    <x v="4"/>
    <x v="0"/>
    <x v="4"/>
    <x v="1"/>
    <s v="N"/>
    <m/>
    <x v="0"/>
    <m/>
    <m/>
  </r>
  <r>
    <x v="1851"/>
    <s v="Stewart"/>
    <x v="32"/>
    <d v="1899-12-30T09:57:36"/>
    <d v="2021-02-02T09:57:36"/>
    <x v="4"/>
    <x v="0"/>
    <x v="4"/>
    <x v="0"/>
    <s v="Y"/>
    <n v="35"/>
    <x v="0"/>
    <d v="1899-12-30T00:01:03"/>
    <n v="4"/>
  </r>
  <r>
    <x v="1852"/>
    <s v="Joe"/>
    <x v="32"/>
    <d v="1899-12-30T10:35:02"/>
    <d v="2021-02-02T10:35:02"/>
    <x v="4"/>
    <x v="1"/>
    <x v="0"/>
    <x v="0"/>
    <s v="N"/>
    <n v="105"/>
    <x v="0"/>
    <d v="1899-12-30T00:05:08"/>
    <n v="4"/>
  </r>
  <r>
    <x v="1853"/>
    <s v="Stewart"/>
    <x v="32"/>
    <d v="1899-12-30T10:35:02"/>
    <d v="2021-02-02T10:35:02"/>
    <x v="4"/>
    <x v="1"/>
    <x v="3"/>
    <x v="0"/>
    <s v="Y"/>
    <n v="60"/>
    <x v="0"/>
    <d v="1899-12-30T00:01:34"/>
    <n v="2"/>
  </r>
  <r>
    <x v="1854"/>
    <s v="Stewart"/>
    <x v="32"/>
    <d v="1899-12-30T11:05:17"/>
    <d v="2021-02-02T11:05:17"/>
    <x v="4"/>
    <x v="2"/>
    <x v="0"/>
    <x v="0"/>
    <s v="Y"/>
    <n v="13"/>
    <x v="1"/>
    <d v="1899-12-30T00:01:54"/>
    <n v="1"/>
  </r>
  <r>
    <x v="1855"/>
    <s v="Becky"/>
    <x v="32"/>
    <d v="1899-12-30T11:05:17"/>
    <d v="2021-02-02T11:05:17"/>
    <x v="4"/>
    <x v="2"/>
    <x v="1"/>
    <x v="0"/>
    <s v="Y"/>
    <n v="25"/>
    <x v="0"/>
    <d v="1899-12-30T00:04:58"/>
    <n v="5"/>
  </r>
  <r>
    <x v="1856"/>
    <s v="Becky"/>
    <x v="32"/>
    <d v="1899-12-30T11:18:14"/>
    <d v="2021-02-02T11:18:14"/>
    <x v="4"/>
    <x v="2"/>
    <x v="4"/>
    <x v="0"/>
    <s v="Y"/>
    <n v="102"/>
    <x v="0"/>
    <d v="1899-12-30T00:06:37"/>
    <n v="4"/>
  </r>
  <r>
    <x v="1857"/>
    <s v="Jim"/>
    <x v="32"/>
    <d v="1899-12-30T11:18:14"/>
    <d v="2021-02-02T11:18:14"/>
    <x v="4"/>
    <x v="2"/>
    <x v="0"/>
    <x v="0"/>
    <s v="Y"/>
    <n v="88"/>
    <x v="0"/>
    <d v="1899-12-30T00:06:11"/>
    <n v="3"/>
  </r>
  <r>
    <x v="1858"/>
    <s v="Becky"/>
    <x v="32"/>
    <d v="1899-12-30T13:06:14"/>
    <d v="2021-02-02T13:06:14"/>
    <x v="4"/>
    <x v="4"/>
    <x v="4"/>
    <x v="0"/>
    <s v="Y"/>
    <n v="40"/>
    <x v="0"/>
    <d v="1899-12-30T00:01:42"/>
    <n v="5"/>
  </r>
  <r>
    <x v="1859"/>
    <s v="Joe"/>
    <x v="32"/>
    <d v="1899-12-30T13:06:14"/>
    <d v="2021-02-02T13:06:14"/>
    <x v="4"/>
    <x v="4"/>
    <x v="0"/>
    <x v="1"/>
    <s v="N"/>
    <m/>
    <x v="0"/>
    <m/>
    <m/>
  </r>
  <r>
    <x v="1860"/>
    <s v="Dan"/>
    <x v="32"/>
    <d v="1899-12-30T13:23:31"/>
    <d v="2021-02-02T13:23:31"/>
    <x v="4"/>
    <x v="4"/>
    <x v="4"/>
    <x v="0"/>
    <s v="Y"/>
    <n v="75"/>
    <x v="0"/>
    <d v="1899-12-30T00:03:00"/>
    <n v="5"/>
  </r>
  <r>
    <x v="1861"/>
    <s v="Stewart"/>
    <x v="32"/>
    <d v="1899-12-30T13:23:31"/>
    <d v="2021-02-02T13:23:31"/>
    <x v="4"/>
    <x v="4"/>
    <x v="2"/>
    <x v="0"/>
    <s v="N"/>
    <n v="35"/>
    <x v="0"/>
    <d v="1899-12-30T00:03:15"/>
    <n v="4"/>
  </r>
  <r>
    <x v="1862"/>
    <s v="Greg"/>
    <x v="32"/>
    <d v="1899-12-30T13:46:34"/>
    <d v="2021-02-02T13:46:34"/>
    <x v="4"/>
    <x v="4"/>
    <x v="2"/>
    <x v="1"/>
    <s v="N"/>
    <m/>
    <x v="0"/>
    <m/>
    <m/>
  </r>
  <r>
    <x v="1863"/>
    <s v="Greg"/>
    <x v="32"/>
    <d v="1899-12-30T13:46:34"/>
    <d v="2021-02-02T13:46:34"/>
    <x v="4"/>
    <x v="4"/>
    <x v="2"/>
    <x v="0"/>
    <s v="Y"/>
    <n v="21"/>
    <x v="0"/>
    <d v="1899-12-30T00:02:44"/>
    <n v="2"/>
  </r>
  <r>
    <x v="1864"/>
    <s v="Diane"/>
    <x v="32"/>
    <d v="1899-12-30T13:46:34"/>
    <d v="2021-02-02T13:46:34"/>
    <x v="4"/>
    <x v="4"/>
    <x v="4"/>
    <x v="1"/>
    <s v="N"/>
    <m/>
    <x v="0"/>
    <m/>
    <m/>
  </r>
  <r>
    <x v="1865"/>
    <s v="Greg"/>
    <x v="32"/>
    <d v="1899-12-30T13:46:34"/>
    <d v="2021-02-02T13:46:34"/>
    <x v="4"/>
    <x v="4"/>
    <x v="3"/>
    <x v="0"/>
    <s v="Y"/>
    <n v="49"/>
    <x v="0"/>
    <d v="1899-12-30T00:04:16"/>
    <n v="3"/>
  </r>
  <r>
    <x v="1866"/>
    <s v="Joe"/>
    <x v="32"/>
    <d v="1899-12-30T14:00:58"/>
    <d v="2021-02-02T14:00:58"/>
    <x v="4"/>
    <x v="5"/>
    <x v="3"/>
    <x v="0"/>
    <s v="Y"/>
    <n v="81"/>
    <x v="0"/>
    <d v="1899-12-30T00:05:57"/>
    <n v="4"/>
  </r>
  <r>
    <x v="1867"/>
    <s v="Becky"/>
    <x v="32"/>
    <d v="1899-12-30T14:00:58"/>
    <d v="2021-02-02T14:00:58"/>
    <x v="4"/>
    <x v="5"/>
    <x v="0"/>
    <x v="0"/>
    <s v="Y"/>
    <n v="48"/>
    <x v="0"/>
    <d v="1899-12-30T00:01:18"/>
    <n v="4"/>
  </r>
  <r>
    <x v="1868"/>
    <s v="Greg"/>
    <x v="32"/>
    <d v="1899-12-30T15:30:14"/>
    <d v="2021-02-02T15:30:14"/>
    <x v="4"/>
    <x v="6"/>
    <x v="4"/>
    <x v="0"/>
    <s v="Y"/>
    <n v="103"/>
    <x v="0"/>
    <d v="1899-12-30T00:04:12"/>
    <n v="5"/>
  </r>
  <r>
    <x v="1869"/>
    <s v="Stewart"/>
    <x v="32"/>
    <d v="1899-12-30T15:30:14"/>
    <d v="2021-02-02T15:30:14"/>
    <x v="4"/>
    <x v="6"/>
    <x v="2"/>
    <x v="0"/>
    <s v="Y"/>
    <n v="63"/>
    <x v="0"/>
    <d v="1899-12-30T00:06:25"/>
    <n v="4"/>
  </r>
  <r>
    <x v="1870"/>
    <s v="Greg"/>
    <x v="32"/>
    <d v="1899-12-30T15:34:34"/>
    <d v="2021-02-02T15:34:34"/>
    <x v="4"/>
    <x v="6"/>
    <x v="3"/>
    <x v="0"/>
    <s v="Y"/>
    <n v="89"/>
    <x v="0"/>
    <d v="1899-12-30T00:05:13"/>
    <n v="4"/>
  </r>
  <r>
    <x v="1871"/>
    <s v="Dan"/>
    <x v="32"/>
    <d v="1899-12-30T15:34:34"/>
    <d v="2021-02-02T15:34:34"/>
    <x v="4"/>
    <x v="6"/>
    <x v="3"/>
    <x v="0"/>
    <s v="Y"/>
    <n v="115"/>
    <x v="0"/>
    <d v="1899-12-30T00:03:13"/>
    <n v="4"/>
  </r>
  <r>
    <x v="1872"/>
    <s v="Stewart"/>
    <x v="32"/>
    <d v="1899-12-30T15:48:58"/>
    <d v="2021-02-02T15:48:58"/>
    <x v="4"/>
    <x v="6"/>
    <x v="4"/>
    <x v="0"/>
    <s v="Y"/>
    <n v="88"/>
    <x v="0"/>
    <d v="1899-12-30T00:06:00"/>
    <n v="1"/>
  </r>
  <r>
    <x v="1873"/>
    <s v="Diane"/>
    <x v="32"/>
    <d v="1899-12-30T15:48:58"/>
    <d v="2021-02-02T15:48:58"/>
    <x v="4"/>
    <x v="6"/>
    <x v="4"/>
    <x v="0"/>
    <s v="Y"/>
    <n v="91"/>
    <x v="0"/>
    <d v="1899-12-30T00:06:25"/>
    <n v="5"/>
  </r>
  <r>
    <x v="1874"/>
    <s v="Dan"/>
    <x v="32"/>
    <d v="1899-12-30T16:45:07"/>
    <d v="2021-02-02T16:45:07"/>
    <x v="4"/>
    <x v="8"/>
    <x v="4"/>
    <x v="0"/>
    <s v="Y"/>
    <n v="78"/>
    <x v="0"/>
    <d v="1899-12-30T00:03:35"/>
    <n v="4"/>
  </r>
  <r>
    <x v="1875"/>
    <s v="Martha"/>
    <x v="32"/>
    <d v="1899-12-30T16:45:07"/>
    <d v="2021-02-02T16:45:07"/>
    <x v="4"/>
    <x v="8"/>
    <x v="0"/>
    <x v="0"/>
    <s v="Y"/>
    <n v="91"/>
    <x v="0"/>
    <d v="1899-12-30T00:02:09"/>
    <n v="3"/>
  </r>
  <r>
    <x v="1876"/>
    <s v="Joe"/>
    <x v="32"/>
    <d v="1899-12-30T16:52:19"/>
    <d v="2021-02-02T16:52:19"/>
    <x v="4"/>
    <x v="8"/>
    <x v="4"/>
    <x v="0"/>
    <s v="Y"/>
    <n v="102"/>
    <x v="0"/>
    <d v="1899-12-30T00:02:40"/>
    <n v="3"/>
  </r>
  <r>
    <x v="1877"/>
    <s v="Martha"/>
    <x v="32"/>
    <d v="1899-12-30T16:52:19"/>
    <d v="2021-02-02T16:52:19"/>
    <x v="4"/>
    <x v="8"/>
    <x v="1"/>
    <x v="1"/>
    <s v="N"/>
    <m/>
    <x v="0"/>
    <m/>
    <m/>
  </r>
  <r>
    <x v="1878"/>
    <s v="Greg"/>
    <x v="32"/>
    <d v="1899-12-30T17:11:02"/>
    <d v="2021-02-02T17:11:02"/>
    <x v="4"/>
    <x v="7"/>
    <x v="4"/>
    <x v="0"/>
    <s v="Y"/>
    <n v="24"/>
    <x v="0"/>
    <d v="1899-12-30T00:02:40"/>
    <n v="4"/>
  </r>
  <r>
    <x v="1879"/>
    <s v="Stewart"/>
    <x v="32"/>
    <d v="1899-12-30T17:11:02"/>
    <d v="2021-02-02T17:11:02"/>
    <x v="4"/>
    <x v="7"/>
    <x v="2"/>
    <x v="1"/>
    <s v="N"/>
    <m/>
    <x v="0"/>
    <m/>
    <m/>
  </r>
  <r>
    <x v="1880"/>
    <s v="Joe"/>
    <x v="33"/>
    <d v="1899-12-30T09:25:55"/>
    <d v="2021-02-03T09:25:55"/>
    <x v="5"/>
    <x v="0"/>
    <x v="1"/>
    <x v="0"/>
    <s v="Y"/>
    <n v="19"/>
    <x v="1"/>
    <d v="1899-12-30T00:01:50"/>
    <n v="1"/>
  </r>
  <r>
    <x v="1881"/>
    <s v="Jim"/>
    <x v="33"/>
    <d v="1899-12-30T09:25:55"/>
    <d v="2021-02-03T09:25:55"/>
    <x v="5"/>
    <x v="0"/>
    <x v="4"/>
    <x v="0"/>
    <s v="Y"/>
    <n v="47"/>
    <x v="0"/>
    <d v="1899-12-30T00:00:53"/>
    <n v="4"/>
  </r>
  <r>
    <x v="1882"/>
    <s v="Greg"/>
    <x v="33"/>
    <d v="1899-12-30T09:28:48"/>
    <d v="2021-02-03T09:28:48"/>
    <x v="5"/>
    <x v="0"/>
    <x v="3"/>
    <x v="0"/>
    <s v="Y"/>
    <n v="61"/>
    <x v="0"/>
    <d v="1899-12-30T00:03:23"/>
    <n v="4"/>
  </r>
  <r>
    <x v="1883"/>
    <s v="Greg"/>
    <x v="33"/>
    <d v="1899-12-30T09:28:48"/>
    <d v="2021-02-03T09:28:48"/>
    <x v="5"/>
    <x v="0"/>
    <x v="3"/>
    <x v="0"/>
    <s v="Y"/>
    <n v="73"/>
    <x v="0"/>
    <d v="1899-12-30T00:05:34"/>
    <n v="5"/>
  </r>
  <r>
    <x v="1884"/>
    <s v="Stewart"/>
    <x v="33"/>
    <d v="1899-12-30T09:36:00"/>
    <d v="2021-02-03T09:36:00"/>
    <x v="5"/>
    <x v="0"/>
    <x v="1"/>
    <x v="0"/>
    <s v="Y"/>
    <n v="67"/>
    <x v="0"/>
    <d v="1899-12-30T00:05:17"/>
    <n v="5"/>
  </r>
  <r>
    <x v="1885"/>
    <s v="Greg"/>
    <x v="33"/>
    <d v="1899-12-30T09:36:00"/>
    <d v="2021-02-03T09:36:00"/>
    <x v="5"/>
    <x v="0"/>
    <x v="4"/>
    <x v="0"/>
    <s v="Y"/>
    <n v="22"/>
    <x v="0"/>
    <d v="1899-12-30T00:06:38"/>
    <n v="1"/>
  </r>
  <r>
    <x v="1886"/>
    <s v="Becky"/>
    <x v="33"/>
    <d v="1899-12-30T09:41:46"/>
    <d v="2021-02-03T09:41:46"/>
    <x v="5"/>
    <x v="0"/>
    <x v="0"/>
    <x v="0"/>
    <s v="Y"/>
    <n v="86"/>
    <x v="0"/>
    <d v="1899-12-30T00:00:44"/>
    <n v="5"/>
  </r>
  <r>
    <x v="1887"/>
    <s v="Diane"/>
    <x v="33"/>
    <d v="1899-12-30T09:41:46"/>
    <d v="2021-02-03T09:41:46"/>
    <x v="5"/>
    <x v="0"/>
    <x v="4"/>
    <x v="1"/>
    <s v="N"/>
    <m/>
    <x v="0"/>
    <m/>
    <m/>
  </r>
  <r>
    <x v="1888"/>
    <s v="Greg"/>
    <x v="33"/>
    <d v="1899-12-30T09:48:58"/>
    <d v="2021-02-03T09:48:58"/>
    <x v="5"/>
    <x v="0"/>
    <x v="4"/>
    <x v="1"/>
    <s v="N"/>
    <m/>
    <x v="0"/>
    <m/>
    <m/>
  </r>
  <r>
    <x v="1889"/>
    <s v="Diane"/>
    <x v="33"/>
    <d v="1899-12-30T09:48:58"/>
    <d v="2021-02-03T09:48:58"/>
    <x v="5"/>
    <x v="0"/>
    <x v="0"/>
    <x v="1"/>
    <s v="N"/>
    <m/>
    <x v="0"/>
    <m/>
    <m/>
  </r>
  <r>
    <x v="1890"/>
    <s v="Dan"/>
    <x v="33"/>
    <d v="1899-12-30T10:09:07"/>
    <d v="2021-02-03T10:09:07"/>
    <x v="5"/>
    <x v="1"/>
    <x v="4"/>
    <x v="1"/>
    <s v="N"/>
    <m/>
    <x v="0"/>
    <m/>
    <m/>
  </r>
  <r>
    <x v="1891"/>
    <s v="Jim"/>
    <x v="33"/>
    <d v="1899-12-30T10:09:07"/>
    <d v="2021-02-03T10:09:07"/>
    <x v="5"/>
    <x v="1"/>
    <x v="3"/>
    <x v="0"/>
    <s v="Y"/>
    <n v="46"/>
    <x v="0"/>
    <d v="1899-12-30T00:03:44"/>
    <n v="4"/>
  </r>
  <r>
    <x v="1892"/>
    <s v="Greg"/>
    <x v="33"/>
    <d v="1899-12-30T10:16:19"/>
    <d v="2021-02-03T10:16:19"/>
    <x v="5"/>
    <x v="1"/>
    <x v="0"/>
    <x v="0"/>
    <s v="Y"/>
    <n v="81"/>
    <x v="0"/>
    <d v="1899-12-30T00:01:57"/>
    <n v="4"/>
  </r>
  <r>
    <x v="1893"/>
    <s v="Joe"/>
    <x v="33"/>
    <d v="1899-12-30T10:16:19"/>
    <d v="2021-02-03T10:16:19"/>
    <x v="5"/>
    <x v="1"/>
    <x v="3"/>
    <x v="0"/>
    <s v="Y"/>
    <n v="20"/>
    <x v="1"/>
    <d v="1899-12-30T00:02:37"/>
    <n v="3"/>
  </r>
  <r>
    <x v="1894"/>
    <s v="Diane"/>
    <x v="33"/>
    <d v="1899-12-30T10:20:38"/>
    <d v="2021-02-03T10:20:38"/>
    <x v="5"/>
    <x v="1"/>
    <x v="4"/>
    <x v="0"/>
    <s v="Y"/>
    <n v="85"/>
    <x v="0"/>
    <d v="1899-12-30T00:06:11"/>
    <n v="1"/>
  </r>
  <r>
    <x v="1895"/>
    <s v="Dan"/>
    <x v="33"/>
    <d v="1899-12-30T10:20:38"/>
    <d v="2021-02-03T10:20:38"/>
    <x v="5"/>
    <x v="1"/>
    <x v="4"/>
    <x v="0"/>
    <s v="Y"/>
    <n v="91"/>
    <x v="0"/>
    <d v="1899-12-30T00:04:11"/>
    <n v="4"/>
  </r>
  <r>
    <x v="1896"/>
    <s v="Dan"/>
    <x v="33"/>
    <d v="1899-12-30T10:45:07"/>
    <d v="2021-02-03T10:45:07"/>
    <x v="5"/>
    <x v="1"/>
    <x v="0"/>
    <x v="1"/>
    <s v="N"/>
    <m/>
    <x v="0"/>
    <m/>
    <m/>
  </r>
  <r>
    <x v="1897"/>
    <s v="Diane"/>
    <x v="33"/>
    <d v="1899-12-30T10:45:07"/>
    <d v="2021-02-03T10:45:07"/>
    <x v="5"/>
    <x v="1"/>
    <x v="2"/>
    <x v="0"/>
    <s v="Y"/>
    <n v="87"/>
    <x v="0"/>
    <d v="1899-12-30T00:04:13"/>
    <n v="4"/>
  </r>
  <r>
    <x v="1898"/>
    <s v="Greg"/>
    <x v="33"/>
    <d v="1899-12-30T10:50:53"/>
    <d v="2021-02-03T10:50:53"/>
    <x v="5"/>
    <x v="1"/>
    <x v="0"/>
    <x v="1"/>
    <s v="N"/>
    <m/>
    <x v="0"/>
    <m/>
    <m/>
  </r>
  <r>
    <x v="1899"/>
    <s v="Martha"/>
    <x v="33"/>
    <d v="1899-12-30T10:50:53"/>
    <d v="2021-02-03T10:50:53"/>
    <x v="5"/>
    <x v="1"/>
    <x v="3"/>
    <x v="0"/>
    <s v="Y"/>
    <n v="41"/>
    <x v="0"/>
    <d v="1899-12-30T00:06:54"/>
    <n v="4"/>
  </r>
  <r>
    <x v="1900"/>
    <s v="Dan"/>
    <x v="33"/>
    <d v="1899-12-30T11:12:29"/>
    <d v="2021-02-03T11:12:29"/>
    <x v="5"/>
    <x v="2"/>
    <x v="0"/>
    <x v="0"/>
    <s v="Y"/>
    <n v="20"/>
    <x v="1"/>
    <d v="1899-12-30T00:06:58"/>
    <n v="4"/>
  </r>
  <r>
    <x v="1901"/>
    <s v="Martha"/>
    <x v="33"/>
    <d v="1899-12-30T11:12:29"/>
    <d v="2021-02-03T11:12:29"/>
    <x v="5"/>
    <x v="2"/>
    <x v="2"/>
    <x v="0"/>
    <s v="Y"/>
    <n v="14"/>
    <x v="1"/>
    <d v="1899-12-30T00:04:23"/>
    <n v="4"/>
  </r>
  <r>
    <x v="1902"/>
    <s v="Becky"/>
    <x v="33"/>
    <d v="1899-12-30T11:13:55"/>
    <d v="2021-02-03T11:13:55"/>
    <x v="5"/>
    <x v="2"/>
    <x v="3"/>
    <x v="0"/>
    <s v="N"/>
    <n v="107"/>
    <x v="0"/>
    <d v="1899-12-30T00:01:17"/>
    <n v="4"/>
  </r>
  <r>
    <x v="1903"/>
    <s v="Dan"/>
    <x v="33"/>
    <d v="1899-12-30T11:13:55"/>
    <d v="2021-02-03T11:13:55"/>
    <x v="5"/>
    <x v="2"/>
    <x v="4"/>
    <x v="1"/>
    <s v="N"/>
    <m/>
    <x v="0"/>
    <m/>
    <m/>
  </r>
  <r>
    <x v="1904"/>
    <s v="Martha"/>
    <x v="33"/>
    <d v="1899-12-30T11:34:05"/>
    <d v="2021-02-03T11:34:05"/>
    <x v="5"/>
    <x v="2"/>
    <x v="1"/>
    <x v="1"/>
    <s v="N"/>
    <m/>
    <x v="0"/>
    <m/>
    <m/>
  </r>
  <r>
    <x v="1905"/>
    <s v="Dan"/>
    <x v="33"/>
    <d v="1899-12-30T11:34:05"/>
    <d v="2021-02-03T11:34:05"/>
    <x v="5"/>
    <x v="2"/>
    <x v="4"/>
    <x v="0"/>
    <s v="N"/>
    <n v="27"/>
    <x v="0"/>
    <d v="1899-12-30T00:00:49"/>
    <n v="1"/>
  </r>
  <r>
    <x v="1906"/>
    <s v="Stewart"/>
    <x v="33"/>
    <d v="1899-12-30T11:48:29"/>
    <d v="2021-02-03T11:48:29"/>
    <x v="5"/>
    <x v="2"/>
    <x v="4"/>
    <x v="0"/>
    <s v="Y"/>
    <n v="119"/>
    <x v="0"/>
    <d v="1899-12-30T00:04:42"/>
    <n v="4"/>
  </r>
  <r>
    <x v="1907"/>
    <s v="Jim"/>
    <x v="33"/>
    <d v="1899-12-30T11:48:29"/>
    <d v="2021-02-03T11:48:29"/>
    <x v="5"/>
    <x v="2"/>
    <x v="0"/>
    <x v="0"/>
    <s v="Y"/>
    <n v="55"/>
    <x v="0"/>
    <d v="1899-12-30T00:02:25"/>
    <n v="1"/>
  </r>
  <r>
    <x v="1908"/>
    <s v="Greg"/>
    <x v="33"/>
    <d v="1899-12-30T12:01:26"/>
    <d v="2021-02-03T12:01:26"/>
    <x v="5"/>
    <x v="3"/>
    <x v="2"/>
    <x v="0"/>
    <s v="Y"/>
    <n v="62"/>
    <x v="0"/>
    <d v="1899-12-30T00:04:50"/>
    <n v="3"/>
  </r>
  <r>
    <x v="1909"/>
    <s v="Jim"/>
    <x v="33"/>
    <d v="1899-12-30T12:01:26"/>
    <d v="2021-02-03T12:01:26"/>
    <x v="5"/>
    <x v="3"/>
    <x v="1"/>
    <x v="0"/>
    <s v="Y"/>
    <n v="105"/>
    <x v="0"/>
    <d v="1899-12-30T00:03:19"/>
    <n v="3"/>
  </r>
  <r>
    <x v="1910"/>
    <s v="Martha"/>
    <x v="33"/>
    <d v="1899-12-30T12:40:19"/>
    <d v="2021-02-03T12:40:19"/>
    <x v="5"/>
    <x v="3"/>
    <x v="0"/>
    <x v="0"/>
    <s v="Y"/>
    <n v="16"/>
    <x v="1"/>
    <d v="1899-12-30T00:05:32"/>
    <n v="5"/>
  </r>
  <r>
    <x v="1911"/>
    <s v="Diane"/>
    <x v="33"/>
    <d v="1899-12-30T12:40:19"/>
    <d v="2021-02-03T12:40:19"/>
    <x v="5"/>
    <x v="3"/>
    <x v="1"/>
    <x v="1"/>
    <s v="N"/>
    <m/>
    <x v="0"/>
    <m/>
    <m/>
  </r>
  <r>
    <x v="1912"/>
    <s v="Jim"/>
    <x v="33"/>
    <d v="1899-12-30T12:44:38"/>
    <d v="2021-02-03T12:44:38"/>
    <x v="5"/>
    <x v="3"/>
    <x v="1"/>
    <x v="0"/>
    <s v="Y"/>
    <n v="23"/>
    <x v="0"/>
    <d v="1899-12-30T00:03:40"/>
    <n v="1"/>
  </r>
  <r>
    <x v="1913"/>
    <s v="Joe"/>
    <x v="33"/>
    <d v="1899-12-30T12:44:38"/>
    <d v="2021-02-03T12:44:38"/>
    <x v="5"/>
    <x v="3"/>
    <x v="3"/>
    <x v="1"/>
    <s v="N"/>
    <m/>
    <x v="0"/>
    <m/>
    <m/>
  </r>
  <r>
    <x v="1914"/>
    <s v="Diane"/>
    <x v="33"/>
    <d v="1899-12-30T12:53:17"/>
    <d v="2021-02-03T12:53:17"/>
    <x v="5"/>
    <x v="3"/>
    <x v="2"/>
    <x v="0"/>
    <s v="Y"/>
    <n v="89"/>
    <x v="0"/>
    <d v="1899-12-30T00:04:32"/>
    <n v="5"/>
  </r>
  <r>
    <x v="1915"/>
    <s v="Diane"/>
    <x v="33"/>
    <d v="1899-12-30T12:53:17"/>
    <d v="2021-02-03T12:53:17"/>
    <x v="5"/>
    <x v="3"/>
    <x v="1"/>
    <x v="0"/>
    <s v="Y"/>
    <n v="53"/>
    <x v="0"/>
    <d v="1899-12-30T00:01:37"/>
    <n v="5"/>
  </r>
  <r>
    <x v="1916"/>
    <s v="Diane"/>
    <x v="33"/>
    <d v="1899-12-30T12:57:36"/>
    <d v="2021-02-03T12:57:36"/>
    <x v="5"/>
    <x v="3"/>
    <x v="0"/>
    <x v="0"/>
    <s v="N"/>
    <n v="104"/>
    <x v="0"/>
    <d v="1899-12-30T00:01:49"/>
    <n v="3"/>
  </r>
  <r>
    <x v="1917"/>
    <s v="Jim"/>
    <x v="33"/>
    <d v="1899-12-30T12:57:36"/>
    <d v="2021-02-03T12:57:36"/>
    <x v="5"/>
    <x v="3"/>
    <x v="2"/>
    <x v="0"/>
    <s v="Y"/>
    <n v="78"/>
    <x v="0"/>
    <d v="1899-12-30T00:02:42"/>
    <n v="2"/>
  </r>
  <r>
    <x v="1918"/>
    <s v="Stewart"/>
    <x v="33"/>
    <d v="1899-12-30T13:01:55"/>
    <d v="2021-02-03T13:01:55"/>
    <x v="5"/>
    <x v="4"/>
    <x v="1"/>
    <x v="0"/>
    <s v="Y"/>
    <n v="92"/>
    <x v="0"/>
    <d v="1899-12-30T00:04:51"/>
    <n v="2"/>
  </r>
  <r>
    <x v="1919"/>
    <s v="Martha"/>
    <x v="33"/>
    <d v="1899-12-30T13:01:55"/>
    <d v="2021-02-03T13:01:55"/>
    <x v="5"/>
    <x v="4"/>
    <x v="4"/>
    <x v="0"/>
    <s v="Y"/>
    <n v="107"/>
    <x v="0"/>
    <d v="1899-12-30T00:02:14"/>
    <n v="4"/>
  </r>
  <r>
    <x v="1920"/>
    <s v="Greg"/>
    <x v="33"/>
    <d v="1899-12-30T13:32:10"/>
    <d v="2021-02-03T13:32:10"/>
    <x v="5"/>
    <x v="4"/>
    <x v="4"/>
    <x v="1"/>
    <s v="N"/>
    <m/>
    <x v="0"/>
    <m/>
    <m/>
  </r>
  <r>
    <x v="1921"/>
    <s v="Dan"/>
    <x v="33"/>
    <d v="1899-12-30T13:32:10"/>
    <d v="2021-02-03T13:32:10"/>
    <x v="5"/>
    <x v="4"/>
    <x v="3"/>
    <x v="1"/>
    <s v="N"/>
    <m/>
    <x v="0"/>
    <m/>
    <m/>
  </r>
  <r>
    <x v="1922"/>
    <s v="Diane"/>
    <x v="33"/>
    <d v="1899-12-30T13:33:36"/>
    <d v="2021-02-03T13:33:36"/>
    <x v="5"/>
    <x v="4"/>
    <x v="0"/>
    <x v="0"/>
    <s v="Y"/>
    <n v="116"/>
    <x v="0"/>
    <d v="1899-12-30T00:02:30"/>
    <n v="3"/>
  </r>
  <r>
    <x v="1923"/>
    <s v="Jim"/>
    <x v="33"/>
    <d v="1899-12-30T13:33:36"/>
    <d v="2021-02-03T13:33:36"/>
    <x v="5"/>
    <x v="4"/>
    <x v="4"/>
    <x v="1"/>
    <s v="N"/>
    <m/>
    <x v="0"/>
    <m/>
    <m/>
  </r>
  <r>
    <x v="1924"/>
    <s v="Dan"/>
    <x v="33"/>
    <d v="1899-12-30T13:40:48"/>
    <d v="2021-02-03T13:40:48"/>
    <x v="5"/>
    <x v="4"/>
    <x v="1"/>
    <x v="0"/>
    <s v="Y"/>
    <n v="101"/>
    <x v="0"/>
    <d v="1899-12-30T00:02:55"/>
    <n v="3"/>
  </r>
  <r>
    <x v="1925"/>
    <s v="Joe"/>
    <x v="33"/>
    <d v="1899-12-30T13:40:48"/>
    <d v="2021-02-03T13:40:48"/>
    <x v="5"/>
    <x v="4"/>
    <x v="3"/>
    <x v="0"/>
    <s v="Y"/>
    <n v="41"/>
    <x v="0"/>
    <d v="1899-12-30T00:03:33"/>
    <n v="2"/>
  </r>
  <r>
    <x v="1926"/>
    <s v="Martha"/>
    <x v="33"/>
    <d v="1899-12-30T13:43:41"/>
    <d v="2021-02-03T13:43:41"/>
    <x v="5"/>
    <x v="4"/>
    <x v="0"/>
    <x v="0"/>
    <s v="N"/>
    <n v="102"/>
    <x v="0"/>
    <d v="1899-12-30T00:06:00"/>
    <n v="2"/>
  </r>
  <r>
    <x v="1927"/>
    <s v="Jim"/>
    <x v="33"/>
    <d v="1899-12-30T13:43:41"/>
    <d v="2021-02-03T13:43:41"/>
    <x v="5"/>
    <x v="4"/>
    <x v="3"/>
    <x v="0"/>
    <s v="Y"/>
    <n v="94"/>
    <x v="0"/>
    <d v="1899-12-30T00:01:17"/>
    <n v="2"/>
  </r>
  <r>
    <x v="1928"/>
    <s v="Martha"/>
    <x v="33"/>
    <d v="1899-12-30T13:49:26"/>
    <d v="2021-02-03T13:49:26"/>
    <x v="5"/>
    <x v="4"/>
    <x v="2"/>
    <x v="0"/>
    <s v="Y"/>
    <n v="72"/>
    <x v="0"/>
    <d v="1899-12-30T00:05:08"/>
    <n v="2"/>
  </r>
  <r>
    <x v="1929"/>
    <s v="Greg"/>
    <x v="33"/>
    <d v="1899-12-30T13:49:26"/>
    <d v="2021-02-03T13:49:26"/>
    <x v="5"/>
    <x v="4"/>
    <x v="0"/>
    <x v="0"/>
    <s v="Y"/>
    <n v="30"/>
    <x v="0"/>
    <d v="1899-12-30T00:05:05"/>
    <n v="4"/>
  </r>
  <r>
    <x v="1930"/>
    <s v="Joe"/>
    <x v="33"/>
    <d v="1899-12-30T13:50:53"/>
    <d v="2021-02-03T13:50:53"/>
    <x v="5"/>
    <x v="4"/>
    <x v="1"/>
    <x v="0"/>
    <s v="Y"/>
    <n v="58"/>
    <x v="0"/>
    <d v="1899-12-30T00:01:03"/>
    <n v="4"/>
  </r>
  <r>
    <x v="1931"/>
    <s v="Martha"/>
    <x v="33"/>
    <d v="1899-12-30T13:50:53"/>
    <d v="2021-02-03T13:50:53"/>
    <x v="5"/>
    <x v="4"/>
    <x v="0"/>
    <x v="0"/>
    <s v="Y"/>
    <n v="57"/>
    <x v="0"/>
    <d v="1899-12-30T00:02:03"/>
    <n v="1"/>
  </r>
  <r>
    <x v="1932"/>
    <s v="Stewart"/>
    <x v="33"/>
    <d v="1899-12-30T14:45:36"/>
    <d v="2021-02-03T14:45:36"/>
    <x v="5"/>
    <x v="5"/>
    <x v="1"/>
    <x v="0"/>
    <s v="Y"/>
    <n v="113"/>
    <x v="0"/>
    <d v="1899-12-30T00:06:50"/>
    <n v="4"/>
  </r>
  <r>
    <x v="1933"/>
    <s v="Becky"/>
    <x v="33"/>
    <d v="1899-12-30T14:45:36"/>
    <d v="2021-02-03T14:45:36"/>
    <x v="5"/>
    <x v="5"/>
    <x v="2"/>
    <x v="0"/>
    <s v="Y"/>
    <n v="59"/>
    <x v="0"/>
    <d v="1899-12-30T00:06:59"/>
    <n v="1"/>
  </r>
  <r>
    <x v="1934"/>
    <s v="Martha"/>
    <x v="33"/>
    <d v="1899-12-30T14:58:34"/>
    <d v="2021-02-03T14:58:34"/>
    <x v="5"/>
    <x v="5"/>
    <x v="1"/>
    <x v="0"/>
    <s v="N"/>
    <n v="121"/>
    <x v="0"/>
    <d v="1899-12-30T00:01:24"/>
    <n v="4"/>
  </r>
  <r>
    <x v="1935"/>
    <s v="Joe"/>
    <x v="33"/>
    <d v="1899-12-30T14:58:34"/>
    <d v="2021-02-03T14:58:34"/>
    <x v="5"/>
    <x v="5"/>
    <x v="3"/>
    <x v="0"/>
    <s v="Y"/>
    <n v="78"/>
    <x v="0"/>
    <d v="1899-12-30T00:01:06"/>
    <n v="3"/>
  </r>
  <r>
    <x v="1936"/>
    <s v="Greg"/>
    <x v="33"/>
    <d v="1899-12-30T15:24:29"/>
    <d v="2021-02-03T15:24:29"/>
    <x v="5"/>
    <x v="6"/>
    <x v="0"/>
    <x v="0"/>
    <s v="Y"/>
    <n v="66"/>
    <x v="0"/>
    <d v="1899-12-30T00:05:29"/>
    <n v="5"/>
  </r>
  <r>
    <x v="1937"/>
    <s v="Jim"/>
    <x v="33"/>
    <d v="1899-12-30T15:24:29"/>
    <d v="2021-02-03T15:24:29"/>
    <x v="5"/>
    <x v="6"/>
    <x v="3"/>
    <x v="0"/>
    <s v="Y"/>
    <n v="10"/>
    <x v="1"/>
    <d v="1899-12-30T00:05:02"/>
    <n v="4"/>
  </r>
  <r>
    <x v="1938"/>
    <s v="Jim"/>
    <x v="33"/>
    <d v="1899-12-30T15:34:34"/>
    <d v="2021-02-03T15:34:34"/>
    <x v="5"/>
    <x v="6"/>
    <x v="0"/>
    <x v="0"/>
    <s v="Y"/>
    <n v="15"/>
    <x v="1"/>
    <d v="1899-12-30T00:04:17"/>
    <n v="1"/>
  </r>
  <r>
    <x v="1939"/>
    <s v="Greg"/>
    <x v="33"/>
    <d v="1899-12-30T15:34:34"/>
    <d v="2021-02-03T15:34:34"/>
    <x v="5"/>
    <x v="6"/>
    <x v="1"/>
    <x v="0"/>
    <s v="Y"/>
    <n v="81"/>
    <x v="0"/>
    <d v="1899-12-30T00:05:52"/>
    <n v="4"/>
  </r>
  <r>
    <x v="1940"/>
    <s v="Becky"/>
    <x v="33"/>
    <d v="1899-12-30T16:32:10"/>
    <d v="2021-02-03T16:32:10"/>
    <x v="5"/>
    <x v="8"/>
    <x v="4"/>
    <x v="0"/>
    <s v="N"/>
    <n v="115"/>
    <x v="0"/>
    <d v="1899-12-30T00:03:16"/>
    <n v="3"/>
  </r>
  <r>
    <x v="1941"/>
    <s v="Martha"/>
    <x v="33"/>
    <d v="1899-12-30T16:32:10"/>
    <d v="2021-02-03T16:32:10"/>
    <x v="5"/>
    <x v="8"/>
    <x v="0"/>
    <x v="0"/>
    <s v="Y"/>
    <n v="17"/>
    <x v="1"/>
    <d v="1899-12-30T00:01:03"/>
    <n v="3"/>
  </r>
  <r>
    <x v="1942"/>
    <s v="Diane"/>
    <x v="33"/>
    <d v="1899-12-30T16:39:22"/>
    <d v="2021-02-03T16:39:22"/>
    <x v="5"/>
    <x v="8"/>
    <x v="4"/>
    <x v="0"/>
    <s v="Y"/>
    <n v="20"/>
    <x v="1"/>
    <d v="1899-12-30T00:03:06"/>
    <n v="4"/>
  </r>
  <r>
    <x v="1943"/>
    <s v="Dan"/>
    <x v="33"/>
    <d v="1899-12-30T16:39:22"/>
    <d v="2021-02-03T16:39:22"/>
    <x v="5"/>
    <x v="8"/>
    <x v="3"/>
    <x v="0"/>
    <s v="Y"/>
    <n v="26"/>
    <x v="0"/>
    <d v="1899-12-30T00:04:02"/>
    <n v="3"/>
  </r>
  <r>
    <x v="1944"/>
    <s v="Martha"/>
    <x v="33"/>
    <d v="1899-12-30T16:48:00"/>
    <d v="2021-02-03T16:48:00"/>
    <x v="5"/>
    <x v="8"/>
    <x v="2"/>
    <x v="0"/>
    <s v="Y"/>
    <n v="98"/>
    <x v="0"/>
    <d v="1899-12-30T00:03:08"/>
    <n v="5"/>
  </r>
  <r>
    <x v="1945"/>
    <s v="Joe"/>
    <x v="33"/>
    <d v="1899-12-30T16:48:00"/>
    <d v="2021-02-03T16:48:00"/>
    <x v="5"/>
    <x v="8"/>
    <x v="2"/>
    <x v="0"/>
    <s v="Y"/>
    <n v="53"/>
    <x v="0"/>
    <d v="1899-12-30T00:02:42"/>
    <n v="3"/>
  </r>
  <r>
    <x v="1946"/>
    <s v="Stewart"/>
    <x v="33"/>
    <d v="1899-12-30T16:58:05"/>
    <d v="2021-02-03T16:58:05"/>
    <x v="5"/>
    <x v="8"/>
    <x v="3"/>
    <x v="0"/>
    <s v="Y"/>
    <n v="14"/>
    <x v="1"/>
    <d v="1899-12-30T00:05:36"/>
    <n v="4"/>
  </r>
  <r>
    <x v="1947"/>
    <s v="Diane"/>
    <x v="33"/>
    <d v="1899-12-30T16:58:05"/>
    <d v="2021-02-03T16:58:05"/>
    <x v="5"/>
    <x v="8"/>
    <x v="4"/>
    <x v="1"/>
    <s v="N"/>
    <m/>
    <x v="0"/>
    <m/>
    <m/>
  </r>
  <r>
    <x v="1948"/>
    <s v="Greg"/>
    <x v="33"/>
    <d v="1899-12-30T17:03:50"/>
    <d v="2021-02-03T17:03:50"/>
    <x v="5"/>
    <x v="7"/>
    <x v="4"/>
    <x v="0"/>
    <s v="Y"/>
    <n v="47"/>
    <x v="0"/>
    <d v="1899-12-30T00:04:10"/>
    <n v="3"/>
  </r>
  <r>
    <x v="1949"/>
    <s v="Stewart"/>
    <x v="33"/>
    <d v="1899-12-30T17:03:50"/>
    <d v="2021-02-03T17:03:50"/>
    <x v="5"/>
    <x v="7"/>
    <x v="2"/>
    <x v="1"/>
    <s v="N"/>
    <m/>
    <x v="0"/>
    <m/>
    <m/>
  </r>
  <r>
    <x v="1950"/>
    <s v="Stewart"/>
    <x v="33"/>
    <d v="1899-12-30T17:06:43"/>
    <d v="2021-02-03T17:06:43"/>
    <x v="5"/>
    <x v="7"/>
    <x v="2"/>
    <x v="0"/>
    <s v="Y"/>
    <n v="109"/>
    <x v="0"/>
    <d v="1899-12-30T00:01:23"/>
    <n v="5"/>
  </r>
  <r>
    <x v="1951"/>
    <s v="Greg"/>
    <x v="33"/>
    <d v="1899-12-30T17:06:43"/>
    <d v="2021-02-03T17:06:43"/>
    <x v="5"/>
    <x v="7"/>
    <x v="1"/>
    <x v="0"/>
    <s v="Y"/>
    <n v="82"/>
    <x v="0"/>
    <d v="1899-12-30T00:04:08"/>
    <n v="1"/>
  </r>
  <r>
    <x v="1952"/>
    <s v="Dan"/>
    <x v="33"/>
    <d v="1899-12-30T17:44:10"/>
    <d v="2021-02-03T17:44:10"/>
    <x v="5"/>
    <x v="7"/>
    <x v="1"/>
    <x v="0"/>
    <s v="Y"/>
    <n v="58"/>
    <x v="0"/>
    <d v="1899-12-30T00:04:58"/>
    <n v="3"/>
  </r>
  <r>
    <x v="1953"/>
    <s v="Greg"/>
    <x v="33"/>
    <d v="1899-12-30T17:44:10"/>
    <d v="2021-02-03T17:44:10"/>
    <x v="5"/>
    <x v="7"/>
    <x v="3"/>
    <x v="0"/>
    <s v="Y"/>
    <n v="94"/>
    <x v="0"/>
    <d v="1899-12-30T00:03:53"/>
    <n v="2"/>
  </r>
  <r>
    <x v="1954"/>
    <s v="Greg"/>
    <x v="34"/>
    <d v="1899-12-30T09:11:31"/>
    <d v="2021-02-04T09:11:31"/>
    <x v="6"/>
    <x v="0"/>
    <x v="3"/>
    <x v="1"/>
    <s v="N"/>
    <m/>
    <x v="0"/>
    <m/>
    <m/>
  </r>
  <r>
    <x v="1955"/>
    <s v="Dan"/>
    <x v="34"/>
    <d v="1899-12-30T09:11:31"/>
    <d v="2021-02-04T09:11:31"/>
    <x v="6"/>
    <x v="0"/>
    <x v="4"/>
    <x v="0"/>
    <s v="Y"/>
    <n v="32"/>
    <x v="0"/>
    <d v="1899-12-30T00:06:52"/>
    <n v="4"/>
  </r>
  <r>
    <x v="1956"/>
    <s v="Stewart"/>
    <x v="34"/>
    <d v="1899-12-30T09:36:00"/>
    <d v="2021-02-04T09:36:00"/>
    <x v="6"/>
    <x v="0"/>
    <x v="0"/>
    <x v="0"/>
    <s v="Y"/>
    <n v="102"/>
    <x v="0"/>
    <d v="1899-12-30T00:05:22"/>
    <n v="4"/>
  </r>
  <r>
    <x v="1957"/>
    <s v="Diane"/>
    <x v="34"/>
    <d v="1899-12-30T09:36:00"/>
    <d v="2021-02-04T09:36:00"/>
    <x v="6"/>
    <x v="0"/>
    <x v="1"/>
    <x v="1"/>
    <s v="N"/>
    <m/>
    <x v="0"/>
    <m/>
    <m/>
  </r>
  <r>
    <x v="1958"/>
    <s v="Martha"/>
    <x v="34"/>
    <d v="1899-12-30T09:56:10"/>
    <d v="2021-02-04T09:56:10"/>
    <x v="6"/>
    <x v="0"/>
    <x v="3"/>
    <x v="1"/>
    <s v="N"/>
    <m/>
    <x v="0"/>
    <m/>
    <m/>
  </r>
  <r>
    <x v="1959"/>
    <s v="Dan"/>
    <x v="34"/>
    <d v="1899-12-30T09:56:10"/>
    <d v="2021-02-04T09:56:10"/>
    <x v="6"/>
    <x v="0"/>
    <x v="0"/>
    <x v="0"/>
    <s v="Y"/>
    <n v="36"/>
    <x v="0"/>
    <d v="1899-12-30T00:06:45"/>
    <n v="1"/>
  </r>
  <r>
    <x v="1960"/>
    <s v="Greg"/>
    <x v="34"/>
    <d v="1899-12-30T10:04:48"/>
    <d v="2021-02-04T10:04:48"/>
    <x v="6"/>
    <x v="1"/>
    <x v="2"/>
    <x v="0"/>
    <s v="Y"/>
    <n v="41"/>
    <x v="0"/>
    <d v="1899-12-30T00:05:46"/>
    <n v="5"/>
  </r>
  <r>
    <x v="1961"/>
    <s v="Greg"/>
    <x v="34"/>
    <d v="1899-12-30T10:04:48"/>
    <d v="2021-02-04T10:04:48"/>
    <x v="6"/>
    <x v="1"/>
    <x v="1"/>
    <x v="0"/>
    <s v="Y"/>
    <n v="117"/>
    <x v="0"/>
    <d v="1899-12-30T00:06:57"/>
    <n v="5"/>
  </r>
  <r>
    <x v="1962"/>
    <s v="Diane"/>
    <x v="34"/>
    <d v="1899-12-30T10:09:07"/>
    <d v="2021-02-04T10:09:07"/>
    <x v="6"/>
    <x v="1"/>
    <x v="3"/>
    <x v="0"/>
    <s v="Y"/>
    <n v="118"/>
    <x v="0"/>
    <d v="1899-12-30T00:00:44"/>
    <n v="5"/>
  </r>
  <r>
    <x v="1963"/>
    <s v="Greg"/>
    <x v="34"/>
    <d v="1899-12-30T10:09:07"/>
    <d v="2021-02-04T10:09:07"/>
    <x v="6"/>
    <x v="1"/>
    <x v="3"/>
    <x v="0"/>
    <s v="Y"/>
    <n v="41"/>
    <x v="0"/>
    <d v="1899-12-30T00:05:24"/>
    <n v="3"/>
  </r>
  <r>
    <x v="1964"/>
    <s v="Greg"/>
    <x v="34"/>
    <d v="1899-12-30T10:16:19"/>
    <d v="2021-02-04T10:16:19"/>
    <x v="6"/>
    <x v="1"/>
    <x v="4"/>
    <x v="0"/>
    <s v="Y"/>
    <n v="24"/>
    <x v="0"/>
    <d v="1899-12-30T00:06:07"/>
    <n v="3"/>
  </r>
  <r>
    <x v="1965"/>
    <s v="Martha"/>
    <x v="34"/>
    <d v="1899-12-30T10:16:19"/>
    <d v="2021-02-04T10:16:19"/>
    <x v="6"/>
    <x v="1"/>
    <x v="0"/>
    <x v="0"/>
    <s v="Y"/>
    <n v="105"/>
    <x v="0"/>
    <d v="1899-12-30T00:02:03"/>
    <n v="4"/>
  </r>
  <r>
    <x v="1966"/>
    <s v="Diane"/>
    <x v="34"/>
    <d v="1899-12-30T10:33:36"/>
    <d v="2021-02-04T10:33:36"/>
    <x v="6"/>
    <x v="1"/>
    <x v="4"/>
    <x v="1"/>
    <s v="N"/>
    <m/>
    <x v="0"/>
    <m/>
    <m/>
  </r>
  <r>
    <x v="1967"/>
    <s v="Becky"/>
    <x v="34"/>
    <d v="1899-12-30T10:33:36"/>
    <d v="2021-02-04T10:33:36"/>
    <x v="6"/>
    <x v="1"/>
    <x v="2"/>
    <x v="0"/>
    <s v="Y"/>
    <n v="45"/>
    <x v="0"/>
    <d v="1899-12-30T00:05:04"/>
    <n v="1"/>
  </r>
  <r>
    <x v="1968"/>
    <s v="Becky"/>
    <x v="34"/>
    <d v="1899-12-30T10:58:05"/>
    <d v="2021-02-04T10:58:05"/>
    <x v="6"/>
    <x v="1"/>
    <x v="2"/>
    <x v="0"/>
    <s v="Y"/>
    <n v="66"/>
    <x v="0"/>
    <d v="1899-12-30T00:05:32"/>
    <n v="4"/>
  </r>
  <r>
    <x v="1969"/>
    <s v="Joe"/>
    <x v="34"/>
    <d v="1899-12-30T10:58:05"/>
    <d v="2021-02-04T10:58:05"/>
    <x v="6"/>
    <x v="1"/>
    <x v="0"/>
    <x v="0"/>
    <s v="Y"/>
    <n v="63"/>
    <x v="0"/>
    <d v="1899-12-30T00:03:27"/>
    <n v="3"/>
  </r>
  <r>
    <x v="1970"/>
    <s v="Becky"/>
    <x v="34"/>
    <d v="1899-12-30T11:02:24"/>
    <d v="2021-02-04T11:02:24"/>
    <x v="6"/>
    <x v="2"/>
    <x v="3"/>
    <x v="0"/>
    <s v="Y"/>
    <n v="11"/>
    <x v="1"/>
    <d v="1899-12-30T00:02:13"/>
    <n v="4"/>
  </r>
  <r>
    <x v="1971"/>
    <s v="Jim"/>
    <x v="34"/>
    <d v="1899-12-30T11:02:24"/>
    <d v="2021-02-04T11:02:24"/>
    <x v="6"/>
    <x v="2"/>
    <x v="0"/>
    <x v="1"/>
    <s v="N"/>
    <m/>
    <x v="0"/>
    <m/>
    <m/>
  </r>
  <r>
    <x v="1972"/>
    <s v="Becky"/>
    <x v="34"/>
    <d v="1899-12-30T11:39:50"/>
    <d v="2021-02-04T11:39:50"/>
    <x v="6"/>
    <x v="2"/>
    <x v="0"/>
    <x v="0"/>
    <s v="Y"/>
    <n v="31"/>
    <x v="0"/>
    <d v="1899-12-30T00:00:42"/>
    <n v="3"/>
  </r>
  <r>
    <x v="1973"/>
    <s v="Jim"/>
    <x v="34"/>
    <d v="1899-12-30T11:39:50"/>
    <d v="2021-02-04T11:39:50"/>
    <x v="6"/>
    <x v="2"/>
    <x v="3"/>
    <x v="0"/>
    <s v="Y"/>
    <n v="60"/>
    <x v="0"/>
    <d v="1899-12-30T00:03:58"/>
    <n v="5"/>
  </r>
  <r>
    <x v="1974"/>
    <s v="Joe"/>
    <x v="34"/>
    <d v="1899-12-30T11:45:36"/>
    <d v="2021-02-04T11:45:36"/>
    <x v="6"/>
    <x v="2"/>
    <x v="2"/>
    <x v="1"/>
    <s v="N"/>
    <m/>
    <x v="0"/>
    <m/>
    <m/>
  </r>
  <r>
    <x v="1975"/>
    <s v="Stewart"/>
    <x v="34"/>
    <d v="1899-12-30T11:45:36"/>
    <d v="2021-02-04T11:45:36"/>
    <x v="6"/>
    <x v="2"/>
    <x v="1"/>
    <x v="1"/>
    <s v="N"/>
    <m/>
    <x v="0"/>
    <m/>
    <m/>
  </r>
  <r>
    <x v="1976"/>
    <s v="Stewart"/>
    <x v="34"/>
    <d v="1899-12-30T12:00:00"/>
    <d v="2021-02-04T12:00:00"/>
    <x v="6"/>
    <x v="3"/>
    <x v="0"/>
    <x v="0"/>
    <s v="Y"/>
    <n v="105"/>
    <x v="0"/>
    <d v="1899-12-30T00:06:51"/>
    <n v="5"/>
  </r>
  <r>
    <x v="1977"/>
    <s v="Greg"/>
    <x v="34"/>
    <d v="1899-12-30T12:00:00"/>
    <d v="2021-02-04T12:00:00"/>
    <x v="6"/>
    <x v="3"/>
    <x v="4"/>
    <x v="0"/>
    <s v="Y"/>
    <n v="109"/>
    <x v="0"/>
    <d v="1899-12-30T00:01:32"/>
    <n v="5"/>
  </r>
  <r>
    <x v="1978"/>
    <s v="Martha"/>
    <x v="34"/>
    <d v="1899-12-30T12:04:19"/>
    <d v="2021-02-04T12:04:19"/>
    <x v="6"/>
    <x v="3"/>
    <x v="2"/>
    <x v="0"/>
    <s v="Y"/>
    <n v="120"/>
    <x v="0"/>
    <d v="1899-12-30T00:03:05"/>
    <n v="3"/>
  </r>
  <r>
    <x v="1979"/>
    <s v="Martha"/>
    <x v="34"/>
    <d v="1899-12-30T12:04:19"/>
    <d v="2021-02-04T12:04:19"/>
    <x v="6"/>
    <x v="3"/>
    <x v="2"/>
    <x v="0"/>
    <s v="Y"/>
    <n v="61"/>
    <x v="0"/>
    <d v="1899-12-30T00:04:43"/>
    <n v="3"/>
  </r>
  <r>
    <x v="1980"/>
    <s v="Stewart"/>
    <x v="34"/>
    <d v="1899-12-30T12:14:24"/>
    <d v="2021-02-04T12:14:24"/>
    <x v="6"/>
    <x v="3"/>
    <x v="4"/>
    <x v="0"/>
    <s v="Y"/>
    <n v="44"/>
    <x v="0"/>
    <d v="1899-12-30T00:00:36"/>
    <n v="3"/>
  </r>
  <r>
    <x v="1981"/>
    <s v="Becky"/>
    <x v="34"/>
    <d v="1899-12-30T12:14:24"/>
    <d v="2021-02-04T12:14:24"/>
    <x v="6"/>
    <x v="3"/>
    <x v="3"/>
    <x v="0"/>
    <s v="Y"/>
    <n v="17"/>
    <x v="1"/>
    <d v="1899-12-30T00:05:45"/>
    <n v="4"/>
  </r>
  <r>
    <x v="1982"/>
    <s v="Diane"/>
    <x v="34"/>
    <d v="1899-12-30T12:20:10"/>
    <d v="2021-02-04T12:20:10"/>
    <x v="6"/>
    <x v="3"/>
    <x v="4"/>
    <x v="1"/>
    <s v="N"/>
    <m/>
    <x v="0"/>
    <m/>
    <m/>
  </r>
  <r>
    <x v="1983"/>
    <s v="Stewart"/>
    <x v="34"/>
    <d v="1899-12-30T12:20:10"/>
    <d v="2021-02-04T12:20:10"/>
    <x v="6"/>
    <x v="3"/>
    <x v="4"/>
    <x v="0"/>
    <s v="Y"/>
    <n v="15"/>
    <x v="1"/>
    <d v="1899-12-30T00:02:48"/>
    <n v="4"/>
  </r>
  <r>
    <x v="1984"/>
    <s v="Martha"/>
    <x v="34"/>
    <d v="1899-12-30T12:20:10"/>
    <d v="2021-02-04T12:20:10"/>
    <x v="6"/>
    <x v="3"/>
    <x v="1"/>
    <x v="0"/>
    <s v="Y"/>
    <n v="112"/>
    <x v="0"/>
    <d v="1899-12-30T00:03:18"/>
    <n v="4"/>
  </r>
  <r>
    <x v="1985"/>
    <s v="Becky"/>
    <x v="34"/>
    <d v="1899-12-30T12:20:10"/>
    <d v="2021-02-04T12:20:10"/>
    <x v="6"/>
    <x v="3"/>
    <x v="1"/>
    <x v="0"/>
    <s v="Y"/>
    <n v="119"/>
    <x v="0"/>
    <d v="1899-12-30T00:04:20"/>
    <n v="3"/>
  </r>
  <r>
    <x v="1986"/>
    <s v="Joe"/>
    <x v="34"/>
    <d v="1899-12-30T12:36:00"/>
    <d v="2021-02-04T12:36:00"/>
    <x v="6"/>
    <x v="3"/>
    <x v="1"/>
    <x v="1"/>
    <s v="N"/>
    <m/>
    <x v="0"/>
    <m/>
    <m/>
  </r>
  <r>
    <x v="1987"/>
    <s v="Joe"/>
    <x v="34"/>
    <d v="1899-12-30T12:36:00"/>
    <d v="2021-02-04T12:36:00"/>
    <x v="6"/>
    <x v="3"/>
    <x v="3"/>
    <x v="0"/>
    <s v="N"/>
    <n v="60"/>
    <x v="0"/>
    <d v="1899-12-30T00:02:59"/>
    <n v="5"/>
  </r>
  <r>
    <x v="1988"/>
    <s v="Jim"/>
    <x v="34"/>
    <d v="1899-12-30T12:38:53"/>
    <d v="2021-02-04T12:38:53"/>
    <x v="6"/>
    <x v="3"/>
    <x v="0"/>
    <x v="0"/>
    <s v="Y"/>
    <n v="24"/>
    <x v="0"/>
    <d v="1899-12-30T00:06:49"/>
    <n v="4"/>
  </r>
  <r>
    <x v="1989"/>
    <s v="Jim"/>
    <x v="34"/>
    <d v="1899-12-30T12:38:53"/>
    <d v="2021-02-04T12:38:53"/>
    <x v="6"/>
    <x v="3"/>
    <x v="2"/>
    <x v="0"/>
    <s v="Y"/>
    <n v="83"/>
    <x v="0"/>
    <d v="1899-12-30T00:05:17"/>
    <n v="4"/>
  </r>
  <r>
    <x v="1990"/>
    <s v="Diane"/>
    <x v="34"/>
    <d v="1899-12-30T13:06:14"/>
    <d v="2021-02-04T13:06:14"/>
    <x v="6"/>
    <x v="4"/>
    <x v="4"/>
    <x v="0"/>
    <s v="Y"/>
    <n v="19"/>
    <x v="1"/>
    <d v="1899-12-30T00:03:16"/>
    <n v="3"/>
  </r>
  <r>
    <x v="1991"/>
    <s v="Martha"/>
    <x v="34"/>
    <d v="1899-12-30T13:06:14"/>
    <d v="2021-02-04T13:06:14"/>
    <x v="6"/>
    <x v="4"/>
    <x v="0"/>
    <x v="0"/>
    <s v="Y"/>
    <n v="125"/>
    <x v="0"/>
    <d v="1899-12-30T00:03:24"/>
    <n v="4"/>
  </r>
  <r>
    <x v="1992"/>
    <s v="Joe"/>
    <x v="34"/>
    <d v="1899-12-30T13:06:14"/>
    <d v="2021-02-04T13:06:14"/>
    <x v="6"/>
    <x v="4"/>
    <x v="2"/>
    <x v="0"/>
    <s v="N"/>
    <n v="72"/>
    <x v="0"/>
    <d v="1899-12-30T00:05:16"/>
    <n v="2"/>
  </r>
  <r>
    <x v="1993"/>
    <s v="Diane"/>
    <x v="34"/>
    <d v="1899-12-30T13:06:14"/>
    <d v="2021-02-04T13:06:14"/>
    <x v="6"/>
    <x v="4"/>
    <x v="3"/>
    <x v="1"/>
    <s v="N"/>
    <m/>
    <x v="0"/>
    <m/>
    <m/>
  </r>
  <r>
    <x v="1994"/>
    <s v="Stewart"/>
    <x v="34"/>
    <d v="1899-12-30T13:23:31"/>
    <d v="2021-02-04T13:23:31"/>
    <x v="6"/>
    <x v="4"/>
    <x v="4"/>
    <x v="0"/>
    <s v="Y"/>
    <n v="39"/>
    <x v="0"/>
    <d v="1899-12-30T00:04:13"/>
    <n v="4"/>
  </r>
  <r>
    <x v="1995"/>
    <s v="Stewart"/>
    <x v="34"/>
    <d v="1899-12-30T13:23:31"/>
    <d v="2021-02-04T13:23:31"/>
    <x v="6"/>
    <x v="4"/>
    <x v="2"/>
    <x v="1"/>
    <s v="N"/>
    <m/>
    <x v="0"/>
    <m/>
    <m/>
  </r>
  <r>
    <x v="1996"/>
    <s v="Becky"/>
    <x v="34"/>
    <d v="1899-12-30T13:53:46"/>
    <d v="2021-02-04T13:53:46"/>
    <x v="6"/>
    <x v="4"/>
    <x v="0"/>
    <x v="0"/>
    <s v="Y"/>
    <n v="125"/>
    <x v="0"/>
    <d v="1899-12-30T00:04:28"/>
    <n v="4"/>
  </r>
  <r>
    <x v="1997"/>
    <s v="Joe"/>
    <x v="34"/>
    <d v="1899-12-30T13:53:46"/>
    <d v="2021-02-04T13:53:46"/>
    <x v="6"/>
    <x v="4"/>
    <x v="2"/>
    <x v="0"/>
    <s v="Y"/>
    <n v="124"/>
    <x v="0"/>
    <d v="1899-12-30T00:01:25"/>
    <n v="5"/>
  </r>
  <r>
    <x v="1998"/>
    <s v="Diane"/>
    <x v="34"/>
    <d v="1899-12-30T14:03:50"/>
    <d v="2021-02-04T14:03:50"/>
    <x v="6"/>
    <x v="5"/>
    <x v="2"/>
    <x v="0"/>
    <s v="Y"/>
    <n v="105"/>
    <x v="0"/>
    <d v="1899-12-30T00:03:58"/>
    <n v="4"/>
  </r>
  <r>
    <x v="1999"/>
    <s v="Diane"/>
    <x v="34"/>
    <d v="1899-12-30T14:03:50"/>
    <d v="2021-02-04T14:03:50"/>
    <x v="6"/>
    <x v="5"/>
    <x v="1"/>
    <x v="1"/>
    <s v="N"/>
    <m/>
    <x v="0"/>
    <m/>
    <m/>
  </r>
  <r>
    <x v="2000"/>
    <s v="Martha"/>
    <x v="34"/>
    <d v="1899-12-30T14:47:02"/>
    <d v="2021-02-04T14:47:02"/>
    <x v="6"/>
    <x v="5"/>
    <x v="2"/>
    <x v="0"/>
    <s v="Y"/>
    <n v="28"/>
    <x v="0"/>
    <d v="1899-12-30T00:01:49"/>
    <n v="5"/>
  </r>
  <r>
    <x v="2001"/>
    <s v="Stewart"/>
    <x v="34"/>
    <d v="1899-12-30T14:47:02"/>
    <d v="2021-02-04T14:47:02"/>
    <x v="6"/>
    <x v="5"/>
    <x v="4"/>
    <x v="0"/>
    <s v="Y"/>
    <n v="82"/>
    <x v="0"/>
    <d v="1899-12-30T00:00:44"/>
    <n v="1"/>
  </r>
  <r>
    <x v="2002"/>
    <s v="Jim"/>
    <x v="34"/>
    <d v="1899-12-30T14:58:34"/>
    <d v="2021-02-04T14:58:34"/>
    <x v="6"/>
    <x v="5"/>
    <x v="3"/>
    <x v="1"/>
    <s v="N"/>
    <m/>
    <x v="0"/>
    <m/>
    <m/>
  </r>
  <r>
    <x v="2003"/>
    <s v="Dan"/>
    <x v="34"/>
    <d v="1899-12-30T14:58:34"/>
    <d v="2021-02-04T14:58:34"/>
    <x v="6"/>
    <x v="5"/>
    <x v="4"/>
    <x v="0"/>
    <s v="Y"/>
    <n v="30"/>
    <x v="0"/>
    <d v="1899-12-30T00:02:13"/>
    <n v="4"/>
  </r>
  <r>
    <x v="2004"/>
    <s v="Becky"/>
    <x v="34"/>
    <d v="1899-12-30T15:02:53"/>
    <d v="2021-02-04T15:02:53"/>
    <x v="6"/>
    <x v="6"/>
    <x v="3"/>
    <x v="0"/>
    <s v="Y"/>
    <n v="47"/>
    <x v="0"/>
    <d v="1899-12-30T00:03:08"/>
    <n v="4"/>
  </r>
  <r>
    <x v="2005"/>
    <s v="Jim"/>
    <x v="34"/>
    <d v="1899-12-30T15:02:53"/>
    <d v="2021-02-04T15:02:53"/>
    <x v="6"/>
    <x v="6"/>
    <x v="3"/>
    <x v="0"/>
    <s v="Y"/>
    <n v="124"/>
    <x v="0"/>
    <d v="1899-12-30T00:06:01"/>
    <n v="1"/>
  </r>
  <r>
    <x v="2006"/>
    <s v="Martha"/>
    <x v="34"/>
    <d v="1899-12-30T15:34:34"/>
    <d v="2021-02-04T15:34:34"/>
    <x v="6"/>
    <x v="6"/>
    <x v="1"/>
    <x v="0"/>
    <s v="Y"/>
    <n v="113"/>
    <x v="0"/>
    <d v="1899-12-30T00:04:40"/>
    <n v="4"/>
  </r>
  <r>
    <x v="2007"/>
    <s v="Jim"/>
    <x v="34"/>
    <d v="1899-12-30T15:34:34"/>
    <d v="2021-02-04T15:34:34"/>
    <x v="6"/>
    <x v="6"/>
    <x v="4"/>
    <x v="1"/>
    <s v="N"/>
    <m/>
    <x v="0"/>
    <m/>
    <m/>
  </r>
  <r>
    <x v="2008"/>
    <s v="Diane"/>
    <x v="34"/>
    <d v="1899-12-30T15:46:05"/>
    <d v="2021-02-04T15:46:05"/>
    <x v="6"/>
    <x v="6"/>
    <x v="2"/>
    <x v="1"/>
    <s v="N"/>
    <m/>
    <x v="0"/>
    <m/>
    <m/>
  </r>
  <r>
    <x v="2009"/>
    <s v="Stewart"/>
    <x v="34"/>
    <d v="1899-12-30T15:46:05"/>
    <d v="2021-02-04T15:46:05"/>
    <x v="6"/>
    <x v="6"/>
    <x v="3"/>
    <x v="0"/>
    <s v="Y"/>
    <n v="112"/>
    <x v="0"/>
    <d v="1899-12-30T00:04:43"/>
    <n v="5"/>
  </r>
  <r>
    <x v="2010"/>
    <s v="Jim"/>
    <x v="34"/>
    <d v="1899-12-30T15:47:31"/>
    <d v="2021-02-04T15:47:31"/>
    <x v="6"/>
    <x v="6"/>
    <x v="3"/>
    <x v="0"/>
    <s v="Y"/>
    <n v="17"/>
    <x v="1"/>
    <d v="1899-12-30T00:04:50"/>
    <n v="3"/>
  </r>
  <r>
    <x v="2011"/>
    <s v="Joe"/>
    <x v="34"/>
    <d v="1899-12-30T15:47:31"/>
    <d v="2021-02-04T15:47:31"/>
    <x v="6"/>
    <x v="6"/>
    <x v="1"/>
    <x v="1"/>
    <s v="N"/>
    <m/>
    <x v="0"/>
    <m/>
    <m/>
  </r>
  <r>
    <x v="2012"/>
    <s v="Diane"/>
    <x v="34"/>
    <d v="1899-12-30T16:16:19"/>
    <d v="2021-02-04T16:16:19"/>
    <x v="6"/>
    <x v="8"/>
    <x v="3"/>
    <x v="0"/>
    <s v="Y"/>
    <n v="82"/>
    <x v="0"/>
    <d v="1899-12-30T00:06:05"/>
    <n v="2"/>
  </r>
  <r>
    <x v="2013"/>
    <s v="Diane"/>
    <x v="34"/>
    <d v="1899-12-30T16:16:19"/>
    <d v="2021-02-04T16:16:19"/>
    <x v="6"/>
    <x v="8"/>
    <x v="3"/>
    <x v="0"/>
    <s v="Y"/>
    <n v="50"/>
    <x v="0"/>
    <d v="1899-12-30T00:05:19"/>
    <n v="2"/>
  </r>
  <r>
    <x v="2014"/>
    <s v="Diane"/>
    <x v="34"/>
    <d v="1899-12-30T16:29:17"/>
    <d v="2021-02-04T16:29:17"/>
    <x v="6"/>
    <x v="8"/>
    <x v="1"/>
    <x v="0"/>
    <s v="N"/>
    <n v="84"/>
    <x v="0"/>
    <d v="1899-12-30T00:01:02"/>
    <n v="3"/>
  </r>
  <r>
    <x v="2015"/>
    <s v="Martha"/>
    <x v="34"/>
    <d v="1899-12-30T16:29:17"/>
    <d v="2021-02-04T16:29:17"/>
    <x v="6"/>
    <x v="8"/>
    <x v="2"/>
    <x v="0"/>
    <s v="Y"/>
    <n v="12"/>
    <x v="1"/>
    <d v="1899-12-30T00:05:28"/>
    <n v="3"/>
  </r>
  <r>
    <x v="2016"/>
    <s v="Stewart"/>
    <x v="34"/>
    <d v="1899-12-30T17:00:58"/>
    <d v="2021-02-04T17:00:58"/>
    <x v="6"/>
    <x v="7"/>
    <x v="0"/>
    <x v="0"/>
    <s v="Y"/>
    <n v="80"/>
    <x v="0"/>
    <d v="1899-12-30T00:01:40"/>
    <n v="2"/>
  </r>
  <r>
    <x v="2017"/>
    <s v="Becky"/>
    <x v="34"/>
    <d v="1899-12-30T17:00:58"/>
    <d v="2021-02-04T17:00:58"/>
    <x v="6"/>
    <x v="7"/>
    <x v="1"/>
    <x v="0"/>
    <s v="Y"/>
    <n v="51"/>
    <x v="0"/>
    <d v="1899-12-30T00:02:17"/>
    <n v="3"/>
  </r>
  <r>
    <x v="2018"/>
    <s v="Diane"/>
    <x v="34"/>
    <d v="1899-12-30T17:09:36"/>
    <d v="2021-02-04T17:09:36"/>
    <x v="6"/>
    <x v="7"/>
    <x v="2"/>
    <x v="0"/>
    <s v="Y"/>
    <n v="90"/>
    <x v="0"/>
    <d v="1899-12-30T00:03:08"/>
    <n v="5"/>
  </r>
  <r>
    <x v="2019"/>
    <s v="Greg"/>
    <x v="34"/>
    <d v="1899-12-30T17:09:36"/>
    <d v="2021-02-04T17:09:36"/>
    <x v="6"/>
    <x v="7"/>
    <x v="0"/>
    <x v="0"/>
    <s v="Y"/>
    <n v="40"/>
    <x v="0"/>
    <d v="1899-12-30T00:04:13"/>
    <n v="4"/>
  </r>
  <r>
    <x v="2020"/>
    <s v="Becky"/>
    <x v="34"/>
    <d v="1899-12-30T17:44:10"/>
    <d v="2021-02-04T17:44:10"/>
    <x v="6"/>
    <x v="7"/>
    <x v="1"/>
    <x v="0"/>
    <s v="N"/>
    <n v="59"/>
    <x v="0"/>
    <d v="1899-12-30T00:01:03"/>
    <n v="3"/>
  </r>
  <r>
    <x v="2021"/>
    <s v="Joe"/>
    <x v="34"/>
    <d v="1899-12-30T17:44:10"/>
    <d v="2021-02-04T17:44:10"/>
    <x v="6"/>
    <x v="7"/>
    <x v="3"/>
    <x v="0"/>
    <s v="Y"/>
    <n v="53"/>
    <x v="0"/>
    <d v="1899-12-30T00:06:21"/>
    <n v="4"/>
  </r>
  <r>
    <x v="2022"/>
    <s v="Martha"/>
    <x v="34"/>
    <d v="1899-12-30T17:47:02"/>
    <d v="2021-02-04T17:47:02"/>
    <x v="6"/>
    <x v="7"/>
    <x v="0"/>
    <x v="0"/>
    <s v="Y"/>
    <n v="14"/>
    <x v="1"/>
    <d v="1899-12-30T00:02:41"/>
    <n v="5"/>
  </r>
  <r>
    <x v="2023"/>
    <s v="Jim"/>
    <x v="34"/>
    <d v="1899-12-30T17:47:02"/>
    <d v="2021-02-04T17:47:02"/>
    <x v="6"/>
    <x v="7"/>
    <x v="4"/>
    <x v="0"/>
    <s v="Y"/>
    <n v="89"/>
    <x v="0"/>
    <d v="1899-12-30T00:06:24"/>
    <n v="4"/>
  </r>
  <r>
    <x v="2024"/>
    <s v="Becky"/>
    <x v="34"/>
    <d v="1899-12-30T17:57:07"/>
    <d v="2021-02-04T17:57:07"/>
    <x v="6"/>
    <x v="7"/>
    <x v="1"/>
    <x v="0"/>
    <s v="Y"/>
    <n v="22"/>
    <x v="0"/>
    <d v="1899-12-30T00:02:56"/>
    <n v="1"/>
  </r>
  <r>
    <x v="2025"/>
    <s v="Martha"/>
    <x v="34"/>
    <d v="1899-12-30T17:57:07"/>
    <d v="2021-02-04T17:57:07"/>
    <x v="6"/>
    <x v="7"/>
    <x v="1"/>
    <x v="1"/>
    <s v="N"/>
    <m/>
    <x v="0"/>
    <m/>
    <m/>
  </r>
  <r>
    <x v="2026"/>
    <s v="Joe"/>
    <x v="35"/>
    <d v="1899-12-30T09:15:50"/>
    <d v="2021-02-05T09:15:50"/>
    <x v="0"/>
    <x v="0"/>
    <x v="0"/>
    <x v="0"/>
    <s v="Y"/>
    <n v="67"/>
    <x v="0"/>
    <d v="1899-12-30T00:04:02"/>
    <n v="3"/>
  </r>
  <r>
    <x v="2027"/>
    <s v="Diane"/>
    <x v="35"/>
    <d v="1899-12-30T09:15:50"/>
    <d v="2021-02-05T09:15:50"/>
    <x v="0"/>
    <x v="0"/>
    <x v="4"/>
    <x v="0"/>
    <s v="Y"/>
    <n v="28"/>
    <x v="0"/>
    <d v="1899-12-30T00:05:10"/>
    <n v="1"/>
  </r>
  <r>
    <x v="2028"/>
    <s v="Greg"/>
    <x v="35"/>
    <d v="1899-12-30T09:27:22"/>
    <d v="2021-02-05T09:27:22"/>
    <x v="0"/>
    <x v="0"/>
    <x v="1"/>
    <x v="1"/>
    <s v="N"/>
    <m/>
    <x v="0"/>
    <m/>
    <m/>
  </r>
  <r>
    <x v="2029"/>
    <s v="Jim"/>
    <x v="35"/>
    <d v="1899-12-30T09:27:22"/>
    <d v="2021-02-05T09:27:22"/>
    <x v="0"/>
    <x v="0"/>
    <x v="0"/>
    <x v="1"/>
    <s v="N"/>
    <m/>
    <x v="0"/>
    <m/>
    <m/>
  </r>
  <r>
    <x v="2030"/>
    <s v="Dan"/>
    <x v="35"/>
    <d v="1899-12-30T09:37:26"/>
    <d v="2021-02-05T09:37:26"/>
    <x v="0"/>
    <x v="0"/>
    <x v="0"/>
    <x v="0"/>
    <s v="Y"/>
    <n v="15"/>
    <x v="1"/>
    <d v="1899-12-30T00:01:56"/>
    <n v="5"/>
  </r>
  <r>
    <x v="2031"/>
    <s v="Martha"/>
    <x v="35"/>
    <d v="1899-12-30T09:37:26"/>
    <d v="2021-02-05T09:37:26"/>
    <x v="0"/>
    <x v="0"/>
    <x v="4"/>
    <x v="1"/>
    <s v="N"/>
    <m/>
    <x v="0"/>
    <m/>
    <m/>
  </r>
  <r>
    <x v="2032"/>
    <s v="Martha"/>
    <x v="35"/>
    <d v="1899-12-30T09:37:26"/>
    <d v="2021-02-05T09:37:26"/>
    <x v="0"/>
    <x v="0"/>
    <x v="2"/>
    <x v="0"/>
    <s v="N"/>
    <n v="48"/>
    <x v="0"/>
    <d v="1899-12-30T00:01:40"/>
    <n v="1"/>
  </r>
  <r>
    <x v="2033"/>
    <s v="Diane"/>
    <x v="35"/>
    <d v="1899-12-30T09:37:26"/>
    <d v="2021-02-05T09:37:26"/>
    <x v="0"/>
    <x v="0"/>
    <x v="2"/>
    <x v="0"/>
    <s v="Y"/>
    <n v="27"/>
    <x v="0"/>
    <d v="1899-12-30T00:04:42"/>
    <n v="1"/>
  </r>
  <r>
    <x v="2034"/>
    <s v="Dan"/>
    <x v="35"/>
    <d v="1899-12-30T09:40:19"/>
    <d v="2021-02-05T09:40:19"/>
    <x v="0"/>
    <x v="0"/>
    <x v="1"/>
    <x v="0"/>
    <s v="Y"/>
    <n v="99"/>
    <x v="0"/>
    <d v="1899-12-30T00:06:13"/>
    <n v="3"/>
  </r>
  <r>
    <x v="2035"/>
    <s v="Stewart"/>
    <x v="35"/>
    <d v="1899-12-30T09:40:19"/>
    <d v="2021-02-05T09:40:19"/>
    <x v="0"/>
    <x v="0"/>
    <x v="2"/>
    <x v="0"/>
    <s v="Y"/>
    <n v="33"/>
    <x v="0"/>
    <d v="1899-12-30T00:06:52"/>
    <n v="3"/>
  </r>
  <r>
    <x v="2036"/>
    <s v="Greg"/>
    <x v="35"/>
    <d v="1899-12-30T10:17:46"/>
    <d v="2021-02-05T10:17:46"/>
    <x v="0"/>
    <x v="1"/>
    <x v="4"/>
    <x v="0"/>
    <s v="Y"/>
    <n v="106"/>
    <x v="0"/>
    <d v="1899-12-30T00:04:27"/>
    <n v="5"/>
  </r>
  <r>
    <x v="2037"/>
    <s v="Jim"/>
    <x v="35"/>
    <d v="1899-12-30T10:17:46"/>
    <d v="2021-02-05T10:17:46"/>
    <x v="0"/>
    <x v="1"/>
    <x v="3"/>
    <x v="1"/>
    <s v="N"/>
    <m/>
    <x v="0"/>
    <m/>
    <m/>
  </r>
  <r>
    <x v="2038"/>
    <s v="Dan"/>
    <x v="35"/>
    <d v="1899-12-30T10:26:24"/>
    <d v="2021-02-05T10:26:24"/>
    <x v="0"/>
    <x v="1"/>
    <x v="2"/>
    <x v="0"/>
    <s v="Y"/>
    <n v="121"/>
    <x v="0"/>
    <d v="1899-12-30T00:03:15"/>
    <n v="4"/>
  </r>
  <r>
    <x v="2039"/>
    <s v="Jim"/>
    <x v="35"/>
    <d v="1899-12-30T10:26:24"/>
    <d v="2021-02-05T10:26:24"/>
    <x v="0"/>
    <x v="1"/>
    <x v="1"/>
    <x v="0"/>
    <s v="Y"/>
    <n v="36"/>
    <x v="0"/>
    <d v="1899-12-30T00:04:19"/>
    <n v="5"/>
  </r>
  <r>
    <x v="2040"/>
    <s v="Diane"/>
    <x v="35"/>
    <d v="1899-12-30T10:30:43"/>
    <d v="2021-02-05T10:30:43"/>
    <x v="0"/>
    <x v="1"/>
    <x v="2"/>
    <x v="0"/>
    <s v="Y"/>
    <n v="54"/>
    <x v="0"/>
    <d v="1899-12-30T00:04:02"/>
    <n v="3"/>
  </r>
  <r>
    <x v="2041"/>
    <s v="Greg"/>
    <x v="35"/>
    <d v="1899-12-30T10:30:43"/>
    <d v="2021-02-05T10:30:43"/>
    <x v="0"/>
    <x v="1"/>
    <x v="3"/>
    <x v="0"/>
    <s v="Y"/>
    <n v="55"/>
    <x v="0"/>
    <d v="1899-12-30T00:02:18"/>
    <n v="3"/>
  </r>
  <r>
    <x v="2042"/>
    <s v="Dan"/>
    <x v="35"/>
    <d v="1899-12-30T10:49:26"/>
    <d v="2021-02-05T10:49:26"/>
    <x v="0"/>
    <x v="1"/>
    <x v="4"/>
    <x v="1"/>
    <s v="N"/>
    <m/>
    <x v="0"/>
    <m/>
    <m/>
  </r>
  <r>
    <x v="2043"/>
    <s v="Joe"/>
    <x v="35"/>
    <d v="1899-12-30T10:49:26"/>
    <d v="2021-02-05T10:49:26"/>
    <x v="0"/>
    <x v="1"/>
    <x v="4"/>
    <x v="0"/>
    <s v="Y"/>
    <n v="61"/>
    <x v="0"/>
    <d v="1899-12-30T00:00:55"/>
    <n v="3"/>
  </r>
  <r>
    <x v="2044"/>
    <s v="Jim"/>
    <x v="35"/>
    <d v="1899-12-30T11:13:55"/>
    <d v="2021-02-05T11:13:55"/>
    <x v="0"/>
    <x v="2"/>
    <x v="3"/>
    <x v="0"/>
    <s v="N"/>
    <n v="25"/>
    <x v="0"/>
    <d v="1899-12-30T00:03:31"/>
    <n v="2"/>
  </r>
  <r>
    <x v="2045"/>
    <s v="Martha"/>
    <x v="35"/>
    <d v="1899-12-30T11:13:55"/>
    <d v="2021-02-05T11:13:55"/>
    <x v="0"/>
    <x v="2"/>
    <x v="2"/>
    <x v="1"/>
    <s v="N"/>
    <m/>
    <x v="0"/>
    <m/>
    <m/>
  </r>
  <r>
    <x v="2046"/>
    <s v="Martha"/>
    <x v="35"/>
    <d v="1899-12-30T11:35:31"/>
    <d v="2021-02-05T11:35:31"/>
    <x v="0"/>
    <x v="2"/>
    <x v="3"/>
    <x v="0"/>
    <s v="Y"/>
    <n v="84"/>
    <x v="0"/>
    <d v="1899-12-30T00:01:39"/>
    <n v="4"/>
  </r>
  <r>
    <x v="2047"/>
    <s v="Becky"/>
    <x v="35"/>
    <d v="1899-12-30T11:35:31"/>
    <d v="2021-02-05T11:35:31"/>
    <x v="0"/>
    <x v="2"/>
    <x v="2"/>
    <x v="0"/>
    <s v="Y"/>
    <n v="36"/>
    <x v="0"/>
    <d v="1899-12-30T00:05:11"/>
    <n v="4"/>
  </r>
  <r>
    <x v="2048"/>
    <s v="Stewart"/>
    <x v="35"/>
    <d v="1899-12-30T11:39:50"/>
    <d v="2021-02-05T11:39:50"/>
    <x v="0"/>
    <x v="2"/>
    <x v="4"/>
    <x v="0"/>
    <s v="Y"/>
    <n v="123"/>
    <x v="0"/>
    <d v="1899-12-30T00:03:19"/>
    <n v="3"/>
  </r>
  <r>
    <x v="2049"/>
    <s v="Joe"/>
    <x v="35"/>
    <d v="1899-12-30T11:39:50"/>
    <d v="2021-02-05T11:39:50"/>
    <x v="0"/>
    <x v="2"/>
    <x v="2"/>
    <x v="0"/>
    <s v="Y"/>
    <n v="50"/>
    <x v="0"/>
    <d v="1899-12-30T00:06:55"/>
    <n v="1"/>
  </r>
  <r>
    <x v="2050"/>
    <s v="Dan"/>
    <x v="35"/>
    <d v="1899-12-30T11:42:43"/>
    <d v="2021-02-05T11:42:43"/>
    <x v="0"/>
    <x v="2"/>
    <x v="3"/>
    <x v="1"/>
    <s v="N"/>
    <m/>
    <x v="0"/>
    <m/>
    <m/>
  </r>
  <r>
    <x v="2051"/>
    <s v="Jim"/>
    <x v="35"/>
    <d v="1899-12-30T11:42:43"/>
    <d v="2021-02-05T11:42:43"/>
    <x v="0"/>
    <x v="2"/>
    <x v="0"/>
    <x v="0"/>
    <s v="Y"/>
    <n v="69"/>
    <x v="0"/>
    <d v="1899-12-30T00:02:23"/>
    <n v="4"/>
  </r>
  <r>
    <x v="2052"/>
    <s v="Jim"/>
    <x v="35"/>
    <d v="1899-12-30T11:48:29"/>
    <d v="2021-02-05T11:48:29"/>
    <x v="0"/>
    <x v="2"/>
    <x v="4"/>
    <x v="0"/>
    <s v="Y"/>
    <n v="62"/>
    <x v="0"/>
    <d v="1899-12-30T00:03:32"/>
    <n v="3"/>
  </r>
  <r>
    <x v="2053"/>
    <s v="Stewart"/>
    <x v="35"/>
    <d v="1899-12-30T11:48:29"/>
    <d v="2021-02-05T11:48:29"/>
    <x v="0"/>
    <x v="2"/>
    <x v="4"/>
    <x v="0"/>
    <s v="Y"/>
    <n v="39"/>
    <x v="0"/>
    <d v="1899-12-30T00:01:31"/>
    <n v="3"/>
  </r>
  <r>
    <x v="2054"/>
    <s v="Martha"/>
    <x v="35"/>
    <d v="1899-12-30T11:49:55"/>
    <d v="2021-02-05T11:49:55"/>
    <x v="0"/>
    <x v="2"/>
    <x v="2"/>
    <x v="0"/>
    <s v="Y"/>
    <n v="61"/>
    <x v="0"/>
    <d v="1899-12-30T00:05:06"/>
    <n v="5"/>
  </r>
  <r>
    <x v="2055"/>
    <s v="Martha"/>
    <x v="35"/>
    <d v="1899-12-30T11:49:55"/>
    <d v="2021-02-05T11:49:55"/>
    <x v="0"/>
    <x v="2"/>
    <x v="3"/>
    <x v="0"/>
    <s v="Y"/>
    <n v="45"/>
    <x v="0"/>
    <d v="1899-12-30T00:03:06"/>
    <n v="3"/>
  </r>
  <r>
    <x v="2056"/>
    <s v="Joe"/>
    <x v="35"/>
    <d v="1899-12-30T11:49:55"/>
    <d v="2021-02-05T11:49:55"/>
    <x v="0"/>
    <x v="2"/>
    <x v="1"/>
    <x v="0"/>
    <s v="Y"/>
    <n v="109"/>
    <x v="0"/>
    <d v="1899-12-30T00:05:12"/>
    <n v="4"/>
  </r>
  <r>
    <x v="2057"/>
    <s v="Greg"/>
    <x v="35"/>
    <d v="1899-12-30T11:49:55"/>
    <d v="2021-02-05T11:49:55"/>
    <x v="0"/>
    <x v="2"/>
    <x v="3"/>
    <x v="1"/>
    <s v="N"/>
    <m/>
    <x v="0"/>
    <m/>
    <m/>
  </r>
  <r>
    <x v="2058"/>
    <s v="Martha"/>
    <x v="35"/>
    <d v="1899-12-30T11:51:22"/>
    <d v="2021-02-05T11:51:22"/>
    <x v="0"/>
    <x v="2"/>
    <x v="4"/>
    <x v="0"/>
    <s v="Y"/>
    <n v="41"/>
    <x v="0"/>
    <d v="1899-12-30T00:01:23"/>
    <n v="5"/>
  </r>
  <r>
    <x v="2059"/>
    <s v="Greg"/>
    <x v="35"/>
    <d v="1899-12-30T11:51:22"/>
    <d v="2021-02-05T11:51:22"/>
    <x v="0"/>
    <x v="2"/>
    <x v="4"/>
    <x v="0"/>
    <s v="Y"/>
    <n v="10"/>
    <x v="1"/>
    <d v="1899-12-30T00:05:14"/>
    <n v="3"/>
  </r>
  <r>
    <x v="2060"/>
    <s v="Stewart"/>
    <x v="35"/>
    <d v="1899-12-30T12:11:31"/>
    <d v="2021-02-05T12:11:31"/>
    <x v="0"/>
    <x v="3"/>
    <x v="0"/>
    <x v="0"/>
    <s v="Y"/>
    <n v="23"/>
    <x v="0"/>
    <d v="1899-12-30T00:03:36"/>
    <n v="1"/>
  </r>
  <r>
    <x v="2061"/>
    <s v="Martha"/>
    <x v="35"/>
    <d v="1899-12-30T12:11:31"/>
    <d v="2021-02-05T12:11:31"/>
    <x v="0"/>
    <x v="3"/>
    <x v="3"/>
    <x v="0"/>
    <s v="Y"/>
    <n v="22"/>
    <x v="0"/>
    <d v="1899-12-30T00:04:41"/>
    <n v="4"/>
  </r>
  <r>
    <x v="2062"/>
    <s v="Diane"/>
    <x v="35"/>
    <d v="1899-12-30T13:07:41"/>
    <d v="2021-02-05T13:07:41"/>
    <x v="0"/>
    <x v="4"/>
    <x v="0"/>
    <x v="0"/>
    <s v="N"/>
    <n v="75"/>
    <x v="0"/>
    <d v="1899-12-30T00:01:52"/>
    <n v="5"/>
  </r>
  <r>
    <x v="2063"/>
    <s v="Dan"/>
    <x v="35"/>
    <d v="1899-12-30T13:07:41"/>
    <d v="2021-02-05T13:07:41"/>
    <x v="0"/>
    <x v="4"/>
    <x v="2"/>
    <x v="0"/>
    <s v="Y"/>
    <n v="93"/>
    <x v="0"/>
    <d v="1899-12-30T00:04:37"/>
    <n v="3"/>
  </r>
  <r>
    <x v="2064"/>
    <s v="Jim"/>
    <x v="35"/>
    <d v="1899-12-30T13:17:46"/>
    <d v="2021-02-05T13:17:46"/>
    <x v="0"/>
    <x v="4"/>
    <x v="4"/>
    <x v="0"/>
    <s v="Y"/>
    <n v="106"/>
    <x v="0"/>
    <d v="1899-12-30T00:03:49"/>
    <n v="4"/>
  </r>
  <r>
    <x v="2065"/>
    <s v="Joe"/>
    <x v="35"/>
    <d v="1899-12-30T13:17:46"/>
    <d v="2021-02-05T13:17:46"/>
    <x v="0"/>
    <x v="4"/>
    <x v="4"/>
    <x v="0"/>
    <s v="Y"/>
    <n v="117"/>
    <x v="0"/>
    <d v="1899-12-30T00:03:52"/>
    <n v="3"/>
  </r>
  <r>
    <x v="2066"/>
    <s v="Jim"/>
    <x v="35"/>
    <d v="1899-12-30T13:43:41"/>
    <d v="2021-02-05T13:43:41"/>
    <x v="0"/>
    <x v="4"/>
    <x v="2"/>
    <x v="0"/>
    <s v="N"/>
    <n v="74"/>
    <x v="0"/>
    <d v="1899-12-30T00:02:42"/>
    <n v="1"/>
  </r>
  <r>
    <x v="2067"/>
    <s v="Becky"/>
    <x v="35"/>
    <d v="1899-12-30T13:43:41"/>
    <d v="2021-02-05T13:43:41"/>
    <x v="0"/>
    <x v="4"/>
    <x v="1"/>
    <x v="0"/>
    <s v="Y"/>
    <n v="68"/>
    <x v="0"/>
    <d v="1899-12-30T00:01:07"/>
    <n v="3"/>
  </r>
  <r>
    <x v="2068"/>
    <s v="Greg"/>
    <x v="35"/>
    <d v="1899-12-30T14:13:55"/>
    <d v="2021-02-05T14:13:55"/>
    <x v="0"/>
    <x v="5"/>
    <x v="3"/>
    <x v="0"/>
    <s v="Y"/>
    <n v="107"/>
    <x v="0"/>
    <d v="1899-12-30T00:05:37"/>
    <n v="3"/>
  </r>
  <r>
    <x v="2069"/>
    <s v="Diane"/>
    <x v="35"/>
    <d v="1899-12-30T14:13:55"/>
    <d v="2021-02-05T14:13:55"/>
    <x v="0"/>
    <x v="5"/>
    <x v="0"/>
    <x v="0"/>
    <s v="Y"/>
    <n v="119"/>
    <x v="0"/>
    <d v="1899-12-30T00:00:58"/>
    <n v="1"/>
  </r>
  <r>
    <x v="2070"/>
    <s v="Dan"/>
    <x v="35"/>
    <d v="1899-12-30T14:26:53"/>
    <d v="2021-02-05T14:26:53"/>
    <x v="0"/>
    <x v="5"/>
    <x v="2"/>
    <x v="1"/>
    <s v="N"/>
    <m/>
    <x v="0"/>
    <m/>
    <m/>
  </r>
  <r>
    <x v="2071"/>
    <s v="Stewart"/>
    <x v="35"/>
    <d v="1899-12-30T14:26:53"/>
    <d v="2021-02-05T14:26:53"/>
    <x v="0"/>
    <x v="5"/>
    <x v="4"/>
    <x v="0"/>
    <s v="Y"/>
    <n v="123"/>
    <x v="0"/>
    <d v="1899-12-30T00:04:16"/>
    <n v="2"/>
  </r>
  <r>
    <x v="2072"/>
    <s v="Jim"/>
    <x v="35"/>
    <d v="1899-12-30T14:32:38"/>
    <d v="2021-02-05T14:32:38"/>
    <x v="0"/>
    <x v="5"/>
    <x v="3"/>
    <x v="0"/>
    <s v="Y"/>
    <n v="103"/>
    <x v="0"/>
    <d v="1899-12-30T00:02:11"/>
    <n v="2"/>
  </r>
  <r>
    <x v="2073"/>
    <s v="Martha"/>
    <x v="35"/>
    <d v="1899-12-30T14:32:38"/>
    <d v="2021-02-05T14:32:38"/>
    <x v="0"/>
    <x v="5"/>
    <x v="4"/>
    <x v="0"/>
    <s v="Y"/>
    <n v="113"/>
    <x v="0"/>
    <d v="1899-12-30T00:00:37"/>
    <n v="5"/>
  </r>
  <r>
    <x v="2074"/>
    <s v="Greg"/>
    <x v="35"/>
    <d v="1899-12-30T14:35:31"/>
    <d v="2021-02-05T14:35:31"/>
    <x v="0"/>
    <x v="5"/>
    <x v="1"/>
    <x v="0"/>
    <s v="N"/>
    <n v="116"/>
    <x v="0"/>
    <d v="1899-12-30T00:05:16"/>
    <n v="4"/>
  </r>
  <r>
    <x v="2075"/>
    <s v="Stewart"/>
    <x v="35"/>
    <d v="1899-12-30T14:35:31"/>
    <d v="2021-02-05T14:35:31"/>
    <x v="0"/>
    <x v="5"/>
    <x v="3"/>
    <x v="0"/>
    <s v="N"/>
    <n v="39"/>
    <x v="0"/>
    <d v="1899-12-30T00:02:16"/>
    <n v="1"/>
  </r>
  <r>
    <x v="2076"/>
    <s v="Becky"/>
    <x v="35"/>
    <d v="1899-12-30T14:47:02"/>
    <d v="2021-02-05T14:47:02"/>
    <x v="0"/>
    <x v="5"/>
    <x v="3"/>
    <x v="0"/>
    <s v="Y"/>
    <n v="78"/>
    <x v="0"/>
    <d v="1899-12-30T00:06:12"/>
    <n v="3"/>
  </r>
  <r>
    <x v="2077"/>
    <s v="Martha"/>
    <x v="35"/>
    <d v="1899-12-30T14:47:02"/>
    <d v="2021-02-05T14:47:02"/>
    <x v="0"/>
    <x v="5"/>
    <x v="1"/>
    <x v="0"/>
    <s v="Y"/>
    <n v="120"/>
    <x v="0"/>
    <d v="1899-12-30T00:05:10"/>
    <n v="3"/>
  </r>
  <r>
    <x v="2078"/>
    <s v="Joe"/>
    <x v="35"/>
    <d v="1899-12-30T14:57:07"/>
    <d v="2021-02-05T14:57:07"/>
    <x v="0"/>
    <x v="5"/>
    <x v="0"/>
    <x v="0"/>
    <s v="Y"/>
    <n v="118"/>
    <x v="0"/>
    <d v="1899-12-30T00:02:53"/>
    <n v="3"/>
  </r>
  <r>
    <x v="2079"/>
    <s v="Dan"/>
    <x v="35"/>
    <d v="1899-12-30T14:57:07"/>
    <d v="2021-02-05T14:57:07"/>
    <x v="0"/>
    <x v="5"/>
    <x v="0"/>
    <x v="0"/>
    <s v="Y"/>
    <n v="103"/>
    <x v="0"/>
    <d v="1899-12-30T00:04:46"/>
    <n v="3"/>
  </r>
  <r>
    <x v="2080"/>
    <s v="Jim"/>
    <x v="35"/>
    <d v="1899-12-30T15:14:24"/>
    <d v="2021-02-05T15:14:24"/>
    <x v="0"/>
    <x v="6"/>
    <x v="3"/>
    <x v="0"/>
    <s v="Y"/>
    <n v="96"/>
    <x v="0"/>
    <d v="1899-12-30T00:04:59"/>
    <n v="4"/>
  </r>
  <r>
    <x v="2081"/>
    <s v="Becky"/>
    <x v="35"/>
    <d v="1899-12-30T15:14:24"/>
    <d v="2021-02-05T15:14:24"/>
    <x v="0"/>
    <x v="6"/>
    <x v="2"/>
    <x v="0"/>
    <s v="Y"/>
    <n v="105"/>
    <x v="0"/>
    <d v="1899-12-30T00:03:34"/>
    <n v="4"/>
  </r>
  <r>
    <x v="2082"/>
    <s v="Joe"/>
    <x v="35"/>
    <d v="1899-12-30T15:41:46"/>
    <d v="2021-02-05T15:41:46"/>
    <x v="0"/>
    <x v="6"/>
    <x v="2"/>
    <x v="0"/>
    <s v="Y"/>
    <n v="12"/>
    <x v="1"/>
    <d v="1899-12-30T00:02:57"/>
    <n v="2"/>
  </r>
  <r>
    <x v="2083"/>
    <s v="Martha"/>
    <x v="35"/>
    <d v="1899-12-30T15:41:46"/>
    <d v="2021-02-05T15:41:46"/>
    <x v="0"/>
    <x v="6"/>
    <x v="3"/>
    <x v="1"/>
    <s v="N"/>
    <m/>
    <x v="0"/>
    <m/>
    <m/>
  </r>
  <r>
    <x v="2084"/>
    <s v="Martha"/>
    <x v="35"/>
    <d v="1899-12-30T16:04:48"/>
    <d v="2021-02-05T16:04:48"/>
    <x v="0"/>
    <x v="8"/>
    <x v="1"/>
    <x v="0"/>
    <s v="Y"/>
    <n v="61"/>
    <x v="0"/>
    <d v="1899-12-30T00:03:12"/>
    <n v="2"/>
  </r>
  <r>
    <x v="2085"/>
    <s v="Martha"/>
    <x v="35"/>
    <d v="1899-12-30T16:04:48"/>
    <d v="2021-02-05T16:04:48"/>
    <x v="0"/>
    <x v="8"/>
    <x v="3"/>
    <x v="0"/>
    <s v="Y"/>
    <n v="82"/>
    <x v="0"/>
    <d v="1899-12-30T00:06:54"/>
    <n v="1"/>
  </r>
  <r>
    <x v="2086"/>
    <s v="Greg"/>
    <x v="35"/>
    <d v="1899-12-30T16:17:46"/>
    <d v="2021-02-05T16:17:46"/>
    <x v="0"/>
    <x v="8"/>
    <x v="1"/>
    <x v="0"/>
    <s v="Y"/>
    <n v="51"/>
    <x v="0"/>
    <d v="1899-12-30T00:01:03"/>
    <n v="2"/>
  </r>
  <r>
    <x v="2087"/>
    <s v="Becky"/>
    <x v="35"/>
    <d v="1899-12-30T16:17:46"/>
    <d v="2021-02-05T16:17:46"/>
    <x v="0"/>
    <x v="8"/>
    <x v="3"/>
    <x v="0"/>
    <s v="Y"/>
    <n v="25"/>
    <x v="0"/>
    <d v="1899-12-30T00:06:44"/>
    <n v="5"/>
  </r>
  <r>
    <x v="2088"/>
    <s v="Jim"/>
    <x v="35"/>
    <d v="1899-12-30T16:23:31"/>
    <d v="2021-02-05T16:23:31"/>
    <x v="0"/>
    <x v="8"/>
    <x v="1"/>
    <x v="0"/>
    <s v="Y"/>
    <n v="30"/>
    <x v="0"/>
    <d v="1899-12-30T00:00:35"/>
    <n v="4"/>
  </r>
  <r>
    <x v="2089"/>
    <s v="Martha"/>
    <x v="35"/>
    <d v="1899-12-30T16:23:31"/>
    <d v="2021-02-05T16:23:31"/>
    <x v="0"/>
    <x v="8"/>
    <x v="1"/>
    <x v="1"/>
    <s v="N"/>
    <m/>
    <x v="0"/>
    <m/>
    <m/>
  </r>
  <r>
    <x v="2090"/>
    <s v="Stewart"/>
    <x v="35"/>
    <d v="1899-12-30T16:55:12"/>
    <d v="2021-02-05T16:55:12"/>
    <x v="0"/>
    <x v="8"/>
    <x v="0"/>
    <x v="0"/>
    <s v="Y"/>
    <n v="90"/>
    <x v="0"/>
    <d v="1899-12-30T00:01:59"/>
    <n v="3"/>
  </r>
  <r>
    <x v="2091"/>
    <s v="Dan"/>
    <x v="35"/>
    <d v="1899-12-30T16:55:12"/>
    <d v="2021-02-05T16:55:12"/>
    <x v="0"/>
    <x v="8"/>
    <x v="3"/>
    <x v="1"/>
    <s v="N"/>
    <m/>
    <x v="0"/>
    <m/>
    <m/>
  </r>
  <r>
    <x v="2092"/>
    <s v="Diane"/>
    <x v="35"/>
    <d v="1899-12-30T17:21:07"/>
    <d v="2021-02-05T17:21:07"/>
    <x v="0"/>
    <x v="7"/>
    <x v="0"/>
    <x v="0"/>
    <s v="Y"/>
    <n v="12"/>
    <x v="1"/>
    <d v="1899-12-30T00:01:45"/>
    <n v="3"/>
  </r>
  <r>
    <x v="2093"/>
    <s v="Jim"/>
    <x v="35"/>
    <d v="1899-12-30T17:21:07"/>
    <d v="2021-02-05T17:21:07"/>
    <x v="0"/>
    <x v="7"/>
    <x v="3"/>
    <x v="1"/>
    <s v="N"/>
    <m/>
    <x v="0"/>
    <m/>
    <m/>
  </r>
  <r>
    <x v="2094"/>
    <s v="Martha"/>
    <x v="35"/>
    <d v="1899-12-30T17:39:50"/>
    <d v="2021-02-05T17:39:50"/>
    <x v="0"/>
    <x v="7"/>
    <x v="0"/>
    <x v="1"/>
    <s v="N"/>
    <m/>
    <x v="0"/>
    <m/>
    <m/>
  </r>
  <r>
    <x v="2095"/>
    <s v="Jim"/>
    <x v="35"/>
    <d v="1899-12-30T17:39:50"/>
    <d v="2021-02-05T17:39:50"/>
    <x v="0"/>
    <x v="7"/>
    <x v="1"/>
    <x v="1"/>
    <s v="N"/>
    <m/>
    <x v="0"/>
    <m/>
    <m/>
  </r>
  <r>
    <x v="2096"/>
    <s v="Becky"/>
    <x v="35"/>
    <d v="1899-12-30T17:44:10"/>
    <d v="2021-02-05T17:44:10"/>
    <x v="0"/>
    <x v="7"/>
    <x v="1"/>
    <x v="0"/>
    <s v="Y"/>
    <n v="50"/>
    <x v="0"/>
    <d v="1899-12-30T00:05:16"/>
    <n v="3"/>
  </r>
  <r>
    <x v="2097"/>
    <s v="Diane"/>
    <x v="35"/>
    <d v="1899-12-30T17:44:10"/>
    <d v="2021-02-05T17:44:10"/>
    <x v="0"/>
    <x v="7"/>
    <x v="1"/>
    <x v="0"/>
    <s v="Y"/>
    <n v="125"/>
    <x v="0"/>
    <d v="1899-12-30T00:00:50"/>
    <n v="3"/>
  </r>
  <r>
    <x v="2098"/>
    <s v="Jim"/>
    <x v="36"/>
    <d v="1899-12-30T09:23:02"/>
    <d v="2021-02-06T09:23:02"/>
    <x v="1"/>
    <x v="0"/>
    <x v="3"/>
    <x v="0"/>
    <s v="Y"/>
    <n v="118"/>
    <x v="0"/>
    <d v="1899-12-30T00:01:50"/>
    <n v="4"/>
  </r>
  <r>
    <x v="2099"/>
    <s v="Martha"/>
    <x v="36"/>
    <d v="1899-12-30T09:23:02"/>
    <d v="2021-02-06T09:23:02"/>
    <x v="1"/>
    <x v="0"/>
    <x v="4"/>
    <x v="0"/>
    <s v="N"/>
    <n v="46"/>
    <x v="0"/>
    <d v="1899-12-30T00:01:33"/>
    <n v="5"/>
  </r>
  <r>
    <x v="2100"/>
    <s v="Jim"/>
    <x v="36"/>
    <d v="1899-12-30T09:57:36"/>
    <d v="2021-02-06T09:57:36"/>
    <x v="1"/>
    <x v="0"/>
    <x v="1"/>
    <x v="0"/>
    <s v="Y"/>
    <n v="92"/>
    <x v="0"/>
    <d v="1899-12-30T00:03:55"/>
    <n v="4"/>
  </r>
  <r>
    <x v="2101"/>
    <s v="Becky"/>
    <x v="36"/>
    <d v="1899-12-30T09:57:36"/>
    <d v="2021-02-06T09:57:36"/>
    <x v="1"/>
    <x v="0"/>
    <x v="2"/>
    <x v="0"/>
    <s v="Y"/>
    <n v="23"/>
    <x v="0"/>
    <d v="1899-12-30T00:02:26"/>
    <n v="3"/>
  </r>
  <r>
    <x v="2102"/>
    <s v="Becky"/>
    <x v="36"/>
    <d v="1899-12-30T09:59:02"/>
    <d v="2021-02-06T09:59:02"/>
    <x v="1"/>
    <x v="0"/>
    <x v="0"/>
    <x v="0"/>
    <s v="Y"/>
    <n v="108"/>
    <x v="0"/>
    <d v="1899-12-30T00:03:43"/>
    <n v="2"/>
  </r>
  <r>
    <x v="2103"/>
    <s v="Diane"/>
    <x v="36"/>
    <d v="1899-12-30T09:59:02"/>
    <d v="2021-02-06T09:59:02"/>
    <x v="1"/>
    <x v="0"/>
    <x v="4"/>
    <x v="0"/>
    <s v="Y"/>
    <n v="122"/>
    <x v="0"/>
    <d v="1899-12-30T00:03:20"/>
    <n v="4"/>
  </r>
  <r>
    <x v="2104"/>
    <s v="Joe"/>
    <x v="36"/>
    <d v="1899-12-30T10:46:34"/>
    <d v="2021-02-06T10:46:34"/>
    <x v="1"/>
    <x v="1"/>
    <x v="1"/>
    <x v="0"/>
    <s v="Y"/>
    <n v="27"/>
    <x v="0"/>
    <d v="1899-12-30T00:00:38"/>
    <n v="4"/>
  </r>
  <r>
    <x v="2105"/>
    <s v="Becky"/>
    <x v="36"/>
    <d v="1899-12-30T10:46:34"/>
    <d v="2021-02-06T10:46:34"/>
    <x v="1"/>
    <x v="1"/>
    <x v="3"/>
    <x v="0"/>
    <s v="Y"/>
    <n v="116"/>
    <x v="0"/>
    <d v="1899-12-30T00:01:22"/>
    <n v="4"/>
  </r>
  <r>
    <x v="2106"/>
    <s v="Greg"/>
    <x v="36"/>
    <d v="1899-12-30T10:48:00"/>
    <d v="2021-02-06T10:48:00"/>
    <x v="1"/>
    <x v="1"/>
    <x v="2"/>
    <x v="0"/>
    <s v="Y"/>
    <n v="120"/>
    <x v="0"/>
    <d v="1899-12-30T00:06:21"/>
    <n v="3"/>
  </r>
  <r>
    <x v="2107"/>
    <s v="Greg"/>
    <x v="36"/>
    <d v="1899-12-30T10:48:00"/>
    <d v="2021-02-06T10:48:00"/>
    <x v="1"/>
    <x v="1"/>
    <x v="1"/>
    <x v="0"/>
    <s v="Y"/>
    <n v="55"/>
    <x v="0"/>
    <d v="1899-12-30T00:00:50"/>
    <n v="5"/>
  </r>
  <r>
    <x v="2108"/>
    <s v="Diane"/>
    <x v="36"/>
    <d v="1899-12-30T11:02:24"/>
    <d v="2021-02-06T11:02:24"/>
    <x v="1"/>
    <x v="2"/>
    <x v="4"/>
    <x v="0"/>
    <s v="Y"/>
    <n v="46"/>
    <x v="0"/>
    <d v="1899-12-30T00:04:21"/>
    <n v="4"/>
  </r>
  <r>
    <x v="2109"/>
    <s v="Stewart"/>
    <x v="36"/>
    <d v="1899-12-30T11:02:24"/>
    <d v="2021-02-06T11:02:24"/>
    <x v="1"/>
    <x v="2"/>
    <x v="0"/>
    <x v="1"/>
    <s v="N"/>
    <m/>
    <x v="0"/>
    <m/>
    <m/>
  </r>
  <r>
    <x v="2110"/>
    <s v="Jim"/>
    <x v="36"/>
    <d v="1899-12-30T11:25:26"/>
    <d v="2021-02-06T11:25:26"/>
    <x v="1"/>
    <x v="2"/>
    <x v="4"/>
    <x v="0"/>
    <s v="Y"/>
    <n v="78"/>
    <x v="0"/>
    <d v="1899-12-30T00:03:42"/>
    <n v="2"/>
  </r>
  <r>
    <x v="2111"/>
    <s v="Greg"/>
    <x v="36"/>
    <d v="1899-12-30T11:25:26"/>
    <d v="2021-02-06T11:25:26"/>
    <x v="1"/>
    <x v="2"/>
    <x v="2"/>
    <x v="0"/>
    <s v="Y"/>
    <n v="76"/>
    <x v="0"/>
    <d v="1899-12-30T00:02:51"/>
    <n v="3"/>
  </r>
  <r>
    <x v="2112"/>
    <s v="Becky"/>
    <x v="36"/>
    <d v="1899-12-30T11:32:38"/>
    <d v="2021-02-06T11:32:38"/>
    <x v="1"/>
    <x v="2"/>
    <x v="0"/>
    <x v="0"/>
    <s v="Y"/>
    <n v="15"/>
    <x v="1"/>
    <d v="1899-12-30T00:06:23"/>
    <n v="5"/>
  </r>
  <r>
    <x v="2113"/>
    <s v="Becky"/>
    <x v="36"/>
    <d v="1899-12-30T11:32:38"/>
    <d v="2021-02-06T11:32:38"/>
    <x v="1"/>
    <x v="2"/>
    <x v="3"/>
    <x v="1"/>
    <s v="N"/>
    <m/>
    <x v="0"/>
    <m/>
    <m/>
  </r>
  <r>
    <x v="2114"/>
    <s v="Dan"/>
    <x v="36"/>
    <d v="1899-12-30T11:38:24"/>
    <d v="2021-02-06T11:38:24"/>
    <x v="1"/>
    <x v="2"/>
    <x v="1"/>
    <x v="0"/>
    <s v="Y"/>
    <n v="15"/>
    <x v="1"/>
    <d v="1899-12-30T00:06:23"/>
    <n v="1"/>
  </r>
  <r>
    <x v="2115"/>
    <s v="Becky"/>
    <x v="36"/>
    <d v="1899-12-30T11:38:24"/>
    <d v="2021-02-06T11:38:24"/>
    <x v="1"/>
    <x v="2"/>
    <x v="2"/>
    <x v="1"/>
    <s v="N"/>
    <m/>
    <x v="0"/>
    <m/>
    <m/>
  </r>
  <r>
    <x v="2116"/>
    <s v="Becky"/>
    <x v="36"/>
    <d v="1899-12-30T11:55:41"/>
    <d v="2021-02-06T11:55:41"/>
    <x v="1"/>
    <x v="2"/>
    <x v="3"/>
    <x v="0"/>
    <s v="Y"/>
    <n v="82"/>
    <x v="0"/>
    <d v="1899-12-30T00:02:03"/>
    <n v="4"/>
  </r>
  <r>
    <x v="2117"/>
    <s v="Greg"/>
    <x v="36"/>
    <d v="1899-12-30T11:55:41"/>
    <d v="2021-02-06T11:55:41"/>
    <x v="1"/>
    <x v="2"/>
    <x v="3"/>
    <x v="0"/>
    <s v="Y"/>
    <n v="59"/>
    <x v="0"/>
    <d v="1899-12-30T00:05:47"/>
    <n v="1"/>
  </r>
  <r>
    <x v="2118"/>
    <s v="Dan"/>
    <x v="36"/>
    <d v="1899-12-30T12:02:53"/>
    <d v="2021-02-06T12:02:53"/>
    <x v="1"/>
    <x v="3"/>
    <x v="4"/>
    <x v="0"/>
    <s v="Y"/>
    <n v="41"/>
    <x v="0"/>
    <d v="1899-12-30T00:00:49"/>
    <n v="4"/>
  </r>
  <r>
    <x v="2119"/>
    <s v="Martha"/>
    <x v="36"/>
    <d v="1899-12-30T12:02:53"/>
    <d v="2021-02-06T12:02:53"/>
    <x v="1"/>
    <x v="3"/>
    <x v="4"/>
    <x v="0"/>
    <s v="Y"/>
    <n v="39"/>
    <x v="0"/>
    <d v="1899-12-30T00:04:27"/>
    <n v="3"/>
  </r>
  <r>
    <x v="2120"/>
    <s v="Martha"/>
    <x v="36"/>
    <d v="1899-12-30T12:12:58"/>
    <d v="2021-02-06T12:12:58"/>
    <x v="1"/>
    <x v="3"/>
    <x v="2"/>
    <x v="1"/>
    <s v="N"/>
    <m/>
    <x v="0"/>
    <m/>
    <m/>
  </r>
  <r>
    <x v="2121"/>
    <s v="Martha"/>
    <x v="36"/>
    <d v="1899-12-30T12:12:58"/>
    <d v="2021-02-06T12:12:58"/>
    <x v="1"/>
    <x v="3"/>
    <x v="3"/>
    <x v="0"/>
    <s v="Y"/>
    <n v="108"/>
    <x v="0"/>
    <d v="1899-12-30T00:03:49"/>
    <n v="4"/>
  </r>
  <r>
    <x v="2122"/>
    <s v="Stewart"/>
    <x v="36"/>
    <d v="1899-12-30T12:33:07"/>
    <d v="2021-02-06T12:33:07"/>
    <x v="1"/>
    <x v="3"/>
    <x v="2"/>
    <x v="0"/>
    <s v="Y"/>
    <n v="48"/>
    <x v="0"/>
    <d v="1899-12-30T00:02:36"/>
    <n v="4"/>
  </r>
  <r>
    <x v="2123"/>
    <s v="Greg"/>
    <x v="36"/>
    <d v="1899-12-30T12:33:07"/>
    <d v="2021-02-06T12:33:07"/>
    <x v="1"/>
    <x v="3"/>
    <x v="2"/>
    <x v="0"/>
    <s v="Y"/>
    <n v="106"/>
    <x v="0"/>
    <d v="1899-12-30T00:01:44"/>
    <n v="5"/>
  </r>
  <r>
    <x v="2124"/>
    <s v="Becky"/>
    <x v="36"/>
    <d v="1899-12-30T12:53:17"/>
    <d v="2021-02-06T12:53:17"/>
    <x v="1"/>
    <x v="3"/>
    <x v="1"/>
    <x v="0"/>
    <s v="Y"/>
    <n v="100"/>
    <x v="0"/>
    <d v="1899-12-30T00:02:23"/>
    <n v="1"/>
  </r>
  <r>
    <x v="2125"/>
    <s v="Jim"/>
    <x v="36"/>
    <d v="1899-12-30T12:53:17"/>
    <d v="2021-02-06T12:53:17"/>
    <x v="1"/>
    <x v="3"/>
    <x v="1"/>
    <x v="0"/>
    <s v="Y"/>
    <n v="109"/>
    <x v="0"/>
    <d v="1899-12-30T00:03:06"/>
    <n v="2"/>
  </r>
  <r>
    <x v="2126"/>
    <s v="Diane"/>
    <x v="36"/>
    <d v="1899-12-30T13:03:22"/>
    <d v="2021-02-06T13:03:22"/>
    <x v="1"/>
    <x v="4"/>
    <x v="4"/>
    <x v="1"/>
    <s v="N"/>
    <m/>
    <x v="0"/>
    <m/>
    <m/>
  </r>
  <r>
    <x v="2127"/>
    <s v="Becky"/>
    <x v="36"/>
    <d v="1899-12-30T13:03:22"/>
    <d v="2021-02-06T13:03:22"/>
    <x v="1"/>
    <x v="4"/>
    <x v="4"/>
    <x v="0"/>
    <s v="N"/>
    <n v="26"/>
    <x v="0"/>
    <d v="1899-12-30T00:03:30"/>
    <n v="3"/>
  </r>
  <r>
    <x v="2128"/>
    <s v="Dan"/>
    <x v="36"/>
    <d v="1899-12-30T13:39:22"/>
    <d v="2021-02-06T13:39:22"/>
    <x v="1"/>
    <x v="4"/>
    <x v="1"/>
    <x v="0"/>
    <s v="Y"/>
    <n v="96"/>
    <x v="0"/>
    <d v="1899-12-30T00:05:50"/>
    <n v="4"/>
  </r>
  <r>
    <x v="2129"/>
    <s v="Greg"/>
    <x v="36"/>
    <d v="1899-12-30T13:39:22"/>
    <d v="2021-02-06T13:39:22"/>
    <x v="1"/>
    <x v="4"/>
    <x v="4"/>
    <x v="0"/>
    <s v="Y"/>
    <n v="23"/>
    <x v="0"/>
    <d v="1899-12-30T00:05:55"/>
    <n v="5"/>
  </r>
  <r>
    <x v="2130"/>
    <s v="Martha"/>
    <x v="36"/>
    <d v="1899-12-30T13:43:41"/>
    <d v="2021-02-06T13:43:41"/>
    <x v="1"/>
    <x v="4"/>
    <x v="2"/>
    <x v="1"/>
    <s v="N"/>
    <m/>
    <x v="0"/>
    <m/>
    <m/>
  </r>
  <r>
    <x v="2131"/>
    <s v="Diane"/>
    <x v="36"/>
    <d v="1899-12-30T13:43:41"/>
    <d v="2021-02-06T13:43:41"/>
    <x v="1"/>
    <x v="4"/>
    <x v="2"/>
    <x v="0"/>
    <s v="Y"/>
    <n v="123"/>
    <x v="0"/>
    <d v="1899-12-30T00:02:44"/>
    <n v="3"/>
  </r>
  <r>
    <x v="2132"/>
    <s v="Dan"/>
    <x v="36"/>
    <d v="1899-12-30T14:52:48"/>
    <d v="2021-02-06T14:52:48"/>
    <x v="1"/>
    <x v="5"/>
    <x v="1"/>
    <x v="1"/>
    <s v="N"/>
    <m/>
    <x v="0"/>
    <m/>
    <m/>
  </r>
  <r>
    <x v="2133"/>
    <s v="Dan"/>
    <x v="36"/>
    <d v="1899-12-30T14:52:48"/>
    <d v="2021-02-06T14:52:48"/>
    <x v="1"/>
    <x v="5"/>
    <x v="0"/>
    <x v="0"/>
    <s v="Y"/>
    <n v="55"/>
    <x v="0"/>
    <d v="1899-12-30T00:04:08"/>
    <n v="5"/>
  </r>
  <r>
    <x v="2134"/>
    <s v="Becky"/>
    <x v="36"/>
    <d v="1899-12-30T14:55:41"/>
    <d v="2021-02-06T14:55:41"/>
    <x v="1"/>
    <x v="5"/>
    <x v="1"/>
    <x v="0"/>
    <s v="Y"/>
    <n v="44"/>
    <x v="0"/>
    <d v="1899-12-30T00:06:35"/>
    <n v="4"/>
  </r>
  <r>
    <x v="2135"/>
    <s v="Diane"/>
    <x v="36"/>
    <d v="1899-12-30T14:55:41"/>
    <d v="2021-02-06T14:55:41"/>
    <x v="1"/>
    <x v="5"/>
    <x v="2"/>
    <x v="0"/>
    <s v="Y"/>
    <n v="73"/>
    <x v="0"/>
    <d v="1899-12-30T00:05:14"/>
    <n v="1"/>
  </r>
  <r>
    <x v="2136"/>
    <s v="Stewart"/>
    <x v="36"/>
    <d v="1899-12-30T15:53:17"/>
    <d v="2021-02-06T15:53:17"/>
    <x v="1"/>
    <x v="6"/>
    <x v="2"/>
    <x v="0"/>
    <s v="Y"/>
    <n v="63"/>
    <x v="0"/>
    <d v="1899-12-30T00:06:51"/>
    <n v="3"/>
  </r>
  <r>
    <x v="2137"/>
    <s v="Diane"/>
    <x v="36"/>
    <d v="1899-12-30T15:53:17"/>
    <d v="2021-02-06T15:53:17"/>
    <x v="1"/>
    <x v="6"/>
    <x v="2"/>
    <x v="1"/>
    <s v="N"/>
    <m/>
    <x v="0"/>
    <m/>
    <m/>
  </r>
  <r>
    <x v="2138"/>
    <s v="Dan"/>
    <x v="36"/>
    <d v="1899-12-30T16:45:07"/>
    <d v="2021-02-06T16:45:07"/>
    <x v="1"/>
    <x v="8"/>
    <x v="3"/>
    <x v="0"/>
    <s v="Y"/>
    <n v="82"/>
    <x v="0"/>
    <d v="1899-12-30T00:02:25"/>
    <n v="2"/>
  </r>
  <r>
    <x v="2139"/>
    <s v="Greg"/>
    <x v="36"/>
    <d v="1899-12-30T16:45:07"/>
    <d v="2021-02-06T16:45:07"/>
    <x v="1"/>
    <x v="8"/>
    <x v="0"/>
    <x v="0"/>
    <s v="Y"/>
    <n v="113"/>
    <x v="0"/>
    <d v="1899-12-30T00:06:17"/>
    <n v="4"/>
  </r>
  <r>
    <x v="2140"/>
    <s v="Greg"/>
    <x v="36"/>
    <d v="1899-12-30T17:02:24"/>
    <d v="2021-02-06T17:02:24"/>
    <x v="1"/>
    <x v="7"/>
    <x v="1"/>
    <x v="0"/>
    <s v="N"/>
    <n v="57"/>
    <x v="0"/>
    <d v="1899-12-30T00:06:12"/>
    <n v="4"/>
  </r>
  <r>
    <x v="2141"/>
    <s v="Stewart"/>
    <x v="36"/>
    <d v="1899-12-30T17:02:24"/>
    <d v="2021-02-06T17:02:24"/>
    <x v="1"/>
    <x v="7"/>
    <x v="4"/>
    <x v="0"/>
    <s v="Y"/>
    <n v="63"/>
    <x v="0"/>
    <d v="1899-12-30T00:01:27"/>
    <n v="1"/>
  </r>
  <r>
    <x v="2142"/>
    <s v="Diane"/>
    <x v="36"/>
    <d v="1899-12-30T17:31:12"/>
    <d v="2021-02-06T17:31:12"/>
    <x v="1"/>
    <x v="7"/>
    <x v="3"/>
    <x v="0"/>
    <s v="Y"/>
    <n v="120"/>
    <x v="0"/>
    <d v="1899-12-30T00:05:13"/>
    <n v="4"/>
  </r>
  <r>
    <x v="2143"/>
    <s v="Jim"/>
    <x v="36"/>
    <d v="1899-12-30T17:31:12"/>
    <d v="2021-02-06T17:31:12"/>
    <x v="1"/>
    <x v="7"/>
    <x v="1"/>
    <x v="0"/>
    <s v="Y"/>
    <n v="68"/>
    <x v="0"/>
    <d v="1899-12-30T00:05:42"/>
    <n v="5"/>
  </r>
  <r>
    <x v="2144"/>
    <s v="Martha"/>
    <x v="36"/>
    <d v="1899-12-30T17:35:31"/>
    <d v="2021-02-06T17:35:31"/>
    <x v="1"/>
    <x v="7"/>
    <x v="0"/>
    <x v="0"/>
    <s v="Y"/>
    <n v="31"/>
    <x v="0"/>
    <d v="1899-12-30T00:02:15"/>
    <n v="3"/>
  </r>
  <r>
    <x v="2145"/>
    <s v="Becky"/>
    <x v="36"/>
    <d v="1899-12-30T17:35:31"/>
    <d v="2021-02-06T17:35:31"/>
    <x v="1"/>
    <x v="7"/>
    <x v="4"/>
    <x v="0"/>
    <s v="Y"/>
    <n v="44"/>
    <x v="0"/>
    <d v="1899-12-30T00:05:05"/>
    <n v="3"/>
  </r>
  <r>
    <x v="2146"/>
    <s v="Becky"/>
    <x v="36"/>
    <d v="1899-12-30T17:35:31"/>
    <d v="2021-02-06T17:35:31"/>
    <x v="1"/>
    <x v="7"/>
    <x v="2"/>
    <x v="0"/>
    <s v="Y"/>
    <n v="84"/>
    <x v="0"/>
    <d v="1899-12-30T00:03:33"/>
    <n v="5"/>
  </r>
  <r>
    <x v="2147"/>
    <s v="Greg"/>
    <x v="36"/>
    <d v="1899-12-30T17:35:31"/>
    <d v="2021-02-06T17:35:31"/>
    <x v="1"/>
    <x v="7"/>
    <x v="1"/>
    <x v="0"/>
    <s v="Y"/>
    <n v="79"/>
    <x v="0"/>
    <d v="1899-12-30T00:04:49"/>
    <n v="5"/>
  </r>
  <r>
    <x v="2148"/>
    <s v="Diane"/>
    <x v="37"/>
    <d v="1899-12-30T09:10:05"/>
    <d v="2021-02-07T09:10:05"/>
    <x v="2"/>
    <x v="0"/>
    <x v="3"/>
    <x v="0"/>
    <s v="Y"/>
    <n v="71"/>
    <x v="0"/>
    <d v="1899-12-30T00:06:52"/>
    <n v="3"/>
  </r>
  <r>
    <x v="2149"/>
    <s v="Jim"/>
    <x v="37"/>
    <d v="1899-12-30T09:10:05"/>
    <d v="2021-02-07T09:10:05"/>
    <x v="2"/>
    <x v="0"/>
    <x v="3"/>
    <x v="0"/>
    <s v="Y"/>
    <n v="94"/>
    <x v="0"/>
    <d v="1899-12-30T00:02:17"/>
    <n v="3"/>
  </r>
  <r>
    <x v="2150"/>
    <s v="Martha"/>
    <x v="37"/>
    <d v="1899-12-30T09:28:48"/>
    <d v="2021-02-07T09:28:48"/>
    <x v="2"/>
    <x v="0"/>
    <x v="1"/>
    <x v="1"/>
    <s v="N"/>
    <m/>
    <x v="0"/>
    <m/>
    <m/>
  </r>
  <r>
    <x v="2151"/>
    <s v="Dan"/>
    <x v="37"/>
    <d v="1899-12-30T09:28:48"/>
    <d v="2021-02-07T09:28:48"/>
    <x v="2"/>
    <x v="0"/>
    <x v="2"/>
    <x v="0"/>
    <s v="Y"/>
    <n v="11"/>
    <x v="1"/>
    <d v="1899-12-30T00:06:50"/>
    <n v="5"/>
  </r>
  <r>
    <x v="2152"/>
    <s v="Greg"/>
    <x v="37"/>
    <d v="1899-12-30T09:30:14"/>
    <d v="2021-02-07T09:30:14"/>
    <x v="2"/>
    <x v="0"/>
    <x v="4"/>
    <x v="0"/>
    <s v="Y"/>
    <n v="51"/>
    <x v="0"/>
    <d v="1899-12-30T00:06:15"/>
    <n v="1"/>
  </r>
  <r>
    <x v="2153"/>
    <s v="Martha"/>
    <x v="37"/>
    <d v="1899-12-30T09:30:14"/>
    <d v="2021-02-07T09:30:14"/>
    <x v="2"/>
    <x v="0"/>
    <x v="4"/>
    <x v="0"/>
    <s v="N"/>
    <n v="12"/>
    <x v="1"/>
    <d v="1899-12-30T00:06:03"/>
    <n v="3"/>
  </r>
  <r>
    <x v="2154"/>
    <s v="Jim"/>
    <x v="37"/>
    <d v="1899-12-30T10:00:29"/>
    <d v="2021-02-07T10:00:29"/>
    <x v="2"/>
    <x v="1"/>
    <x v="3"/>
    <x v="0"/>
    <s v="Y"/>
    <n v="16"/>
    <x v="1"/>
    <d v="1899-12-30T00:05:22"/>
    <n v="4"/>
  </r>
  <r>
    <x v="2155"/>
    <s v="Becky"/>
    <x v="37"/>
    <d v="1899-12-30T10:00:29"/>
    <d v="2021-02-07T10:00:29"/>
    <x v="2"/>
    <x v="1"/>
    <x v="2"/>
    <x v="1"/>
    <s v="N"/>
    <m/>
    <x v="0"/>
    <m/>
    <m/>
  </r>
  <r>
    <x v="2156"/>
    <s v="Jim"/>
    <x v="37"/>
    <d v="1899-12-30T10:06:14"/>
    <d v="2021-02-07T10:06:14"/>
    <x v="2"/>
    <x v="1"/>
    <x v="4"/>
    <x v="0"/>
    <s v="Y"/>
    <n v="54"/>
    <x v="0"/>
    <d v="1899-12-30T00:04:21"/>
    <n v="3"/>
  </r>
  <r>
    <x v="2157"/>
    <s v="Martha"/>
    <x v="37"/>
    <d v="1899-12-30T10:06:14"/>
    <d v="2021-02-07T10:06:14"/>
    <x v="2"/>
    <x v="1"/>
    <x v="3"/>
    <x v="0"/>
    <s v="Y"/>
    <n v="106"/>
    <x v="0"/>
    <d v="1899-12-30T00:04:06"/>
    <n v="3"/>
  </r>
  <r>
    <x v="2158"/>
    <s v="Diane"/>
    <x v="37"/>
    <d v="1899-12-30T10:13:26"/>
    <d v="2021-02-07T10:13:26"/>
    <x v="2"/>
    <x v="1"/>
    <x v="2"/>
    <x v="1"/>
    <s v="N"/>
    <m/>
    <x v="0"/>
    <m/>
    <m/>
  </r>
  <r>
    <x v="2159"/>
    <s v="Martha"/>
    <x v="37"/>
    <d v="1899-12-30T10:13:26"/>
    <d v="2021-02-07T10:13:26"/>
    <x v="2"/>
    <x v="1"/>
    <x v="3"/>
    <x v="0"/>
    <s v="Y"/>
    <n v="13"/>
    <x v="1"/>
    <d v="1899-12-30T00:01:10"/>
    <n v="3"/>
  </r>
  <r>
    <x v="2160"/>
    <s v="Joe"/>
    <x v="37"/>
    <d v="1899-12-30T10:42:14"/>
    <d v="2021-02-07T10:42:14"/>
    <x v="2"/>
    <x v="1"/>
    <x v="4"/>
    <x v="0"/>
    <s v="N"/>
    <n v="97"/>
    <x v="0"/>
    <d v="1899-12-30T00:03:16"/>
    <n v="4"/>
  </r>
  <r>
    <x v="2161"/>
    <s v="Martha"/>
    <x v="37"/>
    <d v="1899-12-30T10:42:14"/>
    <d v="2021-02-07T10:42:14"/>
    <x v="2"/>
    <x v="1"/>
    <x v="0"/>
    <x v="0"/>
    <s v="Y"/>
    <n v="124"/>
    <x v="0"/>
    <d v="1899-12-30T00:04:54"/>
    <n v="4"/>
  </r>
  <r>
    <x v="2162"/>
    <s v="Dan"/>
    <x v="37"/>
    <d v="1899-12-30T10:56:38"/>
    <d v="2021-02-07T10:56:38"/>
    <x v="2"/>
    <x v="1"/>
    <x v="1"/>
    <x v="0"/>
    <s v="Y"/>
    <n v="46"/>
    <x v="0"/>
    <d v="1899-12-30T00:04:12"/>
    <n v="3"/>
  </r>
  <r>
    <x v="2163"/>
    <s v="Martha"/>
    <x v="37"/>
    <d v="1899-12-30T10:56:38"/>
    <d v="2021-02-07T10:56:38"/>
    <x v="2"/>
    <x v="1"/>
    <x v="4"/>
    <x v="0"/>
    <s v="Y"/>
    <n v="53"/>
    <x v="0"/>
    <d v="1899-12-30T00:06:37"/>
    <n v="4"/>
  </r>
  <r>
    <x v="2164"/>
    <s v="Becky"/>
    <x v="37"/>
    <d v="1899-12-30T11:24:00"/>
    <d v="2021-02-07T11:24:00"/>
    <x v="2"/>
    <x v="2"/>
    <x v="2"/>
    <x v="0"/>
    <s v="Y"/>
    <n v="51"/>
    <x v="0"/>
    <d v="1899-12-30T00:06:01"/>
    <n v="2"/>
  </r>
  <r>
    <x v="2165"/>
    <s v="Diane"/>
    <x v="37"/>
    <d v="1899-12-30T11:24:00"/>
    <d v="2021-02-07T11:24:00"/>
    <x v="2"/>
    <x v="2"/>
    <x v="1"/>
    <x v="0"/>
    <s v="Y"/>
    <n v="51"/>
    <x v="0"/>
    <d v="1899-12-30T00:00:58"/>
    <n v="5"/>
  </r>
  <r>
    <x v="2166"/>
    <s v="Becky"/>
    <x v="37"/>
    <d v="1899-12-30T11:24:00"/>
    <d v="2021-02-07T11:24:00"/>
    <x v="2"/>
    <x v="2"/>
    <x v="0"/>
    <x v="0"/>
    <s v="Y"/>
    <n v="30"/>
    <x v="0"/>
    <d v="1899-12-30T00:01:58"/>
    <n v="4"/>
  </r>
  <r>
    <x v="2167"/>
    <s v="Greg"/>
    <x v="37"/>
    <d v="1899-12-30T11:24:00"/>
    <d v="2021-02-07T11:24:00"/>
    <x v="2"/>
    <x v="2"/>
    <x v="4"/>
    <x v="0"/>
    <s v="Y"/>
    <n v="51"/>
    <x v="0"/>
    <d v="1899-12-30T00:06:24"/>
    <n v="5"/>
  </r>
  <r>
    <x v="2168"/>
    <s v="Becky"/>
    <x v="37"/>
    <d v="1899-12-30T11:25:26"/>
    <d v="2021-02-07T11:25:26"/>
    <x v="2"/>
    <x v="2"/>
    <x v="3"/>
    <x v="0"/>
    <s v="Y"/>
    <n v="45"/>
    <x v="0"/>
    <d v="1899-12-30T00:02:40"/>
    <n v="1"/>
  </r>
  <r>
    <x v="2169"/>
    <s v="Diane"/>
    <x v="37"/>
    <d v="1899-12-30T11:25:26"/>
    <d v="2021-02-07T11:25:26"/>
    <x v="2"/>
    <x v="2"/>
    <x v="0"/>
    <x v="0"/>
    <s v="Y"/>
    <n v="43"/>
    <x v="0"/>
    <d v="1899-12-30T00:06:27"/>
    <n v="5"/>
  </r>
  <r>
    <x v="2170"/>
    <s v="Greg"/>
    <x v="37"/>
    <d v="1899-12-30T12:48:58"/>
    <d v="2021-02-07T12:48:58"/>
    <x v="2"/>
    <x v="3"/>
    <x v="1"/>
    <x v="0"/>
    <s v="Y"/>
    <n v="51"/>
    <x v="0"/>
    <d v="1899-12-30T00:01:14"/>
    <n v="4"/>
  </r>
  <r>
    <x v="2171"/>
    <s v="Becky"/>
    <x v="37"/>
    <d v="1899-12-30T12:48:58"/>
    <d v="2021-02-07T12:48:58"/>
    <x v="2"/>
    <x v="3"/>
    <x v="0"/>
    <x v="0"/>
    <s v="Y"/>
    <n v="99"/>
    <x v="0"/>
    <d v="1899-12-30T00:04:06"/>
    <n v="4"/>
  </r>
  <r>
    <x v="2172"/>
    <s v="Greg"/>
    <x v="37"/>
    <d v="1899-12-30T13:00:29"/>
    <d v="2021-02-07T13:00:29"/>
    <x v="2"/>
    <x v="4"/>
    <x v="3"/>
    <x v="0"/>
    <s v="Y"/>
    <n v="94"/>
    <x v="0"/>
    <d v="1899-12-30T00:01:50"/>
    <n v="5"/>
  </r>
  <r>
    <x v="2173"/>
    <s v="Stewart"/>
    <x v="37"/>
    <d v="1899-12-30T13:00:29"/>
    <d v="2021-02-07T13:00:29"/>
    <x v="2"/>
    <x v="4"/>
    <x v="1"/>
    <x v="0"/>
    <s v="Y"/>
    <n v="11"/>
    <x v="1"/>
    <d v="1899-12-30T00:01:19"/>
    <n v="2"/>
  </r>
  <r>
    <x v="2174"/>
    <s v="Diane"/>
    <x v="37"/>
    <d v="1899-12-30T13:04:48"/>
    <d v="2021-02-07T13:04:48"/>
    <x v="2"/>
    <x v="4"/>
    <x v="1"/>
    <x v="0"/>
    <s v="Y"/>
    <n v="120"/>
    <x v="0"/>
    <d v="1899-12-30T00:00:40"/>
    <n v="3"/>
  </r>
  <r>
    <x v="2175"/>
    <s v="Stewart"/>
    <x v="37"/>
    <d v="1899-12-30T13:04:48"/>
    <d v="2021-02-07T13:04:48"/>
    <x v="2"/>
    <x v="4"/>
    <x v="3"/>
    <x v="0"/>
    <s v="Y"/>
    <n v="70"/>
    <x v="0"/>
    <d v="1899-12-30T00:06:33"/>
    <n v="3"/>
  </r>
  <r>
    <x v="2176"/>
    <s v="Becky"/>
    <x v="37"/>
    <d v="1899-12-30T13:48:00"/>
    <d v="2021-02-07T13:48:00"/>
    <x v="2"/>
    <x v="4"/>
    <x v="2"/>
    <x v="0"/>
    <s v="Y"/>
    <n v="111"/>
    <x v="0"/>
    <d v="1899-12-30T00:06:44"/>
    <n v="5"/>
  </r>
  <r>
    <x v="2177"/>
    <s v="Martha"/>
    <x v="37"/>
    <d v="1899-12-30T13:48:00"/>
    <d v="2021-02-07T13:48:00"/>
    <x v="2"/>
    <x v="4"/>
    <x v="1"/>
    <x v="0"/>
    <s v="Y"/>
    <n v="85"/>
    <x v="0"/>
    <d v="1899-12-30T00:04:43"/>
    <n v="1"/>
  </r>
  <r>
    <x v="2178"/>
    <s v="Diane"/>
    <x v="37"/>
    <d v="1899-12-30T13:52:19"/>
    <d v="2021-02-07T13:52:19"/>
    <x v="2"/>
    <x v="4"/>
    <x v="1"/>
    <x v="0"/>
    <s v="N"/>
    <n v="58"/>
    <x v="0"/>
    <d v="1899-12-30T00:01:31"/>
    <n v="2"/>
  </r>
  <r>
    <x v="2179"/>
    <s v="Dan"/>
    <x v="37"/>
    <d v="1899-12-30T13:52:19"/>
    <d v="2021-02-07T13:52:19"/>
    <x v="2"/>
    <x v="4"/>
    <x v="3"/>
    <x v="1"/>
    <s v="N"/>
    <m/>
    <x v="0"/>
    <m/>
    <m/>
  </r>
  <r>
    <x v="2180"/>
    <s v="Greg"/>
    <x v="37"/>
    <d v="1899-12-30T14:08:10"/>
    <d v="2021-02-07T14:08:10"/>
    <x v="2"/>
    <x v="5"/>
    <x v="2"/>
    <x v="0"/>
    <s v="Y"/>
    <n v="14"/>
    <x v="1"/>
    <d v="1899-12-30T00:03:17"/>
    <n v="4"/>
  </r>
  <r>
    <x v="2181"/>
    <s v="Martha"/>
    <x v="37"/>
    <d v="1899-12-30T14:08:10"/>
    <d v="2021-02-07T14:08:10"/>
    <x v="2"/>
    <x v="5"/>
    <x v="2"/>
    <x v="0"/>
    <s v="Y"/>
    <n v="40"/>
    <x v="0"/>
    <d v="1899-12-30T00:04:27"/>
    <n v="4"/>
  </r>
  <r>
    <x v="2182"/>
    <s v="Jim"/>
    <x v="37"/>
    <d v="1899-12-30T14:09:36"/>
    <d v="2021-02-07T14:09:36"/>
    <x v="2"/>
    <x v="5"/>
    <x v="0"/>
    <x v="0"/>
    <s v="Y"/>
    <n v="51"/>
    <x v="0"/>
    <d v="1899-12-30T00:05:14"/>
    <n v="3"/>
  </r>
  <r>
    <x v="2183"/>
    <s v="Greg"/>
    <x v="37"/>
    <d v="1899-12-30T14:09:36"/>
    <d v="2021-02-07T14:09:36"/>
    <x v="2"/>
    <x v="5"/>
    <x v="4"/>
    <x v="0"/>
    <s v="N"/>
    <n v="16"/>
    <x v="1"/>
    <d v="1899-12-30T00:05:47"/>
    <n v="3"/>
  </r>
  <r>
    <x v="2184"/>
    <s v="Greg"/>
    <x v="37"/>
    <d v="1899-12-30T14:21:07"/>
    <d v="2021-02-07T14:21:07"/>
    <x v="2"/>
    <x v="5"/>
    <x v="0"/>
    <x v="0"/>
    <s v="Y"/>
    <n v="27"/>
    <x v="0"/>
    <d v="1899-12-30T00:03:53"/>
    <n v="3"/>
  </r>
  <r>
    <x v="2185"/>
    <s v="Martha"/>
    <x v="37"/>
    <d v="1899-12-30T14:21:07"/>
    <d v="2021-02-07T14:21:07"/>
    <x v="2"/>
    <x v="5"/>
    <x v="0"/>
    <x v="0"/>
    <s v="Y"/>
    <n v="14"/>
    <x v="1"/>
    <d v="1899-12-30T00:06:28"/>
    <n v="1"/>
  </r>
  <r>
    <x v="2186"/>
    <s v="Martha"/>
    <x v="37"/>
    <d v="1899-12-30T15:20:10"/>
    <d v="2021-02-07T15:20:10"/>
    <x v="2"/>
    <x v="6"/>
    <x v="2"/>
    <x v="0"/>
    <s v="Y"/>
    <n v="105"/>
    <x v="0"/>
    <d v="1899-12-30T00:04:17"/>
    <n v="4"/>
  </r>
  <r>
    <x v="2187"/>
    <s v="Diane"/>
    <x v="37"/>
    <d v="1899-12-30T15:20:10"/>
    <d v="2021-02-07T15:20:10"/>
    <x v="2"/>
    <x v="6"/>
    <x v="4"/>
    <x v="0"/>
    <s v="Y"/>
    <n v="77"/>
    <x v="0"/>
    <d v="1899-12-30T00:01:05"/>
    <n v="4"/>
  </r>
  <r>
    <x v="2188"/>
    <s v="Greg"/>
    <x v="37"/>
    <d v="1899-12-30T16:09:07"/>
    <d v="2021-02-07T16:09:07"/>
    <x v="2"/>
    <x v="8"/>
    <x v="2"/>
    <x v="0"/>
    <s v="N"/>
    <n v="71"/>
    <x v="0"/>
    <d v="1899-12-30T00:03:28"/>
    <n v="3"/>
  </r>
  <r>
    <x v="2189"/>
    <s v="Dan"/>
    <x v="37"/>
    <d v="1899-12-30T16:09:07"/>
    <d v="2021-02-07T16:09:07"/>
    <x v="2"/>
    <x v="8"/>
    <x v="2"/>
    <x v="0"/>
    <s v="Y"/>
    <n v="105"/>
    <x v="0"/>
    <d v="1899-12-30T00:04:16"/>
    <n v="4"/>
  </r>
  <r>
    <x v="2190"/>
    <s v="Stewart"/>
    <x v="37"/>
    <d v="1899-12-30T16:19:12"/>
    <d v="2021-02-07T16:19:12"/>
    <x v="2"/>
    <x v="8"/>
    <x v="3"/>
    <x v="0"/>
    <s v="Y"/>
    <n v="107"/>
    <x v="0"/>
    <d v="1899-12-30T00:05:42"/>
    <n v="4"/>
  </r>
  <r>
    <x v="2191"/>
    <s v="Martha"/>
    <x v="37"/>
    <d v="1899-12-30T16:19:12"/>
    <d v="2021-02-07T16:19:12"/>
    <x v="2"/>
    <x v="8"/>
    <x v="1"/>
    <x v="1"/>
    <s v="N"/>
    <m/>
    <x v="0"/>
    <m/>
    <m/>
  </r>
  <r>
    <x v="2192"/>
    <s v="Becky"/>
    <x v="37"/>
    <d v="1899-12-30T16:30:43"/>
    <d v="2021-02-07T16:30:43"/>
    <x v="2"/>
    <x v="8"/>
    <x v="3"/>
    <x v="0"/>
    <s v="Y"/>
    <n v="53"/>
    <x v="0"/>
    <d v="1899-12-30T00:03:54"/>
    <n v="2"/>
  </r>
  <r>
    <x v="2193"/>
    <s v="Joe"/>
    <x v="37"/>
    <d v="1899-12-30T16:30:43"/>
    <d v="2021-02-07T16:30:43"/>
    <x v="2"/>
    <x v="8"/>
    <x v="0"/>
    <x v="0"/>
    <s v="Y"/>
    <n v="109"/>
    <x v="0"/>
    <d v="1899-12-30T00:03:40"/>
    <n v="4"/>
  </r>
  <r>
    <x v="2194"/>
    <s v="Becky"/>
    <x v="37"/>
    <d v="1899-12-30T16:30:43"/>
    <d v="2021-02-07T16:30:43"/>
    <x v="2"/>
    <x v="8"/>
    <x v="1"/>
    <x v="0"/>
    <s v="Y"/>
    <n v="18"/>
    <x v="1"/>
    <d v="1899-12-30T00:04:17"/>
    <n v="4"/>
  </r>
  <r>
    <x v="2195"/>
    <s v="Dan"/>
    <x v="37"/>
    <d v="1899-12-30T16:30:43"/>
    <d v="2021-02-07T16:30:43"/>
    <x v="2"/>
    <x v="8"/>
    <x v="3"/>
    <x v="0"/>
    <s v="Y"/>
    <n v="34"/>
    <x v="0"/>
    <d v="1899-12-30T00:03:27"/>
    <n v="3"/>
  </r>
  <r>
    <x v="2196"/>
    <s v="Jim"/>
    <x v="37"/>
    <d v="1899-12-30T16:35:02"/>
    <d v="2021-02-07T16:35:02"/>
    <x v="2"/>
    <x v="8"/>
    <x v="2"/>
    <x v="1"/>
    <s v="N"/>
    <m/>
    <x v="0"/>
    <m/>
    <m/>
  </r>
  <r>
    <x v="2197"/>
    <s v="Martha"/>
    <x v="37"/>
    <d v="1899-12-30T16:35:02"/>
    <d v="2021-02-07T16:35:02"/>
    <x v="2"/>
    <x v="8"/>
    <x v="0"/>
    <x v="0"/>
    <s v="Y"/>
    <n v="102"/>
    <x v="0"/>
    <d v="1899-12-30T00:05:43"/>
    <n v="2"/>
  </r>
  <r>
    <x v="2198"/>
    <s v="Martha"/>
    <x v="37"/>
    <d v="1899-12-30T16:39:22"/>
    <d v="2021-02-07T16:39:22"/>
    <x v="2"/>
    <x v="8"/>
    <x v="2"/>
    <x v="1"/>
    <s v="N"/>
    <m/>
    <x v="0"/>
    <m/>
    <m/>
  </r>
  <r>
    <x v="2199"/>
    <s v="Becky"/>
    <x v="37"/>
    <d v="1899-12-30T16:39:22"/>
    <d v="2021-02-07T16:39:22"/>
    <x v="2"/>
    <x v="8"/>
    <x v="2"/>
    <x v="1"/>
    <s v="N"/>
    <m/>
    <x v="0"/>
    <m/>
    <m/>
  </r>
  <r>
    <x v="2200"/>
    <s v="Stewart"/>
    <x v="37"/>
    <d v="1899-12-30T16:43:41"/>
    <d v="2021-02-07T16:43:41"/>
    <x v="2"/>
    <x v="8"/>
    <x v="2"/>
    <x v="0"/>
    <s v="Y"/>
    <n v="111"/>
    <x v="0"/>
    <d v="1899-12-30T00:01:20"/>
    <n v="5"/>
  </r>
  <r>
    <x v="2201"/>
    <s v="Greg"/>
    <x v="37"/>
    <d v="1899-12-30T16:43:41"/>
    <d v="2021-02-07T16:43:41"/>
    <x v="2"/>
    <x v="8"/>
    <x v="3"/>
    <x v="0"/>
    <s v="Y"/>
    <n v="81"/>
    <x v="0"/>
    <d v="1899-12-30T00:04:14"/>
    <n v="4"/>
  </r>
  <r>
    <x v="2202"/>
    <s v="Diane"/>
    <x v="37"/>
    <d v="1899-12-30T17:25:26"/>
    <d v="2021-02-07T17:25:26"/>
    <x v="2"/>
    <x v="7"/>
    <x v="3"/>
    <x v="0"/>
    <s v="Y"/>
    <n v="97"/>
    <x v="0"/>
    <d v="1899-12-30T00:05:13"/>
    <n v="3"/>
  </r>
  <r>
    <x v="2203"/>
    <s v="Greg"/>
    <x v="37"/>
    <d v="1899-12-30T17:25:26"/>
    <d v="2021-02-07T17:25:26"/>
    <x v="2"/>
    <x v="7"/>
    <x v="0"/>
    <x v="1"/>
    <s v="N"/>
    <m/>
    <x v="0"/>
    <m/>
    <m/>
  </r>
  <r>
    <x v="2204"/>
    <s v="Jim"/>
    <x v="38"/>
    <d v="1899-12-30T09:00:00"/>
    <d v="2021-02-08T09:00:00"/>
    <x v="3"/>
    <x v="0"/>
    <x v="3"/>
    <x v="1"/>
    <s v="N"/>
    <m/>
    <x v="0"/>
    <m/>
    <m/>
  </r>
  <r>
    <x v="2205"/>
    <s v="Becky"/>
    <x v="38"/>
    <d v="1899-12-30T09:00:00"/>
    <d v="2021-02-08T09:00:00"/>
    <x v="3"/>
    <x v="0"/>
    <x v="0"/>
    <x v="0"/>
    <s v="Y"/>
    <n v="17"/>
    <x v="1"/>
    <d v="1899-12-30T00:05:49"/>
    <n v="4"/>
  </r>
  <r>
    <x v="2206"/>
    <s v="Becky"/>
    <x v="38"/>
    <d v="1899-12-30T09:15:50"/>
    <d v="2021-02-08T09:15:50"/>
    <x v="3"/>
    <x v="0"/>
    <x v="3"/>
    <x v="0"/>
    <s v="Y"/>
    <n v="116"/>
    <x v="0"/>
    <d v="1899-12-30T00:04:05"/>
    <n v="4"/>
  </r>
  <r>
    <x v="2207"/>
    <s v="Joe"/>
    <x v="38"/>
    <d v="1899-12-30T09:15:50"/>
    <d v="2021-02-08T09:15:50"/>
    <x v="3"/>
    <x v="0"/>
    <x v="2"/>
    <x v="0"/>
    <s v="Y"/>
    <n v="112"/>
    <x v="0"/>
    <d v="1899-12-30T00:04:43"/>
    <n v="3"/>
  </r>
  <r>
    <x v="2208"/>
    <s v="Diane"/>
    <x v="38"/>
    <d v="1899-12-30T09:23:02"/>
    <d v="2021-02-08T09:23:02"/>
    <x v="3"/>
    <x v="0"/>
    <x v="3"/>
    <x v="0"/>
    <s v="Y"/>
    <n v="40"/>
    <x v="0"/>
    <d v="1899-12-30T00:06:40"/>
    <n v="1"/>
  </r>
  <r>
    <x v="2209"/>
    <s v="Becky"/>
    <x v="38"/>
    <d v="1899-12-30T09:23:02"/>
    <d v="2021-02-08T09:23:02"/>
    <x v="3"/>
    <x v="0"/>
    <x v="3"/>
    <x v="0"/>
    <s v="Y"/>
    <n v="120"/>
    <x v="0"/>
    <d v="1899-12-30T00:02:41"/>
    <n v="5"/>
  </r>
  <r>
    <x v="2210"/>
    <s v="Joe"/>
    <x v="38"/>
    <d v="1899-12-30T10:07:41"/>
    <d v="2021-02-08T10:07:41"/>
    <x v="3"/>
    <x v="1"/>
    <x v="2"/>
    <x v="0"/>
    <s v="Y"/>
    <n v="24"/>
    <x v="0"/>
    <d v="1899-12-30T00:01:02"/>
    <n v="4"/>
  </r>
  <r>
    <x v="2211"/>
    <s v="Diane"/>
    <x v="38"/>
    <d v="1899-12-30T10:07:41"/>
    <d v="2021-02-08T10:07:41"/>
    <x v="3"/>
    <x v="1"/>
    <x v="0"/>
    <x v="1"/>
    <s v="N"/>
    <m/>
    <x v="0"/>
    <m/>
    <m/>
  </r>
  <r>
    <x v="2212"/>
    <s v="Stewart"/>
    <x v="38"/>
    <d v="1899-12-30T10:32:10"/>
    <d v="2021-02-08T10:32:10"/>
    <x v="3"/>
    <x v="1"/>
    <x v="1"/>
    <x v="0"/>
    <s v="Y"/>
    <n v="122"/>
    <x v="0"/>
    <d v="1899-12-30T00:02:49"/>
    <n v="3"/>
  </r>
  <r>
    <x v="2213"/>
    <s v="Stewart"/>
    <x v="38"/>
    <d v="1899-12-30T10:32:10"/>
    <d v="2021-02-08T10:32:10"/>
    <x v="3"/>
    <x v="1"/>
    <x v="4"/>
    <x v="0"/>
    <s v="Y"/>
    <n v="21"/>
    <x v="0"/>
    <d v="1899-12-30T00:06:07"/>
    <n v="3"/>
  </r>
  <r>
    <x v="2214"/>
    <s v="Dan"/>
    <x v="38"/>
    <d v="1899-12-30T12:11:31"/>
    <d v="2021-02-08T12:11:31"/>
    <x v="3"/>
    <x v="3"/>
    <x v="0"/>
    <x v="0"/>
    <s v="Y"/>
    <n v="16"/>
    <x v="1"/>
    <d v="1899-12-30T00:05:12"/>
    <n v="5"/>
  </r>
  <r>
    <x v="2215"/>
    <s v="Stewart"/>
    <x v="38"/>
    <d v="1899-12-30T12:11:31"/>
    <d v="2021-02-08T12:11:31"/>
    <x v="3"/>
    <x v="3"/>
    <x v="4"/>
    <x v="1"/>
    <s v="N"/>
    <m/>
    <x v="0"/>
    <m/>
    <m/>
  </r>
  <r>
    <x v="2216"/>
    <s v="Greg"/>
    <x v="38"/>
    <d v="1899-12-30T13:09:07"/>
    <d v="2021-02-08T13:09:07"/>
    <x v="3"/>
    <x v="4"/>
    <x v="4"/>
    <x v="0"/>
    <s v="Y"/>
    <n v="65"/>
    <x v="0"/>
    <d v="1899-12-30T00:06:13"/>
    <n v="4"/>
  </r>
  <r>
    <x v="2217"/>
    <s v="Martha"/>
    <x v="38"/>
    <d v="1899-12-30T13:09:07"/>
    <d v="2021-02-08T13:09:07"/>
    <x v="3"/>
    <x v="4"/>
    <x v="0"/>
    <x v="1"/>
    <s v="N"/>
    <m/>
    <x v="0"/>
    <m/>
    <m/>
  </r>
  <r>
    <x v="2218"/>
    <s v="Martha"/>
    <x v="38"/>
    <d v="1899-12-30T13:23:31"/>
    <d v="2021-02-08T13:23:31"/>
    <x v="3"/>
    <x v="4"/>
    <x v="4"/>
    <x v="0"/>
    <s v="N"/>
    <n v="111"/>
    <x v="0"/>
    <d v="1899-12-30T00:05:19"/>
    <n v="1"/>
  </r>
  <r>
    <x v="2219"/>
    <s v="Stewart"/>
    <x v="38"/>
    <d v="1899-12-30T13:23:31"/>
    <d v="2021-02-08T13:23:31"/>
    <x v="3"/>
    <x v="4"/>
    <x v="0"/>
    <x v="0"/>
    <s v="Y"/>
    <n v="81"/>
    <x v="0"/>
    <d v="1899-12-30T00:00:55"/>
    <n v="2"/>
  </r>
  <r>
    <x v="2220"/>
    <s v="Diane"/>
    <x v="38"/>
    <d v="1899-12-30T14:15:22"/>
    <d v="2021-02-08T14:15:22"/>
    <x v="3"/>
    <x v="5"/>
    <x v="1"/>
    <x v="1"/>
    <s v="N"/>
    <m/>
    <x v="0"/>
    <m/>
    <m/>
  </r>
  <r>
    <x v="2221"/>
    <s v="Martha"/>
    <x v="38"/>
    <d v="1899-12-30T14:15:22"/>
    <d v="2021-02-08T14:15:22"/>
    <x v="3"/>
    <x v="5"/>
    <x v="1"/>
    <x v="0"/>
    <s v="Y"/>
    <n v="85"/>
    <x v="0"/>
    <d v="1899-12-30T00:04:36"/>
    <n v="3"/>
  </r>
  <r>
    <x v="2222"/>
    <s v="Martha"/>
    <x v="38"/>
    <d v="1899-12-30T14:24:00"/>
    <d v="2021-02-08T14:24:00"/>
    <x v="3"/>
    <x v="5"/>
    <x v="1"/>
    <x v="0"/>
    <s v="Y"/>
    <n v="109"/>
    <x v="0"/>
    <d v="1899-12-30T00:05:55"/>
    <n v="4"/>
  </r>
  <r>
    <x v="2223"/>
    <s v="Becky"/>
    <x v="38"/>
    <d v="1899-12-30T14:24:00"/>
    <d v="2021-02-08T14:24:00"/>
    <x v="3"/>
    <x v="5"/>
    <x v="4"/>
    <x v="0"/>
    <s v="N"/>
    <n v="71"/>
    <x v="0"/>
    <d v="1899-12-30T00:01:39"/>
    <n v="4"/>
  </r>
  <r>
    <x v="2224"/>
    <s v="Diane"/>
    <x v="38"/>
    <d v="1899-12-30T14:26:53"/>
    <d v="2021-02-08T14:26:53"/>
    <x v="3"/>
    <x v="5"/>
    <x v="3"/>
    <x v="0"/>
    <s v="Y"/>
    <n v="50"/>
    <x v="0"/>
    <d v="1899-12-30T00:02:09"/>
    <n v="3"/>
  </r>
  <r>
    <x v="2225"/>
    <s v="Greg"/>
    <x v="38"/>
    <d v="1899-12-30T14:26:53"/>
    <d v="2021-02-08T14:26:53"/>
    <x v="3"/>
    <x v="5"/>
    <x v="2"/>
    <x v="0"/>
    <s v="Y"/>
    <n v="66"/>
    <x v="0"/>
    <d v="1899-12-30T00:01:03"/>
    <n v="3"/>
  </r>
  <r>
    <x v="2226"/>
    <s v="Becky"/>
    <x v="38"/>
    <d v="1899-12-30T14:34:05"/>
    <d v="2021-02-08T14:34:05"/>
    <x v="3"/>
    <x v="5"/>
    <x v="4"/>
    <x v="0"/>
    <s v="Y"/>
    <n v="36"/>
    <x v="0"/>
    <d v="1899-12-30T00:02:36"/>
    <n v="5"/>
  </r>
  <r>
    <x v="2227"/>
    <s v="Joe"/>
    <x v="38"/>
    <d v="1899-12-30T14:34:05"/>
    <d v="2021-02-08T14:34:05"/>
    <x v="3"/>
    <x v="5"/>
    <x v="4"/>
    <x v="0"/>
    <s v="Y"/>
    <n v="57"/>
    <x v="0"/>
    <d v="1899-12-30T00:03:56"/>
    <n v="2"/>
  </r>
  <r>
    <x v="2228"/>
    <s v="Greg"/>
    <x v="38"/>
    <d v="1899-12-30T14:38:24"/>
    <d v="2021-02-08T14:38:24"/>
    <x v="3"/>
    <x v="5"/>
    <x v="1"/>
    <x v="0"/>
    <s v="Y"/>
    <n v="124"/>
    <x v="0"/>
    <d v="1899-12-30T00:04:11"/>
    <n v="5"/>
  </r>
  <r>
    <x v="2229"/>
    <s v="Martha"/>
    <x v="38"/>
    <d v="1899-12-30T14:38:24"/>
    <d v="2021-02-08T14:38:24"/>
    <x v="3"/>
    <x v="5"/>
    <x v="0"/>
    <x v="0"/>
    <s v="Y"/>
    <n v="57"/>
    <x v="0"/>
    <d v="1899-12-30T00:02:30"/>
    <n v="1"/>
  </r>
  <r>
    <x v="2230"/>
    <s v="Becky"/>
    <x v="38"/>
    <d v="1899-12-30T14:55:41"/>
    <d v="2021-02-08T14:55:41"/>
    <x v="3"/>
    <x v="5"/>
    <x v="2"/>
    <x v="1"/>
    <s v="N"/>
    <m/>
    <x v="0"/>
    <m/>
    <m/>
  </r>
  <r>
    <x v="2231"/>
    <s v="Jim"/>
    <x v="38"/>
    <d v="1899-12-30T14:55:41"/>
    <d v="2021-02-08T14:55:41"/>
    <x v="3"/>
    <x v="5"/>
    <x v="2"/>
    <x v="0"/>
    <s v="Y"/>
    <n v="51"/>
    <x v="0"/>
    <d v="1899-12-30T00:05:09"/>
    <n v="5"/>
  </r>
  <r>
    <x v="2232"/>
    <s v="Diane"/>
    <x v="38"/>
    <d v="1899-12-30T16:13:26"/>
    <d v="2021-02-08T16:13:26"/>
    <x v="3"/>
    <x v="8"/>
    <x v="2"/>
    <x v="0"/>
    <s v="Y"/>
    <n v="119"/>
    <x v="0"/>
    <d v="1899-12-30T00:06:46"/>
    <n v="3"/>
  </r>
  <r>
    <x v="2233"/>
    <s v="Diane"/>
    <x v="38"/>
    <d v="1899-12-30T16:13:26"/>
    <d v="2021-02-08T16:13:26"/>
    <x v="3"/>
    <x v="8"/>
    <x v="4"/>
    <x v="0"/>
    <s v="Y"/>
    <n v="62"/>
    <x v="0"/>
    <d v="1899-12-30T00:04:47"/>
    <n v="3"/>
  </r>
  <r>
    <x v="2234"/>
    <s v="Joe"/>
    <x v="38"/>
    <d v="1899-12-30T16:17:46"/>
    <d v="2021-02-08T16:17:46"/>
    <x v="3"/>
    <x v="8"/>
    <x v="0"/>
    <x v="0"/>
    <s v="Y"/>
    <n v="70"/>
    <x v="0"/>
    <d v="1899-12-30T00:03:13"/>
    <n v="5"/>
  </r>
  <r>
    <x v="2235"/>
    <s v="Jim"/>
    <x v="38"/>
    <d v="1899-12-30T16:17:46"/>
    <d v="2021-02-08T16:17:46"/>
    <x v="3"/>
    <x v="8"/>
    <x v="0"/>
    <x v="0"/>
    <s v="Y"/>
    <n v="30"/>
    <x v="0"/>
    <d v="1899-12-30T00:04:12"/>
    <n v="4"/>
  </r>
  <r>
    <x v="2236"/>
    <s v="Diane"/>
    <x v="38"/>
    <d v="1899-12-30T16:30:43"/>
    <d v="2021-02-08T16:30:43"/>
    <x v="3"/>
    <x v="8"/>
    <x v="3"/>
    <x v="0"/>
    <s v="Y"/>
    <n v="17"/>
    <x v="1"/>
    <d v="1899-12-30T00:04:08"/>
    <n v="3"/>
  </r>
  <r>
    <x v="2237"/>
    <s v="Joe"/>
    <x v="38"/>
    <d v="1899-12-30T16:30:43"/>
    <d v="2021-02-08T16:30:43"/>
    <x v="3"/>
    <x v="8"/>
    <x v="4"/>
    <x v="0"/>
    <s v="Y"/>
    <n v="43"/>
    <x v="0"/>
    <d v="1899-12-30T00:03:18"/>
    <n v="3"/>
  </r>
  <r>
    <x v="2238"/>
    <s v="Dan"/>
    <x v="38"/>
    <d v="1899-12-30T16:45:07"/>
    <d v="2021-02-08T16:45:07"/>
    <x v="3"/>
    <x v="8"/>
    <x v="1"/>
    <x v="0"/>
    <s v="Y"/>
    <n v="81"/>
    <x v="0"/>
    <d v="1899-12-30T00:01:56"/>
    <n v="5"/>
  </r>
  <r>
    <x v="2239"/>
    <s v="Martha"/>
    <x v="38"/>
    <d v="1899-12-30T16:45:07"/>
    <d v="2021-02-08T16:45:07"/>
    <x v="3"/>
    <x v="8"/>
    <x v="3"/>
    <x v="0"/>
    <s v="Y"/>
    <n v="58"/>
    <x v="0"/>
    <d v="1899-12-30T00:05:37"/>
    <n v="3"/>
  </r>
  <r>
    <x v="2240"/>
    <s v="Martha"/>
    <x v="38"/>
    <d v="1899-12-30T16:46:34"/>
    <d v="2021-02-08T16:46:34"/>
    <x v="3"/>
    <x v="8"/>
    <x v="0"/>
    <x v="0"/>
    <s v="Y"/>
    <n v="59"/>
    <x v="0"/>
    <d v="1899-12-30T00:03:47"/>
    <n v="4"/>
  </r>
  <r>
    <x v="2241"/>
    <s v="Martha"/>
    <x v="38"/>
    <d v="1899-12-30T16:46:34"/>
    <d v="2021-02-08T16:46:34"/>
    <x v="3"/>
    <x v="8"/>
    <x v="4"/>
    <x v="1"/>
    <s v="N"/>
    <m/>
    <x v="0"/>
    <m/>
    <m/>
  </r>
  <r>
    <x v="2242"/>
    <s v="Martha"/>
    <x v="38"/>
    <d v="1899-12-30T17:08:10"/>
    <d v="2021-02-08T17:08:10"/>
    <x v="3"/>
    <x v="7"/>
    <x v="1"/>
    <x v="0"/>
    <s v="Y"/>
    <n v="110"/>
    <x v="0"/>
    <d v="1899-12-30T00:05:17"/>
    <n v="5"/>
  </r>
  <r>
    <x v="2243"/>
    <s v="Diane"/>
    <x v="38"/>
    <d v="1899-12-30T17:08:10"/>
    <d v="2021-02-08T17:08:10"/>
    <x v="3"/>
    <x v="7"/>
    <x v="4"/>
    <x v="0"/>
    <s v="Y"/>
    <n v="91"/>
    <x v="0"/>
    <d v="1899-12-30T00:01:29"/>
    <n v="3"/>
  </r>
  <r>
    <x v="2244"/>
    <s v="Greg"/>
    <x v="38"/>
    <d v="1899-12-30T17:57:07"/>
    <d v="2021-02-08T17:57:07"/>
    <x v="3"/>
    <x v="7"/>
    <x v="3"/>
    <x v="0"/>
    <s v="Y"/>
    <n v="12"/>
    <x v="1"/>
    <d v="1899-12-30T00:00:48"/>
    <n v="3"/>
  </r>
  <r>
    <x v="2245"/>
    <s v="Dan"/>
    <x v="38"/>
    <d v="1899-12-30T17:57:07"/>
    <d v="2021-02-08T17:57:07"/>
    <x v="3"/>
    <x v="7"/>
    <x v="2"/>
    <x v="0"/>
    <s v="Y"/>
    <n v="38"/>
    <x v="0"/>
    <d v="1899-12-30T00:06:48"/>
    <n v="5"/>
  </r>
  <r>
    <x v="2246"/>
    <s v="Becky"/>
    <x v="39"/>
    <d v="1899-12-30T09:12:58"/>
    <d v="2021-02-09T09:12:58"/>
    <x v="4"/>
    <x v="0"/>
    <x v="2"/>
    <x v="0"/>
    <s v="Y"/>
    <n v="83"/>
    <x v="0"/>
    <d v="1899-12-30T00:01:16"/>
    <n v="5"/>
  </r>
  <r>
    <x v="2247"/>
    <s v="Joe"/>
    <x v="39"/>
    <d v="1899-12-30T09:12:58"/>
    <d v="2021-02-09T09:12:58"/>
    <x v="4"/>
    <x v="0"/>
    <x v="1"/>
    <x v="0"/>
    <s v="Y"/>
    <n v="31"/>
    <x v="0"/>
    <d v="1899-12-30T00:03:27"/>
    <n v="4"/>
  </r>
  <r>
    <x v="2248"/>
    <s v="Stewart"/>
    <x v="39"/>
    <d v="1899-12-30T09:28:48"/>
    <d v="2021-02-09T09:28:48"/>
    <x v="4"/>
    <x v="0"/>
    <x v="4"/>
    <x v="0"/>
    <s v="Y"/>
    <n v="105"/>
    <x v="0"/>
    <d v="1899-12-30T00:00:32"/>
    <n v="5"/>
  </r>
  <r>
    <x v="2249"/>
    <s v="Diane"/>
    <x v="39"/>
    <d v="1899-12-30T09:28:48"/>
    <d v="2021-02-09T09:28:48"/>
    <x v="4"/>
    <x v="0"/>
    <x v="4"/>
    <x v="0"/>
    <s v="Y"/>
    <n v="98"/>
    <x v="0"/>
    <d v="1899-12-30T00:01:21"/>
    <n v="5"/>
  </r>
  <r>
    <x v="2250"/>
    <s v="Joe"/>
    <x v="39"/>
    <d v="1899-12-30T10:10:34"/>
    <d v="2021-02-09T10:10:34"/>
    <x v="4"/>
    <x v="1"/>
    <x v="1"/>
    <x v="0"/>
    <s v="Y"/>
    <n v="56"/>
    <x v="0"/>
    <d v="1899-12-30T00:04:01"/>
    <n v="2"/>
  </r>
  <r>
    <x v="2251"/>
    <s v="Becky"/>
    <x v="39"/>
    <d v="1899-12-30T10:10:34"/>
    <d v="2021-02-09T10:10:34"/>
    <x v="4"/>
    <x v="1"/>
    <x v="1"/>
    <x v="0"/>
    <s v="Y"/>
    <n v="83"/>
    <x v="0"/>
    <d v="1899-12-30T00:05:13"/>
    <n v="5"/>
  </r>
  <r>
    <x v="2252"/>
    <s v="Greg"/>
    <x v="39"/>
    <d v="1899-12-30T10:27:50"/>
    <d v="2021-02-09T10:27:50"/>
    <x v="4"/>
    <x v="1"/>
    <x v="2"/>
    <x v="0"/>
    <s v="Y"/>
    <n v="42"/>
    <x v="0"/>
    <d v="1899-12-30T00:02:44"/>
    <n v="2"/>
  </r>
  <r>
    <x v="2253"/>
    <s v="Dan"/>
    <x v="39"/>
    <d v="1899-12-30T10:27:50"/>
    <d v="2021-02-09T10:27:50"/>
    <x v="4"/>
    <x v="1"/>
    <x v="3"/>
    <x v="0"/>
    <s v="Y"/>
    <n v="59"/>
    <x v="0"/>
    <d v="1899-12-30T00:05:06"/>
    <n v="3"/>
  </r>
  <r>
    <x v="2254"/>
    <s v="Dan"/>
    <x v="39"/>
    <d v="1899-12-30T10:46:34"/>
    <d v="2021-02-09T10:46:34"/>
    <x v="4"/>
    <x v="1"/>
    <x v="3"/>
    <x v="0"/>
    <s v="Y"/>
    <n v="62"/>
    <x v="0"/>
    <d v="1899-12-30T00:06:52"/>
    <n v="4"/>
  </r>
  <r>
    <x v="2255"/>
    <s v="Jim"/>
    <x v="39"/>
    <d v="1899-12-30T10:46:34"/>
    <d v="2021-02-09T10:46:34"/>
    <x v="4"/>
    <x v="1"/>
    <x v="3"/>
    <x v="0"/>
    <s v="Y"/>
    <n v="63"/>
    <x v="0"/>
    <d v="1899-12-30T00:04:16"/>
    <n v="1"/>
  </r>
  <r>
    <x v="2256"/>
    <s v="Joe"/>
    <x v="39"/>
    <d v="1899-12-30T11:32:38"/>
    <d v="2021-02-09T11:32:38"/>
    <x v="4"/>
    <x v="2"/>
    <x v="1"/>
    <x v="0"/>
    <s v="Y"/>
    <n v="108"/>
    <x v="0"/>
    <d v="1899-12-30T00:02:43"/>
    <n v="3"/>
  </r>
  <r>
    <x v="2257"/>
    <s v="Dan"/>
    <x v="39"/>
    <d v="1899-12-30T11:32:38"/>
    <d v="2021-02-09T11:32:38"/>
    <x v="4"/>
    <x v="2"/>
    <x v="2"/>
    <x v="0"/>
    <s v="N"/>
    <n v="100"/>
    <x v="0"/>
    <d v="1899-12-30T00:06:45"/>
    <n v="5"/>
  </r>
  <r>
    <x v="2258"/>
    <s v="Martha"/>
    <x v="39"/>
    <d v="1899-12-30T12:20:10"/>
    <d v="2021-02-09T12:20:10"/>
    <x v="4"/>
    <x v="3"/>
    <x v="0"/>
    <x v="0"/>
    <s v="Y"/>
    <n v="69"/>
    <x v="0"/>
    <d v="1899-12-30T00:05:50"/>
    <n v="3"/>
  </r>
  <r>
    <x v="2259"/>
    <s v="Joe"/>
    <x v="39"/>
    <d v="1899-12-30T12:20:10"/>
    <d v="2021-02-09T12:20:10"/>
    <x v="4"/>
    <x v="3"/>
    <x v="3"/>
    <x v="0"/>
    <s v="Y"/>
    <n v="66"/>
    <x v="0"/>
    <d v="1899-12-30T00:04:53"/>
    <n v="2"/>
  </r>
  <r>
    <x v="2260"/>
    <s v="Dan"/>
    <x v="39"/>
    <d v="1899-12-30T12:28:48"/>
    <d v="2021-02-09T12:28:48"/>
    <x v="4"/>
    <x v="3"/>
    <x v="2"/>
    <x v="1"/>
    <s v="N"/>
    <m/>
    <x v="0"/>
    <m/>
    <m/>
  </r>
  <r>
    <x v="2261"/>
    <s v="Stewart"/>
    <x v="39"/>
    <d v="1899-12-30T12:28:48"/>
    <d v="2021-02-09T12:28:48"/>
    <x v="4"/>
    <x v="3"/>
    <x v="4"/>
    <x v="1"/>
    <s v="N"/>
    <m/>
    <x v="0"/>
    <m/>
    <m/>
  </r>
  <r>
    <x v="2262"/>
    <s v="Dan"/>
    <x v="39"/>
    <d v="1899-12-30T12:37:26"/>
    <d v="2021-02-09T12:37:26"/>
    <x v="4"/>
    <x v="3"/>
    <x v="2"/>
    <x v="0"/>
    <s v="Y"/>
    <n v="122"/>
    <x v="0"/>
    <d v="1899-12-30T00:00:48"/>
    <n v="4"/>
  </r>
  <r>
    <x v="2263"/>
    <s v="Dan"/>
    <x v="39"/>
    <d v="1899-12-30T12:37:26"/>
    <d v="2021-02-09T12:37:26"/>
    <x v="4"/>
    <x v="3"/>
    <x v="3"/>
    <x v="0"/>
    <s v="Y"/>
    <n v="44"/>
    <x v="0"/>
    <d v="1899-12-30T00:05:26"/>
    <n v="4"/>
  </r>
  <r>
    <x v="2264"/>
    <s v="Becky"/>
    <x v="39"/>
    <d v="1899-12-30T12:47:31"/>
    <d v="2021-02-09T12:47:31"/>
    <x v="4"/>
    <x v="3"/>
    <x v="0"/>
    <x v="1"/>
    <s v="N"/>
    <m/>
    <x v="0"/>
    <m/>
    <m/>
  </r>
  <r>
    <x v="2265"/>
    <s v="Greg"/>
    <x v="39"/>
    <d v="1899-12-30T12:47:31"/>
    <d v="2021-02-09T12:47:31"/>
    <x v="4"/>
    <x v="3"/>
    <x v="1"/>
    <x v="1"/>
    <s v="N"/>
    <m/>
    <x v="0"/>
    <m/>
    <m/>
  </r>
  <r>
    <x v="2266"/>
    <s v="Joe"/>
    <x v="39"/>
    <d v="1899-12-30T12:47:31"/>
    <d v="2021-02-09T12:47:31"/>
    <x v="4"/>
    <x v="3"/>
    <x v="0"/>
    <x v="0"/>
    <s v="Y"/>
    <n v="48"/>
    <x v="0"/>
    <d v="1899-12-30T00:05:32"/>
    <n v="3"/>
  </r>
  <r>
    <x v="2267"/>
    <s v="Dan"/>
    <x v="39"/>
    <d v="1899-12-30T12:47:31"/>
    <d v="2021-02-09T12:47:31"/>
    <x v="4"/>
    <x v="3"/>
    <x v="0"/>
    <x v="0"/>
    <s v="Y"/>
    <n v="82"/>
    <x v="0"/>
    <d v="1899-12-30T00:03:49"/>
    <n v="1"/>
  </r>
  <r>
    <x v="2268"/>
    <s v="Greg"/>
    <x v="39"/>
    <d v="1899-12-30T12:50:24"/>
    <d v="2021-02-09T12:50:24"/>
    <x v="4"/>
    <x v="3"/>
    <x v="4"/>
    <x v="0"/>
    <s v="N"/>
    <n v="17"/>
    <x v="1"/>
    <d v="1899-12-30T00:05:06"/>
    <n v="2"/>
  </r>
  <r>
    <x v="2269"/>
    <s v="Greg"/>
    <x v="39"/>
    <d v="1899-12-30T12:50:24"/>
    <d v="2021-02-09T12:50:24"/>
    <x v="4"/>
    <x v="3"/>
    <x v="2"/>
    <x v="0"/>
    <s v="Y"/>
    <n v="52"/>
    <x v="0"/>
    <d v="1899-12-30T00:01:57"/>
    <n v="5"/>
  </r>
  <r>
    <x v="2270"/>
    <s v="Diane"/>
    <x v="39"/>
    <d v="1899-12-30T13:00:29"/>
    <d v="2021-02-09T13:00:29"/>
    <x v="4"/>
    <x v="4"/>
    <x v="3"/>
    <x v="0"/>
    <s v="Y"/>
    <n v="61"/>
    <x v="0"/>
    <d v="1899-12-30T00:05:55"/>
    <n v="5"/>
  </r>
  <r>
    <x v="2271"/>
    <s v="Dan"/>
    <x v="39"/>
    <d v="1899-12-30T13:00:29"/>
    <d v="2021-02-09T13:00:29"/>
    <x v="4"/>
    <x v="4"/>
    <x v="3"/>
    <x v="0"/>
    <s v="Y"/>
    <n v="103"/>
    <x v="0"/>
    <d v="1899-12-30T00:03:26"/>
    <n v="4"/>
  </r>
  <r>
    <x v="2272"/>
    <s v="Diane"/>
    <x v="39"/>
    <d v="1899-12-30T13:06:14"/>
    <d v="2021-02-09T13:06:14"/>
    <x v="4"/>
    <x v="4"/>
    <x v="3"/>
    <x v="0"/>
    <s v="Y"/>
    <n v="30"/>
    <x v="0"/>
    <d v="1899-12-30T00:01:11"/>
    <n v="4"/>
  </r>
  <r>
    <x v="2273"/>
    <s v="Greg"/>
    <x v="39"/>
    <d v="1899-12-30T13:06:14"/>
    <d v="2021-02-09T13:06:14"/>
    <x v="4"/>
    <x v="4"/>
    <x v="1"/>
    <x v="1"/>
    <s v="N"/>
    <m/>
    <x v="0"/>
    <m/>
    <m/>
  </r>
  <r>
    <x v="2274"/>
    <s v="Jim"/>
    <x v="39"/>
    <d v="1899-12-30T13:22:05"/>
    <d v="2021-02-09T13:22:05"/>
    <x v="4"/>
    <x v="4"/>
    <x v="4"/>
    <x v="0"/>
    <s v="Y"/>
    <n v="21"/>
    <x v="0"/>
    <d v="1899-12-30T00:03:12"/>
    <n v="5"/>
  </r>
  <r>
    <x v="2275"/>
    <s v="Jim"/>
    <x v="39"/>
    <d v="1899-12-30T13:22:05"/>
    <d v="2021-02-09T13:22:05"/>
    <x v="4"/>
    <x v="4"/>
    <x v="4"/>
    <x v="0"/>
    <s v="Y"/>
    <n v="117"/>
    <x v="0"/>
    <d v="1899-12-30T00:04:18"/>
    <n v="5"/>
  </r>
  <r>
    <x v="2276"/>
    <s v="Jim"/>
    <x v="39"/>
    <d v="1899-12-30T13:29:17"/>
    <d v="2021-02-09T13:29:17"/>
    <x v="4"/>
    <x v="4"/>
    <x v="3"/>
    <x v="1"/>
    <s v="N"/>
    <m/>
    <x v="0"/>
    <m/>
    <m/>
  </r>
  <r>
    <x v="2277"/>
    <s v="Joe"/>
    <x v="39"/>
    <d v="1899-12-30T13:29:17"/>
    <d v="2021-02-09T13:29:17"/>
    <x v="4"/>
    <x v="4"/>
    <x v="3"/>
    <x v="0"/>
    <s v="Y"/>
    <n v="110"/>
    <x v="0"/>
    <d v="1899-12-30T00:06:33"/>
    <n v="3"/>
  </r>
  <r>
    <x v="2278"/>
    <s v="Becky"/>
    <x v="39"/>
    <d v="1899-12-30T14:29:46"/>
    <d v="2021-02-09T14:29:46"/>
    <x v="4"/>
    <x v="5"/>
    <x v="2"/>
    <x v="0"/>
    <s v="N"/>
    <n v="47"/>
    <x v="0"/>
    <d v="1899-12-30T00:06:42"/>
    <n v="3"/>
  </r>
  <r>
    <x v="2279"/>
    <s v="Diane"/>
    <x v="39"/>
    <d v="1899-12-30T14:29:46"/>
    <d v="2021-02-09T14:29:46"/>
    <x v="4"/>
    <x v="5"/>
    <x v="4"/>
    <x v="0"/>
    <s v="Y"/>
    <n v="48"/>
    <x v="0"/>
    <d v="1899-12-30T00:02:03"/>
    <n v="4"/>
  </r>
  <r>
    <x v="2280"/>
    <s v="Martha"/>
    <x v="39"/>
    <d v="1899-12-30T14:29:46"/>
    <d v="2021-02-09T14:29:46"/>
    <x v="4"/>
    <x v="5"/>
    <x v="1"/>
    <x v="0"/>
    <s v="Y"/>
    <n v="63"/>
    <x v="0"/>
    <d v="1899-12-30T00:03:31"/>
    <n v="5"/>
  </r>
  <r>
    <x v="2281"/>
    <s v="Joe"/>
    <x v="39"/>
    <d v="1899-12-30T14:29:46"/>
    <d v="2021-02-09T14:29:46"/>
    <x v="4"/>
    <x v="5"/>
    <x v="2"/>
    <x v="1"/>
    <s v="N"/>
    <m/>
    <x v="0"/>
    <m/>
    <m/>
  </r>
  <r>
    <x v="2282"/>
    <s v="Diane"/>
    <x v="39"/>
    <d v="1899-12-30T15:20:10"/>
    <d v="2021-02-09T15:20:10"/>
    <x v="4"/>
    <x v="6"/>
    <x v="1"/>
    <x v="1"/>
    <s v="N"/>
    <m/>
    <x v="0"/>
    <m/>
    <m/>
  </r>
  <r>
    <x v="2283"/>
    <s v="Jim"/>
    <x v="39"/>
    <d v="1899-12-30T15:20:10"/>
    <d v="2021-02-09T15:20:10"/>
    <x v="4"/>
    <x v="6"/>
    <x v="3"/>
    <x v="0"/>
    <s v="Y"/>
    <n v="78"/>
    <x v="0"/>
    <d v="1899-12-30T00:01:43"/>
    <n v="3"/>
  </r>
  <r>
    <x v="2284"/>
    <s v="Dan"/>
    <x v="39"/>
    <d v="1899-12-30T15:54:43"/>
    <d v="2021-02-09T15:54:43"/>
    <x v="4"/>
    <x v="6"/>
    <x v="3"/>
    <x v="0"/>
    <s v="Y"/>
    <n v="80"/>
    <x v="0"/>
    <d v="1899-12-30T00:06:38"/>
    <n v="5"/>
  </r>
  <r>
    <x v="2285"/>
    <s v="Martha"/>
    <x v="39"/>
    <d v="1899-12-30T15:54:43"/>
    <d v="2021-02-09T15:54:43"/>
    <x v="4"/>
    <x v="6"/>
    <x v="1"/>
    <x v="1"/>
    <s v="N"/>
    <m/>
    <x v="0"/>
    <m/>
    <m/>
  </r>
  <r>
    <x v="2286"/>
    <s v="Martha"/>
    <x v="39"/>
    <d v="1899-12-30T16:19:12"/>
    <d v="2021-02-09T16:19:12"/>
    <x v="4"/>
    <x v="8"/>
    <x v="3"/>
    <x v="0"/>
    <s v="Y"/>
    <n v="93"/>
    <x v="0"/>
    <d v="1899-12-30T00:01:27"/>
    <n v="5"/>
  </r>
  <r>
    <x v="2287"/>
    <s v="Greg"/>
    <x v="39"/>
    <d v="1899-12-30T16:19:12"/>
    <d v="2021-02-09T16:19:12"/>
    <x v="4"/>
    <x v="8"/>
    <x v="3"/>
    <x v="0"/>
    <s v="Y"/>
    <n v="88"/>
    <x v="0"/>
    <d v="1899-12-30T00:01:36"/>
    <n v="5"/>
  </r>
  <r>
    <x v="2288"/>
    <s v="Joe"/>
    <x v="39"/>
    <d v="1899-12-30T16:20:38"/>
    <d v="2021-02-09T16:20:38"/>
    <x v="4"/>
    <x v="8"/>
    <x v="4"/>
    <x v="0"/>
    <s v="Y"/>
    <n v="14"/>
    <x v="1"/>
    <d v="1899-12-30T00:03:30"/>
    <n v="5"/>
  </r>
  <r>
    <x v="2289"/>
    <s v="Becky"/>
    <x v="39"/>
    <d v="1899-12-30T16:20:38"/>
    <d v="2021-02-09T16:20:38"/>
    <x v="4"/>
    <x v="8"/>
    <x v="3"/>
    <x v="0"/>
    <s v="Y"/>
    <n v="59"/>
    <x v="0"/>
    <d v="1899-12-30T00:04:36"/>
    <n v="3"/>
  </r>
  <r>
    <x v="2290"/>
    <s v="Stewart"/>
    <x v="39"/>
    <d v="1899-12-30T16:22:05"/>
    <d v="2021-02-09T16:22:05"/>
    <x v="4"/>
    <x v="8"/>
    <x v="1"/>
    <x v="0"/>
    <s v="Y"/>
    <n v="101"/>
    <x v="0"/>
    <d v="1899-12-30T00:01:18"/>
    <n v="2"/>
  </r>
  <r>
    <x v="2291"/>
    <s v="Greg"/>
    <x v="39"/>
    <d v="1899-12-30T16:22:05"/>
    <d v="2021-02-09T16:22:05"/>
    <x v="4"/>
    <x v="8"/>
    <x v="4"/>
    <x v="0"/>
    <s v="Y"/>
    <n v="38"/>
    <x v="0"/>
    <d v="1899-12-30T00:00:43"/>
    <n v="2"/>
  </r>
  <r>
    <x v="2292"/>
    <s v="Jim"/>
    <x v="39"/>
    <d v="1899-12-30T16:32:10"/>
    <d v="2021-02-09T16:32:10"/>
    <x v="4"/>
    <x v="8"/>
    <x v="1"/>
    <x v="0"/>
    <s v="Y"/>
    <n v="104"/>
    <x v="0"/>
    <d v="1899-12-30T00:02:34"/>
    <n v="1"/>
  </r>
  <r>
    <x v="2293"/>
    <s v="Stewart"/>
    <x v="39"/>
    <d v="1899-12-30T16:32:10"/>
    <d v="2021-02-09T16:32:10"/>
    <x v="4"/>
    <x v="8"/>
    <x v="3"/>
    <x v="0"/>
    <s v="Y"/>
    <n v="29"/>
    <x v="0"/>
    <d v="1899-12-30T00:01:04"/>
    <n v="4"/>
  </r>
  <r>
    <x v="2294"/>
    <s v="Diane"/>
    <x v="39"/>
    <d v="1899-12-30T16:52:19"/>
    <d v="2021-02-09T16:52:19"/>
    <x v="4"/>
    <x v="8"/>
    <x v="4"/>
    <x v="0"/>
    <s v="Y"/>
    <n v="67"/>
    <x v="0"/>
    <d v="1899-12-30T00:01:51"/>
    <n v="2"/>
  </r>
  <r>
    <x v="2295"/>
    <s v="Dan"/>
    <x v="39"/>
    <d v="1899-12-30T16:52:19"/>
    <d v="2021-02-09T16:52:19"/>
    <x v="4"/>
    <x v="8"/>
    <x v="3"/>
    <x v="0"/>
    <s v="Y"/>
    <n v="75"/>
    <x v="0"/>
    <d v="1899-12-30T00:04:55"/>
    <n v="5"/>
  </r>
  <r>
    <x v="2296"/>
    <s v="Greg"/>
    <x v="39"/>
    <d v="1899-12-30T17:03:50"/>
    <d v="2021-02-09T17:03:50"/>
    <x v="4"/>
    <x v="7"/>
    <x v="2"/>
    <x v="0"/>
    <s v="Y"/>
    <n v="110"/>
    <x v="0"/>
    <d v="1899-12-30T00:01:03"/>
    <n v="1"/>
  </r>
  <r>
    <x v="2297"/>
    <s v="Jim"/>
    <x v="39"/>
    <d v="1899-12-30T17:03:50"/>
    <d v="2021-02-09T17:03:50"/>
    <x v="4"/>
    <x v="7"/>
    <x v="4"/>
    <x v="0"/>
    <s v="N"/>
    <n v="36"/>
    <x v="0"/>
    <d v="1899-12-30T00:06:51"/>
    <n v="2"/>
  </r>
  <r>
    <x v="2298"/>
    <s v="Diane"/>
    <x v="39"/>
    <d v="1899-12-30T17:29:46"/>
    <d v="2021-02-09T17:29:46"/>
    <x v="4"/>
    <x v="7"/>
    <x v="0"/>
    <x v="0"/>
    <s v="Y"/>
    <n v="96"/>
    <x v="0"/>
    <d v="1899-12-30T00:06:24"/>
    <n v="2"/>
  </r>
  <r>
    <x v="2299"/>
    <s v="Joe"/>
    <x v="39"/>
    <d v="1899-12-30T17:29:46"/>
    <d v="2021-02-09T17:29:46"/>
    <x v="4"/>
    <x v="7"/>
    <x v="1"/>
    <x v="0"/>
    <s v="N"/>
    <n v="91"/>
    <x v="0"/>
    <d v="1899-12-30T00:03:43"/>
    <n v="4"/>
  </r>
  <r>
    <x v="2300"/>
    <s v="Dan"/>
    <x v="39"/>
    <d v="1899-12-30T17:57:07"/>
    <d v="2021-02-09T17:57:07"/>
    <x v="4"/>
    <x v="7"/>
    <x v="3"/>
    <x v="1"/>
    <s v="N"/>
    <m/>
    <x v="0"/>
    <m/>
    <m/>
  </r>
  <r>
    <x v="2301"/>
    <s v="Becky"/>
    <x v="39"/>
    <d v="1899-12-30T17:57:07"/>
    <d v="2021-02-09T17:57:07"/>
    <x v="4"/>
    <x v="7"/>
    <x v="4"/>
    <x v="0"/>
    <s v="Y"/>
    <n v="53"/>
    <x v="0"/>
    <d v="1899-12-30T00:01:08"/>
    <n v="4"/>
  </r>
  <r>
    <x v="2302"/>
    <s v="Joe"/>
    <x v="40"/>
    <d v="1899-12-30T09:01:26"/>
    <d v="2021-02-10T09:01:26"/>
    <x v="5"/>
    <x v="0"/>
    <x v="4"/>
    <x v="0"/>
    <s v="Y"/>
    <n v="112"/>
    <x v="0"/>
    <d v="1899-12-30T00:05:34"/>
    <n v="3"/>
  </r>
  <r>
    <x v="2303"/>
    <s v="Stewart"/>
    <x v="40"/>
    <d v="1899-12-30T09:01:26"/>
    <d v="2021-02-10T09:01:26"/>
    <x v="5"/>
    <x v="0"/>
    <x v="3"/>
    <x v="1"/>
    <s v="N"/>
    <m/>
    <x v="0"/>
    <m/>
    <m/>
  </r>
  <r>
    <x v="2304"/>
    <s v="Martha"/>
    <x v="40"/>
    <d v="1899-12-30T09:12:58"/>
    <d v="2021-02-10T09:12:58"/>
    <x v="5"/>
    <x v="0"/>
    <x v="1"/>
    <x v="0"/>
    <s v="Y"/>
    <n v="87"/>
    <x v="0"/>
    <d v="1899-12-30T00:01:23"/>
    <n v="3"/>
  </r>
  <r>
    <x v="2305"/>
    <s v="Diane"/>
    <x v="40"/>
    <d v="1899-12-30T09:12:58"/>
    <d v="2021-02-10T09:12:58"/>
    <x v="5"/>
    <x v="0"/>
    <x v="3"/>
    <x v="0"/>
    <s v="Y"/>
    <n v="78"/>
    <x v="0"/>
    <d v="1899-12-30T00:01:45"/>
    <n v="5"/>
  </r>
  <r>
    <x v="2306"/>
    <s v="Jim"/>
    <x v="40"/>
    <d v="1899-12-30T09:18:43"/>
    <d v="2021-02-10T09:18:43"/>
    <x v="5"/>
    <x v="0"/>
    <x v="2"/>
    <x v="0"/>
    <s v="N"/>
    <n v="16"/>
    <x v="1"/>
    <d v="1899-12-30T00:01:53"/>
    <n v="4"/>
  </r>
  <r>
    <x v="2307"/>
    <s v="Jim"/>
    <x v="40"/>
    <d v="1899-12-30T09:18:43"/>
    <d v="2021-02-10T09:18:43"/>
    <x v="5"/>
    <x v="0"/>
    <x v="4"/>
    <x v="0"/>
    <s v="Y"/>
    <n v="56"/>
    <x v="0"/>
    <d v="1899-12-30T00:06:38"/>
    <n v="4"/>
  </r>
  <r>
    <x v="2308"/>
    <s v="Diane"/>
    <x v="40"/>
    <d v="1899-12-30T10:37:55"/>
    <d v="2021-02-10T10:37:55"/>
    <x v="5"/>
    <x v="1"/>
    <x v="1"/>
    <x v="0"/>
    <s v="Y"/>
    <n v="87"/>
    <x v="0"/>
    <d v="1899-12-30T00:06:49"/>
    <n v="3"/>
  </r>
  <r>
    <x v="2309"/>
    <s v="Becky"/>
    <x v="40"/>
    <d v="1899-12-30T10:37:55"/>
    <d v="2021-02-10T10:37:55"/>
    <x v="5"/>
    <x v="1"/>
    <x v="0"/>
    <x v="1"/>
    <s v="N"/>
    <m/>
    <x v="0"/>
    <m/>
    <m/>
  </r>
  <r>
    <x v="2310"/>
    <s v="Jim"/>
    <x v="40"/>
    <d v="1899-12-30T11:03:50"/>
    <d v="2021-02-10T11:03:50"/>
    <x v="5"/>
    <x v="2"/>
    <x v="3"/>
    <x v="0"/>
    <s v="N"/>
    <n v="46"/>
    <x v="0"/>
    <d v="1899-12-30T00:05:54"/>
    <n v="4"/>
  </r>
  <r>
    <x v="2311"/>
    <s v="Becky"/>
    <x v="40"/>
    <d v="1899-12-30T11:03:50"/>
    <d v="2021-02-10T11:03:50"/>
    <x v="5"/>
    <x v="2"/>
    <x v="2"/>
    <x v="0"/>
    <s v="Y"/>
    <n v="116"/>
    <x v="0"/>
    <d v="1899-12-30T00:06:13"/>
    <n v="3"/>
  </r>
  <r>
    <x v="2312"/>
    <s v="Stewart"/>
    <x v="40"/>
    <d v="1899-12-30T11:09:36"/>
    <d v="2021-02-10T11:09:36"/>
    <x v="5"/>
    <x v="2"/>
    <x v="1"/>
    <x v="0"/>
    <s v="Y"/>
    <n v="26"/>
    <x v="0"/>
    <d v="1899-12-30T00:01:39"/>
    <n v="4"/>
  </r>
  <r>
    <x v="2313"/>
    <s v="Joe"/>
    <x v="40"/>
    <d v="1899-12-30T11:09:36"/>
    <d v="2021-02-10T11:09:36"/>
    <x v="5"/>
    <x v="2"/>
    <x v="1"/>
    <x v="0"/>
    <s v="Y"/>
    <n v="94"/>
    <x v="0"/>
    <d v="1899-12-30T00:03:53"/>
    <n v="2"/>
  </r>
  <r>
    <x v="2314"/>
    <s v="Joe"/>
    <x v="40"/>
    <d v="1899-12-30T11:19:41"/>
    <d v="2021-02-10T11:19:41"/>
    <x v="5"/>
    <x v="2"/>
    <x v="4"/>
    <x v="0"/>
    <s v="N"/>
    <n v="87"/>
    <x v="0"/>
    <d v="1899-12-30T00:01:21"/>
    <n v="3"/>
  </r>
  <r>
    <x v="2315"/>
    <s v="Greg"/>
    <x v="40"/>
    <d v="1899-12-30T11:19:41"/>
    <d v="2021-02-10T11:19:41"/>
    <x v="5"/>
    <x v="2"/>
    <x v="1"/>
    <x v="0"/>
    <s v="Y"/>
    <n v="14"/>
    <x v="1"/>
    <d v="1899-12-30T00:01:19"/>
    <n v="3"/>
  </r>
  <r>
    <x v="2316"/>
    <s v="Jim"/>
    <x v="40"/>
    <d v="1899-12-30T11:29:46"/>
    <d v="2021-02-10T11:29:46"/>
    <x v="5"/>
    <x v="2"/>
    <x v="0"/>
    <x v="0"/>
    <s v="Y"/>
    <n v="49"/>
    <x v="0"/>
    <d v="1899-12-30T00:03:51"/>
    <n v="3"/>
  </r>
  <r>
    <x v="2317"/>
    <s v="Stewart"/>
    <x v="40"/>
    <d v="1899-12-30T11:29:46"/>
    <d v="2021-02-10T11:29:46"/>
    <x v="5"/>
    <x v="2"/>
    <x v="0"/>
    <x v="0"/>
    <s v="Y"/>
    <n v="91"/>
    <x v="0"/>
    <d v="1899-12-30T00:02:12"/>
    <n v="2"/>
  </r>
  <r>
    <x v="2318"/>
    <s v="Becky"/>
    <x v="40"/>
    <d v="1899-12-30T11:31:12"/>
    <d v="2021-02-10T11:31:12"/>
    <x v="5"/>
    <x v="2"/>
    <x v="0"/>
    <x v="0"/>
    <s v="Y"/>
    <n v="63"/>
    <x v="0"/>
    <d v="1899-12-30T00:02:38"/>
    <n v="3"/>
  </r>
  <r>
    <x v="2319"/>
    <s v="Diane"/>
    <x v="40"/>
    <d v="1899-12-30T11:31:12"/>
    <d v="2021-02-10T11:31:12"/>
    <x v="5"/>
    <x v="2"/>
    <x v="3"/>
    <x v="0"/>
    <s v="Y"/>
    <n v="92"/>
    <x v="0"/>
    <d v="1899-12-30T00:02:48"/>
    <n v="4"/>
  </r>
  <r>
    <x v="2320"/>
    <s v="Becky"/>
    <x v="40"/>
    <d v="1899-12-30T11:51:22"/>
    <d v="2021-02-10T11:51:22"/>
    <x v="5"/>
    <x v="2"/>
    <x v="2"/>
    <x v="1"/>
    <s v="N"/>
    <m/>
    <x v="0"/>
    <m/>
    <m/>
  </r>
  <r>
    <x v="2321"/>
    <s v="Stewart"/>
    <x v="40"/>
    <d v="1899-12-30T11:51:22"/>
    <d v="2021-02-10T11:51:22"/>
    <x v="5"/>
    <x v="2"/>
    <x v="2"/>
    <x v="1"/>
    <s v="N"/>
    <m/>
    <x v="0"/>
    <m/>
    <m/>
  </r>
  <r>
    <x v="2322"/>
    <s v="Jim"/>
    <x v="40"/>
    <d v="1899-12-30T12:15:50"/>
    <d v="2021-02-10T12:15:50"/>
    <x v="5"/>
    <x v="3"/>
    <x v="1"/>
    <x v="0"/>
    <s v="Y"/>
    <n v="34"/>
    <x v="0"/>
    <d v="1899-12-30T00:02:29"/>
    <n v="5"/>
  </r>
  <r>
    <x v="2323"/>
    <s v="Jim"/>
    <x v="40"/>
    <d v="1899-12-30T12:15:50"/>
    <d v="2021-02-10T12:15:50"/>
    <x v="5"/>
    <x v="3"/>
    <x v="2"/>
    <x v="0"/>
    <s v="Y"/>
    <n v="88"/>
    <x v="0"/>
    <d v="1899-12-30T00:03:43"/>
    <n v="3"/>
  </r>
  <r>
    <x v="2324"/>
    <s v="Martha"/>
    <x v="40"/>
    <d v="1899-12-30T12:20:10"/>
    <d v="2021-02-10T12:20:10"/>
    <x v="5"/>
    <x v="3"/>
    <x v="3"/>
    <x v="0"/>
    <s v="Y"/>
    <n v="28"/>
    <x v="0"/>
    <d v="1899-12-30T00:01:58"/>
    <n v="3"/>
  </r>
  <r>
    <x v="2325"/>
    <s v="Becky"/>
    <x v="40"/>
    <d v="1899-12-30T12:20:10"/>
    <d v="2021-02-10T12:20:10"/>
    <x v="5"/>
    <x v="3"/>
    <x v="1"/>
    <x v="1"/>
    <s v="N"/>
    <m/>
    <x v="0"/>
    <m/>
    <m/>
  </r>
  <r>
    <x v="2326"/>
    <s v="Jim"/>
    <x v="40"/>
    <d v="1899-12-30T12:23:02"/>
    <d v="2021-02-10T12:23:02"/>
    <x v="5"/>
    <x v="3"/>
    <x v="0"/>
    <x v="1"/>
    <s v="N"/>
    <m/>
    <x v="0"/>
    <m/>
    <m/>
  </r>
  <r>
    <x v="2327"/>
    <s v="Martha"/>
    <x v="40"/>
    <d v="1899-12-30T12:23:02"/>
    <d v="2021-02-10T12:23:02"/>
    <x v="5"/>
    <x v="3"/>
    <x v="0"/>
    <x v="0"/>
    <s v="Y"/>
    <n v="103"/>
    <x v="0"/>
    <d v="1899-12-30T00:00:52"/>
    <n v="2"/>
  </r>
  <r>
    <x v="2328"/>
    <s v="Joe"/>
    <x v="40"/>
    <d v="1899-12-30T12:47:31"/>
    <d v="2021-02-10T12:47:31"/>
    <x v="5"/>
    <x v="3"/>
    <x v="1"/>
    <x v="0"/>
    <s v="Y"/>
    <n v="11"/>
    <x v="1"/>
    <d v="1899-12-30T00:01:02"/>
    <n v="1"/>
  </r>
  <r>
    <x v="2329"/>
    <s v="Dan"/>
    <x v="40"/>
    <d v="1899-12-30T12:47:31"/>
    <d v="2021-02-10T12:47:31"/>
    <x v="5"/>
    <x v="3"/>
    <x v="3"/>
    <x v="1"/>
    <s v="N"/>
    <m/>
    <x v="0"/>
    <m/>
    <m/>
  </r>
  <r>
    <x v="2330"/>
    <s v="Becky"/>
    <x v="40"/>
    <d v="1899-12-30T12:59:02"/>
    <d v="2021-02-10T12:59:02"/>
    <x v="5"/>
    <x v="3"/>
    <x v="2"/>
    <x v="0"/>
    <s v="Y"/>
    <n v="65"/>
    <x v="0"/>
    <d v="1899-12-30T00:02:42"/>
    <n v="5"/>
  </r>
  <r>
    <x v="2331"/>
    <s v="Dan"/>
    <x v="40"/>
    <d v="1899-12-30T12:59:02"/>
    <d v="2021-02-10T12:59:02"/>
    <x v="5"/>
    <x v="3"/>
    <x v="2"/>
    <x v="0"/>
    <s v="N"/>
    <n v="46"/>
    <x v="0"/>
    <d v="1899-12-30T00:06:08"/>
    <n v="2"/>
  </r>
  <r>
    <x v="2332"/>
    <s v="Stewart"/>
    <x v="40"/>
    <d v="1899-12-30T13:04:48"/>
    <d v="2021-02-10T13:04:48"/>
    <x v="5"/>
    <x v="4"/>
    <x v="2"/>
    <x v="0"/>
    <s v="Y"/>
    <n v="77"/>
    <x v="0"/>
    <d v="1899-12-30T00:06:21"/>
    <n v="1"/>
  </r>
  <r>
    <x v="2333"/>
    <s v="Dan"/>
    <x v="40"/>
    <d v="1899-12-30T13:04:48"/>
    <d v="2021-02-10T13:04:48"/>
    <x v="5"/>
    <x v="4"/>
    <x v="0"/>
    <x v="0"/>
    <s v="N"/>
    <n v="53"/>
    <x v="0"/>
    <d v="1899-12-30T00:05:47"/>
    <n v="2"/>
  </r>
  <r>
    <x v="2334"/>
    <s v="Jim"/>
    <x v="40"/>
    <d v="1899-12-30T13:04:48"/>
    <d v="2021-02-10T13:04:48"/>
    <x v="5"/>
    <x v="4"/>
    <x v="2"/>
    <x v="0"/>
    <s v="Y"/>
    <n v="30"/>
    <x v="0"/>
    <d v="1899-12-30T00:02:21"/>
    <n v="4"/>
  </r>
  <r>
    <x v="2335"/>
    <s v="Joe"/>
    <x v="40"/>
    <d v="1899-12-30T13:04:48"/>
    <d v="2021-02-10T13:04:48"/>
    <x v="5"/>
    <x v="4"/>
    <x v="3"/>
    <x v="0"/>
    <s v="Y"/>
    <n v="106"/>
    <x v="0"/>
    <d v="1899-12-30T00:02:33"/>
    <n v="2"/>
  </r>
  <r>
    <x v="2336"/>
    <s v="Joe"/>
    <x v="40"/>
    <d v="1899-12-30T13:46:34"/>
    <d v="2021-02-10T13:46:34"/>
    <x v="5"/>
    <x v="4"/>
    <x v="4"/>
    <x v="0"/>
    <s v="Y"/>
    <n v="13"/>
    <x v="1"/>
    <d v="1899-12-30T00:05:50"/>
    <n v="4"/>
  </r>
  <r>
    <x v="2337"/>
    <s v="Martha"/>
    <x v="40"/>
    <d v="1899-12-30T13:46:34"/>
    <d v="2021-02-10T13:46:34"/>
    <x v="5"/>
    <x v="4"/>
    <x v="0"/>
    <x v="0"/>
    <s v="Y"/>
    <n v="45"/>
    <x v="0"/>
    <d v="1899-12-30T00:05:37"/>
    <n v="5"/>
  </r>
  <r>
    <x v="2338"/>
    <s v="Stewart"/>
    <x v="40"/>
    <d v="1899-12-30T14:09:36"/>
    <d v="2021-02-10T14:09:36"/>
    <x v="5"/>
    <x v="5"/>
    <x v="4"/>
    <x v="1"/>
    <s v="N"/>
    <m/>
    <x v="0"/>
    <m/>
    <m/>
  </r>
  <r>
    <x v="2339"/>
    <s v="Greg"/>
    <x v="40"/>
    <d v="1899-12-30T14:09:36"/>
    <d v="2021-02-10T14:09:36"/>
    <x v="5"/>
    <x v="5"/>
    <x v="4"/>
    <x v="0"/>
    <s v="Y"/>
    <n v="19"/>
    <x v="1"/>
    <d v="1899-12-30T00:01:49"/>
    <n v="5"/>
  </r>
  <r>
    <x v="2340"/>
    <s v="Becky"/>
    <x v="40"/>
    <d v="1899-12-30T15:05:46"/>
    <d v="2021-02-10T15:05:46"/>
    <x v="5"/>
    <x v="6"/>
    <x v="2"/>
    <x v="0"/>
    <s v="Y"/>
    <n v="64"/>
    <x v="0"/>
    <d v="1899-12-30T00:02:50"/>
    <n v="5"/>
  </r>
  <r>
    <x v="2341"/>
    <s v="Dan"/>
    <x v="40"/>
    <d v="1899-12-30T15:05:46"/>
    <d v="2021-02-10T15:05:46"/>
    <x v="5"/>
    <x v="6"/>
    <x v="4"/>
    <x v="0"/>
    <s v="N"/>
    <n v="47"/>
    <x v="0"/>
    <d v="1899-12-30T00:02:01"/>
    <n v="5"/>
  </r>
  <r>
    <x v="2342"/>
    <s v="Greg"/>
    <x v="40"/>
    <d v="1899-12-30T15:46:05"/>
    <d v="2021-02-10T15:46:05"/>
    <x v="5"/>
    <x v="6"/>
    <x v="2"/>
    <x v="0"/>
    <s v="Y"/>
    <n v="120"/>
    <x v="0"/>
    <d v="1899-12-30T00:00:56"/>
    <n v="3"/>
  </r>
  <r>
    <x v="2343"/>
    <s v="Stewart"/>
    <x v="40"/>
    <d v="1899-12-30T15:46:05"/>
    <d v="2021-02-10T15:46:05"/>
    <x v="5"/>
    <x v="6"/>
    <x v="0"/>
    <x v="0"/>
    <s v="Y"/>
    <n v="85"/>
    <x v="0"/>
    <d v="1899-12-30T00:02:09"/>
    <n v="3"/>
  </r>
  <r>
    <x v="2344"/>
    <s v="Dan"/>
    <x v="40"/>
    <d v="1899-12-30T16:22:05"/>
    <d v="2021-02-10T16:22:05"/>
    <x v="5"/>
    <x v="8"/>
    <x v="0"/>
    <x v="0"/>
    <s v="Y"/>
    <n v="64"/>
    <x v="0"/>
    <d v="1899-12-30T00:01:38"/>
    <n v="3"/>
  </r>
  <r>
    <x v="2345"/>
    <s v="Diane"/>
    <x v="40"/>
    <d v="1899-12-30T16:22:05"/>
    <d v="2021-02-10T16:22:05"/>
    <x v="5"/>
    <x v="8"/>
    <x v="3"/>
    <x v="1"/>
    <s v="N"/>
    <m/>
    <x v="0"/>
    <m/>
    <m/>
  </r>
  <r>
    <x v="2346"/>
    <s v="Martha"/>
    <x v="40"/>
    <d v="1899-12-30T16:26:24"/>
    <d v="2021-02-10T16:26:24"/>
    <x v="5"/>
    <x v="8"/>
    <x v="1"/>
    <x v="0"/>
    <s v="Y"/>
    <n v="73"/>
    <x v="0"/>
    <d v="1899-12-30T00:06:11"/>
    <n v="5"/>
  </r>
  <r>
    <x v="2347"/>
    <s v="Becky"/>
    <x v="40"/>
    <d v="1899-12-30T16:26:24"/>
    <d v="2021-02-10T16:26:24"/>
    <x v="5"/>
    <x v="8"/>
    <x v="1"/>
    <x v="1"/>
    <s v="N"/>
    <m/>
    <x v="0"/>
    <m/>
    <m/>
  </r>
  <r>
    <x v="2348"/>
    <s v="Joe"/>
    <x v="40"/>
    <d v="1899-12-30T16:27:50"/>
    <d v="2021-02-10T16:27:50"/>
    <x v="5"/>
    <x v="8"/>
    <x v="1"/>
    <x v="1"/>
    <s v="N"/>
    <m/>
    <x v="0"/>
    <m/>
    <m/>
  </r>
  <r>
    <x v="2349"/>
    <s v="Martha"/>
    <x v="40"/>
    <d v="1899-12-30T16:27:50"/>
    <d v="2021-02-10T16:27:50"/>
    <x v="5"/>
    <x v="8"/>
    <x v="0"/>
    <x v="0"/>
    <s v="Y"/>
    <n v="122"/>
    <x v="0"/>
    <d v="1899-12-30T00:04:35"/>
    <n v="4"/>
  </r>
  <r>
    <x v="2350"/>
    <s v="Dan"/>
    <x v="40"/>
    <d v="1899-12-30T16:27:50"/>
    <d v="2021-02-10T16:27:50"/>
    <x v="5"/>
    <x v="8"/>
    <x v="0"/>
    <x v="1"/>
    <s v="N"/>
    <m/>
    <x v="0"/>
    <m/>
    <m/>
  </r>
  <r>
    <x v="2351"/>
    <s v="Diane"/>
    <x v="40"/>
    <d v="1899-12-30T16:27:50"/>
    <d v="2021-02-10T16:27:50"/>
    <x v="5"/>
    <x v="8"/>
    <x v="0"/>
    <x v="1"/>
    <s v="N"/>
    <m/>
    <x v="0"/>
    <m/>
    <m/>
  </r>
  <r>
    <x v="2352"/>
    <s v="Diane"/>
    <x v="40"/>
    <d v="1899-12-30T17:08:10"/>
    <d v="2021-02-10T17:08:10"/>
    <x v="5"/>
    <x v="7"/>
    <x v="1"/>
    <x v="0"/>
    <s v="Y"/>
    <n v="114"/>
    <x v="0"/>
    <d v="1899-12-30T00:06:54"/>
    <n v="3"/>
  </r>
  <r>
    <x v="2353"/>
    <s v="Becky"/>
    <x v="40"/>
    <d v="1899-12-30T17:08:10"/>
    <d v="2021-02-10T17:08:10"/>
    <x v="5"/>
    <x v="7"/>
    <x v="1"/>
    <x v="0"/>
    <s v="Y"/>
    <n v="30"/>
    <x v="0"/>
    <d v="1899-12-30T00:06:31"/>
    <n v="1"/>
  </r>
  <r>
    <x v="2354"/>
    <s v="Diane"/>
    <x v="40"/>
    <d v="1899-12-30T17:18:14"/>
    <d v="2021-02-10T17:18:14"/>
    <x v="5"/>
    <x v="7"/>
    <x v="3"/>
    <x v="0"/>
    <s v="Y"/>
    <n v="47"/>
    <x v="0"/>
    <d v="1899-12-30T00:00:47"/>
    <n v="4"/>
  </r>
  <r>
    <x v="2355"/>
    <s v="Joe"/>
    <x v="40"/>
    <d v="1899-12-30T17:18:14"/>
    <d v="2021-02-10T17:18:14"/>
    <x v="5"/>
    <x v="7"/>
    <x v="2"/>
    <x v="0"/>
    <s v="Y"/>
    <n v="23"/>
    <x v="0"/>
    <d v="1899-12-30T00:03:37"/>
    <n v="2"/>
  </r>
  <r>
    <x v="2356"/>
    <s v="Greg"/>
    <x v="40"/>
    <d v="1899-12-30T17:25:26"/>
    <d v="2021-02-10T17:25:26"/>
    <x v="5"/>
    <x v="7"/>
    <x v="2"/>
    <x v="0"/>
    <s v="Y"/>
    <n v="99"/>
    <x v="0"/>
    <d v="1899-12-30T00:01:42"/>
    <n v="3"/>
  </r>
  <r>
    <x v="2357"/>
    <s v="Stewart"/>
    <x v="40"/>
    <d v="1899-12-30T17:25:26"/>
    <d v="2021-02-10T17:25:26"/>
    <x v="5"/>
    <x v="7"/>
    <x v="0"/>
    <x v="0"/>
    <s v="Y"/>
    <n v="51"/>
    <x v="0"/>
    <d v="1899-12-30T00:04:51"/>
    <n v="4"/>
  </r>
  <r>
    <x v="2358"/>
    <s v="Diane"/>
    <x v="40"/>
    <d v="1899-12-30T17:28:19"/>
    <d v="2021-02-10T17:28:19"/>
    <x v="5"/>
    <x v="7"/>
    <x v="0"/>
    <x v="0"/>
    <s v="Y"/>
    <n v="20"/>
    <x v="1"/>
    <d v="1899-12-30T00:05:06"/>
    <n v="1"/>
  </r>
  <r>
    <x v="2359"/>
    <s v="Jim"/>
    <x v="40"/>
    <d v="1899-12-30T17:28:19"/>
    <d v="2021-02-10T17:28:19"/>
    <x v="5"/>
    <x v="7"/>
    <x v="3"/>
    <x v="0"/>
    <s v="Y"/>
    <n v="25"/>
    <x v="0"/>
    <d v="1899-12-30T00:06:15"/>
    <n v="5"/>
  </r>
  <r>
    <x v="2360"/>
    <s v="Jim"/>
    <x v="40"/>
    <d v="1899-12-30T17:35:31"/>
    <d v="2021-02-10T17:35:31"/>
    <x v="5"/>
    <x v="7"/>
    <x v="0"/>
    <x v="1"/>
    <s v="N"/>
    <m/>
    <x v="0"/>
    <m/>
    <m/>
  </r>
  <r>
    <x v="2361"/>
    <s v="Jim"/>
    <x v="40"/>
    <d v="1899-12-30T17:35:31"/>
    <d v="2021-02-10T17:35:31"/>
    <x v="5"/>
    <x v="7"/>
    <x v="0"/>
    <x v="0"/>
    <s v="Y"/>
    <n v="69"/>
    <x v="0"/>
    <d v="1899-12-30T00:04:16"/>
    <n v="3"/>
  </r>
  <r>
    <x v="2362"/>
    <s v="Dan"/>
    <x v="40"/>
    <d v="1899-12-30T17:44:10"/>
    <d v="2021-02-10T17:44:10"/>
    <x v="5"/>
    <x v="7"/>
    <x v="3"/>
    <x v="0"/>
    <s v="Y"/>
    <n v="118"/>
    <x v="0"/>
    <d v="1899-12-30T00:05:40"/>
    <n v="4"/>
  </r>
  <r>
    <x v="2363"/>
    <s v="Diane"/>
    <x v="40"/>
    <d v="1899-12-30T17:44:10"/>
    <d v="2021-02-10T17:44:10"/>
    <x v="5"/>
    <x v="7"/>
    <x v="2"/>
    <x v="0"/>
    <s v="Y"/>
    <n v="108"/>
    <x v="0"/>
    <d v="1899-12-30T00:04:40"/>
    <n v="5"/>
  </r>
  <r>
    <x v="2364"/>
    <s v="Martha"/>
    <x v="41"/>
    <d v="1899-12-30T09:05:46"/>
    <d v="2021-02-11T09:05:46"/>
    <x v="6"/>
    <x v="0"/>
    <x v="4"/>
    <x v="0"/>
    <s v="Y"/>
    <n v="59"/>
    <x v="0"/>
    <d v="1899-12-30T00:04:31"/>
    <n v="5"/>
  </r>
  <r>
    <x v="2365"/>
    <s v="Diane"/>
    <x v="41"/>
    <d v="1899-12-30T09:05:46"/>
    <d v="2021-02-11T09:05:46"/>
    <x v="6"/>
    <x v="0"/>
    <x v="1"/>
    <x v="0"/>
    <s v="Y"/>
    <n v="103"/>
    <x v="0"/>
    <d v="1899-12-30T00:01:22"/>
    <n v="3"/>
  </r>
  <r>
    <x v="2366"/>
    <s v="Becky"/>
    <x v="41"/>
    <d v="1899-12-30T09:11:31"/>
    <d v="2021-02-11T09:11:31"/>
    <x v="6"/>
    <x v="0"/>
    <x v="2"/>
    <x v="1"/>
    <s v="N"/>
    <m/>
    <x v="0"/>
    <m/>
    <m/>
  </r>
  <r>
    <x v="2367"/>
    <s v="Jim"/>
    <x v="41"/>
    <d v="1899-12-30T09:11:31"/>
    <d v="2021-02-11T09:11:31"/>
    <x v="6"/>
    <x v="0"/>
    <x v="0"/>
    <x v="0"/>
    <s v="Y"/>
    <n v="112"/>
    <x v="0"/>
    <d v="1899-12-30T00:01:24"/>
    <n v="1"/>
  </r>
  <r>
    <x v="2368"/>
    <s v="Diane"/>
    <x v="41"/>
    <d v="1899-12-30T09:34:34"/>
    <d v="2021-02-11T09:34:34"/>
    <x v="6"/>
    <x v="0"/>
    <x v="4"/>
    <x v="0"/>
    <s v="Y"/>
    <n v="38"/>
    <x v="0"/>
    <d v="1899-12-30T00:03:30"/>
    <n v="5"/>
  </r>
  <r>
    <x v="2369"/>
    <s v="Jim"/>
    <x v="41"/>
    <d v="1899-12-30T09:34:34"/>
    <d v="2021-02-11T09:34:34"/>
    <x v="6"/>
    <x v="0"/>
    <x v="0"/>
    <x v="0"/>
    <s v="Y"/>
    <n v="81"/>
    <x v="0"/>
    <d v="1899-12-30T00:04:44"/>
    <n v="3"/>
  </r>
  <r>
    <x v="2370"/>
    <s v="Martha"/>
    <x v="41"/>
    <d v="1899-12-30T09:44:38"/>
    <d v="2021-02-11T09:44:38"/>
    <x v="6"/>
    <x v="0"/>
    <x v="3"/>
    <x v="0"/>
    <s v="N"/>
    <n v="115"/>
    <x v="0"/>
    <d v="1899-12-30T00:03:02"/>
    <n v="4"/>
  </r>
  <r>
    <x v="2371"/>
    <s v="Greg"/>
    <x v="41"/>
    <d v="1899-12-30T09:44:38"/>
    <d v="2021-02-11T09:44:38"/>
    <x v="6"/>
    <x v="0"/>
    <x v="0"/>
    <x v="1"/>
    <s v="N"/>
    <m/>
    <x v="0"/>
    <m/>
    <m/>
  </r>
  <r>
    <x v="2372"/>
    <s v="Stewart"/>
    <x v="41"/>
    <d v="1899-12-30T10:12:00"/>
    <d v="2021-02-11T10:12:00"/>
    <x v="6"/>
    <x v="1"/>
    <x v="0"/>
    <x v="0"/>
    <s v="Y"/>
    <n v="45"/>
    <x v="0"/>
    <d v="1899-12-30T00:01:04"/>
    <n v="4"/>
  </r>
  <r>
    <x v="2373"/>
    <s v="Dan"/>
    <x v="41"/>
    <d v="1899-12-30T10:12:00"/>
    <d v="2021-02-11T10:12:00"/>
    <x v="6"/>
    <x v="1"/>
    <x v="3"/>
    <x v="0"/>
    <s v="Y"/>
    <n v="11"/>
    <x v="1"/>
    <d v="1899-12-30T00:02:06"/>
    <n v="5"/>
  </r>
  <r>
    <x v="2374"/>
    <s v="Joe"/>
    <x v="41"/>
    <d v="1899-12-30T10:23:31"/>
    <d v="2021-02-11T10:23:31"/>
    <x v="6"/>
    <x v="1"/>
    <x v="4"/>
    <x v="0"/>
    <s v="Y"/>
    <n v="93"/>
    <x v="0"/>
    <d v="1899-12-30T00:02:17"/>
    <n v="1"/>
  </r>
  <r>
    <x v="2375"/>
    <s v="Becky"/>
    <x v="41"/>
    <d v="1899-12-30T10:23:31"/>
    <d v="2021-02-11T10:23:31"/>
    <x v="6"/>
    <x v="1"/>
    <x v="4"/>
    <x v="0"/>
    <s v="Y"/>
    <n v="107"/>
    <x v="0"/>
    <d v="1899-12-30T00:01:45"/>
    <n v="5"/>
  </r>
  <r>
    <x v="2376"/>
    <s v="Martha"/>
    <x v="41"/>
    <d v="1899-12-30T10:29:17"/>
    <d v="2021-02-11T10:29:17"/>
    <x v="6"/>
    <x v="1"/>
    <x v="2"/>
    <x v="0"/>
    <s v="Y"/>
    <n v="36"/>
    <x v="0"/>
    <d v="1899-12-30T00:05:37"/>
    <n v="3"/>
  </r>
  <r>
    <x v="2377"/>
    <s v="Greg"/>
    <x v="41"/>
    <d v="1899-12-30T10:29:17"/>
    <d v="2021-02-11T10:29:17"/>
    <x v="6"/>
    <x v="1"/>
    <x v="0"/>
    <x v="0"/>
    <s v="Y"/>
    <n v="81"/>
    <x v="0"/>
    <d v="1899-12-30T00:04:20"/>
    <n v="1"/>
  </r>
  <r>
    <x v="2378"/>
    <s v="Greg"/>
    <x v="41"/>
    <d v="1899-12-30T11:05:17"/>
    <d v="2021-02-11T11:05:17"/>
    <x v="6"/>
    <x v="2"/>
    <x v="2"/>
    <x v="0"/>
    <s v="Y"/>
    <n v="58"/>
    <x v="0"/>
    <d v="1899-12-30T00:06:31"/>
    <n v="3"/>
  </r>
  <r>
    <x v="2379"/>
    <s v="Diane"/>
    <x v="41"/>
    <d v="1899-12-30T11:05:17"/>
    <d v="2021-02-11T11:05:17"/>
    <x v="6"/>
    <x v="2"/>
    <x v="0"/>
    <x v="1"/>
    <s v="N"/>
    <m/>
    <x v="0"/>
    <m/>
    <m/>
  </r>
  <r>
    <x v="2380"/>
    <s v="Jim"/>
    <x v="41"/>
    <d v="1899-12-30T11:12:29"/>
    <d v="2021-02-11T11:12:29"/>
    <x v="6"/>
    <x v="2"/>
    <x v="0"/>
    <x v="0"/>
    <s v="Y"/>
    <n v="102"/>
    <x v="0"/>
    <d v="1899-12-30T00:06:13"/>
    <n v="5"/>
  </r>
  <r>
    <x v="2381"/>
    <s v="Becky"/>
    <x v="41"/>
    <d v="1899-12-30T11:12:29"/>
    <d v="2021-02-11T11:12:29"/>
    <x v="6"/>
    <x v="2"/>
    <x v="4"/>
    <x v="0"/>
    <s v="Y"/>
    <n v="63"/>
    <x v="0"/>
    <d v="1899-12-30T00:05:52"/>
    <n v="4"/>
  </r>
  <r>
    <x v="2382"/>
    <s v="Dan"/>
    <x v="41"/>
    <d v="1899-12-30T11:54:14"/>
    <d v="2021-02-11T11:54:14"/>
    <x v="6"/>
    <x v="2"/>
    <x v="4"/>
    <x v="0"/>
    <s v="Y"/>
    <n v="106"/>
    <x v="0"/>
    <d v="1899-12-30T00:00:41"/>
    <n v="4"/>
  </r>
  <r>
    <x v="2383"/>
    <s v="Becky"/>
    <x v="41"/>
    <d v="1899-12-30T11:54:14"/>
    <d v="2021-02-11T11:54:14"/>
    <x v="6"/>
    <x v="2"/>
    <x v="3"/>
    <x v="1"/>
    <s v="N"/>
    <m/>
    <x v="0"/>
    <m/>
    <m/>
  </r>
  <r>
    <x v="2384"/>
    <s v="Jim"/>
    <x v="41"/>
    <d v="1899-12-30T11:55:41"/>
    <d v="2021-02-11T11:55:41"/>
    <x v="6"/>
    <x v="2"/>
    <x v="2"/>
    <x v="0"/>
    <s v="Y"/>
    <n v="31"/>
    <x v="0"/>
    <d v="1899-12-30T00:00:47"/>
    <n v="4"/>
  </r>
  <r>
    <x v="2385"/>
    <s v="Dan"/>
    <x v="41"/>
    <d v="1899-12-30T11:55:41"/>
    <d v="2021-02-11T11:55:41"/>
    <x v="6"/>
    <x v="2"/>
    <x v="0"/>
    <x v="0"/>
    <s v="Y"/>
    <n v="93"/>
    <x v="0"/>
    <d v="1899-12-30T00:04:54"/>
    <n v="5"/>
  </r>
  <r>
    <x v="2386"/>
    <s v="Diane"/>
    <x v="41"/>
    <d v="1899-12-30T12:00:00"/>
    <d v="2021-02-11T12:00:00"/>
    <x v="6"/>
    <x v="3"/>
    <x v="2"/>
    <x v="1"/>
    <s v="N"/>
    <m/>
    <x v="0"/>
    <m/>
    <m/>
  </r>
  <r>
    <x v="2387"/>
    <s v="Becky"/>
    <x v="41"/>
    <d v="1899-12-30T12:00:00"/>
    <d v="2021-02-11T12:00:00"/>
    <x v="6"/>
    <x v="3"/>
    <x v="3"/>
    <x v="0"/>
    <s v="Y"/>
    <n v="66"/>
    <x v="0"/>
    <d v="1899-12-30T00:03:11"/>
    <n v="4"/>
  </r>
  <r>
    <x v="2388"/>
    <s v="Becky"/>
    <x v="41"/>
    <d v="1899-12-30T12:00:00"/>
    <d v="2021-02-11T12:00:00"/>
    <x v="6"/>
    <x v="3"/>
    <x v="2"/>
    <x v="1"/>
    <s v="N"/>
    <m/>
    <x v="0"/>
    <m/>
    <m/>
  </r>
  <r>
    <x v="2389"/>
    <s v="Becky"/>
    <x v="41"/>
    <d v="1899-12-30T12:00:00"/>
    <d v="2021-02-11T12:00:00"/>
    <x v="6"/>
    <x v="3"/>
    <x v="3"/>
    <x v="1"/>
    <s v="N"/>
    <m/>
    <x v="0"/>
    <m/>
    <m/>
  </r>
  <r>
    <x v="2390"/>
    <s v="Diane"/>
    <x v="41"/>
    <d v="1899-12-30T12:04:19"/>
    <d v="2021-02-11T12:04:19"/>
    <x v="6"/>
    <x v="3"/>
    <x v="2"/>
    <x v="0"/>
    <s v="Y"/>
    <n v="18"/>
    <x v="1"/>
    <d v="1899-12-30T00:02:08"/>
    <n v="5"/>
  </r>
  <r>
    <x v="2391"/>
    <s v="Martha"/>
    <x v="41"/>
    <d v="1899-12-30T12:04:19"/>
    <d v="2021-02-11T12:04:19"/>
    <x v="6"/>
    <x v="3"/>
    <x v="3"/>
    <x v="0"/>
    <s v="Y"/>
    <n v="65"/>
    <x v="0"/>
    <d v="1899-12-30T00:05:43"/>
    <n v="5"/>
  </r>
  <r>
    <x v="2392"/>
    <s v="Dan"/>
    <x v="41"/>
    <d v="1899-12-30T12:15:50"/>
    <d v="2021-02-11T12:15:50"/>
    <x v="6"/>
    <x v="3"/>
    <x v="0"/>
    <x v="0"/>
    <s v="Y"/>
    <n v="116"/>
    <x v="0"/>
    <d v="1899-12-30T00:04:12"/>
    <n v="2"/>
  </r>
  <r>
    <x v="2393"/>
    <s v="Dan"/>
    <x v="41"/>
    <d v="1899-12-30T12:15:50"/>
    <d v="2021-02-11T12:15:50"/>
    <x v="6"/>
    <x v="3"/>
    <x v="2"/>
    <x v="1"/>
    <s v="N"/>
    <m/>
    <x v="0"/>
    <m/>
    <m/>
  </r>
  <r>
    <x v="2394"/>
    <s v="Stewart"/>
    <x v="41"/>
    <d v="1899-12-30T12:30:14"/>
    <d v="2021-02-11T12:30:14"/>
    <x v="6"/>
    <x v="3"/>
    <x v="2"/>
    <x v="1"/>
    <s v="N"/>
    <m/>
    <x v="0"/>
    <m/>
    <m/>
  </r>
  <r>
    <x v="2395"/>
    <s v="Martha"/>
    <x v="41"/>
    <d v="1899-12-30T12:30:14"/>
    <d v="2021-02-11T12:30:14"/>
    <x v="6"/>
    <x v="3"/>
    <x v="3"/>
    <x v="0"/>
    <s v="Y"/>
    <n v="19"/>
    <x v="1"/>
    <d v="1899-12-30T00:05:35"/>
    <n v="5"/>
  </r>
  <r>
    <x v="2396"/>
    <s v="Dan"/>
    <x v="41"/>
    <d v="1899-12-30T12:34:34"/>
    <d v="2021-02-11T12:34:34"/>
    <x v="6"/>
    <x v="3"/>
    <x v="1"/>
    <x v="1"/>
    <s v="N"/>
    <m/>
    <x v="0"/>
    <m/>
    <m/>
  </r>
  <r>
    <x v="2397"/>
    <s v="Greg"/>
    <x v="41"/>
    <d v="1899-12-30T12:34:34"/>
    <d v="2021-02-11T12:34:34"/>
    <x v="6"/>
    <x v="3"/>
    <x v="1"/>
    <x v="0"/>
    <s v="Y"/>
    <n v="120"/>
    <x v="0"/>
    <d v="1899-12-30T00:06:54"/>
    <n v="3"/>
  </r>
  <r>
    <x v="2398"/>
    <s v="Martha"/>
    <x v="41"/>
    <d v="1899-12-30T12:36:00"/>
    <d v="2021-02-11T12:36:00"/>
    <x v="6"/>
    <x v="3"/>
    <x v="3"/>
    <x v="0"/>
    <s v="Y"/>
    <n v="32"/>
    <x v="0"/>
    <d v="1899-12-30T00:00:55"/>
    <n v="3"/>
  </r>
  <r>
    <x v="2399"/>
    <s v="Stewart"/>
    <x v="41"/>
    <d v="1899-12-30T12:36:00"/>
    <d v="2021-02-11T12:36:00"/>
    <x v="6"/>
    <x v="3"/>
    <x v="3"/>
    <x v="0"/>
    <s v="Y"/>
    <n v="121"/>
    <x v="0"/>
    <d v="1899-12-30T00:05:45"/>
    <n v="2"/>
  </r>
  <r>
    <x v="2400"/>
    <s v="Jim"/>
    <x v="41"/>
    <d v="1899-12-30T12:50:24"/>
    <d v="2021-02-11T12:50:24"/>
    <x v="6"/>
    <x v="3"/>
    <x v="0"/>
    <x v="1"/>
    <s v="N"/>
    <m/>
    <x v="0"/>
    <m/>
    <m/>
  </r>
  <r>
    <x v="2401"/>
    <s v="Greg"/>
    <x v="41"/>
    <d v="1899-12-30T12:50:24"/>
    <d v="2021-02-11T12:50:24"/>
    <x v="6"/>
    <x v="3"/>
    <x v="3"/>
    <x v="0"/>
    <s v="Y"/>
    <n v="82"/>
    <x v="0"/>
    <d v="1899-12-30T00:03:21"/>
    <n v="4"/>
  </r>
  <r>
    <x v="2402"/>
    <s v="Martha"/>
    <x v="41"/>
    <d v="1899-12-30T12:57:36"/>
    <d v="2021-02-11T12:57:36"/>
    <x v="6"/>
    <x v="3"/>
    <x v="0"/>
    <x v="0"/>
    <s v="Y"/>
    <n v="53"/>
    <x v="0"/>
    <d v="1899-12-30T00:02:18"/>
    <n v="4"/>
  </r>
  <r>
    <x v="2403"/>
    <s v="Stewart"/>
    <x v="41"/>
    <d v="1899-12-30T12:57:36"/>
    <d v="2021-02-11T12:57:36"/>
    <x v="6"/>
    <x v="3"/>
    <x v="2"/>
    <x v="1"/>
    <s v="N"/>
    <m/>
    <x v="0"/>
    <m/>
    <m/>
  </r>
  <r>
    <x v="2404"/>
    <s v="Becky"/>
    <x v="41"/>
    <d v="1899-12-30T13:12:00"/>
    <d v="2021-02-11T13:12:00"/>
    <x v="6"/>
    <x v="4"/>
    <x v="1"/>
    <x v="0"/>
    <s v="Y"/>
    <n v="16"/>
    <x v="1"/>
    <d v="1899-12-30T00:05:12"/>
    <n v="4"/>
  </r>
  <r>
    <x v="2405"/>
    <s v="Martha"/>
    <x v="41"/>
    <d v="1899-12-30T13:12:00"/>
    <d v="2021-02-11T13:12:00"/>
    <x v="6"/>
    <x v="4"/>
    <x v="3"/>
    <x v="0"/>
    <s v="Y"/>
    <n v="67"/>
    <x v="0"/>
    <d v="1899-12-30T00:06:11"/>
    <n v="3"/>
  </r>
  <r>
    <x v="2406"/>
    <s v="Dan"/>
    <x v="41"/>
    <d v="1899-12-30T13:22:05"/>
    <d v="2021-02-11T13:22:05"/>
    <x v="6"/>
    <x v="4"/>
    <x v="4"/>
    <x v="0"/>
    <s v="Y"/>
    <n v="95"/>
    <x v="0"/>
    <d v="1899-12-30T00:02:59"/>
    <n v="4"/>
  </r>
  <r>
    <x v="2407"/>
    <s v="Diane"/>
    <x v="41"/>
    <d v="1899-12-30T13:22:05"/>
    <d v="2021-02-11T13:22:05"/>
    <x v="6"/>
    <x v="4"/>
    <x v="3"/>
    <x v="0"/>
    <s v="Y"/>
    <n v="75"/>
    <x v="0"/>
    <d v="1899-12-30T00:02:42"/>
    <n v="3"/>
  </r>
  <r>
    <x v="2408"/>
    <s v="Jim"/>
    <x v="41"/>
    <d v="1899-12-30T13:30:43"/>
    <d v="2021-02-11T13:30:43"/>
    <x v="6"/>
    <x v="4"/>
    <x v="4"/>
    <x v="0"/>
    <s v="Y"/>
    <n v="53"/>
    <x v="0"/>
    <d v="1899-12-30T00:05:25"/>
    <n v="3"/>
  </r>
  <r>
    <x v="2409"/>
    <s v="Joe"/>
    <x v="41"/>
    <d v="1899-12-30T13:30:43"/>
    <d v="2021-02-11T13:30:43"/>
    <x v="6"/>
    <x v="4"/>
    <x v="0"/>
    <x v="0"/>
    <s v="Y"/>
    <n v="116"/>
    <x v="0"/>
    <d v="1899-12-30T00:00:49"/>
    <n v="5"/>
  </r>
  <r>
    <x v="2410"/>
    <s v="Stewart"/>
    <x v="41"/>
    <d v="1899-12-30T13:37:55"/>
    <d v="2021-02-11T13:37:55"/>
    <x v="6"/>
    <x v="4"/>
    <x v="1"/>
    <x v="0"/>
    <s v="Y"/>
    <n v="83"/>
    <x v="0"/>
    <d v="1899-12-30T00:04:23"/>
    <n v="3"/>
  </r>
  <r>
    <x v="2411"/>
    <s v="Jim"/>
    <x v="41"/>
    <d v="1899-12-30T13:37:55"/>
    <d v="2021-02-11T13:37:55"/>
    <x v="6"/>
    <x v="4"/>
    <x v="0"/>
    <x v="0"/>
    <s v="Y"/>
    <n v="92"/>
    <x v="0"/>
    <d v="1899-12-30T00:02:15"/>
    <n v="4"/>
  </r>
  <r>
    <x v="2412"/>
    <s v="Martha"/>
    <x v="41"/>
    <d v="1899-12-30T13:46:34"/>
    <d v="2021-02-11T13:46:34"/>
    <x v="6"/>
    <x v="4"/>
    <x v="3"/>
    <x v="0"/>
    <s v="Y"/>
    <n v="24"/>
    <x v="0"/>
    <d v="1899-12-30T00:02:41"/>
    <n v="3"/>
  </r>
  <r>
    <x v="2413"/>
    <s v="Martha"/>
    <x v="41"/>
    <d v="1899-12-30T13:46:34"/>
    <d v="2021-02-11T13:46:34"/>
    <x v="6"/>
    <x v="4"/>
    <x v="0"/>
    <x v="0"/>
    <s v="Y"/>
    <n v="16"/>
    <x v="1"/>
    <d v="1899-12-30T00:04:17"/>
    <n v="4"/>
  </r>
  <r>
    <x v="2414"/>
    <s v="Jim"/>
    <x v="41"/>
    <d v="1899-12-30T14:03:50"/>
    <d v="2021-02-11T14:03:50"/>
    <x v="6"/>
    <x v="5"/>
    <x v="0"/>
    <x v="0"/>
    <s v="Y"/>
    <n v="24"/>
    <x v="0"/>
    <d v="1899-12-30T00:02:22"/>
    <n v="5"/>
  </r>
  <r>
    <x v="2415"/>
    <s v="Martha"/>
    <x v="41"/>
    <d v="1899-12-30T14:03:50"/>
    <d v="2021-02-11T14:03:50"/>
    <x v="6"/>
    <x v="5"/>
    <x v="1"/>
    <x v="0"/>
    <s v="Y"/>
    <n v="114"/>
    <x v="0"/>
    <d v="1899-12-30T00:03:49"/>
    <n v="2"/>
  </r>
  <r>
    <x v="2416"/>
    <s v="Jim"/>
    <x v="41"/>
    <d v="1899-12-30T14:03:50"/>
    <d v="2021-02-11T14:03:50"/>
    <x v="6"/>
    <x v="5"/>
    <x v="0"/>
    <x v="1"/>
    <s v="N"/>
    <m/>
    <x v="0"/>
    <m/>
    <m/>
  </r>
  <r>
    <x v="2417"/>
    <s v="Jim"/>
    <x v="41"/>
    <d v="1899-12-30T14:03:50"/>
    <d v="2021-02-11T14:03:50"/>
    <x v="6"/>
    <x v="5"/>
    <x v="1"/>
    <x v="0"/>
    <s v="Y"/>
    <n v="120"/>
    <x v="0"/>
    <d v="1899-12-30T00:05:57"/>
    <n v="4"/>
  </r>
  <r>
    <x v="2418"/>
    <s v="Martha"/>
    <x v="41"/>
    <d v="1899-12-30T14:25:26"/>
    <d v="2021-02-11T14:25:26"/>
    <x v="6"/>
    <x v="5"/>
    <x v="4"/>
    <x v="0"/>
    <s v="Y"/>
    <n v="89"/>
    <x v="0"/>
    <d v="1899-12-30T00:06:57"/>
    <n v="5"/>
  </r>
  <r>
    <x v="2419"/>
    <s v="Martha"/>
    <x v="41"/>
    <d v="1899-12-30T14:25:26"/>
    <d v="2021-02-11T14:25:26"/>
    <x v="6"/>
    <x v="5"/>
    <x v="2"/>
    <x v="0"/>
    <s v="Y"/>
    <n v="83"/>
    <x v="0"/>
    <d v="1899-12-30T00:01:29"/>
    <n v="4"/>
  </r>
  <r>
    <x v="2420"/>
    <s v="Dan"/>
    <x v="41"/>
    <d v="1899-12-30T14:52:48"/>
    <d v="2021-02-11T14:52:48"/>
    <x v="6"/>
    <x v="5"/>
    <x v="4"/>
    <x v="0"/>
    <s v="Y"/>
    <n v="71"/>
    <x v="0"/>
    <d v="1899-12-30T00:02:34"/>
    <n v="5"/>
  </r>
  <r>
    <x v="2421"/>
    <s v="Greg"/>
    <x v="41"/>
    <d v="1899-12-30T14:52:48"/>
    <d v="2021-02-11T14:52:48"/>
    <x v="6"/>
    <x v="5"/>
    <x v="4"/>
    <x v="0"/>
    <s v="Y"/>
    <n v="62"/>
    <x v="0"/>
    <d v="1899-12-30T00:02:00"/>
    <n v="4"/>
  </r>
  <r>
    <x v="2422"/>
    <s v="Becky"/>
    <x v="41"/>
    <d v="1899-12-30T15:04:19"/>
    <d v="2021-02-11T15:04:19"/>
    <x v="6"/>
    <x v="6"/>
    <x v="2"/>
    <x v="0"/>
    <s v="Y"/>
    <n v="84"/>
    <x v="0"/>
    <d v="1899-12-30T00:03:15"/>
    <n v="2"/>
  </r>
  <r>
    <x v="2423"/>
    <s v="Dan"/>
    <x v="41"/>
    <d v="1899-12-30T15:04:19"/>
    <d v="2021-02-11T15:04:19"/>
    <x v="6"/>
    <x v="6"/>
    <x v="1"/>
    <x v="0"/>
    <s v="Y"/>
    <n v="17"/>
    <x v="1"/>
    <d v="1899-12-30T00:01:21"/>
    <n v="4"/>
  </r>
  <r>
    <x v="2424"/>
    <s v="Greg"/>
    <x v="41"/>
    <d v="1899-12-30T15:11:31"/>
    <d v="2021-02-11T15:11:31"/>
    <x v="6"/>
    <x v="6"/>
    <x v="0"/>
    <x v="0"/>
    <s v="Y"/>
    <n v="24"/>
    <x v="0"/>
    <d v="1899-12-30T00:03:51"/>
    <n v="4"/>
  </r>
  <r>
    <x v="2425"/>
    <s v="Joe"/>
    <x v="41"/>
    <d v="1899-12-30T15:11:31"/>
    <d v="2021-02-11T15:11:31"/>
    <x v="6"/>
    <x v="6"/>
    <x v="4"/>
    <x v="0"/>
    <s v="Y"/>
    <n v="108"/>
    <x v="0"/>
    <d v="1899-12-30T00:05:34"/>
    <n v="3"/>
  </r>
  <r>
    <x v="2426"/>
    <s v="Diane"/>
    <x v="41"/>
    <d v="1899-12-30T15:59:02"/>
    <d v="2021-02-11T15:59:02"/>
    <x v="6"/>
    <x v="6"/>
    <x v="2"/>
    <x v="0"/>
    <s v="Y"/>
    <n v="13"/>
    <x v="1"/>
    <d v="1899-12-30T00:02:04"/>
    <n v="3"/>
  </r>
  <r>
    <x v="2427"/>
    <s v="Becky"/>
    <x v="41"/>
    <d v="1899-12-30T15:59:02"/>
    <d v="2021-02-11T15:59:02"/>
    <x v="6"/>
    <x v="6"/>
    <x v="1"/>
    <x v="0"/>
    <s v="Y"/>
    <n v="119"/>
    <x v="0"/>
    <d v="1899-12-30T00:06:23"/>
    <n v="3"/>
  </r>
  <r>
    <x v="2428"/>
    <s v="Dan"/>
    <x v="41"/>
    <d v="1899-12-30T16:29:17"/>
    <d v="2021-02-11T16:29:17"/>
    <x v="6"/>
    <x v="8"/>
    <x v="2"/>
    <x v="0"/>
    <s v="Y"/>
    <n v="80"/>
    <x v="0"/>
    <d v="1899-12-30T00:05:32"/>
    <n v="2"/>
  </r>
  <r>
    <x v="2429"/>
    <s v="Joe"/>
    <x v="41"/>
    <d v="1899-12-30T16:29:17"/>
    <d v="2021-02-11T16:29:17"/>
    <x v="6"/>
    <x v="8"/>
    <x v="0"/>
    <x v="0"/>
    <s v="Y"/>
    <n v="99"/>
    <x v="0"/>
    <d v="1899-12-30T00:01:52"/>
    <n v="4"/>
  </r>
  <r>
    <x v="2430"/>
    <s v="Martha"/>
    <x v="41"/>
    <d v="1899-12-30T16:50:53"/>
    <d v="2021-02-11T16:50:53"/>
    <x v="6"/>
    <x v="8"/>
    <x v="4"/>
    <x v="0"/>
    <s v="Y"/>
    <n v="60"/>
    <x v="0"/>
    <d v="1899-12-30T00:05:53"/>
    <n v="4"/>
  </r>
  <r>
    <x v="2431"/>
    <s v="Greg"/>
    <x v="41"/>
    <d v="1899-12-30T16:50:53"/>
    <d v="2021-02-11T16:50:53"/>
    <x v="6"/>
    <x v="8"/>
    <x v="3"/>
    <x v="0"/>
    <s v="Y"/>
    <n v="121"/>
    <x v="0"/>
    <d v="1899-12-30T00:04:52"/>
    <n v="4"/>
  </r>
  <r>
    <x v="2432"/>
    <s v="Diane"/>
    <x v="41"/>
    <d v="1899-12-30T17:02:24"/>
    <d v="2021-02-11T17:02:24"/>
    <x v="6"/>
    <x v="7"/>
    <x v="1"/>
    <x v="1"/>
    <s v="N"/>
    <m/>
    <x v="0"/>
    <m/>
    <m/>
  </r>
  <r>
    <x v="2433"/>
    <s v="Becky"/>
    <x v="41"/>
    <d v="1899-12-30T17:02:24"/>
    <d v="2021-02-11T17:02:24"/>
    <x v="6"/>
    <x v="7"/>
    <x v="0"/>
    <x v="0"/>
    <s v="Y"/>
    <n v="91"/>
    <x v="0"/>
    <d v="1899-12-30T00:06:08"/>
    <n v="2"/>
  </r>
  <r>
    <x v="2434"/>
    <s v="Greg"/>
    <x v="41"/>
    <d v="1899-12-30T17:24:00"/>
    <d v="2021-02-11T17:24:00"/>
    <x v="6"/>
    <x v="7"/>
    <x v="2"/>
    <x v="0"/>
    <s v="Y"/>
    <n v="91"/>
    <x v="0"/>
    <d v="1899-12-30T00:01:45"/>
    <n v="2"/>
  </r>
  <r>
    <x v="2435"/>
    <s v="Diane"/>
    <x v="41"/>
    <d v="1899-12-30T17:24:00"/>
    <d v="2021-02-11T17:24:00"/>
    <x v="6"/>
    <x v="7"/>
    <x v="3"/>
    <x v="0"/>
    <s v="Y"/>
    <n v="99"/>
    <x v="0"/>
    <d v="1899-12-30T00:01:05"/>
    <n v="3"/>
  </r>
  <r>
    <x v="2436"/>
    <s v="Martha"/>
    <x v="42"/>
    <d v="1899-12-30T09:12:58"/>
    <d v="2021-02-12T09:12:58"/>
    <x v="0"/>
    <x v="0"/>
    <x v="0"/>
    <x v="1"/>
    <s v="N"/>
    <m/>
    <x v="0"/>
    <m/>
    <m/>
  </r>
  <r>
    <x v="2437"/>
    <s v="Joe"/>
    <x v="42"/>
    <d v="1899-12-30T09:12:58"/>
    <d v="2021-02-12T09:12:58"/>
    <x v="0"/>
    <x v="0"/>
    <x v="2"/>
    <x v="1"/>
    <s v="N"/>
    <m/>
    <x v="0"/>
    <m/>
    <m/>
  </r>
  <r>
    <x v="2438"/>
    <s v="Martha"/>
    <x v="42"/>
    <d v="1899-12-30T10:00:29"/>
    <d v="2021-02-12T10:00:29"/>
    <x v="0"/>
    <x v="1"/>
    <x v="1"/>
    <x v="0"/>
    <s v="Y"/>
    <n v="101"/>
    <x v="0"/>
    <d v="1899-12-30T00:05:16"/>
    <n v="3"/>
  </r>
  <r>
    <x v="2439"/>
    <s v="Diane"/>
    <x v="42"/>
    <d v="1899-12-30T10:00:29"/>
    <d v="2021-02-12T10:00:29"/>
    <x v="0"/>
    <x v="1"/>
    <x v="1"/>
    <x v="0"/>
    <s v="Y"/>
    <n v="61"/>
    <x v="0"/>
    <d v="1899-12-30T00:04:25"/>
    <n v="1"/>
  </r>
  <r>
    <x v="2440"/>
    <s v="Becky"/>
    <x v="42"/>
    <d v="1899-12-30T10:13:26"/>
    <d v="2021-02-12T10:13:26"/>
    <x v="0"/>
    <x v="1"/>
    <x v="4"/>
    <x v="0"/>
    <s v="Y"/>
    <n v="35"/>
    <x v="0"/>
    <d v="1899-12-30T00:02:31"/>
    <n v="4"/>
  </r>
  <r>
    <x v="2441"/>
    <s v="Joe"/>
    <x v="42"/>
    <d v="1899-12-30T10:13:26"/>
    <d v="2021-02-12T10:13:26"/>
    <x v="0"/>
    <x v="1"/>
    <x v="0"/>
    <x v="0"/>
    <s v="N"/>
    <n v="55"/>
    <x v="0"/>
    <d v="1899-12-30T00:04:14"/>
    <n v="1"/>
  </r>
  <r>
    <x v="2442"/>
    <s v="Martha"/>
    <x v="42"/>
    <d v="1899-12-30T10:16:19"/>
    <d v="2021-02-12T10:16:19"/>
    <x v="0"/>
    <x v="1"/>
    <x v="3"/>
    <x v="1"/>
    <s v="N"/>
    <m/>
    <x v="0"/>
    <m/>
    <m/>
  </r>
  <r>
    <x v="2443"/>
    <s v="Jim"/>
    <x v="42"/>
    <d v="1899-12-30T10:16:19"/>
    <d v="2021-02-12T10:16:19"/>
    <x v="0"/>
    <x v="1"/>
    <x v="1"/>
    <x v="1"/>
    <s v="N"/>
    <m/>
    <x v="0"/>
    <m/>
    <m/>
  </r>
  <r>
    <x v="2444"/>
    <s v="Becky"/>
    <x v="42"/>
    <d v="1899-12-30T10:24:58"/>
    <d v="2021-02-12T10:24:58"/>
    <x v="0"/>
    <x v="1"/>
    <x v="3"/>
    <x v="0"/>
    <s v="Y"/>
    <n v="107"/>
    <x v="0"/>
    <d v="1899-12-30T00:03:50"/>
    <n v="5"/>
  </r>
  <r>
    <x v="2445"/>
    <s v="Becky"/>
    <x v="42"/>
    <d v="1899-12-30T10:24:58"/>
    <d v="2021-02-12T10:24:58"/>
    <x v="0"/>
    <x v="1"/>
    <x v="4"/>
    <x v="0"/>
    <s v="Y"/>
    <n v="21"/>
    <x v="0"/>
    <d v="1899-12-30T00:07:00"/>
    <n v="5"/>
  </r>
  <r>
    <x v="2446"/>
    <s v="Joe"/>
    <x v="42"/>
    <d v="1899-12-30T10:26:24"/>
    <d v="2021-02-12T10:26:24"/>
    <x v="0"/>
    <x v="1"/>
    <x v="0"/>
    <x v="0"/>
    <s v="Y"/>
    <n v="79"/>
    <x v="0"/>
    <d v="1899-12-30T00:03:31"/>
    <n v="4"/>
  </r>
  <r>
    <x v="2447"/>
    <s v="Diane"/>
    <x v="42"/>
    <d v="1899-12-30T10:26:24"/>
    <d v="2021-02-12T10:26:24"/>
    <x v="0"/>
    <x v="1"/>
    <x v="2"/>
    <x v="0"/>
    <s v="Y"/>
    <n v="67"/>
    <x v="0"/>
    <d v="1899-12-30T00:02:17"/>
    <n v="3"/>
  </r>
  <r>
    <x v="2448"/>
    <s v="Becky"/>
    <x v="42"/>
    <d v="1899-12-30T10:32:10"/>
    <d v="2021-02-12T10:32:10"/>
    <x v="0"/>
    <x v="1"/>
    <x v="1"/>
    <x v="0"/>
    <s v="Y"/>
    <n v="32"/>
    <x v="0"/>
    <d v="1899-12-30T00:01:52"/>
    <n v="3"/>
  </r>
  <r>
    <x v="2449"/>
    <s v="Becky"/>
    <x v="42"/>
    <d v="1899-12-30T10:32:10"/>
    <d v="2021-02-12T10:32:10"/>
    <x v="0"/>
    <x v="1"/>
    <x v="0"/>
    <x v="1"/>
    <s v="N"/>
    <m/>
    <x v="0"/>
    <m/>
    <m/>
  </r>
  <r>
    <x v="2450"/>
    <s v="Martha"/>
    <x v="42"/>
    <d v="1899-12-30T10:46:34"/>
    <d v="2021-02-12T10:46:34"/>
    <x v="0"/>
    <x v="1"/>
    <x v="0"/>
    <x v="0"/>
    <s v="Y"/>
    <n v="79"/>
    <x v="0"/>
    <d v="1899-12-30T00:04:45"/>
    <n v="4"/>
  </r>
  <r>
    <x v="2451"/>
    <s v="Jim"/>
    <x v="42"/>
    <d v="1899-12-30T10:46:34"/>
    <d v="2021-02-12T10:46:34"/>
    <x v="0"/>
    <x v="1"/>
    <x v="3"/>
    <x v="0"/>
    <s v="Y"/>
    <n v="117"/>
    <x v="0"/>
    <d v="1899-12-30T00:03:59"/>
    <n v="3"/>
  </r>
  <r>
    <x v="2452"/>
    <s v="Dan"/>
    <x v="42"/>
    <d v="1899-12-30T10:53:46"/>
    <d v="2021-02-12T10:53:46"/>
    <x v="0"/>
    <x v="1"/>
    <x v="1"/>
    <x v="0"/>
    <s v="Y"/>
    <n v="110"/>
    <x v="0"/>
    <d v="1899-12-30T00:04:31"/>
    <n v="4"/>
  </r>
  <r>
    <x v="2453"/>
    <s v="Dan"/>
    <x v="42"/>
    <d v="1899-12-30T10:53:46"/>
    <d v="2021-02-12T10:53:46"/>
    <x v="0"/>
    <x v="1"/>
    <x v="3"/>
    <x v="0"/>
    <s v="Y"/>
    <n v="31"/>
    <x v="0"/>
    <d v="1899-12-30T00:00:32"/>
    <n v="4"/>
  </r>
  <r>
    <x v="2454"/>
    <s v="Dan"/>
    <x v="42"/>
    <d v="1899-12-30T11:08:10"/>
    <d v="2021-02-12T11:08:10"/>
    <x v="0"/>
    <x v="2"/>
    <x v="0"/>
    <x v="1"/>
    <s v="N"/>
    <m/>
    <x v="0"/>
    <m/>
    <m/>
  </r>
  <r>
    <x v="2455"/>
    <s v="Greg"/>
    <x v="42"/>
    <d v="1899-12-30T11:08:10"/>
    <d v="2021-02-12T11:08:10"/>
    <x v="0"/>
    <x v="2"/>
    <x v="4"/>
    <x v="0"/>
    <s v="Y"/>
    <n v="87"/>
    <x v="0"/>
    <d v="1899-12-30T00:06:30"/>
    <n v="4"/>
  </r>
  <r>
    <x v="2456"/>
    <s v="Becky"/>
    <x v="42"/>
    <d v="1899-12-30T11:26:53"/>
    <d v="2021-02-12T11:26:53"/>
    <x v="0"/>
    <x v="2"/>
    <x v="1"/>
    <x v="0"/>
    <s v="Y"/>
    <n v="99"/>
    <x v="0"/>
    <d v="1899-12-30T00:06:55"/>
    <n v="5"/>
  </r>
  <r>
    <x v="2457"/>
    <s v="Martha"/>
    <x v="42"/>
    <d v="1899-12-30T11:26:53"/>
    <d v="2021-02-12T11:26:53"/>
    <x v="0"/>
    <x v="2"/>
    <x v="4"/>
    <x v="0"/>
    <s v="Y"/>
    <n v="83"/>
    <x v="0"/>
    <d v="1899-12-30T00:03:43"/>
    <n v="4"/>
  </r>
  <r>
    <x v="2458"/>
    <s v="Diane"/>
    <x v="42"/>
    <d v="1899-12-30T11:54:14"/>
    <d v="2021-02-12T11:54:14"/>
    <x v="0"/>
    <x v="2"/>
    <x v="3"/>
    <x v="0"/>
    <s v="Y"/>
    <n v="36"/>
    <x v="0"/>
    <d v="1899-12-30T00:06:13"/>
    <n v="3"/>
  </r>
  <r>
    <x v="2459"/>
    <s v="Dan"/>
    <x v="42"/>
    <d v="1899-12-30T11:54:14"/>
    <d v="2021-02-12T11:54:14"/>
    <x v="0"/>
    <x v="2"/>
    <x v="3"/>
    <x v="0"/>
    <s v="Y"/>
    <n v="67"/>
    <x v="0"/>
    <d v="1899-12-30T00:06:52"/>
    <n v="3"/>
  </r>
  <r>
    <x v="2460"/>
    <s v="Stewart"/>
    <x v="42"/>
    <d v="1899-12-30T12:14:24"/>
    <d v="2021-02-12T12:14:24"/>
    <x v="0"/>
    <x v="3"/>
    <x v="1"/>
    <x v="0"/>
    <s v="Y"/>
    <n v="91"/>
    <x v="0"/>
    <d v="1899-12-30T00:03:06"/>
    <n v="4"/>
  </r>
  <r>
    <x v="2461"/>
    <s v="Dan"/>
    <x v="42"/>
    <d v="1899-12-30T12:14:24"/>
    <d v="2021-02-12T12:14:24"/>
    <x v="0"/>
    <x v="3"/>
    <x v="1"/>
    <x v="1"/>
    <s v="N"/>
    <m/>
    <x v="0"/>
    <m/>
    <m/>
  </r>
  <r>
    <x v="2462"/>
    <s v="Greg"/>
    <x v="42"/>
    <d v="1899-12-30T12:24:29"/>
    <d v="2021-02-12T12:24:29"/>
    <x v="0"/>
    <x v="3"/>
    <x v="4"/>
    <x v="0"/>
    <s v="Y"/>
    <n v="29"/>
    <x v="0"/>
    <d v="1899-12-30T00:05:56"/>
    <n v="3"/>
  </r>
  <r>
    <x v="2463"/>
    <s v="Diane"/>
    <x v="42"/>
    <d v="1899-12-30T12:24:29"/>
    <d v="2021-02-12T12:24:29"/>
    <x v="0"/>
    <x v="3"/>
    <x v="3"/>
    <x v="0"/>
    <s v="Y"/>
    <n v="86"/>
    <x v="0"/>
    <d v="1899-12-30T00:04:12"/>
    <n v="1"/>
  </r>
  <r>
    <x v="2464"/>
    <s v="Jim"/>
    <x v="42"/>
    <d v="1899-12-30T12:50:24"/>
    <d v="2021-02-12T12:50:24"/>
    <x v="0"/>
    <x v="3"/>
    <x v="2"/>
    <x v="0"/>
    <s v="Y"/>
    <n v="58"/>
    <x v="0"/>
    <d v="1899-12-30T00:01:52"/>
    <n v="5"/>
  </r>
  <r>
    <x v="2465"/>
    <s v="Greg"/>
    <x v="42"/>
    <d v="1899-12-30T12:50:24"/>
    <d v="2021-02-12T12:50:24"/>
    <x v="0"/>
    <x v="3"/>
    <x v="2"/>
    <x v="0"/>
    <s v="Y"/>
    <n v="57"/>
    <x v="0"/>
    <d v="1899-12-30T00:00:46"/>
    <n v="1"/>
  </r>
  <r>
    <x v="2466"/>
    <s v="Jim"/>
    <x v="42"/>
    <d v="1899-12-30T13:07:41"/>
    <d v="2021-02-12T13:07:41"/>
    <x v="0"/>
    <x v="4"/>
    <x v="4"/>
    <x v="0"/>
    <s v="Y"/>
    <n v="70"/>
    <x v="0"/>
    <d v="1899-12-30T00:04:48"/>
    <n v="3"/>
  </r>
  <r>
    <x v="2467"/>
    <s v="Jim"/>
    <x v="42"/>
    <d v="1899-12-30T13:07:41"/>
    <d v="2021-02-12T13:07:41"/>
    <x v="0"/>
    <x v="4"/>
    <x v="3"/>
    <x v="1"/>
    <s v="N"/>
    <m/>
    <x v="0"/>
    <m/>
    <m/>
  </r>
  <r>
    <x v="2468"/>
    <s v="Joe"/>
    <x v="42"/>
    <d v="1899-12-30T13:24:58"/>
    <d v="2021-02-12T13:24:58"/>
    <x v="0"/>
    <x v="4"/>
    <x v="0"/>
    <x v="0"/>
    <s v="Y"/>
    <n v="77"/>
    <x v="0"/>
    <d v="1899-12-30T00:02:20"/>
    <n v="4"/>
  </r>
  <r>
    <x v="2469"/>
    <s v="Dan"/>
    <x v="42"/>
    <d v="1899-12-30T13:24:58"/>
    <d v="2021-02-12T13:24:58"/>
    <x v="0"/>
    <x v="4"/>
    <x v="0"/>
    <x v="0"/>
    <s v="Y"/>
    <n v="31"/>
    <x v="0"/>
    <d v="1899-12-30T00:05:16"/>
    <n v="5"/>
  </r>
  <r>
    <x v="2470"/>
    <s v="Diane"/>
    <x v="42"/>
    <d v="1899-12-30T13:29:17"/>
    <d v="2021-02-12T13:29:17"/>
    <x v="0"/>
    <x v="4"/>
    <x v="1"/>
    <x v="0"/>
    <s v="Y"/>
    <n v="43"/>
    <x v="0"/>
    <d v="1899-12-30T00:00:56"/>
    <n v="2"/>
  </r>
  <r>
    <x v="2471"/>
    <s v="Jim"/>
    <x v="42"/>
    <d v="1899-12-30T13:29:17"/>
    <d v="2021-02-12T13:29:17"/>
    <x v="0"/>
    <x v="4"/>
    <x v="1"/>
    <x v="0"/>
    <s v="Y"/>
    <n v="38"/>
    <x v="0"/>
    <d v="1899-12-30T00:05:06"/>
    <n v="4"/>
  </r>
  <r>
    <x v="2472"/>
    <s v="Diane"/>
    <x v="42"/>
    <d v="1899-12-30T15:53:17"/>
    <d v="2021-02-12T15:53:17"/>
    <x v="0"/>
    <x v="6"/>
    <x v="1"/>
    <x v="1"/>
    <s v="N"/>
    <m/>
    <x v="0"/>
    <m/>
    <m/>
  </r>
  <r>
    <x v="2473"/>
    <s v="Diane"/>
    <x v="42"/>
    <d v="1899-12-30T15:53:17"/>
    <d v="2021-02-12T15:53:17"/>
    <x v="0"/>
    <x v="6"/>
    <x v="0"/>
    <x v="0"/>
    <s v="N"/>
    <n v="83"/>
    <x v="0"/>
    <d v="1899-12-30T00:02:24"/>
    <n v="5"/>
  </r>
  <r>
    <x v="2474"/>
    <s v="Jim"/>
    <x v="42"/>
    <d v="1899-12-30T17:13:55"/>
    <d v="2021-02-12T17:13:55"/>
    <x v="0"/>
    <x v="7"/>
    <x v="3"/>
    <x v="0"/>
    <s v="Y"/>
    <n v="122"/>
    <x v="0"/>
    <d v="1899-12-30T00:04:31"/>
    <n v="5"/>
  </r>
  <r>
    <x v="2475"/>
    <s v="Dan"/>
    <x v="42"/>
    <d v="1899-12-30T17:13:55"/>
    <d v="2021-02-12T17:13:55"/>
    <x v="0"/>
    <x v="7"/>
    <x v="1"/>
    <x v="0"/>
    <s v="Y"/>
    <n v="42"/>
    <x v="0"/>
    <d v="1899-12-30T00:06:48"/>
    <n v="5"/>
  </r>
  <r>
    <x v="2476"/>
    <s v="Becky"/>
    <x v="42"/>
    <d v="1899-12-30T17:52:48"/>
    <d v="2021-02-12T17:52:48"/>
    <x v="0"/>
    <x v="7"/>
    <x v="4"/>
    <x v="0"/>
    <s v="Y"/>
    <n v="61"/>
    <x v="0"/>
    <d v="1899-12-30T00:01:11"/>
    <n v="4"/>
  </r>
  <r>
    <x v="2477"/>
    <s v="Jim"/>
    <x v="42"/>
    <d v="1899-12-30T17:52:48"/>
    <d v="2021-02-12T17:52:48"/>
    <x v="0"/>
    <x v="7"/>
    <x v="4"/>
    <x v="0"/>
    <s v="N"/>
    <n v="103"/>
    <x v="0"/>
    <d v="1899-12-30T00:03:57"/>
    <n v="3"/>
  </r>
  <r>
    <x v="2478"/>
    <s v="Becky"/>
    <x v="42"/>
    <d v="1899-12-30T17:52:48"/>
    <d v="2021-02-12T17:52:48"/>
    <x v="0"/>
    <x v="7"/>
    <x v="4"/>
    <x v="0"/>
    <s v="Y"/>
    <n v="110"/>
    <x v="0"/>
    <d v="1899-12-30T00:05:26"/>
    <n v="4"/>
  </r>
  <r>
    <x v="2479"/>
    <s v="Diane"/>
    <x v="42"/>
    <d v="1899-12-30T17:52:48"/>
    <d v="2021-02-12T17:52:48"/>
    <x v="0"/>
    <x v="7"/>
    <x v="4"/>
    <x v="1"/>
    <s v="N"/>
    <m/>
    <x v="0"/>
    <m/>
    <m/>
  </r>
  <r>
    <x v="2480"/>
    <s v="Martha"/>
    <x v="43"/>
    <d v="1899-12-30T09:14:24"/>
    <d v="2021-02-13T09:14:24"/>
    <x v="1"/>
    <x v="0"/>
    <x v="2"/>
    <x v="1"/>
    <s v="N"/>
    <m/>
    <x v="0"/>
    <m/>
    <m/>
  </r>
  <r>
    <x v="2481"/>
    <s v="Dan"/>
    <x v="43"/>
    <d v="1899-12-30T09:14:24"/>
    <d v="2021-02-13T09:14:24"/>
    <x v="1"/>
    <x v="0"/>
    <x v="1"/>
    <x v="1"/>
    <s v="N"/>
    <m/>
    <x v="0"/>
    <m/>
    <m/>
  </r>
  <r>
    <x v="2482"/>
    <s v="Martha"/>
    <x v="43"/>
    <d v="1899-12-30T09:33:07"/>
    <d v="2021-02-13T09:33:07"/>
    <x v="1"/>
    <x v="0"/>
    <x v="1"/>
    <x v="0"/>
    <s v="Y"/>
    <n v="88"/>
    <x v="0"/>
    <d v="1899-12-30T00:02:15"/>
    <n v="2"/>
  </r>
  <r>
    <x v="2483"/>
    <s v="Jim"/>
    <x v="43"/>
    <d v="1899-12-30T09:33:07"/>
    <d v="2021-02-13T09:33:07"/>
    <x v="1"/>
    <x v="0"/>
    <x v="4"/>
    <x v="1"/>
    <s v="N"/>
    <m/>
    <x v="0"/>
    <m/>
    <m/>
  </r>
  <r>
    <x v="2484"/>
    <s v="Stewart"/>
    <x v="43"/>
    <d v="1899-12-30T09:36:00"/>
    <d v="2021-02-13T09:36:00"/>
    <x v="1"/>
    <x v="0"/>
    <x v="1"/>
    <x v="0"/>
    <s v="Y"/>
    <n v="57"/>
    <x v="0"/>
    <d v="1899-12-30T00:02:24"/>
    <n v="5"/>
  </r>
  <r>
    <x v="2485"/>
    <s v="Jim"/>
    <x v="43"/>
    <d v="1899-12-30T09:36:00"/>
    <d v="2021-02-13T09:36:00"/>
    <x v="1"/>
    <x v="0"/>
    <x v="2"/>
    <x v="1"/>
    <s v="N"/>
    <m/>
    <x v="0"/>
    <m/>
    <m/>
  </r>
  <r>
    <x v="2486"/>
    <s v="Becky"/>
    <x v="43"/>
    <d v="1899-12-30T09:41:46"/>
    <d v="2021-02-13T09:41:46"/>
    <x v="1"/>
    <x v="0"/>
    <x v="0"/>
    <x v="1"/>
    <s v="N"/>
    <m/>
    <x v="0"/>
    <m/>
    <m/>
  </r>
  <r>
    <x v="2487"/>
    <s v="Dan"/>
    <x v="43"/>
    <d v="1899-12-30T09:41:46"/>
    <d v="2021-02-13T09:41:46"/>
    <x v="1"/>
    <x v="0"/>
    <x v="0"/>
    <x v="0"/>
    <s v="Y"/>
    <n v="37"/>
    <x v="0"/>
    <d v="1899-12-30T00:06:05"/>
    <n v="3"/>
  </r>
  <r>
    <x v="2488"/>
    <s v="Greg"/>
    <x v="43"/>
    <d v="1899-12-30T09:54:43"/>
    <d v="2021-02-13T09:54:43"/>
    <x v="1"/>
    <x v="0"/>
    <x v="2"/>
    <x v="0"/>
    <s v="Y"/>
    <n v="62"/>
    <x v="0"/>
    <d v="1899-12-30T00:01:14"/>
    <n v="2"/>
  </r>
  <r>
    <x v="2489"/>
    <s v="Greg"/>
    <x v="43"/>
    <d v="1899-12-30T09:54:43"/>
    <d v="2021-02-13T09:54:43"/>
    <x v="1"/>
    <x v="0"/>
    <x v="4"/>
    <x v="0"/>
    <s v="Y"/>
    <n v="48"/>
    <x v="0"/>
    <d v="1899-12-30T00:01:27"/>
    <n v="4"/>
  </r>
  <r>
    <x v="2490"/>
    <s v="Dan"/>
    <x v="43"/>
    <d v="1899-12-30T10:10:34"/>
    <d v="2021-02-13T10:10:34"/>
    <x v="1"/>
    <x v="1"/>
    <x v="1"/>
    <x v="0"/>
    <s v="Y"/>
    <n v="123"/>
    <x v="0"/>
    <d v="1899-12-30T00:03:12"/>
    <n v="3"/>
  </r>
  <r>
    <x v="2491"/>
    <s v="Greg"/>
    <x v="43"/>
    <d v="1899-12-30T10:10:34"/>
    <d v="2021-02-13T10:10:34"/>
    <x v="1"/>
    <x v="1"/>
    <x v="0"/>
    <x v="0"/>
    <s v="Y"/>
    <n v="83"/>
    <x v="0"/>
    <d v="1899-12-30T00:00:50"/>
    <n v="5"/>
  </r>
  <r>
    <x v="2492"/>
    <s v="Joe"/>
    <x v="43"/>
    <d v="1899-12-30T10:33:36"/>
    <d v="2021-02-13T10:33:36"/>
    <x v="1"/>
    <x v="1"/>
    <x v="3"/>
    <x v="0"/>
    <s v="Y"/>
    <n v="23"/>
    <x v="0"/>
    <d v="1899-12-30T00:02:51"/>
    <n v="5"/>
  </r>
  <r>
    <x v="2493"/>
    <s v="Dan"/>
    <x v="43"/>
    <d v="1899-12-30T10:33:36"/>
    <d v="2021-02-13T10:33:36"/>
    <x v="1"/>
    <x v="1"/>
    <x v="2"/>
    <x v="1"/>
    <s v="N"/>
    <m/>
    <x v="0"/>
    <m/>
    <m/>
  </r>
  <r>
    <x v="2494"/>
    <s v="Greg"/>
    <x v="43"/>
    <d v="1899-12-30T10:45:07"/>
    <d v="2021-02-13T10:45:07"/>
    <x v="1"/>
    <x v="1"/>
    <x v="4"/>
    <x v="0"/>
    <s v="N"/>
    <n v="27"/>
    <x v="0"/>
    <d v="1899-12-30T00:05:11"/>
    <n v="3"/>
  </r>
  <r>
    <x v="2495"/>
    <s v="Joe"/>
    <x v="43"/>
    <d v="1899-12-30T10:45:07"/>
    <d v="2021-02-13T10:45:07"/>
    <x v="1"/>
    <x v="1"/>
    <x v="3"/>
    <x v="0"/>
    <s v="Y"/>
    <n v="78"/>
    <x v="0"/>
    <d v="1899-12-30T00:06:23"/>
    <n v="5"/>
  </r>
  <r>
    <x v="2496"/>
    <s v="Becky"/>
    <x v="43"/>
    <d v="1899-12-30T11:03:50"/>
    <d v="2021-02-13T11:03:50"/>
    <x v="1"/>
    <x v="2"/>
    <x v="4"/>
    <x v="0"/>
    <s v="Y"/>
    <n v="82"/>
    <x v="0"/>
    <d v="1899-12-30T00:05:12"/>
    <n v="3"/>
  </r>
  <r>
    <x v="2497"/>
    <s v="Jim"/>
    <x v="43"/>
    <d v="1899-12-30T11:03:50"/>
    <d v="2021-02-13T11:03:50"/>
    <x v="1"/>
    <x v="2"/>
    <x v="4"/>
    <x v="0"/>
    <s v="Y"/>
    <n v="50"/>
    <x v="0"/>
    <d v="1899-12-30T00:05:27"/>
    <n v="4"/>
  </r>
  <r>
    <x v="2498"/>
    <s v="Diane"/>
    <x v="43"/>
    <d v="1899-12-30T11:32:38"/>
    <d v="2021-02-13T11:32:38"/>
    <x v="1"/>
    <x v="2"/>
    <x v="3"/>
    <x v="0"/>
    <s v="Y"/>
    <n v="90"/>
    <x v="0"/>
    <d v="1899-12-30T00:01:08"/>
    <n v="4"/>
  </r>
  <r>
    <x v="2499"/>
    <s v="Joe"/>
    <x v="43"/>
    <d v="1899-12-30T11:32:38"/>
    <d v="2021-02-13T11:32:38"/>
    <x v="1"/>
    <x v="2"/>
    <x v="3"/>
    <x v="0"/>
    <s v="Y"/>
    <n v="89"/>
    <x v="0"/>
    <d v="1899-12-30T00:05:13"/>
    <n v="3"/>
  </r>
  <r>
    <x v="2500"/>
    <s v="Martha"/>
    <x v="43"/>
    <d v="1899-12-30T12:12:58"/>
    <d v="2021-02-13T12:12:58"/>
    <x v="1"/>
    <x v="3"/>
    <x v="2"/>
    <x v="0"/>
    <s v="Y"/>
    <n v="79"/>
    <x v="0"/>
    <d v="1899-12-30T00:06:47"/>
    <n v="1"/>
  </r>
  <r>
    <x v="2501"/>
    <s v="Greg"/>
    <x v="43"/>
    <d v="1899-12-30T12:12:58"/>
    <d v="2021-02-13T12:12:58"/>
    <x v="1"/>
    <x v="3"/>
    <x v="0"/>
    <x v="0"/>
    <s v="Y"/>
    <n v="123"/>
    <x v="0"/>
    <d v="1899-12-30T00:06:42"/>
    <n v="2"/>
  </r>
  <r>
    <x v="2502"/>
    <s v="Dan"/>
    <x v="43"/>
    <d v="1899-12-30T12:25:55"/>
    <d v="2021-02-13T12:25:55"/>
    <x v="1"/>
    <x v="3"/>
    <x v="3"/>
    <x v="0"/>
    <s v="Y"/>
    <n v="97"/>
    <x v="0"/>
    <d v="1899-12-30T00:02:32"/>
    <n v="1"/>
  </r>
  <r>
    <x v="2503"/>
    <s v="Dan"/>
    <x v="43"/>
    <d v="1899-12-30T12:25:55"/>
    <d v="2021-02-13T12:25:55"/>
    <x v="1"/>
    <x v="3"/>
    <x v="1"/>
    <x v="0"/>
    <s v="Y"/>
    <n v="74"/>
    <x v="0"/>
    <d v="1899-12-30T00:05:57"/>
    <n v="3"/>
  </r>
  <r>
    <x v="2504"/>
    <s v="Jim"/>
    <x v="43"/>
    <d v="1899-12-30T12:27:22"/>
    <d v="2021-02-13T12:27:22"/>
    <x v="1"/>
    <x v="3"/>
    <x v="3"/>
    <x v="0"/>
    <s v="Y"/>
    <n v="68"/>
    <x v="0"/>
    <d v="1899-12-30T00:03:10"/>
    <n v="5"/>
  </r>
  <r>
    <x v="2505"/>
    <s v="Joe"/>
    <x v="43"/>
    <d v="1899-12-30T12:27:22"/>
    <d v="2021-02-13T12:27:22"/>
    <x v="1"/>
    <x v="3"/>
    <x v="4"/>
    <x v="0"/>
    <s v="Y"/>
    <n v="100"/>
    <x v="0"/>
    <d v="1899-12-30T00:04:26"/>
    <n v="5"/>
  </r>
  <r>
    <x v="2506"/>
    <s v="Jim"/>
    <x v="43"/>
    <d v="1899-12-30T12:28:48"/>
    <d v="2021-02-13T12:28:48"/>
    <x v="1"/>
    <x v="3"/>
    <x v="3"/>
    <x v="1"/>
    <s v="N"/>
    <m/>
    <x v="0"/>
    <m/>
    <m/>
  </r>
  <r>
    <x v="2507"/>
    <s v="Martha"/>
    <x v="43"/>
    <d v="1899-12-30T12:28:48"/>
    <d v="2021-02-13T12:28:48"/>
    <x v="1"/>
    <x v="3"/>
    <x v="0"/>
    <x v="0"/>
    <s v="Y"/>
    <n v="34"/>
    <x v="0"/>
    <d v="1899-12-30T00:04:29"/>
    <n v="4"/>
  </r>
  <r>
    <x v="2508"/>
    <s v="Dan"/>
    <x v="43"/>
    <d v="1899-12-30T12:47:31"/>
    <d v="2021-02-13T12:47:31"/>
    <x v="1"/>
    <x v="3"/>
    <x v="1"/>
    <x v="1"/>
    <s v="N"/>
    <m/>
    <x v="0"/>
    <m/>
    <m/>
  </r>
  <r>
    <x v="2509"/>
    <s v="Greg"/>
    <x v="43"/>
    <d v="1899-12-30T12:47:31"/>
    <d v="2021-02-13T12:47:31"/>
    <x v="1"/>
    <x v="3"/>
    <x v="0"/>
    <x v="0"/>
    <s v="Y"/>
    <n v="33"/>
    <x v="0"/>
    <d v="1899-12-30T00:03:46"/>
    <n v="1"/>
  </r>
  <r>
    <x v="2510"/>
    <s v="Greg"/>
    <x v="43"/>
    <d v="1899-12-30T12:53:17"/>
    <d v="2021-02-13T12:53:17"/>
    <x v="1"/>
    <x v="3"/>
    <x v="0"/>
    <x v="0"/>
    <s v="Y"/>
    <n v="63"/>
    <x v="0"/>
    <d v="1899-12-30T00:05:13"/>
    <n v="5"/>
  </r>
  <r>
    <x v="2511"/>
    <s v="Greg"/>
    <x v="43"/>
    <d v="1899-12-30T12:53:17"/>
    <d v="2021-02-13T12:53:17"/>
    <x v="1"/>
    <x v="3"/>
    <x v="1"/>
    <x v="0"/>
    <s v="Y"/>
    <n v="54"/>
    <x v="0"/>
    <d v="1899-12-30T00:02:58"/>
    <n v="1"/>
  </r>
  <r>
    <x v="2512"/>
    <s v="Greg"/>
    <x v="43"/>
    <d v="1899-12-30T13:13:26"/>
    <d v="2021-02-13T13:13:26"/>
    <x v="1"/>
    <x v="4"/>
    <x v="3"/>
    <x v="1"/>
    <s v="N"/>
    <m/>
    <x v="0"/>
    <m/>
    <m/>
  </r>
  <r>
    <x v="2513"/>
    <s v="Greg"/>
    <x v="43"/>
    <d v="1899-12-30T13:13:26"/>
    <d v="2021-02-13T13:13:26"/>
    <x v="1"/>
    <x v="4"/>
    <x v="1"/>
    <x v="0"/>
    <s v="Y"/>
    <n v="91"/>
    <x v="0"/>
    <d v="1899-12-30T00:03:42"/>
    <n v="2"/>
  </r>
  <r>
    <x v="2514"/>
    <s v="Becky"/>
    <x v="43"/>
    <d v="1899-12-30T13:16:19"/>
    <d v="2021-02-13T13:16:19"/>
    <x v="1"/>
    <x v="4"/>
    <x v="2"/>
    <x v="0"/>
    <s v="Y"/>
    <n v="89"/>
    <x v="0"/>
    <d v="1899-12-30T00:04:15"/>
    <n v="4"/>
  </r>
  <r>
    <x v="2515"/>
    <s v="Joe"/>
    <x v="43"/>
    <d v="1899-12-30T13:16:19"/>
    <d v="2021-02-13T13:16:19"/>
    <x v="1"/>
    <x v="4"/>
    <x v="2"/>
    <x v="0"/>
    <s v="Y"/>
    <n v="75"/>
    <x v="0"/>
    <d v="1899-12-30T00:04:39"/>
    <n v="5"/>
  </r>
  <r>
    <x v="2516"/>
    <s v="Greg"/>
    <x v="43"/>
    <d v="1899-12-30T13:30:43"/>
    <d v="2021-02-13T13:30:43"/>
    <x v="1"/>
    <x v="4"/>
    <x v="4"/>
    <x v="0"/>
    <s v="Y"/>
    <n v="54"/>
    <x v="0"/>
    <d v="1899-12-30T00:00:35"/>
    <n v="4"/>
  </r>
  <r>
    <x v="2517"/>
    <s v="Stewart"/>
    <x v="43"/>
    <d v="1899-12-30T13:30:43"/>
    <d v="2021-02-13T13:30:43"/>
    <x v="1"/>
    <x v="4"/>
    <x v="2"/>
    <x v="0"/>
    <s v="Y"/>
    <n v="43"/>
    <x v="0"/>
    <d v="1899-12-30T00:03:08"/>
    <n v="3"/>
  </r>
  <r>
    <x v="2518"/>
    <s v="Stewart"/>
    <x v="43"/>
    <d v="1899-12-30T14:28:19"/>
    <d v="2021-02-13T14:28:19"/>
    <x v="1"/>
    <x v="5"/>
    <x v="3"/>
    <x v="0"/>
    <s v="Y"/>
    <n v="45"/>
    <x v="0"/>
    <d v="1899-12-30T00:06:53"/>
    <n v="4"/>
  </r>
  <r>
    <x v="2519"/>
    <s v="Martha"/>
    <x v="43"/>
    <d v="1899-12-30T14:28:19"/>
    <d v="2021-02-13T14:28:19"/>
    <x v="1"/>
    <x v="5"/>
    <x v="2"/>
    <x v="0"/>
    <s v="Y"/>
    <n v="79"/>
    <x v="0"/>
    <d v="1899-12-30T00:00:31"/>
    <n v="5"/>
  </r>
  <r>
    <x v="2520"/>
    <s v="Joe"/>
    <x v="43"/>
    <d v="1899-12-30T14:39:50"/>
    <d v="2021-02-13T14:39:50"/>
    <x v="1"/>
    <x v="5"/>
    <x v="1"/>
    <x v="0"/>
    <s v="Y"/>
    <n v="27"/>
    <x v="0"/>
    <d v="1899-12-30T00:03:14"/>
    <n v="3"/>
  </r>
  <r>
    <x v="2521"/>
    <s v="Diane"/>
    <x v="43"/>
    <d v="1899-12-30T14:39:50"/>
    <d v="2021-02-13T14:39:50"/>
    <x v="1"/>
    <x v="5"/>
    <x v="2"/>
    <x v="0"/>
    <s v="Y"/>
    <n v="59"/>
    <x v="0"/>
    <d v="1899-12-30T00:05:33"/>
    <n v="3"/>
  </r>
  <r>
    <x v="2522"/>
    <s v="Stewart"/>
    <x v="43"/>
    <d v="1899-12-30T15:14:24"/>
    <d v="2021-02-13T15:14:24"/>
    <x v="1"/>
    <x v="6"/>
    <x v="0"/>
    <x v="0"/>
    <s v="N"/>
    <n v="70"/>
    <x v="0"/>
    <d v="1899-12-30T00:00:52"/>
    <n v="4"/>
  </r>
  <r>
    <x v="2523"/>
    <s v="Dan"/>
    <x v="43"/>
    <d v="1899-12-30T15:14:24"/>
    <d v="2021-02-13T15:14:24"/>
    <x v="1"/>
    <x v="6"/>
    <x v="2"/>
    <x v="0"/>
    <s v="N"/>
    <n v="92"/>
    <x v="0"/>
    <d v="1899-12-30T00:01:26"/>
    <n v="5"/>
  </r>
  <r>
    <x v="2524"/>
    <s v="Greg"/>
    <x v="43"/>
    <d v="1899-12-30T15:33:07"/>
    <d v="2021-02-13T15:33:07"/>
    <x v="1"/>
    <x v="6"/>
    <x v="1"/>
    <x v="0"/>
    <s v="Y"/>
    <n v="96"/>
    <x v="0"/>
    <d v="1899-12-30T00:04:35"/>
    <n v="2"/>
  </r>
  <r>
    <x v="2525"/>
    <s v="Becky"/>
    <x v="43"/>
    <d v="1899-12-30T15:33:07"/>
    <d v="2021-02-13T15:33:07"/>
    <x v="1"/>
    <x v="6"/>
    <x v="4"/>
    <x v="0"/>
    <s v="Y"/>
    <n v="79"/>
    <x v="0"/>
    <d v="1899-12-30T00:05:10"/>
    <n v="5"/>
  </r>
  <r>
    <x v="2526"/>
    <s v="Greg"/>
    <x v="43"/>
    <d v="1899-12-30T15:57:36"/>
    <d v="2021-02-13T15:57:36"/>
    <x v="1"/>
    <x v="6"/>
    <x v="3"/>
    <x v="0"/>
    <s v="Y"/>
    <n v="115"/>
    <x v="0"/>
    <d v="1899-12-30T00:01:05"/>
    <n v="5"/>
  </r>
  <r>
    <x v="2527"/>
    <s v="Jim"/>
    <x v="43"/>
    <d v="1899-12-30T15:57:36"/>
    <d v="2021-02-13T15:57:36"/>
    <x v="1"/>
    <x v="6"/>
    <x v="2"/>
    <x v="0"/>
    <s v="Y"/>
    <n v="71"/>
    <x v="0"/>
    <d v="1899-12-30T00:05:46"/>
    <n v="3"/>
  </r>
  <r>
    <x v="2528"/>
    <s v="Martha"/>
    <x v="43"/>
    <d v="1899-12-30T16:16:19"/>
    <d v="2021-02-13T16:16:19"/>
    <x v="1"/>
    <x v="8"/>
    <x v="4"/>
    <x v="1"/>
    <s v="N"/>
    <m/>
    <x v="0"/>
    <m/>
    <m/>
  </r>
  <r>
    <x v="2529"/>
    <s v="Stewart"/>
    <x v="43"/>
    <d v="1899-12-30T16:16:19"/>
    <d v="2021-02-13T16:16:19"/>
    <x v="1"/>
    <x v="8"/>
    <x v="2"/>
    <x v="0"/>
    <s v="N"/>
    <n v="124"/>
    <x v="0"/>
    <d v="1899-12-30T00:05:41"/>
    <n v="4"/>
  </r>
  <r>
    <x v="2530"/>
    <s v="Diane"/>
    <x v="43"/>
    <d v="1899-12-30T16:50:53"/>
    <d v="2021-02-13T16:50:53"/>
    <x v="1"/>
    <x v="8"/>
    <x v="2"/>
    <x v="1"/>
    <s v="N"/>
    <m/>
    <x v="0"/>
    <m/>
    <m/>
  </r>
  <r>
    <x v="2531"/>
    <s v="Joe"/>
    <x v="43"/>
    <d v="1899-12-30T16:50:53"/>
    <d v="2021-02-13T16:50:53"/>
    <x v="1"/>
    <x v="8"/>
    <x v="0"/>
    <x v="0"/>
    <s v="Y"/>
    <n v="35"/>
    <x v="0"/>
    <d v="1899-12-30T00:00:31"/>
    <n v="5"/>
  </r>
  <r>
    <x v="2532"/>
    <s v="Dan"/>
    <x v="43"/>
    <d v="1899-12-30T17:18:14"/>
    <d v="2021-02-13T17:18:14"/>
    <x v="1"/>
    <x v="7"/>
    <x v="0"/>
    <x v="0"/>
    <s v="Y"/>
    <n v="106"/>
    <x v="0"/>
    <d v="1899-12-30T00:03:22"/>
    <n v="3"/>
  </r>
  <r>
    <x v="2533"/>
    <s v="Dan"/>
    <x v="43"/>
    <d v="1899-12-30T17:18:14"/>
    <d v="2021-02-13T17:18:14"/>
    <x v="1"/>
    <x v="7"/>
    <x v="0"/>
    <x v="0"/>
    <s v="Y"/>
    <n v="32"/>
    <x v="0"/>
    <d v="1899-12-30T00:03:33"/>
    <n v="4"/>
  </r>
  <r>
    <x v="2534"/>
    <s v="Jim"/>
    <x v="44"/>
    <d v="1899-12-30T09:07:12"/>
    <d v="2021-02-14T09:07:12"/>
    <x v="2"/>
    <x v="0"/>
    <x v="2"/>
    <x v="0"/>
    <s v="Y"/>
    <n v="119"/>
    <x v="0"/>
    <d v="1899-12-30T00:04:18"/>
    <n v="4"/>
  </r>
  <r>
    <x v="2535"/>
    <s v="Greg"/>
    <x v="44"/>
    <d v="1899-12-30T09:07:12"/>
    <d v="2021-02-14T09:07:12"/>
    <x v="2"/>
    <x v="0"/>
    <x v="0"/>
    <x v="0"/>
    <s v="Y"/>
    <n v="112"/>
    <x v="0"/>
    <d v="1899-12-30T00:04:29"/>
    <n v="2"/>
  </r>
  <r>
    <x v="2536"/>
    <s v="Stewart"/>
    <x v="44"/>
    <d v="1899-12-30T09:38:53"/>
    <d v="2021-02-14T09:38:53"/>
    <x v="2"/>
    <x v="0"/>
    <x v="1"/>
    <x v="0"/>
    <s v="Y"/>
    <n v="49"/>
    <x v="0"/>
    <d v="1899-12-30T00:04:10"/>
    <n v="1"/>
  </r>
  <r>
    <x v="2537"/>
    <s v="Stewart"/>
    <x v="44"/>
    <d v="1899-12-30T09:38:53"/>
    <d v="2021-02-14T09:38:53"/>
    <x v="2"/>
    <x v="0"/>
    <x v="0"/>
    <x v="1"/>
    <s v="N"/>
    <m/>
    <x v="0"/>
    <m/>
    <m/>
  </r>
  <r>
    <x v="2538"/>
    <s v="Joe"/>
    <x v="44"/>
    <d v="1899-12-30T09:46:05"/>
    <d v="2021-02-14T09:46:05"/>
    <x v="2"/>
    <x v="0"/>
    <x v="3"/>
    <x v="0"/>
    <s v="Y"/>
    <n v="74"/>
    <x v="0"/>
    <d v="1899-12-30T00:04:54"/>
    <n v="3"/>
  </r>
  <r>
    <x v="2539"/>
    <s v="Greg"/>
    <x v="44"/>
    <d v="1899-12-30T09:46:05"/>
    <d v="2021-02-14T09:46:05"/>
    <x v="2"/>
    <x v="0"/>
    <x v="4"/>
    <x v="0"/>
    <s v="N"/>
    <n v="117"/>
    <x v="0"/>
    <d v="1899-12-30T00:02:45"/>
    <n v="4"/>
  </r>
  <r>
    <x v="2540"/>
    <s v="Jim"/>
    <x v="44"/>
    <d v="1899-12-30T09:48:58"/>
    <d v="2021-02-14T09:48:58"/>
    <x v="2"/>
    <x v="0"/>
    <x v="0"/>
    <x v="1"/>
    <s v="N"/>
    <m/>
    <x v="0"/>
    <m/>
    <m/>
  </r>
  <r>
    <x v="2541"/>
    <s v="Diane"/>
    <x v="44"/>
    <d v="1899-12-30T09:48:58"/>
    <d v="2021-02-14T09:48:58"/>
    <x v="2"/>
    <x v="0"/>
    <x v="3"/>
    <x v="0"/>
    <s v="Y"/>
    <n v="40"/>
    <x v="0"/>
    <d v="1899-12-30T00:06:51"/>
    <n v="1"/>
  </r>
  <r>
    <x v="2542"/>
    <s v="Martha"/>
    <x v="44"/>
    <d v="1899-12-30T10:24:58"/>
    <d v="2021-02-14T10:24:58"/>
    <x v="2"/>
    <x v="1"/>
    <x v="0"/>
    <x v="0"/>
    <s v="Y"/>
    <n v="87"/>
    <x v="0"/>
    <d v="1899-12-30T00:04:53"/>
    <n v="5"/>
  </r>
  <r>
    <x v="2543"/>
    <s v="Martha"/>
    <x v="44"/>
    <d v="1899-12-30T10:24:58"/>
    <d v="2021-02-14T10:24:58"/>
    <x v="2"/>
    <x v="1"/>
    <x v="4"/>
    <x v="0"/>
    <s v="Y"/>
    <n v="58"/>
    <x v="0"/>
    <d v="1899-12-30T00:01:24"/>
    <n v="4"/>
  </r>
  <r>
    <x v="2544"/>
    <s v="Becky"/>
    <x v="44"/>
    <d v="1899-12-30T10:30:43"/>
    <d v="2021-02-14T10:30:43"/>
    <x v="2"/>
    <x v="1"/>
    <x v="1"/>
    <x v="0"/>
    <s v="Y"/>
    <n v="84"/>
    <x v="0"/>
    <d v="1899-12-30T00:06:00"/>
    <n v="4"/>
  </r>
  <r>
    <x v="2545"/>
    <s v="Jim"/>
    <x v="44"/>
    <d v="1899-12-30T10:30:43"/>
    <d v="2021-02-14T10:30:43"/>
    <x v="2"/>
    <x v="1"/>
    <x v="2"/>
    <x v="0"/>
    <s v="Y"/>
    <n v="54"/>
    <x v="0"/>
    <d v="1899-12-30T00:02:17"/>
    <n v="2"/>
  </r>
  <r>
    <x v="2546"/>
    <s v="Dan"/>
    <x v="44"/>
    <d v="1899-12-30T10:52:19"/>
    <d v="2021-02-14T10:52:19"/>
    <x v="2"/>
    <x v="1"/>
    <x v="0"/>
    <x v="0"/>
    <s v="Y"/>
    <n v="13"/>
    <x v="1"/>
    <d v="1899-12-30T00:05:36"/>
    <n v="5"/>
  </r>
  <r>
    <x v="2547"/>
    <s v="Diane"/>
    <x v="44"/>
    <d v="1899-12-30T10:52:19"/>
    <d v="2021-02-14T10:52:19"/>
    <x v="2"/>
    <x v="1"/>
    <x v="1"/>
    <x v="1"/>
    <s v="N"/>
    <m/>
    <x v="0"/>
    <m/>
    <m/>
  </r>
  <r>
    <x v="2548"/>
    <s v="Jim"/>
    <x v="44"/>
    <d v="1899-12-30T11:54:14"/>
    <d v="2021-02-14T11:54:14"/>
    <x v="2"/>
    <x v="2"/>
    <x v="1"/>
    <x v="0"/>
    <s v="Y"/>
    <n v="42"/>
    <x v="0"/>
    <d v="1899-12-30T00:00:36"/>
    <n v="4"/>
  </r>
  <r>
    <x v="2549"/>
    <s v="Stewart"/>
    <x v="44"/>
    <d v="1899-12-30T11:54:14"/>
    <d v="2021-02-14T11:54:14"/>
    <x v="2"/>
    <x v="2"/>
    <x v="2"/>
    <x v="0"/>
    <s v="Y"/>
    <n v="12"/>
    <x v="1"/>
    <d v="1899-12-30T00:02:36"/>
    <n v="1"/>
  </r>
  <r>
    <x v="2550"/>
    <s v="Diane"/>
    <x v="44"/>
    <d v="1899-12-30T12:31:41"/>
    <d v="2021-02-14T12:31:41"/>
    <x v="2"/>
    <x v="3"/>
    <x v="3"/>
    <x v="0"/>
    <s v="Y"/>
    <n v="13"/>
    <x v="1"/>
    <d v="1899-12-30T00:04:40"/>
    <n v="3"/>
  </r>
  <r>
    <x v="2551"/>
    <s v="Greg"/>
    <x v="44"/>
    <d v="1899-12-30T12:31:41"/>
    <d v="2021-02-14T12:31:41"/>
    <x v="2"/>
    <x v="3"/>
    <x v="0"/>
    <x v="1"/>
    <s v="N"/>
    <m/>
    <x v="0"/>
    <m/>
    <m/>
  </r>
  <r>
    <x v="2552"/>
    <s v="Diane"/>
    <x v="44"/>
    <d v="1899-12-30T12:41:46"/>
    <d v="2021-02-14T12:41:46"/>
    <x v="2"/>
    <x v="3"/>
    <x v="4"/>
    <x v="0"/>
    <s v="Y"/>
    <n v="100"/>
    <x v="0"/>
    <d v="1899-12-30T00:03:11"/>
    <n v="5"/>
  </r>
  <r>
    <x v="2553"/>
    <s v="Joe"/>
    <x v="44"/>
    <d v="1899-12-30T12:41:46"/>
    <d v="2021-02-14T12:41:46"/>
    <x v="2"/>
    <x v="3"/>
    <x v="2"/>
    <x v="0"/>
    <s v="Y"/>
    <n v="70"/>
    <x v="0"/>
    <d v="1899-12-30T00:01:10"/>
    <n v="2"/>
  </r>
  <r>
    <x v="2554"/>
    <s v="Stewart"/>
    <x v="44"/>
    <d v="1899-12-30T12:57:36"/>
    <d v="2021-02-14T12:57:36"/>
    <x v="2"/>
    <x v="3"/>
    <x v="4"/>
    <x v="1"/>
    <s v="N"/>
    <m/>
    <x v="0"/>
    <m/>
    <m/>
  </r>
  <r>
    <x v="2555"/>
    <s v="Jim"/>
    <x v="44"/>
    <d v="1899-12-30T12:57:36"/>
    <d v="2021-02-14T12:57:36"/>
    <x v="2"/>
    <x v="3"/>
    <x v="1"/>
    <x v="1"/>
    <s v="N"/>
    <m/>
    <x v="0"/>
    <m/>
    <m/>
  </r>
  <r>
    <x v="2556"/>
    <s v="Becky"/>
    <x v="44"/>
    <d v="1899-12-30T13:13:26"/>
    <d v="2021-02-14T13:13:26"/>
    <x v="2"/>
    <x v="4"/>
    <x v="1"/>
    <x v="0"/>
    <s v="Y"/>
    <n v="102"/>
    <x v="0"/>
    <d v="1899-12-30T00:05:53"/>
    <n v="4"/>
  </r>
  <r>
    <x v="2557"/>
    <s v="Becky"/>
    <x v="44"/>
    <d v="1899-12-30T13:13:26"/>
    <d v="2021-02-14T13:13:26"/>
    <x v="2"/>
    <x v="4"/>
    <x v="1"/>
    <x v="0"/>
    <s v="Y"/>
    <n v="82"/>
    <x v="0"/>
    <d v="1899-12-30T00:03:19"/>
    <n v="3"/>
  </r>
  <r>
    <x v="2558"/>
    <s v="Joe"/>
    <x v="44"/>
    <d v="1899-12-30T13:26:24"/>
    <d v="2021-02-14T13:26:24"/>
    <x v="2"/>
    <x v="4"/>
    <x v="4"/>
    <x v="0"/>
    <s v="N"/>
    <n v="24"/>
    <x v="0"/>
    <d v="1899-12-30T00:04:07"/>
    <n v="5"/>
  </r>
  <r>
    <x v="2559"/>
    <s v="Stewart"/>
    <x v="44"/>
    <d v="1899-12-30T13:26:24"/>
    <d v="2021-02-14T13:26:24"/>
    <x v="2"/>
    <x v="4"/>
    <x v="3"/>
    <x v="0"/>
    <s v="Y"/>
    <n v="10"/>
    <x v="1"/>
    <d v="1899-12-30T00:01:39"/>
    <n v="5"/>
  </r>
  <r>
    <x v="2560"/>
    <s v="Jim"/>
    <x v="44"/>
    <d v="1899-12-30T13:46:34"/>
    <d v="2021-02-14T13:46:34"/>
    <x v="2"/>
    <x v="4"/>
    <x v="2"/>
    <x v="1"/>
    <s v="N"/>
    <m/>
    <x v="0"/>
    <m/>
    <m/>
  </r>
  <r>
    <x v="2561"/>
    <s v="Stewart"/>
    <x v="44"/>
    <d v="1899-12-30T13:46:34"/>
    <d v="2021-02-14T13:46:34"/>
    <x v="2"/>
    <x v="4"/>
    <x v="4"/>
    <x v="0"/>
    <s v="Y"/>
    <n v="80"/>
    <x v="0"/>
    <d v="1899-12-30T00:05:01"/>
    <n v="1"/>
  </r>
  <r>
    <x v="2562"/>
    <s v="Stewart"/>
    <x v="44"/>
    <d v="1899-12-30T13:50:53"/>
    <d v="2021-02-14T13:50:53"/>
    <x v="2"/>
    <x v="4"/>
    <x v="1"/>
    <x v="0"/>
    <s v="Y"/>
    <n v="63"/>
    <x v="0"/>
    <d v="1899-12-30T00:06:14"/>
    <n v="4"/>
  </r>
  <r>
    <x v="2563"/>
    <s v="Greg"/>
    <x v="44"/>
    <d v="1899-12-30T13:50:53"/>
    <d v="2021-02-14T13:50:53"/>
    <x v="2"/>
    <x v="4"/>
    <x v="0"/>
    <x v="0"/>
    <s v="Y"/>
    <n v="43"/>
    <x v="0"/>
    <d v="1899-12-30T00:06:53"/>
    <n v="4"/>
  </r>
  <r>
    <x v="2564"/>
    <s v="Dan"/>
    <x v="44"/>
    <d v="1899-12-30T14:21:07"/>
    <d v="2021-02-14T14:21:07"/>
    <x v="2"/>
    <x v="5"/>
    <x v="2"/>
    <x v="1"/>
    <s v="N"/>
    <m/>
    <x v="0"/>
    <m/>
    <m/>
  </r>
  <r>
    <x v="2565"/>
    <s v="Diane"/>
    <x v="44"/>
    <d v="1899-12-30T14:21:07"/>
    <d v="2021-02-14T14:21:07"/>
    <x v="2"/>
    <x v="5"/>
    <x v="2"/>
    <x v="0"/>
    <s v="Y"/>
    <n v="87"/>
    <x v="0"/>
    <d v="1899-12-30T00:02:02"/>
    <n v="4"/>
  </r>
  <r>
    <x v="2566"/>
    <s v="Joe"/>
    <x v="44"/>
    <d v="1899-12-30T14:24:00"/>
    <d v="2021-02-14T14:24:00"/>
    <x v="2"/>
    <x v="5"/>
    <x v="1"/>
    <x v="0"/>
    <s v="Y"/>
    <n v="125"/>
    <x v="0"/>
    <d v="1899-12-30T00:06:04"/>
    <n v="4"/>
  </r>
  <r>
    <x v="2567"/>
    <s v="Stewart"/>
    <x v="44"/>
    <d v="1899-12-30T14:24:00"/>
    <d v="2021-02-14T14:24:00"/>
    <x v="2"/>
    <x v="5"/>
    <x v="2"/>
    <x v="0"/>
    <s v="Y"/>
    <n v="56"/>
    <x v="0"/>
    <d v="1899-12-30T00:03:52"/>
    <n v="1"/>
  </r>
  <r>
    <x v="2568"/>
    <s v="Greg"/>
    <x v="44"/>
    <d v="1899-12-30T14:49:55"/>
    <d v="2021-02-14T14:49:55"/>
    <x v="2"/>
    <x v="5"/>
    <x v="2"/>
    <x v="0"/>
    <s v="Y"/>
    <n v="88"/>
    <x v="0"/>
    <d v="1899-12-30T00:03:46"/>
    <n v="3"/>
  </r>
  <r>
    <x v="2569"/>
    <s v="Jim"/>
    <x v="44"/>
    <d v="1899-12-30T14:49:55"/>
    <d v="2021-02-14T14:49:55"/>
    <x v="2"/>
    <x v="5"/>
    <x v="2"/>
    <x v="0"/>
    <s v="Y"/>
    <n v="45"/>
    <x v="0"/>
    <d v="1899-12-30T00:01:17"/>
    <n v="4"/>
  </r>
  <r>
    <x v="2570"/>
    <s v="Dan"/>
    <x v="44"/>
    <d v="1899-12-30T14:51:22"/>
    <d v="2021-02-14T14:51:22"/>
    <x v="2"/>
    <x v="5"/>
    <x v="1"/>
    <x v="0"/>
    <s v="Y"/>
    <n v="24"/>
    <x v="0"/>
    <d v="1899-12-30T00:02:01"/>
    <n v="4"/>
  </r>
  <r>
    <x v="2571"/>
    <s v="Jim"/>
    <x v="44"/>
    <d v="1899-12-30T14:51:22"/>
    <d v="2021-02-14T14:51:22"/>
    <x v="2"/>
    <x v="5"/>
    <x v="0"/>
    <x v="0"/>
    <s v="Y"/>
    <n v="23"/>
    <x v="0"/>
    <d v="1899-12-30T00:04:12"/>
    <n v="5"/>
  </r>
  <r>
    <x v="2572"/>
    <s v="Becky"/>
    <x v="44"/>
    <d v="1899-12-30T15:34:34"/>
    <d v="2021-02-14T15:34:34"/>
    <x v="2"/>
    <x v="6"/>
    <x v="2"/>
    <x v="0"/>
    <s v="Y"/>
    <n v="66"/>
    <x v="0"/>
    <d v="1899-12-30T00:06:47"/>
    <n v="5"/>
  </r>
  <r>
    <x v="2573"/>
    <s v="Martha"/>
    <x v="44"/>
    <d v="1899-12-30T15:34:34"/>
    <d v="2021-02-14T15:34:34"/>
    <x v="2"/>
    <x v="6"/>
    <x v="3"/>
    <x v="1"/>
    <s v="N"/>
    <m/>
    <x v="0"/>
    <m/>
    <m/>
  </r>
  <r>
    <x v="2574"/>
    <s v="Joe"/>
    <x v="44"/>
    <d v="1899-12-30T16:27:50"/>
    <d v="2021-02-14T16:27:50"/>
    <x v="2"/>
    <x v="8"/>
    <x v="4"/>
    <x v="0"/>
    <s v="Y"/>
    <n v="67"/>
    <x v="0"/>
    <d v="1899-12-30T00:01:35"/>
    <n v="4"/>
  </r>
  <r>
    <x v="2575"/>
    <s v="Becky"/>
    <x v="44"/>
    <d v="1899-12-30T16:27:50"/>
    <d v="2021-02-14T16:27:50"/>
    <x v="2"/>
    <x v="8"/>
    <x v="1"/>
    <x v="0"/>
    <s v="Y"/>
    <n v="39"/>
    <x v="0"/>
    <d v="1899-12-30T00:05:14"/>
    <n v="1"/>
  </r>
  <r>
    <x v="2576"/>
    <s v="Becky"/>
    <x v="44"/>
    <d v="1899-12-30T16:37:55"/>
    <d v="2021-02-14T16:37:55"/>
    <x v="2"/>
    <x v="8"/>
    <x v="4"/>
    <x v="0"/>
    <s v="Y"/>
    <n v="70"/>
    <x v="0"/>
    <d v="1899-12-30T00:00:39"/>
    <n v="1"/>
  </r>
  <r>
    <x v="2577"/>
    <s v="Jim"/>
    <x v="44"/>
    <d v="1899-12-30T16:37:55"/>
    <d v="2021-02-14T16:37:55"/>
    <x v="2"/>
    <x v="8"/>
    <x v="3"/>
    <x v="0"/>
    <s v="Y"/>
    <n v="40"/>
    <x v="0"/>
    <d v="1899-12-30T00:06:39"/>
    <n v="5"/>
  </r>
  <r>
    <x v="2578"/>
    <s v="Stewart"/>
    <x v="44"/>
    <d v="1899-12-30T16:37:55"/>
    <d v="2021-02-14T16:37:55"/>
    <x v="2"/>
    <x v="8"/>
    <x v="0"/>
    <x v="1"/>
    <s v="N"/>
    <m/>
    <x v="0"/>
    <m/>
    <m/>
  </r>
  <r>
    <x v="2579"/>
    <s v="Martha"/>
    <x v="44"/>
    <d v="1899-12-30T16:37:55"/>
    <d v="2021-02-14T16:37:55"/>
    <x v="2"/>
    <x v="8"/>
    <x v="3"/>
    <x v="0"/>
    <s v="Y"/>
    <n v="28"/>
    <x v="0"/>
    <d v="1899-12-30T00:06:26"/>
    <n v="3"/>
  </r>
  <r>
    <x v="2580"/>
    <s v="Joe"/>
    <x v="44"/>
    <d v="1899-12-30T16:50:53"/>
    <d v="2021-02-14T16:50:53"/>
    <x v="2"/>
    <x v="8"/>
    <x v="1"/>
    <x v="0"/>
    <s v="Y"/>
    <n v="107"/>
    <x v="0"/>
    <d v="1899-12-30T00:03:39"/>
    <n v="2"/>
  </r>
  <r>
    <x v="2581"/>
    <s v="Stewart"/>
    <x v="44"/>
    <d v="1899-12-30T16:50:53"/>
    <d v="2021-02-14T16:50:53"/>
    <x v="2"/>
    <x v="8"/>
    <x v="2"/>
    <x v="0"/>
    <s v="Y"/>
    <n v="62"/>
    <x v="0"/>
    <d v="1899-12-30T00:04:42"/>
    <n v="4"/>
  </r>
  <r>
    <x v="2582"/>
    <s v="Diane"/>
    <x v="44"/>
    <d v="1899-12-30T16:53:46"/>
    <d v="2021-02-14T16:53:46"/>
    <x v="2"/>
    <x v="8"/>
    <x v="1"/>
    <x v="0"/>
    <s v="Y"/>
    <n v="80"/>
    <x v="0"/>
    <d v="1899-12-30T00:04:20"/>
    <n v="4"/>
  </r>
  <r>
    <x v="2583"/>
    <s v="Stewart"/>
    <x v="44"/>
    <d v="1899-12-30T16:53:46"/>
    <d v="2021-02-14T16:53:46"/>
    <x v="2"/>
    <x v="8"/>
    <x v="0"/>
    <x v="0"/>
    <s v="Y"/>
    <n v="63"/>
    <x v="0"/>
    <d v="1899-12-30T00:03:06"/>
    <n v="3"/>
  </r>
  <r>
    <x v="2584"/>
    <s v="Becky"/>
    <x v="44"/>
    <d v="1899-12-30T17:09:36"/>
    <d v="2021-02-14T17:09:36"/>
    <x v="2"/>
    <x v="7"/>
    <x v="1"/>
    <x v="0"/>
    <s v="Y"/>
    <n v="36"/>
    <x v="0"/>
    <d v="1899-12-30T00:05:18"/>
    <n v="3"/>
  </r>
  <r>
    <x v="2585"/>
    <s v="Dan"/>
    <x v="44"/>
    <d v="1899-12-30T17:09:36"/>
    <d v="2021-02-14T17:09:36"/>
    <x v="2"/>
    <x v="7"/>
    <x v="0"/>
    <x v="0"/>
    <s v="Y"/>
    <n v="64"/>
    <x v="0"/>
    <d v="1899-12-30T00:02:05"/>
    <n v="3"/>
  </r>
  <r>
    <x v="2586"/>
    <s v="Greg"/>
    <x v="44"/>
    <d v="1899-12-30T17:09:36"/>
    <d v="2021-02-14T17:09:36"/>
    <x v="2"/>
    <x v="7"/>
    <x v="0"/>
    <x v="0"/>
    <s v="Y"/>
    <n v="110"/>
    <x v="0"/>
    <d v="1899-12-30T00:05:43"/>
    <n v="3"/>
  </r>
  <r>
    <x v="2587"/>
    <s v="Jim"/>
    <x v="44"/>
    <d v="1899-12-30T17:09:36"/>
    <d v="2021-02-14T17:09:36"/>
    <x v="2"/>
    <x v="7"/>
    <x v="3"/>
    <x v="0"/>
    <s v="Y"/>
    <n v="43"/>
    <x v="0"/>
    <d v="1899-12-30T00:06:22"/>
    <n v="3"/>
  </r>
  <r>
    <x v="2588"/>
    <s v="Jim"/>
    <x v="44"/>
    <d v="1899-12-30T17:11:02"/>
    <d v="2021-02-14T17:11:02"/>
    <x v="2"/>
    <x v="7"/>
    <x v="1"/>
    <x v="0"/>
    <s v="Y"/>
    <n v="76"/>
    <x v="0"/>
    <d v="1899-12-30T00:04:44"/>
    <n v="5"/>
  </r>
  <r>
    <x v="2589"/>
    <s v="Joe"/>
    <x v="44"/>
    <d v="1899-12-30T17:11:02"/>
    <d v="2021-02-14T17:11:02"/>
    <x v="2"/>
    <x v="7"/>
    <x v="1"/>
    <x v="0"/>
    <s v="Y"/>
    <n v="45"/>
    <x v="0"/>
    <d v="1899-12-30T00:02:29"/>
    <n v="2"/>
  </r>
  <r>
    <x v="2590"/>
    <s v="Martha"/>
    <x v="44"/>
    <d v="1899-12-30T17:36:58"/>
    <d v="2021-02-14T17:36:58"/>
    <x v="2"/>
    <x v="7"/>
    <x v="4"/>
    <x v="0"/>
    <s v="N"/>
    <n v="109"/>
    <x v="0"/>
    <d v="1899-12-30T00:01:12"/>
    <n v="3"/>
  </r>
  <r>
    <x v="2591"/>
    <s v="Joe"/>
    <x v="44"/>
    <d v="1899-12-30T17:36:58"/>
    <d v="2021-02-14T17:36:58"/>
    <x v="2"/>
    <x v="7"/>
    <x v="4"/>
    <x v="0"/>
    <s v="Y"/>
    <n v="68"/>
    <x v="0"/>
    <d v="1899-12-30T00:06:54"/>
    <n v="4"/>
  </r>
  <r>
    <x v="2592"/>
    <s v="Greg"/>
    <x v="44"/>
    <d v="1899-12-30T17:42:43"/>
    <d v="2021-02-14T17:42:43"/>
    <x v="2"/>
    <x v="7"/>
    <x v="0"/>
    <x v="0"/>
    <s v="N"/>
    <n v="99"/>
    <x v="0"/>
    <d v="1899-12-30T00:06:54"/>
    <n v="1"/>
  </r>
  <r>
    <x v="2593"/>
    <s v="Dan"/>
    <x v="44"/>
    <d v="1899-12-30T17:42:43"/>
    <d v="2021-02-14T17:42:43"/>
    <x v="2"/>
    <x v="7"/>
    <x v="0"/>
    <x v="0"/>
    <s v="Y"/>
    <n v="27"/>
    <x v="0"/>
    <d v="1899-12-30T00:04:05"/>
    <n v="4"/>
  </r>
  <r>
    <x v="2594"/>
    <s v="Greg"/>
    <x v="45"/>
    <d v="1899-12-30T09:00:00"/>
    <d v="2021-02-15T09:00:00"/>
    <x v="3"/>
    <x v="0"/>
    <x v="4"/>
    <x v="0"/>
    <s v="Y"/>
    <n v="14"/>
    <x v="1"/>
    <d v="1899-12-30T00:00:58"/>
    <n v="3"/>
  </r>
  <r>
    <x v="2595"/>
    <s v="Greg"/>
    <x v="45"/>
    <d v="1899-12-30T09:00:00"/>
    <d v="2021-02-15T09:00:00"/>
    <x v="3"/>
    <x v="0"/>
    <x v="3"/>
    <x v="0"/>
    <s v="Y"/>
    <n v="81"/>
    <x v="0"/>
    <d v="1899-12-30T00:04:21"/>
    <n v="3"/>
  </r>
  <r>
    <x v="2596"/>
    <s v="Dan"/>
    <x v="45"/>
    <d v="1899-12-30T09:33:07"/>
    <d v="2021-02-15T09:33:07"/>
    <x v="3"/>
    <x v="0"/>
    <x v="3"/>
    <x v="0"/>
    <s v="Y"/>
    <n v="24"/>
    <x v="0"/>
    <d v="1899-12-30T00:03:07"/>
    <n v="3"/>
  </r>
  <r>
    <x v="2597"/>
    <s v="Dan"/>
    <x v="45"/>
    <d v="1899-12-30T09:33:07"/>
    <d v="2021-02-15T09:33:07"/>
    <x v="3"/>
    <x v="0"/>
    <x v="0"/>
    <x v="0"/>
    <s v="Y"/>
    <n v="13"/>
    <x v="1"/>
    <d v="1899-12-30T00:05:48"/>
    <n v="1"/>
  </r>
  <r>
    <x v="2598"/>
    <s v="Becky"/>
    <x v="45"/>
    <d v="1899-12-30T10:01:55"/>
    <d v="2021-02-15T10:01:55"/>
    <x v="3"/>
    <x v="1"/>
    <x v="1"/>
    <x v="0"/>
    <s v="Y"/>
    <n v="89"/>
    <x v="0"/>
    <d v="1899-12-30T00:00:53"/>
    <n v="1"/>
  </r>
  <r>
    <x v="2599"/>
    <s v="Becky"/>
    <x v="45"/>
    <d v="1899-12-30T10:01:55"/>
    <d v="2021-02-15T10:01:55"/>
    <x v="3"/>
    <x v="1"/>
    <x v="4"/>
    <x v="0"/>
    <s v="Y"/>
    <n v="103"/>
    <x v="0"/>
    <d v="1899-12-30T00:05:57"/>
    <n v="4"/>
  </r>
  <r>
    <x v="2600"/>
    <s v="Jim"/>
    <x v="45"/>
    <d v="1899-12-30T10:01:55"/>
    <d v="2021-02-15T10:01:55"/>
    <x v="3"/>
    <x v="1"/>
    <x v="2"/>
    <x v="0"/>
    <s v="Y"/>
    <n v="103"/>
    <x v="0"/>
    <d v="1899-12-30T00:03:48"/>
    <n v="3"/>
  </r>
  <r>
    <x v="2601"/>
    <s v="Greg"/>
    <x v="45"/>
    <d v="1899-12-30T10:01:55"/>
    <d v="2021-02-15T10:01:55"/>
    <x v="3"/>
    <x v="1"/>
    <x v="2"/>
    <x v="1"/>
    <s v="N"/>
    <m/>
    <x v="0"/>
    <m/>
    <m/>
  </r>
  <r>
    <x v="2602"/>
    <s v="Stewart"/>
    <x v="45"/>
    <d v="1899-12-30T10:20:38"/>
    <d v="2021-02-15T10:20:38"/>
    <x v="3"/>
    <x v="1"/>
    <x v="0"/>
    <x v="0"/>
    <s v="N"/>
    <n v="59"/>
    <x v="0"/>
    <d v="1899-12-30T00:03:31"/>
    <n v="3"/>
  </r>
  <r>
    <x v="2603"/>
    <s v="Joe"/>
    <x v="45"/>
    <d v="1899-12-30T10:20:38"/>
    <d v="2021-02-15T10:20:38"/>
    <x v="3"/>
    <x v="1"/>
    <x v="2"/>
    <x v="0"/>
    <s v="Y"/>
    <n v="113"/>
    <x v="0"/>
    <d v="1899-12-30T00:01:38"/>
    <n v="3"/>
  </r>
  <r>
    <x v="2604"/>
    <s v="Diane"/>
    <x v="45"/>
    <d v="1899-12-30T11:12:29"/>
    <d v="2021-02-15T11:12:29"/>
    <x v="3"/>
    <x v="2"/>
    <x v="0"/>
    <x v="0"/>
    <s v="Y"/>
    <n v="69"/>
    <x v="0"/>
    <d v="1899-12-30T00:01:52"/>
    <n v="2"/>
  </r>
  <r>
    <x v="2605"/>
    <s v="Diane"/>
    <x v="45"/>
    <d v="1899-12-30T11:12:29"/>
    <d v="2021-02-15T11:12:29"/>
    <x v="3"/>
    <x v="2"/>
    <x v="1"/>
    <x v="0"/>
    <s v="Y"/>
    <n v="69"/>
    <x v="0"/>
    <d v="1899-12-30T00:01:51"/>
    <n v="2"/>
  </r>
  <r>
    <x v="2606"/>
    <s v="Becky"/>
    <x v="45"/>
    <d v="1899-12-30T11:34:05"/>
    <d v="2021-02-15T11:34:05"/>
    <x v="3"/>
    <x v="2"/>
    <x v="1"/>
    <x v="0"/>
    <s v="N"/>
    <n v="11"/>
    <x v="1"/>
    <d v="1899-12-30T00:05:07"/>
    <n v="4"/>
  </r>
  <r>
    <x v="2607"/>
    <s v="Dan"/>
    <x v="45"/>
    <d v="1899-12-30T11:34:05"/>
    <d v="2021-02-15T11:34:05"/>
    <x v="3"/>
    <x v="2"/>
    <x v="0"/>
    <x v="0"/>
    <s v="Y"/>
    <n v="75"/>
    <x v="0"/>
    <d v="1899-12-30T00:04:11"/>
    <n v="2"/>
  </r>
  <r>
    <x v="2608"/>
    <s v="Jim"/>
    <x v="45"/>
    <d v="1899-12-30T11:41:17"/>
    <d v="2021-02-15T11:41:17"/>
    <x v="3"/>
    <x v="2"/>
    <x v="1"/>
    <x v="0"/>
    <s v="N"/>
    <n v="24"/>
    <x v="0"/>
    <d v="1899-12-30T00:02:32"/>
    <n v="5"/>
  </r>
  <r>
    <x v="2609"/>
    <s v="Becky"/>
    <x v="45"/>
    <d v="1899-12-30T11:41:17"/>
    <d v="2021-02-15T11:41:17"/>
    <x v="3"/>
    <x v="2"/>
    <x v="3"/>
    <x v="0"/>
    <s v="Y"/>
    <n v="124"/>
    <x v="0"/>
    <d v="1899-12-30T00:06:08"/>
    <n v="3"/>
  </r>
  <r>
    <x v="2610"/>
    <s v="Greg"/>
    <x v="45"/>
    <d v="1899-12-30T11:45:36"/>
    <d v="2021-02-15T11:45:36"/>
    <x v="3"/>
    <x v="2"/>
    <x v="3"/>
    <x v="0"/>
    <s v="Y"/>
    <n v="32"/>
    <x v="0"/>
    <d v="1899-12-30T00:02:34"/>
    <n v="5"/>
  </r>
  <r>
    <x v="2611"/>
    <s v="Stewart"/>
    <x v="45"/>
    <d v="1899-12-30T11:45:36"/>
    <d v="2021-02-15T11:45:36"/>
    <x v="3"/>
    <x v="2"/>
    <x v="3"/>
    <x v="0"/>
    <s v="Y"/>
    <n v="105"/>
    <x v="0"/>
    <d v="1899-12-30T00:06:34"/>
    <n v="5"/>
  </r>
  <r>
    <x v="2612"/>
    <s v="Becky"/>
    <x v="45"/>
    <d v="1899-12-30T11:48:29"/>
    <d v="2021-02-15T11:48:29"/>
    <x v="3"/>
    <x v="2"/>
    <x v="1"/>
    <x v="1"/>
    <s v="N"/>
    <m/>
    <x v="0"/>
    <m/>
    <m/>
  </r>
  <r>
    <x v="2613"/>
    <s v="Jim"/>
    <x v="45"/>
    <d v="1899-12-30T11:48:29"/>
    <d v="2021-02-15T11:48:29"/>
    <x v="3"/>
    <x v="2"/>
    <x v="2"/>
    <x v="0"/>
    <s v="Y"/>
    <n v="94"/>
    <x v="0"/>
    <d v="1899-12-30T00:01:03"/>
    <n v="4"/>
  </r>
  <r>
    <x v="2614"/>
    <s v="Joe"/>
    <x v="45"/>
    <d v="1899-12-30T12:07:12"/>
    <d v="2021-02-15T12:07:12"/>
    <x v="3"/>
    <x v="3"/>
    <x v="0"/>
    <x v="0"/>
    <s v="Y"/>
    <n v="107"/>
    <x v="0"/>
    <d v="1899-12-30T00:02:16"/>
    <n v="4"/>
  </r>
  <r>
    <x v="2615"/>
    <s v="Diane"/>
    <x v="45"/>
    <d v="1899-12-30T12:07:12"/>
    <d v="2021-02-15T12:07:12"/>
    <x v="3"/>
    <x v="3"/>
    <x v="3"/>
    <x v="0"/>
    <s v="Y"/>
    <n v="79"/>
    <x v="0"/>
    <d v="1899-12-30T00:05:33"/>
    <n v="5"/>
  </r>
  <r>
    <x v="2616"/>
    <s v="Dan"/>
    <x v="45"/>
    <d v="1899-12-30T12:21:36"/>
    <d v="2021-02-15T12:21:36"/>
    <x v="3"/>
    <x v="3"/>
    <x v="0"/>
    <x v="1"/>
    <s v="N"/>
    <m/>
    <x v="0"/>
    <m/>
    <m/>
  </r>
  <r>
    <x v="2617"/>
    <s v="Becky"/>
    <x v="45"/>
    <d v="1899-12-30T12:21:36"/>
    <d v="2021-02-15T12:21:36"/>
    <x v="3"/>
    <x v="3"/>
    <x v="3"/>
    <x v="0"/>
    <s v="Y"/>
    <n v="59"/>
    <x v="0"/>
    <d v="1899-12-30T00:02:05"/>
    <n v="4"/>
  </r>
  <r>
    <x v="2618"/>
    <s v="Dan"/>
    <x v="45"/>
    <d v="1899-12-30T12:38:53"/>
    <d v="2021-02-15T12:38:53"/>
    <x v="3"/>
    <x v="3"/>
    <x v="1"/>
    <x v="0"/>
    <s v="N"/>
    <n v="117"/>
    <x v="0"/>
    <d v="1899-12-30T00:04:54"/>
    <n v="3"/>
  </r>
  <r>
    <x v="2619"/>
    <s v="Martha"/>
    <x v="45"/>
    <d v="1899-12-30T12:38:53"/>
    <d v="2021-02-15T12:38:53"/>
    <x v="3"/>
    <x v="3"/>
    <x v="4"/>
    <x v="0"/>
    <s v="Y"/>
    <n v="37"/>
    <x v="0"/>
    <d v="1899-12-30T00:01:51"/>
    <n v="3"/>
  </r>
  <r>
    <x v="2620"/>
    <s v="Dan"/>
    <x v="45"/>
    <d v="1899-12-30T13:00:29"/>
    <d v="2021-02-15T13:00:29"/>
    <x v="3"/>
    <x v="4"/>
    <x v="3"/>
    <x v="0"/>
    <s v="Y"/>
    <n v="94"/>
    <x v="0"/>
    <d v="1899-12-30T00:05:20"/>
    <n v="4"/>
  </r>
  <r>
    <x v="2621"/>
    <s v="Becky"/>
    <x v="45"/>
    <d v="1899-12-30T13:00:29"/>
    <d v="2021-02-15T13:00:29"/>
    <x v="3"/>
    <x v="4"/>
    <x v="1"/>
    <x v="0"/>
    <s v="Y"/>
    <n v="120"/>
    <x v="0"/>
    <d v="1899-12-30T00:02:45"/>
    <n v="1"/>
  </r>
  <r>
    <x v="2622"/>
    <s v="Jim"/>
    <x v="45"/>
    <d v="1899-12-30T13:26:24"/>
    <d v="2021-02-15T13:26:24"/>
    <x v="3"/>
    <x v="4"/>
    <x v="0"/>
    <x v="1"/>
    <s v="N"/>
    <m/>
    <x v="0"/>
    <m/>
    <m/>
  </r>
  <r>
    <x v="2623"/>
    <s v="Martha"/>
    <x v="45"/>
    <d v="1899-12-30T13:26:24"/>
    <d v="2021-02-15T13:26:24"/>
    <x v="3"/>
    <x v="4"/>
    <x v="4"/>
    <x v="0"/>
    <s v="Y"/>
    <n v="50"/>
    <x v="0"/>
    <d v="1899-12-30T00:06:47"/>
    <n v="2"/>
  </r>
  <r>
    <x v="2624"/>
    <s v="Becky"/>
    <x v="45"/>
    <d v="1899-12-30T13:39:22"/>
    <d v="2021-02-15T13:39:22"/>
    <x v="3"/>
    <x v="4"/>
    <x v="2"/>
    <x v="0"/>
    <s v="Y"/>
    <n v="47"/>
    <x v="0"/>
    <d v="1899-12-30T00:02:28"/>
    <n v="5"/>
  </r>
  <r>
    <x v="2625"/>
    <s v="Stewart"/>
    <x v="45"/>
    <d v="1899-12-30T13:39:22"/>
    <d v="2021-02-15T13:39:22"/>
    <x v="3"/>
    <x v="4"/>
    <x v="4"/>
    <x v="1"/>
    <s v="N"/>
    <m/>
    <x v="0"/>
    <m/>
    <m/>
  </r>
  <r>
    <x v="2626"/>
    <s v="Dan"/>
    <x v="45"/>
    <d v="1899-12-30T13:42:14"/>
    <d v="2021-02-15T13:42:14"/>
    <x v="3"/>
    <x v="4"/>
    <x v="3"/>
    <x v="0"/>
    <s v="Y"/>
    <n v="118"/>
    <x v="0"/>
    <d v="1899-12-30T00:02:53"/>
    <n v="5"/>
  </r>
  <r>
    <x v="2627"/>
    <s v="Becky"/>
    <x v="45"/>
    <d v="1899-12-30T13:42:14"/>
    <d v="2021-02-15T13:42:14"/>
    <x v="3"/>
    <x v="4"/>
    <x v="3"/>
    <x v="1"/>
    <s v="N"/>
    <m/>
    <x v="0"/>
    <m/>
    <m/>
  </r>
  <r>
    <x v="2628"/>
    <s v="Greg"/>
    <x v="45"/>
    <d v="1899-12-30T14:28:19"/>
    <d v="2021-02-15T14:28:19"/>
    <x v="3"/>
    <x v="5"/>
    <x v="1"/>
    <x v="1"/>
    <s v="N"/>
    <m/>
    <x v="0"/>
    <m/>
    <m/>
  </r>
  <r>
    <x v="2629"/>
    <s v="Jim"/>
    <x v="45"/>
    <d v="1899-12-30T14:28:19"/>
    <d v="2021-02-15T14:28:19"/>
    <x v="3"/>
    <x v="5"/>
    <x v="1"/>
    <x v="0"/>
    <s v="Y"/>
    <n v="14"/>
    <x v="1"/>
    <d v="1899-12-30T00:01:13"/>
    <n v="5"/>
  </r>
  <r>
    <x v="2630"/>
    <s v="Dan"/>
    <x v="45"/>
    <d v="1899-12-30T14:29:46"/>
    <d v="2021-02-15T14:29:46"/>
    <x v="3"/>
    <x v="5"/>
    <x v="1"/>
    <x v="0"/>
    <s v="Y"/>
    <n v="88"/>
    <x v="0"/>
    <d v="1899-12-30T00:01:09"/>
    <n v="3"/>
  </r>
  <r>
    <x v="2631"/>
    <s v="Joe"/>
    <x v="45"/>
    <d v="1899-12-30T14:29:46"/>
    <d v="2021-02-15T14:29:46"/>
    <x v="3"/>
    <x v="5"/>
    <x v="4"/>
    <x v="0"/>
    <s v="Y"/>
    <n v="124"/>
    <x v="0"/>
    <d v="1899-12-30T00:00:52"/>
    <n v="4"/>
  </r>
  <r>
    <x v="2632"/>
    <s v="Diane"/>
    <x v="45"/>
    <d v="1899-12-30T14:44:10"/>
    <d v="2021-02-15T14:44:10"/>
    <x v="3"/>
    <x v="5"/>
    <x v="2"/>
    <x v="0"/>
    <s v="Y"/>
    <n v="18"/>
    <x v="1"/>
    <d v="1899-12-30T00:00:48"/>
    <n v="5"/>
  </r>
  <r>
    <x v="2633"/>
    <s v="Dan"/>
    <x v="45"/>
    <d v="1899-12-30T14:44:10"/>
    <d v="2021-02-15T14:44:10"/>
    <x v="3"/>
    <x v="5"/>
    <x v="3"/>
    <x v="0"/>
    <s v="Y"/>
    <n v="22"/>
    <x v="0"/>
    <d v="1899-12-30T00:02:05"/>
    <n v="3"/>
  </r>
  <r>
    <x v="2634"/>
    <s v="Jim"/>
    <x v="45"/>
    <d v="1899-12-30T14:51:22"/>
    <d v="2021-02-15T14:51:22"/>
    <x v="3"/>
    <x v="5"/>
    <x v="1"/>
    <x v="1"/>
    <s v="N"/>
    <m/>
    <x v="0"/>
    <m/>
    <m/>
  </r>
  <r>
    <x v="2635"/>
    <s v="Becky"/>
    <x v="45"/>
    <d v="1899-12-30T14:51:22"/>
    <d v="2021-02-15T14:51:22"/>
    <x v="3"/>
    <x v="5"/>
    <x v="4"/>
    <x v="0"/>
    <s v="Y"/>
    <n v="94"/>
    <x v="0"/>
    <d v="1899-12-30T00:06:18"/>
    <n v="5"/>
  </r>
  <r>
    <x v="2636"/>
    <s v="Becky"/>
    <x v="45"/>
    <d v="1899-12-30T14:57:07"/>
    <d v="2021-02-15T14:57:07"/>
    <x v="3"/>
    <x v="5"/>
    <x v="1"/>
    <x v="0"/>
    <s v="N"/>
    <n v="54"/>
    <x v="0"/>
    <d v="1899-12-30T00:03:36"/>
    <n v="3"/>
  </r>
  <r>
    <x v="2637"/>
    <s v="Greg"/>
    <x v="45"/>
    <d v="1899-12-30T14:57:07"/>
    <d v="2021-02-15T14:57:07"/>
    <x v="3"/>
    <x v="5"/>
    <x v="0"/>
    <x v="0"/>
    <s v="N"/>
    <n v="44"/>
    <x v="0"/>
    <d v="1899-12-30T00:03:17"/>
    <n v="5"/>
  </r>
  <r>
    <x v="2638"/>
    <s v="Greg"/>
    <x v="45"/>
    <d v="1899-12-30T15:46:05"/>
    <d v="2021-02-15T15:46:05"/>
    <x v="3"/>
    <x v="6"/>
    <x v="3"/>
    <x v="0"/>
    <s v="Y"/>
    <n v="28"/>
    <x v="0"/>
    <d v="1899-12-30T00:04:23"/>
    <n v="3"/>
  </r>
  <r>
    <x v="2639"/>
    <s v="Jim"/>
    <x v="45"/>
    <d v="1899-12-30T15:46:05"/>
    <d v="2021-02-15T15:46:05"/>
    <x v="3"/>
    <x v="6"/>
    <x v="2"/>
    <x v="0"/>
    <s v="Y"/>
    <n v="103"/>
    <x v="0"/>
    <d v="1899-12-30T00:03:12"/>
    <n v="3"/>
  </r>
  <r>
    <x v="2640"/>
    <s v="Joe"/>
    <x v="45"/>
    <d v="1899-12-30T15:47:31"/>
    <d v="2021-02-15T15:47:31"/>
    <x v="3"/>
    <x v="6"/>
    <x v="1"/>
    <x v="0"/>
    <s v="Y"/>
    <n v="25"/>
    <x v="0"/>
    <d v="1899-12-30T00:00:47"/>
    <n v="4"/>
  </r>
  <r>
    <x v="2641"/>
    <s v="Becky"/>
    <x v="45"/>
    <d v="1899-12-30T15:47:31"/>
    <d v="2021-02-15T15:47:31"/>
    <x v="3"/>
    <x v="6"/>
    <x v="4"/>
    <x v="1"/>
    <s v="N"/>
    <m/>
    <x v="0"/>
    <m/>
    <m/>
  </r>
  <r>
    <x v="2642"/>
    <s v="Jim"/>
    <x v="45"/>
    <d v="1899-12-30T16:01:55"/>
    <d v="2021-02-15T16:01:55"/>
    <x v="3"/>
    <x v="8"/>
    <x v="4"/>
    <x v="0"/>
    <s v="Y"/>
    <n v="84"/>
    <x v="0"/>
    <d v="1899-12-30T00:04:10"/>
    <n v="3"/>
  </r>
  <r>
    <x v="2643"/>
    <s v="Dan"/>
    <x v="45"/>
    <d v="1899-12-30T16:01:55"/>
    <d v="2021-02-15T16:01:55"/>
    <x v="3"/>
    <x v="8"/>
    <x v="4"/>
    <x v="0"/>
    <s v="Y"/>
    <n v="36"/>
    <x v="0"/>
    <d v="1899-12-30T00:03:57"/>
    <n v="4"/>
  </r>
  <r>
    <x v="2644"/>
    <s v="Becky"/>
    <x v="45"/>
    <d v="1899-12-30T17:11:02"/>
    <d v="2021-02-15T17:11:02"/>
    <x v="3"/>
    <x v="7"/>
    <x v="2"/>
    <x v="1"/>
    <s v="N"/>
    <m/>
    <x v="0"/>
    <m/>
    <m/>
  </r>
  <r>
    <x v="2645"/>
    <s v="Stewart"/>
    <x v="45"/>
    <d v="1899-12-30T17:11:02"/>
    <d v="2021-02-15T17:11:02"/>
    <x v="3"/>
    <x v="7"/>
    <x v="2"/>
    <x v="0"/>
    <s v="Y"/>
    <n v="42"/>
    <x v="0"/>
    <d v="1899-12-30T00:03:41"/>
    <n v="4"/>
  </r>
  <r>
    <x v="2646"/>
    <s v="Dan"/>
    <x v="45"/>
    <d v="1899-12-30T17:18:14"/>
    <d v="2021-02-15T17:18:14"/>
    <x v="3"/>
    <x v="7"/>
    <x v="4"/>
    <x v="0"/>
    <s v="Y"/>
    <n v="124"/>
    <x v="0"/>
    <d v="1899-12-30T00:03:51"/>
    <n v="3"/>
  </r>
  <r>
    <x v="2647"/>
    <s v="Stewart"/>
    <x v="45"/>
    <d v="1899-12-30T17:18:14"/>
    <d v="2021-02-15T17:18:14"/>
    <x v="3"/>
    <x v="7"/>
    <x v="1"/>
    <x v="0"/>
    <s v="Y"/>
    <n v="99"/>
    <x v="0"/>
    <d v="1899-12-30T00:03:40"/>
    <n v="5"/>
  </r>
  <r>
    <x v="2648"/>
    <s v="Diane"/>
    <x v="45"/>
    <d v="1899-12-30T17:19:41"/>
    <d v="2021-02-15T17:19:41"/>
    <x v="3"/>
    <x v="7"/>
    <x v="4"/>
    <x v="0"/>
    <s v="Y"/>
    <n v="124"/>
    <x v="0"/>
    <d v="1899-12-30T00:04:23"/>
    <n v="5"/>
  </r>
  <r>
    <x v="2649"/>
    <s v="Greg"/>
    <x v="45"/>
    <d v="1899-12-30T17:19:41"/>
    <d v="2021-02-15T17:19:41"/>
    <x v="3"/>
    <x v="7"/>
    <x v="3"/>
    <x v="0"/>
    <s v="Y"/>
    <n v="55"/>
    <x v="0"/>
    <d v="1899-12-30T00:06:25"/>
    <n v="5"/>
  </r>
  <r>
    <x v="2650"/>
    <s v="Dan"/>
    <x v="45"/>
    <d v="1899-12-30T17:45:36"/>
    <d v="2021-02-15T17:45:36"/>
    <x v="3"/>
    <x v="7"/>
    <x v="3"/>
    <x v="1"/>
    <s v="N"/>
    <m/>
    <x v="0"/>
    <m/>
    <m/>
  </r>
  <r>
    <x v="2651"/>
    <s v="Jim"/>
    <x v="45"/>
    <d v="1899-12-30T17:45:36"/>
    <d v="2021-02-15T17:45:36"/>
    <x v="3"/>
    <x v="7"/>
    <x v="2"/>
    <x v="1"/>
    <s v="N"/>
    <m/>
    <x v="0"/>
    <m/>
    <m/>
  </r>
  <r>
    <x v="2652"/>
    <s v="Greg"/>
    <x v="46"/>
    <d v="1899-12-30T09:07:12"/>
    <d v="2021-02-16T09:07:12"/>
    <x v="4"/>
    <x v="0"/>
    <x v="3"/>
    <x v="0"/>
    <s v="Y"/>
    <n v="64"/>
    <x v="0"/>
    <d v="1899-12-30T00:05:06"/>
    <n v="2"/>
  </r>
  <r>
    <x v="2653"/>
    <s v="Diane"/>
    <x v="46"/>
    <d v="1899-12-30T09:07:12"/>
    <d v="2021-02-16T09:07:12"/>
    <x v="4"/>
    <x v="0"/>
    <x v="1"/>
    <x v="0"/>
    <s v="Y"/>
    <n v="82"/>
    <x v="0"/>
    <d v="1899-12-30T00:04:54"/>
    <n v="2"/>
  </r>
  <r>
    <x v="2654"/>
    <s v="Diane"/>
    <x v="46"/>
    <d v="1899-12-30T10:04:48"/>
    <d v="2021-02-16T10:04:48"/>
    <x v="4"/>
    <x v="1"/>
    <x v="4"/>
    <x v="0"/>
    <s v="Y"/>
    <n v="50"/>
    <x v="0"/>
    <d v="1899-12-30T00:03:19"/>
    <n v="4"/>
  </r>
  <r>
    <x v="2655"/>
    <s v="Stewart"/>
    <x v="46"/>
    <d v="1899-12-30T10:04:48"/>
    <d v="2021-02-16T10:04:48"/>
    <x v="4"/>
    <x v="1"/>
    <x v="0"/>
    <x v="0"/>
    <s v="Y"/>
    <n v="100"/>
    <x v="0"/>
    <d v="1899-12-30T00:03:42"/>
    <n v="4"/>
  </r>
  <r>
    <x v="2656"/>
    <s v="Jim"/>
    <x v="46"/>
    <d v="1899-12-30T10:23:31"/>
    <d v="2021-02-16T10:23:31"/>
    <x v="4"/>
    <x v="1"/>
    <x v="3"/>
    <x v="0"/>
    <s v="Y"/>
    <n v="26"/>
    <x v="0"/>
    <d v="1899-12-30T00:06:54"/>
    <n v="3"/>
  </r>
  <r>
    <x v="2657"/>
    <s v="Dan"/>
    <x v="46"/>
    <d v="1899-12-30T10:23:31"/>
    <d v="2021-02-16T10:23:31"/>
    <x v="4"/>
    <x v="1"/>
    <x v="2"/>
    <x v="0"/>
    <s v="Y"/>
    <n v="75"/>
    <x v="0"/>
    <d v="1899-12-30T00:04:14"/>
    <n v="2"/>
  </r>
  <r>
    <x v="2658"/>
    <s v="Greg"/>
    <x v="46"/>
    <d v="1899-12-30T10:30:43"/>
    <d v="2021-02-16T10:30:43"/>
    <x v="4"/>
    <x v="1"/>
    <x v="1"/>
    <x v="0"/>
    <s v="Y"/>
    <n v="26"/>
    <x v="0"/>
    <d v="1899-12-30T00:06:28"/>
    <n v="3"/>
  </r>
  <r>
    <x v="2659"/>
    <s v="Dan"/>
    <x v="46"/>
    <d v="1899-12-30T10:30:43"/>
    <d v="2021-02-16T10:30:43"/>
    <x v="4"/>
    <x v="1"/>
    <x v="2"/>
    <x v="0"/>
    <s v="Y"/>
    <n v="21"/>
    <x v="0"/>
    <d v="1899-12-30T00:05:08"/>
    <n v="3"/>
  </r>
  <r>
    <x v="2660"/>
    <s v="Stewart"/>
    <x v="46"/>
    <d v="1899-12-30T10:30:43"/>
    <d v="2021-02-16T10:30:43"/>
    <x v="4"/>
    <x v="1"/>
    <x v="3"/>
    <x v="0"/>
    <s v="Y"/>
    <n v="53"/>
    <x v="0"/>
    <d v="1899-12-30T00:00:31"/>
    <n v="1"/>
  </r>
  <r>
    <x v="2661"/>
    <s v="Greg"/>
    <x v="46"/>
    <d v="1899-12-30T10:30:43"/>
    <d v="2021-02-16T10:30:43"/>
    <x v="4"/>
    <x v="1"/>
    <x v="4"/>
    <x v="0"/>
    <s v="Y"/>
    <n v="109"/>
    <x v="0"/>
    <d v="1899-12-30T00:02:37"/>
    <n v="3"/>
  </r>
  <r>
    <x v="2662"/>
    <s v="Becky"/>
    <x v="46"/>
    <d v="1899-12-30T11:06:43"/>
    <d v="2021-02-16T11:06:43"/>
    <x v="4"/>
    <x v="2"/>
    <x v="4"/>
    <x v="0"/>
    <s v="Y"/>
    <n v="108"/>
    <x v="0"/>
    <d v="1899-12-30T00:06:04"/>
    <n v="3"/>
  </r>
  <r>
    <x v="2663"/>
    <s v="Stewart"/>
    <x v="46"/>
    <d v="1899-12-30T11:06:43"/>
    <d v="2021-02-16T11:06:43"/>
    <x v="4"/>
    <x v="2"/>
    <x v="0"/>
    <x v="0"/>
    <s v="Y"/>
    <n v="58"/>
    <x v="0"/>
    <d v="1899-12-30T00:05:16"/>
    <n v="5"/>
  </r>
  <r>
    <x v="2664"/>
    <s v="Stewart"/>
    <x v="46"/>
    <d v="1899-12-30T11:12:29"/>
    <d v="2021-02-16T11:12:29"/>
    <x v="4"/>
    <x v="2"/>
    <x v="2"/>
    <x v="0"/>
    <s v="Y"/>
    <n v="14"/>
    <x v="1"/>
    <d v="1899-12-30T00:05:51"/>
    <n v="5"/>
  </r>
  <r>
    <x v="2665"/>
    <s v="Martha"/>
    <x v="46"/>
    <d v="1899-12-30T11:12:29"/>
    <d v="2021-02-16T11:12:29"/>
    <x v="4"/>
    <x v="2"/>
    <x v="0"/>
    <x v="0"/>
    <s v="Y"/>
    <n v="74"/>
    <x v="0"/>
    <d v="1899-12-30T00:05:31"/>
    <n v="4"/>
  </r>
  <r>
    <x v="2666"/>
    <s v="Jim"/>
    <x v="46"/>
    <d v="1899-12-30T11:18:14"/>
    <d v="2021-02-16T11:18:14"/>
    <x v="4"/>
    <x v="2"/>
    <x v="0"/>
    <x v="1"/>
    <s v="N"/>
    <m/>
    <x v="0"/>
    <m/>
    <m/>
  </r>
  <r>
    <x v="2667"/>
    <s v="Jim"/>
    <x v="46"/>
    <d v="1899-12-30T11:18:14"/>
    <d v="2021-02-16T11:18:14"/>
    <x v="4"/>
    <x v="2"/>
    <x v="4"/>
    <x v="0"/>
    <s v="Y"/>
    <n v="54"/>
    <x v="0"/>
    <d v="1899-12-30T00:02:46"/>
    <n v="5"/>
  </r>
  <r>
    <x v="2668"/>
    <s v="Greg"/>
    <x v="46"/>
    <d v="1899-12-30T11:26:53"/>
    <d v="2021-02-16T11:26:53"/>
    <x v="4"/>
    <x v="2"/>
    <x v="4"/>
    <x v="0"/>
    <s v="Y"/>
    <n v="18"/>
    <x v="1"/>
    <d v="1899-12-30T00:03:43"/>
    <n v="4"/>
  </r>
  <r>
    <x v="2669"/>
    <s v="Joe"/>
    <x v="46"/>
    <d v="1899-12-30T11:26:53"/>
    <d v="2021-02-16T11:26:53"/>
    <x v="4"/>
    <x v="2"/>
    <x v="2"/>
    <x v="0"/>
    <s v="Y"/>
    <n v="39"/>
    <x v="0"/>
    <d v="1899-12-30T00:06:13"/>
    <n v="3"/>
  </r>
  <r>
    <x v="2670"/>
    <s v="Martha"/>
    <x v="46"/>
    <d v="1899-12-30T12:10:05"/>
    <d v="2021-02-16T12:10:05"/>
    <x v="4"/>
    <x v="3"/>
    <x v="2"/>
    <x v="0"/>
    <s v="Y"/>
    <n v="31"/>
    <x v="0"/>
    <d v="1899-12-30T00:03:17"/>
    <n v="1"/>
  </r>
  <r>
    <x v="2671"/>
    <s v="Diane"/>
    <x v="46"/>
    <d v="1899-12-30T12:10:05"/>
    <d v="2021-02-16T12:10:05"/>
    <x v="4"/>
    <x v="3"/>
    <x v="1"/>
    <x v="0"/>
    <s v="Y"/>
    <n v="118"/>
    <x v="0"/>
    <d v="1899-12-30T00:05:00"/>
    <n v="3"/>
  </r>
  <r>
    <x v="2672"/>
    <s v="Diane"/>
    <x v="46"/>
    <d v="1899-12-30T12:50:24"/>
    <d v="2021-02-16T12:50:24"/>
    <x v="4"/>
    <x v="3"/>
    <x v="2"/>
    <x v="1"/>
    <s v="N"/>
    <m/>
    <x v="0"/>
    <m/>
    <m/>
  </r>
  <r>
    <x v="2673"/>
    <s v="Joe"/>
    <x v="46"/>
    <d v="1899-12-30T12:50:24"/>
    <d v="2021-02-16T12:50:24"/>
    <x v="4"/>
    <x v="3"/>
    <x v="0"/>
    <x v="0"/>
    <s v="Y"/>
    <n v="118"/>
    <x v="0"/>
    <d v="1899-12-30T00:05:58"/>
    <n v="3"/>
  </r>
  <r>
    <x v="2674"/>
    <s v="Jim"/>
    <x v="46"/>
    <d v="1899-12-30T13:03:22"/>
    <d v="2021-02-16T13:03:22"/>
    <x v="4"/>
    <x v="4"/>
    <x v="2"/>
    <x v="0"/>
    <s v="Y"/>
    <n v="69"/>
    <x v="0"/>
    <d v="1899-12-30T00:03:37"/>
    <n v="4"/>
  </r>
  <r>
    <x v="2675"/>
    <s v="Greg"/>
    <x v="46"/>
    <d v="1899-12-30T13:03:22"/>
    <d v="2021-02-16T13:03:22"/>
    <x v="4"/>
    <x v="4"/>
    <x v="2"/>
    <x v="0"/>
    <s v="Y"/>
    <n v="125"/>
    <x v="0"/>
    <d v="1899-12-30T00:06:21"/>
    <n v="5"/>
  </r>
  <r>
    <x v="2676"/>
    <s v="Dan"/>
    <x v="46"/>
    <d v="1899-12-30T14:26:53"/>
    <d v="2021-02-16T14:26:53"/>
    <x v="4"/>
    <x v="5"/>
    <x v="4"/>
    <x v="0"/>
    <s v="N"/>
    <n v="47"/>
    <x v="0"/>
    <d v="1899-12-30T00:02:41"/>
    <n v="3"/>
  </r>
  <r>
    <x v="2677"/>
    <s v="Joe"/>
    <x v="46"/>
    <d v="1899-12-30T14:26:53"/>
    <d v="2021-02-16T14:26:53"/>
    <x v="4"/>
    <x v="5"/>
    <x v="2"/>
    <x v="0"/>
    <s v="Y"/>
    <n v="53"/>
    <x v="0"/>
    <d v="1899-12-30T00:01:04"/>
    <n v="1"/>
  </r>
  <r>
    <x v="2678"/>
    <s v="Diane"/>
    <x v="46"/>
    <d v="1899-12-30T14:48:29"/>
    <d v="2021-02-16T14:48:29"/>
    <x v="4"/>
    <x v="5"/>
    <x v="4"/>
    <x v="0"/>
    <s v="N"/>
    <n v="55"/>
    <x v="0"/>
    <d v="1899-12-30T00:04:37"/>
    <n v="2"/>
  </r>
  <r>
    <x v="2679"/>
    <s v="Martha"/>
    <x v="46"/>
    <d v="1899-12-30T14:48:29"/>
    <d v="2021-02-16T14:48:29"/>
    <x v="4"/>
    <x v="5"/>
    <x v="3"/>
    <x v="0"/>
    <s v="Y"/>
    <n v="91"/>
    <x v="0"/>
    <d v="1899-12-30T00:05:30"/>
    <n v="2"/>
  </r>
  <r>
    <x v="2680"/>
    <s v="Joe"/>
    <x v="46"/>
    <d v="1899-12-30T14:54:14"/>
    <d v="2021-02-16T14:54:14"/>
    <x v="4"/>
    <x v="5"/>
    <x v="1"/>
    <x v="0"/>
    <s v="Y"/>
    <n v="37"/>
    <x v="0"/>
    <d v="1899-12-30T00:05:23"/>
    <n v="3"/>
  </r>
  <r>
    <x v="2681"/>
    <s v="Jim"/>
    <x v="46"/>
    <d v="1899-12-30T14:54:14"/>
    <d v="2021-02-16T14:54:14"/>
    <x v="4"/>
    <x v="5"/>
    <x v="3"/>
    <x v="0"/>
    <s v="Y"/>
    <n v="118"/>
    <x v="0"/>
    <d v="1899-12-30T00:04:53"/>
    <n v="4"/>
  </r>
  <r>
    <x v="2682"/>
    <s v="Dan"/>
    <x v="46"/>
    <d v="1899-12-30T15:07:12"/>
    <d v="2021-02-16T15:07:12"/>
    <x v="4"/>
    <x v="6"/>
    <x v="1"/>
    <x v="0"/>
    <s v="Y"/>
    <n v="37"/>
    <x v="0"/>
    <d v="1899-12-30T00:05:36"/>
    <n v="5"/>
  </r>
  <r>
    <x v="2683"/>
    <s v="Becky"/>
    <x v="46"/>
    <d v="1899-12-30T15:07:12"/>
    <d v="2021-02-16T15:07:12"/>
    <x v="4"/>
    <x v="6"/>
    <x v="3"/>
    <x v="0"/>
    <s v="Y"/>
    <n v="124"/>
    <x v="0"/>
    <d v="1899-12-30T00:04:04"/>
    <n v="4"/>
  </r>
  <r>
    <x v="2684"/>
    <s v="Greg"/>
    <x v="46"/>
    <d v="1899-12-30T15:20:10"/>
    <d v="2021-02-16T15:20:10"/>
    <x v="4"/>
    <x v="6"/>
    <x v="1"/>
    <x v="0"/>
    <s v="Y"/>
    <n v="105"/>
    <x v="0"/>
    <d v="1899-12-30T00:01:35"/>
    <n v="4"/>
  </r>
  <r>
    <x v="2685"/>
    <s v="Diane"/>
    <x v="46"/>
    <d v="1899-12-30T15:20:10"/>
    <d v="2021-02-16T15:20:10"/>
    <x v="4"/>
    <x v="6"/>
    <x v="3"/>
    <x v="1"/>
    <s v="N"/>
    <m/>
    <x v="0"/>
    <m/>
    <m/>
  </r>
  <r>
    <x v="2686"/>
    <s v="Greg"/>
    <x v="46"/>
    <d v="1899-12-30T15:34:34"/>
    <d v="2021-02-16T15:34:34"/>
    <x v="4"/>
    <x v="6"/>
    <x v="1"/>
    <x v="0"/>
    <s v="Y"/>
    <n v="36"/>
    <x v="0"/>
    <d v="1899-12-30T00:03:27"/>
    <n v="1"/>
  </r>
  <r>
    <x v="2687"/>
    <s v="Martha"/>
    <x v="46"/>
    <d v="1899-12-30T15:34:34"/>
    <d v="2021-02-16T15:34:34"/>
    <x v="4"/>
    <x v="6"/>
    <x v="4"/>
    <x v="0"/>
    <s v="Y"/>
    <n v="87"/>
    <x v="0"/>
    <d v="1899-12-30T00:06:52"/>
    <n v="4"/>
  </r>
  <r>
    <x v="2688"/>
    <s v="Becky"/>
    <x v="46"/>
    <d v="1899-12-30T16:04:48"/>
    <d v="2021-02-16T16:04:48"/>
    <x v="4"/>
    <x v="8"/>
    <x v="1"/>
    <x v="0"/>
    <s v="Y"/>
    <n v="98"/>
    <x v="0"/>
    <d v="1899-12-30T00:05:02"/>
    <n v="4"/>
  </r>
  <r>
    <x v="2689"/>
    <s v="Dan"/>
    <x v="46"/>
    <d v="1899-12-30T16:04:48"/>
    <d v="2021-02-16T16:04:48"/>
    <x v="4"/>
    <x v="8"/>
    <x v="3"/>
    <x v="1"/>
    <s v="N"/>
    <m/>
    <x v="0"/>
    <m/>
    <m/>
  </r>
  <r>
    <x v="2690"/>
    <s v="Joe"/>
    <x v="46"/>
    <d v="1899-12-30T16:14:53"/>
    <d v="2021-02-16T16:14:53"/>
    <x v="4"/>
    <x v="8"/>
    <x v="2"/>
    <x v="0"/>
    <s v="Y"/>
    <n v="37"/>
    <x v="0"/>
    <d v="1899-12-30T00:02:51"/>
    <n v="3"/>
  </r>
  <r>
    <x v="2691"/>
    <s v="Jim"/>
    <x v="46"/>
    <d v="1899-12-30T16:14:53"/>
    <d v="2021-02-16T16:14:53"/>
    <x v="4"/>
    <x v="8"/>
    <x v="4"/>
    <x v="0"/>
    <s v="Y"/>
    <n v="65"/>
    <x v="0"/>
    <d v="1899-12-30T00:04:48"/>
    <n v="1"/>
  </r>
  <r>
    <x v="2692"/>
    <s v="Diane"/>
    <x v="46"/>
    <d v="1899-12-30T16:24:58"/>
    <d v="2021-02-16T16:24:58"/>
    <x v="4"/>
    <x v="8"/>
    <x v="0"/>
    <x v="0"/>
    <s v="Y"/>
    <n v="117"/>
    <x v="0"/>
    <d v="1899-12-30T00:06:27"/>
    <n v="3"/>
  </r>
  <r>
    <x v="2693"/>
    <s v="Dan"/>
    <x v="46"/>
    <d v="1899-12-30T16:24:58"/>
    <d v="2021-02-16T16:24:58"/>
    <x v="4"/>
    <x v="8"/>
    <x v="4"/>
    <x v="0"/>
    <s v="Y"/>
    <n v="70"/>
    <x v="0"/>
    <d v="1899-12-30T00:01:42"/>
    <n v="4"/>
  </r>
  <r>
    <x v="2694"/>
    <s v="Greg"/>
    <x v="46"/>
    <d v="1899-12-30T16:29:17"/>
    <d v="2021-02-16T16:29:17"/>
    <x v="4"/>
    <x v="8"/>
    <x v="4"/>
    <x v="1"/>
    <s v="N"/>
    <m/>
    <x v="0"/>
    <m/>
    <m/>
  </r>
  <r>
    <x v="2695"/>
    <s v="Becky"/>
    <x v="46"/>
    <d v="1899-12-30T16:29:17"/>
    <d v="2021-02-16T16:29:17"/>
    <x v="4"/>
    <x v="8"/>
    <x v="4"/>
    <x v="0"/>
    <s v="Y"/>
    <n v="30"/>
    <x v="0"/>
    <d v="1899-12-30T00:05:33"/>
    <n v="3"/>
  </r>
  <r>
    <x v="2696"/>
    <s v="Becky"/>
    <x v="46"/>
    <d v="1899-12-30T16:32:10"/>
    <d v="2021-02-16T16:32:10"/>
    <x v="4"/>
    <x v="8"/>
    <x v="1"/>
    <x v="1"/>
    <s v="N"/>
    <m/>
    <x v="0"/>
    <m/>
    <m/>
  </r>
  <r>
    <x v="2697"/>
    <s v="Jim"/>
    <x v="46"/>
    <d v="1899-12-30T16:32:10"/>
    <d v="2021-02-16T16:32:10"/>
    <x v="4"/>
    <x v="8"/>
    <x v="1"/>
    <x v="0"/>
    <s v="N"/>
    <n v="53"/>
    <x v="0"/>
    <d v="1899-12-30T00:04:39"/>
    <n v="3"/>
  </r>
  <r>
    <x v="2698"/>
    <s v="Becky"/>
    <x v="46"/>
    <d v="1899-12-30T17:12:29"/>
    <d v="2021-02-16T17:12:29"/>
    <x v="4"/>
    <x v="7"/>
    <x v="4"/>
    <x v="0"/>
    <s v="Y"/>
    <n v="69"/>
    <x v="0"/>
    <d v="1899-12-30T00:05:11"/>
    <n v="4"/>
  </r>
  <r>
    <x v="2699"/>
    <s v="Stewart"/>
    <x v="46"/>
    <d v="1899-12-30T17:12:29"/>
    <d v="2021-02-16T17:12:29"/>
    <x v="4"/>
    <x v="7"/>
    <x v="0"/>
    <x v="0"/>
    <s v="Y"/>
    <n v="109"/>
    <x v="0"/>
    <d v="1899-12-30T00:04:10"/>
    <n v="1"/>
  </r>
  <r>
    <x v="2700"/>
    <s v="Dan"/>
    <x v="46"/>
    <d v="1899-12-30T17:28:19"/>
    <d v="2021-02-16T17:28:19"/>
    <x v="4"/>
    <x v="7"/>
    <x v="1"/>
    <x v="0"/>
    <s v="Y"/>
    <n v="17"/>
    <x v="1"/>
    <d v="1899-12-30T00:00:42"/>
    <n v="5"/>
  </r>
  <r>
    <x v="2701"/>
    <s v="Martha"/>
    <x v="46"/>
    <d v="1899-12-30T17:28:19"/>
    <d v="2021-02-16T17:28:19"/>
    <x v="4"/>
    <x v="7"/>
    <x v="4"/>
    <x v="0"/>
    <s v="Y"/>
    <n v="109"/>
    <x v="0"/>
    <d v="1899-12-30T00:04:52"/>
    <n v="4"/>
  </r>
  <r>
    <x v="2702"/>
    <s v="Greg"/>
    <x v="46"/>
    <d v="1899-12-30T17:31:12"/>
    <d v="2021-02-16T17:31:12"/>
    <x v="4"/>
    <x v="7"/>
    <x v="0"/>
    <x v="0"/>
    <s v="Y"/>
    <n v="50"/>
    <x v="0"/>
    <d v="1899-12-30T00:05:46"/>
    <n v="5"/>
  </r>
  <r>
    <x v="2703"/>
    <s v="Becky"/>
    <x v="46"/>
    <d v="1899-12-30T17:31:12"/>
    <d v="2021-02-16T17:31:12"/>
    <x v="4"/>
    <x v="7"/>
    <x v="3"/>
    <x v="0"/>
    <s v="N"/>
    <n v="22"/>
    <x v="0"/>
    <d v="1899-12-30T00:03:31"/>
    <n v="3"/>
  </r>
  <r>
    <x v="2704"/>
    <s v="Diane"/>
    <x v="46"/>
    <d v="1899-12-30T17:45:36"/>
    <d v="2021-02-16T17:45:36"/>
    <x v="4"/>
    <x v="7"/>
    <x v="0"/>
    <x v="0"/>
    <s v="Y"/>
    <n v="100"/>
    <x v="0"/>
    <d v="1899-12-30T00:02:35"/>
    <n v="4"/>
  </r>
  <r>
    <x v="2705"/>
    <s v="Stewart"/>
    <x v="46"/>
    <d v="1899-12-30T17:45:36"/>
    <d v="2021-02-16T17:45:36"/>
    <x v="4"/>
    <x v="7"/>
    <x v="4"/>
    <x v="0"/>
    <s v="Y"/>
    <n v="101"/>
    <x v="0"/>
    <d v="1899-12-30T00:05:15"/>
    <n v="3"/>
  </r>
  <r>
    <x v="2706"/>
    <s v="Becky"/>
    <x v="46"/>
    <d v="1899-12-30T17:52:48"/>
    <d v="2021-02-16T17:52:48"/>
    <x v="4"/>
    <x v="7"/>
    <x v="2"/>
    <x v="0"/>
    <s v="Y"/>
    <n v="15"/>
    <x v="1"/>
    <d v="1899-12-30T00:02:49"/>
    <n v="3"/>
  </r>
  <r>
    <x v="2707"/>
    <s v="Diane"/>
    <x v="46"/>
    <d v="1899-12-30T17:52:48"/>
    <d v="2021-02-16T17:52:48"/>
    <x v="4"/>
    <x v="7"/>
    <x v="0"/>
    <x v="0"/>
    <s v="Y"/>
    <n v="59"/>
    <x v="0"/>
    <d v="1899-12-30T00:04:29"/>
    <n v="5"/>
  </r>
  <r>
    <x v="2708"/>
    <s v="Stewart"/>
    <x v="47"/>
    <d v="1899-12-30T09:01:26"/>
    <d v="2021-02-17T09:01:26"/>
    <x v="5"/>
    <x v="0"/>
    <x v="0"/>
    <x v="0"/>
    <s v="Y"/>
    <n v="93"/>
    <x v="0"/>
    <d v="1899-12-30T00:03:15"/>
    <n v="3"/>
  </r>
  <r>
    <x v="2709"/>
    <s v="Becky"/>
    <x v="47"/>
    <d v="1899-12-30T09:01:26"/>
    <d v="2021-02-17T09:01:26"/>
    <x v="5"/>
    <x v="0"/>
    <x v="2"/>
    <x v="0"/>
    <s v="Y"/>
    <n v="81"/>
    <x v="0"/>
    <d v="1899-12-30T00:06:25"/>
    <n v="4"/>
  </r>
  <r>
    <x v="2710"/>
    <s v="Jim"/>
    <x v="47"/>
    <d v="1899-12-30T09:17:17"/>
    <d v="2021-02-17T09:17:17"/>
    <x v="5"/>
    <x v="0"/>
    <x v="3"/>
    <x v="0"/>
    <s v="Y"/>
    <n v="20"/>
    <x v="1"/>
    <d v="1899-12-30T00:02:11"/>
    <n v="1"/>
  </r>
  <r>
    <x v="2711"/>
    <s v="Greg"/>
    <x v="47"/>
    <d v="1899-12-30T09:17:17"/>
    <d v="2021-02-17T09:17:17"/>
    <x v="5"/>
    <x v="0"/>
    <x v="0"/>
    <x v="0"/>
    <s v="Y"/>
    <n v="47"/>
    <x v="0"/>
    <d v="1899-12-30T00:00:35"/>
    <n v="3"/>
  </r>
  <r>
    <x v="2712"/>
    <s v="Diane"/>
    <x v="47"/>
    <d v="1899-12-30T09:23:02"/>
    <d v="2021-02-17T09:23:02"/>
    <x v="5"/>
    <x v="0"/>
    <x v="3"/>
    <x v="0"/>
    <s v="N"/>
    <n v="17"/>
    <x v="1"/>
    <d v="1899-12-30T00:03:02"/>
    <n v="1"/>
  </r>
  <r>
    <x v="2713"/>
    <s v="Stewart"/>
    <x v="47"/>
    <d v="1899-12-30T09:23:02"/>
    <d v="2021-02-17T09:23:02"/>
    <x v="5"/>
    <x v="0"/>
    <x v="2"/>
    <x v="0"/>
    <s v="N"/>
    <n v="15"/>
    <x v="1"/>
    <d v="1899-12-30T00:01:04"/>
    <n v="3"/>
  </r>
  <r>
    <x v="2714"/>
    <s v="Diane"/>
    <x v="47"/>
    <d v="1899-12-30T09:34:34"/>
    <d v="2021-02-17T09:34:34"/>
    <x v="5"/>
    <x v="0"/>
    <x v="1"/>
    <x v="0"/>
    <s v="Y"/>
    <n v="94"/>
    <x v="0"/>
    <d v="1899-12-30T00:06:10"/>
    <n v="5"/>
  </r>
  <r>
    <x v="2715"/>
    <s v="Martha"/>
    <x v="47"/>
    <d v="1899-12-30T09:34:34"/>
    <d v="2021-02-17T09:34:34"/>
    <x v="5"/>
    <x v="0"/>
    <x v="1"/>
    <x v="0"/>
    <s v="Y"/>
    <n v="10"/>
    <x v="1"/>
    <d v="1899-12-30T00:02:15"/>
    <n v="5"/>
  </r>
  <r>
    <x v="2716"/>
    <s v="Joe"/>
    <x v="47"/>
    <d v="1899-12-30T09:53:17"/>
    <d v="2021-02-17T09:53:17"/>
    <x v="5"/>
    <x v="0"/>
    <x v="3"/>
    <x v="0"/>
    <s v="Y"/>
    <n v="96"/>
    <x v="0"/>
    <d v="1899-12-30T00:04:12"/>
    <n v="3"/>
  </r>
  <r>
    <x v="2717"/>
    <s v="Joe"/>
    <x v="47"/>
    <d v="1899-12-30T09:53:17"/>
    <d v="2021-02-17T09:53:17"/>
    <x v="5"/>
    <x v="0"/>
    <x v="3"/>
    <x v="0"/>
    <s v="Y"/>
    <n v="32"/>
    <x v="0"/>
    <d v="1899-12-30T00:01:41"/>
    <n v="4"/>
  </r>
  <r>
    <x v="2718"/>
    <s v="Becky"/>
    <x v="47"/>
    <d v="1899-12-30T09:59:02"/>
    <d v="2021-02-17T09:59:02"/>
    <x v="5"/>
    <x v="0"/>
    <x v="4"/>
    <x v="0"/>
    <s v="Y"/>
    <n v="36"/>
    <x v="0"/>
    <d v="1899-12-30T00:05:02"/>
    <n v="1"/>
  </r>
  <r>
    <x v="2719"/>
    <s v="Martha"/>
    <x v="47"/>
    <d v="1899-12-30T09:59:02"/>
    <d v="2021-02-17T09:59:02"/>
    <x v="5"/>
    <x v="0"/>
    <x v="4"/>
    <x v="0"/>
    <s v="Y"/>
    <n v="50"/>
    <x v="0"/>
    <d v="1899-12-30T00:01:42"/>
    <n v="5"/>
  </r>
  <r>
    <x v="2720"/>
    <s v="Stewart"/>
    <x v="47"/>
    <d v="1899-12-30T10:03:22"/>
    <d v="2021-02-17T10:03:22"/>
    <x v="5"/>
    <x v="1"/>
    <x v="2"/>
    <x v="1"/>
    <s v="N"/>
    <m/>
    <x v="0"/>
    <m/>
    <m/>
  </r>
  <r>
    <x v="2721"/>
    <s v="Martha"/>
    <x v="47"/>
    <d v="1899-12-30T10:03:22"/>
    <d v="2021-02-17T10:03:22"/>
    <x v="5"/>
    <x v="1"/>
    <x v="2"/>
    <x v="0"/>
    <s v="Y"/>
    <n v="89"/>
    <x v="0"/>
    <d v="1899-12-30T00:00:33"/>
    <n v="2"/>
  </r>
  <r>
    <x v="2722"/>
    <s v="Diane"/>
    <x v="47"/>
    <d v="1899-12-30T10:36:29"/>
    <d v="2021-02-17T10:36:29"/>
    <x v="5"/>
    <x v="1"/>
    <x v="0"/>
    <x v="1"/>
    <s v="N"/>
    <m/>
    <x v="0"/>
    <m/>
    <m/>
  </r>
  <r>
    <x v="2723"/>
    <s v="Joe"/>
    <x v="47"/>
    <d v="1899-12-30T10:36:29"/>
    <d v="2021-02-17T10:36:29"/>
    <x v="5"/>
    <x v="1"/>
    <x v="3"/>
    <x v="0"/>
    <s v="Y"/>
    <n v="114"/>
    <x v="0"/>
    <d v="1899-12-30T00:05:47"/>
    <n v="5"/>
  </r>
  <r>
    <x v="2724"/>
    <s v="Martha"/>
    <x v="47"/>
    <d v="1899-12-30T10:43:41"/>
    <d v="2021-02-17T10:43:41"/>
    <x v="5"/>
    <x v="1"/>
    <x v="4"/>
    <x v="0"/>
    <s v="Y"/>
    <n v="44"/>
    <x v="0"/>
    <d v="1899-12-30T00:06:31"/>
    <n v="5"/>
  </r>
  <r>
    <x v="2725"/>
    <s v="Joe"/>
    <x v="47"/>
    <d v="1899-12-30T10:43:41"/>
    <d v="2021-02-17T10:43:41"/>
    <x v="5"/>
    <x v="1"/>
    <x v="3"/>
    <x v="0"/>
    <s v="Y"/>
    <n v="100"/>
    <x v="0"/>
    <d v="1899-12-30T00:06:06"/>
    <n v="5"/>
  </r>
  <r>
    <x v="2726"/>
    <s v="Jim"/>
    <x v="47"/>
    <d v="1899-12-30T11:24:00"/>
    <d v="2021-02-17T11:24:00"/>
    <x v="5"/>
    <x v="2"/>
    <x v="2"/>
    <x v="1"/>
    <s v="N"/>
    <m/>
    <x v="0"/>
    <m/>
    <m/>
  </r>
  <r>
    <x v="2727"/>
    <s v="Jim"/>
    <x v="47"/>
    <d v="1899-12-30T11:24:00"/>
    <d v="2021-02-17T11:24:00"/>
    <x v="5"/>
    <x v="2"/>
    <x v="0"/>
    <x v="0"/>
    <s v="Y"/>
    <n v="70"/>
    <x v="0"/>
    <d v="1899-12-30T00:00:49"/>
    <n v="4"/>
  </r>
  <r>
    <x v="2728"/>
    <s v="Martha"/>
    <x v="47"/>
    <d v="1899-12-30T11:24:00"/>
    <d v="2021-02-17T11:24:00"/>
    <x v="5"/>
    <x v="2"/>
    <x v="0"/>
    <x v="0"/>
    <s v="Y"/>
    <n v="16"/>
    <x v="1"/>
    <d v="1899-12-30T00:04:03"/>
    <n v="4"/>
  </r>
  <r>
    <x v="2729"/>
    <s v="Becky"/>
    <x v="47"/>
    <d v="1899-12-30T11:24:00"/>
    <d v="2021-02-17T11:24:00"/>
    <x v="5"/>
    <x v="2"/>
    <x v="3"/>
    <x v="0"/>
    <s v="Y"/>
    <n v="49"/>
    <x v="0"/>
    <d v="1899-12-30T00:01:04"/>
    <n v="4"/>
  </r>
  <r>
    <x v="2730"/>
    <s v="Joe"/>
    <x v="47"/>
    <d v="1899-12-30T11:28:19"/>
    <d v="2021-02-17T11:28:19"/>
    <x v="5"/>
    <x v="2"/>
    <x v="4"/>
    <x v="0"/>
    <s v="Y"/>
    <n v="96"/>
    <x v="0"/>
    <d v="1899-12-30T00:05:48"/>
    <n v="4"/>
  </r>
  <r>
    <x v="2731"/>
    <s v="Greg"/>
    <x v="47"/>
    <d v="1899-12-30T11:28:19"/>
    <d v="2021-02-17T11:28:19"/>
    <x v="5"/>
    <x v="2"/>
    <x v="3"/>
    <x v="0"/>
    <s v="Y"/>
    <n v="85"/>
    <x v="0"/>
    <d v="1899-12-30T00:05:36"/>
    <n v="4"/>
  </r>
  <r>
    <x v="2732"/>
    <s v="Martha"/>
    <x v="47"/>
    <d v="1899-12-30T11:42:43"/>
    <d v="2021-02-17T11:42:43"/>
    <x v="5"/>
    <x v="2"/>
    <x v="0"/>
    <x v="0"/>
    <s v="Y"/>
    <n v="65"/>
    <x v="0"/>
    <d v="1899-12-30T00:05:29"/>
    <n v="2"/>
  </r>
  <r>
    <x v="2733"/>
    <s v="Martha"/>
    <x v="47"/>
    <d v="1899-12-30T11:42:43"/>
    <d v="2021-02-17T11:42:43"/>
    <x v="5"/>
    <x v="2"/>
    <x v="2"/>
    <x v="0"/>
    <s v="Y"/>
    <n v="67"/>
    <x v="0"/>
    <d v="1899-12-30T00:00:30"/>
    <n v="4"/>
  </r>
  <r>
    <x v="2734"/>
    <s v="Greg"/>
    <x v="47"/>
    <d v="1899-12-30T12:05:46"/>
    <d v="2021-02-17T12:05:46"/>
    <x v="5"/>
    <x v="3"/>
    <x v="2"/>
    <x v="0"/>
    <s v="Y"/>
    <n v="50"/>
    <x v="0"/>
    <d v="1899-12-30T00:01:09"/>
    <n v="4"/>
  </r>
  <r>
    <x v="2735"/>
    <s v="Becky"/>
    <x v="47"/>
    <d v="1899-12-30T12:05:46"/>
    <d v="2021-02-17T12:05:46"/>
    <x v="5"/>
    <x v="3"/>
    <x v="4"/>
    <x v="1"/>
    <s v="N"/>
    <m/>
    <x v="0"/>
    <m/>
    <m/>
  </r>
  <r>
    <x v="2736"/>
    <s v="Diane"/>
    <x v="47"/>
    <d v="1899-12-30T12:10:05"/>
    <d v="2021-02-17T12:10:05"/>
    <x v="5"/>
    <x v="3"/>
    <x v="0"/>
    <x v="0"/>
    <s v="Y"/>
    <n v="79"/>
    <x v="0"/>
    <d v="1899-12-30T00:03:22"/>
    <n v="3"/>
  </r>
  <r>
    <x v="2737"/>
    <s v="Greg"/>
    <x v="47"/>
    <d v="1899-12-30T12:10:05"/>
    <d v="2021-02-17T12:10:05"/>
    <x v="5"/>
    <x v="3"/>
    <x v="1"/>
    <x v="0"/>
    <s v="Y"/>
    <n v="107"/>
    <x v="0"/>
    <d v="1899-12-30T00:03:53"/>
    <n v="4"/>
  </r>
  <r>
    <x v="2738"/>
    <s v="Martha"/>
    <x v="47"/>
    <d v="1899-12-30T12:11:31"/>
    <d v="2021-02-17T12:11:31"/>
    <x v="5"/>
    <x v="3"/>
    <x v="0"/>
    <x v="0"/>
    <s v="N"/>
    <n v="52"/>
    <x v="0"/>
    <d v="1899-12-30T00:04:50"/>
    <n v="1"/>
  </r>
  <r>
    <x v="2739"/>
    <s v="Jim"/>
    <x v="47"/>
    <d v="1899-12-30T12:11:31"/>
    <d v="2021-02-17T12:11:31"/>
    <x v="5"/>
    <x v="3"/>
    <x v="4"/>
    <x v="0"/>
    <s v="N"/>
    <n v="104"/>
    <x v="0"/>
    <d v="1899-12-30T00:06:25"/>
    <n v="1"/>
  </r>
  <r>
    <x v="2740"/>
    <s v="Joe"/>
    <x v="47"/>
    <d v="1899-12-30T12:17:17"/>
    <d v="2021-02-17T12:17:17"/>
    <x v="5"/>
    <x v="3"/>
    <x v="3"/>
    <x v="1"/>
    <s v="N"/>
    <m/>
    <x v="0"/>
    <m/>
    <m/>
  </r>
  <r>
    <x v="2741"/>
    <s v="Jim"/>
    <x v="47"/>
    <d v="1899-12-30T12:17:17"/>
    <d v="2021-02-17T12:17:17"/>
    <x v="5"/>
    <x v="3"/>
    <x v="0"/>
    <x v="0"/>
    <s v="Y"/>
    <n v="63"/>
    <x v="0"/>
    <d v="1899-12-30T00:00:54"/>
    <n v="1"/>
  </r>
  <r>
    <x v="2742"/>
    <s v="Becky"/>
    <x v="47"/>
    <d v="1899-12-30T13:03:22"/>
    <d v="2021-02-17T13:03:22"/>
    <x v="5"/>
    <x v="4"/>
    <x v="1"/>
    <x v="0"/>
    <s v="Y"/>
    <n v="79"/>
    <x v="0"/>
    <d v="1899-12-30T00:03:51"/>
    <n v="4"/>
  </r>
  <r>
    <x v="2743"/>
    <s v="Greg"/>
    <x v="47"/>
    <d v="1899-12-30T13:03:22"/>
    <d v="2021-02-17T13:03:22"/>
    <x v="5"/>
    <x v="4"/>
    <x v="4"/>
    <x v="0"/>
    <s v="N"/>
    <n v="21"/>
    <x v="0"/>
    <d v="1899-12-30T00:06:31"/>
    <n v="3"/>
  </r>
  <r>
    <x v="2744"/>
    <s v="Becky"/>
    <x v="47"/>
    <d v="1899-12-30T13:24:58"/>
    <d v="2021-02-17T13:24:58"/>
    <x v="5"/>
    <x v="4"/>
    <x v="1"/>
    <x v="0"/>
    <s v="Y"/>
    <n v="93"/>
    <x v="0"/>
    <d v="1899-12-30T00:05:36"/>
    <n v="3"/>
  </r>
  <r>
    <x v="2745"/>
    <s v="Joe"/>
    <x v="47"/>
    <d v="1899-12-30T13:24:58"/>
    <d v="2021-02-17T13:24:58"/>
    <x v="5"/>
    <x v="4"/>
    <x v="4"/>
    <x v="0"/>
    <s v="Y"/>
    <n v="72"/>
    <x v="0"/>
    <d v="1899-12-30T00:02:52"/>
    <n v="4"/>
  </r>
  <r>
    <x v="2746"/>
    <s v="Greg"/>
    <x v="47"/>
    <d v="1899-12-30T13:36:29"/>
    <d v="2021-02-17T13:36:29"/>
    <x v="5"/>
    <x v="4"/>
    <x v="3"/>
    <x v="0"/>
    <s v="Y"/>
    <n v="84"/>
    <x v="0"/>
    <d v="1899-12-30T00:04:32"/>
    <n v="3"/>
  </r>
  <r>
    <x v="2747"/>
    <s v="Stewart"/>
    <x v="47"/>
    <d v="1899-12-30T13:36:29"/>
    <d v="2021-02-17T13:36:29"/>
    <x v="5"/>
    <x v="4"/>
    <x v="3"/>
    <x v="1"/>
    <s v="N"/>
    <m/>
    <x v="0"/>
    <m/>
    <m/>
  </r>
  <r>
    <x v="2748"/>
    <s v="Jim"/>
    <x v="47"/>
    <d v="1899-12-30T14:19:41"/>
    <d v="2021-02-17T14:19:41"/>
    <x v="5"/>
    <x v="5"/>
    <x v="3"/>
    <x v="0"/>
    <s v="Y"/>
    <n v="45"/>
    <x v="0"/>
    <d v="1899-12-30T00:02:04"/>
    <n v="3"/>
  </r>
  <r>
    <x v="2749"/>
    <s v="Stewart"/>
    <x v="47"/>
    <d v="1899-12-30T14:19:41"/>
    <d v="2021-02-17T14:19:41"/>
    <x v="5"/>
    <x v="5"/>
    <x v="4"/>
    <x v="1"/>
    <s v="N"/>
    <m/>
    <x v="0"/>
    <m/>
    <m/>
  </r>
  <r>
    <x v="2750"/>
    <s v="Dan"/>
    <x v="47"/>
    <d v="1899-12-30T14:29:46"/>
    <d v="2021-02-17T14:29:46"/>
    <x v="5"/>
    <x v="5"/>
    <x v="4"/>
    <x v="0"/>
    <s v="N"/>
    <n v="49"/>
    <x v="0"/>
    <d v="1899-12-30T00:01:21"/>
    <n v="4"/>
  </r>
  <r>
    <x v="2751"/>
    <s v="Becky"/>
    <x v="47"/>
    <d v="1899-12-30T14:29:46"/>
    <d v="2021-02-17T14:29:46"/>
    <x v="5"/>
    <x v="5"/>
    <x v="3"/>
    <x v="0"/>
    <s v="Y"/>
    <n v="110"/>
    <x v="0"/>
    <d v="1899-12-30T00:06:06"/>
    <n v="4"/>
  </r>
  <r>
    <x v="2752"/>
    <s v="Diane"/>
    <x v="47"/>
    <d v="1899-12-30T14:32:38"/>
    <d v="2021-02-17T14:32:38"/>
    <x v="5"/>
    <x v="5"/>
    <x v="1"/>
    <x v="0"/>
    <s v="N"/>
    <n v="58"/>
    <x v="0"/>
    <d v="1899-12-30T00:02:13"/>
    <n v="3"/>
  </r>
  <r>
    <x v="2753"/>
    <s v="Joe"/>
    <x v="47"/>
    <d v="1899-12-30T14:32:38"/>
    <d v="2021-02-17T14:32:38"/>
    <x v="5"/>
    <x v="5"/>
    <x v="0"/>
    <x v="0"/>
    <s v="Y"/>
    <n v="35"/>
    <x v="0"/>
    <d v="1899-12-30T00:06:13"/>
    <n v="4"/>
  </r>
  <r>
    <x v="2754"/>
    <s v="Dan"/>
    <x v="47"/>
    <d v="1899-12-30T15:02:53"/>
    <d v="2021-02-17T15:02:53"/>
    <x v="5"/>
    <x v="6"/>
    <x v="2"/>
    <x v="0"/>
    <s v="Y"/>
    <n v="105"/>
    <x v="0"/>
    <d v="1899-12-30T00:01:10"/>
    <n v="4"/>
  </r>
  <r>
    <x v="2755"/>
    <s v="Diane"/>
    <x v="47"/>
    <d v="1899-12-30T15:02:53"/>
    <d v="2021-02-17T15:02:53"/>
    <x v="5"/>
    <x v="6"/>
    <x v="2"/>
    <x v="0"/>
    <s v="Y"/>
    <n v="99"/>
    <x v="0"/>
    <d v="1899-12-30T00:02:12"/>
    <n v="3"/>
  </r>
  <r>
    <x v="2756"/>
    <s v="Joe"/>
    <x v="47"/>
    <d v="1899-12-30T15:10:05"/>
    <d v="2021-02-17T15:10:05"/>
    <x v="5"/>
    <x v="6"/>
    <x v="0"/>
    <x v="0"/>
    <s v="Y"/>
    <n v="53"/>
    <x v="0"/>
    <d v="1899-12-30T00:04:02"/>
    <n v="2"/>
  </r>
  <r>
    <x v="2757"/>
    <s v="Greg"/>
    <x v="47"/>
    <d v="1899-12-30T15:10:05"/>
    <d v="2021-02-17T15:10:05"/>
    <x v="5"/>
    <x v="6"/>
    <x v="0"/>
    <x v="0"/>
    <s v="N"/>
    <n v="50"/>
    <x v="0"/>
    <d v="1899-12-30T00:06:42"/>
    <n v="4"/>
  </r>
  <r>
    <x v="2758"/>
    <s v="Jim"/>
    <x v="47"/>
    <d v="1899-12-30T15:46:05"/>
    <d v="2021-02-17T15:46:05"/>
    <x v="5"/>
    <x v="6"/>
    <x v="0"/>
    <x v="0"/>
    <s v="Y"/>
    <n v="114"/>
    <x v="0"/>
    <d v="1899-12-30T00:02:32"/>
    <n v="4"/>
  </r>
  <r>
    <x v="2759"/>
    <s v="Stewart"/>
    <x v="47"/>
    <d v="1899-12-30T15:46:05"/>
    <d v="2021-02-17T15:46:05"/>
    <x v="5"/>
    <x v="6"/>
    <x v="1"/>
    <x v="1"/>
    <s v="N"/>
    <m/>
    <x v="0"/>
    <m/>
    <m/>
  </r>
  <r>
    <x v="2760"/>
    <s v="Diane"/>
    <x v="47"/>
    <d v="1899-12-30T16:06:14"/>
    <d v="2021-02-17T16:06:14"/>
    <x v="5"/>
    <x v="8"/>
    <x v="2"/>
    <x v="1"/>
    <s v="N"/>
    <m/>
    <x v="0"/>
    <m/>
    <m/>
  </r>
  <r>
    <x v="2761"/>
    <s v="Dan"/>
    <x v="47"/>
    <d v="1899-12-30T16:06:14"/>
    <d v="2021-02-17T16:06:14"/>
    <x v="5"/>
    <x v="8"/>
    <x v="2"/>
    <x v="0"/>
    <s v="Y"/>
    <n v="87"/>
    <x v="0"/>
    <d v="1899-12-30T00:02:30"/>
    <n v="4"/>
  </r>
  <r>
    <x v="2762"/>
    <s v="Jim"/>
    <x v="47"/>
    <d v="1899-12-30T16:14:53"/>
    <d v="2021-02-17T16:14:53"/>
    <x v="5"/>
    <x v="8"/>
    <x v="2"/>
    <x v="0"/>
    <s v="N"/>
    <n v="55"/>
    <x v="0"/>
    <d v="1899-12-30T00:01:07"/>
    <n v="5"/>
  </r>
  <r>
    <x v="2763"/>
    <s v="Martha"/>
    <x v="47"/>
    <d v="1899-12-30T16:14:53"/>
    <d v="2021-02-17T16:14:53"/>
    <x v="5"/>
    <x v="8"/>
    <x v="3"/>
    <x v="0"/>
    <s v="Y"/>
    <n v="97"/>
    <x v="0"/>
    <d v="1899-12-30T00:05:54"/>
    <n v="4"/>
  </r>
  <r>
    <x v="2764"/>
    <s v="Martha"/>
    <x v="47"/>
    <d v="1899-12-30T16:27:50"/>
    <d v="2021-02-17T16:27:50"/>
    <x v="5"/>
    <x v="8"/>
    <x v="2"/>
    <x v="0"/>
    <s v="N"/>
    <n v="12"/>
    <x v="1"/>
    <d v="1899-12-30T00:04:28"/>
    <n v="3"/>
  </r>
  <r>
    <x v="2765"/>
    <s v="Greg"/>
    <x v="47"/>
    <d v="1899-12-30T16:27:50"/>
    <d v="2021-02-17T16:27:50"/>
    <x v="5"/>
    <x v="8"/>
    <x v="4"/>
    <x v="1"/>
    <s v="N"/>
    <m/>
    <x v="0"/>
    <m/>
    <m/>
  </r>
  <r>
    <x v="2766"/>
    <s v="Stewart"/>
    <x v="47"/>
    <d v="1899-12-30T16:36:29"/>
    <d v="2021-02-17T16:36:29"/>
    <x v="5"/>
    <x v="8"/>
    <x v="3"/>
    <x v="0"/>
    <s v="Y"/>
    <n v="79"/>
    <x v="0"/>
    <d v="1899-12-30T00:03:01"/>
    <n v="5"/>
  </r>
  <r>
    <x v="2767"/>
    <s v="Martha"/>
    <x v="47"/>
    <d v="1899-12-30T16:36:29"/>
    <d v="2021-02-17T16:36:29"/>
    <x v="5"/>
    <x v="8"/>
    <x v="1"/>
    <x v="0"/>
    <s v="Y"/>
    <n v="11"/>
    <x v="1"/>
    <d v="1899-12-30T00:06:23"/>
    <n v="3"/>
  </r>
  <r>
    <x v="2768"/>
    <s v="Stewart"/>
    <x v="47"/>
    <d v="1899-12-30T17:11:02"/>
    <d v="2021-02-17T17:11:02"/>
    <x v="5"/>
    <x v="7"/>
    <x v="2"/>
    <x v="0"/>
    <s v="N"/>
    <n v="69"/>
    <x v="0"/>
    <d v="1899-12-30T00:00:39"/>
    <n v="4"/>
  </r>
  <r>
    <x v="2769"/>
    <s v="Jim"/>
    <x v="47"/>
    <d v="1899-12-30T17:11:02"/>
    <d v="2021-02-17T17:11:02"/>
    <x v="5"/>
    <x v="7"/>
    <x v="3"/>
    <x v="1"/>
    <s v="N"/>
    <m/>
    <x v="0"/>
    <m/>
    <m/>
  </r>
  <r>
    <x v="2770"/>
    <s v="Martha"/>
    <x v="47"/>
    <d v="1899-12-30T17:12:29"/>
    <d v="2021-02-17T17:12:29"/>
    <x v="5"/>
    <x v="7"/>
    <x v="1"/>
    <x v="1"/>
    <s v="N"/>
    <m/>
    <x v="0"/>
    <m/>
    <m/>
  </r>
  <r>
    <x v="2771"/>
    <s v="Jim"/>
    <x v="47"/>
    <d v="1899-12-30T17:12:29"/>
    <d v="2021-02-17T17:12:29"/>
    <x v="5"/>
    <x v="7"/>
    <x v="3"/>
    <x v="0"/>
    <s v="Y"/>
    <n v="123"/>
    <x v="0"/>
    <d v="1899-12-30T00:01:48"/>
    <n v="3"/>
  </r>
  <r>
    <x v="2772"/>
    <s v="Joe"/>
    <x v="47"/>
    <d v="1899-12-30T17:44:10"/>
    <d v="2021-02-17T17:44:10"/>
    <x v="5"/>
    <x v="7"/>
    <x v="3"/>
    <x v="1"/>
    <s v="N"/>
    <m/>
    <x v="0"/>
    <m/>
    <m/>
  </r>
  <r>
    <x v="2773"/>
    <s v="Martha"/>
    <x v="47"/>
    <d v="1899-12-30T17:44:10"/>
    <d v="2021-02-17T17:44:10"/>
    <x v="5"/>
    <x v="7"/>
    <x v="3"/>
    <x v="0"/>
    <s v="N"/>
    <n v="48"/>
    <x v="0"/>
    <d v="1899-12-30T00:03:34"/>
    <n v="4"/>
  </r>
  <r>
    <x v="2774"/>
    <s v="Joe"/>
    <x v="47"/>
    <d v="1899-12-30T17:54:14"/>
    <d v="2021-02-17T17:54:14"/>
    <x v="5"/>
    <x v="7"/>
    <x v="0"/>
    <x v="0"/>
    <s v="Y"/>
    <n v="78"/>
    <x v="0"/>
    <d v="1899-12-30T00:06:57"/>
    <n v="3"/>
  </r>
  <r>
    <x v="2775"/>
    <s v="Joe"/>
    <x v="47"/>
    <d v="1899-12-30T17:54:14"/>
    <d v="2021-02-17T17:54:14"/>
    <x v="5"/>
    <x v="7"/>
    <x v="1"/>
    <x v="0"/>
    <s v="Y"/>
    <n v="109"/>
    <x v="0"/>
    <d v="1899-12-30T00:04:04"/>
    <n v="3"/>
  </r>
  <r>
    <x v="2776"/>
    <s v="Dan"/>
    <x v="48"/>
    <d v="1899-12-30T09:23:02"/>
    <d v="2021-02-18T09:23:02"/>
    <x v="6"/>
    <x v="0"/>
    <x v="1"/>
    <x v="0"/>
    <s v="N"/>
    <n v="61"/>
    <x v="0"/>
    <d v="1899-12-30T00:05:54"/>
    <n v="5"/>
  </r>
  <r>
    <x v="2777"/>
    <s v="Greg"/>
    <x v="48"/>
    <d v="1899-12-30T09:23:02"/>
    <d v="2021-02-18T09:23:02"/>
    <x v="6"/>
    <x v="0"/>
    <x v="2"/>
    <x v="0"/>
    <s v="Y"/>
    <n v="86"/>
    <x v="0"/>
    <d v="1899-12-30T00:01:37"/>
    <n v="2"/>
  </r>
  <r>
    <x v="2778"/>
    <s v="Greg"/>
    <x v="48"/>
    <d v="1899-12-30T09:43:12"/>
    <d v="2021-02-18T09:43:12"/>
    <x v="6"/>
    <x v="0"/>
    <x v="3"/>
    <x v="0"/>
    <s v="Y"/>
    <n v="74"/>
    <x v="0"/>
    <d v="1899-12-30T00:06:52"/>
    <n v="4"/>
  </r>
  <r>
    <x v="2779"/>
    <s v="Diane"/>
    <x v="48"/>
    <d v="1899-12-30T09:43:12"/>
    <d v="2021-02-18T09:43:12"/>
    <x v="6"/>
    <x v="0"/>
    <x v="2"/>
    <x v="0"/>
    <s v="Y"/>
    <n v="125"/>
    <x v="0"/>
    <d v="1899-12-30T00:04:53"/>
    <n v="3"/>
  </r>
  <r>
    <x v="2780"/>
    <s v="Becky"/>
    <x v="48"/>
    <d v="1899-12-30T10:00:29"/>
    <d v="2021-02-18T10:00:29"/>
    <x v="6"/>
    <x v="1"/>
    <x v="0"/>
    <x v="0"/>
    <s v="N"/>
    <n v="64"/>
    <x v="0"/>
    <d v="1899-12-30T00:06:09"/>
    <n v="2"/>
  </r>
  <r>
    <x v="2781"/>
    <s v="Joe"/>
    <x v="48"/>
    <d v="1899-12-30T10:00:29"/>
    <d v="2021-02-18T10:00:29"/>
    <x v="6"/>
    <x v="1"/>
    <x v="4"/>
    <x v="0"/>
    <s v="Y"/>
    <n v="63"/>
    <x v="0"/>
    <d v="1899-12-30T00:02:06"/>
    <n v="3"/>
  </r>
  <r>
    <x v="2782"/>
    <s v="Greg"/>
    <x v="48"/>
    <d v="1899-12-30T10:13:26"/>
    <d v="2021-02-18T10:13:26"/>
    <x v="6"/>
    <x v="1"/>
    <x v="3"/>
    <x v="0"/>
    <s v="Y"/>
    <n v="46"/>
    <x v="0"/>
    <d v="1899-12-30T00:06:36"/>
    <n v="4"/>
  </r>
  <r>
    <x v="2783"/>
    <s v="Greg"/>
    <x v="48"/>
    <d v="1899-12-30T10:13:26"/>
    <d v="2021-02-18T10:13:26"/>
    <x v="6"/>
    <x v="1"/>
    <x v="3"/>
    <x v="0"/>
    <s v="Y"/>
    <n v="63"/>
    <x v="0"/>
    <d v="1899-12-30T00:04:15"/>
    <n v="3"/>
  </r>
  <r>
    <x v="2784"/>
    <s v="Joe"/>
    <x v="48"/>
    <d v="1899-12-30T10:16:19"/>
    <d v="2021-02-18T10:16:19"/>
    <x v="6"/>
    <x v="1"/>
    <x v="0"/>
    <x v="0"/>
    <s v="Y"/>
    <n v="96"/>
    <x v="0"/>
    <d v="1899-12-30T00:00:47"/>
    <n v="4"/>
  </r>
  <r>
    <x v="2785"/>
    <s v="Dan"/>
    <x v="48"/>
    <d v="1899-12-30T10:16:19"/>
    <d v="2021-02-18T10:16:19"/>
    <x v="6"/>
    <x v="1"/>
    <x v="4"/>
    <x v="0"/>
    <s v="Y"/>
    <n v="37"/>
    <x v="0"/>
    <d v="1899-12-30T00:04:25"/>
    <n v="3"/>
  </r>
  <r>
    <x v="2786"/>
    <s v="Dan"/>
    <x v="48"/>
    <d v="1899-12-30T10:33:36"/>
    <d v="2021-02-18T10:33:36"/>
    <x v="6"/>
    <x v="1"/>
    <x v="0"/>
    <x v="0"/>
    <s v="Y"/>
    <n v="73"/>
    <x v="0"/>
    <d v="1899-12-30T00:03:24"/>
    <n v="4"/>
  </r>
  <r>
    <x v="2787"/>
    <s v="Diane"/>
    <x v="48"/>
    <d v="1899-12-30T10:33:36"/>
    <d v="2021-02-18T10:33:36"/>
    <x v="6"/>
    <x v="1"/>
    <x v="2"/>
    <x v="0"/>
    <s v="Y"/>
    <n v="111"/>
    <x v="0"/>
    <d v="1899-12-30T00:02:18"/>
    <n v="4"/>
  </r>
  <r>
    <x v="2788"/>
    <s v="Joe"/>
    <x v="48"/>
    <d v="1899-12-30T10:37:55"/>
    <d v="2021-02-18T10:37:55"/>
    <x v="6"/>
    <x v="1"/>
    <x v="2"/>
    <x v="1"/>
    <s v="N"/>
    <m/>
    <x v="0"/>
    <m/>
    <m/>
  </r>
  <r>
    <x v="2789"/>
    <s v="Joe"/>
    <x v="48"/>
    <d v="1899-12-30T10:37:55"/>
    <d v="2021-02-18T10:37:55"/>
    <x v="6"/>
    <x v="1"/>
    <x v="4"/>
    <x v="0"/>
    <s v="Y"/>
    <n v="79"/>
    <x v="0"/>
    <d v="1899-12-30T00:03:08"/>
    <n v="2"/>
  </r>
  <r>
    <x v="2790"/>
    <s v="Greg"/>
    <x v="48"/>
    <d v="1899-12-30T10:56:38"/>
    <d v="2021-02-18T10:56:38"/>
    <x v="6"/>
    <x v="1"/>
    <x v="3"/>
    <x v="1"/>
    <s v="N"/>
    <m/>
    <x v="0"/>
    <m/>
    <m/>
  </r>
  <r>
    <x v="2791"/>
    <s v="Dan"/>
    <x v="48"/>
    <d v="1899-12-30T10:56:38"/>
    <d v="2021-02-18T10:56:38"/>
    <x v="6"/>
    <x v="1"/>
    <x v="3"/>
    <x v="0"/>
    <s v="N"/>
    <n v="32"/>
    <x v="0"/>
    <d v="1899-12-30T00:05:36"/>
    <n v="3"/>
  </r>
  <r>
    <x v="2792"/>
    <s v="Dan"/>
    <x v="48"/>
    <d v="1899-12-30T11:18:14"/>
    <d v="2021-02-18T11:18:14"/>
    <x v="6"/>
    <x v="2"/>
    <x v="0"/>
    <x v="0"/>
    <s v="Y"/>
    <n v="60"/>
    <x v="0"/>
    <d v="1899-12-30T00:04:50"/>
    <n v="3"/>
  </r>
  <r>
    <x v="2793"/>
    <s v="Dan"/>
    <x v="48"/>
    <d v="1899-12-30T11:18:14"/>
    <d v="2021-02-18T11:18:14"/>
    <x v="6"/>
    <x v="2"/>
    <x v="2"/>
    <x v="0"/>
    <s v="Y"/>
    <n v="25"/>
    <x v="0"/>
    <d v="1899-12-30T00:05:31"/>
    <n v="3"/>
  </r>
  <r>
    <x v="2794"/>
    <s v="Jim"/>
    <x v="48"/>
    <d v="1899-12-30T11:18:14"/>
    <d v="2021-02-18T11:18:14"/>
    <x v="6"/>
    <x v="2"/>
    <x v="2"/>
    <x v="0"/>
    <s v="Y"/>
    <n v="72"/>
    <x v="0"/>
    <d v="1899-12-30T00:04:11"/>
    <n v="4"/>
  </r>
  <r>
    <x v="2795"/>
    <s v="Dan"/>
    <x v="48"/>
    <d v="1899-12-30T11:18:14"/>
    <d v="2021-02-18T11:18:14"/>
    <x v="6"/>
    <x v="2"/>
    <x v="1"/>
    <x v="0"/>
    <s v="Y"/>
    <n v="82"/>
    <x v="0"/>
    <d v="1899-12-30T00:01:07"/>
    <n v="3"/>
  </r>
  <r>
    <x v="2796"/>
    <s v="Jim"/>
    <x v="48"/>
    <d v="1899-12-30T11:25:26"/>
    <d v="2021-02-18T11:25:26"/>
    <x v="6"/>
    <x v="2"/>
    <x v="2"/>
    <x v="1"/>
    <s v="N"/>
    <m/>
    <x v="0"/>
    <m/>
    <m/>
  </r>
  <r>
    <x v="2797"/>
    <s v="Diane"/>
    <x v="48"/>
    <d v="1899-12-30T11:25:26"/>
    <d v="2021-02-18T11:25:26"/>
    <x v="6"/>
    <x v="2"/>
    <x v="3"/>
    <x v="0"/>
    <s v="Y"/>
    <n v="104"/>
    <x v="0"/>
    <d v="1899-12-30T00:06:44"/>
    <n v="4"/>
  </r>
  <r>
    <x v="2798"/>
    <s v="Stewart"/>
    <x v="48"/>
    <d v="1899-12-30T11:34:05"/>
    <d v="2021-02-18T11:34:05"/>
    <x v="6"/>
    <x v="2"/>
    <x v="1"/>
    <x v="1"/>
    <s v="N"/>
    <m/>
    <x v="0"/>
    <m/>
    <m/>
  </r>
  <r>
    <x v="2799"/>
    <s v="Becky"/>
    <x v="48"/>
    <d v="1899-12-30T11:34:05"/>
    <d v="2021-02-18T11:34:05"/>
    <x v="6"/>
    <x v="2"/>
    <x v="1"/>
    <x v="0"/>
    <s v="Y"/>
    <n v="102"/>
    <x v="0"/>
    <d v="1899-12-30T00:02:24"/>
    <n v="5"/>
  </r>
  <r>
    <x v="2800"/>
    <s v="Dan"/>
    <x v="48"/>
    <d v="1899-12-30T11:38:24"/>
    <d v="2021-02-18T11:38:24"/>
    <x v="6"/>
    <x v="2"/>
    <x v="4"/>
    <x v="1"/>
    <s v="N"/>
    <m/>
    <x v="0"/>
    <m/>
    <m/>
  </r>
  <r>
    <x v="2801"/>
    <s v="Dan"/>
    <x v="48"/>
    <d v="1899-12-30T11:38:24"/>
    <d v="2021-02-18T11:38:24"/>
    <x v="6"/>
    <x v="2"/>
    <x v="1"/>
    <x v="1"/>
    <s v="N"/>
    <m/>
    <x v="0"/>
    <m/>
    <m/>
  </r>
  <r>
    <x v="2802"/>
    <s v="Martha"/>
    <x v="48"/>
    <d v="1899-12-30T13:04:48"/>
    <d v="2021-02-18T13:04:48"/>
    <x v="6"/>
    <x v="4"/>
    <x v="4"/>
    <x v="0"/>
    <s v="N"/>
    <n v="86"/>
    <x v="0"/>
    <d v="1899-12-30T00:01:35"/>
    <n v="3"/>
  </r>
  <r>
    <x v="2803"/>
    <s v="Becky"/>
    <x v="48"/>
    <d v="1899-12-30T13:04:48"/>
    <d v="2021-02-18T13:04:48"/>
    <x v="6"/>
    <x v="4"/>
    <x v="1"/>
    <x v="0"/>
    <s v="Y"/>
    <n v="93"/>
    <x v="0"/>
    <d v="1899-12-30T00:06:04"/>
    <n v="2"/>
  </r>
  <r>
    <x v="2804"/>
    <s v="Stewart"/>
    <x v="48"/>
    <d v="1899-12-30T13:33:36"/>
    <d v="2021-02-18T13:33:36"/>
    <x v="6"/>
    <x v="4"/>
    <x v="3"/>
    <x v="1"/>
    <s v="N"/>
    <m/>
    <x v="0"/>
    <m/>
    <m/>
  </r>
  <r>
    <x v="2805"/>
    <s v="Jim"/>
    <x v="48"/>
    <d v="1899-12-30T13:33:36"/>
    <d v="2021-02-18T13:33:36"/>
    <x v="6"/>
    <x v="4"/>
    <x v="4"/>
    <x v="1"/>
    <s v="N"/>
    <m/>
    <x v="0"/>
    <m/>
    <m/>
  </r>
  <r>
    <x v="2806"/>
    <s v="Dan"/>
    <x v="48"/>
    <d v="1899-12-30T13:37:55"/>
    <d v="2021-02-18T13:37:55"/>
    <x v="6"/>
    <x v="4"/>
    <x v="1"/>
    <x v="0"/>
    <s v="Y"/>
    <n v="39"/>
    <x v="0"/>
    <d v="1899-12-30T00:04:13"/>
    <n v="2"/>
  </r>
  <r>
    <x v="2807"/>
    <s v="Stewart"/>
    <x v="48"/>
    <d v="1899-12-30T13:37:55"/>
    <d v="2021-02-18T13:37:55"/>
    <x v="6"/>
    <x v="4"/>
    <x v="3"/>
    <x v="0"/>
    <s v="Y"/>
    <n v="119"/>
    <x v="0"/>
    <d v="1899-12-30T00:00:46"/>
    <n v="4"/>
  </r>
  <r>
    <x v="2808"/>
    <s v="Martha"/>
    <x v="48"/>
    <d v="1899-12-30T13:45:07"/>
    <d v="2021-02-18T13:45:07"/>
    <x v="6"/>
    <x v="4"/>
    <x v="0"/>
    <x v="1"/>
    <s v="N"/>
    <m/>
    <x v="0"/>
    <m/>
    <m/>
  </r>
  <r>
    <x v="2809"/>
    <s v="Stewart"/>
    <x v="48"/>
    <d v="1899-12-30T13:45:07"/>
    <d v="2021-02-18T13:45:07"/>
    <x v="6"/>
    <x v="4"/>
    <x v="1"/>
    <x v="0"/>
    <s v="Y"/>
    <n v="71"/>
    <x v="0"/>
    <d v="1899-12-30T00:00:42"/>
    <n v="3"/>
  </r>
  <r>
    <x v="2810"/>
    <s v="Joe"/>
    <x v="48"/>
    <d v="1899-12-30T13:48:00"/>
    <d v="2021-02-18T13:48:00"/>
    <x v="6"/>
    <x v="4"/>
    <x v="4"/>
    <x v="0"/>
    <s v="Y"/>
    <n v="111"/>
    <x v="0"/>
    <d v="1899-12-30T00:06:54"/>
    <n v="1"/>
  </r>
  <r>
    <x v="2811"/>
    <s v="Martha"/>
    <x v="48"/>
    <d v="1899-12-30T13:48:00"/>
    <d v="2021-02-18T13:48:00"/>
    <x v="6"/>
    <x v="4"/>
    <x v="4"/>
    <x v="0"/>
    <s v="N"/>
    <n v="120"/>
    <x v="0"/>
    <d v="1899-12-30T00:04:00"/>
    <n v="1"/>
  </r>
  <r>
    <x v="2812"/>
    <s v="Joe"/>
    <x v="48"/>
    <d v="1899-12-30T14:47:02"/>
    <d v="2021-02-18T14:47:02"/>
    <x v="6"/>
    <x v="5"/>
    <x v="1"/>
    <x v="1"/>
    <s v="N"/>
    <m/>
    <x v="0"/>
    <m/>
    <m/>
  </r>
  <r>
    <x v="2813"/>
    <s v="Diane"/>
    <x v="48"/>
    <d v="1899-12-30T14:47:02"/>
    <d v="2021-02-18T14:47:02"/>
    <x v="6"/>
    <x v="5"/>
    <x v="3"/>
    <x v="0"/>
    <s v="Y"/>
    <n v="81"/>
    <x v="0"/>
    <d v="1899-12-30T00:03:02"/>
    <n v="5"/>
  </r>
  <r>
    <x v="2814"/>
    <s v="Jim"/>
    <x v="48"/>
    <d v="1899-12-30T14:52:48"/>
    <d v="2021-02-18T14:52:48"/>
    <x v="6"/>
    <x v="5"/>
    <x v="2"/>
    <x v="1"/>
    <s v="N"/>
    <m/>
    <x v="0"/>
    <m/>
    <m/>
  </r>
  <r>
    <x v="2815"/>
    <s v="Martha"/>
    <x v="48"/>
    <d v="1899-12-30T14:52:48"/>
    <d v="2021-02-18T14:52:48"/>
    <x v="6"/>
    <x v="5"/>
    <x v="4"/>
    <x v="0"/>
    <s v="Y"/>
    <n v="40"/>
    <x v="0"/>
    <d v="1899-12-30T00:02:23"/>
    <n v="1"/>
  </r>
  <r>
    <x v="2816"/>
    <s v="Dan"/>
    <x v="48"/>
    <d v="1899-12-30T15:15:50"/>
    <d v="2021-02-18T15:15:50"/>
    <x v="6"/>
    <x v="6"/>
    <x v="3"/>
    <x v="0"/>
    <s v="Y"/>
    <n v="114"/>
    <x v="0"/>
    <d v="1899-12-30T00:02:59"/>
    <n v="5"/>
  </r>
  <r>
    <x v="2817"/>
    <s v="Jim"/>
    <x v="48"/>
    <d v="1899-12-30T15:15:50"/>
    <d v="2021-02-18T15:15:50"/>
    <x v="6"/>
    <x v="6"/>
    <x v="0"/>
    <x v="1"/>
    <s v="N"/>
    <m/>
    <x v="0"/>
    <m/>
    <m/>
  </r>
  <r>
    <x v="2818"/>
    <s v="Jim"/>
    <x v="48"/>
    <d v="1899-12-30T16:00:29"/>
    <d v="2021-02-18T16:00:29"/>
    <x v="6"/>
    <x v="8"/>
    <x v="2"/>
    <x v="1"/>
    <s v="N"/>
    <m/>
    <x v="0"/>
    <m/>
    <m/>
  </r>
  <r>
    <x v="2819"/>
    <s v="Jim"/>
    <x v="48"/>
    <d v="1899-12-30T16:00:29"/>
    <d v="2021-02-18T16:00:29"/>
    <x v="6"/>
    <x v="8"/>
    <x v="0"/>
    <x v="0"/>
    <s v="Y"/>
    <n v="29"/>
    <x v="0"/>
    <d v="1899-12-30T00:00:48"/>
    <n v="4"/>
  </r>
  <r>
    <x v="2820"/>
    <s v="Jim"/>
    <x v="48"/>
    <d v="1899-12-30T16:03:22"/>
    <d v="2021-02-18T16:03:22"/>
    <x v="6"/>
    <x v="8"/>
    <x v="1"/>
    <x v="0"/>
    <s v="Y"/>
    <n v="56"/>
    <x v="0"/>
    <d v="1899-12-30T00:06:30"/>
    <n v="3"/>
  </r>
  <r>
    <x v="2821"/>
    <s v="Diane"/>
    <x v="48"/>
    <d v="1899-12-30T16:03:22"/>
    <d v="2021-02-18T16:03:22"/>
    <x v="6"/>
    <x v="8"/>
    <x v="1"/>
    <x v="0"/>
    <s v="N"/>
    <n v="58"/>
    <x v="0"/>
    <d v="1899-12-30T00:02:45"/>
    <n v="4"/>
  </r>
  <r>
    <x v="2822"/>
    <s v="Martha"/>
    <x v="48"/>
    <d v="1899-12-30T16:58:05"/>
    <d v="2021-02-18T16:58:05"/>
    <x v="6"/>
    <x v="8"/>
    <x v="1"/>
    <x v="0"/>
    <s v="Y"/>
    <n v="68"/>
    <x v="0"/>
    <d v="1899-12-30T00:03:02"/>
    <n v="5"/>
  </r>
  <r>
    <x v="2823"/>
    <s v="Jim"/>
    <x v="48"/>
    <d v="1899-12-30T16:58:05"/>
    <d v="2021-02-18T16:58:05"/>
    <x v="6"/>
    <x v="8"/>
    <x v="3"/>
    <x v="0"/>
    <s v="N"/>
    <n v="114"/>
    <x v="0"/>
    <d v="1899-12-30T00:01:05"/>
    <n v="3"/>
  </r>
  <r>
    <x v="2824"/>
    <s v="Greg"/>
    <x v="48"/>
    <d v="1899-12-30T16:59:31"/>
    <d v="2021-02-18T16:59:31"/>
    <x v="6"/>
    <x v="8"/>
    <x v="1"/>
    <x v="0"/>
    <s v="Y"/>
    <n v="11"/>
    <x v="1"/>
    <d v="1899-12-30T00:03:08"/>
    <n v="3"/>
  </r>
  <r>
    <x v="2825"/>
    <s v="Becky"/>
    <x v="48"/>
    <d v="1899-12-30T16:59:31"/>
    <d v="2021-02-18T16:59:31"/>
    <x v="6"/>
    <x v="8"/>
    <x v="4"/>
    <x v="0"/>
    <s v="Y"/>
    <n v="46"/>
    <x v="0"/>
    <d v="1899-12-30T00:01:43"/>
    <n v="3"/>
  </r>
  <r>
    <x v="2826"/>
    <s v="Jim"/>
    <x v="49"/>
    <d v="1899-12-30T09:01:26"/>
    <d v="2021-02-19T09:01:26"/>
    <x v="0"/>
    <x v="0"/>
    <x v="3"/>
    <x v="0"/>
    <s v="Y"/>
    <n v="78"/>
    <x v="0"/>
    <d v="1899-12-30T00:06:46"/>
    <n v="4"/>
  </r>
  <r>
    <x v="2827"/>
    <s v="Joe"/>
    <x v="49"/>
    <d v="1899-12-30T09:01:26"/>
    <d v="2021-02-19T09:01:26"/>
    <x v="0"/>
    <x v="0"/>
    <x v="2"/>
    <x v="1"/>
    <s v="N"/>
    <m/>
    <x v="0"/>
    <m/>
    <m/>
  </r>
  <r>
    <x v="2828"/>
    <s v="Joe"/>
    <x v="49"/>
    <d v="1899-12-30T09:17:17"/>
    <d v="2021-02-19T09:17:17"/>
    <x v="0"/>
    <x v="0"/>
    <x v="3"/>
    <x v="0"/>
    <s v="Y"/>
    <n v="53"/>
    <x v="0"/>
    <d v="1899-12-30T00:05:01"/>
    <n v="3"/>
  </r>
  <r>
    <x v="2829"/>
    <s v="Jim"/>
    <x v="49"/>
    <d v="1899-12-30T09:17:17"/>
    <d v="2021-02-19T09:17:17"/>
    <x v="0"/>
    <x v="0"/>
    <x v="2"/>
    <x v="0"/>
    <s v="Y"/>
    <n v="37"/>
    <x v="0"/>
    <d v="1899-12-30T00:03:21"/>
    <n v="1"/>
  </r>
  <r>
    <x v="2830"/>
    <s v="Diane"/>
    <x v="49"/>
    <d v="1899-12-30T09:18:43"/>
    <d v="2021-02-19T09:18:43"/>
    <x v="0"/>
    <x v="0"/>
    <x v="4"/>
    <x v="0"/>
    <s v="Y"/>
    <n v="111"/>
    <x v="0"/>
    <d v="1899-12-30T00:03:40"/>
    <n v="4"/>
  </r>
  <r>
    <x v="2831"/>
    <s v="Dan"/>
    <x v="49"/>
    <d v="1899-12-30T09:18:43"/>
    <d v="2021-02-19T09:18:43"/>
    <x v="0"/>
    <x v="0"/>
    <x v="0"/>
    <x v="0"/>
    <s v="N"/>
    <n v="14"/>
    <x v="1"/>
    <d v="1899-12-30T00:00:54"/>
    <n v="5"/>
  </r>
  <r>
    <x v="2832"/>
    <s v="Diane"/>
    <x v="49"/>
    <d v="1899-12-30T09:25:55"/>
    <d v="2021-02-19T09:25:55"/>
    <x v="0"/>
    <x v="0"/>
    <x v="4"/>
    <x v="0"/>
    <s v="Y"/>
    <n v="82"/>
    <x v="0"/>
    <d v="1899-12-30T00:02:48"/>
    <n v="3"/>
  </r>
  <r>
    <x v="2833"/>
    <s v="Stewart"/>
    <x v="49"/>
    <d v="1899-12-30T09:25:55"/>
    <d v="2021-02-19T09:25:55"/>
    <x v="0"/>
    <x v="0"/>
    <x v="0"/>
    <x v="1"/>
    <s v="N"/>
    <m/>
    <x v="0"/>
    <m/>
    <m/>
  </r>
  <r>
    <x v="2834"/>
    <s v="Dan"/>
    <x v="49"/>
    <d v="1899-12-30T10:46:34"/>
    <d v="2021-02-19T10:46:34"/>
    <x v="0"/>
    <x v="1"/>
    <x v="2"/>
    <x v="1"/>
    <s v="N"/>
    <m/>
    <x v="0"/>
    <m/>
    <m/>
  </r>
  <r>
    <x v="2835"/>
    <s v="Jim"/>
    <x v="49"/>
    <d v="1899-12-30T10:46:34"/>
    <d v="2021-02-19T10:46:34"/>
    <x v="0"/>
    <x v="1"/>
    <x v="3"/>
    <x v="1"/>
    <s v="N"/>
    <m/>
    <x v="0"/>
    <m/>
    <m/>
  </r>
  <r>
    <x v="2836"/>
    <s v="Stewart"/>
    <x v="49"/>
    <d v="1899-12-30T11:22:34"/>
    <d v="2021-02-19T11:22:34"/>
    <x v="0"/>
    <x v="2"/>
    <x v="0"/>
    <x v="0"/>
    <s v="Y"/>
    <n v="69"/>
    <x v="0"/>
    <d v="1899-12-30T00:04:54"/>
    <n v="3"/>
  </r>
  <r>
    <x v="2837"/>
    <s v="Diane"/>
    <x v="49"/>
    <d v="1899-12-30T11:22:34"/>
    <d v="2021-02-19T11:22:34"/>
    <x v="0"/>
    <x v="2"/>
    <x v="4"/>
    <x v="0"/>
    <s v="Y"/>
    <n v="21"/>
    <x v="0"/>
    <d v="1899-12-30T00:06:54"/>
    <n v="3"/>
  </r>
  <r>
    <x v="2838"/>
    <s v="Becky"/>
    <x v="49"/>
    <d v="1899-12-30T11:42:43"/>
    <d v="2021-02-19T11:42:43"/>
    <x v="0"/>
    <x v="2"/>
    <x v="2"/>
    <x v="0"/>
    <s v="Y"/>
    <n v="113"/>
    <x v="0"/>
    <d v="1899-12-30T00:00:41"/>
    <n v="2"/>
  </r>
  <r>
    <x v="2839"/>
    <s v="Martha"/>
    <x v="49"/>
    <d v="1899-12-30T11:42:43"/>
    <d v="2021-02-19T11:42:43"/>
    <x v="0"/>
    <x v="2"/>
    <x v="4"/>
    <x v="0"/>
    <s v="Y"/>
    <n v="34"/>
    <x v="0"/>
    <d v="1899-12-30T00:03:31"/>
    <n v="3"/>
  </r>
  <r>
    <x v="2840"/>
    <s v="Jim"/>
    <x v="49"/>
    <d v="1899-12-30T11:54:14"/>
    <d v="2021-02-19T11:54:14"/>
    <x v="0"/>
    <x v="2"/>
    <x v="2"/>
    <x v="0"/>
    <s v="N"/>
    <n v="26"/>
    <x v="0"/>
    <d v="1899-12-30T00:00:40"/>
    <n v="3"/>
  </r>
  <r>
    <x v="2841"/>
    <s v="Jim"/>
    <x v="49"/>
    <d v="1899-12-30T11:54:14"/>
    <d v="2021-02-19T11:54:14"/>
    <x v="0"/>
    <x v="2"/>
    <x v="3"/>
    <x v="0"/>
    <s v="Y"/>
    <n v="76"/>
    <x v="0"/>
    <d v="1899-12-30T00:05:20"/>
    <n v="3"/>
  </r>
  <r>
    <x v="2842"/>
    <s v="Diane"/>
    <x v="49"/>
    <d v="1899-12-30T12:15:50"/>
    <d v="2021-02-19T12:15:50"/>
    <x v="0"/>
    <x v="3"/>
    <x v="3"/>
    <x v="1"/>
    <s v="N"/>
    <m/>
    <x v="0"/>
    <m/>
    <m/>
  </r>
  <r>
    <x v="2843"/>
    <s v="Martha"/>
    <x v="49"/>
    <d v="1899-12-30T12:15:50"/>
    <d v="2021-02-19T12:15:50"/>
    <x v="0"/>
    <x v="3"/>
    <x v="2"/>
    <x v="1"/>
    <s v="N"/>
    <m/>
    <x v="0"/>
    <m/>
    <m/>
  </r>
  <r>
    <x v="2844"/>
    <s v="Jim"/>
    <x v="49"/>
    <d v="1899-12-30T13:29:17"/>
    <d v="2021-02-19T13:29:17"/>
    <x v="0"/>
    <x v="4"/>
    <x v="1"/>
    <x v="0"/>
    <s v="Y"/>
    <n v="63"/>
    <x v="0"/>
    <d v="1899-12-30T00:03:47"/>
    <n v="1"/>
  </r>
  <r>
    <x v="2845"/>
    <s v="Stewart"/>
    <x v="49"/>
    <d v="1899-12-30T13:29:17"/>
    <d v="2021-02-19T13:29:17"/>
    <x v="0"/>
    <x v="4"/>
    <x v="3"/>
    <x v="0"/>
    <s v="Y"/>
    <n v="80"/>
    <x v="0"/>
    <d v="1899-12-30T00:04:08"/>
    <n v="3"/>
  </r>
  <r>
    <x v="2846"/>
    <s v="Jim"/>
    <x v="49"/>
    <d v="1899-12-30T13:32:10"/>
    <d v="2021-02-19T13:32:10"/>
    <x v="0"/>
    <x v="4"/>
    <x v="3"/>
    <x v="0"/>
    <s v="Y"/>
    <n v="36"/>
    <x v="0"/>
    <d v="1899-12-30T00:06:17"/>
    <n v="1"/>
  </r>
  <r>
    <x v="2847"/>
    <s v="Diane"/>
    <x v="49"/>
    <d v="1899-12-30T13:32:10"/>
    <d v="2021-02-19T13:32:10"/>
    <x v="0"/>
    <x v="4"/>
    <x v="3"/>
    <x v="0"/>
    <s v="Y"/>
    <n v="22"/>
    <x v="0"/>
    <d v="1899-12-30T00:01:55"/>
    <n v="5"/>
  </r>
  <r>
    <x v="2848"/>
    <s v="Stewart"/>
    <x v="49"/>
    <d v="1899-12-30T13:45:07"/>
    <d v="2021-02-19T13:45:07"/>
    <x v="0"/>
    <x v="4"/>
    <x v="4"/>
    <x v="0"/>
    <s v="Y"/>
    <n v="80"/>
    <x v="0"/>
    <d v="1899-12-30T00:04:27"/>
    <n v="2"/>
  </r>
  <r>
    <x v="2849"/>
    <s v="Jim"/>
    <x v="49"/>
    <d v="1899-12-30T13:45:07"/>
    <d v="2021-02-19T13:45:07"/>
    <x v="0"/>
    <x v="4"/>
    <x v="1"/>
    <x v="0"/>
    <s v="Y"/>
    <n v="109"/>
    <x v="0"/>
    <d v="1899-12-30T00:00:44"/>
    <n v="1"/>
  </r>
  <r>
    <x v="2850"/>
    <s v="Stewart"/>
    <x v="49"/>
    <d v="1899-12-30T14:22:34"/>
    <d v="2021-02-19T14:22:34"/>
    <x v="0"/>
    <x v="5"/>
    <x v="1"/>
    <x v="0"/>
    <s v="Y"/>
    <n v="80"/>
    <x v="0"/>
    <d v="1899-12-30T00:05:38"/>
    <n v="3"/>
  </r>
  <r>
    <x v="2851"/>
    <s v="Joe"/>
    <x v="49"/>
    <d v="1899-12-30T14:22:34"/>
    <d v="2021-02-19T14:22:34"/>
    <x v="0"/>
    <x v="5"/>
    <x v="3"/>
    <x v="0"/>
    <s v="Y"/>
    <n v="108"/>
    <x v="0"/>
    <d v="1899-12-30T00:04:47"/>
    <n v="4"/>
  </r>
  <r>
    <x v="2852"/>
    <s v="Becky"/>
    <x v="49"/>
    <d v="1899-12-30T14:26:53"/>
    <d v="2021-02-19T14:26:53"/>
    <x v="0"/>
    <x v="5"/>
    <x v="0"/>
    <x v="0"/>
    <s v="Y"/>
    <n v="10"/>
    <x v="1"/>
    <d v="1899-12-30T00:05:44"/>
    <n v="4"/>
  </r>
  <r>
    <x v="2853"/>
    <s v="Greg"/>
    <x v="49"/>
    <d v="1899-12-30T14:26:53"/>
    <d v="2021-02-19T14:26:53"/>
    <x v="0"/>
    <x v="5"/>
    <x v="1"/>
    <x v="1"/>
    <s v="N"/>
    <m/>
    <x v="0"/>
    <m/>
    <m/>
  </r>
  <r>
    <x v="2854"/>
    <s v="Martha"/>
    <x v="49"/>
    <d v="1899-12-30T14:45:36"/>
    <d v="2021-02-19T14:45:36"/>
    <x v="0"/>
    <x v="5"/>
    <x v="1"/>
    <x v="0"/>
    <s v="Y"/>
    <n v="115"/>
    <x v="0"/>
    <d v="1899-12-30T00:02:38"/>
    <n v="3"/>
  </r>
  <r>
    <x v="2855"/>
    <s v="Becky"/>
    <x v="49"/>
    <d v="1899-12-30T14:45:36"/>
    <d v="2021-02-19T14:45:36"/>
    <x v="0"/>
    <x v="5"/>
    <x v="3"/>
    <x v="0"/>
    <s v="Y"/>
    <n v="79"/>
    <x v="0"/>
    <d v="1899-12-30T00:04:31"/>
    <n v="3"/>
  </r>
  <r>
    <x v="2856"/>
    <s v="Stewart"/>
    <x v="49"/>
    <d v="1899-12-30T14:52:48"/>
    <d v="2021-02-19T14:52:48"/>
    <x v="0"/>
    <x v="5"/>
    <x v="3"/>
    <x v="0"/>
    <s v="Y"/>
    <n v="109"/>
    <x v="0"/>
    <d v="1899-12-30T00:00:39"/>
    <n v="2"/>
  </r>
  <r>
    <x v="2857"/>
    <s v="Jim"/>
    <x v="49"/>
    <d v="1899-12-30T14:52:48"/>
    <d v="2021-02-19T14:52:48"/>
    <x v="0"/>
    <x v="5"/>
    <x v="0"/>
    <x v="0"/>
    <s v="Y"/>
    <n v="12"/>
    <x v="1"/>
    <d v="1899-12-30T00:05:15"/>
    <n v="4"/>
  </r>
  <r>
    <x v="2858"/>
    <s v="Joe"/>
    <x v="49"/>
    <d v="1899-12-30T15:02:53"/>
    <d v="2021-02-19T15:02:53"/>
    <x v="0"/>
    <x v="6"/>
    <x v="4"/>
    <x v="0"/>
    <s v="Y"/>
    <n v="87"/>
    <x v="0"/>
    <d v="1899-12-30T00:02:14"/>
    <n v="3"/>
  </r>
  <r>
    <x v="2859"/>
    <s v="Stewart"/>
    <x v="49"/>
    <d v="1899-12-30T15:02:53"/>
    <d v="2021-02-19T15:02:53"/>
    <x v="0"/>
    <x v="6"/>
    <x v="3"/>
    <x v="0"/>
    <s v="Y"/>
    <n v="55"/>
    <x v="0"/>
    <d v="1899-12-30T00:05:40"/>
    <n v="3"/>
  </r>
  <r>
    <x v="2860"/>
    <s v="Joe"/>
    <x v="49"/>
    <d v="1899-12-30T15:33:07"/>
    <d v="2021-02-19T15:33:07"/>
    <x v="0"/>
    <x v="6"/>
    <x v="2"/>
    <x v="0"/>
    <s v="Y"/>
    <n v="109"/>
    <x v="0"/>
    <d v="1899-12-30T00:05:35"/>
    <n v="4"/>
  </r>
  <r>
    <x v="2861"/>
    <s v="Becky"/>
    <x v="49"/>
    <d v="1899-12-30T15:33:07"/>
    <d v="2021-02-19T15:33:07"/>
    <x v="0"/>
    <x v="6"/>
    <x v="0"/>
    <x v="1"/>
    <s v="N"/>
    <m/>
    <x v="0"/>
    <m/>
    <m/>
  </r>
  <r>
    <x v="2862"/>
    <s v="Diane"/>
    <x v="49"/>
    <d v="1899-12-30T15:33:07"/>
    <d v="2021-02-19T15:33:07"/>
    <x v="0"/>
    <x v="6"/>
    <x v="2"/>
    <x v="1"/>
    <s v="N"/>
    <m/>
    <x v="0"/>
    <m/>
    <m/>
  </r>
  <r>
    <x v="2863"/>
    <s v="Becky"/>
    <x v="49"/>
    <d v="1899-12-30T15:33:07"/>
    <d v="2021-02-19T15:33:07"/>
    <x v="0"/>
    <x v="6"/>
    <x v="2"/>
    <x v="0"/>
    <s v="Y"/>
    <n v="12"/>
    <x v="1"/>
    <d v="1899-12-30T00:01:09"/>
    <n v="4"/>
  </r>
  <r>
    <x v="2864"/>
    <s v="Martha"/>
    <x v="49"/>
    <d v="1899-12-30T16:04:48"/>
    <d v="2021-02-19T16:04:48"/>
    <x v="0"/>
    <x v="8"/>
    <x v="2"/>
    <x v="0"/>
    <s v="Y"/>
    <n v="71"/>
    <x v="0"/>
    <d v="1899-12-30T00:02:51"/>
    <n v="5"/>
  </r>
  <r>
    <x v="2865"/>
    <s v="Dan"/>
    <x v="49"/>
    <d v="1899-12-30T16:04:48"/>
    <d v="2021-02-19T16:04:48"/>
    <x v="0"/>
    <x v="8"/>
    <x v="1"/>
    <x v="1"/>
    <s v="N"/>
    <m/>
    <x v="0"/>
    <m/>
    <m/>
  </r>
  <r>
    <x v="2866"/>
    <s v="Stewart"/>
    <x v="49"/>
    <d v="1899-12-30T16:26:24"/>
    <d v="2021-02-19T16:26:24"/>
    <x v="0"/>
    <x v="8"/>
    <x v="4"/>
    <x v="0"/>
    <s v="N"/>
    <n v="104"/>
    <x v="0"/>
    <d v="1899-12-30T00:06:29"/>
    <n v="4"/>
  </r>
  <r>
    <x v="2867"/>
    <s v="Stewart"/>
    <x v="49"/>
    <d v="1899-12-30T16:26:24"/>
    <d v="2021-02-19T16:26:24"/>
    <x v="0"/>
    <x v="8"/>
    <x v="2"/>
    <x v="0"/>
    <s v="Y"/>
    <n v="110"/>
    <x v="0"/>
    <d v="1899-12-30T00:01:53"/>
    <n v="1"/>
  </r>
  <r>
    <x v="2868"/>
    <s v="Martha"/>
    <x v="49"/>
    <d v="1899-12-30T17:21:07"/>
    <d v="2021-02-19T17:21:07"/>
    <x v="0"/>
    <x v="7"/>
    <x v="4"/>
    <x v="0"/>
    <s v="Y"/>
    <n v="108"/>
    <x v="0"/>
    <d v="1899-12-30T00:02:44"/>
    <n v="1"/>
  </r>
  <r>
    <x v="2869"/>
    <s v="Dan"/>
    <x v="49"/>
    <d v="1899-12-30T17:21:07"/>
    <d v="2021-02-19T17:21:07"/>
    <x v="0"/>
    <x v="7"/>
    <x v="1"/>
    <x v="0"/>
    <s v="Y"/>
    <n v="88"/>
    <x v="0"/>
    <d v="1899-12-30T00:00:55"/>
    <n v="1"/>
  </r>
  <r>
    <x v="2870"/>
    <s v="Stewart"/>
    <x v="49"/>
    <d v="1899-12-30T17:29:46"/>
    <d v="2021-02-19T17:29:46"/>
    <x v="0"/>
    <x v="7"/>
    <x v="0"/>
    <x v="1"/>
    <s v="N"/>
    <m/>
    <x v="0"/>
    <m/>
    <m/>
  </r>
  <r>
    <x v="2871"/>
    <s v="Joe"/>
    <x v="49"/>
    <d v="1899-12-30T17:29:46"/>
    <d v="2021-02-19T17:29:46"/>
    <x v="0"/>
    <x v="7"/>
    <x v="3"/>
    <x v="0"/>
    <s v="Y"/>
    <n v="32"/>
    <x v="0"/>
    <d v="1899-12-30T00:06:08"/>
    <n v="1"/>
  </r>
  <r>
    <x v="2872"/>
    <s v="Diane"/>
    <x v="49"/>
    <d v="1899-12-30T17:38:24"/>
    <d v="2021-02-19T17:38:24"/>
    <x v="0"/>
    <x v="7"/>
    <x v="0"/>
    <x v="0"/>
    <s v="Y"/>
    <n v="37"/>
    <x v="0"/>
    <d v="1899-12-30T00:06:13"/>
    <n v="4"/>
  </r>
  <r>
    <x v="2873"/>
    <s v="Greg"/>
    <x v="49"/>
    <d v="1899-12-30T17:38:24"/>
    <d v="2021-02-19T17:38:24"/>
    <x v="0"/>
    <x v="7"/>
    <x v="2"/>
    <x v="0"/>
    <s v="Y"/>
    <n v="58"/>
    <x v="0"/>
    <d v="1899-12-30T00:03:25"/>
    <n v="5"/>
  </r>
  <r>
    <x v="2874"/>
    <s v="Greg"/>
    <x v="50"/>
    <d v="1899-12-30T09:24:29"/>
    <d v="2021-02-20T09:24:29"/>
    <x v="1"/>
    <x v="0"/>
    <x v="0"/>
    <x v="0"/>
    <s v="Y"/>
    <n v="61"/>
    <x v="0"/>
    <d v="1899-12-30T00:04:06"/>
    <n v="4"/>
  </r>
  <r>
    <x v="2875"/>
    <s v="Jim"/>
    <x v="50"/>
    <d v="1899-12-30T09:24:29"/>
    <d v="2021-02-20T09:24:29"/>
    <x v="1"/>
    <x v="0"/>
    <x v="0"/>
    <x v="0"/>
    <s v="Y"/>
    <n v="39"/>
    <x v="0"/>
    <d v="1899-12-30T00:01:45"/>
    <n v="1"/>
  </r>
  <r>
    <x v="2876"/>
    <s v="Joe"/>
    <x v="50"/>
    <d v="1899-12-30T09:33:07"/>
    <d v="2021-02-20T09:33:07"/>
    <x v="1"/>
    <x v="0"/>
    <x v="0"/>
    <x v="0"/>
    <s v="Y"/>
    <n v="39"/>
    <x v="0"/>
    <d v="1899-12-30T00:05:41"/>
    <n v="4"/>
  </r>
  <r>
    <x v="2877"/>
    <s v="Diane"/>
    <x v="50"/>
    <d v="1899-12-30T09:33:07"/>
    <d v="2021-02-20T09:33:07"/>
    <x v="1"/>
    <x v="0"/>
    <x v="4"/>
    <x v="0"/>
    <s v="Y"/>
    <n v="53"/>
    <x v="0"/>
    <d v="1899-12-30T00:01:47"/>
    <n v="5"/>
  </r>
  <r>
    <x v="2878"/>
    <s v="Joe"/>
    <x v="50"/>
    <d v="1899-12-30T10:01:55"/>
    <d v="2021-02-20T10:01:55"/>
    <x v="1"/>
    <x v="1"/>
    <x v="0"/>
    <x v="1"/>
    <s v="N"/>
    <m/>
    <x v="0"/>
    <m/>
    <m/>
  </r>
  <r>
    <x v="2879"/>
    <s v="Stewart"/>
    <x v="50"/>
    <d v="1899-12-30T10:01:55"/>
    <d v="2021-02-20T10:01:55"/>
    <x v="1"/>
    <x v="1"/>
    <x v="4"/>
    <x v="0"/>
    <s v="Y"/>
    <n v="64"/>
    <x v="0"/>
    <d v="1899-12-30T00:05:11"/>
    <n v="4"/>
  </r>
  <r>
    <x v="2880"/>
    <s v="Joe"/>
    <x v="50"/>
    <d v="1899-12-30T10:10:34"/>
    <d v="2021-02-20T10:10:34"/>
    <x v="1"/>
    <x v="1"/>
    <x v="1"/>
    <x v="0"/>
    <s v="Y"/>
    <n v="77"/>
    <x v="0"/>
    <d v="1899-12-30T00:03:40"/>
    <n v="3"/>
  </r>
  <r>
    <x v="2881"/>
    <s v="Dan"/>
    <x v="50"/>
    <d v="1899-12-30T10:10:34"/>
    <d v="2021-02-20T10:10:34"/>
    <x v="1"/>
    <x v="1"/>
    <x v="0"/>
    <x v="0"/>
    <s v="Y"/>
    <n v="20"/>
    <x v="1"/>
    <d v="1899-12-30T00:00:49"/>
    <n v="1"/>
  </r>
  <r>
    <x v="2882"/>
    <s v="Martha"/>
    <x v="50"/>
    <d v="1899-12-30T10:24:58"/>
    <d v="2021-02-20T10:24:58"/>
    <x v="1"/>
    <x v="1"/>
    <x v="0"/>
    <x v="1"/>
    <s v="N"/>
    <m/>
    <x v="0"/>
    <m/>
    <m/>
  </r>
  <r>
    <x v="2883"/>
    <s v="Joe"/>
    <x v="50"/>
    <d v="1899-12-30T10:24:58"/>
    <d v="2021-02-20T10:24:58"/>
    <x v="1"/>
    <x v="1"/>
    <x v="3"/>
    <x v="1"/>
    <s v="N"/>
    <m/>
    <x v="0"/>
    <m/>
    <m/>
  </r>
  <r>
    <x v="2884"/>
    <s v="Dan"/>
    <x v="50"/>
    <d v="1899-12-30T10:50:53"/>
    <d v="2021-02-20T10:50:53"/>
    <x v="1"/>
    <x v="1"/>
    <x v="3"/>
    <x v="0"/>
    <s v="Y"/>
    <n v="26"/>
    <x v="0"/>
    <d v="1899-12-30T00:06:13"/>
    <n v="5"/>
  </r>
  <r>
    <x v="2885"/>
    <s v="Diane"/>
    <x v="50"/>
    <d v="1899-12-30T10:50:53"/>
    <d v="2021-02-20T10:50:53"/>
    <x v="1"/>
    <x v="1"/>
    <x v="1"/>
    <x v="0"/>
    <s v="Y"/>
    <n v="33"/>
    <x v="0"/>
    <d v="1899-12-30T00:04:59"/>
    <n v="3"/>
  </r>
  <r>
    <x v="2886"/>
    <s v="Jim"/>
    <x v="50"/>
    <d v="1899-12-30T11:00:58"/>
    <d v="2021-02-20T11:00:58"/>
    <x v="1"/>
    <x v="2"/>
    <x v="3"/>
    <x v="1"/>
    <s v="N"/>
    <m/>
    <x v="0"/>
    <m/>
    <m/>
  </r>
  <r>
    <x v="2887"/>
    <s v="Becky"/>
    <x v="50"/>
    <d v="1899-12-30T11:00:58"/>
    <d v="2021-02-20T11:00:58"/>
    <x v="1"/>
    <x v="2"/>
    <x v="0"/>
    <x v="0"/>
    <s v="Y"/>
    <n v="122"/>
    <x v="0"/>
    <d v="1899-12-30T00:02:08"/>
    <n v="3"/>
  </r>
  <r>
    <x v="2888"/>
    <s v="Martha"/>
    <x v="50"/>
    <d v="1899-12-30T11:11:02"/>
    <d v="2021-02-20T11:11:02"/>
    <x v="1"/>
    <x v="2"/>
    <x v="0"/>
    <x v="1"/>
    <s v="N"/>
    <m/>
    <x v="0"/>
    <m/>
    <m/>
  </r>
  <r>
    <x v="2889"/>
    <s v="Martha"/>
    <x v="50"/>
    <d v="1899-12-30T11:11:02"/>
    <d v="2021-02-20T11:11:02"/>
    <x v="1"/>
    <x v="2"/>
    <x v="2"/>
    <x v="0"/>
    <s v="Y"/>
    <n v="75"/>
    <x v="0"/>
    <d v="1899-12-30T00:03:46"/>
    <n v="3"/>
  </r>
  <r>
    <x v="2890"/>
    <s v="Martha"/>
    <x v="50"/>
    <d v="1899-12-30T11:21:07"/>
    <d v="2021-02-20T11:21:07"/>
    <x v="1"/>
    <x v="2"/>
    <x v="3"/>
    <x v="0"/>
    <s v="Y"/>
    <n v="27"/>
    <x v="0"/>
    <d v="1899-12-30T00:01:39"/>
    <n v="4"/>
  </r>
  <r>
    <x v="2891"/>
    <s v="Diane"/>
    <x v="50"/>
    <d v="1899-12-30T11:21:07"/>
    <d v="2021-02-20T11:21:07"/>
    <x v="1"/>
    <x v="2"/>
    <x v="0"/>
    <x v="0"/>
    <s v="Y"/>
    <n v="37"/>
    <x v="0"/>
    <d v="1899-12-30T00:05:48"/>
    <n v="3"/>
  </r>
  <r>
    <x v="2892"/>
    <s v="Diane"/>
    <x v="50"/>
    <d v="1899-12-30T11:34:05"/>
    <d v="2021-02-20T11:34:05"/>
    <x v="1"/>
    <x v="2"/>
    <x v="3"/>
    <x v="0"/>
    <s v="Y"/>
    <n v="24"/>
    <x v="0"/>
    <d v="1899-12-30T00:02:25"/>
    <n v="3"/>
  </r>
  <r>
    <x v="2893"/>
    <s v="Becky"/>
    <x v="50"/>
    <d v="1899-12-30T11:34:05"/>
    <d v="2021-02-20T11:34:05"/>
    <x v="1"/>
    <x v="2"/>
    <x v="4"/>
    <x v="0"/>
    <s v="Y"/>
    <n v="70"/>
    <x v="0"/>
    <d v="1899-12-30T00:05:22"/>
    <n v="1"/>
  </r>
  <r>
    <x v="2894"/>
    <s v="Becky"/>
    <x v="50"/>
    <d v="1899-12-30T11:41:17"/>
    <d v="2021-02-20T11:41:17"/>
    <x v="1"/>
    <x v="2"/>
    <x v="1"/>
    <x v="0"/>
    <s v="Y"/>
    <n v="117"/>
    <x v="0"/>
    <d v="1899-12-30T00:01:54"/>
    <n v="4"/>
  </r>
  <r>
    <x v="2895"/>
    <s v="Diane"/>
    <x v="50"/>
    <d v="1899-12-30T11:41:17"/>
    <d v="2021-02-20T11:41:17"/>
    <x v="1"/>
    <x v="2"/>
    <x v="2"/>
    <x v="0"/>
    <s v="Y"/>
    <n v="15"/>
    <x v="1"/>
    <d v="1899-12-30T00:04:37"/>
    <n v="1"/>
  </r>
  <r>
    <x v="2896"/>
    <s v="Greg"/>
    <x v="50"/>
    <d v="1899-12-30T11:54:14"/>
    <d v="2021-02-20T11:54:14"/>
    <x v="1"/>
    <x v="2"/>
    <x v="4"/>
    <x v="0"/>
    <s v="Y"/>
    <n v="20"/>
    <x v="1"/>
    <d v="1899-12-30T00:03:35"/>
    <n v="3"/>
  </r>
  <r>
    <x v="2897"/>
    <s v="Dan"/>
    <x v="50"/>
    <d v="1899-12-30T11:54:14"/>
    <d v="2021-02-20T11:54:14"/>
    <x v="1"/>
    <x v="2"/>
    <x v="4"/>
    <x v="0"/>
    <s v="Y"/>
    <n v="36"/>
    <x v="0"/>
    <d v="1899-12-30T00:04:16"/>
    <n v="2"/>
  </r>
  <r>
    <x v="2898"/>
    <s v="Diane"/>
    <x v="50"/>
    <d v="1899-12-30T12:02:53"/>
    <d v="2021-02-20T12:02:53"/>
    <x v="1"/>
    <x v="3"/>
    <x v="1"/>
    <x v="0"/>
    <s v="Y"/>
    <n v="63"/>
    <x v="0"/>
    <d v="1899-12-30T00:04:47"/>
    <n v="1"/>
  </r>
  <r>
    <x v="2899"/>
    <s v="Becky"/>
    <x v="50"/>
    <d v="1899-12-30T12:02:53"/>
    <d v="2021-02-20T12:02:53"/>
    <x v="1"/>
    <x v="3"/>
    <x v="2"/>
    <x v="0"/>
    <s v="Y"/>
    <n v="20"/>
    <x v="1"/>
    <d v="1899-12-30T00:06:22"/>
    <n v="3"/>
  </r>
  <r>
    <x v="2900"/>
    <s v="Dan"/>
    <x v="50"/>
    <d v="1899-12-30T12:10:05"/>
    <d v="2021-02-20T12:10:05"/>
    <x v="1"/>
    <x v="3"/>
    <x v="0"/>
    <x v="0"/>
    <s v="N"/>
    <n v="115"/>
    <x v="0"/>
    <d v="1899-12-30T00:05:35"/>
    <n v="4"/>
  </r>
  <r>
    <x v="2901"/>
    <s v="Joe"/>
    <x v="50"/>
    <d v="1899-12-30T12:10:05"/>
    <d v="2021-02-20T12:10:05"/>
    <x v="1"/>
    <x v="3"/>
    <x v="0"/>
    <x v="1"/>
    <s v="N"/>
    <m/>
    <x v="0"/>
    <m/>
    <m/>
  </r>
  <r>
    <x v="2902"/>
    <s v="Dan"/>
    <x v="50"/>
    <d v="1899-12-30T12:25:55"/>
    <d v="2021-02-20T12:25:55"/>
    <x v="1"/>
    <x v="3"/>
    <x v="1"/>
    <x v="0"/>
    <s v="Y"/>
    <n v="95"/>
    <x v="0"/>
    <d v="1899-12-30T00:04:58"/>
    <n v="3"/>
  </r>
  <r>
    <x v="2903"/>
    <s v="Becky"/>
    <x v="50"/>
    <d v="1899-12-30T12:25:55"/>
    <d v="2021-02-20T12:25:55"/>
    <x v="1"/>
    <x v="3"/>
    <x v="2"/>
    <x v="0"/>
    <s v="Y"/>
    <n v="114"/>
    <x v="0"/>
    <d v="1899-12-30T00:03:07"/>
    <n v="4"/>
  </r>
  <r>
    <x v="2904"/>
    <s v="Martha"/>
    <x v="50"/>
    <d v="1899-12-30T12:46:05"/>
    <d v="2021-02-20T12:46:05"/>
    <x v="1"/>
    <x v="3"/>
    <x v="0"/>
    <x v="0"/>
    <s v="Y"/>
    <n v="71"/>
    <x v="0"/>
    <d v="1899-12-30T00:02:01"/>
    <n v="4"/>
  </r>
  <r>
    <x v="2905"/>
    <s v="Stewart"/>
    <x v="50"/>
    <d v="1899-12-30T12:46:05"/>
    <d v="2021-02-20T12:46:05"/>
    <x v="1"/>
    <x v="3"/>
    <x v="2"/>
    <x v="0"/>
    <s v="Y"/>
    <n v="44"/>
    <x v="0"/>
    <d v="1899-12-30T00:06:02"/>
    <n v="1"/>
  </r>
  <r>
    <x v="2906"/>
    <s v="Greg"/>
    <x v="50"/>
    <d v="1899-12-30T12:51:50"/>
    <d v="2021-02-20T12:51:50"/>
    <x v="1"/>
    <x v="3"/>
    <x v="1"/>
    <x v="1"/>
    <s v="N"/>
    <m/>
    <x v="0"/>
    <m/>
    <m/>
  </r>
  <r>
    <x v="2907"/>
    <s v="Becky"/>
    <x v="50"/>
    <d v="1899-12-30T12:51:50"/>
    <d v="2021-02-20T12:51:50"/>
    <x v="1"/>
    <x v="3"/>
    <x v="1"/>
    <x v="1"/>
    <s v="N"/>
    <m/>
    <x v="0"/>
    <m/>
    <m/>
  </r>
  <r>
    <x v="2908"/>
    <s v="Stewart"/>
    <x v="50"/>
    <d v="1899-12-30T13:35:02"/>
    <d v="2021-02-20T13:35:02"/>
    <x v="1"/>
    <x v="4"/>
    <x v="2"/>
    <x v="0"/>
    <s v="Y"/>
    <n v="24"/>
    <x v="0"/>
    <d v="1899-12-30T00:01:54"/>
    <n v="3"/>
  </r>
  <r>
    <x v="2909"/>
    <s v="Greg"/>
    <x v="50"/>
    <d v="1899-12-30T13:35:02"/>
    <d v="2021-02-20T13:35:02"/>
    <x v="1"/>
    <x v="4"/>
    <x v="4"/>
    <x v="1"/>
    <s v="N"/>
    <m/>
    <x v="0"/>
    <m/>
    <m/>
  </r>
  <r>
    <x v="2910"/>
    <s v="Dan"/>
    <x v="50"/>
    <d v="1899-12-30T13:56:38"/>
    <d v="2021-02-20T13:56:38"/>
    <x v="1"/>
    <x v="4"/>
    <x v="0"/>
    <x v="0"/>
    <s v="Y"/>
    <n v="70"/>
    <x v="0"/>
    <d v="1899-12-30T00:02:59"/>
    <n v="3"/>
  </r>
  <r>
    <x v="2911"/>
    <s v="Jim"/>
    <x v="50"/>
    <d v="1899-12-30T13:56:38"/>
    <d v="2021-02-20T13:56:38"/>
    <x v="1"/>
    <x v="4"/>
    <x v="4"/>
    <x v="1"/>
    <s v="N"/>
    <m/>
    <x v="0"/>
    <m/>
    <m/>
  </r>
  <r>
    <x v="2912"/>
    <s v="Dan"/>
    <x v="50"/>
    <d v="1899-12-30T14:13:55"/>
    <d v="2021-02-20T14:13:55"/>
    <x v="1"/>
    <x v="5"/>
    <x v="3"/>
    <x v="0"/>
    <s v="Y"/>
    <n v="33"/>
    <x v="0"/>
    <d v="1899-12-30T00:00:40"/>
    <n v="1"/>
  </r>
  <r>
    <x v="2913"/>
    <s v="Diane"/>
    <x v="50"/>
    <d v="1899-12-30T14:13:55"/>
    <d v="2021-02-20T14:13:55"/>
    <x v="1"/>
    <x v="5"/>
    <x v="0"/>
    <x v="1"/>
    <s v="N"/>
    <m/>
    <x v="0"/>
    <m/>
    <m/>
  </r>
  <r>
    <x v="2914"/>
    <s v="Greg"/>
    <x v="50"/>
    <d v="1899-12-30T14:28:19"/>
    <d v="2021-02-20T14:28:19"/>
    <x v="1"/>
    <x v="5"/>
    <x v="3"/>
    <x v="0"/>
    <s v="N"/>
    <n v="15"/>
    <x v="1"/>
    <d v="1899-12-30T00:05:32"/>
    <n v="1"/>
  </r>
  <r>
    <x v="2915"/>
    <s v="Joe"/>
    <x v="50"/>
    <d v="1899-12-30T14:28:19"/>
    <d v="2021-02-20T14:28:19"/>
    <x v="1"/>
    <x v="5"/>
    <x v="4"/>
    <x v="0"/>
    <s v="Y"/>
    <n v="103"/>
    <x v="0"/>
    <d v="1899-12-30T00:04:56"/>
    <n v="4"/>
  </r>
  <r>
    <x v="2916"/>
    <s v="Martha"/>
    <x v="50"/>
    <d v="1899-12-30T15:07:12"/>
    <d v="2021-02-20T15:07:12"/>
    <x v="1"/>
    <x v="6"/>
    <x v="0"/>
    <x v="0"/>
    <s v="Y"/>
    <n v="61"/>
    <x v="0"/>
    <d v="1899-12-30T00:05:50"/>
    <n v="5"/>
  </r>
  <r>
    <x v="2917"/>
    <s v="Greg"/>
    <x v="50"/>
    <d v="1899-12-30T15:07:12"/>
    <d v="2021-02-20T15:07:12"/>
    <x v="1"/>
    <x v="6"/>
    <x v="3"/>
    <x v="1"/>
    <s v="N"/>
    <m/>
    <x v="0"/>
    <m/>
    <m/>
  </r>
  <r>
    <x v="2918"/>
    <s v="Greg"/>
    <x v="50"/>
    <d v="1899-12-30T15:11:31"/>
    <d v="2021-02-20T15:11:31"/>
    <x v="1"/>
    <x v="6"/>
    <x v="0"/>
    <x v="0"/>
    <s v="Y"/>
    <n v="32"/>
    <x v="0"/>
    <d v="1899-12-30T00:01:25"/>
    <n v="4"/>
  </r>
  <r>
    <x v="2919"/>
    <s v="Dan"/>
    <x v="50"/>
    <d v="1899-12-30T15:11:31"/>
    <d v="2021-02-20T15:11:31"/>
    <x v="1"/>
    <x v="6"/>
    <x v="3"/>
    <x v="0"/>
    <s v="Y"/>
    <n v="33"/>
    <x v="0"/>
    <d v="1899-12-30T00:01:42"/>
    <n v="4"/>
  </r>
  <r>
    <x v="2920"/>
    <s v="Becky"/>
    <x v="50"/>
    <d v="1899-12-30T15:12:58"/>
    <d v="2021-02-20T15:12:58"/>
    <x v="1"/>
    <x v="6"/>
    <x v="2"/>
    <x v="0"/>
    <s v="Y"/>
    <n v="30"/>
    <x v="0"/>
    <d v="1899-12-30T00:05:50"/>
    <n v="3"/>
  </r>
  <r>
    <x v="2921"/>
    <s v="Stewart"/>
    <x v="50"/>
    <d v="1899-12-30T15:12:58"/>
    <d v="2021-02-20T15:12:58"/>
    <x v="1"/>
    <x v="6"/>
    <x v="4"/>
    <x v="0"/>
    <s v="Y"/>
    <n v="36"/>
    <x v="0"/>
    <d v="1899-12-30T00:05:26"/>
    <n v="4"/>
  </r>
  <r>
    <x v="2922"/>
    <s v="Dan"/>
    <x v="50"/>
    <d v="1899-12-30T15:21:36"/>
    <d v="2021-02-20T15:21:36"/>
    <x v="1"/>
    <x v="6"/>
    <x v="1"/>
    <x v="0"/>
    <s v="Y"/>
    <n v="16"/>
    <x v="1"/>
    <d v="1899-12-30T00:04:20"/>
    <n v="4"/>
  </r>
  <r>
    <x v="2923"/>
    <s v="Stewart"/>
    <x v="50"/>
    <d v="1899-12-30T15:21:36"/>
    <d v="2021-02-20T15:21:36"/>
    <x v="1"/>
    <x v="6"/>
    <x v="1"/>
    <x v="0"/>
    <s v="Y"/>
    <n v="60"/>
    <x v="0"/>
    <d v="1899-12-30T00:04:27"/>
    <n v="3"/>
  </r>
  <r>
    <x v="2924"/>
    <s v="Stewart"/>
    <x v="50"/>
    <d v="1899-12-30T15:53:17"/>
    <d v="2021-02-20T15:53:17"/>
    <x v="1"/>
    <x v="6"/>
    <x v="1"/>
    <x v="1"/>
    <s v="N"/>
    <m/>
    <x v="0"/>
    <m/>
    <m/>
  </r>
  <r>
    <x v="2925"/>
    <s v="Stewart"/>
    <x v="50"/>
    <d v="1899-12-30T15:53:17"/>
    <d v="2021-02-20T15:53:17"/>
    <x v="1"/>
    <x v="6"/>
    <x v="0"/>
    <x v="0"/>
    <s v="Y"/>
    <n v="42"/>
    <x v="0"/>
    <d v="1899-12-30T00:04:56"/>
    <n v="4"/>
  </r>
  <r>
    <x v="2926"/>
    <s v="Dan"/>
    <x v="50"/>
    <d v="1899-12-30T16:00:29"/>
    <d v="2021-02-20T16:00:29"/>
    <x v="1"/>
    <x v="8"/>
    <x v="0"/>
    <x v="0"/>
    <s v="Y"/>
    <n v="58"/>
    <x v="0"/>
    <d v="1899-12-30T00:05:41"/>
    <n v="1"/>
  </r>
  <r>
    <x v="2927"/>
    <s v="Greg"/>
    <x v="50"/>
    <d v="1899-12-30T16:00:29"/>
    <d v="2021-02-20T16:00:29"/>
    <x v="1"/>
    <x v="8"/>
    <x v="2"/>
    <x v="0"/>
    <s v="N"/>
    <n v="44"/>
    <x v="0"/>
    <d v="1899-12-30T00:02:18"/>
    <n v="1"/>
  </r>
  <r>
    <x v="2928"/>
    <s v="Martha"/>
    <x v="50"/>
    <d v="1899-12-30T16:10:34"/>
    <d v="2021-02-20T16:10:34"/>
    <x v="1"/>
    <x v="8"/>
    <x v="4"/>
    <x v="0"/>
    <s v="N"/>
    <n v="72"/>
    <x v="0"/>
    <d v="1899-12-30T00:02:33"/>
    <n v="1"/>
  </r>
  <r>
    <x v="2929"/>
    <s v="Stewart"/>
    <x v="50"/>
    <d v="1899-12-30T16:10:34"/>
    <d v="2021-02-20T16:10:34"/>
    <x v="1"/>
    <x v="8"/>
    <x v="4"/>
    <x v="0"/>
    <s v="Y"/>
    <n v="13"/>
    <x v="1"/>
    <d v="1899-12-30T00:03:57"/>
    <n v="4"/>
  </r>
  <r>
    <x v="2930"/>
    <s v="Jim"/>
    <x v="50"/>
    <d v="1899-12-30T16:14:53"/>
    <d v="2021-02-20T16:14:53"/>
    <x v="1"/>
    <x v="8"/>
    <x v="4"/>
    <x v="0"/>
    <s v="Y"/>
    <n v="113"/>
    <x v="0"/>
    <d v="1899-12-30T00:03:31"/>
    <n v="4"/>
  </r>
  <r>
    <x v="2931"/>
    <s v="Joe"/>
    <x v="50"/>
    <d v="1899-12-30T16:14:53"/>
    <d v="2021-02-20T16:14:53"/>
    <x v="1"/>
    <x v="8"/>
    <x v="4"/>
    <x v="1"/>
    <s v="N"/>
    <m/>
    <x v="0"/>
    <m/>
    <m/>
  </r>
  <r>
    <x v="2932"/>
    <s v="Greg"/>
    <x v="50"/>
    <d v="1899-12-30T16:16:19"/>
    <d v="2021-02-20T16:16:19"/>
    <x v="1"/>
    <x v="8"/>
    <x v="0"/>
    <x v="0"/>
    <s v="Y"/>
    <n v="51"/>
    <x v="0"/>
    <d v="1899-12-30T00:06:30"/>
    <n v="4"/>
  </r>
  <r>
    <x v="2933"/>
    <s v="Greg"/>
    <x v="50"/>
    <d v="1899-12-30T16:16:19"/>
    <d v="2021-02-20T16:16:19"/>
    <x v="1"/>
    <x v="8"/>
    <x v="0"/>
    <x v="0"/>
    <s v="N"/>
    <n v="85"/>
    <x v="0"/>
    <d v="1899-12-30T00:05:14"/>
    <n v="1"/>
  </r>
  <r>
    <x v="2934"/>
    <s v="Stewart"/>
    <x v="50"/>
    <d v="1899-12-30T16:32:10"/>
    <d v="2021-02-20T16:32:10"/>
    <x v="1"/>
    <x v="8"/>
    <x v="2"/>
    <x v="0"/>
    <s v="N"/>
    <n v="27"/>
    <x v="0"/>
    <d v="1899-12-30T00:06:24"/>
    <n v="4"/>
  </r>
  <r>
    <x v="2935"/>
    <s v="Dan"/>
    <x v="50"/>
    <d v="1899-12-30T16:32:10"/>
    <d v="2021-02-20T16:32:10"/>
    <x v="1"/>
    <x v="8"/>
    <x v="0"/>
    <x v="0"/>
    <s v="Y"/>
    <n v="75"/>
    <x v="0"/>
    <d v="1899-12-30T00:03:25"/>
    <n v="3"/>
  </r>
  <r>
    <x v="2936"/>
    <s v="Jim"/>
    <x v="50"/>
    <d v="1899-12-30T16:52:19"/>
    <d v="2021-02-20T16:52:19"/>
    <x v="1"/>
    <x v="8"/>
    <x v="0"/>
    <x v="0"/>
    <s v="Y"/>
    <n v="63"/>
    <x v="0"/>
    <d v="1899-12-30T00:05:33"/>
    <n v="2"/>
  </r>
  <r>
    <x v="2937"/>
    <s v="Dan"/>
    <x v="50"/>
    <d v="1899-12-30T16:52:19"/>
    <d v="2021-02-20T16:52:19"/>
    <x v="1"/>
    <x v="8"/>
    <x v="3"/>
    <x v="1"/>
    <s v="N"/>
    <m/>
    <x v="0"/>
    <m/>
    <m/>
  </r>
  <r>
    <x v="2938"/>
    <s v="Diane"/>
    <x v="50"/>
    <d v="1899-12-30T17:25:26"/>
    <d v="2021-02-20T17:25:26"/>
    <x v="1"/>
    <x v="7"/>
    <x v="2"/>
    <x v="0"/>
    <s v="Y"/>
    <n v="22"/>
    <x v="0"/>
    <d v="1899-12-30T00:00:51"/>
    <n v="3"/>
  </r>
  <r>
    <x v="2939"/>
    <s v="Becky"/>
    <x v="50"/>
    <d v="1899-12-30T17:25:26"/>
    <d v="2021-02-20T17:25:26"/>
    <x v="1"/>
    <x v="7"/>
    <x v="0"/>
    <x v="1"/>
    <s v="N"/>
    <m/>
    <x v="0"/>
    <m/>
    <m/>
  </r>
  <r>
    <x v="2940"/>
    <s v="Stewart"/>
    <x v="50"/>
    <d v="1899-12-30T17:57:07"/>
    <d v="2021-02-20T17:57:07"/>
    <x v="1"/>
    <x v="7"/>
    <x v="3"/>
    <x v="0"/>
    <s v="N"/>
    <n v="106"/>
    <x v="0"/>
    <d v="1899-12-30T00:03:45"/>
    <n v="3"/>
  </r>
  <r>
    <x v="2941"/>
    <s v="Greg"/>
    <x v="50"/>
    <d v="1899-12-30T17:57:07"/>
    <d v="2021-02-20T17:57:07"/>
    <x v="1"/>
    <x v="7"/>
    <x v="4"/>
    <x v="0"/>
    <s v="Y"/>
    <n v="86"/>
    <x v="0"/>
    <d v="1899-12-30T00:02:40"/>
    <n v="4"/>
  </r>
  <r>
    <x v="2942"/>
    <s v="Stewart"/>
    <x v="51"/>
    <d v="1899-12-30T09:57:36"/>
    <d v="2021-02-21T09:57:36"/>
    <x v="2"/>
    <x v="0"/>
    <x v="0"/>
    <x v="0"/>
    <s v="Y"/>
    <n v="55"/>
    <x v="0"/>
    <d v="1899-12-30T00:06:04"/>
    <n v="3"/>
  </r>
  <r>
    <x v="2943"/>
    <s v="Martha"/>
    <x v="51"/>
    <d v="1899-12-30T09:57:36"/>
    <d v="2021-02-21T09:57:36"/>
    <x v="2"/>
    <x v="0"/>
    <x v="3"/>
    <x v="0"/>
    <s v="Y"/>
    <n v="74"/>
    <x v="0"/>
    <d v="1899-12-30T00:06:46"/>
    <n v="2"/>
  </r>
  <r>
    <x v="2944"/>
    <s v="Stewart"/>
    <x v="51"/>
    <d v="1899-12-30T10:12:00"/>
    <d v="2021-02-21T10:12:00"/>
    <x v="2"/>
    <x v="1"/>
    <x v="3"/>
    <x v="0"/>
    <s v="Y"/>
    <n v="53"/>
    <x v="0"/>
    <d v="1899-12-30T00:06:20"/>
    <n v="5"/>
  </r>
  <r>
    <x v="2945"/>
    <s v="Joe"/>
    <x v="51"/>
    <d v="1899-12-30T10:12:00"/>
    <d v="2021-02-21T10:12:00"/>
    <x v="2"/>
    <x v="1"/>
    <x v="1"/>
    <x v="0"/>
    <s v="Y"/>
    <n v="115"/>
    <x v="0"/>
    <d v="1899-12-30T00:02:05"/>
    <n v="3"/>
  </r>
  <r>
    <x v="2946"/>
    <s v="Jim"/>
    <x v="51"/>
    <d v="1899-12-30T10:22:05"/>
    <d v="2021-02-21T10:22:05"/>
    <x v="2"/>
    <x v="1"/>
    <x v="3"/>
    <x v="0"/>
    <s v="Y"/>
    <n v="29"/>
    <x v="0"/>
    <d v="1899-12-30T00:01:30"/>
    <n v="4"/>
  </r>
  <r>
    <x v="2947"/>
    <s v="Joe"/>
    <x v="51"/>
    <d v="1899-12-30T10:22:05"/>
    <d v="2021-02-21T10:22:05"/>
    <x v="2"/>
    <x v="1"/>
    <x v="2"/>
    <x v="0"/>
    <s v="Y"/>
    <n v="16"/>
    <x v="1"/>
    <d v="1899-12-30T00:02:10"/>
    <n v="4"/>
  </r>
  <r>
    <x v="2948"/>
    <s v="Martha"/>
    <x v="51"/>
    <d v="1899-12-30T11:06:43"/>
    <d v="2021-02-21T11:06:43"/>
    <x v="2"/>
    <x v="2"/>
    <x v="1"/>
    <x v="0"/>
    <s v="N"/>
    <n v="26"/>
    <x v="0"/>
    <d v="1899-12-30T00:03:45"/>
    <n v="3"/>
  </r>
  <r>
    <x v="2949"/>
    <s v="Becky"/>
    <x v="51"/>
    <d v="1899-12-30T11:06:43"/>
    <d v="2021-02-21T11:06:43"/>
    <x v="2"/>
    <x v="2"/>
    <x v="1"/>
    <x v="0"/>
    <s v="Y"/>
    <n v="71"/>
    <x v="0"/>
    <d v="1899-12-30T00:03:49"/>
    <n v="1"/>
  </r>
  <r>
    <x v="2950"/>
    <s v="Joe"/>
    <x v="51"/>
    <d v="1899-12-30T11:08:10"/>
    <d v="2021-02-21T11:08:10"/>
    <x v="2"/>
    <x v="2"/>
    <x v="4"/>
    <x v="0"/>
    <s v="Y"/>
    <n v="109"/>
    <x v="0"/>
    <d v="1899-12-30T00:04:31"/>
    <n v="4"/>
  </r>
  <r>
    <x v="2951"/>
    <s v="Joe"/>
    <x v="51"/>
    <d v="1899-12-30T11:08:10"/>
    <d v="2021-02-21T11:08:10"/>
    <x v="2"/>
    <x v="2"/>
    <x v="1"/>
    <x v="0"/>
    <s v="Y"/>
    <n v="102"/>
    <x v="0"/>
    <d v="1899-12-30T00:03:50"/>
    <n v="5"/>
  </r>
  <r>
    <x v="2952"/>
    <s v="Joe"/>
    <x v="51"/>
    <d v="1899-12-30T11:12:29"/>
    <d v="2021-02-21T11:12:29"/>
    <x v="2"/>
    <x v="2"/>
    <x v="2"/>
    <x v="0"/>
    <s v="Y"/>
    <n v="115"/>
    <x v="0"/>
    <d v="1899-12-30T00:00:37"/>
    <n v="4"/>
  </r>
  <r>
    <x v="2953"/>
    <s v="Diane"/>
    <x v="51"/>
    <d v="1899-12-30T11:12:29"/>
    <d v="2021-02-21T11:12:29"/>
    <x v="2"/>
    <x v="2"/>
    <x v="1"/>
    <x v="0"/>
    <s v="Y"/>
    <n v="48"/>
    <x v="0"/>
    <d v="1899-12-30T00:02:27"/>
    <n v="4"/>
  </r>
  <r>
    <x v="2954"/>
    <s v="Dan"/>
    <x v="51"/>
    <d v="1899-12-30T11:35:31"/>
    <d v="2021-02-21T11:35:31"/>
    <x v="2"/>
    <x v="2"/>
    <x v="4"/>
    <x v="0"/>
    <s v="Y"/>
    <n v="41"/>
    <x v="0"/>
    <d v="1899-12-30T00:04:27"/>
    <n v="5"/>
  </r>
  <r>
    <x v="2955"/>
    <s v="Greg"/>
    <x v="51"/>
    <d v="1899-12-30T11:35:31"/>
    <d v="2021-02-21T11:35:31"/>
    <x v="2"/>
    <x v="2"/>
    <x v="1"/>
    <x v="0"/>
    <s v="Y"/>
    <n v="97"/>
    <x v="0"/>
    <d v="1899-12-30T00:03:10"/>
    <n v="4"/>
  </r>
  <r>
    <x v="2956"/>
    <s v="Martha"/>
    <x v="51"/>
    <d v="1899-12-30T11:42:43"/>
    <d v="2021-02-21T11:42:43"/>
    <x v="2"/>
    <x v="2"/>
    <x v="2"/>
    <x v="0"/>
    <s v="N"/>
    <n v="39"/>
    <x v="0"/>
    <d v="1899-12-30T00:03:22"/>
    <n v="3"/>
  </r>
  <r>
    <x v="2957"/>
    <s v="Becky"/>
    <x v="51"/>
    <d v="1899-12-30T11:42:43"/>
    <d v="2021-02-21T11:42:43"/>
    <x v="2"/>
    <x v="2"/>
    <x v="3"/>
    <x v="1"/>
    <s v="N"/>
    <m/>
    <x v="0"/>
    <m/>
    <m/>
  </r>
  <r>
    <x v="2958"/>
    <s v="Jim"/>
    <x v="51"/>
    <d v="1899-12-30T11:54:14"/>
    <d v="2021-02-21T11:54:14"/>
    <x v="2"/>
    <x v="2"/>
    <x v="2"/>
    <x v="0"/>
    <s v="Y"/>
    <n v="73"/>
    <x v="0"/>
    <d v="1899-12-30T00:01:13"/>
    <n v="3"/>
  </r>
  <r>
    <x v="2959"/>
    <s v="Dan"/>
    <x v="51"/>
    <d v="1899-12-30T11:54:14"/>
    <d v="2021-02-21T11:54:14"/>
    <x v="2"/>
    <x v="2"/>
    <x v="0"/>
    <x v="0"/>
    <s v="Y"/>
    <n v="25"/>
    <x v="0"/>
    <d v="1899-12-30T00:01:06"/>
    <n v="1"/>
  </r>
  <r>
    <x v="2960"/>
    <s v="Becky"/>
    <x v="51"/>
    <d v="1899-12-30T12:21:36"/>
    <d v="2021-02-21T12:21:36"/>
    <x v="2"/>
    <x v="3"/>
    <x v="4"/>
    <x v="0"/>
    <s v="Y"/>
    <n v="84"/>
    <x v="0"/>
    <d v="1899-12-30T00:03:49"/>
    <n v="3"/>
  </r>
  <r>
    <x v="2961"/>
    <s v="Becky"/>
    <x v="51"/>
    <d v="1899-12-30T12:21:36"/>
    <d v="2021-02-21T12:21:36"/>
    <x v="2"/>
    <x v="3"/>
    <x v="1"/>
    <x v="0"/>
    <s v="Y"/>
    <n v="99"/>
    <x v="0"/>
    <d v="1899-12-30T00:02:35"/>
    <n v="5"/>
  </r>
  <r>
    <x v="2962"/>
    <s v="Jim"/>
    <x v="51"/>
    <d v="1899-12-30T12:25:55"/>
    <d v="2021-02-21T12:25:55"/>
    <x v="2"/>
    <x v="3"/>
    <x v="4"/>
    <x v="0"/>
    <s v="Y"/>
    <n v="108"/>
    <x v="0"/>
    <d v="1899-12-30T00:05:28"/>
    <n v="3"/>
  </r>
  <r>
    <x v="2963"/>
    <s v="Greg"/>
    <x v="51"/>
    <d v="1899-12-30T12:25:55"/>
    <d v="2021-02-21T12:25:55"/>
    <x v="2"/>
    <x v="3"/>
    <x v="2"/>
    <x v="0"/>
    <s v="Y"/>
    <n v="80"/>
    <x v="0"/>
    <d v="1899-12-30T00:02:17"/>
    <n v="4"/>
  </r>
  <r>
    <x v="2964"/>
    <s v="Becky"/>
    <x v="51"/>
    <d v="1899-12-30T12:57:36"/>
    <d v="2021-02-21T12:57:36"/>
    <x v="2"/>
    <x v="3"/>
    <x v="2"/>
    <x v="0"/>
    <s v="Y"/>
    <n v="77"/>
    <x v="0"/>
    <d v="1899-12-30T00:01:15"/>
    <n v="4"/>
  </r>
  <r>
    <x v="2965"/>
    <s v="Stewart"/>
    <x v="51"/>
    <d v="1899-12-30T12:57:36"/>
    <d v="2021-02-21T12:57:36"/>
    <x v="2"/>
    <x v="3"/>
    <x v="3"/>
    <x v="0"/>
    <s v="Y"/>
    <n v="14"/>
    <x v="1"/>
    <d v="1899-12-30T00:01:31"/>
    <n v="5"/>
  </r>
  <r>
    <x v="2966"/>
    <s v="Stewart"/>
    <x v="51"/>
    <d v="1899-12-30T13:14:53"/>
    <d v="2021-02-21T13:14:53"/>
    <x v="2"/>
    <x v="4"/>
    <x v="1"/>
    <x v="0"/>
    <s v="N"/>
    <n v="69"/>
    <x v="0"/>
    <d v="1899-12-30T00:05:10"/>
    <n v="5"/>
  </r>
  <r>
    <x v="2967"/>
    <s v="Jim"/>
    <x v="51"/>
    <d v="1899-12-30T13:14:53"/>
    <d v="2021-02-21T13:14:53"/>
    <x v="2"/>
    <x v="4"/>
    <x v="0"/>
    <x v="0"/>
    <s v="Y"/>
    <n v="91"/>
    <x v="0"/>
    <d v="1899-12-30T00:00:53"/>
    <n v="3"/>
  </r>
  <r>
    <x v="2968"/>
    <s v="Greg"/>
    <x v="51"/>
    <d v="1899-12-30T13:35:02"/>
    <d v="2021-02-21T13:35:02"/>
    <x v="2"/>
    <x v="4"/>
    <x v="2"/>
    <x v="1"/>
    <s v="N"/>
    <m/>
    <x v="0"/>
    <m/>
    <m/>
  </r>
  <r>
    <x v="2969"/>
    <s v="Becky"/>
    <x v="51"/>
    <d v="1899-12-30T13:35:02"/>
    <d v="2021-02-21T13:35:02"/>
    <x v="2"/>
    <x v="4"/>
    <x v="2"/>
    <x v="0"/>
    <s v="Y"/>
    <n v="125"/>
    <x v="0"/>
    <d v="1899-12-30T00:03:09"/>
    <n v="1"/>
  </r>
  <r>
    <x v="2970"/>
    <s v="Becky"/>
    <x v="51"/>
    <d v="1899-12-30T13:56:38"/>
    <d v="2021-02-21T13:56:38"/>
    <x v="2"/>
    <x v="4"/>
    <x v="4"/>
    <x v="0"/>
    <s v="Y"/>
    <n v="25"/>
    <x v="0"/>
    <d v="1899-12-30T00:06:00"/>
    <n v="4"/>
  </r>
  <r>
    <x v="2971"/>
    <s v="Dan"/>
    <x v="51"/>
    <d v="1899-12-30T13:56:38"/>
    <d v="2021-02-21T13:56:38"/>
    <x v="2"/>
    <x v="4"/>
    <x v="2"/>
    <x v="0"/>
    <s v="Y"/>
    <n v="60"/>
    <x v="0"/>
    <d v="1899-12-30T00:04:45"/>
    <n v="4"/>
  </r>
  <r>
    <x v="2972"/>
    <s v="Becky"/>
    <x v="51"/>
    <d v="1899-12-30T13:59:31"/>
    <d v="2021-02-21T13:59:31"/>
    <x v="2"/>
    <x v="4"/>
    <x v="1"/>
    <x v="0"/>
    <s v="N"/>
    <n v="97"/>
    <x v="0"/>
    <d v="1899-12-30T00:04:40"/>
    <n v="3"/>
  </r>
  <r>
    <x v="2973"/>
    <s v="Dan"/>
    <x v="51"/>
    <d v="1899-12-30T13:59:31"/>
    <d v="2021-02-21T13:59:31"/>
    <x v="2"/>
    <x v="4"/>
    <x v="3"/>
    <x v="0"/>
    <s v="Y"/>
    <n v="41"/>
    <x v="0"/>
    <d v="1899-12-30T00:04:56"/>
    <n v="1"/>
  </r>
  <r>
    <x v="2974"/>
    <s v="Stewart"/>
    <x v="51"/>
    <d v="1899-12-30T14:29:46"/>
    <d v="2021-02-21T14:29:46"/>
    <x v="2"/>
    <x v="5"/>
    <x v="2"/>
    <x v="1"/>
    <s v="N"/>
    <m/>
    <x v="0"/>
    <m/>
    <m/>
  </r>
  <r>
    <x v="2975"/>
    <s v="Greg"/>
    <x v="51"/>
    <d v="1899-12-30T14:29:46"/>
    <d v="2021-02-21T14:29:46"/>
    <x v="2"/>
    <x v="5"/>
    <x v="4"/>
    <x v="0"/>
    <s v="Y"/>
    <n v="47"/>
    <x v="0"/>
    <d v="1899-12-30T00:06:59"/>
    <n v="4"/>
  </r>
  <r>
    <x v="2976"/>
    <s v="Becky"/>
    <x v="51"/>
    <d v="1899-12-30T14:47:02"/>
    <d v="2021-02-21T14:47:02"/>
    <x v="2"/>
    <x v="5"/>
    <x v="0"/>
    <x v="1"/>
    <s v="N"/>
    <m/>
    <x v="0"/>
    <m/>
    <m/>
  </r>
  <r>
    <x v="2977"/>
    <s v="Jim"/>
    <x v="51"/>
    <d v="1899-12-30T14:47:02"/>
    <d v="2021-02-21T14:47:02"/>
    <x v="2"/>
    <x v="5"/>
    <x v="4"/>
    <x v="0"/>
    <s v="Y"/>
    <n v="82"/>
    <x v="0"/>
    <d v="1899-12-30T00:06:34"/>
    <n v="5"/>
  </r>
  <r>
    <x v="2978"/>
    <s v="Greg"/>
    <x v="51"/>
    <d v="1899-12-30T14:58:34"/>
    <d v="2021-02-21T14:58:34"/>
    <x v="2"/>
    <x v="5"/>
    <x v="3"/>
    <x v="0"/>
    <s v="Y"/>
    <n v="94"/>
    <x v="0"/>
    <d v="1899-12-30T00:04:43"/>
    <n v="4"/>
  </r>
  <r>
    <x v="2979"/>
    <s v="Becky"/>
    <x v="51"/>
    <d v="1899-12-30T14:58:34"/>
    <d v="2021-02-21T14:58:34"/>
    <x v="2"/>
    <x v="5"/>
    <x v="0"/>
    <x v="0"/>
    <s v="Y"/>
    <n v="43"/>
    <x v="0"/>
    <d v="1899-12-30T00:04:43"/>
    <n v="4"/>
  </r>
  <r>
    <x v="2980"/>
    <s v="Stewart"/>
    <x v="51"/>
    <d v="1899-12-30T15:10:05"/>
    <d v="2021-02-21T15:10:05"/>
    <x v="2"/>
    <x v="6"/>
    <x v="1"/>
    <x v="0"/>
    <s v="Y"/>
    <n v="27"/>
    <x v="0"/>
    <d v="1899-12-30T00:04:07"/>
    <n v="1"/>
  </r>
  <r>
    <x v="2981"/>
    <s v="Joe"/>
    <x v="51"/>
    <d v="1899-12-30T15:10:05"/>
    <d v="2021-02-21T15:10:05"/>
    <x v="2"/>
    <x v="6"/>
    <x v="1"/>
    <x v="0"/>
    <s v="N"/>
    <n v="15"/>
    <x v="1"/>
    <d v="1899-12-30T00:02:51"/>
    <n v="3"/>
  </r>
  <r>
    <x v="2982"/>
    <s v="Jim"/>
    <x v="51"/>
    <d v="1899-12-30T15:44:38"/>
    <d v="2021-02-21T15:44:38"/>
    <x v="2"/>
    <x v="6"/>
    <x v="1"/>
    <x v="0"/>
    <s v="Y"/>
    <n v="21"/>
    <x v="0"/>
    <d v="1899-12-30T00:01:22"/>
    <n v="4"/>
  </r>
  <r>
    <x v="2983"/>
    <s v="Dan"/>
    <x v="51"/>
    <d v="1899-12-30T15:44:38"/>
    <d v="2021-02-21T15:44:38"/>
    <x v="2"/>
    <x v="6"/>
    <x v="1"/>
    <x v="0"/>
    <s v="Y"/>
    <n v="30"/>
    <x v="0"/>
    <d v="1899-12-30T00:01:46"/>
    <n v="5"/>
  </r>
  <r>
    <x v="2984"/>
    <s v="Diane"/>
    <x v="51"/>
    <d v="1899-12-30T15:46:05"/>
    <d v="2021-02-21T15:46:05"/>
    <x v="2"/>
    <x v="6"/>
    <x v="3"/>
    <x v="0"/>
    <s v="N"/>
    <n v="106"/>
    <x v="0"/>
    <d v="1899-12-30T00:02:10"/>
    <n v="1"/>
  </r>
  <r>
    <x v="2985"/>
    <s v="Jim"/>
    <x v="51"/>
    <d v="1899-12-30T15:46:05"/>
    <d v="2021-02-21T15:46:05"/>
    <x v="2"/>
    <x v="6"/>
    <x v="3"/>
    <x v="0"/>
    <s v="Y"/>
    <n v="56"/>
    <x v="0"/>
    <d v="1899-12-30T00:05:21"/>
    <n v="3"/>
  </r>
  <r>
    <x v="2986"/>
    <s v="Dan"/>
    <x v="51"/>
    <d v="1899-12-30T16:23:31"/>
    <d v="2021-02-21T16:23:31"/>
    <x v="2"/>
    <x v="8"/>
    <x v="2"/>
    <x v="0"/>
    <s v="Y"/>
    <n v="100"/>
    <x v="0"/>
    <d v="1899-12-30T00:06:33"/>
    <n v="5"/>
  </r>
  <r>
    <x v="2987"/>
    <s v="Diane"/>
    <x v="51"/>
    <d v="1899-12-30T16:23:31"/>
    <d v="2021-02-21T16:23:31"/>
    <x v="2"/>
    <x v="8"/>
    <x v="4"/>
    <x v="0"/>
    <s v="Y"/>
    <n v="48"/>
    <x v="0"/>
    <d v="1899-12-30T00:05:46"/>
    <n v="3"/>
  </r>
  <r>
    <x v="2988"/>
    <s v="Jim"/>
    <x v="51"/>
    <d v="1899-12-30T16:59:31"/>
    <d v="2021-02-21T16:59:31"/>
    <x v="2"/>
    <x v="8"/>
    <x v="4"/>
    <x v="0"/>
    <s v="Y"/>
    <n v="74"/>
    <x v="0"/>
    <d v="1899-12-30T00:03:37"/>
    <n v="5"/>
  </r>
  <r>
    <x v="2989"/>
    <s v="Stewart"/>
    <x v="51"/>
    <d v="1899-12-30T16:59:31"/>
    <d v="2021-02-21T16:59:31"/>
    <x v="2"/>
    <x v="8"/>
    <x v="3"/>
    <x v="0"/>
    <s v="Y"/>
    <n v="100"/>
    <x v="0"/>
    <d v="1899-12-30T00:04:00"/>
    <n v="1"/>
  </r>
  <r>
    <x v="2990"/>
    <s v="Diane"/>
    <x v="51"/>
    <d v="1899-12-30T17:19:41"/>
    <d v="2021-02-21T17:19:41"/>
    <x v="2"/>
    <x v="7"/>
    <x v="2"/>
    <x v="0"/>
    <s v="N"/>
    <n v="90"/>
    <x v="0"/>
    <d v="1899-12-30T00:02:43"/>
    <n v="3"/>
  </r>
  <r>
    <x v="2991"/>
    <s v="Becky"/>
    <x v="51"/>
    <d v="1899-12-30T17:19:41"/>
    <d v="2021-02-21T17:19:41"/>
    <x v="2"/>
    <x v="7"/>
    <x v="1"/>
    <x v="1"/>
    <s v="N"/>
    <m/>
    <x v="0"/>
    <m/>
    <m/>
  </r>
  <r>
    <x v="2992"/>
    <s v="Dan"/>
    <x v="51"/>
    <d v="1899-12-30T17:21:07"/>
    <d v="2021-02-21T17:21:07"/>
    <x v="2"/>
    <x v="7"/>
    <x v="2"/>
    <x v="0"/>
    <s v="Y"/>
    <n v="43"/>
    <x v="0"/>
    <d v="1899-12-30T00:06:20"/>
    <n v="5"/>
  </r>
  <r>
    <x v="2993"/>
    <s v="Joe"/>
    <x v="51"/>
    <d v="1899-12-30T17:21:07"/>
    <d v="2021-02-21T17:21:07"/>
    <x v="2"/>
    <x v="7"/>
    <x v="2"/>
    <x v="0"/>
    <s v="Y"/>
    <n v="68"/>
    <x v="0"/>
    <d v="1899-12-30T00:05:13"/>
    <n v="4"/>
  </r>
  <r>
    <x v="2994"/>
    <s v="Jim"/>
    <x v="51"/>
    <d v="1899-12-30T17:49:55"/>
    <d v="2021-02-21T17:49:55"/>
    <x v="2"/>
    <x v="7"/>
    <x v="4"/>
    <x v="1"/>
    <s v="N"/>
    <m/>
    <x v="0"/>
    <m/>
    <m/>
  </r>
  <r>
    <x v="2995"/>
    <s v="Diane"/>
    <x v="51"/>
    <d v="1899-12-30T17:49:55"/>
    <d v="2021-02-21T17:49:55"/>
    <x v="2"/>
    <x v="7"/>
    <x v="3"/>
    <x v="0"/>
    <s v="Y"/>
    <n v="65"/>
    <x v="0"/>
    <d v="1899-12-30T00:05:18"/>
    <n v="1"/>
  </r>
  <r>
    <x v="2996"/>
    <s v="Greg"/>
    <x v="52"/>
    <d v="1899-12-30T09:04:19"/>
    <d v="2021-02-22T09:04:19"/>
    <x v="3"/>
    <x v="0"/>
    <x v="3"/>
    <x v="0"/>
    <s v="Y"/>
    <n v="125"/>
    <x v="0"/>
    <d v="1899-12-30T00:01:58"/>
    <n v="5"/>
  </r>
  <r>
    <x v="2997"/>
    <s v="Joe"/>
    <x v="52"/>
    <d v="1899-12-30T09:04:19"/>
    <d v="2021-02-22T09:04:19"/>
    <x v="3"/>
    <x v="0"/>
    <x v="3"/>
    <x v="0"/>
    <s v="Y"/>
    <n v="62"/>
    <x v="0"/>
    <d v="1899-12-30T00:05:13"/>
    <n v="4"/>
  </r>
  <r>
    <x v="2998"/>
    <s v="Jim"/>
    <x v="52"/>
    <d v="1899-12-30T09:44:38"/>
    <d v="2021-02-22T09:44:38"/>
    <x v="3"/>
    <x v="0"/>
    <x v="2"/>
    <x v="0"/>
    <s v="Y"/>
    <n v="24"/>
    <x v="0"/>
    <d v="1899-12-30T00:02:10"/>
    <n v="3"/>
  </r>
  <r>
    <x v="2999"/>
    <s v="Becky"/>
    <x v="52"/>
    <d v="1899-12-30T09:44:38"/>
    <d v="2021-02-22T09:44:38"/>
    <x v="3"/>
    <x v="0"/>
    <x v="4"/>
    <x v="1"/>
    <s v="N"/>
    <m/>
    <x v="0"/>
    <m/>
    <m/>
  </r>
  <r>
    <x v="3000"/>
    <s v="Jim"/>
    <x v="52"/>
    <d v="1899-12-30T11:12:29"/>
    <d v="2021-02-22T11:12:29"/>
    <x v="3"/>
    <x v="2"/>
    <x v="4"/>
    <x v="0"/>
    <s v="Y"/>
    <n v="41"/>
    <x v="0"/>
    <d v="1899-12-30T00:02:17"/>
    <n v="4"/>
  </r>
  <r>
    <x v="3001"/>
    <s v="Becky"/>
    <x v="52"/>
    <d v="1899-12-30T11:12:29"/>
    <d v="2021-02-22T11:12:29"/>
    <x v="3"/>
    <x v="2"/>
    <x v="4"/>
    <x v="0"/>
    <s v="Y"/>
    <n v="81"/>
    <x v="0"/>
    <d v="1899-12-30T00:01:53"/>
    <n v="3"/>
  </r>
  <r>
    <x v="3002"/>
    <s v="Diane"/>
    <x v="52"/>
    <d v="1899-12-30T11:13:55"/>
    <d v="2021-02-22T11:13:55"/>
    <x v="3"/>
    <x v="2"/>
    <x v="1"/>
    <x v="0"/>
    <s v="Y"/>
    <n v="21"/>
    <x v="0"/>
    <d v="1899-12-30T00:05:28"/>
    <n v="5"/>
  </r>
  <r>
    <x v="3003"/>
    <s v="Joe"/>
    <x v="52"/>
    <d v="1899-12-30T11:13:55"/>
    <d v="2021-02-22T11:13:55"/>
    <x v="3"/>
    <x v="2"/>
    <x v="3"/>
    <x v="1"/>
    <s v="N"/>
    <m/>
    <x v="0"/>
    <m/>
    <m/>
  </r>
  <r>
    <x v="3004"/>
    <s v="Jim"/>
    <x v="52"/>
    <d v="1899-12-30T11:29:46"/>
    <d v="2021-02-22T11:29:46"/>
    <x v="3"/>
    <x v="2"/>
    <x v="4"/>
    <x v="1"/>
    <s v="N"/>
    <m/>
    <x v="0"/>
    <m/>
    <m/>
  </r>
  <r>
    <x v="3005"/>
    <s v="Jim"/>
    <x v="52"/>
    <d v="1899-12-30T11:29:46"/>
    <d v="2021-02-22T11:29:46"/>
    <x v="3"/>
    <x v="2"/>
    <x v="0"/>
    <x v="0"/>
    <s v="Y"/>
    <n v="42"/>
    <x v="0"/>
    <d v="1899-12-30T00:04:28"/>
    <n v="4"/>
  </r>
  <r>
    <x v="3006"/>
    <s v="Greg"/>
    <x v="52"/>
    <d v="1899-12-30T11:58:34"/>
    <d v="2021-02-22T11:58:34"/>
    <x v="3"/>
    <x v="2"/>
    <x v="4"/>
    <x v="0"/>
    <s v="Y"/>
    <n v="79"/>
    <x v="0"/>
    <d v="1899-12-30T00:05:21"/>
    <n v="5"/>
  </r>
  <r>
    <x v="3007"/>
    <s v="Greg"/>
    <x v="52"/>
    <d v="1899-12-30T11:58:34"/>
    <d v="2021-02-22T11:58:34"/>
    <x v="3"/>
    <x v="2"/>
    <x v="1"/>
    <x v="0"/>
    <s v="Y"/>
    <n v="120"/>
    <x v="0"/>
    <d v="1899-12-30T00:04:53"/>
    <n v="4"/>
  </r>
  <r>
    <x v="3008"/>
    <s v="Dan"/>
    <x v="52"/>
    <d v="1899-12-30T12:04:19"/>
    <d v="2021-02-22T12:04:19"/>
    <x v="3"/>
    <x v="3"/>
    <x v="3"/>
    <x v="0"/>
    <s v="Y"/>
    <n v="10"/>
    <x v="1"/>
    <d v="1899-12-30T00:02:34"/>
    <n v="4"/>
  </r>
  <r>
    <x v="3009"/>
    <s v="Jim"/>
    <x v="52"/>
    <d v="1899-12-30T12:04:19"/>
    <d v="2021-02-22T12:04:19"/>
    <x v="3"/>
    <x v="3"/>
    <x v="4"/>
    <x v="0"/>
    <s v="Y"/>
    <n v="21"/>
    <x v="0"/>
    <d v="1899-12-30T00:05:05"/>
    <n v="1"/>
  </r>
  <r>
    <x v="3010"/>
    <s v="Diane"/>
    <x v="52"/>
    <d v="1899-12-30T13:01:55"/>
    <d v="2021-02-22T13:01:55"/>
    <x v="3"/>
    <x v="4"/>
    <x v="1"/>
    <x v="0"/>
    <s v="N"/>
    <n v="16"/>
    <x v="1"/>
    <d v="1899-12-30T00:03:35"/>
    <n v="5"/>
  </r>
  <r>
    <x v="3011"/>
    <s v="Joe"/>
    <x v="52"/>
    <d v="1899-12-30T13:01:55"/>
    <d v="2021-02-22T13:01:55"/>
    <x v="3"/>
    <x v="4"/>
    <x v="2"/>
    <x v="0"/>
    <s v="Y"/>
    <n v="34"/>
    <x v="0"/>
    <d v="1899-12-30T00:06:19"/>
    <n v="5"/>
  </r>
  <r>
    <x v="3012"/>
    <s v="Diane"/>
    <x v="52"/>
    <d v="1899-12-30T13:19:12"/>
    <d v="2021-02-22T13:19:12"/>
    <x v="3"/>
    <x v="4"/>
    <x v="0"/>
    <x v="0"/>
    <s v="Y"/>
    <n v="116"/>
    <x v="0"/>
    <d v="1899-12-30T00:06:53"/>
    <n v="1"/>
  </r>
  <r>
    <x v="3013"/>
    <s v="Greg"/>
    <x v="52"/>
    <d v="1899-12-30T13:19:12"/>
    <d v="2021-02-22T13:19:12"/>
    <x v="3"/>
    <x v="4"/>
    <x v="3"/>
    <x v="0"/>
    <s v="Y"/>
    <n v="28"/>
    <x v="0"/>
    <d v="1899-12-30T00:06:25"/>
    <n v="2"/>
  </r>
  <r>
    <x v="3014"/>
    <s v="Martha"/>
    <x v="52"/>
    <d v="1899-12-30T13:30:43"/>
    <d v="2021-02-22T13:30:43"/>
    <x v="3"/>
    <x v="4"/>
    <x v="1"/>
    <x v="0"/>
    <s v="Y"/>
    <n v="75"/>
    <x v="0"/>
    <d v="1899-12-30T00:02:33"/>
    <n v="3"/>
  </r>
  <r>
    <x v="3015"/>
    <s v="Martha"/>
    <x v="52"/>
    <d v="1899-12-30T13:30:43"/>
    <d v="2021-02-22T13:30:43"/>
    <x v="3"/>
    <x v="4"/>
    <x v="2"/>
    <x v="1"/>
    <s v="N"/>
    <m/>
    <x v="0"/>
    <m/>
    <m/>
  </r>
  <r>
    <x v="3016"/>
    <s v="Joe"/>
    <x v="52"/>
    <d v="1899-12-30T14:06:43"/>
    <d v="2021-02-22T14:06:43"/>
    <x v="3"/>
    <x v="5"/>
    <x v="2"/>
    <x v="0"/>
    <s v="N"/>
    <n v="29"/>
    <x v="0"/>
    <d v="1899-12-30T00:03:34"/>
    <n v="2"/>
  </r>
  <r>
    <x v="3017"/>
    <s v="Jim"/>
    <x v="52"/>
    <d v="1899-12-30T14:06:43"/>
    <d v="2021-02-22T14:06:43"/>
    <x v="3"/>
    <x v="5"/>
    <x v="1"/>
    <x v="1"/>
    <s v="N"/>
    <m/>
    <x v="0"/>
    <m/>
    <m/>
  </r>
  <r>
    <x v="3018"/>
    <s v="Becky"/>
    <x v="52"/>
    <d v="1899-12-30T14:32:38"/>
    <d v="2021-02-22T14:32:38"/>
    <x v="3"/>
    <x v="5"/>
    <x v="1"/>
    <x v="1"/>
    <s v="N"/>
    <m/>
    <x v="0"/>
    <m/>
    <m/>
  </r>
  <r>
    <x v="3019"/>
    <s v="Dan"/>
    <x v="52"/>
    <d v="1899-12-30T14:32:38"/>
    <d v="2021-02-22T14:32:38"/>
    <x v="3"/>
    <x v="5"/>
    <x v="1"/>
    <x v="0"/>
    <s v="Y"/>
    <n v="118"/>
    <x v="0"/>
    <d v="1899-12-30T00:02:11"/>
    <n v="4"/>
  </r>
  <r>
    <x v="3020"/>
    <s v="Dan"/>
    <x v="52"/>
    <d v="1899-12-30T14:32:38"/>
    <d v="2021-02-22T14:32:38"/>
    <x v="3"/>
    <x v="5"/>
    <x v="3"/>
    <x v="0"/>
    <s v="Y"/>
    <n v="87"/>
    <x v="0"/>
    <d v="1899-12-30T00:05:04"/>
    <n v="3"/>
  </r>
  <r>
    <x v="3021"/>
    <s v="Diane"/>
    <x v="52"/>
    <d v="1899-12-30T14:32:38"/>
    <d v="2021-02-22T14:32:38"/>
    <x v="3"/>
    <x v="5"/>
    <x v="4"/>
    <x v="0"/>
    <s v="N"/>
    <n v="100"/>
    <x v="0"/>
    <d v="1899-12-30T00:06:45"/>
    <n v="3"/>
  </r>
  <r>
    <x v="3022"/>
    <s v="Becky"/>
    <x v="52"/>
    <d v="1899-12-30T15:12:58"/>
    <d v="2021-02-22T15:12:58"/>
    <x v="3"/>
    <x v="6"/>
    <x v="3"/>
    <x v="0"/>
    <s v="Y"/>
    <n v="114"/>
    <x v="0"/>
    <d v="1899-12-30T00:05:05"/>
    <n v="2"/>
  </r>
  <r>
    <x v="3023"/>
    <s v="Stewart"/>
    <x v="52"/>
    <d v="1899-12-30T15:12:58"/>
    <d v="2021-02-22T15:12:58"/>
    <x v="3"/>
    <x v="6"/>
    <x v="1"/>
    <x v="0"/>
    <s v="Y"/>
    <n v="69"/>
    <x v="0"/>
    <d v="1899-12-30T00:00:35"/>
    <n v="4"/>
  </r>
  <r>
    <x v="3024"/>
    <s v="Jim"/>
    <x v="52"/>
    <d v="1899-12-30T15:18:43"/>
    <d v="2021-02-22T15:18:43"/>
    <x v="3"/>
    <x v="6"/>
    <x v="3"/>
    <x v="0"/>
    <s v="Y"/>
    <n v="112"/>
    <x v="0"/>
    <d v="1899-12-30T00:01:59"/>
    <n v="3"/>
  </r>
  <r>
    <x v="3025"/>
    <s v="Dan"/>
    <x v="52"/>
    <d v="1899-12-30T15:18:43"/>
    <d v="2021-02-22T15:18:43"/>
    <x v="3"/>
    <x v="6"/>
    <x v="1"/>
    <x v="1"/>
    <s v="N"/>
    <m/>
    <x v="0"/>
    <m/>
    <m/>
  </r>
  <r>
    <x v="3026"/>
    <s v="Stewart"/>
    <x v="52"/>
    <d v="1899-12-30T15:37:26"/>
    <d v="2021-02-22T15:37:26"/>
    <x v="3"/>
    <x v="6"/>
    <x v="4"/>
    <x v="0"/>
    <s v="Y"/>
    <n v="48"/>
    <x v="0"/>
    <d v="1899-12-30T00:01:54"/>
    <n v="3"/>
  </r>
  <r>
    <x v="3027"/>
    <s v="Becky"/>
    <x v="52"/>
    <d v="1899-12-30T15:37:26"/>
    <d v="2021-02-22T15:37:26"/>
    <x v="3"/>
    <x v="6"/>
    <x v="2"/>
    <x v="0"/>
    <s v="Y"/>
    <n v="92"/>
    <x v="0"/>
    <d v="1899-12-30T00:01:26"/>
    <n v="2"/>
  </r>
  <r>
    <x v="3028"/>
    <s v="Jim"/>
    <x v="52"/>
    <d v="1899-12-30T15:37:26"/>
    <d v="2021-02-22T15:37:26"/>
    <x v="3"/>
    <x v="6"/>
    <x v="4"/>
    <x v="0"/>
    <s v="Y"/>
    <n v="102"/>
    <x v="0"/>
    <d v="1899-12-30T00:06:34"/>
    <n v="4"/>
  </r>
  <r>
    <x v="3029"/>
    <s v="Martha"/>
    <x v="52"/>
    <d v="1899-12-30T15:37:26"/>
    <d v="2021-02-22T15:37:26"/>
    <x v="3"/>
    <x v="6"/>
    <x v="1"/>
    <x v="0"/>
    <s v="Y"/>
    <n v="16"/>
    <x v="1"/>
    <d v="1899-12-30T00:06:31"/>
    <n v="3"/>
  </r>
  <r>
    <x v="3030"/>
    <s v="Joe"/>
    <x v="52"/>
    <d v="1899-12-30T15:41:46"/>
    <d v="2021-02-22T15:41:46"/>
    <x v="3"/>
    <x v="6"/>
    <x v="1"/>
    <x v="0"/>
    <s v="Y"/>
    <n v="58"/>
    <x v="0"/>
    <d v="1899-12-30T00:02:53"/>
    <n v="5"/>
  </r>
  <r>
    <x v="3031"/>
    <s v="Becky"/>
    <x v="52"/>
    <d v="1899-12-30T15:41:46"/>
    <d v="2021-02-22T15:41:46"/>
    <x v="3"/>
    <x v="6"/>
    <x v="0"/>
    <x v="0"/>
    <s v="Y"/>
    <n v="87"/>
    <x v="0"/>
    <d v="1899-12-30T00:01:42"/>
    <n v="5"/>
  </r>
  <r>
    <x v="3032"/>
    <s v="Joe"/>
    <x v="52"/>
    <d v="1899-12-30T15:48:58"/>
    <d v="2021-02-22T15:48:58"/>
    <x v="3"/>
    <x v="6"/>
    <x v="0"/>
    <x v="0"/>
    <s v="Y"/>
    <n v="88"/>
    <x v="0"/>
    <d v="1899-12-30T00:01:17"/>
    <n v="4"/>
  </r>
  <r>
    <x v="3033"/>
    <s v="Dan"/>
    <x v="52"/>
    <d v="1899-12-30T15:48:58"/>
    <d v="2021-02-22T15:48:58"/>
    <x v="3"/>
    <x v="6"/>
    <x v="3"/>
    <x v="0"/>
    <s v="Y"/>
    <n v="59"/>
    <x v="0"/>
    <d v="1899-12-30T00:03:42"/>
    <n v="3"/>
  </r>
  <r>
    <x v="3034"/>
    <s v="Jim"/>
    <x v="52"/>
    <d v="1899-12-30T16:26:24"/>
    <d v="2021-02-22T16:26:24"/>
    <x v="3"/>
    <x v="8"/>
    <x v="4"/>
    <x v="0"/>
    <s v="Y"/>
    <n v="11"/>
    <x v="1"/>
    <d v="1899-12-30T00:03:15"/>
    <n v="3"/>
  </r>
  <r>
    <x v="3035"/>
    <s v="Joe"/>
    <x v="52"/>
    <d v="1899-12-30T16:26:24"/>
    <d v="2021-02-22T16:26:24"/>
    <x v="3"/>
    <x v="8"/>
    <x v="1"/>
    <x v="0"/>
    <s v="Y"/>
    <n v="75"/>
    <x v="0"/>
    <d v="1899-12-30T00:06:33"/>
    <n v="3"/>
  </r>
  <r>
    <x v="3036"/>
    <s v="Greg"/>
    <x v="52"/>
    <d v="1899-12-30T16:39:22"/>
    <d v="2021-02-22T16:39:22"/>
    <x v="3"/>
    <x v="8"/>
    <x v="3"/>
    <x v="0"/>
    <s v="Y"/>
    <n v="64"/>
    <x v="0"/>
    <d v="1899-12-30T00:06:37"/>
    <n v="3"/>
  </r>
  <r>
    <x v="3037"/>
    <s v="Becky"/>
    <x v="52"/>
    <d v="1899-12-30T16:39:22"/>
    <d v="2021-02-22T16:39:22"/>
    <x v="3"/>
    <x v="8"/>
    <x v="4"/>
    <x v="0"/>
    <s v="Y"/>
    <n v="95"/>
    <x v="0"/>
    <d v="1899-12-30T00:05:16"/>
    <n v="1"/>
  </r>
  <r>
    <x v="3038"/>
    <s v="Martha"/>
    <x v="52"/>
    <d v="1899-12-30T16:55:12"/>
    <d v="2021-02-22T16:55:12"/>
    <x v="3"/>
    <x v="8"/>
    <x v="1"/>
    <x v="0"/>
    <s v="Y"/>
    <n v="94"/>
    <x v="0"/>
    <d v="1899-12-30T00:05:02"/>
    <n v="4"/>
  </r>
  <r>
    <x v="3039"/>
    <s v="Greg"/>
    <x v="52"/>
    <d v="1899-12-30T16:55:12"/>
    <d v="2021-02-22T16:55:12"/>
    <x v="3"/>
    <x v="8"/>
    <x v="2"/>
    <x v="1"/>
    <s v="N"/>
    <m/>
    <x v="0"/>
    <m/>
    <m/>
  </r>
  <r>
    <x v="3040"/>
    <s v="Joe"/>
    <x v="52"/>
    <d v="1899-12-30T17:03:50"/>
    <d v="2021-02-22T17:03:50"/>
    <x v="3"/>
    <x v="7"/>
    <x v="0"/>
    <x v="1"/>
    <s v="N"/>
    <m/>
    <x v="0"/>
    <m/>
    <m/>
  </r>
  <r>
    <x v="3041"/>
    <s v="Becky"/>
    <x v="52"/>
    <d v="1899-12-30T17:03:50"/>
    <d v="2021-02-22T17:03:50"/>
    <x v="3"/>
    <x v="7"/>
    <x v="3"/>
    <x v="1"/>
    <s v="N"/>
    <m/>
    <x v="0"/>
    <m/>
    <m/>
  </r>
  <r>
    <x v="3042"/>
    <s v="Dan"/>
    <x v="52"/>
    <d v="1899-12-30T17:09:36"/>
    <d v="2021-02-22T17:09:36"/>
    <x v="3"/>
    <x v="7"/>
    <x v="0"/>
    <x v="1"/>
    <s v="N"/>
    <m/>
    <x v="0"/>
    <m/>
    <m/>
  </r>
  <r>
    <x v="3043"/>
    <s v="Diane"/>
    <x v="52"/>
    <d v="1899-12-30T17:09:36"/>
    <d v="2021-02-22T17:09:36"/>
    <x v="3"/>
    <x v="7"/>
    <x v="0"/>
    <x v="0"/>
    <s v="Y"/>
    <n v="41"/>
    <x v="0"/>
    <d v="1899-12-30T00:02:08"/>
    <n v="3"/>
  </r>
  <r>
    <x v="3044"/>
    <s v="Diane"/>
    <x v="52"/>
    <d v="1899-12-30T17:19:41"/>
    <d v="2021-02-22T17:19:41"/>
    <x v="3"/>
    <x v="7"/>
    <x v="3"/>
    <x v="0"/>
    <s v="Y"/>
    <n v="38"/>
    <x v="0"/>
    <d v="1899-12-30T00:03:48"/>
    <n v="3"/>
  </r>
  <r>
    <x v="3045"/>
    <s v="Martha"/>
    <x v="52"/>
    <d v="1899-12-30T17:19:41"/>
    <d v="2021-02-22T17:19:41"/>
    <x v="3"/>
    <x v="7"/>
    <x v="4"/>
    <x v="0"/>
    <s v="Y"/>
    <n v="33"/>
    <x v="0"/>
    <d v="1899-12-30T00:01:42"/>
    <n v="5"/>
  </r>
  <r>
    <x v="3046"/>
    <s v="Dan"/>
    <x v="53"/>
    <d v="1899-12-30T09:02:53"/>
    <d v="2021-02-23T09:02:53"/>
    <x v="4"/>
    <x v="0"/>
    <x v="1"/>
    <x v="0"/>
    <s v="Y"/>
    <n v="49"/>
    <x v="0"/>
    <d v="1899-12-30T00:01:01"/>
    <n v="3"/>
  </r>
  <r>
    <x v="3047"/>
    <s v="Dan"/>
    <x v="53"/>
    <d v="1899-12-30T09:02:53"/>
    <d v="2021-02-23T09:02:53"/>
    <x v="4"/>
    <x v="0"/>
    <x v="4"/>
    <x v="0"/>
    <s v="Y"/>
    <n v="97"/>
    <x v="0"/>
    <d v="1899-12-30T00:00:46"/>
    <n v="5"/>
  </r>
  <r>
    <x v="3048"/>
    <s v="Becky"/>
    <x v="53"/>
    <d v="1899-12-30T09:23:02"/>
    <d v="2021-02-23T09:23:02"/>
    <x v="4"/>
    <x v="0"/>
    <x v="2"/>
    <x v="0"/>
    <s v="Y"/>
    <n v="23"/>
    <x v="0"/>
    <d v="1899-12-30T00:02:53"/>
    <n v="3"/>
  </r>
  <r>
    <x v="3049"/>
    <s v="Joe"/>
    <x v="53"/>
    <d v="1899-12-30T09:23:02"/>
    <d v="2021-02-23T09:23:02"/>
    <x v="4"/>
    <x v="0"/>
    <x v="1"/>
    <x v="0"/>
    <s v="Y"/>
    <n v="60"/>
    <x v="0"/>
    <d v="1899-12-30T00:06:16"/>
    <n v="3"/>
  </r>
  <r>
    <x v="3050"/>
    <s v="Martha"/>
    <x v="53"/>
    <d v="1899-12-30T09:43:12"/>
    <d v="2021-02-23T09:43:12"/>
    <x v="4"/>
    <x v="0"/>
    <x v="1"/>
    <x v="0"/>
    <s v="Y"/>
    <n v="48"/>
    <x v="0"/>
    <d v="1899-12-30T00:06:24"/>
    <n v="2"/>
  </r>
  <r>
    <x v="3051"/>
    <s v="Diane"/>
    <x v="53"/>
    <d v="1899-12-30T09:43:12"/>
    <d v="2021-02-23T09:43:12"/>
    <x v="4"/>
    <x v="0"/>
    <x v="0"/>
    <x v="0"/>
    <s v="Y"/>
    <n v="28"/>
    <x v="0"/>
    <d v="1899-12-30T00:01:45"/>
    <n v="4"/>
  </r>
  <r>
    <x v="3052"/>
    <s v="Martha"/>
    <x v="53"/>
    <d v="1899-12-30T10:24:58"/>
    <d v="2021-02-23T10:24:58"/>
    <x v="4"/>
    <x v="1"/>
    <x v="1"/>
    <x v="0"/>
    <s v="Y"/>
    <n v="104"/>
    <x v="0"/>
    <d v="1899-12-30T00:05:43"/>
    <n v="4"/>
  </r>
  <r>
    <x v="3053"/>
    <s v="Greg"/>
    <x v="53"/>
    <d v="1899-12-30T10:24:58"/>
    <d v="2021-02-23T10:24:58"/>
    <x v="4"/>
    <x v="1"/>
    <x v="0"/>
    <x v="0"/>
    <s v="Y"/>
    <n v="115"/>
    <x v="0"/>
    <d v="1899-12-30T00:01:23"/>
    <n v="4"/>
  </r>
  <r>
    <x v="3054"/>
    <s v="Becky"/>
    <x v="53"/>
    <d v="1899-12-30T10:43:41"/>
    <d v="2021-02-23T10:43:41"/>
    <x v="4"/>
    <x v="1"/>
    <x v="3"/>
    <x v="0"/>
    <s v="N"/>
    <n v="89"/>
    <x v="0"/>
    <d v="1899-12-30T00:01:52"/>
    <n v="3"/>
  </r>
  <r>
    <x v="3055"/>
    <s v="Martha"/>
    <x v="53"/>
    <d v="1899-12-30T10:43:41"/>
    <d v="2021-02-23T10:43:41"/>
    <x v="4"/>
    <x v="1"/>
    <x v="0"/>
    <x v="1"/>
    <s v="N"/>
    <m/>
    <x v="0"/>
    <m/>
    <m/>
  </r>
  <r>
    <x v="3056"/>
    <s v="Stewart"/>
    <x v="53"/>
    <d v="1899-12-30T10:49:26"/>
    <d v="2021-02-23T10:49:26"/>
    <x v="4"/>
    <x v="1"/>
    <x v="1"/>
    <x v="0"/>
    <s v="Y"/>
    <n v="111"/>
    <x v="0"/>
    <d v="1899-12-30T00:04:17"/>
    <n v="3"/>
  </r>
  <r>
    <x v="3057"/>
    <s v="Jim"/>
    <x v="53"/>
    <d v="1899-12-30T10:49:26"/>
    <d v="2021-02-23T10:49:26"/>
    <x v="4"/>
    <x v="1"/>
    <x v="2"/>
    <x v="0"/>
    <s v="Y"/>
    <n v="17"/>
    <x v="1"/>
    <d v="1899-12-30T00:06:18"/>
    <n v="5"/>
  </r>
  <r>
    <x v="3058"/>
    <s v="Diane"/>
    <x v="53"/>
    <d v="1899-12-30T11:22:34"/>
    <d v="2021-02-23T11:22:34"/>
    <x v="4"/>
    <x v="2"/>
    <x v="1"/>
    <x v="0"/>
    <s v="Y"/>
    <n v="112"/>
    <x v="0"/>
    <d v="1899-12-30T00:01:03"/>
    <n v="3"/>
  </r>
  <r>
    <x v="3059"/>
    <s v="Stewart"/>
    <x v="53"/>
    <d v="1899-12-30T11:22:34"/>
    <d v="2021-02-23T11:22:34"/>
    <x v="4"/>
    <x v="2"/>
    <x v="4"/>
    <x v="0"/>
    <s v="N"/>
    <n v="100"/>
    <x v="0"/>
    <d v="1899-12-30T00:04:25"/>
    <n v="5"/>
  </r>
  <r>
    <x v="3060"/>
    <s v="Becky"/>
    <x v="53"/>
    <d v="1899-12-30T12:01:26"/>
    <d v="2021-02-23T12:01:26"/>
    <x v="4"/>
    <x v="3"/>
    <x v="2"/>
    <x v="1"/>
    <s v="N"/>
    <m/>
    <x v="0"/>
    <m/>
    <m/>
  </r>
  <r>
    <x v="3061"/>
    <s v="Diane"/>
    <x v="53"/>
    <d v="1899-12-30T12:01:26"/>
    <d v="2021-02-23T12:01:26"/>
    <x v="4"/>
    <x v="3"/>
    <x v="3"/>
    <x v="0"/>
    <s v="Y"/>
    <n v="40"/>
    <x v="0"/>
    <d v="1899-12-30T00:04:13"/>
    <n v="3"/>
  </r>
  <r>
    <x v="3062"/>
    <s v="Martha"/>
    <x v="53"/>
    <d v="1899-12-30T12:41:46"/>
    <d v="2021-02-23T12:41:46"/>
    <x v="4"/>
    <x v="3"/>
    <x v="0"/>
    <x v="1"/>
    <s v="N"/>
    <m/>
    <x v="0"/>
    <m/>
    <m/>
  </r>
  <r>
    <x v="3063"/>
    <s v="Becky"/>
    <x v="53"/>
    <d v="1899-12-30T12:41:46"/>
    <d v="2021-02-23T12:41:46"/>
    <x v="4"/>
    <x v="3"/>
    <x v="3"/>
    <x v="0"/>
    <s v="Y"/>
    <n v="29"/>
    <x v="0"/>
    <d v="1899-12-30T00:01:10"/>
    <n v="3"/>
  </r>
  <r>
    <x v="3064"/>
    <s v="Jim"/>
    <x v="53"/>
    <d v="1899-12-30T12:59:02"/>
    <d v="2021-02-23T12:59:02"/>
    <x v="4"/>
    <x v="3"/>
    <x v="3"/>
    <x v="0"/>
    <s v="N"/>
    <n v="39"/>
    <x v="0"/>
    <d v="1899-12-30T00:06:33"/>
    <n v="4"/>
  </r>
  <r>
    <x v="3065"/>
    <s v="Diane"/>
    <x v="53"/>
    <d v="1899-12-30T12:59:02"/>
    <d v="2021-02-23T12:59:02"/>
    <x v="4"/>
    <x v="3"/>
    <x v="2"/>
    <x v="0"/>
    <s v="Y"/>
    <n v="41"/>
    <x v="0"/>
    <d v="1899-12-30T00:01:18"/>
    <n v="3"/>
  </r>
  <r>
    <x v="3066"/>
    <s v="Stewart"/>
    <x v="53"/>
    <d v="1899-12-30T13:26:24"/>
    <d v="2021-02-23T13:26:24"/>
    <x v="4"/>
    <x v="4"/>
    <x v="4"/>
    <x v="1"/>
    <s v="N"/>
    <m/>
    <x v="0"/>
    <m/>
    <m/>
  </r>
  <r>
    <x v="3067"/>
    <s v="Martha"/>
    <x v="53"/>
    <d v="1899-12-30T13:26:24"/>
    <d v="2021-02-23T13:26:24"/>
    <x v="4"/>
    <x v="4"/>
    <x v="1"/>
    <x v="1"/>
    <s v="N"/>
    <m/>
    <x v="0"/>
    <m/>
    <m/>
  </r>
  <r>
    <x v="3068"/>
    <s v="Becky"/>
    <x v="53"/>
    <d v="1899-12-30T13:37:55"/>
    <d v="2021-02-23T13:37:55"/>
    <x v="4"/>
    <x v="4"/>
    <x v="3"/>
    <x v="0"/>
    <s v="Y"/>
    <n v="56"/>
    <x v="0"/>
    <d v="1899-12-30T00:00:37"/>
    <n v="5"/>
  </r>
  <r>
    <x v="3069"/>
    <s v="Diane"/>
    <x v="53"/>
    <d v="1899-12-30T13:37:55"/>
    <d v="2021-02-23T13:37:55"/>
    <x v="4"/>
    <x v="4"/>
    <x v="4"/>
    <x v="0"/>
    <s v="Y"/>
    <n v="76"/>
    <x v="0"/>
    <d v="1899-12-30T00:02:16"/>
    <n v="1"/>
  </r>
  <r>
    <x v="3070"/>
    <s v="Greg"/>
    <x v="53"/>
    <d v="1899-12-30T13:45:07"/>
    <d v="2021-02-23T13:45:07"/>
    <x v="4"/>
    <x v="4"/>
    <x v="3"/>
    <x v="0"/>
    <s v="N"/>
    <n v="36"/>
    <x v="0"/>
    <d v="1899-12-30T00:01:06"/>
    <n v="3"/>
  </r>
  <r>
    <x v="3071"/>
    <s v="Jim"/>
    <x v="53"/>
    <d v="1899-12-30T13:45:07"/>
    <d v="2021-02-23T13:45:07"/>
    <x v="4"/>
    <x v="4"/>
    <x v="4"/>
    <x v="0"/>
    <s v="Y"/>
    <n v="111"/>
    <x v="0"/>
    <d v="1899-12-30T00:01:42"/>
    <n v="3"/>
  </r>
  <r>
    <x v="3072"/>
    <s v="Becky"/>
    <x v="53"/>
    <d v="1899-12-30T14:28:19"/>
    <d v="2021-02-23T14:28:19"/>
    <x v="4"/>
    <x v="5"/>
    <x v="2"/>
    <x v="0"/>
    <s v="Y"/>
    <n v="17"/>
    <x v="1"/>
    <d v="1899-12-30T00:03:04"/>
    <n v="4"/>
  </r>
  <r>
    <x v="3073"/>
    <s v="Diane"/>
    <x v="53"/>
    <d v="1899-12-30T14:28:19"/>
    <d v="2021-02-23T14:28:19"/>
    <x v="4"/>
    <x v="5"/>
    <x v="2"/>
    <x v="0"/>
    <s v="Y"/>
    <n v="121"/>
    <x v="0"/>
    <d v="1899-12-30T00:03:23"/>
    <n v="5"/>
  </r>
  <r>
    <x v="3074"/>
    <s v="Stewart"/>
    <x v="53"/>
    <d v="1899-12-30T14:34:05"/>
    <d v="2021-02-23T14:34:05"/>
    <x v="4"/>
    <x v="5"/>
    <x v="2"/>
    <x v="0"/>
    <s v="Y"/>
    <n v="69"/>
    <x v="0"/>
    <d v="1899-12-30T00:06:05"/>
    <n v="4"/>
  </r>
  <r>
    <x v="3075"/>
    <s v="Jim"/>
    <x v="53"/>
    <d v="1899-12-30T14:34:05"/>
    <d v="2021-02-23T14:34:05"/>
    <x v="4"/>
    <x v="5"/>
    <x v="0"/>
    <x v="0"/>
    <s v="Y"/>
    <n v="111"/>
    <x v="0"/>
    <d v="1899-12-30T00:03:27"/>
    <n v="3"/>
  </r>
  <r>
    <x v="3076"/>
    <s v="Martha"/>
    <x v="53"/>
    <d v="1899-12-30T14:38:24"/>
    <d v="2021-02-23T14:38:24"/>
    <x v="4"/>
    <x v="5"/>
    <x v="1"/>
    <x v="1"/>
    <s v="N"/>
    <m/>
    <x v="0"/>
    <m/>
    <m/>
  </r>
  <r>
    <x v="3077"/>
    <s v="Jim"/>
    <x v="53"/>
    <d v="1899-12-30T14:38:24"/>
    <d v="2021-02-23T14:38:24"/>
    <x v="4"/>
    <x v="5"/>
    <x v="1"/>
    <x v="0"/>
    <s v="Y"/>
    <n v="86"/>
    <x v="0"/>
    <d v="1899-12-30T00:04:38"/>
    <n v="3"/>
  </r>
  <r>
    <x v="3078"/>
    <s v="Dan"/>
    <x v="53"/>
    <d v="1899-12-30T14:48:29"/>
    <d v="2021-02-23T14:48:29"/>
    <x v="4"/>
    <x v="5"/>
    <x v="2"/>
    <x v="0"/>
    <s v="Y"/>
    <n v="77"/>
    <x v="0"/>
    <d v="1899-12-30T00:06:53"/>
    <n v="4"/>
  </r>
  <r>
    <x v="3079"/>
    <s v="Jim"/>
    <x v="53"/>
    <d v="1899-12-30T14:48:29"/>
    <d v="2021-02-23T14:48:29"/>
    <x v="4"/>
    <x v="5"/>
    <x v="0"/>
    <x v="0"/>
    <s v="Y"/>
    <n v="70"/>
    <x v="0"/>
    <d v="1899-12-30T00:04:48"/>
    <n v="3"/>
  </r>
  <r>
    <x v="3080"/>
    <s v="Greg"/>
    <x v="53"/>
    <d v="1899-12-30T14:54:14"/>
    <d v="2021-02-23T14:54:14"/>
    <x v="4"/>
    <x v="5"/>
    <x v="4"/>
    <x v="0"/>
    <s v="Y"/>
    <n v="82"/>
    <x v="0"/>
    <d v="1899-12-30T00:01:26"/>
    <n v="3"/>
  </r>
  <r>
    <x v="3081"/>
    <s v="Joe"/>
    <x v="53"/>
    <d v="1899-12-30T14:54:14"/>
    <d v="2021-02-23T14:54:14"/>
    <x v="4"/>
    <x v="5"/>
    <x v="2"/>
    <x v="1"/>
    <s v="N"/>
    <m/>
    <x v="0"/>
    <m/>
    <m/>
  </r>
  <r>
    <x v="3082"/>
    <s v="Becky"/>
    <x v="53"/>
    <d v="1899-12-30T15:21:36"/>
    <d v="2021-02-23T15:21:36"/>
    <x v="4"/>
    <x v="6"/>
    <x v="0"/>
    <x v="0"/>
    <s v="Y"/>
    <n v="69"/>
    <x v="0"/>
    <d v="1899-12-30T00:02:17"/>
    <n v="1"/>
  </r>
  <r>
    <x v="3083"/>
    <s v="Jim"/>
    <x v="53"/>
    <d v="1899-12-30T15:21:36"/>
    <d v="2021-02-23T15:21:36"/>
    <x v="4"/>
    <x v="6"/>
    <x v="1"/>
    <x v="1"/>
    <s v="N"/>
    <m/>
    <x v="0"/>
    <m/>
    <m/>
  </r>
  <r>
    <x v="3084"/>
    <s v="Joe"/>
    <x v="53"/>
    <d v="1899-12-30T15:30:14"/>
    <d v="2021-02-23T15:30:14"/>
    <x v="4"/>
    <x v="6"/>
    <x v="0"/>
    <x v="0"/>
    <s v="Y"/>
    <n v="56"/>
    <x v="0"/>
    <d v="1899-12-30T00:01:22"/>
    <n v="1"/>
  </r>
  <r>
    <x v="3085"/>
    <s v="Greg"/>
    <x v="53"/>
    <d v="1899-12-30T15:30:14"/>
    <d v="2021-02-23T15:30:14"/>
    <x v="4"/>
    <x v="6"/>
    <x v="0"/>
    <x v="0"/>
    <s v="Y"/>
    <n v="95"/>
    <x v="0"/>
    <d v="1899-12-30T00:06:09"/>
    <n v="1"/>
  </r>
  <r>
    <x v="3086"/>
    <s v="Jim"/>
    <x v="53"/>
    <d v="1899-12-30T15:34:34"/>
    <d v="2021-02-23T15:34:34"/>
    <x v="4"/>
    <x v="6"/>
    <x v="3"/>
    <x v="1"/>
    <s v="N"/>
    <m/>
    <x v="0"/>
    <m/>
    <m/>
  </r>
  <r>
    <x v="3087"/>
    <s v="Greg"/>
    <x v="53"/>
    <d v="1899-12-30T15:34:34"/>
    <d v="2021-02-23T15:34:34"/>
    <x v="4"/>
    <x v="6"/>
    <x v="4"/>
    <x v="0"/>
    <s v="Y"/>
    <n v="13"/>
    <x v="1"/>
    <d v="1899-12-30T00:06:06"/>
    <n v="3"/>
  </r>
  <r>
    <x v="3088"/>
    <s v="Joe"/>
    <x v="53"/>
    <d v="1899-12-30T15:47:31"/>
    <d v="2021-02-23T15:47:31"/>
    <x v="4"/>
    <x v="6"/>
    <x v="2"/>
    <x v="0"/>
    <s v="Y"/>
    <n v="52"/>
    <x v="0"/>
    <d v="1899-12-30T00:04:59"/>
    <n v="4"/>
  </r>
  <r>
    <x v="3089"/>
    <s v="Joe"/>
    <x v="53"/>
    <d v="1899-12-30T15:47:31"/>
    <d v="2021-02-23T15:47:31"/>
    <x v="4"/>
    <x v="6"/>
    <x v="1"/>
    <x v="0"/>
    <s v="N"/>
    <n v="40"/>
    <x v="0"/>
    <d v="1899-12-30T00:05:52"/>
    <n v="4"/>
  </r>
  <r>
    <x v="3090"/>
    <s v="Greg"/>
    <x v="53"/>
    <d v="1899-12-30T16:40:48"/>
    <d v="2021-02-23T16:40:48"/>
    <x v="4"/>
    <x v="8"/>
    <x v="3"/>
    <x v="1"/>
    <s v="N"/>
    <m/>
    <x v="0"/>
    <m/>
    <m/>
  </r>
  <r>
    <x v="3091"/>
    <s v="Martha"/>
    <x v="53"/>
    <d v="1899-12-30T16:40:48"/>
    <d v="2021-02-23T16:40:48"/>
    <x v="4"/>
    <x v="8"/>
    <x v="0"/>
    <x v="0"/>
    <s v="Y"/>
    <n v="124"/>
    <x v="0"/>
    <d v="1899-12-30T00:06:43"/>
    <n v="5"/>
  </r>
  <r>
    <x v="3092"/>
    <s v="Greg"/>
    <x v="53"/>
    <d v="1899-12-30T16:55:12"/>
    <d v="2021-02-23T16:55:12"/>
    <x v="4"/>
    <x v="8"/>
    <x v="2"/>
    <x v="0"/>
    <s v="Y"/>
    <n v="99"/>
    <x v="0"/>
    <d v="1899-12-30T00:06:44"/>
    <n v="4"/>
  </r>
  <r>
    <x v="3093"/>
    <s v="Becky"/>
    <x v="53"/>
    <d v="1899-12-30T16:55:12"/>
    <d v="2021-02-23T16:55:12"/>
    <x v="4"/>
    <x v="8"/>
    <x v="4"/>
    <x v="0"/>
    <s v="Y"/>
    <n v="99"/>
    <x v="0"/>
    <d v="1899-12-30T00:06:38"/>
    <n v="4"/>
  </r>
  <r>
    <x v="3094"/>
    <s v="Diane"/>
    <x v="53"/>
    <d v="1899-12-30T17:11:02"/>
    <d v="2021-02-23T17:11:02"/>
    <x v="4"/>
    <x v="7"/>
    <x v="2"/>
    <x v="0"/>
    <s v="Y"/>
    <n v="86"/>
    <x v="0"/>
    <d v="1899-12-30T00:04:26"/>
    <n v="4"/>
  </r>
  <r>
    <x v="3095"/>
    <s v="Joe"/>
    <x v="53"/>
    <d v="1899-12-30T17:11:02"/>
    <d v="2021-02-23T17:11:02"/>
    <x v="4"/>
    <x v="7"/>
    <x v="1"/>
    <x v="0"/>
    <s v="Y"/>
    <n v="118"/>
    <x v="0"/>
    <d v="1899-12-30T00:00:53"/>
    <n v="2"/>
  </r>
  <r>
    <x v="3096"/>
    <s v="Martha"/>
    <x v="53"/>
    <d v="1899-12-30T17:24:00"/>
    <d v="2021-02-23T17:24:00"/>
    <x v="4"/>
    <x v="7"/>
    <x v="0"/>
    <x v="0"/>
    <s v="Y"/>
    <n v="50"/>
    <x v="0"/>
    <d v="1899-12-30T00:06:23"/>
    <n v="4"/>
  </r>
  <r>
    <x v="3097"/>
    <s v="Martha"/>
    <x v="53"/>
    <d v="1899-12-30T17:24:00"/>
    <d v="2021-02-23T17:24:00"/>
    <x v="4"/>
    <x v="7"/>
    <x v="3"/>
    <x v="1"/>
    <s v="N"/>
    <m/>
    <x v="0"/>
    <m/>
    <m/>
  </r>
  <r>
    <x v="3098"/>
    <s v="Becky"/>
    <x v="53"/>
    <d v="1899-12-30T17:29:46"/>
    <d v="2021-02-23T17:29:46"/>
    <x v="4"/>
    <x v="7"/>
    <x v="4"/>
    <x v="0"/>
    <s v="Y"/>
    <n v="52"/>
    <x v="0"/>
    <d v="1899-12-30T00:03:34"/>
    <n v="1"/>
  </r>
  <r>
    <x v="3099"/>
    <s v="Diane"/>
    <x v="53"/>
    <d v="1899-12-30T17:29:46"/>
    <d v="2021-02-23T17:29:46"/>
    <x v="4"/>
    <x v="7"/>
    <x v="1"/>
    <x v="0"/>
    <s v="Y"/>
    <n v="34"/>
    <x v="0"/>
    <d v="1899-12-30T00:04:46"/>
    <n v="4"/>
  </r>
  <r>
    <x v="3100"/>
    <s v="Greg"/>
    <x v="54"/>
    <d v="1899-12-30T09:36:00"/>
    <d v="2021-02-24T09:36:00"/>
    <x v="5"/>
    <x v="0"/>
    <x v="2"/>
    <x v="0"/>
    <s v="Y"/>
    <n v="37"/>
    <x v="0"/>
    <d v="1899-12-30T00:03:48"/>
    <n v="3"/>
  </r>
  <r>
    <x v="3101"/>
    <s v="Dan"/>
    <x v="54"/>
    <d v="1899-12-30T09:36:00"/>
    <d v="2021-02-24T09:36:00"/>
    <x v="5"/>
    <x v="0"/>
    <x v="3"/>
    <x v="0"/>
    <s v="Y"/>
    <n v="75"/>
    <x v="0"/>
    <d v="1899-12-30T00:03:01"/>
    <n v="4"/>
  </r>
  <r>
    <x v="3102"/>
    <s v="Dan"/>
    <x v="54"/>
    <d v="1899-12-30T12:59:02"/>
    <d v="2021-02-24T12:59:02"/>
    <x v="5"/>
    <x v="3"/>
    <x v="1"/>
    <x v="0"/>
    <s v="Y"/>
    <n v="85"/>
    <x v="0"/>
    <d v="1899-12-30T00:01:13"/>
    <n v="2"/>
  </r>
  <r>
    <x v="3103"/>
    <s v="Diane"/>
    <x v="54"/>
    <d v="1899-12-30T12:59:02"/>
    <d v="2021-02-24T12:59:02"/>
    <x v="5"/>
    <x v="3"/>
    <x v="3"/>
    <x v="0"/>
    <s v="Y"/>
    <n v="25"/>
    <x v="0"/>
    <d v="1899-12-30T00:04:23"/>
    <n v="3"/>
  </r>
  <r>
    <x v="3104"/>
    <s v="Stewart"/>
    <x v="54"/>
    <d v="1899-12-30T13:00:29"/>
    <d v="2021-02-24T13:00:29"/>
    <x v="5"/>
    <x v="4"/>
    <x v="3"/>
    <x v="1"/>
    <s v="N"/>
    <m/>
    <x v="0"/>
    <m/>
    <m/>
  </r>
  <r>
    <x v="3105"/>
    <s v="Dan"/>
    <x v="54"/>
    <d v="1899-12-30T13:00:29"/>
    <d v="2021-02-24T13:00:29"/>
    <x v="5"/>
    <x v="4"/>
    <x v="0"/>
    <x v="1"/>
    <s v="N"/>
    <m/>
    <x v="0"/>
    <m/>
    <m/>
  </r>
  <r>
    <x v="3106"/>
    <s v="Joe"/>
    <x v="54"/>
    <d v="1899-12-30T13:17:46"/>
    <d v="2021-02-24T13:17:46"/>
    <x v="5"/>
    <x v="4"/>
    <x v="4"/>
    <x v="0"/>
    <s v="Y"/>
    <n v="70"/>
    <x v="0"/>
    <d v="1899-12-30T00:00:48"/>
    <n v="4"/>
  </r>
  <r>
    <x v="3107"/>
    <s v="Diane"/>
    <x v="54"/>
    <d v="1899-12-30T13:17:46"/>
    <d v="2021-02-24T13:17:46"/>
    <x v="5"/>
    <x v="4"/>
    <x v="1"/>
    <x v="0"/>
    <s v="Y"/>
    <n v="103"/>
    <x v="0"/>
    <d v="1899-12-30T00:03:26"/>
    <n v="4"/>
  </r>
  <r>
    <x v="3108"/>
    <s v="Stewart"/>
    <x v="54"/>
    <d v="1899-12-30T13:35:02"/>
    <d v="2021-02-24T13:35:02"/>
    <x v="5"/>
    <x v="4"/>
    <x v="2"/>
    <x v="0"/>
    <s v="Y"/>
    <n v="71"/>
    <x v="0"/>
    <d v="1899-12-30T00:06:57"/>
    <n v="5"/>
  </r>
  <r>
    <x v="3109"/>
    <s v="Becky"/>
    <x v="54"/>
    <d v="1899-12-30T13:35:02"/>
    <d v="2021-02-24T13:35:02"/>
    <x v="5"/>
    <x v="4"/>
    <x v="1"/>
    <x v="0"/>
    <s v="Y"/>
    <n v="51"/>
    <x v="0"/>
    <d v="1899-12-30T00:01:11"/>
    <n v="4"/>
  </r>
  <r>
    <x v="3110"/>
    <s v="Jim"/>
    <x v="54"/>
    <d v="1899-12-30T13:49:26"/>
    <d v="2021-02-24T13:49:26"/>
    <x v="5"/>
    <x v="4"/>
    <x v="2"/>
    <x v="0"/>
    <s v="Y"/>
    <n v="103"/>
    <x v="0"/>
    <d v="1899-12-30T00:00:32"/>
    <n v="5"/>
  </r>
  <r>
    <x v="3111"/>
    <s v="Joe"/>
    <x v="54"/>
    <d v="1899-12-30T13:49:26"/>
    <d v="2021-02-24T13:49:26"/>
    <x v="5"/>
    <x v="4"/>
    <x v="2"/>
    <x v="0"/>
    <s v="Y"/>
    <n v="98"/>
    <x v="0"/>
    <d v="1899-12-30T00:02:55"/>
    <n v="5"/>
  </r>
  <r>
    <x v="3112"/>
    <s v="Greg"/>
    <x v="54"/>
    <d v="1899-12-30T13:58:05"/>
    <d v="2021-02-24T13:58:05"/>
    <x v="5"/>
    <x v="4"/>
    <x v="2"/>
    <x v="0"/>
    <s v="Y"/>
    <n v="65"/>
    <x v="0"/>
    <d v="1899-12-30T00:03:24"/>
    <n v="2"/>
  </r>
  <r>
    <x v="3113"/>
    <s v="Dan"/>
    <x v="54"/>
    <d v="1899-12-30T13:58:05"/>
    <d v="2021-02-24T13:58:05"/>
    <x v="5"/>
    <x v="4"/>
    <x v="3"/>
    <x v="0"/>
    <s v="Y"/>
    <n v="104"/>
    <x v="0"/>
    <d v="1899-12-30T00:04:59"/>
    <n v="4"/>
  </r>
  <r>
    <x v="3114"/>
    <s v="Jim"/>
    <x v="54"/>
    <d v="1899-12-30T14:24:00"/>
    <d v="2021-02-24T14:24:00"/>
    <x v="5"/>
    <x v="5"/>
    <x v="2"/>
    <x v="0"/>
    <s v="Y"/>
    <n v="82"/>
    <x v="0"/>
    <d v="1899-12-30T00:04:46"/>
    <n v="2"/>
  </r>
  <r>
    <x v="3115"/>
    <s v="Martha"/>
    <x v="54"/>
    <d v="1899-12-30T14:24:00"/>
    <d v="2021-02-24T14:24:00"/>
    <x v="5"/>
    <x v="5"/>
    <x v="2"/>
    <x v="0"/>
    <s v="Y"/>
    <n v="26"/>
    <x v="0"/>
    <d v="1899-12-30T00:02:52"/>
    <n v="4"/>
  </r>
  <r>
    <x v="3116"/>
    <s v="Diane"/>
    <x v="54"/>
    <d v="1899-12-30T14:34:05"/>
    <d v="2021-02-24T14:34:05"/>
    <x v="5"/>
    <x v="5"/>
    <x v="2"/>
    <x v="0"/>
    <s v="N"/>
    <n v="84"/>
    <x v="0"/>
    <d v="1899-12-30T00:03:36"/>
    <n v="3"/>
  </r>
  <r>
    <x v="3117"/>
    <s v="Greg"/>
    <x v="54"/>
    <d v="1899-12-30T14:34:05"/>
    <d v="2021-02-24T14:34:05"/>
    <x v="5"/>
    <x v="5"/>
    <x v="1"/>
    <x v="0"/>
    <s v="Y"/>
    <n v="106"/>
    <x v="0"/>
    <d v="1899-12-30T00:05:43"/>
    <n v="4"/>
  </r>
  <r>
    <x v="3118"/>
    <s v="Joe"/>
    <x v="54"/>
    <d v="1899-12-30T14:41:17"/>
    <d v="2021-02-24T14:41:17"/>
    <x v="5"/>
    <x v="5"/>
    <x v="3"/>
    <x v="0"/>
    <s v="Y"/>
    <n v="92"/>
    <x v="0"/>
    <d v="1899-12-30T00:01:42"/>
    <n v="4"/>
  </r>
  <r>
    <x v="3119"/>
    <s v="Joe"/>
    <x v="54"/>
    <d v="1899-12-30T14:41:17"/>
    <d v="2021-02-24T14:41:17"/>
    <x v="5"/>
    <x v="5"/>
    <x v="3"/>
    <x v="1"/>
    <s v="N"/>
    <m/>
    <x v="0"/>
    <m/>
    <m/>
  </r>
  <r>
    <x v="3120"/>
    <s v="Becky"/>
    <x v="54"/>
    <d v="1899-12-30T15:17:17"/>
    <d v="2021-02-24T15:17:17"/>
    <x v="5"/>
    <x v="6"/>
    <x v="0"/>
    <x v="0"/>
    <s v="Y"/>
    <n v="122"/>
    <x v="0"/>
    <d v="1899-12-30T00:03:01"/>
    <n v="1"/>
  </r>
  <r>
    <x v="3121"/>
    <s v="Becky"/>
    <x v="54"/>
    <d v="1899-12-30T15:17:17"/>
    <d v="2021-02-24T15:17:17"/>
    <x v="5"/>
    <x v="6"/>
    <x v="0"/>
    <x v="0"/>
    <s v="Y"/>
    <n v="92"/>
    <x v="0"/>
    <d v="1899-12-30T00:02:44"/>
    <n v="4"/>
  </r>
  <r>
    <x v="3122"/>
    <s v="Diane"/>
    <x v="54"/>
    <d v="1899-12-30T15:21:36"/>
    <d v="2021-02-24T15:21:36"/>
    <x v="5"/>
    <x v="6"/>
    <x v="2"/>
    <x v="1"/>
    <s v="N"/>
    <m/>
    <x v="0"/>
    <m/>
    <m/>
  </r>
  <r>
    <x v="3123"/>
    <s v="Jim"/>
    <x v="54"/>
    <d v="1899-12-30T15:21:36"/>
    <d v="2021-02-24T15:21:36"/>
    <x v="5"/>
    <x v="6"/>
    <x v="4"/>
    <x v="0"/>
    <s v="Y"/>
    <n v="61"/>
    <x v="0"/>
    <d v="1899-12-30T00:04:25"/>
    <n v="5"/>
  </r>
  <r>
    <x v="3124"/>
    <s v="Martha"/>
    <x v="54"/>
    <d v="1899-12-30T15:28:48"/>
    <d v="2021-02-24T15:28:48"/>
    <x v="5"/>
    <x v="6"/>
    <x v="1"/>
    <x v="0"/>
    <s v="Y"/>
    <n v="27"/>
    <x v="0"/>
    <d v="1899-12-30T00:01:56"/>
    <n v="5"/>
  </r>
  <r>
    <x v="3125"/>
    <s v="Becky"/>
    <x v="54"/>
    <d v="1899-12-30T15:28:48"/>
    <d v="2021-02-24T15:28:48"/>
    <x v="5"/>
    <x v="6"/>
    <x v="1"/>
    <x v="0"/>
    <s v="Y"/>
    <n v="68"/>
    <x v="0"/>
    <d v="1899-12-30T00:01:48"/>
    <n v="1"/>
  </r>
  <r>
    <x v="3126"/>
    <s v="Diane"/>
    <x v="54"/>
    <d v="1899-12-30T15:41:46"/>
    <d v="2021-02-24T15:41:46"/>
    <x v="5"/>
    <x v="6"/>
    <x v="1"/>
    <x v="1"/>
    <s v="N"/>
    <m/>
    <x v="0"/>
    <m/>
    <m/>
  </r>
  <r>
    <x v="3127"/>
    <s v="Greg"/>
    <x v="54"/>
    <d v="1899-12-30T15:41:46"/>
    <d v="2021-02-24T15:41:46"/>
    <x v="5"/>
    <x v="6"/>
    <x v="1"/>
    <x v="0"/>
    <s v="Y"/>
    <n v="59"/>
    <x v="0"/>
    <d v="1899-12-30T00:00:42"/>
    <n v="4"/>
  </r>
  <r>
    <x v="3128"/>
    <s v="Joe"/>
    <x v="54"/>
    <d v="1899-12-30T16:07:41"/>
    <d v="2021-02-24T16:07:41"/>
    <x v="5"/>
    <x v="8"/>
    <x v="2"/>
    <x v="1"/>
    <s v="N"/>
    <m/>
    <x v="0"/>
    <m/>
    <m/>
  </r>
  <r>
    <x v="3129"/>
    <s v="Joe"/>
    <x v="54"/>
    <d v="1899-12-30T16:07:41"/>
    <d v="2021-02-24T16:07:41"/>
    <x v="5"/>
    <x v="8"/>
    <x v="1"/>
    <x v="0"/>
    <s v="Y"/>
    <n v="110"/>
    <x v="0"/>
    <d v="1899-12-30T00:05:50"/>
    <n v="4"/>
  </r>
  <r>
    <x v="3130"/>
    <s v="Jim"/>
    <x v="54"/>
    <d v="1899-12-30T16:23:31"/>
    <d v="2021-02-24T16:23:31"/>
    <x v="5"/>
    <x v="8"/>
    <x v="1"/>
    <x v="0"/>
    <s v="Y"/>
    <n v="23"/>
    <x v="0"/>
    <d v="1899-12-30T00:02:20"/>
    <n v="4"/>
  </r>
  <r>
    <x v="3131"/>
    <s v="Diane"/>
    <x v="54"/>
    <d v="1899-12-30T16:23:31"/>
    <d v="2021-02-24T16:23:31"/>
    <x v="5"/>
    <x v="8"/>
    <x v="0"/>
    <x v="0"/>
    <s v="Y"/>
    <n v="60"/>
    <x v="0"/>
    <d v="1899-12-30T00:06:09"/>
    <n v="5"/>
  </r>
  <r>
    <x v="3132"/>
    <s v="Stewart"/>
    <x v="54"/>
    <d v="1899-12-30T16:37:55"/>
    <d v="2021-02-24T16:37:55"/>
    <x v="5"/>
    <x v="8"/>
    <x v="2"/>
    <x v="0"/>
    <s v="Y"/>
    <n v="89"/>
    <x v="0"/>
    <d v="1899-12-30T00:02:27"/>
    <n v="3"/>
  </r>
  <r>
    <x v="3133"/>
    <s v="Martha"/>
    <x v="54"/>
    <d v="1899-12-30T16:37:55"/>
    <d v="2021-02-24T16:37:55"/>
    <x v="5"/>
    <x v="8"/>
    <x v="3"/>
    <x v="0"/>
    <s v="Y"/>
    <n v="48"/>
    <x v="0"/>
    <d v="1899-12-30T00:04:06"/>
    <n v="3"/>
  </r>
  <r>
    <x v="3134"/>
    <s v="Joe"/>
    <x v="54"/>
    <d v="1899-12-30T16:42:14"/>
    <d v="2021-02-24T16:42:14"/>
    <x v="5"/>
    <x v="8"/>
    <x v="3"/>
    <x v="0"/>
    <s v="Y"/>
    <n v="52"/>
    <x v="0"/>
    <d v="1899-12-30T00:04:55"/>
    <n v="5"/>
  </r>
  <r>
    <x v="3135"/>
    <s v="Jim"/>
    <x v="54"/>
    <d v="1899-12-30T16:42:14"/>
    <d v="2021-02-24T16:42:14"/>
    <x v="5"/>
    <x v="8"/>
    <x v="2"/>
    <x v="0"/>
    <s v="Y"/>
    <n v="49"/>
    <x v="0"/>
    <d v="1899-12-30T00:03:19"/>
    <n v="1"/>
  </r>
  <r>
    <x v="3136"/>
    <s v="Becky"/>
    <x v="54"/>
    <d v="1899-12-30T16:48:00"/>
    <d v="2021-02-24T16:48:00"/>
    <x v="5"/>
    <x v="8"/>
    <x v="1"/>
    <x v="0"/>
    <s v="Y"/>
    <n v="33"/>
    <x v="0"/>
    <d v="1899-12-30T00:04:39"/>
    <n v="2"/>
  </r>
  <r>
    <x v="3137"/>
    <s v="Jim"/>
    <x v="54"/>
    <d v="1899-12-30T16:48:00"/>
    <d v="2021-02-24T16:48:00"/>
    <x v="5"/>
    <x v="8"/>
    <x v="1"/>
    <x v="0"/>
    <s v="Y"/>
    <n v="108"/>
    <x v="0"/>
    <d v="1899-12-30T00:04:19"/>
    <n v="4"/>
  </r>
  <r>
    <x v="3138"/>
    <s v="Jim"/>
    <x v="54"/>
    <d v="1899-12-30T17:13:55"/>
    <d v="2021-02-24T17:13:55"/>
    <x v="5"/>
    <x v="7"/>
    <x v="2"/>
    <x v="1"/>
    <s v="N"/>
    <m/>
    <x v="0"/>
    <m/>
    <m/>
  </r>
  <r>
    <x v="3139"/>
    <s v="Joe"/>
    <x v="54"/>
    <d v="1899-12-30T17:13:55"/>
    <d v="2021-02-24T17:13:55"/>
    <x v="5"/>
    <x v="7"/>
    <x v="2"/>
    <x v="0"/>
    <s v="Y"/>
    <n v="21"/>
    <x v="0"/>
    <d v="1899-12-30T00:04:56"/>
    <n v="5"/>
  </r>
  <r>
    <x v="3140"/>
    <s v="Martha"/>
    <x v="54"/>
    <d v="1899-12-30T17:16:48"/>
    <d v="2021-02-24T17:16:48"/>
    <x v="5"/>
    <x v="7"/>
    <x v="0"/>
    <x v="0"/>
    <s v="Y"/>
    <n v="23"/>
    <x v="0"/>
    <d v="1899-12-30T00:03:49"/>
    <n v="5"/>
  </r>
  <r>
    <x v="3141"/>
    <s v="Dan"/>
    <x v="54"/>
    <d v="1899-12-30T17:16:48"/>
    <d v="2021-02-24T17:16:48"/>
    <x v="5"/>
    <x v="7"/>
    <x v="1"/>
    <x v="1"/>
    <s v="N"/>
    <m/>
    <x v="0"/>
    <m/>
    <m/>
  </r>
  <r>
    <x v="3142"/>
    <s v="Becky"/>
    <x v="54"/>
    <d v="1899-12-30T17:28:19"/>
    <d v="2021-02-24T17:28:19"/>
    <x v="5"/>
    <x v="7"/>
    <x v="0"/>
    <x v="0"/>
    <s v="Y"/>
    <n v="73"/>
    <x v="0"/>
    <d v="1899-12-30T00:05:34"/>
    <n v="5"/>
  </r>
  <r>
    <x v="3143"/>
    <s v="Dan"/>
    <x v="54"/>
    <d v="1899-12-30T17:28:19"/>
    <d v="2021-02-24T17:28:19"/>
    <x v="5"/>
    <x v="7"/>
    <x v="1"/>
    <x v="1"/>
    <s v="N"/>
    <m/>
    <x v="0"/>
    <m/>
    <m/>
  </r>
  <r>
    <x v="3144"/>
    <s v="Stewart"/>
    <x v="54"/>
    <d v="1899-12-30T17:36:58"/>
    <d v="2021-02-24T17:36:58"/>
    <x v="5"/>
    <x v="7"/>
    <x v="1"/>
    <x v="0"/>
    <s v="Y"/>
    <n v="22"/>
    <x v="0"/>
    <d v="1899-12-30T00:04:13"/>
    <n v="3"/>
  </r>
  <r>
    <x v="3145"/>
    <s v="Martha"/>
    <x v="54"/>
    <d v="1899-12-30T17:36:58"/>
    <d v="2021-02-24T17:36:58"/>
    <x v="5"/>
    <x v="7"/>
    <x v="2"/>
    <x v="1"/>
    <s v="N"/>
    <m/>
    <x v="0"/>
    <m/>
    <m/>
  </r>
  <r>
    <x v="3146"/>
    <s v="Stewart"/>
    <x v="54"/>
    <d v="1899-12-30T17:42:43"/>
    <d v="2021-02-24T17:42:43"/>
    <x v="5"/>
    <x v="7"/>
    <x v="3"/>
    <x v="0"/>
    <s v="N"/>
    <n v="12"/>
    <x v="1"/>
    <d v="1899-12-30T00:05:43"/>
    <n v="4"/>
  </r>
  <r>
    <x v="3147"/>
    <s v="Joe"/>
    <x v="54"/>
    <d v="1899-12-30T17:42:43"/>
    <d v="2021-02-24T17:42:43"/>
    <x v="5"/>
    <x v="7"/>
    <x v="4"/>
    <x v="0"/>
    <s v="Y"/>
    <n v="111"/>
    <x v="0"/>
    <d v="1899-12-30T00:04:25"/>
    <n v="3"/>
  </r>
  <r>
    <x v="3148"/>
    <s v="Jim"/>
    <x v="54"/>
    <d v="1899-12-30T17:47:02"/>
    <d v="2021-02-24T17:47:02"/>
    <x v="5"/>
    <x v="7"/>
    <x v="3"/>
    <x v="0"/>
    <s v="Y"/>
    <n v="97"/>
    <x v="0"/>
    <d v="1899-12-30T00:03:46"/>
    <n v="5"/>
  </r>
  <r>
    <x v="3149"/>
    <s v="Diane"/>
    <x v="54"/>
    <d v="1899-12-30T17:47:02"/>
    <d v="2021-02-24T17:47:02"/>
    <x v="5"/>
    <x v="7"/>
    <x v="4"/>
    <x v="0"/>
    <s v="Y"/>
    <n v="93"/>
    <x v="0"/>
    <d v="1899-12-30T00:05:31"/>
    <n v="4"/>
  </r>
  <r>
    <x v="3150"/>
    <s v="Becky"/>
    <x v="54"/>
    <d v="1899-12-30T17:55:41"/>
    <d v="2021-02-24T17:55:41"/>
    <x v="5"/>
    <x v="7"/>
    <x v="4"/>
    <x v="0"/>
    <s v="Y"/>
    <n v="24"/>
    <x v="0"/>
    <d v="1899-12-30T00:02:25"/>
    <n v="3"/>
  </r>
  <r>
    <x v="3151"/>
    <s v="Martha"/>
    <x v="54"/>
    <d v="1899-12-30T17:55:41"/>
    <d v="2021-02-24T17:55:41"/>
    <x v="5"/>
    <x v="7"/>
    <x v="1"/>
    <x v="0"/>
    <s v="Y"/>
    <n v="84"/>
    <x v="0"/>
    <d v="1899-12-30T00:01:49"/>
    <n v="1"/>
  </r>
  <r>
    <x v="3152"/>
    <s v="Stewart"/>
    <x v="55"/>
    <d v="1899-12-30T09:10:05"/>
    <d v="2021-02-25T09:10:05"/>
    <x v="6"/>
    <x v="0"/>
    <x v="0"/>
    <x v="0"/>
    <s v="Y"/>
    <n v="17"/>
    <x v="1"/>
    <d v="1899-12-30T00:01:56"/>
    <n v="4"/>
  </r>
  <r>
    <x v="3153"/>
    <s v="Stewart"/>
    <x v="55"/>
    <d v="1899-12-30T09:10:05"/>
    <d v="2021-02-25T09:10:05"/>
    <x v="6"/>
    <x v="0"/>
    <x v="1"/>
    <x v="0"/>
    <s v="Y"/>
    <n v="55"/>
    <x v="0"/>
    <d v="1899-12-30T00:04:03"/>
    <n v="4"/>
  </r>
  <r>
    <x v="3154"/>
    <s v="Greg"/>
    <x v="55"/>
    <d v="1899-12-30T09:10:05"/>
    <d v="2021-02-25T09:10:05"/>
    <x v="6"/>
    <x v="0"/>
    <x v="2"/>
    <x v="0"/>
    <s v="Y"/>
    <n v="118"/>
    <x v="0"/>
    <d v="1899-12-30T00:01:13"/>
    <n v="3"/>
  </r>
  <r>
    <x v="3155"/>
    <s v="Dan"/>
    <x v="55"/>
    <d v="1899-12-30T09:10:05"/>
    <d v="2021-02-25T09:10:05"/>
    <x v="6"/>
    <x v="0"/>
    <x v="4"/>
    <x v="0"/>
    <s v="Y"/>
    <n v="109"/>
    <x v="0"/>
    <d v="1899-12-30T00:02:57"/>
    <n v="5"/>
  </r>
  <r>
    <x v="3156"/>
    <s v="Stewart"/>
    <x v="55"/>
    <d v="1899-12-30T09:15:50"/>
    <d v="2021-02-25T09:15:50"/>
    <x v="6"/>
    <x v="0"/>
    <x v="1"/>
    <x v="0"/>
    <s v="Y"/>
    <n v="33"/>
    <x v="0"/>
    <d v="1899-12-30T00:02:37"/>
    <n v="4"/>
  </r>
  <r>
    <x v="3157"/>
    <s v="Joe"/>
    <x v="55"/>
    <d v="1899-12-30T09:15:50"/>
    <d v="2021-02-25T09:15:50"/>
    <x v="6"/>
    <x v="0"/>
    <x v="0"/>
    <x v="0"/>
    <s v="Y"/>
    <n v="18"/>
    <x v="1"/>
    <d v="1899-12-30T00:05:59"/>
    <n v="4"/>
  </r>
  <r>
    <x v="3158"/>
    <s v="Stewart"/>
    <x v="55"/>
    <d v="1899-12-30T10:06:14"/>
    <d v="2021-02-25T10:06:14"/>
    <x v="6"/>
    <x v="1"/>
    <x v="3"/>
    <x v="0"/>
    <s v="Y"/>
    <n v="99"/>
    <x v="0"/>
    <d v="1899-12-30T00:04:12"/>
    <n v="2"/>
  </r>
  <r>
    <x v="3159"/>
    <s v="Martha"/>
    <x v="55"/>
    <d v="1899-12-30T10:06:14"/>
    <d v="2021-02-25T10:06:14"/>
    <x v="6"/>
    <x v="1"/>
    <x v="0"/>
    <x v="0"/>
    <s v="Y"/>
    <n v="111"/>
    <x v="0"/>
    <d v="1899-12-30T00:02:29"/>
    <n v="3"/>
  </r>
  <r>
    <x v="3160"/>
    <s v="Diane"/>
    <x v="55"/>
    <d v="1899-12-30T10:19:12"/>
    <d v="2021-02-25T10:19:12"/>
    <x v="6"/>
    <x v="1"/>
    <x v="3"/>
    <x v="1"/>
    <s v="N"/>
    <m/>
    <x v="0"/>
    <m/>
    <m/>
  </r>
  <r>
    <x v="3161"/>
    <s v="Diane"/>
    <x v="55"/>
    <d v="1899-12-30T10:19:12"/>
    <d v="2021-02-25T10:19:12"/>
    <x v="6"/>
    <x v="1"/>
    <x v="2"/>
    <x v="0"/>
    <s v="Y"/>
    <n v="82"/>
    <x v="0"/>
    <d v="1899-12-30T00:06:47"/>
    <n v="5"/>
  </r>
  <r>
    <x v="3162"/>
    <s v="Becky"/>
    <x v="55"/>
    <d v="1899-12-30T10:20:38"/>
    <d v="2021-02-25T10:20:38"/>
    <x v="6"/>
    <x v="1"/>
    <x v="3"/>
    <x v="0"/>
    <s v="Y"/>
    <n v="48"/>
    <x v="0"/>
    <d v="1899-12-30T00:05:40"/>
    <n v="3"/>
  </r>
  <r>
    <x v="3163"/>
    <s v="Joe"/>
    <x v="55"/>
    <d v="1899-12-30T10:20:38"/>
    <d v="2021-02-25T10:20:38"/>
    <x v="6"/>
    <x v="1"/>
    <x v="1"/>
    <x v="0"/>
    <s v="Y"/>
    <n v="83"/>
    <x v="0"/>
    <d v="1899-12-30T00:04:53"/>
    <n v="3"/>
  </r>
  <r>
    <x v="3164"/>
    <s v="Dan"/>
    <x v="55"/>
    <d v="1899-12-30T10:46:34"/>
    <d v="2021-02-25T10:46:34"/>
    <x v="6"/>
    <x v="1"/>
    <x v="1"/>
    <x v="0"/>
    <s v="Y"/>
    <n v="102"/>
    <x v="0"/>
    <d v="1899-12-30T00:02:12"/>
    <n v="5"/>
  </r>
  <r>
    <x v="3165"/>
    <s v="Joe"/>
    <x v="55"/>
    <d v="1899-12-30T10:46:34"/>
    <d v="2021-02-25T10:46:34"/>
    <x v="6"/>
    <x v="1"/>
    <x v="3"/>
    <x v="0"/>
    <s v="Y"/>
    <n v="124"/>
    <x v="0"/>
    <d v="1899-12-30T00:01:23"/>
    <n v="1"/>
  </r>
  <r>
    <x v="3166"/>
    <s v="Martha"/>
    <x v="55"/>
    <d v="1899-12-30T10:52:19"/>
    <d v="2021-02-25T10:52:19"/>
    <x v="6"/>
    <x v="1"/>
    <x v="4"/>
    <x v="1"/>
    <s v="N"/>
    <m/>
    <x v="0"/>
    <m/>
    <m/>
  </r>
  <r>
    <x v="3167"/>
    <s v="Joe"/>
    <x v="55"/>
    <d v="1899-12-30T10:52:19"/>
    <d v="2021-02-25T10:52:19"/>
    <x v="6"/>
    <x v="1"/>
    <x v="4"/>
    <x v="0"/>
    <s v="Y"/>
    <n v="82"/>
    <x v="0"/>
    <d v="1899-12-30T00:03:32"/>
    <n v="3"/>
  </r>
  <r>
    <x v="3168"/>
    <s v="Jim"/>
    <x v="55"/>
    <d v="1899-12-30T11:09:36"/>
    <d v="2021-02-25T11:09:36"/>
    <x v="6"/>
    <x v="2"/>
    <x v="2"/>
    <x v="0"/>
    <s v="N"/>
    <n v="50"/>
    <x v="0"/>
    <d v="1899-12-30T00:04:13"/>
    <n v="4"/>
  </r>
  <r>
    <x v="3169"/>
    <s v="Martha"/>
    <x v="55"/>
    <d v="1899-12-30T11:09:36"/>
    <d v="2021-02-25T11:09:36"/>
    <x v="6"/>
    <x v="2"/>
    <x v="2"/>
    <x v="0"/>
    <s v="Y"/>
    <n v="27"/>
    <x v="0"/>
    <d v="1899-12-30T00:01:55"/>
    <n v="3"/>
  </r>
  <r>
    <x v="3170"/>
    <s v="Joe"/>
    <x v="55"/>
    <d v="1899-12-30T11:35:31"/>
    <d v="2021-02-25T11:35:31"/>
    <x v="6"/>
    <x v="2"/>
    <x v="3"/>
    <x v="0"/>
    <s v="Y"/>
    <n v="96"/>
    <x v="0"/>
    <d v="1899-12-30T00:02:47"/>
    <n v="4"/>
  </r>
  <r>
    <x v="3171"/>
    <s v="Greg"/>
    <x v="55"/>
    <d v="1899-12-30T11:35:31"/>
    <d v="2021-02-25T11:35:31"/>
    <x v="6"/>
    <x v="2"/>
    <x v="0"/>
    <x v="0"/>
    <s v="Y"/>
    <n v="122"/>
    <x v="0"/>
    <d v="1899-12-30T00:03:55"/>
    <n v="1"/>
  </r>
  <r>
    <x v="3172"/>
    <s v="Diane"/>
    <x v="55"/>
    <d v="1899-12-30T11:42:43"/>
    <d v="2021-02-25T11:42:43"/>
    <x v="6"/>
    <x v="2"/>
    <x v="1"/>
    <x v="1"/>
    <s v="N"/>
    <m/>
    <x v="0"/>
    <m/>
    <m/>
  </r>
  <r>
    <x v="3173"/>
    <s v="Joe"/>
    <x v="55"/>
    <d v="1899-12-30T11:42:43"/>
    <d v="2021-02-25T11:42:43"/>
    <x v="6"/>
    <x v="2"/>
    <x v="2"/>
    <x v="0"/>
    <s v="Y"/>
    <n v="76"/>
    <x v="0"/>
    <d v="1899-12-30T00:01:50"/>
    <n v="4"/>
  </r>
  <r>
    <x v="3174"/>
    <s v="Dan"/>
    <x v="55"/>
    <d v="1899-12-30T11:55:41"/>
    <d v="2021-02-25T11:55:41"/>
    <x v="6"/>
    <x v="2"/>
    <x v="3"/>
    <x v="0"/>
    <s v="Y"/>
    <n v="66"/>
    <x v="0"/>
    <d v="1899-12-30T00:01:46"/>
    <n v="5"/>
  </r>
  <r>
    <x v="3175"/>
    <s v="Martha"/>
    <x v="55"/>
    <d v="1899-12-30T11:55:41"/>
    <d v="2021-02-25T11:55:41"/>
    <x v="6"/>
    <x v="2"/>
    <x v="1"/>
    <x v="0"/>
    <s v="Y"/>
    <n v="98"/>
    <x v="0"/>
    <d v="1899-12-30T00:02:12"/>
    <n v="3"/>
  </r>
  <r>
    <x v="3176"/>
    <s v="Martha"/>
    <x v="55"/>
    <d v="1899-12-30T12:04:19"/>
    <d v="2021-02-25T12:04:19"/>
    <x v="6"/>
    <x v="3"/>
    <x v="0"/>
    <x v="1"/>
    <s v="N"/>
    <m/>
    <x v="0"/>
    <m/>
    <m/>
  </r>
  <r>
    <x v="3177"/>
    <s v="Joe"/>
    <x v="55"/>
    <d v="1899-12-30T12:04:19"/>
    <d v="2021-02-25T12:04:19"/>
    <x v="6"/>
    <x v="3"/>
    <x v="1"/>
    <x v="0"/>
    <s v="Y"/>
    <n v="73"/>
    <x v="0"/>
    <d v="1899-12-30T00:06:31"/>
    <n v="3"/>
  </r>
  <r>
    <x v="3178"/>
    <s v="Joe"/>
    <x v="55"/>
    <d v="1899-12-30T12:05:46"/>
    <d v="2021-02-25T12:05:46"/>
    <x v="6"/>
    <x v="3"/>
    <x v="0"/>
    <x v="0"/>
    <s v="Y"/>
    <n v="76"/>
    <x v="0"/>
    <d v="1899-12-30T00:01:47"/>
    <n v="3"/>
  </r>
  <r>
    <x v="3179"/>
    <s v="Greg"/>
    <x v="55"/>
    <d v="1899-12-30T12:05:46"/>
    <d v="2021-02-25T12:05:46"/>
    <x v="6"/>
    <x v="3"/>
    <x v="4"/>
    <x v="1"/>
    <s v="N"/>
    <m/>
    <x v="0"/>
    <m/>
    <m/>
  </r>
  <r>
    <x v="3180"/>
    <s v="Jim"/>
    <x v="55"/>
    <d v="1899-12-30T12:31:41"/>
    <d v="2021-02-25T12:31:41"/>
    <x v="6"/>
    <x v="3"/>
    <x v="3"/>
    <x v="0"/>
    <s v="Y"/>
    <n v="123"/>
    <x v="0"/>
    <d v="1899-12-30T00:05:46"/>
    <n v="4"/>
  </r>
  <r>
    <x v="3181"/>
    <s v="Stewart"/>
    <x v="55"/>
    <d v="1899-12-30T12:31:41"/>
    <d v="2021-02-25T12:31:41"/>
    <x v="6"/>
    <x v="3"/>
    <x v="3"/>
    <x v="0"/>
    <s v="N"/>
    <n v="98"/>
    <x v="0"/>
    <d v="1899-12-30T00:05:11"/>
    <n v="4"/>
  </r>
  <r>
    <x v="3182"/>
    <s v="Dan"/>
    <x v="55"/>
    <d v="1899-12-30T12:34:34"/>
    <d v="2021-02-25T12:34:34"/>
    <x v="6"/>
    <x v="3"/>
    <x v="1"/>
    <x v="0"/>
    <s v="Y"/>
    <n v="81"/>
    <x v="0"/>
    <d v="1899-12-30T00:02:06"/>
    <n v="1"/>
  </r>
  <r>
    <x v="3183"/>
    <s v="Dan"/>
    <x v="55"/>
    <d v="1899-12-30T12:34:34"/>
    <d v="2021-02-25T12:34:34"/>
    <x v="6"/>
    <x v="3"/>
    <x v="2"/>
    <x v="0"/>
    <s v="Y"/>
    <n v="52"/>
    <x v="0"/>
    <d v="1899-12-30T00:06:55"/>
    <n v="4"/>
  </r>
  <r>
    <x v="3184"/>
    <s v="Stewart"/>
    <x v="55"/>
    <d v="1899-12-30T12:34:34"/>
    <d v="2021-02-25T12:34:34"/>
    <x v="6"/>
    <x v="3"/>
    <x v="2"/>
    <x v="0"/>
    <s v="Y"/>
    <n v="93"/>
    <x v="0"/>
    <d v="1899-12-30T00:06:02"/>
    <n v="1"/>
  </r>
  <r>
    <x v="3185"/>
    <s v="Jim"/>
    <x v="55"/>
    <d v="1899-12-30T12:34:34"/>
    <d v="2021-02-25T12:34:34"/>
    <x v="6"/>
    <x v="3"/>
    <x v="2"/>
    <x v="0"/>
    <s v="Y"/>
    <n v="17"/>
    <x v="1"/>
    <d v="1899-12-30T00:05:07"/>
    <n v="4"/>
  </r>
  <r>
    <x v="3186"/>
    <s v="Dan"/>
    <x v="55"/>
    <d v="1899-12-30T13:00:29"/>
    <d v="2021-02-25T13:00:29"/>
    <x v="6"/>
    <x v="4"/>
    <x v="1"/>
    <x v="0"/>
    <s v="Y"/>
    <n v="91"/>
    <x v="0"/>
    <d v="1899-12-30T00:01:38"/>
    <n v="4"/>
  </r>
  <r>
    <x v="3187"/>
    <s v="Dan"/>
    <x v="55"/>
    <d v="1899-12-30T13:00:29"/>
    <d v="2021-02-25T13:00:29"/>
    <x v="6"/>
    <x v="4"/>
    <x v="4"/>
    <x v="0"/>
    <s v="Y"/>
    <n v="20"/>
    <x v="1"/>
    <d v="1899-12-30T00:02:23"/>
    <n v="5"/>
  </r>
  <r>
    <x v="3188"/>
    <s v="Diane"/>
    <x v="55"/>
    <d v="1899-12-30T14:11:02"/>
    <d v="2021-02-25T14:11:02"/>
    <x v="6"/>
    <x v="5"/>
    <x v="0"/>
    <x v="1"/>
    <s v="N"/>
    <m/>
    <x v="0"/>
    <m/>
    <m/>
  </r>
  <r>
    <x v="3189"/>
    <s v="Joe"/>
    <x v="55"/>
    <d v="1899-12-30T14:11:02"/>
    <d v="2021-02-25T14:11:02"/>
    <x v="6"/>
    <x v="5"/>
    <x v="2"/>
    <x v="0"/>
    <s v="Y"/>
    <n v="125"/>
    <x v="0"/>
    <d v="1899-12-30T00:06:17"/>
    <n v="4"/>
  </r>
  <r>
    <x v="3190"/>
    <s v="Martha"/>
    <x v="55"/>
    <d v="1899-12-30T14:57:07"/>
    <d v="2021-02-25T14:57:07"/>
    <x v="6"/>
    <x v="5"/>
    <x v="2"/>
    <x v="0"/>
    <s v="Y"/>
    <n v="46"/>
    <x v="0"/>
    <d v="1899-12-30T00:03:06"/>
    <n v="2"/>
  </r>
  <r>
    <x v="3191"/>
    <s v="Diane"/>
    <x v="55"/>
    <d v="1899-12-30T14:57:07"/>
    <d v="2021-02-25T14:57:07"/>
    <x v="6"/>
    <x v="5"/>
    <x v="0"/>
    <x v="0"/>
    <s v="Y"/>
    <n v="124"/>
    <x v="0"/>
    <d v="1899-12-30T00:05:29"/>
    <n v="3"/>
  </r>
  <r>
    <x v="3192"/>
    <s v="Dan"/>
    <x v="55"/>
    <d v="1899-12-30T15:14:24"/>
    <d v="2021-02-25T15:14:24"/>
    <x v="6"/>
    <x v="6"/>
    <x v="1"/>
    <x v="0"/>
    <s v="Y"/>
    <n v="29"/>
    <x v="0"/>
    <d v="1899-12-30T00:04:05"/>
    <n v="3"/>
  </r>
  <r>
    <x v="3193"/>
    <s v="Joe"/>
    <x v="55"/>
    <d v="1899-12-30T15:14:24"/>
    <d v="2021-02-25T15:14:24"/>
    <x v="6"/>
    <x v="6"/>
    <x v="4"/>
    <x v="0"/>
    <s v="N"/>
    <n v="75"/>
    <x v="0"/>
    <d v="1899-12-30T00:04:37"/>
    <n v="3"/>
  </r>
  <r>
    <x v="3194"/>
    <s v="Martha"/>
    <x v="55"/>
    <d v="1899-12-30T15:27:22"/>
    <d v="2021-02-25T15:27:22"/>
    <x v="6"/>
    <x v="6"/>
    <x v="1"/>
    <x v="0"/>
    <s v="Y"/>
    <n v="57"/>
    <x v="0"/>
    <d v="1899-12-30T00:04:11"/>
    <n v="4"/>
  </r>
  <r>
    <x v="3195"/>
    <s v="Dan"/>
    <x v="55"/>
    <d v="1899-12-30T15:27:22"/>
    <d v="2021-02-25T15:27:22"/>
    <x v="6"/>
    <x v="6"/>
    <x v="3"/>
    <x v="1"/>
    <s v="N"/>
    <m/>
    <x v="0"/>
    <m/>
    <m/>
  </r>
  <r>
    <x v="3196"/>
    <s v="Jim"/>
    <x v="55"/>
    <d v="1899-12-30T15:30:14"/>
    <d v="2021-02-25T15:30:14"/>
    <x v="6"/>
    <x v="6"/>
    <x v="4"/>
    <x v="0"/>
    <s v="Y"/>
    <n v="106"/>
    <x v="0"/>
    <d v="1899-12-30T00:01:53"/>
    <n v="4"/>
  </r>
  <r>
    <x v="3197"/>
    <s v="Jim"/>
    <x v="55"/>
    <d v="1899-12-30T15:30:14"/>
    <d v="2021-02-25T15:30:14"/>
    <x v="6"/>
    <x v="6"/>
    <x v="0"/>
    <x v="0"/>
    <s v="Y"/>
    <n v="19"/>
    <x v="1"/>
    <d v="1899-12-30T00:05:44"/>
    <n v="3"/>
  </r>
  <r>
    <x v="3198"/>
    <s v="Jim"/>
    <x v="55"/>
    <d v="1899-12-30T15:41:46"/>
    <d v="2021-02-25T15:41:46"/>
    <x v="6"/>
    <x v="6"/>
    <x v="1"/>
    <x v="0"/>
    <s v="Y"/>
    <n v="94"/>
    <x v="0"/>
    <d v="1899-12-30T00:01:11"/>
    <n v="4"/>
  </r>
  <r>
    <x v="3199"/>
    <s v="Stewart"/>
    <x v="55"/>
    <d v="1899-12-30T15:41:46"/>
    <d v="2021-02-25T15:41:46"/>
    <x v="6"/>
    <x v="6"/>
    <x v="4"/>
    <x v="1"/>
    <s v="N"/>
    <m/>
    <x v="0"/>
    <m/>
    <m/>
  </r>
  <r>
    <x v="3200"/>
    <s v="Diane"/>
    <x v="55"/>
    <d v="1899-12-30T15:54:43"/>
    <d v="2021-02-25T15:54:43"/>
    <x v="6"/>
    <x v="6"/>
    <x v="3"/>
    <x v="0"/>
    <s v="Y"/>
    <n v="28"/>
    <x v="0"/>
    <d v="1899-12-30T00:03:01"/>
    <n v="3"/>
  </r>
  <r>
    <x v="3201"/>
    <s v="Diane"/>
    <x v="55"/>
    <d v="1899-12-30T15:54:43"/>
    <d v="2021-02-25T15:54:43"/>
    <x v="6"/>
    <x v="6"/>
    <x v="3"/>
    <x v="0"/>
    <s v="Y"/>
    <n v="11"/>
    <x v="1"/>
    <d v="1899-12-30T00:02:20"/>
    <n v="4"/>
  </r>
  <r>
    <x v="3202"/>
    <s v="Stewart"/>
    <x v="55"/>
    <d v="1899-12-30T16:04:48"/>
    <d v="2021-02-25T16:04:48"/>
    <x v="6"/>
    <x v="8"/>
    <x v="3"/>
    <x v="0"/>
    <s v="Y"/>
    <n v="68"/>
    <x v="0"/>
    <d v="1899-12-30T00:04:51"/>
    <n v="5"/>
  </r>
  <r>
    <x v="3203"/>
    <s v="Dan"/>
    <x v="55"/>
    <d v="1899-12-30T16:04:48"/>
    <d v="2021-02-25T16:04:48"/>
    <x v="6"/>
    <x v="8"/>
    <x v="0"/>
    <x v="0"/>
    <s v="Y"/>
    <n v="103"/>
    <x v="0"/>
    <d v="1899-12-30T00:04:42"/>
    <n v="5"/>
  </r>
  <r>
    <x v="3204"/>
    <s v="Stewart"/>
    <x v="55"/>
    <d v="1899-12-30T16:26:24"/>
    <d v="2021-02-25T16:26:24"/>
    <x v="6"/>
    <x v="8"/>
    <x v="4"/>
    <x v="0"/>
    <s v="Y"/>
    <n v="28"/>
    <x v="0"/>
    <d v="1899-12-30T00:06:06"/>
    <n v="2"/>
  </r>
  <r>
    <x v="3205"/>
    <s v="Martha"/>
    <x v="55"/>
    <d v="1899-12-30T16:26:24"/>
    <d v="2021-02-25T16:26:24"/>
    <x v="6"/>
    <x v="8"/>
    <x v="1"/>
    <x v="0"/>
    <s v="Y"/>
    <n v="36"/>
    <x v="0"/>
    <d v="1899-12-30T00:04:09"/>
    <n v="5"/>
  </r>
  <r>
    <x v="3206"/>
    <s v="Dan"/>
    <x v="55"/>
    <d v="1899-12-30T16:40:48"/>
    <d v="2021-02-25T16:40:48"/>
    <x v="6"/>
    <x v="8"/>
    <x v="1"/>
    <x v="0"/>
    <s v="Y"/>
    <n v="63"/>
    <x v="0"/>
    <d v="1899-12-30T00:05:39"/>
    <n v="5"/>
  </r>
  <r>
    <x v="3207"/>
    <s v="Dan"/>
    <x v="55"/>
    <d v="1899-12-30T16:40:48"/>
    <d v="2021-02-25T16:40:48"/>
    <x v="6"/>
    <x v="8"/>
    <x v="0"/>
    <x v="0"/>
    <s v="Y"/>
    <n v="14"/>
    <x v="1"/>
    <d v="1899-12-30T00:00:36"/>
    <n v="5"/>
  </r>
  <r>
    <x v="3208"/>
    <s v="Dan"/>
    <x v="55"/>
    <d v="1899-12-30T17:06:43"/>
    <d v="2021-02-25T17:06:43"/>
    <x v="6"/>
    <x v="7"/>
    <x v="4"/>
    <x v="0"/>
    <s v="Y"/>
    <n v="82"/>
    <x v="0"/>
    <d v="1899-12-30T00:05:15"/>
    <n v="1"/>
  </r>
  <r>
    <x v="3209"/>
    <s v="Diane"/>
    <x v="55"/>
    <d v="1899-12-30T17:06:43"/>
    <d v="2021-02-25T17:06:43"/>
    <x v="6"/>
    <x v="7"/>
    <x v="2"/>
    <x v="1"/>
    <s v="N"/>
    <m/>
    <x v="0"/>
    <m/>
    <m/>
  </r>
  <r>
    <x v="3210"/>
    <s v="Martha"/>
    <x v="55"/>
    <d v="1899-12-30T17:06:43"/>
    <d v="2021-02-25T17:06:43"/>
    <x v="6"/>
    <x v="7"/>
    <x v="3"/>
    <x v="0"/>
    <s v="Y"/>
    <n v="15"/>
    <x v="1"/>
    <d v="1899-12-30T00:05:43"/>
    <n v="3"/>
  </r>
  <r>
    <x v="3211"/>
    <s v="Diane"/>
    <x v="55"/>
    <d v="1899-12-30T17:06:43"/>
    <d v="2021-02-25T17:06:43"/>
    <x v="6"/>
    <x v="7"/>
    <x v="3"/>
    <x v="0"/>
    <s v="Y"/>
    <n v="85"/>
    <x v="0"/>
    <d v="1899-12-30T00:04:18"/>
    <n v="3"/>
  </r>
  <r>
    <x v="3212"/>
    <s v="Becky"/>
    <x v="55"/>
    <d v="1899-12-30T17:24:00"/>
    <d v="2021-02-25T17:24:00"/>
    <x v="6"/>
    <x v="7"/>
    <x v="3"/>
    <x v="1"/>
    <s v="N"/>
    <m/>
    <x v="0"/>
    <m/>
    <m/>
  </r>
  <r>
    <x v="3213"/>
    <s v="Greg"/>
    <x v="55"/>
    <d v="1899-12-30T17:24:00"/>
    <d v="2021-02-25T17:24:00"/>
    <x v="6"/>
    <x v="7"/>
    <x v="2"/>
    <x v="0"/>
    <s v="Y"/>
    <n v="108"/>
    <x v="0"/>
    <d v="1899-12-30T00:02:12"/>
    <n v="5"/>
  </r>
  <r>
    <x v="3214"/>
    <s v="Martha"/>
    <x v="55"/>
    <d v="1899-12-30T17:47:02"/>
    <d v="2021-02-25T17:47:02"/>
    <x v="6"/>
    <x v="7"/>
    <x v="4"/>
    <x v="0"/>
    <s v="Y"/>
    <n v="45"/>
    <x v="0"/>
    <d v="1899-12-30T00:02:58"/>
    <n v="3"/>
  </r>
  <r>
    <x v="3215"/>
    <s v="Joe"/>
    <x v="55"/>
    <d v="1899-12-30T17:47:02"/>
    <d v="2021-02-25T17:47:02"/>
    <x v="6"/>
    <x v="7"/>
    <x v="1"/>
    <x v="0"/>
    <s v="Y"/>
    <n v="24"/>
    <x v="0"/>
    <d v="1899-12-30T00:01:52"/>
    <n v="4"/>
  </r>
  <r>
    <x v="3216"/>
    <s v="Greg"/>
    <x v="56"/>
    <d v="1899-12-30T09:10:05"/>
    <d v="2021-02-26T09:10:05"/>
    <x v="0"/>
    <x v="0"/>
    <x v="4"/>
    <x v="0"/>
    <s v="Y"/>
    <n v="75"/>
    <x v="0"/>
    <d v="1899-12-30T00:04:31"/>
    <n v="2"/>
  </r>
  <r>
    <x v="3217"/>
    <s v="Martha"/>
    <x v="56"/>
    <d v="1899-12-30T09:10:05"/>
    <d v="2021-02-26T09:10:05"/>
    <x v="0"/>
    <x v="0"/>
    <x v="1"/>
    <x v="0"/>
    <s v="Y"/>
    <n v="68"/>
    <x v="0"/>
    <d v="1899-12-30T00:06:24"/>
    <n v="5"/>
  </r>
  <r>
    <x v="3218"/>
    <s v="Jim"/>
    <x v="56"/>
    <d v="1899-12-30T09:18:43"/>
    <d v="2021-02-26T09:18:43"/>
    <x v="0"/>
    <x v="0"/>
    <x v="2"/>
    <x v="0"/>
    <s v="N"/>
    <n v="104"/>
    <x v="0"/>
    <d v="1899-12-30T00:01:21"/>
    <n v="4"/>
  </r>
  <r>
    <x v="3219"/>
    <s v="Joe"/>
    <x v="56"/>
    <d v="1899-12-30T09:18:43"/>
    <d v="2021-02-26T09:18:43"/>
    <x v="0"/>
    <x v="0"/>
    <x v="0"/>
    <x v="0"/>
    <s v="N"/>
    <n v="33"/>
    <x v="0"/>
    <d v="1899-12-30T00:00:41"/>
    <n v="3"/>
  </r>
  <r>
    <x v="3220"/>
    <s v="Dan"/>
    <x v="56"/>
    <d v="1899-12-30T10:12:00"/>
    <d v="2021-02-26T10:12:00"/>
    <x v="0"/>
    <x v="1"/>
    <x v="1"/>
    <x v="0"/>
    <s v="Y"/>
    <n v="101"/>
    <x v="0"/>
    <d v="1899-12-30T00:03:50"/>
    <n v="2"/>
  </r>
  <r>
    <x v="3221"/>
    <s v="Jim"/>
    <x v="56"/>
    <d v="1899-12-30T10:12:00"/>
    <d v="2021-02-26T10:12:00"/>
    <x v="0"/>
    <x v="1"/>
    <x v="3"/>
    <x v="1"/>
    <s v="N"/>
    <m/>
    <x v="0"/>
    <m/>
    <m/>
  </r>
  <r>
    <x v="3222"/>
    <s v="Greg"/>
    <x v="56"/>
    <d v="1899-12-30T10:24:58"/>
    <d v="2021-02-26T10:24:58"/>
    <x v="0"/>
    <x v="1"/>
    <x v="1"/>
    <x v="0"/>
    <s v="Y"/>
    <n v="41"/>
    <x v="0"/>
    <d v="1899-12-30T00:03:04"/>
    <n v="1"/>
  </r>
  <r>
    <x v="3223"/>
    <s v="Martha"/>
    <x v="56"/>
    <d v="1899-12-30T10:24:58"/>
    <d v="2021-02-26T10:24:58"/>
    <x v="0"/>
    <x v="1"/>
    <x v="4"/>
    <x v="1"/>
    <s v="N"/>
    <m/>
    <x v="0"/>
    <m/>
    <m/>
  </r>
  <r>
    <x v="3224"/>
    <s v="Jim"/>
    <x v="56"/>
    <d v="1899-12-30T10:45:07"/>
    <d v="2021-02-26T10:45:07"/>
    <x v="0"/>
    <x v="1"/>
    <x v="0"/>
    <x v="0"/>
    <s v="Y"/>
    <n v="124"/>
    <x v="0"/>
    <d v="1899-12-30T00:03:27"/>
    <n v="4"/>
  </r>
  <r>
    <x v="3225"/>
    <s v="Jim"/>
    <x v="56"/>
    <d v="1899-12-30T10:45:07"/>
    <d v="2021-02-26T10:45:07"/>
    <x v="0"/>
    <x v="1"/>
    <x v="4"/>
    <x v="0"/>
    <s v="N"/>
    <n v="98"/>
    <x v="0"/>
    <d v="1899-12-30T00:05:29"/>
    <n v="2"/>
  </r>
  <r>
    <x v="3226"/>
    <s v="Greg"/>
    <x v="56"/>
    <d v="1899-12-30T11:03:50"/>
    <d v="2021-02-26T11:03:50"/>
    <x v="0"/>
    <x v="2"/>
    <x v="2"/>
    <x v="0"/>
    <s v="Y"/>
    <n v="119"/>
    <x v="0"/>
    <d v="1899-12-30T00:02:11"/>
    <n v="3"/>
  </r>
  <r>
    <x v="3227"/>
    <s v="Jim"/>
    <x v="56"/>
    <d v="1899-12-30T11:03:50"/>
    <d v="2021-02-26T11:03:50"/>
    <x v="0"/>
    <x v="2"/>
    <x v="4"/>
    <x v="0"/>
    <s v="Y"/>
    <n v="40"/>
    <x v="0"/>
    <d v="1899-12-30T00:02:26"/>
    <n v="1"/>
  </r>
  <r>
    <x v="3228"/>
    <s v="Greg"/>
    <x v="56"/>
    <d v="1899-12-30T11:36:58"/>
    <d v="2021-02-26T11:36:58"/>
    <x v="0"/>
    <x v="2"/>
    <x v="2"/>
    <x v="1"/>
    <s v="N"/>
    <m/>
    <x v="0"/>
    <m/>
    <m/>
  </r>
  <r>
    <x v="3229"/>
    <s v="Becky"/>
    <x v="56"/>
    <d v="1899-12-30T11:36:58"/>
    <d v="2021-02-26T11:36:58"/>
    <x v="0"/>
    <x v="2"/>
    <x v="2"/>
    <x v="0"/>
    <s v="Y"/>
    <n v="97"/>
    <x v="0"/>
    <d v="1899-12-30T00:05:29"/>
    <n v="2"/>
  </r>
  <r>
    <x v="3230"/>
    <s v="Martha"/>
    <x v="56"/>
    <d v="1899-12-30T11:44:10"/>
    <d v="2021-02-26T11:44:10"/>
    <x v="0"/>
    <x v="2"/>
    <x v="3"/>
    <x v="0"/>
    <s v="Y"/>
    <n v="119"/>
    <x v="0"/>
    <d v="1899-12-30T00:03:46"/>
    <n v="2"/>
  </r>
  <r>
    <x v="3231"/>
    <s v="Becky"/>
    <x v="56"/>
    <d v="1899-12-30T11:44:10"/>
    <d v="2021-02-26T11:44:10"/>
    <x v="0"/>
    <x v="2"/>
    <x v="1"/>
    <x v="1"/>
    <s v="N"/>
    <m/>
    <x v="0"/>
    <m/>
    <m/>
  </r>
  <r>
    <x v="3232"/>
    <s v="Stewart"/>
    <x v="56"/>
    <d v="1899-12-30T11:45:36"/>
    <d v="2021-02-26T11:45:36"/>
    <x v="0"/>
    <x v="2"/>
    <x v="4"/>
    <x v="0"/>
    <s v="Y"/>
    <n v="26"/>
    <x v="0"/>
    <d v="1899-12-30T00:00:42"/>
    <n v="5"/>
  </r>
  <r>
    <x v="3233"/>
    <s v="Greg"/>
    <x v="56"/>
    <d v="1899-12-30T11:45:36"/>
    <d v="2021-02-26T11:45:36"/>
    <x v="0"/>
    <x v="2"/>
    <x v="2"/>
    <x v="1"/>
    <s v="N"/>
    <m/>
    <x v="0"/>
    <m/>
    <m/>
  </r>
  <r>
    <x v="3234"/>
    <s v="Jim"/>
    <x v="56"/>
    <d v="1899-12-30T12:40:19"/>
    <d v="2021-02-26T12:40:19"/>
    <x v="0"/>
    <x v="3"/>
    <x v="2"/>
    <x v="0"/>
    <s v="Y"/>
    <n v="77"/>
    <x v="0"/>
    <d v="1899-12-30T00:01:46"/>
    <n v="4"/>
  </r>
  <r>
    <x v="3235"/>
    <s v="Jim"/>
    <x v="56"/>
    <d v="1899-12-30T12:40:19"/>
    <d v="2021-02-26T12:40:19"/>
    <x v="0"/>
    <x v="3"/>
    <x v="1"/>
    <x v="0"/>
    <s v="Y"/>
    <n v="31"/>
    <x v="0"/>
    <d v="1899-12-30T00:02:05"/>
    <n v="3"/>
  </r>
  <r>
    <x v="3236"/>
    <s v="Becky"/>
    <x v="56"/>
    <d v="1899-12-30T13:01:55"/>
    <d v="2021-02-26T13:01:55"/>
    <x v="0"/>
    <x v="4"/>
    <x v="3"/>
    <x v="1"/>
    <s v="N"/>
    <m/>
    <x v="0"/>
    <m/>
    <m/>
  </r>
  <r>
    <x v="3237"/>
    <s v="Becky"/>
    <x v="56"/>
    <d v="1899-12-30T13:01:55"/>
    <d v="2021-02-26T13:01:55"/>
    <x v="0"/>
    <x v="4"/>
    <x v="2"/>
    <x v="0"/>
    <s v="N"/>
    <n v="16"/>
    <x v="1"/>
    <d v="1899-12-30T00:03:40"/>
    <n v="4"/>
  </r>
  <r>
    <x v="3238"/>
    <s v="Diane"/>
    <x v="56"/>
    <d v="1899-12-30T13:06:14"/>
    <d v="2021-02-26T13:06:14"/>
    <x v="0"/>
    <x v="4"/>
    <x v="3"/>
    <x v="0"/>
    <s v="Y"/>
    <n v="117"/>
    <x v="0"/>
    <d v="1899-12-30T00:06:29"/>
    <n v="4"/>
  </r>
  <r>
    <x v="3239"/>
    <s v="Becky"/>
    <x v="56"/>
    <d v="1899-12-30T13:06:14"/>
    <d v="2021-02-26T13:06:14"/>
    <x v="0"/>
    <x v="4"/>
    <x v="4"/>
    <x v="0"/>
    <s v="N"/>
    <n v="16"/>
    <x v="1"/>
    <d v="1899-12-30T00:03:18"/>
    <n v="5"/>
  </r>
  <r>
    <x v="3240"/>
    <s v="Stewart"/>
    <x v="56"/>
    <d v="1899-12-30T14:05:17"/>
    <d v="2021-02-26T14:05:17"/>
    <x v="0"/>
    <x v="5"/>
    <x v="2"/>
    <x v="0"/>
    <s v="N"/>
    <n v="35"/>
    <x v="0"/>
    <d v="1899-12-30T00:03:27"/>
    <n v="4"/>
  </r>
  <r>
    <x v="3241"/>
    <s v="Martha"/>
    <x v="56"/>
    <d v="1899-12-30T14:05:17"/>
    <d v="2021-02-26T14:05:17"/>
    <x v="0"/>
    <x v="5"/>
    <x v="0"/>
    <x v="0"/>
    <s v="N"/>
    <n v="93"/>
    <x v="0"/>
    <d v="1899-12-30T00:02:32"/>
    <n v="4"/>
  </r>
  <r>
    <x v="3242"/>
    <s v="Joe"/>
    <x v="56"/>
    <d v="1899-12-30T14:51:22"/>
    <d v="2021-02-26T14:51:22"/>
    <x v="0"/>
    <x v="5"/>
    <x v="4"/>
    <x v="0"/>
    <s v="Y"/>
    <n v="39"/>
    <x v="0"/>
    <d v="1899-12-30T00:02:56"/>
    <n v="1"/>
  </r>
  <r>
    <x v="3243"/>
    <s v="Greg"/>
    <x v="56"/>
    <d v="1899-12-30T14:51:22"/>
    <d v="2021-02-26T14:51:22"/>
    <x v="0"/>
    <x v="5"/>
    <x v="4"/>
    <x v="0"/>
    <s v="N"/>
    <n v="18"/>
    <x v="1"/>
    <d v="1899-12-30T00:04:54"/>
    <n v="1"/>
  </r>
  <r>
    <x v="3244"/>
    <s v="Greg"/>
    <x v="56"/>
    <d v="1899-12-30T14:54:14"/>
    <d v="2021-02-26T14:54:14"/>
    <x v="0"/>
    <x v="5"/>
    <x v="0"/>
    <x v="0"/>
    <s v="Y"/>
    <n v="124"/>
    <x v="0"/>
    <d v="1899-12-30T00:05:27"/>
    <n v="4"/>
  </r>
  <r>
    <x v="3245"/>
    <s v="Greg"/>
    <x v="56"/>
    <d v="1899-12-30T14:54:14"/>
    <d v="2021-02-26T14:54:14"/>
    <x v="0"/>
    <x v="5"/>
    <x v="4"/>
    <x v="1"/>
    <s v="N"/>
    <m/>
    <x v="0"/>
    <m/>
    <m/>
  </r>
  <r>
    <x v="3246"/>
    <s v="Becky"/>
    <x v="56"/>
    <d v="1899-12-30T15:01:26"/>
    <d v="2021-02-26T15:01:26"/>
    <x v="0"/>
    <x v="6"/>
    <x v="4"/>
    <x v="0"/>
    <s v="Y"/>
    <n v="10"/>
    <x v="1"/>
    <d v="1899-12-30T00:04:00"/>
    <n v="1"/>
  </r>
  <r>
    <x v="3247"/>
    <s v="Diane"/>
    <x v="56"/>
    <d v="1899-12-30T15:01:26"/>
    <d v="2021-02-26T15:01:26"/>
    <x v="0"/>
    <x v="6"/>
    <x v="0"/>
    <x v="1"/>
    <s v="N"/>
    <m/>
    <x v="0"/>
    <m/>
    <m/>
  </r>
  <r>
    <x v="3248"/>
    <s v="Becky"/>
    <x v="56"/>
    <d v="1899-12-30T15:05:46"/>
    <d v="2021-02-26T15:05:46"/>
    <x v="0"/>
    <x v="6"/>
    <x v="4"/>
    <x v="0"/>
    <s v="Y"/>
    <n v="99"/>
    <x v="0"/>
    <d v="1899-12-30T00:05:08"/>
    <n v="4"/>
  </r>
  <r>
    <x v="3249"/>
    <s v="Greg"/>
    <x v="56"/>
    <d v="1899-12-30T15:05:46"/>
    <d v="2021-02-26T15:05:46"/>
    <x v="0"/>
    <x v="6"/>
    <x v="1"/>
    <x v="0"/>
    <s v="Y"/>
    <n v="114"/>
    <x v="0"/>
    <d v="1899-12-30T00:05:06"/>
    <n v="4"/>
  </r>
  <r>
    <x v="3250"/>
    <s v="Greg"/>
    <x v="56"/>
    <d v="1899-12-30T15:41:46"/>
    <d v="2021-02-26T15:41:46"/>
    <x v="0"/>
    <x v="6"/>
    <x v="1"/>
    <x v="0"/>
    <s v="Y"/>
    <n v="122"/>
    <x v="0"/>
    <d v="1899-12-30T00:04:35"/>
    <n v="1"/>
  </r>
  <r>
    <x v="3251"/>
    <s v="Joe"/>
    <x v="56"/>
    <d v="1899-12-30T15:41:46"/>
    <d v="2021-02-26T15:41:46"/>
    <x v="0"/>
    <x v="6"/>
    <x v="0"/>
    <x v="1"/>
    <s v="N"/>
    <m/>
    <x v="0"/>
    <m/>
    <m/>
  </r>
  <r>
    <x v="3252"/>
    <s v="Becky"/>
    <x v="56"/>
    <d v="1899-12-30T16:04:48"/>
    <d v="2021-02-26T16:04:48"/>
    <x v="0"/>
    <x v="8"/>
    <x v="4"/>
    <x v="1"/>
    <s v="N"/>
    <m/>
    <x v="0"/>
    <m/>
    <m/>
  </r>
  <r>
    <x v="3253"/>
    <s v="Diane"/>
    <x v="56"/>
    <d v="1899-12-30T16:04:48"/>
    <d v="2021-02-26T16:04:48"/>
    <x v="0"/>
    <x v="8"/>
    <x v="0"/>
    <x v="0"/>
    <s v="N"/>
    <n v="87"/>
    <x v="0"/>
    <d v="1899-12-30T00:01:16"/>
    <n v="4"/>
  </r>
  <r>
    <x v="3254"/>
    <s v="Dan"/>
    <x v="56"/>
    <d v="1899-12-30T16:29:17"/>
    <d v="2021-02-26T16:29:17"/>
    <x v="0"/>
    <x v="8"/>
    <x v="4"/>
    <x v="0"/>
    <s v="Y"/>
    <n v="63"/>
    <x v="0"/>
    <d v="1899-12-30T00:03:27"/>
    <n v="3"/>
  </r>
  <r>
    <x v="3255"/>
    <s v="Martha"/>
    <x v="56"/>
    <d v="1899-12-30T16:29:17"/>
    <d v="2021-02-26T16:29:17"/>
    <x v="0"/>
    <x v="8"/>
    <x v="2"/>
    <x v="1"/>
    <s v="N"/>
    <m/>
    <x v="0"/>
    <m/>
    <m/>
  </r>
  <r>
    <x v="3256"/>
    <s v="Stewart"/>
    <x v="56"/>
    <d v="1899-12-30T16:49:26"/>
    <d v="2021-02-26T16:49:26"/>
    <x v="0"/>
    <x v="8"/>
    <x v="4"/>
    <x v="0"/>
    <s v="Y"/>
    <n v="120"/>
    <x v="0"/>
    <d v="1899-12-30T00:06:39"/>
    <n v="4"/>
  </r>
  <r>
    <x v="3257"/>
    <s v="Jim"/>
    <x v="56"/>
    <d v="1899-12-30T16:49:26"/>
    <d v="2021-02-26T16:49:26"/>
    <x v="0"/>
    <x v="8"/>
    <x v="4"/>
    <x v="1"/>
    <s v="N"/>
    <m/>
    <x v="0"/>
    <m/>
    <m/>
  </r>
  <r>
    <x v="3258"/>
    <s v="Stewart"/>
    <x v="56"/>
    <d v="1899-12-30T16:58:05"/>
    <d v="2021-02-26T16:58:05"/>
    <x v="0"/>
    <x v="8"/>
    <x v="4"/>
    <x v="1"/>
    <s v="N"/>
    <m/>
    <x v="0"/>
    <m/>
    <m/>
  </r>
  <r>
    <x v="3259"/>
    <s v="Stewart"/>
    <x v="56"/>
    <d v="1899-12-30T16:58:05"/>
    <d v="2021-02-26T16:58:05"/>
    <x v="0"/>
    <x v="8"/>
    <x v="2"/>
    <x v="0"/>
    <s v="Y"/>
    <n v="23"/>
    <x v="0"/>
    <d v="1899-12-30T00:05:19"/>
    <n v="4"/>
  </r>
  <r>
    <x v="3260"/>
    <s v="Martha"/>
    <x v="56"/>
    <d v="1899-12-30T17:05:17"/>
    <d v="2021-02-26T17:05:17"/>
    <x v="0"/>
    <x v="7"/>
    <x v="1"/>
    <x v="0"/>
    <s v="N"/>
    <n v="122"/>
    <x v="0"/>
    <d v="1899-12-30T00:03:49"/>
    <n v="5"/>
  </r>
  <r>
    <x v="3261"/>
    <s v="Joe"/>
    <x v="56"/>
    <d v="1899-12-30T17:05:17"/>
    <d v="2021-02-26T17:05:17"/>
    <x v="0"/>
    <x v="7"/>
    <x v="0"/>
    <x v="0"/>
    <s v="Y"/>
    <n v="60"/>
    <x v="0"/>
    <d v="1899-12-30T00:03:28"/>
    <n v="1"/>
  </r>
  <r>
    <x v="3262"/>
    <s v="Dan"/>
    <x v="56"/>
    <d v="1899-12-30T17:35:31"/>
    <d v="2021-02-26T17:35:31"/>
    <x v="0"/>
    <x v="7"/>
    <x v="0"/>
    <x v="0"/>
    <s v="Y"/>
    <n v="123"/>
    <x v="0"/>
    <d v="1899-12-30T00:00:45"/>
    <n v="5"/>
  </r>
  <r>
    <x v="3263"/>
    <s v="Dan"/>
    <x v="56"/>
    <d v="1899-12-30T17:35:31"/>
    <d v="2021-02-26T17:35:31"/>
    <x v="0"/>
    <x v="7"/>
    <x v="1"/>
    <x v="0"/>
    <s v="Y"/>
    <n v="64"/>
    <x v="0"/>
    <d v="1899-12-30T00:05:19"/>
    <n v="1"/>
  </r>
  <r>
    <x v="3264"/>
    <s v="Greg"/>
    <x v="56"/>
    <d v="1899-12-30T17:36:58"/>
    <d v="2021-02-26T17:36:58"/>
    <x v="0"/>
    <x v="7"/>
    <x v="4"/>
    <x v="0"/>
    <s v="Y"/>
    <n v="124"/>
    <x v="0"/>
    <d v="1899-12-30T00:05:04"/>
    <n v="2"/>
  </r>
  <r>
    <x v="3265"/>
    <s v="Diane"/>
    <x v="56"/>
    <d v="1899-12-30T17:36:58"/>
    <d v="2021-02-26T17:36:58"/>
    <x v="0"/>
    <x v="7"/>
    <x v="0"/>
    <x v="0"/>
    <s v="Y"/>
    <n v="102"/>
    <x v="0"/>
    <d v="1899-12-30T00:02:20"/>
    <n v="4"/>
  </r>
  <r>
    <x v="3266"/>
    <s v="Becky"/>
    <x v="56"/>
    <d v="1899-12-30T17:39:50"/>
    <d v="2021-02-26T17:39:50"/>
    <x v="0"/>
    <x v="7"/>
    <x v="3"/>
    <x v="0"/>
    <s v="Y"/>
    <n v="27"/>
    <x v="0"/>
    <d v="1899-12-30T00:06:32"/>
    <n v="4"/>
  </r>
  <r>
    <x v="3267"/>
    <s v="Becky"/>
    <x v="56"/>
    <d v="1899-12-30T17:39:50"/>
    <d v="2021-02-26T17:39:50"/>
    <x v="0"/>
    <x v="7"/>
    <x v="3"/>
    <x v="0"/>
    <s v="Y"/>
    <n v="26"/>
    <x v="0"/>
    <d v="1899-12-30T00:05:47"/>
    <n v="4"/>
  </r>
  <r>
    <x v="3268"/>
    <s v="Joe"/>
    <x v="56"/>
    <d v="1899-12-30T17:42:43"/>
    <d v="2021-02-26T17:42:43"/>
    <x v="0"/>
    <x v="7"/>
    <x v="2"/>
    <x v="0"/>
    <s v="Y"/>
    <n v="42"/>
    <x v="0"/>
    <d v="1899-12-30T00:01:21"/>
    <n v="5"/>
  </r>
  <r>
    <x v="3269"/>
    <s v="Dan"/>
    <x v="56"/>
    <d v="1899-12-30T17:42:43"/>
    <d v="2021-02-26T17:42:43"/>
    <x v="0"/>
    <x v="7"/>
    <x v="1"/>
    <x v="0"/>
    <s v="Y"/>
    <n v="121"/>
    <x v="0"/>
    <d v="1899-12-30T00:04:26"/>
    <n v="4"/>
  </r>
  <r>
    <x v="3270"/>
    <s v="Becky"/>
    <x v="56"/>
    <d v="1899-12-30T17:51:22"/>
    <d v="2021-02-26T17:51:22"/>
    <x v="0"/>
    <x v="7"/>
    <x v="2"/>
    <x v="0"/>
    <s v="Y"/>
    <n v="91"/>
    <x v="0"/>
    <d v="1899-12-30T00:06:26"/>
    <n v="3"/>
  </r>
  <r>
    <x v="3271"/>
    <s v="Stewart"/>
    <x v="56"/>
    <d v="1899-12-30T17:51:22"/>
    <d v="2021-02-26T17:51:22"/>
    <x v="0"/>
    <x v="7"/>
    <x v="1"/>
    <x v="0"/>
    <s v="Y"/>
    <n v="79"/>
    <x v="0"/>
    <d v="1899-12-30T00:03:57"/>
    <n v="5"/>
  </r>
  <r>
    <x v="3272"/>
    <s v="Stewart"/>
    <x v="57"/>
    <d v="1899-12-30T09:11:31"/>
    <d v="2021-02-27T09:11:31"/>
    <x v="1"/>
    <x v="0"/>
    <x v="4"/>
    <x v="0"/>
    <s v="Y"/>
    <n v="49"/>
    <x v="0"/>
    <d v="1899-12-30T00:04:22"/>
    <n v="5"/>
  </r>
  <r>
    <x v="3273"/>
    <s v="Martha"/>
    <x v="57"/>
    <d v="1899-12-30T09:11:31"/>
    <d v="2021-02-27T09:11:31"/>
    <x v="1"/>
    <x v="0"/>
    <x v="4"/>
    <x v="1"/>
    <s v="N"/>
    <m/>
    <x v="0"/>
    <m/>
    <m/>
  </r>
  <r>
    <x v="3274"/>
    <s v="Martha"/>
    <x v="57"/>
    <d v="1899-12-30T09:11:31"/>
    <d v="2021-02-27T09:11:31"/>
    <x v="1"/>
    <x v="0"/>
    <x v="0"/>
    <x v="0"/>
    <s v="N"/>
    <n v="44"/>
    <x v="0"/>
    <d v="1899-12-30T00:05:16"/>
    <n v="4"/>
  </r>
  <r>
    <x v="3275"/>
    <s v="Becky"/>
    <x v="57"/>
    <d v="1899-12-30T09:11:31"/>
    <d v="2021-02-27T09:11:31"/>
    <x v="1"/>
    <x v="0"/>
    <x v="0"/>
    <x v="1"/>
    <s v="N"/>
    <m/>
    <x v="0"/>
    <m/>
    <m/>
  </r>
  <r>
    <x v="3276"/>
    <s v="Greg"/>
    <x v="57"/>
    <d v="1899-12-30T09:46:05"/>
    <d v="2021-02-27T09:46:05"/>
    <x v="1"/>
    <x v="0"/>
    <x v="4"/>
    <x v="1"/>
    <s v="N"/>
    <m/>
    <x v="0"/>
    <m/>
    <m/>
  </r>
  <r>
    <x v="3277"/>
    <s v="Greg"/>
    <x v="57"/>
    <d v="1899-12-30T09:46:05"/>
    <d v="2021-02-27T09:46:05"/>
    <x v="1"/>
    <x v="0"/>
    <x v="4"/>
    <x v="0"/>
    <s v="Y"/>
    <n v="47"/>
    <x v="0"/>
    <d v="1899-12-30T00:06:05"/>
    <n v="3"/>
  </r>
  <r>
    <x v="3278"/>
    <s v="Greg"/>
    <x v="57"/>
    <d v="1899-12-30T09:50:24"/>
    <d v="2021-02-27T09:50:24"/>
    <x v="1"/>
    <x v="0"/>
    <x v="4"/>
    <x v="1"/>
    <s v="N"/>
    <m/>
    <x v="0"/>
    <m/>
    <m/>
  </r>
  <r>
    <x v="3279"/>
    <s v="Diane"/>
    <x v="57"/>
    <d v="1899-12-30T09:50:24"/>
    <d v="2021-02-27T09:50:24"/>
    <x v="1"/>
    <x v="0"/>
    <x v="2"/>
    <x v="1"/>
    <s v="N"/>
    <m/>
    <x v="0"/>
    <m/>
    <m/>
  </r>
  <r>
    <x v="3280"/>
    <s v="Greg"/>
    <x v="57"/>
    <d v="1899-12-30T09:56:10"/>
    <d v="2021-02-27T09:56:10"/>
    <x v="1"/>
    <x v="0"/>
    <x v="1"/>
    <x v="0"/>
    <s v="N"/>
    <n v="26"/>
    <x v="0"/>
    <d v="1899-12-30T00:00:51"/>
    <n v="5"/>
  </r>
  <r>
    <x v="3281"/>
    <s v="Greg"/>
    <x v="57"/>
    <d v="1899-12-30T09:56:10"/>
    <d v="2021-02-27T09:56:10"/>
    <x v="1"/>
    <x v="0"/>
    <x v="3"/>
    <x v="1"/>
    <s v="N"/>
    <m/>
    <x v="0"/>
    <m/>
    <m/>
  </r>
  <r>
    <x v="3282"/>
    <s v="Martha"/>
    <x v="57"/>
    <d v="1899-12-30T10:16:19"/>
    <d v="2021-02-27T10:16:19"/>
    <x v="1"/>
    <x v="1"/>
    <x v="3"/>
    <x v="0"/>
    <s v="Y"/>
    <n v="50"/>
    <x v="0"/>
    <d v="1899-12-30T00:01:33"/>
    <n v="3"/>
  </r>
  <r>
    <x v="3283"/>
    <s v="Stewart"/>
    <x v="57"/>
    <d v="1899-12-30T10:16:19"/>
    <d v="2021-02-27T10:16:19"/>
    <x v="1"/>
    <x v="1"/>
    <x v="4"/>
    <x v="0"/>
    <s v="Y"/>
    <n v="121"/>
    <x v="0"/>
    <d v="1899-12-30T00:05:20"/>
    <n v="1"/>
  </r>
  <r>
    <x v="3284"/>
    <s v="Jim"/>
    <x v="57"/>
    <d v="1899-12-30T10:50:53"/>
    <d v="2021-02-27T10:50:53"/>
    <x v="1"/>
    <x v="1"/>
    <x v="0"/>
    <x v="0"/>
    <s v="Y"/>
    <n v="82"/>
    <x v="0"/>
    <d v="1899-12-30T00:06:45"/>
    <n v="3"/>
  </r>
  <r>
    <x v="3285"/>
    <s v="Diane"/>
    <x v="57"/>
    <d v="1899-12-30T10:50:53"/>
    <d v="2021-02-27T10:50:53"/>
    <x v="1"/>
    <x v="1"/>
    <x v="3"/>
    <x v="0"/>
    <s v="Y"/>
    <n v="41"/>
    <x v="0"/>
    <d v="1899-12-30T00:04:37"/>
    <n v="4"/>
  </r>
  <r>
    <x v="3286"/>
    <s v="Dan"/>
    <x v="57"/>
    <d v="1899-12-30T11:47:02"/>
    <d v="2021-02-27T11:47:02"/>
    <x v="1"/>
    <x v="2"/>
    <x v="3"/>
    <x v="0"/>
    <s v="Y"/>
    <n v="65"/>
    <x v="0"/>
    <d v="1899-12-30T00:05:51"/>
    <n v="1"/>
  </r>
  <r>
    <x v="3287"/>
    <s v="Dan"/>
    <x v="57"/>
    <d v="1899-12-30T11:47:02"/>
    <d v="2021-02-27T11:47:02"/>
    <x v="1"/>
    <x v="2"/>
    <x v="0"/>
    <x v="0"/>
    <s v="Y"/>
    <n v="100"/>
    <x v="0"/>
    <d v="1899-12-30T00:05:49"/>
    <n v="3"/>
  </r>
  <r>
    <x v="3288"/>
    <s v="Dan"/>
    <x v="57"/>
    <d v="1899-12-30T12:14:24"/>
    <d v="2021-02-27T12:14:24"/>
    <x v="1"/>
    <x v="3"/>
    <x v="4"/>
    <x v="0"/>
    <s v="Y"/>
    <n v="72"/>
    <x v="0"/>
    <d v="1899-12-30T00:04:58"/>
    <n v="2"/>
  </r>
  <r>
    <x v="3289"/>
    <s v="Dan"/>
    <x v="57"/>
    <d v="1899-12-30T12:14:24"/>
    <d v="2021-02-27T12:14:24"/>
    <x v="1"/>
    <x v="3"/>
    <x v="4"/>
    <x v="0"/>
    <s v="Y"/>
    <n v="120"/>
    <x v="0"/>
    <d v="1899-12-30T00:00:49"/>
    <n v="5"/>
  </r>
  <r>
    <x v="3290"/>
    <s v="Stewart"/>
    <x v="57"/>
    <d v="1899-12-30T12:34:34"/>
    <d v="2021-02-27T12:34:34"/>
    <x v="1"/>
    <x v="3"/>
    <x v="0"/>
    <x v="0"/>
    <s v="Y"/>
    <n v="59"/>
    <x v="0"/>
    <d v="1899-12-30T00:01:13"/>
    <n v="3"/>
  </r>
  <r>
    <x v="3291"/>
    <s v="Diane"/>
    <x v="57"/>
    <d v="1899-12-30T12:34:34"/>
    <d v="2021-02-27T12:34:34"/>
    <x v="1"/>
    <x v="3"/>
    <x v="0"/>
    <x v="1"/>
    <s v="N"/>
    <m/>
    <x v="0"/>
    <m/>
    <m/>
  </r>
  <r>
    <x v="3292"/>
    <s v="Jim"/>
    <x v="57"/>
    <d v="1899-12-30T12:44:38"/>
    <d v="2021-02-27T12:44:38"/>
    <x v="1"/>
    <x v="3"/>
    <x v="0"/>
    <x v="0"/>
    <s v="Y"/>
    <n v="25"/>
    <x v="0"/>
    <d v="1899-12-30T00:04:05"/>
    <n v="2"/>
  </r>
  <r>
    <x v="3293"/>
    <s v="Dan"/>
    <x v="57"/>
    <d v="1899-12-30T12:44:38"/>
    <d v="2021-02-27T12:44:38"/>
    <x v="1"/>
    <x v="3"/>
    <x v="4"/>
    <x v="0"/>
    <s v="Y"/>
    <n v="20"/>
    <x v="1"/>
    <d v="1899-12-30T00:04:56"/>
    <n v="3"/>
  </r>
  <r>
    <x v="3294"/>
    <s v="Dan"/>
    <x v="57"/>
    <d v="1899-12-30T12:56:10"/>
    <d v="2021-02-27T12:56:10"/>
    <x v="1"/>
    <x v="3"/>
    <x v="2"/>
    <x v="0"/>
    <s v="Y"/>
    <n v="40"/>
    <x v="0"/>
    <d v="1899-12-30T00:05:54"/>
    <n v="4"/>
  </r>
  <r>
    <x v="3295"/>
    <s v="Becky"/>
    <x v="57"/>
    <d v="1899-12-30T12:56:10"/>
    <d v="2021-02-27T12:56:10"/>
    <x v="1"/>
    <x v="3"/>
    <x v="4"/>
    <x v="0"/>
    <s v="Y"/>
    <n v="34"/>
    <x v="0"/>
    <d v="1899-12-30T00:05:11"/>
    <n v="5"/>
  </r>
  <r>
    <x v="3296"/>
    <s v="Martha"/>
    <x v="57"/>
    <d v="1899-12-30T13:07:41"/>
    <d v="2021-02-27T13:07:41"/>
    <x v="1"/>
    <x v="4"/>
    <x v="3"/>
    <x v="1"/>
    <s v="N"/>
    <m/>
    <x v="0"/>
    <m/>
    <m/>
  </r>
  <r>
    <x v="3297"/>
    <s v="Martha"/>
    <x v="57"/>
    <d v="1899-12-30T13:07:41"/>
    <d v="2021-02-27T13:07:41"/>
    <x v="1"/>
    <x v="4"/>
    <x v="0"/>
    <x v="0"/>
    <s v="Y"/>
    <n v="27"/>
    <x v="0"/>
    <d v="1899-12-30T00:02:11"/>
    <n v="5"/>
  </r>
  <r>
    <x v="3298"/>
    <s v="Joe"/>
    <x v="57"/>
    <d v="1899-12-30T13:39:22"/>
    <d v="2021-02-27T13:39:22"/>
    <x v="1"/>
    <x v="4"/>
    <x v="4"/>
    <x v="0"/>
    <s v="Y"/>
    <n v="103"/>
    <x v="0"/>
    <d v="1899-12-30T00:04:56"/>
    <n v="1"/>
  </r>
  <r>
    <x v="3299"/>
    <s v="Diane"/>
    <x v="57"/>
    <d v="1899-12-30T13:39:22"/>
    <d v="2021-02-27T13:39:22"/>
    <x v="1"/>
    <x v="4"/>
    <x v="3"/>
    <x v="0"/>
    <s v="Y"/>
    <n v="76"/>
    <x v="0"/>
    <d v="1899-12-30T00:03:17"/>
    <n v="4"/>
  </r>
  <r>
    <x v="3300"/>
    <s v="Jim"/>
    <x v="57"/>
    <d v="1899-12-30T14:11:02"/>
    <d v="2021-02-27T14:11:02"/>
    <x v="1"/>
    <x v="5"/>
    <x v="0"/>
    <x v="1"/>
    <s v="N"/>
    <m/>
    <x v="0"/>
    <m/>
    <m/>
  </r>
  <r>
    <x v="3301"/>
    <s v="Martha"/>
    <x v="57"/>
    <d v="1899-12-30T14:11:02"/>
    <d v="2021-02-27T14:11:02"/>
    <x v="1"/>
    <x v="5"/>
    <x v="3"/>
    <x v="0"/>
    <s v="Y"/>
    <n v="23"/>
    <x v="0"/>
    <d v="1899-12-30T00:02:42"/>
    <n v="4"/>
  </r>
  <r>
    <x v="3302"/>
    <s v="Greg"/>
    <x v="57"/>
    <d v="1899-12-30T14:38:24"/>
    <d v="2021-02-27T14:38:24"/>
    <x v="1"/>
    <x v="5"/>
    <x v="3"/>
    <x v="0"/>
    <s v="Y"/>
    <n v="94"/>
    <x v="0"/>
    <d v="1899-12-30T00:06:57"/>
    <n v="4"/>
  </r>
  <r>
    <x v="3303"/>
    <s v="Dan"/>
    <x v="57"/>
    <d v="1899-12-30T14:38:24"/>
    <d v="2021-02-27T14:38:24"/>
    <x v="1"/>
    <x v="5"/>
    <x v="1"/>
    <x v="0"/>
    <s v="Y"/>
    <n v="115"/>
    <x v="0"/>
    <d v="1899-12-30T00:06:18"/>
    <n v="5"/>
  </r>
  <r>
    <x v="3304"/>
    <s v="Martha"/>
    <x v="57"/>
    <d v="1899-12-30T14:58:34"/>
    <d v="2021-02-27T14:58:34"/>
    <x v="1"/>
    <x v="5"/>
    <x v="1"/>
    <x v="0"/>
    <s v="N"/>
    <n v="11"/>
    <x v="1"/>
    <d v="1899-12-30T00:03:10"/>
    <n v="3"/>
  </r>
  <r>
    <x v="3305"/>
    <s v="Diane"/>
    <x v="57"/>
    <d v="1899-12-30T14:58:34"/>
    <d v="2021-02-27T14:58:34"/>
    <x v="1"/>
    <x v="5"/>
    <x v="2"/>
    <x v="0"/>
    <s v="Y"/>
    <n v="117"/>
    <x v="0"/>
    <d v="1899-12-30T00:02:05"/>
    <n v="5"/>
  </r>
  <r>
    <x v="3306"/>
    <s v="Diane"/>
    <x v="57"/>
    <d v="1899-12-30T15:00:00"/>
    <d v="2021-02-27T15:00:00"/>
    <x v="1"/>
    <x v="6"/>
    <x v="0"/>
    <x v="0"/>
    <s v="Y"/>
    <n v="110"/>
    <x v="0"/>
    <d v="1899-12-30T00:06:33"/>
    <n v="5"/>
  </r>
  <r>
    <x v="3307"/>
    <s v="Dan"/>
    <x v="57"/>
    <d v="1899-12-30T15:00:00"/>
    <d v="2021-02-27T15:00:00"/>
    <x v="1"/>
    <x v="6"/>
    <x v="3"/>
    <x v="0"/>
    <s v="Y"/>
    <n v="24"/>
    <x v="0"/>
    <d v="1899-12-30T00:02:47"/>
    <n v="3"/>
  </r>
  <r>
    <x v="3308"/>
    <s v="Jim"/>
    <x v="57"/>
    <d v="1899-12-30T15:08:38"/>
    <d v="2021-02-27T15:08:38"/>
    <x v="1"/>
    <x v="6"/>
    <x v="4"/>
    <x v="0"/>
    <s v="Y"/>
    <n v="31"/>
    <x v="0"/>
    <d v="1899-12-30T00:04:38"/>
    <n v="3"/>
  </r>
  <r>
    <x v="3309"/>
    <s v="Becky"/>
    <x v="57"/>
    <d v="1899-12-30T15:08:38"/>
    <d v="2021-02-27T15:08:38"/>
    <x v="1"/>
    <x v="6"/>
    <x v="3"/>
    <x v="0"/>
    <s v="Y"/>
    <n v="25"/>
    <x v="0"/>
    <d v="1899-12-30T00:05:06"/>
    <n v="3"/>
  </r>
  <r>
    <x v="3310"/>
    <s v="Stewart"/>
    <x v="57"/>
    <d v="1899-12-30T15:25:55"/>
    <d v="2021-02-27T15:25:55"/>
    <x v="1"/>
    <x v="6"/>
    <x v="0"/>
    <x v="0"/>
    <s v="Y"/>
    <n v="96"/>
    <x v="0"/>
    <d v="1899-12-30T00:05:31"/>
    <n v="3"/>
  </r>
  <r>
    <x v="3311"/>
    <s v="Becky"/>
    <x v="57"/>
    <d v="1899-12-30T15:25:55"/>
    <d v="2021-02-27T15:25:55"/>
    <x v="1"/>
    <x v="6"/>
    <x v="4"/>
    <x v="0"/>
    <s v="Y"/>
    <n v="48"/>
    <x v="0"/>
    <d v="1899-12-30T00:00:44"/>
    <n v="2"/>
  </r>
  <r>
    <x v="3312"/>
    <s v="Dan"/>
    <x v="57"/>
    <d v="1899-12-30T16:00:29"/>
    <d v="2021-02-27T16:00:29"/>
    <x v="1"/>
    <x v="8"/>
    <x v="3"/>
    <x v="0"/>
    <s v="N"/>
    <n v="110"/>
    <x v="0"/>
    <d v="1899-12-30T00:02:36"/>
    <n v="5"/>
  </r>
  <r>
    <x v="3313"/>
    <s v="Jim"/>
    <x v="57"/>
    <d v="1899-12-30T16:00:29"/>
    <d v="2021-02-27T16:00:29"/>
    <x v="1"/>
    <x v="8"/>
    <x v="0"/>
    <x v="0"/>
    <s v="N"/>
    <n v="19"/>
    <x v="1"/>
    <d v="1899-12-30T00:04:55"/>
    <n v="3"/>
  </r>
  <r>
    <x v="3314"/>
    <s v="Diane"/>
    <x v="57"/>
    <d v="1899-12-30T16:20:38"/>
    <d v="2021-02-27T16:20:38"/>
    <x v="1"/>
    <x v="8"/>
    <x v="3"/>
    <x v="1"/>
    <s v="N"/>
    <m/>
    <x v="0"/>
    <m/>
    <m/>
  </r>
  <r>
    <x v="3315"/>
    <s v="Diane"/>
    <x v="57"/>
    <d v="1899-12-30T16:20:38"/>
    <d v="2021-02-27T16:20:38"/>
    <x v="1"/>
    <x v="8"/>
    <x v="0"/>
    <x v="0"/>
    <s v="Y"/>
    <n v="88"/>
    <x v="0"/>
    <d v="1899-12-30T00:03:41"/>
    <n v="1"/>
  </r>
  <r>
    <x v="3316"/>
    <s v="Jim"/>
    <x v="57"/>
    <d v="1899-12-30T16:37:55"/>
    <d v="2021-02-27T16:37:55"/>
    <x v="1"/>
    <x v="8"/>
    <x v="0"/>
    <x v="0"/>
    <s v="Y"/>
    <n v="42"/>
    <x v="0"/>
    <d v="1899-12-30T00:06:21"/>
    <n v="3"/>
  </r>
  <r>
    <x v="3317"/>
    <s v="Stewart"/>
    <x v="57"/>
    <d v="1899-12-30T16:37:55"/>
    <d v="2021-02-27T16:37:55"/>
    <x v="1"/>
    <x v="8"/>
    <x v="2"/>
    <x v="0"/>
    <s v="Y"/>
    <n v="111"/>
    <x v="0"/>
    <d v="1899-12-30T00:06:39"/>
    <n v="4"/>
  </r>
  <r>
    <x v="3318"/>
    <s v="Stewart"/>
    <x v="57"/>
    <d v="1899-12-30T16:46:34"/>
    <d v="2021-02-27T16:46:34"/>
    <x v="1"/>
    <x v="8"/>
    <x v="1"/>
    <x v="0"/>
    <s v="Y"/>
    <n v="89"/>
    <x v="0"/>
    <d v="1899-12-30T00:03:45"/>
    <n v="5"/>
  </r>
  <r>
    <x v="3319"/>
    <s v="Dan"/>
    <x v="57"/>
    <d v="1899-12-30T16:46:34"/>
    <d v="2021-02-27T16:46:34"/>
    <x v="1"/>
    <x v="8"/>
    <x v="4"/>
    <x v="0"/>
    <s v="Y"/>
    <n v="32"/>
    <x v="0"/>
    <d v="1899-12-30T00:05:40"/>
    <n v="2"/>
  </r>
  <r>
    <x v="3320"/>
    <s v="Greg"/>
    <x v="57"/>
    <d v="1899-12-30T16:52:19"/>
    <d v="2021-02-27T16:52:19"/>
    <x v="1"/>
    <x v="8"/>
    <x v="1"/>
    <x v="0"/>
    <s v="Y"/>
    <n v="118"/>
    <x v="0"/>
    <d v="1899-12-30T00:05:58"/>
    <n v="3"/>
  </r>
  <r>
    <x v="3321"/>
    <s v="Joe"/>
    <x v="57"/>
    <d v="1899-12-30T16:52:19"/>
    <d v="2021-02-27T16:52:19"/>
    <x v="1"/>
    <x v="8"/>
    <x v="1"/>
    <x v="0"/>
    <s v="Y"/>
    <n v="21"/>
    <x v="0"/>
    <d v="1899-12-30T00:00:46"/>
    <n v="4"/>
  </r>
  <r>
    <x v="3322"/>
    <s v="Jim"/>
    <x v="57"/>
    <d v="1899-12-30T17:06:43"/>
    <d v="2021-02-27T17:06:43"/>
    <x v="1"/>
    <x v="7"/>
    <x v="0"/>
    <x v="0"/>
    <s v="Y"/>
    <n v="15"/>
    <x v="1"/>
    <d v="1899-12-30T00:01:41"/>
    <n v="2"/>
  </r>
  <r>
    <x v="3323"/>
    <s v="Dan"/>
    <x v="57"/>
    <d v="1899-12-30T17:06:43"/>
    <d v="2021-02-27T17:06:43"/>
    <x v="1"/>
    <x v="7"/>
    <x v="1"/>
    <x v="0"/>
    <s v="Y"/>
    <n v="87"/>
    <x v="0"/>
    <d v="1899-12-30T00:02:50"/>
    <n v="4"/>
  </r>
  <r>
    <x v="3324"/>
    <s v="Becky"/>
    <x v="57"/>
    <d v="1899-12-30T17:09:36"/>
    <d v="2021-02-27T17:09:36"/>
    <x v="1"/>
    <x v="7"/>
    <x v="3"/>
    <x v="0"/>
    <s v="Y"/>
    <n v="18"/>
    <x v="1"/>
    <d v="1899-12-30T00:06:16"/>
    <n v="1"/>
  </r>
  <r>
    <x v="3325"/>
    <s v="Becky"/>
    <x v="57"/>
    <d v="1899-12-30T17:09:36"/>
    <d v="2021-02-27T17:09:36"/>
    <x v="1"/>
    <x v="7"/>
    <x v="2"/>
    <x v="1"/>
    <s v="N"/>
    <m/>
    <x v="0"/>
    <m/>
    <m/>
  </r>
  <r>
    <x v="3326"/>
    <s v="Diane"/>
    <x v="58"/>
    <d v="1899-12-30T09:07:12"/>
    <d v="2021-02-28T09:07:12"/>
    <x v="2"/>
    <x v="0"/>
    <x v="1"/>
    <x v="0"/>
    <s v="Y"/>
    <n v="15"/>
    <x v="1"/>
    <d v="1899-12-30T00:03:06"/>
    <n v="3"/>
  </r>
  <r>
    <x v="3327"/>
    <s v="Diane"/>
    <x v="58"/>
    <d v="1899-12-30T09:07:12"/>
    <d v="2021-02-28T09:07:12"/>
    <x v="2"/>
    <x v="0"/>
    <x v="0"/>
    <x v="0"/>
    <s v="Y"/>
    <n v="12"/>
    <x v="1"/>
    <d v="1899-12-30T00:05:49"/>
    <n v="5"/>
  </r>
  <r>
    <x v="3328"/>
    <s v="Stewart"/>
    <x v="58"/>
    <d v="1899-12-30T09:14:24"/>
    <d v="2021-02-28T09:14:24"/>
    <x v="2"/>
    <x v="0"/>
    <x v="0"/>
    <x v="1"/>
    <s v="N"/>
    <m/>
    <x v="0"/>
    <m/>
    <m/>
  </r>
  <r>
    <x v="3329"/>
    <s v="Becky"/>
    <x v="58"/>
    <d v="1899-12-30T09:14:24"/>
    <d v="2021-02-28T09:14:24"/>
    <x v="2"/>
    <x v="0"/>
    <x v="3"/>
    <x v="0"/>
    <s v="Y"/>
    <n v="84"/>
    <x v="0"/>
    <d v="1899-12-30T00:02:26"/>
    <n v="3"/>
  </r>
  <r>
    <x v="3330"/>
    <s v="Diane"/>
    <x v="58"/>
    <d v="1899-12-30T09:15:50"/>
    <d v="2021-02-28T09:15:50"/>
    <x v="2"/>
    <x v="0"/>
    <x v="0"/>
    <x v="1"/>
    <s v="N"/>
    <m/>
    <x v="0"/>
    <m/>
    <m/>
  </r>
  <r>
    <x v="3331"/>
    <s v="Joe"/>
    <x v="58"/>
    <d v="1899-12-30T09:15:50"/>
    <d v="2021-02-28T09:15:50"/>
    <x v="2"/>
    <x v="0"/>
    <x v="3"/>
    <x v="1"/>
    <s v="N"/>
    <m/>
    <x v="0"/>
    <m/>
    <m/>
  </r>
  <r>
    <x v="3332"/>
    <s v="Dan"/>
    <x v="58"/>
    <d v="1899-12-30T09:30:14"/>
    <d v="2021-02-28T09:30:14"/>
    <x v="2"/>
    <x v="0"/>
    <x v="4"/>
    <x v="0"/>
    <s v="Y"/>
    <n v="55"/>
    <x v="0"/>
    <d v="1899-12-30T00:03:47"/>
    <n v="4"/>
  </r>
  <r>
    <x v="3333"/>
    <s v="Jim"/>
    <x v="58"/>
    <d v="1899-12-30T09:30:14"/>
    <d v="2021-02-28T09:30:14"/>
    <x v="2"/>
    <x v="0"/>
    <x v="4"/>
    <x v="1"/>
    <s v="N"/>
    <m/>
    <x v="0"/>
    <m/>
    <m/>
  </r>
  <r>
    <x v="3334"/>
    <s v="Martha"/>
    <x v="58"/>
    <d v="1899-12-30T10:07:41"/>
    <d v="2021-02-28T10:07:41"/>
    <x v="2"/>
    <x v="1"/>
    <x v="1"/>
    <x v="0"/>
    <s v="Y"/>
    <n v="63"/>
    <x v="0"/>
    <d v="1899-12-30T00:03:30"/>
    <n v="5"/>
  </r>
  <r>
    <x v="3335"/>
    <s v="Dan"/>
    <x v="58"/>
    <d v="1899-12-30T10:07:41"/>
    <d v="2021-02-28T10:07:41"/>
    <x v="2"/>
    <x v="1"/>
    <x v="2"/>
    <x v="1"/>
    <s v="N"/>
    <m/>
    <x v="0"/>
    <m/>
    <m/>
  </r>
  <r>
    <x v="3336"/>
    <s v="Joe"/>
    <x v="58"/>
    <d v="1899-12-30T10:27:50"/>
    <d v="2021-02-28T10:27:50"/>
    <x v="2"/>
    <x v="1"/>
    <x v="4"/>
    <x v="0"/>
    <s v="Y"/>
    <n v="121"/>
    <x v="0"/>
    <d v="1899-12-30T00:03:29"/>
    <n v="3"/>
  </r>
  <r>
    <x v="3337"/>
    <s v="Joe"/>
    <x v="58"/>
    <d v="1899-12-30T10:27:50"/>
    <d v="2021-02-28T10:27:50"/>
    <x v="2"/>
    <x v="1"/>
    <x v="3"/>
    <x v="0"/>
    <s v="Y"/>
    <n v="53"/>
    <x v="0"/>
    <d v="1899-12-30T00:06:06"/>
    <n v="4"/>
  </r>
  <r>
    <x v="3338"/>
    <s v="Greg"/>
    <x v="58"/>
    <d v="1899-12-30T10:33:36"/>
    <d v="2021-02-28T10:33:36"/>
    <x v="2"/>
    <x v="1"/>
    <x v="4"/>
    <x v="0"/>
    <s v="Y"/>
    <n v="102"/>
    <x v="0"/>
    <d v="1899-12-30T00:00:35"/>
    <n v="3"/>
  </r>
  <r>
    <x v="3339"/>
    <s v="Joe"/>
    <x v="58"/>
    <d v="1899-12-30T10:33:36"/>
    <d v="2021-02-28T10:33:36"/>
    <x v="2"/>
    <x v="1"/>
    <x v="0"/>
    <x v="0"/>
    <s v="Y"/>
    <n v="92"/>
    <x v="0"/>
    <d v="1899-12-30T00:06:12"/>
    <n v="2"/>
  </r>
  <r>
    <x v="3340"/>
    <s v="Martha"/>
    <x v="58"/>
    <d v="1899-12-30T11:00:58"/>
    <d v="2021-02-28T11:00:58"/>
    <x v="2"/>
    <x v="2"/>
    <x v="0"/>
    <x v="0"/>
    <s v="Y"/>
    <n v="32"/>
    <x v="0"/>
    <d v="1899-12-30T00:00:46"/>
    <n v="5"/>
  </r>
  <r>
    <x v="3341"/>
    <s v="Stewart"/>
    <x v="58"/>
    <d v="1899-12-30T11:00:58"/>
    <d v="2021-02-28T11:00:58"/>
    <x v="2"/>
    <x v="2"/>
    <x v="3"/>
    <x v="0"/>
    <s v="Y"/>
    <n v="107"/>
    <x v="0"/>
    <d v="1899-12-30T00:04:45"/>
    <n v="5"/>
  </r>
  <r>
    <x v="3342"/>
    <s v="Diane"/>
    <x v="58"/>
    <d v="1899-12-30T11:00:58"/>
    <d v="2021-02-28T11:00:58"/>
    <x v="2"/>
    <x v="2"/>
    <x v="3"/>
    <x v="0"/>
    <s v="Y"/>
    <n v="106"/>
    <x v="0"/>
    <d v="1899-12-30T00:04:50"/>
    <n v="1"/>
  </r>
  <r>
    <x v="3343"/>
    <s v="Jim"/>
    <x v="58"/>
    <d v="1899-12-30T11:00:58"/>
    <d v="2021-02-28T11:00:58"/>
    <x v="2"/>
    <x v="2"/>
    <x v="0"/>
    <x v="0"/>
    <s v="Y"/>
    <n v="114"/>
    <x v="0"/>
    <d v="1899-12-30T00:03:19"/>
    <n v="5"/>
  </r>
  <r>
    <x v="3344"/>
    <s v="Diane"/>
    <x v="58"/>
    <d v="1899-12-30T11:12:29"/>
    <d v="2021-02-28T11:12:29"/>
    <x v="2"/>
    <x v="2"/>
    <x v="2"/>
    <x v="0"/>
    <s v="N"/>
    <n v="62"/>
    <x v="0"/>
    <d v="1899-12-30T00:02:13"/>
    <n v="5"/>
  </r>
  <r>
    <x v="3345"/>
    <s v="Dan"/>
    <x v="58"/>
    <d v="1899-12-30T11:12:29"/>
    <d v="2021-02-28T11:12:29"/>
    <x v="2"/>
    <x v="2"/>
    <x v="2"/>
    <x v="0"/>
    <s v="Y"/>
    <n v="37"/>
    <x v="0"/>
    <d v="1899-12-30T00:04:10"/>
    <n v="5"/>
  </r>
  <r>
    <x v="3346"/>
    <s v="Becky"/>
    <x v="58"/>
    <d v="1899-12-30T11:26:53"/>
    <d v="2021-02-28T11:26:53"/>
    <x v="2"/>
    <x v="2"/>
    <x v="0"/>
    <x v="0"/>
    <s v="N"/>
    <n v="116"/>
    <x v="0"/>
    <d v="1899-12-30T00:06:01"/>
    <n v="4"/>
  </r>
  <r>
    <x v="3347"/>
    <s v="Becky"/>
    <x v="58"/>
    <d v="1899-12-30T11:26:53"/>
    <d v="2021-02-28T11:26:53"/>
    <x v="2"/>
    <x v="2"/>
    <x v="2"/>
    <x v="0"/>
    <s v="Y"/>
    <n v="89"/>
    <x v="0"/>
    <d v="1899-12-30T00:02:13"/>
    <n v="4"/>
  </r>
  <r>
    <x v="3348"/>
    <s v="Jim"/>
    <x v="58"/>
    <d v="1899-12-30T11:34:05"/>
    <d v="2021-02-28T11:34:05"/>
    <x v="2"/>
    <x v="2"/>
    <x v="0"/>
    <x v="0"/>
    <s v="Y"/>
    <n v="37"/>
    <x v="0"/>
    <d v="1899-12-30T00:04:45"/>
    <n v="4"/>
  </r>
  <r>
    <x v="3349"/>
    <s v="Jim"/>
    <x v="58"/>
    <d v="1899-12-30T11:34:05"/>
    <d v="2021-02-28T11:34:05"/>
    <x v="2"/>
    <x v="2"/>
    <x v="0"/>
    <x v="0"/>
    <s v="Y"/>
    <n v="120"/>
    <x v="0"/>
    <d v="1899-12-30T00:05:29"/>
    <n v="3"/>
  </r>
  <r>
    <x v="3350"/>
    <s v="Dan"/>
    <x v="58"/>
    <d v="1899-12-30T11:34:05"/>
    <d v="2021-02-28T11:34:05"/>
    <x v="2"/>
    <x v="2"/>
    <x v="0"/>
    <x v="0"/>
    <s v="Y"/>
    <n v="46"/>
    <x v="0"/>
    <d v="1899-12-30T00:05:43"/>
    <n v="1"/>
  </r>
  <r>
    <x v="3351"/>
    <s v="Becky"/>
    <x v="58"/>
    <d v="1899-12-30T11:34:05"/>
    <d v="2021-02-28T11:34:05"/>
    <x v="2"/>
    <x v="2"/>
    <x v="4"/>
    <x v="0"/>
    <s v="Y"/>
    <n v="70"/>
    <x v="0"/>
    <d v="1899-12-30T00:01:00"/>
    <n v="4"/>
  </r>
  <r>
    <x v="3352"/>
    <s v="Diane"/>
    <x v="58"/>
    <d v="1899-12-30T11:42:43"/>
    <d v="2021-02-28T11:42:43"/>
    <x v="2"/>
    <x v="2"/>
    <x v="1"/>
    <x v="0"/>
    <s v="Y"/>
    <n v="21"/>
    <x v="0"/>
    <d v="1899-12-30T00:02:13"/>
    <n v="4"/>
  </r>
  <r>
    <x v="3353"/>
    <s v="Joe"/>
    <x v="58"/>
    <d v="1899-12-30T11:42:43"/>
    <d v="2021-02-28T11:42:43"/>
    <x v="2"/>
    <x v="2"/>
    <x v="3"/>
    <x v="0"/>
    <s v="Y"/>
    <n v="86"/>
    <x v="0"/>
    <d v="1899-12-30T00:00:51"/>
    <n v="4"/>
  </r>
  <r>
    <x v="3354"/>
    <s v="Becky"/>
    <x v="58"/>
    <d v="1899-12-30T12:40:19"/>
    <d v="2021-02-28T12:40:19"/>
    <x v="2"/>
    <x v="3"/>
    <x v="4"/>
    <x v="0"/>
    <s v="N"/>
    <n v="54"/>
    <x v="0"/>
    <d v="1899-12-30T00:05:30"/>
    <n v="2"/>
  </r>
  <r>
    <x v="3355"/>
    <s v="Martha"/>
    <x v="58"/>
    <d v="1899-12-30T12:40:19"/>
    <d v="2021-02-28T12:40:19"/>
    <x v="2"/>
    <x v="3"/>
    <x v="3"/>
    <x v="0"/>
    <s v="Y"/>
    <n v="117"/>
    <x v="0"/>
    <d v="1899-12-30T00:05:39"/>
    <n v="4"/>
  </r>
  <r>
    <x v="3356"/>
    <s v="Greg"/>
    <x v="58"/>
    <d v="1899-12-30T12:40:19"/>
    <d v="2021-02-28T12:40:19"/>
    <x v="2"/>
    <x v="3"/>
    <x v="3"/>
    <x v="1"/>
    <s v="N"/>
    <m/>
    <x v="0"/>
    <m/>
    <m/>
  </r>
  <r>
    <x v="3357"/>
    <s v="Becky"/>
    <x v="58"/>
    <d v="1899-12-30T12:40:19"/>
    <d v="2021-02-28T12:40:19"/>
    <x v="2"/>
    <x v="3"/>
    <x v="4"/>
    <x v="0"/>
    <s v="Y"/>
    <n v="101"/>
    <x v="0"/>
    <d v="1899-12-30T00:05:06"/>
    <n v="1"/>
  </r>
  <r>
    <x v="3358"/>
    <s v="Martha"/>
    <x v="58"/>
    <d v="1899-12-30T13:09:07"/>
    <d v="2021-02-28T13:09:07"/>
    <x v="2"/>
    <x v="4"/>
    <x v="2"/>
    <x v="0"/>
    <s v="Y"/>
    <n v="52"/>
    <x v="0"/>
    <d v="1899-12-30T00:01:47"/>
    <n v="2"/>
  </r>
  <r>
    <x v="3359"/>
    <s v="Dan"/>
    <x v="58"/>
    <d v="1899-12-30T13:09:07"/>
    <d v="2021-02-28T13:09:07"/>
    <x v="2"/>
    <x v="4"/>
    <x v="1"/>
    <x v="0"/>
    <s v="Y"/>
    <n v="65"/>
    <x v="0"/>
    <d v="1899-12-30T00:02:15"/>
    <n v="5"/>
  </r>
  <r>
    <x v="3360"/>
    <s v="Greg"/>
    <x v="58"/>
    <d v="1899-12-30T13:14:53"/>
    <d v="2021-02-28T13:14:53"/>
    <x v="2"/>
    <x v="4"/>
    <x v="2"/>
    <x v="0"/>
    <s v="Y"/>
    <n v="84"/>
    <x v="0"/>
    <d v="1899-12-30T00:05:09"/>
    <n v="5"/>
  </r>
  <r>
    <x v="3361"/>
    <s v="Joe"/>
    <x v="58"/>
    <d v="1899-12-30T13:14:53"/>
    <d v="2021-02-28T13:14:53"/>
    <x v="2"/>
    <x v="4"/>
    <x v="1"/>
    <x v="0"/>
    <s v="N"/>
    <n v="115"/>
    <x v="0"/>
    <d v="1899-12-30T00:06:30"/>
    <n v="2"/>
  </r>
  <r>
    <x v="3362"/>
    <s v="Becky"/>
    <x v="58"/>
    <d v="1899-12-30T13:20:38"/>
    <d v="2021-02-28T13:20:38"/>
    <x v="2"/>
    <x v="4"/>
    <x v="0"/>
    <x v="1"/>
    <s v="N"/>
    <m/>
    <x v="0"/>
    <m/>
    <m/>
  </r>
  <r>
    <x v="3363"/>
    <s v="Diane"/>
    <x v="58"/>
    <d v="1899-12-30T13:20:38"/>
    <d v="2021-02-28T13:20:38"/>
    <x v="2"/>
    <x v="4"/>
    <x v="3"/>
    <x v="0"/>
    <s v="Y"/>
    <n v="22"/>
    <x v="0"/>
    <d v="1899-12-30T00:03:26"/>
    <n v="4"/>
  </r>
  <r>
    <x v="3364"/>
    <s v="Greg"/>
    <x v="58"/>
    <d v="1899-12-30T13:23:31"/>
    <d v="2021-02-28T13:23:31"/>
    <x v="2"/>
    <x v="4"/>
    <x v="3"/>
    <x v="0"/>
    <s v="Y"/>
    <n v="45"/>
    <x v="0"/>
    <d v="1899-12-30T00:00:42"/>
    <n v="4"/>
  </r>
  <r>
    <x v="3365"/>
    <s v="Jim"/>
    <x v="58"/>
    <d v="1899-12-30T13:23:31"/>
    <d v="2021-02-28T13:23:31"/>
    <x v="2"/>
    <x v="4"/>
    <x v="3"/>
    <x v="1"/>
    <s v="N"/>
    <m/>
    <x v="0"/>
    <m/>
    <m/>
  </r>
  <r>
    <x v="3366"/>
    <s v="Diane"/>
    <x v="58"/>
    <d v="1899-12-30T13:40:48"/>
    <d v="2021-02-28T13:40:48"/>
    <x v="2"/>
    <x v="4"/>
    <x v="0"/>
    <x v="1"/>
    <s v="N"/>
    <m/>
    <x v="0"/>
    <m/>
    <m/>
  </r>
  <r>
    <x v="3367"/>
    <s v="Greg"/>
    <x v="58"/>
    <d v="1899-12-30T13:40:48"/>
    <d v="2021-02-28T13:40:48"/>
    <x v="2"/>
    <x v="4"/>
    <x v="0"/>
    <x v="0"/>
    <s v="Y"/>
    <n v="23"/>
    <x v="0"/>
    <d v="1899-12-30T00:04:58"/>
    <n v="5"/>
  </r>
  <r>
    <x v="3368"/>
    <s v="Greg"/>
    <x v="58"/>
    <d v="1899-12-30T14:03:50"/>
    <d v="2021-02-28T14:03:50"/>
    <x v="2"/>
    <x v="5"/>
    <x v="1"/>
    <x v="0"/>
    <s v="Y"/>
    <n v="45"/>
    <x v="0"/>
    <d v="1899-12-30T00:02:29"/>
    <n v="3"/>
  </r>
  <r>
    <x v="3369"/>
    <s v="Jim"/>
    <x v="58"/>
    <d v="1899-12-30T14:03:50"/>
    <d v="2021-02-28T14:03:50"/>
    <x v="2"/>
    <x v="5"/>
    <x v="0"/>
    <x v="1"/>
    <s v="N"/>
    <m/>
    <x v="0"/>
    <m/>
    <m/>
  </r>
  <r>
    <x v="3370"/>
    <s v="Diane"/>
    <x v="58"/>
    <d v="1899-12-30T14:48:29"/>
    <d v="2021-02-28T14:48:29"/>
    <x v="2"/>
    <x v="5"/>
    <x v="0"/>
    <x v="0"/>
    <s v="Y"/>
    <n v="53"/>
    <x v="0"/>
    <d v="1899-12-30T00:00:47"/>
    <n v="4"/>
  </r>
  <r>
    <x v="3371"/>
    <s v="Greg"/>
    <x v="58"/>
    <d v="1899-12-30T14:48:29"/>
    <d v="2021-02-28T14:48:29"/>
    <x v="2"/>
    <x v="5"/>
    <x v="0"/>
    <x v="0"/>
    <s v="Y"/>
    <n v="76"/>
    <x v="0"/>
    <d v="1899-12-30T00:05:05"/>
    <n v="4"/>
  </r>
  <r>
    <x v="3372"/>
    <s v="Diane"/>
    <x v="58"/>
    <d v="1899-12-30T14:52:48"/>
    <d v="2021-02-28T14:52:48"/>
    <x v="2"/>
    <x v="5"/>
    <x v="3"/>
    <x v="0"/>
    <s v="Y"/>
    <n v="62"/>
    <x v="0"/>
    <d v="1899-12-30T00:02:58"/>
    <n v="3"/>
  </r>
  <r>
    <x v="3373"/>
    <s v="Martha"/>
    <x v="58"/>
    <d v="1899-12-30T14:52:48"/>
    <d v="2021-02-28T14:52:48"/>
    <x v="2"/>
    <x v="5"/>
    <x v="4"/>
    <x v="0"/>
    <s v="N"/>
    <n v="104"/>
    <x v="0"/>
    <d v="1899-12-30T00:02:41"/>
    <n v="3"/>
  </r>
  <r>
    <x v="3374"/>
    <s v="Martha"/>
    <x v="58"/>
    <d v="1899-12-30T15:21:36"/>
    <d v="2021-02-28T15:21:36"/>
    <x v="2"/>
    <x v="6"/>
    <x v="3"/>
    <x v="1"/>
    <s v="N"/>
    <m/>
    <x v="0"/>
    <m/>
    <m/>
  </r>
  <r>
    <x v="3375"/>
    <s v="Martha"/>
    <x v="58"/>
    <d v="1899-12-30T15:21:36"/>
    <d v="2021-02-28T15:21:36"/>
    <x v="2"/>
    <x v="6"/>
    <x v="0"/>
    <x v="0"/>
    <s v="Y"/>
    <n v="72"/>
    <x v="0"/>
    <d v="1899-12-30T00:06:15"/>
    <n v="1"/>
  </r>
  <r>
    <x v="3376"/>
    <s v="Joe"/>
    <x v="58"/>
    <d v="1899-12-30T15:25:55"/>
    <d v="2021-02-28T15:25:55"/>
    <x v="2"/>
    <x v="6"/>
    <x v="1"/>
    <x v="1"/>
    <s v="N"/>
    <m/>
    <x v="0"/>
    <m/>
    <m/>
  </r>
  <r>
    <x v="3377"/>
    <s v="Greg"/>
    <x v="58"/>
    <d v="1899-12-30T15:25:55"/>
    <d v="2021-02-28T15:25:55"/>
    <x v="2"/>
    <x v="6"/>
    <x v="3"/>
    <x v="0"/>
    <s v="Y"/>
    <n v="74"/>
    <x v="0"/>
    <d v="1899-12-30T00:06:20"/>
    <n v="4"/>
  </r>
  <r>
    <x v="3378"/>
    <s v="Joe"/>
    <x v="58"/>
    <d v="1899-12-30T16:06:14"/>
    <d v="2021-02-28T16:06:14"/>
    <x v="2"/>
    <x v="8"/>
    <x v="2"/>
    <x v="0"/>
    <s v="Y"/>
    <n v="64"/>
    <x v="0"/>
    <d v="1899-12-30T00:00:49"/>
    <n v="4"/>
  </r>
  <r>
    <x v="3379"/>
    <s v="Diane"/>
    <x v="58"/>
    <d v="1899-12-30T16:06:14"/>
    <d v="2021-02-28T16:06:14"/>
    <x v="2"/>
    <x v="8"/>
    <x v="4"/>
    <x v="0"/>
    <s v="Y"/>
    <n v="44"/>
    <x v="0"/>
    <d v="1899-12-30T00:03:09"/>
    <n v="4"/>
  </r>
  <r>
    <x v="3380"/>
    <s v="Stewart"/>
    <x v="58"/>
    <d v="1899-12-30T16:07:41"/>
    <d v="2021-02-28T16:07:41"/>
    <x v="2"/>
    <x v="8"/>
    <x v="1"/>
    <x v="0"/>
    <s v="Y"/>
    <n v="50"/>
    <x v="0"/>
    <d v="1899-12-30T00:05:12"/>
    <n v="4"/>
  </r>
  <r>
    <x v="3381"/>
    <s v="Dan"/>
    <x v="58"/>
    <d v="1899-12-30T16:07:41"/>
    <d v="2021-02-28T16:07:41"/>
    <x v="2"/>
    <x v="8"/>
    <x v="1"/>
    <x v="0"/>
    <s v="Y"/>
    <n v="73"/>
    <x v="0"/>
    <d v="1899-12-30T00:03:56"/>
    <n v="3"/>
  </r>
  <r>
    <x v="3382"/>
    <s v="Joe"/>
    <x v="58"/>
    <d v="1899-12-30T16:50:53"/>
    <d v="2021-02-28T16:50:53"/>
    <x v="2"/>
    <x v="8"/>
    <x v="1"/>
    <x v="0"/>
    <s v="Y"/>
    <n v="34"/>
    <x v="0"/>
    <d v="1899-12-30T00:03:25"/>
    <n v="1"/>
  </r>
  <r>
    <x v="3383"/>
    <s v="Dan"/>
    <x v="58"/>
    <d v="1899-12-30T16:50:53"/>
    <d v="2021-02-28T16:50:53"/>
    <x v="2"/>
    <x v="8"/>
    <x v="2"/>
    <x v="0"/>
    <s v="Y"/>
    <n v="118"/>
    <x v="0"/>
    <d v="1899-12-30T00:06:31"/>
    <n v="3"/>
  </r>
  <r>
    <x v="3384"/>
    <s v="Becky"/>
    <x v="58"/>
    <d v="1899-12-30T17:32:38"/>
    <d v="2021-02-28T17:32:38"/>
    <x v="2"/>
    <x v="7"/>
    <x v="3"/>
    <x v="0"/>
    <s v="Y"/>
    <n v="44"/>
    <x v="0"/>
    <d v="1899-12-30T00:06:50"/>
    <n v="3"/>
  </r>
  <r>
    <x v="3385"/>
    <s v="Greg"/>
    <x v="58"/>
    <d v="1899-12-30T17:32:38"/>
    <d v="2021-02-28T17:32:38"/>
    <x v="2"/>
    <x v="7"/>
    <x v="0"/>
    <x v="0"/>
    <s v="Y"/>
    <n v="38"/>
    <x v="0"/>
    <d v="1899-12-30T00:01:36"/>
    <n v="3"/>
  </r>
  <r>
    <x v="3386"/>
    <s v="Jim"/>
    <x v="58"/>
    <d v="1899-12-30T18:00:00"/>
    <d v="2021-02-28T18:00:00"/>
    <x v="2"/>
    <x v="9"/>
    <x v="4"/>
    <x v="0"/>
    <s v="Y"/>
    <n v="56"/>
    <x v="0"/>
    <d v="1899-12-30T00:02:34"/>
    <n v="4"/>
  </r>
  <r>
    <x v="3387"/>
    <s v="Joe"/>
    <x v="58"/>
    <d v="1899-12-30T18:00:00"/>
    <d v="2021-02-28T18:00:00"/>
    <x v="2"/>
    <x v="9"/>
    <x v="1"/>
    <x v="0"/>
    <s v="Y"/>
    <n v="79"/>
    <x v="0"/>
    <d v="1899-12-30T00:06:19"/>
    <n v="4"/>
  </r>
  <r>
    <x v="3388"/>
    <s v="Stewart"/>
    <x v="59"/>
    <d v="1899-12-30T09:07:12"/>
    <d v="2021-03-01T09:07:12"/>
    <x v="3"/>
    <x v="0"/>
    <x v="2"/>
    <x v="0"/>
    <s v="Y"/>
    <n v="111"/>
    <x v="0"/>
    <d v="1899-12-30T00:04:32"/>
    <n v="5"/>
  </r>
  <r>
    <x v="3389"/>
    <s v="Joe"/>
    <x v="59"/>
    <d v="1899-12-30T09:07:12"/>
    <d v="2021-03-01T09:07:12"/>
    <x v="3"/>
    <x v="0"/>
    <x v="0"/>
    <x v="0"/>
    <s v="N"/>
    <n v="62"/>
    <x v="0"/>
    <d v="1899-12-30T00:05:08"/>
    <n v="5"/>
  </r>
  <r>
    <x v="3390"/>
    <s v="Martha"/>
    <x v="59"/>
    <d v="1899-12-30T09:15:50"/>
    <d v="2021-03-01T09:15:50"/>
    <x v="3"/>
    <x v="0"/>
    <x v="4"/>
    <x v="0"/>
    <s v="Y"/>
    <n v="112"/>
    <x v="0"/>
    <d v="1899-12-30T00:04:20"/>
    <n v="1"/>
  </r>
  <r>
    <x v="3391"/>
    <s v="Dan"/>
    <x v="59"/>
    <d v="1899-12-30T09:15:50"/>
    <d v="2021-03-01T09:15:50"/>
    <x v="3"/>
    <x v="0"/>
    <x v="3"/>
    <x v="0"/>
    <s v="Y"/>
    <n v="55"/>
    <x v="0"/>
    <d v="1899-12-30T00:05:31"/>
    <n v="4"/>
  </r>
  <r>
    <x v="3392"/>
    <s v="Jim"/>
    <x v="59"/>
    <d v="1899-12-30T09:33:07"/>
    <d v="2021-03-01T09:33:07"/>
    <x v="3"/>
    <x v="0"/>
    <x v="3"/>
    <x v="0"/>
    <s v="Y"/>
    <n v="107"/>
    <x v="0"/>
    <d v="1899-12-30T00:03:45"/>
    <n v="5"/>
  </r>
  <r>
    <x v="3393"/>
    <s v="Martha"/>
    <x v="59"/>
    <d v="1899-12-30T09:33:07"/>
    <d v="2021-03-01T09:33:07"/>
    <x v="3"/>
    <x v="0"/>
    <x v="3"/>
    <x v="1"/>
    <s v="N"/>
    <m/>
    <x v="0"/>
    <m/>
    <m/>
  </r>
  <r>
    <x v="3394"/>
    <s v="Diane"/>
    <x v="59"/>
    <d v="1899-12-30T09:57:36"/>
    <d v="2021-03-01T09:57:36"/>
    <x v="3"/>
    <x v="0"/>
    <x v="1"/>
    <x v="1"/>
    <s v="N"/>
    <m/>
    <x v="0"/>
    <m/>
    <m/>
  </r>
  <r>
    <x v="3395"/>
    <s v="Becky"/>
    <x v="59"/>
    <d v="1899-12-30T09:57:36"/>
    <d v="2021-03-01T09:57:36"/>
    <x v="3"/>
    <x v="0"/>
    <x v="3"/>
    <x v="0"/>
    <s v="Y"/>
    <n v="81"/>
    <x v="0"/>
    <d v="1899-12-30T00:05:49"/>
    <n v="4"/>
  </r>
  <r>
    <x v="3396"/>
    <s v="Joe"/>
    <x v="59"/>
    <d v="1899-12-30T10:01:55"/>
    <d v="2021-03-01T10:01:55"/>
    <x v="3"/>
    <x v="1"/>
    <x v="4"/>
    <x v="0"/>
    <s v="N"/>
    <n v="120"/>
    <x v="0"/>
    <d v="1899-12-30T00:02:31"/>
    <n v="4"/>
  </r>
  <r>
    <x v="3397"/>
    <s v="Diane"/>
    <x v="59"/>
    <d v="1899-12-30T10:01:55"/>
    <d v="2021-03-01T10:01:55"/>
    <x v="3"/>
    <x v="1"/>
    <x v="3"/>
    <x v="1"/>
    <s v="N"/>
    <m/>
    <x v="0"/>
    <m/>
    <m/>
  </r>
  <r>
    <x v="3398"/>
    <s v="Becky"/>
    <x v="59"/>
    <d v="1899-12-30T10:33:36"/>
    <d v="2021-03-01T10:33:36"/>
    <x v="3"/>
    <x v="1"/>
    <x v="0"/>
    <x v="1"/>
    <s v="N"/>
    <m/>
    <x v="0"/>
    <m/>
    <m/>
  </r>
  <r>
    <x v="3399"/>
    <s v="Jim"/>
    <x v="59"/>
    <d v="1899-12-30T10:33:36"/>
    <d v="2021-03-01T10:33:36"/>
    <x v="3"/>
    <x v="1"/>
    <x v="1"/>
    <x v="0"/>
    <s v="Y"/>
    <n v="68"/>
    <x v="0"/>
    <d v="1899-12-30T00:01:04"/>
    <n v="3"/>
  </r>
  <r>
    <x v="3400"/>
    <s v="Greg"/>
    <x v="59"/>
    <d v="1899-12-30T11:13:55"/>
    <d v="2021-03-01T11:13:55"/>
    <x v="3"/>
    <x v="2"/>
    <x v="1"/>
    <x v="1"/>
    <s v="N"/>
    <m/>
    <x v="0"/>
    <m/>
    <m/>
  </r>
  <r>
    <x v="3401"/>
    <s v="Stewart"/>
    <x v="59"/>
    <d v="1899-12-30T11:13:55"/>
    <d v="2021-03-01T11:13:55"/>
    <x v="3"/>
    <x v="2"/>
    <x v="2"/>
    <x v="0"/>
    <s v="Y"/>
    <n v="40"/>
    <x v="0"/>
    <d v="1899-12-30T00:01:24"/>
    <n v="4"/>
  </r>
  <r>
    <x v="3402"/>
    <s v="Jim"/>
    <x v="59"/>
    <d v="1899-12-30T12:21:36"/>
    <d v="2021-03-01T12:21:36"/>
    <x v="3"/>
    <x v="3"/>
    <x v="1"/>
    <x v="0"/>
    <s v="Y"/>
    <n v="60"/>
    <x v="0"/>
    <d v="1899-12-30T00:04:47"/>
    <n v="4"/>
  </r>
  <r>
    <x v="3403"/>
    <s v="Jim"/>
    <x v="59"/>
    <d v="1899-12-30T12:21:36"/>
    <d v="2021-03-01T12:21:36"/>
    <x v="3"/>
    <x v="3"/>
    <x v="4"/>
    <x v="0"/>
    <s v="Y"/>
    <n v="53"/>
    <x v="0"/>
    <d v="1899-12-30T00:03:55"/>
    <n v="3"/>
  </r>
  <r>
    <x v="3404"/>
    <s v="Martha"/>
    <x v="59"/>
    <d v="1899-12-30T12:36:00"/>
    <d v="2021-03-01T12:36:00"/>
    <x v="3"/>
    <x v="3"/>
    <x v="0"/>
    <x v="0"/>
    <s v="Y"/>
    <n v="72"/>
    <x v="0"/>
    <d v="1899-12-30T00:02:45"/>
    <n v="3"/>
  </r>
  <r>
    <x v="3405"/>
    <s v="Jim"/>
    <x v="59"/>
    <d v="1899-12-30T12:36:00"/>
    <d v="2021-03-01T12:36:00"/>
    <x v="3"/>
    <x v="3"/>
    <x v="1"/>
    <x v="1"/>
    <s v="N"/>
    <m/>
    <x v="0"/>
    <m/>
    <m/>
  </r>
  <r>
    <x v="3406"/>
    <s v="Greg"/>
    <x v="59"/>
    <d v="1899-12-30T12:46:05"/>
    <d v="2021-03-01T12:46:05"/>
    <x v="3"/>
    <x v="3"/>
    <x v="4"/>
    <x v="0"/>
    <s v="Y"/>
    <n v="100"/>
    <x v="0"/>
    <d v="1899-12-30T00:04:25"/>
    <n v="1"/>
  </r>
  <r>
    <x v="3407"/>
    <s v="Stewart"/>
    <x v="59"/>
    <d v="1899-12-30T12:46:05"/>
    <d v="2021-03-01T12:46:05"/>
    <x v="3"/>
    <x v="3"/>
    <x v="2"/>
    <x v="0"/>
    <s v="Y"/>
    <n v="99"/>
    <x v="0"/>
    <d v="1899-12-30T00:02:23"/>
    <n v="3"/>
  </r>
  <r>
    <x v="3408"/>
    <s v="Becky"/>
    <x v="59"/>
    <d v="1899-12-30T13:06:14"/>
    <d v="2021-03-01T13:06:14"/>
    <x v="3"/>
    <x v="4"/>
    <x v="2"/>
    <x v="0"/>
    <s v="Y"/>
    <n v="96"/>
    <x v="0"/>
    <d v="1899-12-30T00:07:00"/>
    <n v="4"/>
  </r>
  <r>
    <x v="3409"/>
    <s v="Becky"/>
    <x v="59"/>
    <d v="1899-12-30T13:06:14"/>
    <d v="2021-03-01T13:06:14"/>
    <x v="3"/>
    <x v="4"/>
    <x v="2"/>
    <x v="0"/>
    <s v="Y"/>
    <n v="33"/>
    <x v="0"/>
    <d v="1899-12-30T00:02:24"/>
    <n v="2"/>
  </r>
  <r>
    <x v="3410"/>
    <s v="Jim"/>
    <x v="59"/>
    <d v="1899-12-30T13:10:34"/>
    <d v="2021-03-01T13:10:34"/>
    <x v="3"/>
    <x v="4"/>
    <x v="0"/>
    <x v="0"/>
    <s v="Y"/>
    <n v="92"/>
    <x v="0"/>
    <d v="1899-12-30T00:03:39"/>
    <n v="4"/>
  </r>
  <r>
    <x v="3411"/>
    <s v="Greg"/>
    <x v="59"/>
    <d v="1899-12-30T13:10:34"/>
    <d v="2021-03-01T13:10:34"/>
    <x v="3"/>
    <x v="4"/>
    <x v="2"/>
    <x v="0"/>
    <s v="Y"/>
    <n v="96"/>
    <x v="0"/>
    <d v="1899-12-30T00:04:35"/>
    <n v="4"/>
  </r>
  <r>
    <x v="3412"/>
    <s v="Dan"/>
    <x v="59"/>
    <d v="1899-12-30T13:14:53"/>
    <d v="2021-03-01T13:14:53"/>
    <x v="3"/>
    <x v="4"/>
    <x v="0"/>
    <x v="0"/>
    <s v="N"/>
    <n v="116"/>
    <x v="0"/>
    <d v="1899-12-30T00:06:32"/>
    <n v="3"/>
  </r>
  <r>
    <x v="3413"/>
    <s v="Joe"/>
    <x v="59"/>
    <d v="1899-12-30T13:14:53"/>
    <d v="2021-03-01T13:14:53"/>
    <x v="3"/>
    <x v="4"/>
    <x v="4"/>
    <x v="0"/>
    <s v="Y"/>
    <n v="29"/>
    <x v="0"/>
    <d v="1899-12-30T00:05:58"/>
    <n v="5"/>
  </r>
  <r>
    <x v="3414"/>
    <s v="Diane"/>
    <x v="59"/>
    <d v="1899-12-30T13:14:53"/>
    <d v="2021-03-01T13:14:53"/>
    <x v="3"/>
    <x v="4"/>
    <x v="3"/>
    <x v="0"/>
    <s v="Y"/>
    <n v="40"/>
    <x v="0"/>
    <d v="1899-12-30T00:02:02"/>
    <n v="4"/>
  </r>
  <r>
    <x v="3415"/>
    <s v="Becky"/>
    <x v="59"/>
    <d v="1899-12-30T13:14:53"/>
    <d v="2021-03-01T13:14:53"/>
    <x v="3"/>
    <x v="4"/>
    <x v="2"/>
    <x v="0"/>
    <s v="Y"/>
    <n v="62"/>
    <x v="0"/>
    <d v="1899-12-30T00:01:18"/>
    <n v="4"/>
  </r>
  <r>
    <x v="3416"/>
    <s v="Martha"/>
    <x v="59"/>
    <d v="1899-12-30T13:16:19"/>
    <d v="2021-03-01T13:16:19"/>
    <x v="3"/>
    <x v="4"/>
    <x v="2"/>
    <x v="0"/>
    <s v="Y"/>
    <n v="111"/>
    <x v="0"/>
    <d v="1899-12-30T00:02:44"/>
    <n v="1"/>
  </r>
  <r>
    <x v="3417"/>
    <s v="Stewart"/>
    <x v="59"/>
    <d v="1899-12-30T13:16:19"/>
    <d v="2021-03-01T13:16:19"/>
    <x v="3"/>
    <x v="4"/>
    <x v="4"/>
    <x v="0"/>
    <s v="Y"/>
    <n v="66"/>
    <x v="0"/>
    <d v="1899-12-30T00:00:45"/>
    <n v="3"/>
  </r>
  <r>
    <x v="3418"/>
    <s v="Jim"/>
    <x v="59"/>
    <d v="1899-12-30T13:20:38"/>
    <d v="2021-03-01T13:20:38"/>
    <x v="3"/>
    <x v="4"/>
    <x v="2"/>
    <x v="0"/>
    <s v="Y"/>
    <n v="79"/>
    <x v="0"/>
    <d v="1899-12-30T00:03:04"/>
    <n v="3"/>
  </r>
  <r>
    <x v="3419"/>
    <s v="Stewart"/>
    <x v="59"/>
    <d v="1899-12-30T13:20:38"/>
    <d v="2021-03-01T13:20:38"/>
    <x v="3"/>
    <x v="4"/>
    <x v="1"/>
    <x v="1"/>
    <s v="N"/>
    <m/>
    <x v="0"/>
    <m/>
    <m/>
  </r>
  <r>
    <x v="3420"/>
    <s v="Becky"/>
    <x v="59"/>
    <d v="1899-12-30T13:36:29"/>
    <d v="2021-03-01T13:36:29"/>
    <x v="3"/>
    <x v="4"/>
    <x v="2"/>
    <x v="0"/>
    <s v="Y"/>
    <n v="69"/>
    <x v="0"/>
    <d v="1899-12-30T00:00:37"/>
    <n v="5"/>
  </r>
  <r>
    <x v="3421"/>
    <s v="Stewart"/>
    <x v="59"/>
    <d v="1899-12-30T13:36:29"/>
    <d v="2021-03-01T13:36:29"/>
    <x v="3"/>
    <x v="4"/>
    <x v="4"/>
    <x v="0"/>
    <s v="Y"/>
    <n v="49"/>
    <x v="0"/>
    <d v="1899-12-30T00:02:19"/>
    <n v="2"/>
  </r>
  <r>
    <x v="3422"/>
    <s v="Becky"/>
    <x v="59"/>
    <d v="1899-12-30T13:37:55"/>
    <d v="2021-03-01T13:37:55"/>
    <x v="3"/>
    <x v="4"/>
    <x v="4"/>
    <x v="0"/>
    <s v="Y"/>
    <n v="80"/>
    <x v="0"/>
    <d v="1899-12-30T00:04:20"/>
    <n v="4"/>
  </r>
  <r>
    <x v="3423"/>
    <s v="Becky"/>
    <x v="59"/>
    <d v="1899-12-30T13:37:55"/>
    <d v="2021-03-01T13:37:55"/>
    <x v="3"/>
    <x v="4"/>
    <x v="0"/>
    <x v="0"/>
    <s v="Y"/>
    <n v="101"/>
    <x v="0"/>
    <d v="1899-12-30T00:00:49"/>
    <n v="5"/>
  </r>
  <r>
    <x v="3424"/>
    <s v="Becky"/>
    <x v="59"/>
    <d v="1899-12-30T13:58:05"/>
    <d v="2021-03-01T13:58:05"/>
    <x v="3"/>
    <x v="4"/>
    <x v="3"/>
    <x v="0"/>
    <s v="Y"/>
    <n v="99"/>
    <x v="0"/>
    <d v="1899-12-30T00:01:51"/>
    <n v="5"/>
  </r>
  <r>
    <x v="3425"/>
    <s v="Diane"/>
    <x v="59"/>
    <d v="1899-12-30T13:58:05"/>
    <d v="2021-03-01T13:58:05"/>
    <x v="3"/>
    <x v="4"/>
    <x v="4"/>
    <x v="0"/>
    <s v="Y"/>
    <n v="111"/>
    <x v="0"/>
    <d v="1899-12-30T00:05:09"/>
    <n v="5"/>
  </r>
  <r>
    <x v="3426"/>
    <s v="Joe"/>
    <x v="59"/>
    <d v="1899-12-30T14:12:29"/>
    <d v="2021-03-01T14:12:29"/>
    <x v="3"/>
    <x v="5"/>
    <x v="0"/>
    <x v="1"/>
    <s v="N"/>
    <m/>
    <x v="0"/>
    <m/>
    <m/>
  </r>
  <r>
    <x v="3427"/>
    <s v="Martha"/>
    <x v="59"/>
    <d v="1899-12-30T14:12:29"/>
    <d v="2021-03-01T14:12:29"/>
    <x v="3"/>
    <x v="5"/>
    <x v="3"/>
    <x v="0"/>
    <s v="Y"/>
    <n v="83"/>
    <x v="0"/>
    <d v="1899-12-30T00:05:04"/>
    <n v="5"/>
  </r>
  <r>
    <x v="3428"/>
    <s v="Greg"/>
    <x v="59"/>
    <d v="1899-12-30T14:15:22"/>
    <d v="2021-03-01T14:15:22"/>
    <x v="3"/>
    <x v="5"/>
    <x v="3"/>
    <x v="0"/>
    <s v="Y"/>
    <n v="14"/>
    <x v="1"/>
    <d v="1899-12-30T00:04:58"/>
    <n v="3"/>
  </r>
  <r>
    <x v="3429"/>
    <s v="Stewart"/>
    <x v="59"/>
    <d v="1899-12-30T14:15:22"/>
    <d v="2021-03-01T14:15:22"/>
    <x v="3"/>
    <x v="5"/>
    <x v="0"/>
    <x v="0"/>
    <s v="Y"/>
    <n v="120"/>
    <x v="0"/>
    <d v="1899-12-30T00:05:49"/>
    <n v="3"/>
  </r>
  <r>
    <x v="3430"/>
    <s v="Becky"/>
    <x v="59"/>
    <d v="1899-12-30T14:16:48"/>
    <d v="2021-03-01T14:16:48"/>
    <x v="3"/>
    <x v="5"/>
    <x v="0"/>
    <x v="0"/>
    <s v="Y"/>
    <n v="38"/>
    <x v="0"/>
    <d v="1899-12-30T00:02:00"/>
    <n v="5"/>
  </r>
  <r>
    <x v="3431"/>
    <s v="Dan"/>
    <x v="59"/>
    <d v="1899-12-30T14:16:48"/>
    <d v="2021-03-01T14:16:48"/>
    <x v="3"/>
    <x v="5"/>
    <x v="4"/>
    <x v="0"/>
    <s v="N"/>
    <n v="88"/>
    <x v="0"/>
    <d v="1899-12-30T00:05:18"/>
    <n v="1"/>
  </r>
  <r>
    <x v="3432"/>
    <s v="Becky"/>
    <x v="59"/>
    <d v="1899-12-30T14:51:22"/>
    <d v="2021-03-01T14:51:22"/>
    <x v="3"/>
    <x v="5"/>
    <x v="4"/>
    <x v="0"/>
    <s v="Y"/>
    <n v="26"/>
    <x v="0"/>
    <d v="1899-12-30T00:01:18"/>
    <n v="4"/>
  </r>
  <r>
    <x v="3433"/>
    <s v="Dan"/>
    <x v="59"/>
    <d v="1899-12-30T14:51:22"/>
    <d v="2021-03-01T14:51:22"/>
    <x v="3"/>
    <x v="5"/>
    <x v="1"/>
    <x v="0"/>
    <s v="Y"/>
    <n v="94"/>
    <x v="0"/>
    <d v="1899-12-30T00:03:21"/>
    <n v="3"/>
  </r>
  <r>
    <x v="3434"/>
    <s v="Jim"/>
    <x v="59"/>
    <d v="1899-12-30T14:55:41"/>
    <d v="2021-03-01T14:55:41"/>
    <x v="3"/>
    <x v="5"/>
    <x v="3"/>
    <x v="1"/>
    <s v="N"/>
    <m/>
    <x v="0"/>
    <m/>
    <m/>
  </r>
  <r>
    <x v="3435"/>
    <s v="Dan"/>
    <x v="59"/>
    <d v="1899-12-30T14:55:41"/>
    <d v="2021-03-01T14:55:41"/>
    <x v="3"/>
    <x v="5"/>
    <x v="2"/>
    <x v="1"/>
    <s v="N"/>
    <m/>
    <x v="0"/>
    <m/>
    <m/>
  </r>
  <r>
    <x v="3436"/>
    <s v="Stewart"/>
    <x v="59"/>
    <d v="1899-12-30T15:33:07"/>
    <d v="2021-03-01T15:33:07"/>
    <x v="3"/>
    <x v="6"/>
    <x v="3"/>
    <x v="0"/>
    <s v="Y"/>
    <n v="29"/>
    <x v="0"/>
    <d v="1899-12-30T00:06:16"/>
    <n v="3"/>
  </r>
  <r>
    <x v="3437"/>
    <s v="Joe"/>
    <x v="59"/>
    <d v="1899-12-30T15:33:07"/>
    <d v="2021-03-01T15:33:07"/>
    <x v="3"/>
    <x v="6"/>
    <x v="3"/>
    <x v="0"/>
    <s v="Y"/>
    <n v="49"/>
    <x v="0"/>
    <d v="1899-12-30T00:02:52"/>
    <n v="3"/>
  </r>
  <r>
    <x v="3438"/>
    <s v="Diane"/>
    <x v="59"/>
    <d v="1899-12-30T15:43:12"/>
    <d v="2021-03-01T15:43:12"/>
    <x v="3"/>
    <x v="6"/>
    <x v="1"/>
    <x v="0"/>
    <s v="Y"/>
    <n v="104"/>
    <x v="0"/>
    <d v="1899-12-30T00:02:17"/>
    <n v="4"/>
  </r>
  <r>
    <x v="3439"/>
    <s v="Becky"/>
    <x v="59"/>
    <d v="1899-12-30T15:43:12"/>
    <d v="2021-03-01T15:43:12"/>
    <x v="3"/>
    <x v="6"/>
    <x v="3"/>
    <x v="0"/>
    <s v="Y"/>
    <n v="62"/>
    <x v="0"/>
    <d v="1899-12-30T00:01:03"/>
    <n v="4"/>
  </r>
  <r>
    <x v="3440"/>
    <s v="Becky"/>
    <x v="59"/>
    <d v="1899-12-30T16:33:36"/>
    <d v="2021-03-01T16:33:36"/>
    <x v="3"/>
    <x v="8"/>
    <x v="3"/>
    <x v="0"/>
    <s v="Y"/>
    <n v="123"/>
    <x v="0"/>
    <d v="1899-12-30T00:05:42"/>
    <n v="5"/>
  </r>
  <r>
    <x v="3441"/>
    <s v="Becky"/>
    <x v="59"/>
    <d v="1899-12-30T16:33:36"/>
    <d v="2021-03-01T16:33:36"/>
    <x v="3"/>
    <x v="8"/>
    <x v="0"/>
    <x v="0"/>
    <s v="Y"/>
    <n v="114"/>
    <x v="0"/>
    <d v="1899-12-30T00:01:52"/>
    <n v="5"/>
  </r>
  <r>
    <x v="3442"/>
    <s v="Becky"/>
    <x v="59"/>
    <d v="1899-12-30T16:48:00"/>
    <d v="2021-03-01T16:48:00"/>
    <x v="3"/>
    <x v="8"/>
    <x v="0"/>
    <x v="1"/>
    <s v="N"/>
    <m/>
    <x v="0"/>
    <m/>
    <m/>
  </r>
  <r>
    <x v="3443"/>
    <s v="Jim"/>
    <x v="59"/>
    <d v="1899-12-30T16:48:00"/>
    <d v="2021-03-01T16:48:00"/>
    <x v="3"/>
    <x v="8"/>
    <x v="3"/>
    <x v="0"/>
    <s v="Y"/>
    <n v="12"/>
    <x v="1"/>
    <d v="1899-12-30T00:05:18"/>
    <n v="4"/>
  </r>
  <r>
    <x v="3444"/>
    <s v="Jim"/>
    <x v="59"/>
    <d v="1899-12-30T17:03:50"/>
    <d v="2021-03-01T17:03:50"/>
    <x v="3"/>
    <x v="7"/>
    <x v="2"/>
    <x v="0"/>
    <s v="Y"/>
    <n v="116"/>
    <x v="0"/>
    <d v="1899-12-30T00:00:32"/>
    <n v="4"/>
  </r>
  <r>
    <x v="3445"/>
    <s v="Becky"/>
    <x v="59"/>
    <d v="1899-12-30T17:03:50"/>
    <d v="2021-03-01T17:03:50"/>
    <x v="3"/>
    <x v="7"/>
    <x v="2"/>
    <x v="0"/>
    <s v="Y"/>
    <n v="31"/>
    <x v="0"/>
    <d v="1899-12-30T00:01:40"/>
    <n v="2"/>
  </r>
  <r>
    <x v="3446"/>
    <s v="Becky"/>
    <x v="59"/>
    <d v="1899-12-30T17:16:48"/>
    <d v="2021-03-01T17:16:48"/>
    <x v="3"/>
    <x v="7"/>
    <x v="0"/>
    <x v="1"/>
    <s v="N"/>
    <m/>
    <x v="0"/>
    <m/>
    <m/>
  </r>
  <r>
    <x v="3447"/>
    <s v="Martha"/>
    <x v="59"/>
    <d v="1899-12-30T17:16:48"/>
    <d v="2021-03-01T17:16:48"/>
    <x v="3"/>
    <x v="7"/>
    <x v="2"/>
    <x v="0"/>
    <s v="Y"/>
    <n v="39"/>
    <x v="0"/>
    <d v="1899-12-30T00:01:52"/>
    <n v="3"/>
  </r>
  <r>
    <x v="3448"/>
    <s v="Dan"/>
    <x v="59"/>
    <d v="1899-12-30T17:38:24"/>
    <d v="2021-03-01T17:38:24"/>
    <x v="3"/>
    <x v="7"/>
    <x v="2"/>
    <x v="0"/>
    <s v="Y"/>
    <n v="81"/>
    <x v="0"/>
    <d v="1899-12-30T00:05:22"/>
    <n v="4"/>
  </r>
  <r>
    <x v="3449"/>
    <s v="Martha"/>
    <x v="59"/>
    <d v="1899-12-30T17:38:24"/>
    <d v="2021-03-01T17:38:24"/>
    <x v="3"/>
    <x v="7"/>
    <x v="2"/>
    <x v="0"/>
    <s v="Y"/>
    <n v="34"/>
    <x v="0"/>
    <d v="1899-12-30T00:02:50"/>
    <n v="3"/>
  </r>
  <r>
    <x v="3450"/>
    <s v="Jim"/>
    <x v="59"/>
    <d v="1899-12-30T17:39:50"/>
    <d v="2021-03-01T17:39:50"/>
    <x v="3"/>
    <x v="7"/>
    <x v="1"/>
    <x v="0"/>
    <s v="Y"/>
    <n v="33"/>
    <x v="0"/>
    <d v="1899-12-30T00:03:27"/>
    <n v="3"/>
  </r>
  <r>
    <x v="3451"/>
    <s v="Becky"/>
    <x v="59"/>
    <d v="1899-12-30T17:39:50"/>
    <d v="2021-03-01T17:39:50"/>
    <x v="3"/>
    <x v="7"/>
    <x v="1"/>
    <x v="0"/>
    <s v="Y"/>
    <n v="37"/>
    <x v="0"/>
    <d v="1899-12-30T00:01:14"/>
    <n v="1"/>
  </r>
  <r>
    <x v="3452"/>
    <s v="Joe"/>
    <x v="60"/>
    <d v="1899-12-30T09:24:29"/>
    <d v="2021-03-02T09:24:29"/>
    <x v="4"/>
    <x v="0"/>
    <x v="4"/>
    <x v="0"/>
    <s v="Y"/>
    <n v="92"/>
    <x v="0"/>
    <d v="1899-12-30T00:01:59"/>
    <n v="2"/>
  </r>
  <r>
    <x v="3453"/>
    <s v="Jim"/>
    <x v="60"/>
    <d v="1899-12-30T09:24:29"/>
    <d v="2021-03-02T09:24:29"/>
    <x v="4"/>
    <x v="0"/>
    <x v="2"/>
    <x v="0"/>
    <s v="Y"/>
    <n v="117"/>
    <x v="0"/>
    <d v="1899-12-30T00:05:59"/>
    <n v="3"/>
  </r>
  <r>
    <x v="3454"/>
    <s v="Becky"/>
    <x v="60"/>
    <d v="1899-12-30T09:44:38"/>
    <d v="2021-03-02T09:44:38"/>
    <x v="4"/>
    <x v="0"/>
    <x v="4"/>
    <x v="0"/>
    <s v="Y"/>
    <n v="53"/>
    <x v="0"/>
    <d v="1899-12-30T00:04:32"/>
    <n v="3"/>
  </r>
  <r>
    <x v="3455"/>
    <s v="Stewart"/>
    <x v="60"/>
    <d v="1899-12-30T09:44:38"/>
    <d v="2021-03-02T09:44:38"/>
    <x v="4"/>
    <x v="0"/>
    <x v="0"/>
    <x v="0"/>
    <s v="Y"/>
    <n v="61"/>
    <x v="0"/>
    <d v="1899-12-30T00:04:22"/>
    <n v="5"/>
  </r>
  <r>
    <x v="3456"/>
    <s v="Martha"/>
    <x v="60"/>
    <d v="1899-12-30T10:09:07"/>
    <d v="2021-03-02T10:09:07"/>
    <x v="4"/>
    <x v="1"/>
    <x v="1"/>
    <x v="1"/>
    <s v="N"/>
    <m/>
    <x v="0"/>
    <m/>
    <m/>
  </r>
  <r>
    <x v="3457"/>
    <s v="Diane"/>
    <x v="60"/>
    <d v="1899-12-30T10:09:07"/>
    <d v="2021-03-02T10:09:07"/>
    <x v="4"/>
    <x v="1"/>
    <x v="1"/>
    <x v="0"/>
    <s v="Y"/>
    <n v="72"/>
    <x v="0"/>
    <d v="1899-12-30T00:02:17"/>
    <n v="4"/>
  </r>
  <r>
    <x v="3458"/>
    <s v="Dan"/>
    <x v="60"/>
    <d v="1899-12-30T10:23:31"/>
    <d v="2021-03-02T10:23:31"/>
    <x v="4"/>
    <x v="1"/>
    <x v="2"/>
    <x v="1"/>
    <s v="N"/>
    <m/>
    <x v="0"/>
    <m/>
    <m/>
  </r>
  <r>
    <x v="3459"/>
    <s v="Greg"/>
    <x v="60"/>
    <d v="1899-12-30T10:23:31"/>
    <d v="2021-03-02T10:23:31"/>
    <x v="4"/>
    <x v="1"/>
    <x v="3"/>
    <x v="0"/>
    <s v="Y"/>
    <n v="82"/>
    <x v="0"/>
    <d v="1899-12-30T00:05:20"/>
    <n v="3"/>
  </r>
  <r>
    <x v="3460"/>
    <s v="Martha"/>
    <x v="60"/>
    <d v="1899-12-30T10:29:17"/>
    <d v="2021-03-02T10:29:17"/>
    <x v="4"/>
    <x v="1"/>
    <x v="2"/>
    <x v="0"/>
    <s v="Y"/>
    <n v="86"/>
    <x v="0"/>
    <d v="1899-12-30T00:05:15"/>
    <n v="5"/>
  </r>
  <r>
    <x v="3461"/>
    <s v="Becky"/>
    <x v="60"/>
    <d v="1899-12-30T10:29:17"/>
    <d v="2021-03-02T10:29:17"/>
    <x v="4"/>
    <x v="1"/>
    <x v="1"/>
    <x v="0"/>
    <s v="Y"/>
    <n v="35"/>
    <x v="0"/>
    <d v="1899-12-30T00:02:14"/>
    <n v="3"/>
  </r>
  <r>
    <x v="3462"/>
    <s v="Greg"/>
    <x v="60"/>
    <d v="1899-12-30T10:49:26"/>
    <d v="2021-03-02T10:49:26"/>
    <x v="4"/>
    <x v="1"/>
    <x v="4"/>
    <x v="0"/>
    <s v="Y"/>
    <n v="83"/>
    <x v="0"/>
    <d v="1899-12-30T00:01:55"/>
    <n v="5"/>
  </r>
  <r>
    <x v="3463"/>
    <s v="Stewart"/>
    <x v="60"/>
    <d v="1899-12-30T10:49:26"/>
    <d v="2021-03-02T10:49:26"/>
    <x v="4"/>
    <x v="1"/>
    <x v="3"/>
    <x v="0"/>
    <s v="Y"/>
    <n v="42"/>
    <x v="0"/>
    <d v="1899-12-30T00:03:44"/>
    <n v="4"/>
  </r>
  <r>
    <x v="3464"/>
    <s v="Stewart"/>
    <x v="60"/>
    <d v="1899-12-30T10:53:46"/>
    <d v="2021-03-02T10:53:46"/>
    <x v="4"/>
    <x v="1"/>
    <x v="1"/>
    <x v="0"/>
    <s v="Y"/>
    <n v="82"/>
    <x v="0"/>
    <d v="1899-12-30T00:05:42"/>
    <n v="5"/>
  </r>
  <r>
    <x v="3465"/>
    <s v="Diane"/>
    <x v="60"/>
    <d v="1899-12-30T10:53:46"/>
    <d v="2021-03-02T10:53:46"/>
    <x v="4"/>
    <x v="1"/>
    <x v="1"/>
    <x v="0"/>
    <s v="Y"/>
    <n v="42"/>
    <x v="0"/>
    <d v="1899-12-30T00:00:49"/>
    <n v="4"/>
  </r>
  <r>
    <x v="3466"/>
    <s v="Jim"/>
    <x v="60"/>
    <d v="1899-12-30T11:08:10"/>
    <d v="2021-03-02T11:08:10"/>
    <x v="4"/>
    <x v="2"/>
    <x v="4"/>
    <x v="1"/>
    <s v="N"/>
    <m/>
    <x v="0"/>
    <m/>
    <m/>
  </r>
  <r>
    <x v="3467"/>
    <s v="Becky"/>
    <x v="60"/>
    <d v="1899-12-30T11:08:10"/>
    <d v="2021-03-02T11:08:10"/>
    <x v="4"/>
    <x v="2"/>
    <x v="2"/>
    <x v="0"/>
    <s v="N"/>
    <n v="106"/>
    <x v="0"/>
    <d v="1899-12-30T00:06:48"/>
    <n v="3"/>
  </r>
  <r>
    <x v="3468"/>
    <s v="Joe"/>
    <x v="60"/>
    <d v="1899-12-30T11:32:38"/>
    <d v="2021-03-02T11:32:38"/>
    <x v="4"/>
    <x v="2"/>
    <x v="4"/>
    <x v="1"/>
    <s v="N"/>
    <m/>
    <x v="0"/>
    <m/>
    <m/>
  </r>
  <r>
    <x v="3469"/>
    <s v="Diane"/>
    <x v="60"/>
    <d v="1899-12-30T11:32:38"/>
    <d v="2021-03-02T11:32:38"/>
    <x v="4"/>
    <x v="2"/>
    <x v="3"/>
    <x v="0"/>
    <s v="Y"/>
    <n v="89"/>
    <x v="0"/>
    <d v="1899-12-30T00:00:52"/>
    <n v="4"/>
  </r>
  <r>
    <x v="3470"/>
    <s v="Greg"/>
    <x v="60"/>
    <d v="1899-12-30T11:57:07"/>
    <d v="2021-03-02T11:57:07"/>
    <x v="4"/>
    <x v="2"/>
    <x v="1"/>
    <x v="1"/>
    <s v="N"/>
    <m/>
    <x v="0"/>
    <m/>
    <m/>
  </r>
  <r>
    <x v="3471"/>
    <s v="Becky"/>
    <x v="60"/>
    <d v="1899-12-30T11:57:07"/>
    <d v="2021-03-02T11:57:07"/>
    <x v="4"/>
    <x v="2"/>
    <x v="2"/>
    <x v="0"/>
    <s v="Y"/>
    <n v="112"/>
    <x v="0"/>
    <d v="1899-12-30T00:05:13"/>
    <n v="4"/>
  </r>
  <r>
    <x v="3472"/>
    <s v="Martha"/>
    <x v="60"/>
    <d v="1899-12-30T12:47:31"/>
    <d v="2021-03-02T12:47:31"/>
    <x v="4"/>
    <x v="3"/>
    <x v="2"/>
    <x v="0"/>
    <s v="Y"/>
    <n v="67"/>
    <x v="0"/>
    <d v="1899-12-30T00:04:36"/>
    <n v="4"/>
  </r>
  <r>
    <x v="3473"/>
    <s v="Joe"/>
    <x v="60"/>
    <d v="1899-12-30T12:47:31"/>
    <d v="2021-03-02T12:47:31"/>
    <x v="4"/>
    <x v="3"/>
    <x v="4"/>
    <x v="0"/>
    <s v="Y"/>
    <n v="77"/>
    <x v="0"/>
    <d v="1899-12-30T00:03:57"/>
    <n v="5"/>
  </r>
  <r>
    <x v="3474"/>
    <s v="Martha"/>
    <x v="60"/>
    <d v="1899-12-30T13:00:29"/>
    <d v="2021-03-02T13:00:29"/>
    <x v="4"/>
    <x v="4"/>
    <x v="2"/>
    <x v="0"/>
    <s v="Y"/>
    <n v="54"/>
    <x v="0"/>
    <d v="1899-12-30T00:01:04"/>
    <n v="5"/>
  </r>
  <r>
    <x v="3475"/>
    <s v="Dan"/>
    <x v="60"/>
    <d v="1899-12-30T13:00:29"/>
    <d v="2021-03-02T13:00:29"/>
    <x v="4"/>
    <x v="4"/>
    <x v="3"/>
    <x v="0"/>
    <s v="Y"/>
    <n v="83"/>
    <x v="0"/>
    <d v="1899-12-30T00:03:17"/>
    <n v="3"/>
  </r>
  <r>
    <x v="3476"/>
    <s v="Jim"/>
    <x v="60"/>
    <d v="1899-12-30T13:07:41"/>
    <d v="2021-03-02T13:07:41"/>
    <x v="4"/>
    <x v="4"/>
    <x v="2"/>
    <x v="0"/>
    <s v="Y"/>
    <n v="56"/>
    <x v="0"/>
    <d v="1899-12-30T00:05:00"/>
    <n v="5"/>
  </r>
  <r>
    <x v="3477"/>
    <s v="Greg"/>
    <x v="60"/>
    <d v="1899-12-30T13:07:41"/>
    <d v="2021-03-02T13:07:41"/>
    <x v="4"/>
    <x v="4"/>
    <x v="2"/>
    <x v="1"/>
    <s v="N"/>
    <m/>
    <x v="0"/>
    <m/>
    <m/>
  </r>
  <r>
    <x v="3478"/>
    <s v="Joe"/>
    <x v="60"/>
    <d v="1899-12-30T13:23:31"/>
    <d v="2021-03-02T13:23:31"/>
    <x v="4"/>
    <x v="4"/>
    <x v="2"/>
    <x v="0"/>
    <s v="N"/>
    <n v="19"/>
    <x v="1"/>
    <d v="1899-12-30T00:06:25"/>
    <n v="2"/>
  </r>
  <r>
    <x v="3479"/>
    <s v="Stewart"/>
    <x v="60"/>
    <d v="1899-12-30T13:23:31"/>
    <d v="2021-03-02T13:23:31"/>
    <x v="4"/>
    <x v="4"/>
    <x v="3"/>
    <x v="1"/>
    <s v="N"/>
    <m/>
    <x v="0"/>
    <m/>
    <m/>
  </r>
  <r>
    <x v="3480"/>
    <s v="Martha"/>
    <x v="60"/>
    <d v="1899-12-30T13:23:31"/>
    <d v="2021-03-02T13:23:31"/>
    <x v="4"/>
    <x v="4"/>
    <x v="4"/>
    <x v="0"/>
    <s v="Y"/>
    <n v="47"/>
    <x v="0"/>
    <d v="1899-12-30T00:04:09"/>
    <n v="4"/>
  </r>
  <r>
    <x v="3481"/>
    <s v="Diane"/>
    <x v="60"/>
    <d v="1899-12-30T13:23:31"/>
    <d v="2021-03-02T13:23:31"/>
    <x v="4"/>
    <x v="4"/>
    <x v="2"/>
    <x v="0"/>
    <s v="Y"/>
    <n v="89"/>
    <x v="0"/>
    <d v="1899-12-30T00:03:23"/>
    <n v="1"/>
  </r>
  <r>
    <x v="3482"/>
    <s v="Joe"/>
    <x v="60"/>
    <d v="1899-12-30T14:06:43"/>
    <d v="2021-03-02T14:06:43"/>
    <x v="4"/>
    <x v="5"/>
    <x v="4"/>
    <x v="1"/>
    <s v="N"/>
    <m/>
    <x v="0"/>
    <m/>
    <m/>
  </r>
  <r>
    <x v="3483"/>
    <s v="Martha"/>
    <x v="60"/>
    <d v="1899-12-30T14:06:43"/>
    <d v="2021-03-02T14:06:43"/>
    <x v="4"/>
    <x v="5"/>
    <x v="2"/>
    <x v="0"/>
    <s v="Y"/>
    <n v="44"/>
    <x v="0"/>
    <d v="1899-12-30T00:04:30"/>
    <n v="3"/>
  </r>
  <r>
    <x v="3484"/>
    <s v="Becky"/>
    <x v="60"/>
    <d v="1899-12-30T14:34:05"/>
    <d v="2021-03-02T14:34:05"/>
    <x v="4"/>
    <x v="5"/>
    <x v="2"/>
    <x v="0"/>
    <s v="Y"/>
    <n v="91"/>
    <x v="0"/>
    <d v="1899-12-30T00:03:43"/>
    <n v="5"/>
  </r>
  <r>
    <x v="3485"/>
    <s v="Greg"/>
    <x v="60"/>
    <d v="1899-12-30T14:34:05"/>
    <d v="2021-03-02T14:34:05"/>
    <x v="4"/>
    <x v="5"/>
    <x v="3"/>
    <x v="1"/>
    <s v="N"/>
    <m/>
    <x v="0"/>
    <m/>
    <m/>
  </r>
  <r>
    <x v="3486"/>
    <s v="Martha"/>
    <x v="60"/>
    <d v="1899-12-30T14:57:07"/>
    <d v="2021-03-02T14:57:07"/>
    <x v="4"/>
    <x v="5"/>
    <x v="2"/>
    <x v="0"/>
    <s v="Y"/>
    <n v="75"/>
    <x v="0"/>
    <d v="1899-12-30T00:06:59"/>
    <n v="4"/>
  </r>
  <r>
    <x v="3487"/>
    <s v="Greg"/>
    <x v="60"/>
    <d v="1899-12-30T14:57:07"/>
    <d v="2021-03-02T14:57:07"/>
    <x v="4"/>
    <x v="5"/>
    <x v="0"/>
    <x v="0"/>
    <s v="Y"/>
    <n v="62"/>
    <x v="0"/>
    <d v="1899-12-30T00:03:39"/>
    <n v="4"/>
  </r>
  <r>
    <x v="3488"/>
    <s v="Martha"/>
    <x v="60"/>
    <d v="1899-12-30T15:23:02"/>
    <d v="2021-03-02T15:23:02"/>
    <x v="4"/>
    <x v="6"/>
    <x v="1"/>
    <x v="0"/>
    <s v="Y"/>
    <n v="31"/>
    <x v="0"/>
    <d v="1899-12-30T00:00:30"/>
    <n v="4"/>
  </r>
  <r>
    <x v="3489"/>
    <s v="Dan"/>
    <x v="60"/>
    <d v="1899-12-30T15:23:02"/>
    <d v="2021-03-02T15:23:02"/>
    <x v="4"/>
    <x v="6"/>
    <x v="0"/>
    <x v="0"/>
    <s v="Y"/>
    <n v="122"/>
    <x v="0"/>
    <d v="1899-12-30T00:04:24"/>
    <n v="1"/>
  </r>
  <r>
    <x v="3490"/>
    <s v="Martha"/>
    <x v="60"/>
    <d v="1899-12-30T15:36:00"/>
    <d v="2021-03-02T15:36:00"/>
    <x v="4"/>
    <x v="6"/>
    <x v="1"/>
    <x v="0"/>
    <s v="Y"/>
    <n v="80"/>
    <x v="0"/>
    <d v="1899-12-30T00:02:15"/>
    <n v="3"/>
  </r>
  <r>
    <x v="3491"/>
    <s v="Joe"/>
    <x v="60"/>
    <d v="1899-12-30T15:36:00"/>
    <d v="2021-03-02T15:36:00"/>
    <x v="4"/>
    <x v="6"/>
    <x v="1"/>
    <x v="0"/>
    <s v="Y"/>
    <n v="105"/>
    <x v="0"/>
    <d v="1899-12-30T00:05:31"/>
    <n v="5"/>
  </r>
  <r>
    <x v="3492"/>
    <s v="Greg"/>
    <x v="60"/>
    <d v="1899-12-30T15:47:31"/>
    <d v="2021-03-02T15:47:31"/>
    <x v="4"/>
    <x v="6"/>
    <x v="4"/>
    <x v="0"/>
    <s v="Y"/>
    <n v="91"/>
    <x v="0"/>
    <d v="1899-12-30T00:06:39"/>
    <n v="3"/>
  </r>
  <r>
    <x v="3493"/>
    <s v="Greg"/>
    <x v="60"/>
    <d v="1899-12-30T15:47:31"/>
    <d v="2021-03-02T15:47:31"/>
    <x v="4"/>
    <x v="6"/>
    <x v="2"/>
    <x v="0"/>
    <s v="Y"/>
    <n v="66"/>
    <x v="0"/>
    <d v="1899-12-30T00:01:22"/>
    <n v="4"/>
  </r>
  <r>
    <x v="3494"/>
    <s v="Martha"/>
    <x v="60"/>
    <d v="1899-12-30T16:07:41"/>
    <d v="2021-03-02T16:07:41"/>
    <x v="4"/>
    <x v="8"/>
    <x v="2"/>
    <x v="0"/>
    <s v="Y"/>
    <n v="26"/>
    <x v="0"/>
    <d v="1899-12-30T00:02:30"/>
    <n v="3"/>
  </r>
  <r>
    <x v="3495"/>
    <s v="Stewart"/>
    <x v="60"/>
    <d v="1899-12-30T16:07:41"/>
    <d v="2021-03-02T16:07:41"/>
    <x v="4"/>
    <x v="8"/>
    <x v="2"/>
    <x v="0"/>
    <s v="Y"/>
    <n v="72"/>
    <x v="0"/>
    <d v="1899-12-30T00:03:07"/>
    <n v="3"/>
  </r>
  <r>
    <x v="3496"/>
    <s v="Diane"/>
    <x v="60"/>
    <d v="1899-12-30T16:26:24"/>
    <d v="2021-03-02T16:26:24"/>
    <x v="4"/>
    <x v="8"/>
    <x v="1"/>
    <x v="0"/>
    <s v="Y"/>
    <n v="71"/>
    <x v="0"/>
    <d v="1899-12-30T00:05:27"/>
    <n v="3"/>
  </r>
  <r>
    <x v="3497"/>
    <s v="Jim"/>
    <x v="60"/>
    <d v="1899-12-30T16:26:24"/>
    <d v="2021-03-02T16:26:24"/>
    <x v="4"/>
    <x v="8"/>
    <x v="0"/>
    <x v="1"/>
    <s v="N"/>
    <m/>
    <x v="0"/>
    <m/>
    <m/>
  </r>
  <r>
    <x v="3498"/>
    <s v="Joe"/>
    <x v="60"/>
    <d v="1899-12-30T16:30:43"/>
    <d v="2021-03-02T16:30:43"/>
    <x v="4"/>
    <x v="8"/>
    <x v="3"/>
    <x v="0"/>
    <s v="Y"/>
    <n v="115"/>
    <x v="0"/>
    <d v="1899-12-30T00:04:43"/>
    <n v="5"/>
  </r>
  <r>
    <x v="3499"/>
    <s v="Dan"/>
    <x v="60"/>
    <d v="1899-12-30T16:30:43"/>
    <d v="2021-03-02T16:30:43"/>
    <x v="4"/>
    <x v="8"/>
    <x v="3"/>
    <x v="0"/>
    <s v="Y"/>
    <n v="69"/>
    <x v="0"/>
    <d v="1899-12-30T00:03:39"/>
    <n v="2"/>
  </r>
  <r>
    <x v="3500"/>
    <s v="Joe"/>
    <x v="60"/>
    <d v="1899-12-30T16:30:43"/>
    <d v="2021-03-02T16:30:43"/>
    <x v="4"/>
    <x v="8"/>
    <x v="4"/>
    <x v="0"/>
    <s v="Y"/>
    <n v="30"/>
    <x v="0"/>
    <d v="1899-12-30T00:01:29"/>
    <n v="4"/>
  </r>
  <r>
    <x v="3501"/>
    <s v="Stewart"/>
    <x v="60"/>
    <d v="1899-12-30T16:30:43"/>
    <d v="2021-03-02T16:30:43"/>
    <x v="4"/>
    <x v="8"/>
    <x v="0"/>
    <x v="0"/>
    <s v="Y"/>
    <n v="85"/>
    <x v="0"/>
    <d v="1899-12-30T00:03:51"/>
    <n v="3"/>
  </r>
  <r>
    <x v="3502"/>
    <s v="Greg"/>
    <x v="60"/>
    <d v="1899-12-30T16:42:14"/>
    <d v="2021-03-02T16:42:14"/>
    <x v="4"/>
    <x v="8"/>
    <x v="3"/>
    <x v="0"/>
    <s v="Y"/>
    <n v="54"/>
    <x v="0"/>
    <d v="1899-12-30T00:06:13"/>
    <n v="4"/>
  </r>
  <r>
    <x v="3503"/>
    <s v="Dan"/>
    <x v="60"/>
    <d v="1899-12-30T16:42:14"/>
    <d v="2021-03-02T16:42:14"/>
    <x v="4"/>
    <x v="8"/>
    <x v="0"/>
    <x v="1"/>
    <s v="N"/>
    <m/>
    <x v="0"/>
    <m/>
    <m/>
  </r>
  <r>
    <x v="3504"/>
    <s v="Diane"/>
    <x v="60"/>
    <d v="1899-12-30T16:45:07"/>
    <d v="2021-03-02T16:45:07"/>
    <x v="4"/>
    <x v="8"/>
    <x v="0"/>
    <x v="1"/>
    <s v="N"/>
    <m/>
    <x v="0"/>
    <m/>
    <m/>
  </r>
  <r>
    <x v="3505"/>
    <s v="Jim"/>
    <x v="60"/>
    <d v="1899-12-30T16:45:07"/>
    <d v="2021-03-02T16:45:07"/>
    <x v="4"/>
    <x v="8"/>
    <x v="1"/>
    <x v="0"/>
    <s v="Y"/>
    <n v="122"/>
    <x v="0"/>
    <d v="1899-12-30T00:02:31"/>
    <n v="3"/>
  </r>
  <r>
    <x v="3506"/>
    <s v="Martha"/>
    <x v="60"/>
    <d v="1899-12-30T17:05:17"/>
    <d v="2021-03-02T17:05:17"/>
    <x v="4"/>
    <x v="7"/>
    <x v="3"/>
    <x v="0"/>
    <s v="Y"/>
    <n v="48"/>
    <x v="0"/>
    <d v="1899-12-30T00:05:48"/>
    <n v="3"/>
  </r>
  <r>
    <x v="3507"/>
    <s v="Jim"/>
    <x v="60"/>
    <d v="1899-12-30T17:05:17"/>
    <d v="2021-03-02T17:05:17"/>
    <x v="4"/>
    <x v="7"/>
    <x v="4"/>
    <x v="0"/>
    <s v="Y"/>
    <n v="13"/>
    <x v="1"/>
    <d v="1899-12-30T00:02:57"/>
    <n v="1"/>
  </r>
  <r>
    <x v="3508"/>
    <s v="Diane"/>
    <x v="60"/>
    <d v="1899-12-30T17:12:29"/>
    <d v="2021-03-02T17:12:29"/>
    <x v="4"/>
    <x v="7"/>
    <x v="3"/>
    <x v="0"/>
    <s v="Y"/>
    <n v="23"/>
    <x v="0"/>
    <d v="1899-12-30T00:03:39"/>
    <n v="3"/>
  </r>
  <r>
    <x v="3509"/>
    <s v="Dan"/>
    <x v="60"/>
    <d v="1899-12-30T17:12:29"/>
    <d v="2021-03-02T17:12:29"/>
    <x v="4"/>
    <x v="7"/>
    <x v="4"/>
    <x v="0"/>
    <s v="Y"/>
    <n v="13"/>
    <x v="1"/>
    <d v="1899-12-30T00:01:09"/>
    <n v="4"/>
  </r>
  <r>
    <x v="3510"/>
    <s v="Jim"/>
    <x v="60"/>
    <d v="1899-12-30T17:18:14"/>
    <d v="2021-03-02T17:18:14"/>
    <x v="4"/>
    <x v="7"/>
    <x v="1"/>
    <x v="0"/>
    <s v="Y"/>
    <n v="16"/>
    <x v="1"/>
    <d v="1899-12-30T00:05:58"/>
    <n v="3"/>
  </r>
  <r>
    <x v="3511"/>
    <s v="Jim"/>
    <x v="60"/>
    <d v="1899-12-30T17:18:14"/>
    <d v="2021-03-02T17:18:14"/>
    <x v="4"/>
    <x v="7"/>
    <x v="0"/>
    <x v="1"/>
    <s v="N"/>
    <m/>
    <x v="0"/>
    <m/>
    <m/>
  </r>
  <r>
    <x v="3512"/>
    <s v="Becky"/>
    <x v="60"/>
    <d v="1899-12-30T17:29:46"/>
    <d v="2021-03-02T17:29:46"/>
    <x v="4"/>
    <x v="7"/>
    <x v="4"/>
    <x v="0"/>
    <s v="Y"/>
    <n v="49"/>
    <x v="0"/>
    <d v="1899-12-30T00:04:15"/>
    <n v="3"/>
  </r>
  <r>
    <x v="3513"/>
    <s v="Becky"/>
    <x v="60"/>
    <d v="1899-12-30T17:29:46"/>
    <d v="2021-03-02T17:29:46"/>
    <x v="4"/>
    <x v="7"/>
    <x v="0"/>
    <x v="0"/>
    <s v="Y"/>
    <n v="76"/>
    <x v="0"/>
    <d v="1899-12-30T00:01:25"/>
    <n v="3"/>
  </r>
  <r>
    <x v="3514"/>
    <s v="Greg"/>
    <x v="61"/>
    <d v="1899-12-30T09:20:10"/>
    <d v="2021-03-03T09:20:10"/>
    <x v="5"/>
    <x v="0"/>
    <x v="1"/>
    <x v="1"/>
    <s v="N"/>
    <m/>
    <x v="0"/>
    <m/>
    <m/>
  </r>
  <r>
    <x v="3515"/>
    <s v="Diane"/>
    <x v="61"/>
    <d v="1899-12-30T09:20:10"/>
    <d v="2021-03-03T09:20:10"/>
    <x v="5"/>
    <x v="0"/>
    <x v="4"/>
    <x v="1"/>
    <s v="N"/>
    <m/>
    <x v="0"/>
    <m/>
    <m/>
  </r>
  <r>
    <x v="3516"/>
    <s v="Joe"/>
    <x v="61"/>
    <d v="1899-12-30T09:40:19"/>
    <d v="2021-03-03T09:40:19"/>
    <x v="5"/>
    <x v="0"/>
    <x v="0"/>
    <x v="1"/>
    <s v="N"/>
    <m/>
    <x v="0"/>
    <m/>
    <m/>
  </r>
  <r>
    <x v="3517"/>
    <s v="Jim"/>
    <x v="61"/>
    <d v="1899-12-30T09:40:19"/>
    <d v="2021-03-03T09:40:19"/>
    <x v="5"/>
    <x v="0"/>
    <x v="4"/>
    <x v="0"/>
    <s v="Y"/>
    <n v="43"/>
    <x v="0"/>
    <d v="1899-12-30T00:03:15"/>
    <n v="4"/>
  </r>
  <r>
    <x v="3518"/>
    <s v="Martha"/>
    <x v="61"/>
    <d v="1899-12-30T09:50:24"/>
    <d v="2021-03-03T09:50:24"/>
    <x v="5"/>
    <x v="0"/>
    <x v="4"/>
    <x v="0"/>
    <s v="N"/>
    <n v="118"/>
    <x v="0"/>
    <d v="1899-12-30T00:01:27"/>
    <n v="5"/>
  </r>
  <r>
    <x v="3519"/>
    <s v="Greg"/>
    <x v="61"/>
    <d v="1899-12-30T09:50:24"/>
    <d v="2021-03-03T09:50:24"/>
    <x v="5"/>
    <x v="0"/>
    <x v="4"/>
    <x v="0"/>
    <s v="Y"/>
    <n v="57"/>
    <x v="0"/>
    <d v="1899-12-30T00:01:25"/>
    <n v="4"/>
  </r>
  <r>
    <x v="3520"/>
    <s v="Diane"/>
    <x v="61"/>
    <d v="1899-12-30T10:07:41"/>
    <d v="2021-03-03T10:07:41"/>
    <x v="5"/>
    <x v="1"/>
    <x v="3"/>
    <x v="0"/>
    <s v="Y"/>
    <n v="79"/>
    <x v="0"/>
    <d v="1899-12-30T00:03:37"/>
    <n v="2"/>
  </r>
  <r>
    <x v="3521"/>
    <s v="Dan"/>
    <x v="61"/>
    <d v="1899-12-30T10:07:41"/>
    <d v="2021-03-03T10:07:41"/>
    <x v="5"/>
    <x v="1"/>
    <x v="0"/>
    <x v="0"/>
    <s v="Y"/>
    <n v="39"/>
    <x v="0"/>
    <d v="1899-12-30T00:06:50"/>
    <n v="1"/>
  </r>
  <r>
    <x v="3522"/>
    <s v="Greg"/>
    <x v="61"/>
    <d v="1899-12-30T10:43:41"/>
    <d v="2021-03-03T10:43:41"/>
    <x v="5"/>
    <x v="1"/>
    <x v="3"/>
    <x v="0"/>
    <s v="Y"/>
    <n v="62"/>
    <x v="0"/>
    <d v="1899-12-30T00:02:50"/>
    <n v="4"/>
  </r>
  <r>
    <x v="3523"/>
    <s v="Stewart"/>
    <x v="61"/>
    <d v="1899-12-30T10:43:41"/>
    <d v="2021-03-03T10:43:41"/>
    <x v="5"/>
    <x v="1"/>
    <x v="0"/>
    <x v="0"/>
    <s v="Y"/>
    <n v="38"/>
    <x v="0"/>
    <d v="1899-12-30T00:03:56"/>
    <n v="5"/>
  </r>
  <r>
    <x v="3524"/>
    <s v="Stewart"/>
    <x v="61"/>
    <d v="1899-12-30T10:59:31"/>
    <d v="2021-03-03T10:59:31"/>
    <x v="5"/>
    <x v="1"/>
    <x v="1"/>
    <x v="0"/>
    <s v="Y"/>
    <n v="85"/>
    <x v="0"/>
    <d v="1899-12-30T00:05:37"/>
    <n v="5"/>
  </r>
  <r>
    <x v="3525"/>
    <s v="Joe"/>
    <x v="61"/>
    <d v="1899-12-30T10:59:31"/>
    <d v="2021-03-03T10:59:31"/>
    <x v="5"/>
    <x v="1"/>
    <x v="4"/>
    <x v="0"/>
    <s v="Y"/>
    <n v="56"/>
    <x v="0"/>
    <d v="1899-12-30T00:02:48"/>
    <n v="1"/>
  </r>
  <r>
    <x v="3526"/>
    <s v="Diane"/>
    <x v="61"/>
    <d v="1899-12-30T12:41:46"/>
    <d v="2021-03-03T12:41:46"/>
    <x v="5"/>
    <x v="3"/>
    <x v="0"/>
    <x v="0"/>
    <s v="Y"/>
    <n v="38"/>
    <x v="0"/>
    <d v="1899-12-30T00:05:23"/>
    <n v="1"/>
  </r>
  <r>
    <x v="3527"/>
    <s v="Martha"/>
    <x v="61"/>
    <d v="1899-12-30T12:41:46"/>
    <d v="2021-03-03T12:41:46"/>
    <x v="5"/>
    <x v="3"/>
    <x v="0"/>
    <x v="0"/>
    <s v="Y"/>
    <n v="21"/>
    <x v="0"/>
    <d v="1899-12-30T00:03:07"/>
    <n v="3"/>
  </r>
  <r>
    <x v="3528"/>
    <s v="Stewart"/>
    <x v="61"/>
    <d v="1899-12-30T12:57:36"/>
    <d v="2021-03-03T12:57:36"/>
    <x v="5"/>
    <x v="3"/>
    <x v="4"/>
    <x v="0"/>
    <s v="Y"/>
    <n v="36"/>
    <x v="0"/>
    <d v="1899-12-30T00:04:04"/>
    <n v="1"/>
  </r>
  <r>
    <x v="3529"/>
    <s v="Greg"/>
    <x v="61"/>
    <d v="1899-12-30T12:57:36"/>
    <d v="2021-03-03T12:57:36"/>
    <x v="5"/>
    <x v="3"/>
    <x v="2"/>
    <x v="0"/>
    <s v="Y"/>
    <n v="77"/>
    <x v="0"/>
    <d v="1899-12-30T00:06:14"/>
    <n v="4"/>
  </r>
  <r>
    <x v="3530"/>
    <s v="Greg"/>
    <x v="61"/>
    <d v="1899-12-30T13:12:00"/>
    <d v="2021-03-03T13:12:00"/>
    <x v="5"/>
    <x v="4"/>
    <x v="0"/>
    <x v="0"/>
    <s v="Y"/>
    <n v="64"/>
    <x v="0"/>
    <d v="1899-12-30T00:01:21"/>
    <n v="3"/>
  </r>
  <r>
    <x v="3531"/>
    <s v="Stewart"/>
    <x v="61"/>
    <d v="1899-12-30T13:12:00"/>
    <d v="2021-03-03T13:12:00"/>
    <x v="5"/>
    <x v="4"/>
    <x v="2"/>
    <x v="1"/>
    <s v="N"/>
    <m/>
    <x v="0"/>
    <m/>
    <m/>
  </r>
  <r>
    <x v="3532"/>
    <s v="Diane"/>
    <x v="61"/>
    <d v="1899-12-30T13:16:19"/>
    <d v="2021-03-03T13:16:19"/>
    <x v="5"/>
    <x v="4"/>
    <x v="1"/>
    <x v="0"/>
    <s v="Y"/>
    <n v="72"/>
    <x v="0"/>
    <d v="1899-12-30T00:02:13"/>
    <n v="1"/>
  </r>
  <r>
    <x v="3533"/>
    <s v="Stewart"/>
    <x v="61"/>
    <d v="1899-12-30T13:16:19"/>
    <d v="2021-03-03T13:16:19"/>
    <x v="5"/>
    <x v="4"/>
    <x v="1"/>
    <x v="0"/>
    <s v="Y"/>
    <n v="84"/>
    <x v="0"/>
    <d v="1899-12-30T00:01:41"/>
    <n v="4"/>
  </r>
  <r>
    <x v="3534"/>
    <s v="Becky"/>
    <x v="61"/>
    <d v="1899-12-30T14:08:10"/>
    <d v="2021-03-03T14:08:10"/>
    <x v="5"/>
    <x v="5"/>
    <x v="0"/>
    <x v="0"/>
    <s v="Y"/>
    <n v="59"/>
    <x v="0"/>
    <d v="1899-12-30T00:02:54"/>
    <n v="5"/>
  </r>
  <r>
    <x v="3535"/>
    <s v="Diane"/>
    <x v="61"/>
    <d v="1899-12-30T14:08:10"/>
    <d v="2021-03-03T14:08:10"/>
    <x v="5"/>
    <x v="5"/>
    <x v="3"/>
    <x v="0"/>
    <s v="Y"/>
    <n v="10"/>
    <x v="1"/>
    <d v="1899-12-30T00:06:04"/>
    <n v="3"/>
  </r>
  <r>
    <x v="3536"/>
    <s v="Martha"/>
    <x v="61"/>
    <d v="1899-12-30T14:44:10"/>
    <d v="2021-03-03T14:44:10"/>
    <x v="5"/>
    <x v="5"/>
    <x v="3"/>
    <x v="0"/>
    <s v="Y"/>
    <n v="64"/>
    <x v="0"/>
    <d v="1899-12-30T00:06:06"/>
    <n v="1"/>
  </r>
  <r>
    <x v="3537"/>
    <s v="Dan"/>
    <x v="61"/>
    <d v="1899-12-30T14:44:10"/>
    <d v="2021-03-03T14:44:10"/>
    <x v="5"/>
    <x v="5"/>
    <x v="3"/>
    <x v="0"/>
    <s v="Y"/>
    <n v="60"/>
    <x v="0"/>
    <d v="1899-12-30T00:00:52"/>
    <n v="3"/>
  </r>
  <r>
    <x v="3538"/>
    <s v="Jim"/>
    <x v="61"/>
    <d v="1899-12-30T14:51:22"/>
    <d v="2021-03-03T14:51:22"/>
    <x v="5"/>
    <x v="5"/>
    <x v="3"/>
    <x v="0"/>
    <s v="Y"/>
    <n v="44"/>
    <x v="0"/>
    <d v="1899-12-30T00:06:11"/>
    <n v="4"/>
  </r>
  <r>
    <x v="3539"/>
    <s v="Dan"/>
    <x v="61"/>
    <d v="1899-12-30T14:51:22"/>
    <d v="2021-03-03T14:51:22"/>
    <x v="5"/>
    <x v="5"/>
    <x v="3"/>
    <x v="1"/>
    <s v="N"/>
    <m/>
    <x v="0"/>
    <m/>
    <m/>
  </r>
  <r>
    <x v="3540"/>
    <s v="Becky"/>
    <x v="61"/>
    <d v="1899-12-30T15:25:55"/>
    <d v="2021-03-03T15:25:55"/>
    <x v="5"/>
    <x v="6"/>
    <x v="2"/>
    <x v="1"/>
    <s v="N"/>
    <m/>
    <x v="0"/>
    <m/>
    <m/>
  </r>
  <r>
    <x v="3541"/>
    <s v="Joe"/>
    <x v="61"/>
    <d v="1899-12-30T15:25:55"/>
    <d v="2021-03-03T15:25:55"/>
    <x v="5"/>
    <x v="6"/>
    <x v="0"/>
    <x v="0"/>
    <s v="Y"/>
    <n v="70"/>
    <x v="0"/>
    <d v="1899-12-30T00:00:46"/>
    <n v="2"/>
  </r>
  <r>
    <x v="3542"/>
    <s v="Joe"/>
    <x v="61"/>
    <d v="1899-12-30T15:27:22"/>
    <d v="2021-03-03T15:27:22"/>
    <x v="5"/>
    <x v="6"/>
    <x v="2"/>
    <x v="1"/>
    <s v="N"/>
    <m/>
    <x v="0"/>
    <m/>
    <m/>
  </r>
  <r>
    <x v="3543"/>
    <s v="Joe"/>
    <x v="61"/>
    <d v="1899-12-30T15:27:22"/>
    <d v="2021-03-03T15:27:22"/>
    <x v="5"/>
    <x v="6"/>
    <x v="0"/>
    <x v="0"/>
    <s v="Y"/>
    <n v="51"/>
    <x v="0"/>
    <d v="1899-12-30T00:04:04"/>
    <n v="1"/>
  </r>
  <r>
    <x v="3544"/>
    <s v="Jim"/>
    <x v="61"/>
    <d v="1899-12-30T15:31:41"/>
    <d v="2021-03-03T15:31:41"/>
    <x v="5"/>
    <x v="6"/>
    <x v="1"/>
    <x v="0"/>
    <s v="Y"/>
    <n v="31"/>
    <x v="0"/>
    <d v="1899-12-30T00:04:30"/>
    <n v="5"/>
  </r>
  <r>
    <x v="3545"/>
    <s v="Martha"/>
    <x v="61"/>
    <d v="1899-12-30T15:31:41"/>
    <d v="2021-03-03T15:31:41"/>
    <x v="5"/>
    <x v="6"/>
    <x v="1"/>
    <x v="0"/>
    <s v="Y"/>
    <n v="51"/>
    <x v="0"/>
    <d v="1899-12-30T00:06:26"/>
    <n v="4"/>
  </r>
  <r>
    <x v="3546"/>
    <s v="Becky"/>
    <x v="61"/>
    <d v="1899-12-30T15:33:07"/>
    <d v="2021-03-03T15:33:07"/>
    <x v="5"/>
    <x v="6"/>
    <x v="2"/>
    <x v="0"/>
    <s v="Y"/>
    <n v="36"/>
    <x v="0"/>
    <d v="1899-12-30T00:01:43"/>
    <n v="1"/>
  </r>
  <r>
    <x v="3547"/>
    <s v="Dan"/>
    <x v="61"/>
    <d v="1899-12-30T15:33:07"/>
    <d v="2021-03-03T15:33:07"/>
    <x v="5"/>
    <x v="6"/>
    <x v="3"/>
    <x v="0"/>
    <s v="N"/>
    <n v="18"/>
    <x v="1"/>
    <d v="1899-12-30T00:06:13"/>
    <n v="5"/>
  </r>
  <r>
    <x v="3548"/>
    <s v="Martha"/>
    <x v="61"/>
    <d v="1899-12-30T15:50:24"/>
    <d v="2021-03-03T15:50:24"/>
    <x v="5"/>
    <x v="6"/>
    <x v="2"/>
    <x v="0"/>
    <s v="Y"/>
    <n v="89"/>
    <x v="0"/>
    <d v="1899-12-30T00:05:08"/>
    <n v="4"/>
  </r>
  <r>
    <x v="3549"/>
    <s v="Diane"/>
    <x v="61"/>
    <d v="1899-12-30T15:50:24"/>
    <d v="2021-03-03T15:50:24"/>
    <x v="5"/>
    <x v="6"/>
    <x v="1"/>
    <x v="0"/>
    <s v="Y"/>
    <n v="90"/>
    <x v="0"/>
    <d v="1899-12-30T00:03:35"/>
    <n v="5"/>
  </r>
  <r>
    <x v="3550"/>
    <s v="Becky"/>
    <x v="61"/>
    <d v="1899-12-30T15:54:43"/>
    <d v="2021-03-03T15:54:43"/>
    <x v="5"/>
    <x v="6"/>
    <x v="2"/>
    <x v="0"/>
    <s v="Y"/>
    <n v="94"/>
    <x v="0"/>
    <d v="1899-12-30T00:03:12"/>
    <n v="4"/>
  </r>
  <r>
    <x v="3551"/>
    <s v="Stewart"/>
    <x v="61"/>
    <d v="1899-12-30T15:54:43"/>
    <d v="2021-03-03T15:54:43"/>
    <x v="5"/>
    <x v="6"/>
    <x v="2"/>
    <x v="0"/>
    <s v="Y"/>
    <n v="121"/>
    <x v="0"/>
    <d v="1899-12-30T00:01:39"/>
    <n v="5"/>
  </r>
  <r>
    <x v="3552"/>
    <s v="Stewart"/>
    <x v="61"/>
    <d v="1899-12-30T15:56:10"/>
    <d v="2021-03-03T15:56:10"/>
    <x v="5"/>
    <x v="6"/>
    <x v="3"/>
    <x v="0"/>
    <s v="Y"/>
    <n v="46"/>
    <x v="0"/>
    <d v="1899-12-30T00:04:30"/>
    <n v="2"/>
  </r>
  <r>
    <x v="3553"/>
    <s v="Martha"/>
    <x v="61"/>
    <d v="1899-12-30T15:56:10"/>
    <d v="2021-03-03T15:56:10"/>
    <x v="5"/>
    <x v="6"/>
    <x v="0"/>
    <x v="0"/>
    <s v="Y"/>
    <n v="117"/>
    <x v="0"/>
    <d v="1899-12-30T00:03:52"/>
    <n v="1"/>
  </r>
  <r>
    <x v="3554"/>
    <s v="Diane"/>
    <x v="61"/>
    <d v="1899-12-30T15:57:36"/>
    <d v="2021-03-03T15:57:36"/>
    <x v="5"/>
    <x v="6"/>
    <x v="4"/>
    <x v="0"/>
    <s v="N"/>
    <n v="114"/>
    <x v="0"/>
    <d v="1899-12-30T00:03:06"/>
    <n v="5"/>
  </r>
  <r>
    <x v="3555"/>
    <s v="Diane"/>
    <x v="61"/>
    <d v="1899-12-30T15:57:36"/>
    <d v="2021-03-03T15:57:36"/>
    <x v="5"/>
    <x v="6"/>
    <x v="0"/>
    <x v="1"/>
    <s v="N"/>
    <m/>
    <x v="0"/>
    <m/>
    <m/>
  </r>
  <r>
    <x v="3556"/>
    <s v="Martha"/>
    <x v="61"/>
    <d v="1899-12-30T16:06:14"/>
    <d v="2021-03-03T16:06:14"/>
    <x v="5"/>
    <x v="8"/>
    <x v="2"/>
    <x v="0"/>
    <s v="Y"/>
    <n v="65"/>
    <x v="0"/>
    <d v="1899-12-30T00:04:43"/>
    <n v="4"/>
  </r>
  <r>
    <x v="3557"/>
    <s v="Diane"/>
    <x v="61"/>
    <d v="1899-12-30T16:06:14"/>
    <d v="2021-03-03T16:06:14"/>
    <x v="5"/>
    <x v="8"/>
    <x v="3"/>
    <x v="1"/>
    <s v="N"/>
    <m/>
    <x v="0"/>
    <m/>
    <m/>
  </r>
  <r>
    <x v="3558"/>
    <s v="Becky"/>
    <x v="61"/>
    <d v="1899-12-30T16:17:46"/>
    <d v="2021-03-03T16:17:46"/>
    <x v="5"/>
    <x v="8"/>
    <x v="1"/>
    <x v="0"/>
    <s v="Y"/>
    <n v="100"/>
    <x v="0"/>
    <d v="1899-12-30T00:00:33"/>
    <n v="1"/>
  </r>
  <r>
    <x v="3559"/>
    <s v="Dan"/>
    <x v="61"/>
    <d v="1899-12-30T16:17:46"/>
    <d v="2021-03-03T16:17:46"/>
    <x v="5"/>
    <x v="8"/>
    <x v="3"/>
    <x v="0"/>
    <s v="Y"/>
    <n v="67"/>
    <x v="0"/>
    <d v="1899-12-30T00:06:35"/>
    <n v="4"/>
  </r>
  <r>
    <x v="3560"/>
    <s v="Dan"/>
    <x v="61"/>
    <d v="1899-12-30T16:17:46"/>
    <d v="2021-03-03T16:17:46"/>
    <x v="5"/>
    <x v="8"/>
    <x v="0"/>
    <x v="0"/>
    <s v="Y"/>
    <n v="46"/>
    <x v="0"/>
    <d v="1899-12-30T00:02:04"/>
    <n v="4"/>
  </r>
  <r>
    <x v="3561"/>
    <s v="Diane"/>
    <x v="61"/>
    <d v="1899-12-30T16:17:46"/>
    <d v="2021-03-03T16:17:46"/>
    <x v="5"/>
    <x v="8"/>
    <x v="1"/>
    <x v="0"/>
    <s v="Y"/>
    <n v="117"/>
    <x v="0"/>
    <d v="1899-12-30T00:02:24"/>
    <n v="3"/>
  </r>
  <r>
    <x v="3562"/>
    <s v="Greg"/>
    <x v="61"/>
    <d v="1899-12-30T17:13:55"/>
    <d v="2021-03-03T17:13:55"/>
    <x v="5"/>
    <x v="7"/>
    <x v="1"/>
    <x v="0"/>
    <s v="Y"/>
    <n v="34"/>
    <x v="0"/>
    <d v="1899-12-30T00:06:36"/>
    <n v="4"/>
  </r>
  <r>
    <x v="3563"/>
    <s v="Greg"/>
    <x v="61"/>
    <d v="1899-12-30T17:13:55"/>
    <d v="2021-03-03T17:13:55"/>
    <x v="5"/>
    <x v="7"/>
    <x v="2"/>
    <x v="0"/>
    <s v="Y"/>
    <n v="120"/>
    <x v="0"/>
    <d v="1899-12-30T00:02:23"/>
    <n v="4"/>
  </r>
  <r>
    <x v="3564"/>
    <s v="Jim"/>
    <x v="61"/>
    <d v="1899-12-30T17:22:34"/>
    <d v="2021-03-03T17:22:34"/>
    <x v="5"/>
    <x v="7"/>
    <x v="0"/>
    <x v="0"/>
    <s v="Y"/>
    <n v="67"/>
    <x v="0"/>
    <d v="1899-12-30T00:02:13"/>
    <n v="4"/>
  </r>
  <r>
    <x v="3565"/>
    <s v="Jim"/>
    <x v="61"/>
    <d v="1899-12-30T17:22:34"/>
    <d v="2021-03-03T17:22:34"/>
    <x v="5"/>
    <x v="7"/>
    <x v="4"/>
    <x v="0"/>
    <s v="N"/>
    <n v="44"/>
    <x v="0"/>
    <d v="1899-12-30T00:03:29"/>
    <n v="2"/>
  </r>
  <r>
    <x v="3566"/>
    <s v="Martha"/>
    <x v="62"/>
    <d v="1899-12-30T09:40:19"/>
    <d v="2021-03-04T09:40:19"/>
    <x v="6"/>
    <x v="0"/>
    <x v="3"/>
    <x v="0"/>
    <s v="Y"/>
    <n v="91"/>
    <x v="0"/>
    <d v="1899-12-30T00:05:07"/>
    <n v="2"/>
  </r>
  <r>
    <x v="3567"/>
    <s v="Stewart"/>
    <x v="62"/>
    <d v="1899-12-30T09:40:19"/>
    <d v="2021-03-04T09:40:19"/>
    <x v="6"/>
    <x v="0"/>
    <x v="2"/>
    <x v="0"/>
    <s v="Y"/>
    <n v="44"/>
    <x v="0"/>
    <d v="1899-12-30T00:04:42"/>
    <n v="4"/>
  </r>
  <r>
    <x v="3568"/>
    <s v="Diane"/>
    <x v="62"/>
    <d v="1899-12-30T09:43:12"/>
    <d v="2021-03-04T09:43:12"/>
    <x v="6"/>
    <x v="0"/>
    <x v="1"/>
    <x v="1"/>
    <s v="N"/>
    <m/>
    <x v="0"/>
    <m/>
    <m/>
  </r>
  <r>
    <x v="3569"/>
    <s v="Jim"/>
    <x v="62"/>
    <d v="1899-12-30T09:43:12"/>
    <d v="2021-03-04T09:43:12"/>
    <x v="6"/>
    <x v="0"/>
    <x v="0"/>
    <x v="0"/>
    <s v="N"/>
    <n v="24"/>
    <x v="0"/>
    <d v="1899-12-30T00:02:02"/>
    <n v="5"/>
  </r>
  <r>
    <x v="3570"/>
    <s v="Dan"/>
    <x v="62"/>
    <d v="1899-12-30T09:44:38"/>
    <d v="2021-03-04T09:44:38"/>
    <x v="6"/>
    <x v="0"/>
    <x v="0"/>
    <x v="0"/>
    <s v="Y"/>
    <n v="11"/>
    <x v="1"/>
    <d v="1899-12-30T00:03:59"/>
    <n v="3"/>
  </r>
  <r>
    <x v="3571"/>
    <s v="Martha"/>
    <x v="62"/>
    <d v="1899-12-30T09:44:38"/>
    <d v="2021-03-04T09:44:38"/>
    <x v="6"/>
    <x v="0"/>
    <x v="3"/>
    <x v="0"/>
    <s v="Y"/>
    <n v="75"/>
    <x v="0"/>
    <d v="1899-12-30T00:03:23"/>
    <n v="4"/>
  </r>
  <r>
    <x v="3572"/>
    <s v="Joe"/>
    <x v="62"/>
    <d v="1899-12-30T09:47:31"/>
    <d v="2021-03-04T09:47:31"/>
    <x v="6"/>
    <x v="0"/>
    <x v="4"/>
    <x v="0"/>
    <s v="Y"/>
    <n v="58"/>
    <x v="0"/>
    <d v="1899-12-30T00:03:06"/>
    <n v="2"/>
  </r>
  <r>
    <x v="3573"/>
    <s v="Martha"/>
    <x v="62"/>
    <d v="1899-12-30T09:47:31"/>
    <d v="2021-03-04T09:47:31"/>
    <x v="6"/>
    <x v="0"/>
    <x v="3"/>
    <x v="0"/>
    <s v="Y"/>
    <n v="123"/>
    <x v="0"/>
    <d v="1899-12-30T00:05:00"/>
    <n v="5"/>
  </r>
  <r>
    <x v="3574"/>
    <s v="Dan"/>
    <x v="62"/>
    <d v="1899-12-30T09:54:43"/>
    <d v="2021-03-04T09:54:43"/>
    <x v="6"/>
    <x v="0"/>
    <x v="3"/>
    <x v="1"/>
    <s v="N"/>
    <m/>
    <x v="0"/>
    <m/>
    <m/>
  </r>
  <r>
    <x v="3575"/>
    <s v="Joe"/>
    <x v="62"/>
    <d v="1899-12-30T09:54:43"/>
    <d v="2021-03-04T09:54:43"/>
    <x v="6"/>
    <x v="0"/>
    <x v="2"/>
    <x v="1"/>
    <s v="N"/>
    <m/>
    <x v="0"/>
    <m/>
    <m/>
  </r>
  <r>
    <x v="3576"/>
    <s v="Greg"/>
    <x v="62"/>
    <d v="1899-12-30T10:10:34"/>
    <d v="2021-03-04T10:10:34"/>
    <x v="6"/>
    <x v="1"/>
    <x v="3"/>
    <x v="0"/>
    <s v="Y"/>
    <n v="45"/>
    <x v="0"/>
    <d v="1899-12-30T00:05:09"/>
    <n v="1"/>
  </r>
  <r>
    <x v="3577"/>
    <s v="Martha"/>
    <x v="62"/>
    <d v="1899-12-30T10:10:34"/>
    <d v="2021-03-04T10:10:34"/>
    <x v="6"/>
    <x v="1"/>
    <x v="2"/>
    <x v="0"/>
    <s v="Y"/>
    <n v="38"/>
    <x v="0"/>
    <d v="1899-12-30T00:00:57"/>
    <n v="3"/>
  </r>
  <r>
    <x v="3578"/>
    <s v="Stewart"/>
    <x v="62"/>
    <d v="1899-12-30T10:19:12"/>
    <d v="2021-03-04T10:19:12"/>
    <x v="6"/>
    <x v="1"/>
    <x v="0"/>
    <x v="0"/>
    <s v="Y"/>
    <n v="37"/>
    <x v="0"/>
    <d v="1899-12-30T00:04:09"/>
    <n v="4"/>
  </r>
  <r>
    <x v="3579"/>
    <s v="Diane"/>
    <x v="62"/>
    <d v="1899-12-30T10:19:12"/>
    <d v="2021-03-04T10:19:12"/>
    <x v="6"/>
    <x v="1"/>
    <x v="4"/>
    <x v="0"/>
    <s v="Y"/>
    <n v="90"/>
    <x v="0"/>
    <d v="1899-12-30T00:02:00"/>
    <n v="4"/>
  </r>
  <r>
    <x v="3580"/>
    <s v="Dan"/>
    <x v="62"/>
    <d v="1899-12-30T10:30:43"/>
    <d v="2021-03-04T10:30:43"/>
    <x v="6"/>
    <x v="1"/>
    <x v="4"/>
    <x v="0"/>
    <s v="Y"/>
    <n v="90"/>
    <x v="0"/>
    <d v="1899-12-30T00:03:53"/>
    <n v="3"/>
  </r>
  <r>
    <x v="3581"/>
    <s v="Greg"/>
    <x v="62"/>
    <d v="1899-12-30T10:30:43"/>
    <d v="2021-03-04T10:30:43"/>
    <x v="6"/>
    <x v="1"/>
    <x v="3"/>
    <x v="1"/>
    <s v="N"/>
    <m/>
    <x v="0"/>
    <m/>
    <m/>
  </r>
  <r>
    <x v="3582"/>
    <s v="Jim"/>
    <x v="62"/>
    <d v="1899-12-30T10:43:41"/>
    <d v="2021-03-04T10:43:41"/>
    <x v="6"/>
    <x v="1"/>
    <x v="4"/>
    <x v="0"/>
    <s v="Y"/>
    <n v="74"/>
    <x v="0"/>
    <d v="1899-12-30T00:03:30"/>
    <n v="3"/>
  </r>
  <r>
    <x v="3583"/>
    <s v="Martha"/>
    <x v="62"/>
    <d v="1899-12-30T10:43:41"/>
    <d v="2021-03-04T10:43:41"/>
    <x v="6"/>
    <x v="1"/>
    <x v="4"/>
    <x v="1"/>
    <s v="N"/>
    <m/>
    <x v="0"/>
    <m/>
    <m/>
  </r>
  <r>
    <x v="3584"/>
    <s v="Diane"/>
    <x v="62"/>
    <d v="1899-12-30T10:59:31"/>
    <d v="2021-03-04T10:59:31"/>
    <x v="6"/>
    <x v="1"/>
    <x v="1"/>
    <x v="0"/>
    <s v="N"/>
    <n v="101"/>
    <x v="0"/>
    <d v="1899-12-30T00:02:25"/>
    <n v="4"/>
  </r>
  <r>
    <x v="3585"/>
    <s v="Joe"/>
    <x v="62"/>
    <d v="1899-12-30T10:59:31"/>
    <d v="2021-03-04T10:59:31"/>
    <x v="6"/>
    <x v="1"/>
    <x v="3"/>
    <x v="1"/>
    <s v="N"/>
    <m/>
    <x v="0"/>
    <m/>
    <m/>
  </r>
  <r>
    <x v="3586"/>
    <s v="Greg"/>
    <x v="62"/>
    <d v="1899-12-30T11:09:36"/>
    <d v="2021-03-04T11:09:36"/>
    <x v="6"/>
    <x v="2"/>
    <x v="0"/>
    <x v="0"/>
    <s v="Y"/>
    <n v="105"/>
    <x v="0"/>
    <d v="1899-12-30T00:05:34"/>
    <n v="4"/>
  </r>
  <r>
    <x v="3587"/>
    <s v="Stewart"/>
    <x v="62"/>
    <d v="1899-12-30T11:09:36"/>
    <d v="2021-03-04T11:09:36"/>
    <x v="6"/>
    <x v="2"/>
    <x v="4"/>
    <x v="0"/>
    <s v="Y"/>
    <n v="11"/>
    <x v="1"/>
    <d v="1899-12-30T00:02:09"/>
    <n v="1"/>
  </r>
  <r>
    <x v="3588"/>
    <s v="Becky"/>
    <x v="62"/>
    <d v="1899-12-30T11:11:02"/>
    <d v="2021-03-04T11:11:02"/>
    <x v="6"/>
    <x v="2"/>
    <x v="3"/>
    <x v="1"/>
    <s v="N"/>
    <m/>
    <x v="0"/>
    <m/>
    <m/>
  </r>
  <r>
    <x v="3589"/>
    <s v="Diane"/>
    <x v="62"/>
    <d v="1899-12-30T11:11:02"/>
    <d v="2021-03-04T11:11:02"/>
    <x v="6"/>
    <x v="2"/>
    <x v="1"/>
    <x v="0"/>
    <s v="Y"/>
    <n v="89"/>
    <x v="0"/>
    <d v="1899-12-30T00:05:03"/>
    <n v="3"/>
  </r>
  <r>
    <x v="3590"/>
    <s v="Becky"/>
    <x v="62"/>
    <d v="1899-12-30T11:32:38"/>
    <d v="2021-03-04T11:32:38"/>
    <x v="6"/>
    <x v="2"/>
    <x v="0"/>
    <x v="0"/>
    <s v="Y"/>
    <n v="90"/>
    <x v="0"/>
    <d v="1899-12-30T00:02:23"/>
    <n v="3"/>
  </r>
  <r>
    <x v="3591"/>
    <s v="Becky"/>
    <x v="62"/>
    <d v="1899-12-30T11:32:38"/>
    <d v="2021-03-04T11:32:38"/>
    <x v="6"/>
    <x v="2"/>
    <x v="1"/>
    <x v="0"/>
    <s v="Y"/>
    <n v="106"/>
    <x v="0"/>
    <d v="1899-12-30T00:04:40"/>
    <n v="5"/>
  </r>
  <r>
    <x v="3592"/>
    <s v="Greg"/>
    <x v="62"/>
    <d v="1899-12-30T11:36:58"/>
    <d v="2021-03-04T11:36:58"/>
    <x v="6"/>
    <x v="2"/>
    <x v="1"/>
    <x v="0"/>
    <s v="Y"/>
    <n v="113"/>
    <x v="0"/>
    <d v="1899-12-30T00:03:32"/>
    <n v="4"/>
  </r>
  <r>
    <x v="3593"/>
    <s v="Jim"/>
    <x v="62"/>
    <d v="1899-12-30T11:36:58"/>
    <d v="2021-03-04T11:36:58"/>
    <x v="6"/>
    <x v="2"/>
    <x v="4"/>
    <x v="0"/>
    <s v="Y"/>
    <n v="44"/>
    <x v="0"/>
    <d v="1899-12-30T00:03:01"/>
    <n v="5"/>
  </r>
  <r>
    <x v="3594"/>
    <s v="Becky"/>
    <x v="62"/>
    <d v="1899-12-30T12:00:00"/>
    <d v="2021-03-04T12:00:00"/>
    <x v="6"/>
    <x v="3"/>
    <x v="2"/>
    <x v="0"/>
    <s v="Y"/>
    <n v="50"/>
    <x v="0"/>
    <d v="1899-12-30T00:01:20"/>
    <n v="3"/>
  </r>
  <r>
    <x v="3595"/>
    <s v="Jim"/>
    <x v="62"/>
    <d v="1899-12-30T12:00:00"/>
    <d v="2021-03-04T12:00:00"/>
    <x v="6"/>
    <x v="3"/>
    <x v="0"/>
    <x v="0"/>
    <s v="Y"/>
    <n v="111"/>
    <x v="0"/>
    <d v="1899-12-30T00:04:42"/>
    <n v="4"/>
  </r>
  <r>
    <x v="3596"/>
    <s v="Joe"/>
    <x v="62"/>
    <d v="1899-12-30T12:14:24"/>
    <d v="2021-03-04T12:14:24"/>
    <x v="6"/>
    <x v="3"/>
    <x v="3"/>
    <x v="0"/>
    <s v="Y"/>
    <n v="46"/>
    <x v="0"/>
    <d v="1899-12-30T00:02:22"/>
    <n v="1"/>
  </r>
  <r>
    <x v="3597"/>
    <s v="Dan"/>
    <x v="62"/>
    <d v="1899-12-30T12:14:24"/>
    <d v="2021-03-04T12:14:24"/>
    <x v="6"/>
    <x v="3"/>
    <x v="4"/>
    <x v="0"/>
    <s v="Y"/>
    <n v="96"/>
    <x v="0"/>
    <d v="1899-12-30T00:02:44"/>
    <n v="5"/>
  </r>
  <r>
    <x v="3598"/>
    <s v="Greg"/>
    <x v="62"/>
    <d v="1899-12-30T12:46:05"/>
    <d v="2021-03-04T12:46:05"/>
    <x v="6"/>
    <x v="3"/>
    <x v="2"/>
    <x v="0"/>
    <s v="Y"/>
    <n v="102"/>
    <x v="0"/>
    <d v="1899-12-30T00:02:52"/>
    <n v="3"/>
  </r>
  <r>
    <x v="3599"/>
    <s v="Martha"/>
    <x v="62"/>
    <d v="1899-12-30T12:46:05"/>
    <d v="2021-03-04T12:46:05"/>
    <x v="6"/>
    <x v="3"/>
    <x v="0"/>
    <x v="0"/>
    <s v="N"/>
    <n v="30"/>
    <x v="0"/>
    <d v="1899-12-30T00:05:11"/>
    <n v="5"/>
  </r>
  <r>
    <x v="3600"/>
    <s v="Stewart"/>
    <x v="62"/>
    <d v="1899-12-30T13:09:07"/>
    <d v="2021-03-04T13:09:07"/>
    <x v="6"/>
    <x v="4"/>
    <x v="4"/>
    <x v="0"/>
    <s v="Y"/>
    <n v="91"/>
    <x v="0"/>
    <d v="1899-12-30T00:05:29"/>
    <n v="5"/>
  </r>
  <r>
    <x v="3601"/>
    <s v="Greg"/>
    <x v="62"/>
    <d v="1899-12-30T13:09:07"/>
    <d v="2021-03-04T13:09:07"/>
    <x v="6"/>
    <x v="4"/>
    <x v="1"/>
    <x v="0"/>
    <s v="Y"/>
    <n v="111"/>
    <x v="0"/>
    <d v="1899-12-30T00:04:41"/>
    <n v="4"/>
  </r>
  <r>
    <x v="3602"/>
    <s v="Greg"/>
    <x v="62"/>
    <d v="1899-12-30T13:36:29"/>
    <d v="2021-03-04T13:36:29"/>
    <x v="6"/>
    <x v="4"/>
    <x v="4"/>
    <x v="1"/>
    <s v="N"/>
    <m/>
    <x v="0"/>
    <m/>
    <m/>
  </r>
  <r>
    <x v="3603"/>
    <s v="Diane"/>
    <x v="62"/>
    <d v="1899-12-30T13:36:29"/>
    <d v="2021-03-04T13:36:29"/>
    <x v="6"/>
    <x v="4"/>
    <x v="4"/>
    <x v="0"/>
    <s v="Y"/>
    <n v="99"/>
    <x v="0"/>
    <d v="1899-12-30T00:03:03"/>
    <n v="4"/>
  </r>
  <r>
    <x v="3604"/>
    <s v="Joe"/>
    <x v="62"/>
    <d v="1899-12-30T13:40:48"/>
    <d v="2021-03-04T13:40:48"/>
    <x v="6"/>
    <x v="4"/>
    <x v="1"/>
    <x v="0"/>
    <s v="Y"/>
    <n v="125"/>
    <x v="0"/>
    <d v="1899-12-30T00:00:46"/>
    <n v="3"/>
  </r>
  <r>
    <x v="3605"/>
    <s v="Joe"/>
    <x v="62"/>
    <d v="1899-12-30T13:40:48"/>
    <d v="2021-03-04T13:40:48"/>
    <x v="6"/>
    <x v="4"/>
    <x v="2"/>
    <x v="0"/>
    <s v="Y"/>
    <n v="11"/>
    <x v="1"/>
    <d v="1899-12-30T00:06:13"/>
    <n v="3"/>
  </r>
  <r>
    <x v="3606"/>
    <s v="Martha"/>
    <x v="62"/>
    <d v="1899-12-30T14:16:48"/>
    <d v="2021-03-04T14:16:48"/>
    <x v="6"/>
    <x v="5"/>
    <x v="0"/>
    <x v="0"/>
    <s v="Y"/>
    <n v="79"/>
    <x v="0"/>
    <d v="1899-12-30T00:00:53"/>
    <n v="2"/>
  </r>
  <r>
    <x v="3607"/>
    <s v="Stewart"/>
    <x v="62"/>
    <d v="1899-12-30T14:16:48"/>
    <d v="2021-03-04T14:16:48"/>
    <x v="6"/>
    <x v="5"/>
    <x v="1"/>
    <x v="0"/>
    <s v="Y"/>
    <n v="92"/>
    <x v="0"/>
    <d v="1899-12-30T00:04:27"/>
    <n v="1"/>
  </r>
  <r>
    <x v="3608"/>
    <s v="Dan"/>
    <x v="62"/>
    <d v="1899-12-30T14:49:55"/>
    <d v="2021-03-04T14:49:55"/>
    <x v="6"/>
    <x v="5"/>
    <x v="1"/>
    <x v="1"/>
    <s v="N"/>
    <m/>
    <x v="0"/>
    <m/>
    <m/>
  </r>
  <r>
    <x v="3609"/>
    <s v="Joe"/>
    <x v="62"/>
    <d v="1899-12-30T14:49:55"/>
    <d v="2021-03-04T14:49:55"/>
    <x v="6"/>
    <x v="5"/>
    <x v="4"/>
    <x v="0"/>
    <s v="Y"/>
    <n v="119"/>
    <x v="0"/>
    <d v="1899-12-30T00:05:22"/>
    <n v="3"/>
  </r>
  <r>
    <x v="3610"/>
    <s v="Jim"/>
    <x v="62"/>
    <d v="1899-12-30T15:00:00"/>
    <d v="2021-03-04T15:00:00"/>
    <x v="6"/>
    <x v="6"/>
    <x v="1"/>
    <x v="0"/>
    <s v="Y"/>
    <n v="15"/>
    <x v="1"/>
    <d v="1899-12-30T00:04:36"/>
    <n v="4"/>
  </r>
  <r>
    <x v="3611"/>
    <s v="Jim"/>
    <x v="62"/>
    <d v="1899-12-30T15:00:00"/>
    <d v="2021-03-04T15:00:00"/>
    <x v="6"/>
    <x v="6"/>
    <x v="1"/>
    <x v="0"/>
    <s v="Y"/>
    <n v="15"/>
    <x v="1"/>
    <d v="1899-12-30T00:02:14"/>
    <n v="4"/>
  </r>
  <r>
    <x v="3612"/>
    <s v="Martha"/>
    <x v="62"/>
    <d v="1899-12-30T15:30:14"/>
    <d v="2021-03-04T15:30:14"/>
    <x v="6"/>
    <x v="6"/>
    <x v="3"/>
    <x v="0"/>
    <s v="Y"/>
    <n v="61"/>
    <x v="0"/>
    <d v="1899-12-30T00:06:46"/>
    <n v="5"/>
  </r>
  <r>
    <x v="3613"/>
    <s v="Joe"/>
    <x v="62"/>
    <d v="1899-12-30T15:30:14"/>
    <d v="2021-03-04T15:30:14"/>
    <x v="6"/>
    <x v="6"/>
    <x v="0"/>
    <x v="0"/>
    <s v="Y"/>
    <n v="92"/>
    <x v="0"/>
    <d v="1899-12-30T00:04:21"/>
    <n v="3"/>
  </r>
  <r>
    <x v="3614"/>
    <s v="Joe"/>
    <x v="62"/>
    <d v="1899-12-30T15:36:00"/>
    <d v="2021-03-04T15:36:00"/>
    <x v="6"/>
    <x v="6"/>
    <x v="4"/>
    <x v="0"/>
    <s v="N"/>
    <n v="69"/>
    <x v="0"/>
    <d v="1899-12-30T00:02:13"/>
    <n v="4"/>
  </r>
  <r>
    <x v="3615"/>
    <s v="Becky"/>
    <x v="62"/>
    <d v="1899-12-30T15:36:00"/>
    <d v="2021-03-04T15:36:00"/>
    <x v="6"/>
    <x v="6"/>
    <x v="2"/>
    <x v="0"/>
    <s v="Y"/>
    <n v="32"/>
    <x v="0"/>
    <d v="1899-12-30T00:06:26"/>
    <n v="3"/>
  </r>
  <r>
    <x v="3616"/>
    <s v="Diane"/>
    <x v="62"/>
    <d v="1899-12-30T15:36:00"/>
    <d v="2021-03-04T15:36:00"/>
    <x v="6"/>
    <x v="6"/>
    <x v="2"/>
    <x v="0"/>
    <s v="Y"/>
    <n v="119"/>
    <x v="0"/>
    <d v="1899-12-30T00:04:33"/>
    <n v="4"/>
  </r>
  <r>
    <x v="3617"/>
    <s v="Diane"/>
    <x v="62"/>
    <d v="1899-12-30T15:36:00"/>
    <d v="2021-03-04T15:36:00"/>
    <x v="6"/>
    <x v="6"/>
    <x v="0"/>
    <x v="0"/>
    <s v="N"/>
    <n v="11"/>
    <x v="1"/>
    <d v="1899-12-30T00:05:09"/>
    <n v="4"/>
  </r>
  <r>
    <x v="3618"/>
    <s v="Greg"/>
    <x v="62"/>
    <d v="1899-12-30T16:06:14"/>
    <d v="2021-03-04T16:06:14"/>
    <x v="6"/>
    <x v="8"/>
    <x v="1"/>
    <x v="0"/>
    <s v="Y"/>
    <n v="81"/>
    <x v="0"/>
    <d v="1899-12-30T00:02:53"/>
    <n v="4"/>
  </r>
  <r>
    <x v="3619"/>
    <s v="Becky"/>
    <x v="62"/>
    <d v="1899-12-30T16:06:14"/>
    <d v="2021-03-04T16:06:14"/>
    <x v="6"/>
    <x v="8"/>
    <x v="4"/>
    <x v="0"/>
    <s v="Y"/>
    <n v="23"/>
    <x v="0"/>
    <d v="1899-12-30T00:00:31"/>
    <n v="3"/>
  </r>
  <r>
    <x v="3620"/>
    <s v="Greg"/>
    <x v="62"/>
    <d v="1899-12-30T16:17:46"/>
    <d v="2021-03-04T16:17:46"/>
    <x v="6"/>
    <x v="8"/>
    <x v="4"/>
    <x v="0"/>
    <s v="Y"/>
    <n v="54"/>
    <x v="0"/>
    <d v="1899-12-30T00:00:47"/>
    <n v="2"/>
  </r>
  <r>
    <x v="3621"/>
    <s v="Martha"/>
    <x v="62"/>
    <d v="1899-12-30T16:17:46"/>
    <d v="2021-03-04T16:17:46"/>
    <x v="6"/>
    <x v="8"/>
    <x v="4"/>
    <x v="0"/>
    <s v="Y"/>
    <n v="61"/>
    <x v="0"/>
    <d v="1899-12-30T00:05:44"/>
    <n v="5"/>
  </r>
  <r>
    <x v="3622"/>
    <s v="Diane"/>
    <x v="62"/>
    <d v="1899-12-30T16:30:43"/>
    <d v="2021-03-04T16:30:43"/>
    <x v="6"/>
    <x v="8"/>
    <x v="1"/>
    <x v="0"/>
    <s v="Y"/>
    <n v="62"/>
    <x v="0"/>
    <d v="1899-12-30T00:04:03"/>
    <n v="4"/>
  </r>
  <r>
    <x v="3623"/>
    <s v="Martha"/>
    <x v="62"/>
    <d v="1899-12-30T16:30:43"/>
    <d v="2021-03-04T16:30:43"/>
    <x v="6"/>
    <x v="8"/>
    <x v="2"/>
    <x v="0"/>
    <s v="Y"/>
    <n v="105"/>
    <x v="0"/>
    <d v="1899-12-30T00:05:58"/>
    <n v="4"/>
  </r>
  <r>
    <x v="3624"/>
    <s v="Dan"/>
    <x v="62"/>
    <d v="1899-12-30T16:36:29"/>
    <d v="2021-03-04T16:36:29"/>
    <x v="6"/>
    <x v="8"/>
    <x v="0"/>
    <x v="1"/>
    <s v="N"/>
    <m/>
    <x v="0"/>
    <m/>
    <m/>
  </r>
  <r>
    <x v="3625"/>
    <s v="Becky"/>
    <x v="62"/>
    <d v="1899-12-30T16:36:29"/>
    <d v="2021-03-04T16:36:29"/>
    <x v="6"/>
    <x v="8"/>
    <x v="0"/>
    <x v="0"/>
    <s v="Y"/>
    <n v="83"/>
    <x v="0"/>
    <d v="1899-12-30T00:05:52"/>
    <n v="4"/>
  </r>
  <r>
    <x v="3626"/>
    <s v="Dan"/>
    <x v="62"/>
    <d v="1899-12-30T16:56:38"/>
    <d v="2021-03-04T16:56:38"/>
    <x v="6"/>
    <x v="8"/>
    <x v="4"/>
    <x v="0"/>
    <s v="Y"/>
    <n v="31"/>
    <x v="0"/>
    <d v="1899-12-30T00:02:49"/>
    <n v="4"/>
  </r>
  <r>
    <x v="3627"/>
    <s v="Jim"/>
    <x v="62"/>
    <d v="1899-12-30T16:56:38"/>
    <d v="2021-03-04T16:56:38"/>
    <x v="6"/>
    <x v="8"/>
    <x v="2"/>
    <x v="0"/>
    <s v="N"/>
    <n v="57"/>
    <x v="0"/>
    <d v="1899-12-30T00:04:57"/>
    <n v="1"/>
  </r>
  <r>
    <x v="3628"/>
    <s v="Greg"/>
    <x v="62"/>
    <d v="1899-12-30T17:15:22"/>
    <d v="2021-03-04T17:15:22"/>
    <x v="6"/>
    <x v="7"/>
    <x v="0"/>
    <x v="0"/>
    <s v="Y"/>
    <n v="54"/>
    <x v="0"/>
    <d v="1899-12-30T00:04:19"/>
    <n v="5"/>
  </r>
  <r>
    <x v="3629"/>
    <s v="Jim"/>
    <x v="62"/>
    <d v="1899-12-30T17:15:22"/>
    <d v="2021-03-04T17:15:22"/>
    <x v="6"/>
    <x v="7"/>
    <x v="0"/>
    <x v="0"/>
    <s v="N"/>
    <n v="91"/>
    <x v="0"/>
    <d v="1899-12-30T00:05:44"/>
    <n v="5"/>
  </r>
  <r>
    <x v="3630"/>
    <s v="Martha"/>
    <x v="62"/>
    <d v="1899-12-30T17:22:34"/>
    <d v="2021-03-04T17:22:34"/>
    <x v="6"/>
    <x v="7"/>
    <x v="0"/>
    <x v="0"/>
    <s v="Y"/>
    <n v="96"/>
    <x v="0"/>
    <d v="1899-12-30T00:00:44"/>
    <n v="1"/>
  </r>
  <r>
    <x v="3631"/>
    <s v="Stewart"/>
    <x v="62"/>
    <d v="1899-12-30T17:22:34"/>
    <d v="2021-03-04T17:22:34"/>
    <x v="6"/>
    <x v="7"/>
    <x v="1"/>
    <x v="1"/>
    <s v="N"/>
    <m/>
    <x v="0"/>
    <m/>
    <m/>
  </r>
  <r>
    <x v="3632"/>
    <s v="Becky"/>
    <x v="62"/>
    <d v="1899-12-30T17:25:26"/>
    <d v="2021-03-04T17:25:26"/>
    <x v="6"/>
    <x v="7"/>
    <x v="3"/>
    <x v="0"/>
    <s v="Y"/>
    <n v="46"/>
    <x v="0"/>
    <d v="1899-12-30T00:04:32"/>
    <n v="4"/>
  </r>
  <r>
    <x v="3633"/>
    <s v="Martha"/>
    <x v="62"/>
    <d v="1899-12-30T17:25:26"/>
    <d v="2021-03-04T17:25:26"/>
    <x v="6"/>
    <x v="7"/>
    <x v="3"/>
    <x v="0"/>
    <s v="Y"/>
    <n v="94"/>
    <x v="0"/>
    <d v="1899-12-30T00:05:15"/>
    <n v="4"/>
  </r>
  <r>
    <x v="3634"/>
    <s v="Becky"/>
    <x v="62"/>
    <d v="1899-12-30T17:39:50"/>
    <d v="2021-03-04T17:39:50"/>
    <x v="6"/>
    <x v="7"/>
    <x v="4"/>
    <x v="0"/>
    <s v="Y"/>
    <n v="48"/>
    <x v="0"/>
    <d v="1899-12-30T00:05:55"/>
    <n v="4"/>
  </r>
  <r>
    <x v="3635"/>
    <s v="Jim"/>
    <x v="62"/>
    <d v="1899-12-30T17:39:50"/>
    <d v="2021-03-04T17:39:50"/>
    <x v="6"/>
    <x v="7"/>
    <x v="1"/>
    <x v="0"/>
    <s v="Y"/>
    <n v="38"/>
    <x v="0"/>
    <d v="1899-12-30T00:03:44"/>
    <n v="3"/>
  </r>
  <r>
    <x v="3636"/>
    <s v="Becky"/>
    <x v="63"/>
    <d v="1899-12-30T10:24:58"/>
    <d v="2021-03-05T10:24:58"/>
    <x v="0"/>
    <x v="1"/>
    <x v="2"/>
    <x v="0"/>
    <s v="N"/>
    <n v="98"/>
    <x v="0"/>
    <d v="1899-12-30T00:00:59"/>
    <n v="5"/>
  </r>
  <r>
    <x v="3637"/>
    <s v="Becky"/>
    <x v="63"/>
    <d v="1899-12-30T10:24:58"/>
    <d v="2021-03-05T10:24:58"/>
    <x v="0"/>
    <x v="1"/>
    <x v="3"/>
    <x v="0"/>
    <s v="Y"/>
    <n v="59"/>
    <x v="0"/>
    <d v="1899-12-30T00:05:22"/>
    <n v="5"/>
  </r>
  <r>
    <x v="3638"/>
    <s v="Diane"/>
    <x v="63"/>
    <d v="1899-12-30T10:46:34"/>
    <d v="2021-03-05T10:46:34"/>
    <x v="0"/>
    <x v="1"/>
    <x v="1"/>
    <x v="0"/>
    <s v="Y"/>
    <n v="18"/>
    <x v="1"/>
    <d v="1899-12-30T00:04:15"/>
    <n v="4"/>
  </r>
  <r>
    <x v="3639"/>
    <s v="Diane"/>
    <x v="63"/>
    <d v="1899-12-30T10:46:34"/>
    <d v="2021-03-05T10:46:34"/>
    <x v="0"/>
    <x v="1"/>
    <x v="4"/>
    <x v="0"/>
    <s v="Y"/>
    <n v="118"/>
    <x v="0"/>
    <d v="1899-12-30T00:00:41"/>
    <n v="2"/>
  </r>
  <r>
    <x v="3640"/>
    <s v="Greg"/>
    <x v="63"/>
    <d v="1899-12-30T10:52:19"/>
    <d v="2021-03-05T10:52:19"/>
    <x v="0"/>
    <x v="1"/>
    <x v="2"/>
    <x v="0"/>
    <s v="Y"/>
    <n v="97"/>
    <x v="0"/>
    <d v="1899-12-30T00:00:34"/>
    <n v="4"/>
  </r>
  <r>
    <x v="3641"/>
    <s v="Jim"/>
    <x v="63"/>
    <d v="1899-12-30T10:52:19"/>
    <d v="2021-03-05T10:52:19"/>
    <x v="0"/>
    <x v="1"/>
    <x v="1"/>
    <x v="0"/>
    <s v="Y"/>
    <n v="41"/>
    <x v="0"/>
    <d v="1899-12-30T00:04:00"/>
    <n v="3"/>
  </r>
  <r>
    <x v="3642"/>
    <s v="Greg"/>
    <x v="63"/>
    <d v="1899-12-30T11:15:22"/>
    <d v="2021-03-05T11:15:22"/>
    <x v="0"/>
    <x v="2"/>
    <x v="4"/>
    <x v="0"/>
    <s v="Y"/>
    <n v="24"/>
    <x v="0"/>
    <d v="1899-12-30T00:04:43"/>
    <n v="3"/>
  </r>
  <r>
    <x v="3643"/>
    <s v="Becky"/>
    <x v="63"/>
    <d v="1899-12-30T11:15:22"/>
    <d v="2021-03-05T11:15:22"/>
    <x v="0"/>
    <x v="2"/>
    <x v="4"/>
    <x v="0"/>
    <s v="Y"/>
    <n v="112"/>
    <x v="0"/>
    <d v="1899-12-30T00:00:59"/>
    <n v="3"/>
  </r>
  <r>
    <x v="3644"/>
    <s v="Martha"/>
    <x v="63"/>
    <d v="1899-12-30T11:24:00"/>
    <d v="2021-03-05T11:24:00"/>
    <x v="0"/>
    <x v="2"/>
    <x v="1"/>
    <x v="0"/>
    <s v="Y"/>
    <n v="104"/>
    <x v="0"/>
    <d v="1899-12-30T00:02:35"/>
    <n v="2"/>
  </r>
  <r>
    <x v="3645"/>
    <s v="Diane"/>
    <x v="63"/>
    <d v="1899-12-30T11:24:00"/>
    <d v="2021-03-05T11:24:00"/>
    <x v="0"/>
    <x v="2"/>
    <x v="2"/>
    <x v="0"/>
    <s v="N"/>
    <n v="117"/>
    <x v="0"/>
    <d v="1899-12-30T00:02:11"/>
    <n v="4"/>
  </r>
  <r>
    <x v="3646"/>
    <s v="Jim"/>
    <x v="63"/>
    <d v="1899-12-30T11:44:10"/>
    <d v="2021-03-05T11:44:10"/>
    <x v="0"/>
    <x v="2"/>
    <x v="1"/>
    <x v="0"/>
    <s v="Y"/>
    <n v="51"/>
    <x v="0"/>
    <d v="1899-12-30T00:04:22"/>
    <n v="4"/>
  </r>
  <r>
    <x v="3647"/>
    <s v="Becky"/>
    <x v="63"/>
    <d v="1899-12-30T11:44:10"/>
    <d v="2021-03-05T11:44:10"/>
    <x v="0"/>
    <x v="2"/>
    <x v="3"/>
    <x v="0"/>
    <s v="Y"/>
    <n v="62"/>
    <x v="0"/>
    <d v="1899-12-30T00:05:59"/>
    <n v="4"/>
  </r>
  <r>
    <x v="3648"/>
    <s v="Diane"/>
    <x v="63"/>
    <d v="1899-12-30T12:11:31"/>
    <d v="2021-03-05T12:11:31"/>
    <x v="0"/>
    <x v="3"/>
    <x v="2"/>
    <x v="1"/>
    <s v="N"/>
    <m/>
    <x v="0"/>
    <m/>
    <m/>
  </r>
  <r>
    <x v="3649"/>
    <s v="Stewart"/>
    <x v="63"/>
    <d v="1899-12-30T12:11:31"/>
    <d v="2021-03-05T12:11:31"/>
    <x v="0"/>
    <x v="3"/>
    <x v="1"/>
    <x v="0"/>
    <s v="Y"/>
    <n v="56"/>
    <x v="0"/>
    <d v="1899-12-30T00:04:19"/>
    <n v="4"/>
  </r>
  <r>
    <x v="3650"/>
    <s v="Joe"/>
    <x v="63"/>
    <d v="1899-12-30T12:31:41"/>
    <d v="2021-03-05T12:31:41"/>
    <x v="0"/>
    <x v="3"/>
    <x v="0"/>
    <x v="0"/>
    <s v="Y"/>
    <n v="72"/>
    <x v="0"/>
    <d v="1899-12-30T00:01:35"/>
    <n v="4"/>
  </r>
  <r>
    <x v="3651"/>
    <s v="Jim"/>
    <x v="63"/>
    <d v="1899-12-30T12:31:41"/>
    <d v="2021-03-05T12:31:41"/>
    <x v="0"/>
    <x v="3"/>
    <x v="1"/>
    <x v="0"/>
    <s v="Y"/>
    <n v="115"/>
    <x v="0"/>
    <d v="1899-12-30T00:04:49"/>
    <n v="1"/>
  </r>
  <r>
    <x v="3652"/>
    <s v="Joe"/>
    <x v="63"/>
    <d v="1899-12-30T12:41:46"/>
    <d v="2021-03-05T12:41:46"/>
    <x v="0"/>
    <x v="3"/>
    <x v="3"/>
    <x v="0"/>
    <s v="N"/>
    <n v="118"/>
    <x v="0"/>
    <d v="1899-12-30T00:03:00"/>
    <n v="3"/>
  </r>
  <r>
    <x v="3653"/>
    <s v="Stewart"/>
    <x v="63"/>
    <d v="1899-12-30T12:41:46"/>
    <d v="2021-03-05T12:41:46"/>
    <x v="0"/>
    <x v="3"/>
    <x v="2"/>
    <x v="0"/>
    <s v="Y"/>
    <n v="98"/>
    <x v="0"/>
    <d v="1899-12-30T00:02:31"/>
    <n v="3"/>
  </r>
  <r>
    <x v="3654"/>
    <s v="Diane"/>
    <x v="63"/>
    <d v="1899-12-30T12:47:31"/>
    <d v="2021-03-05T12:47:31"/>
    <x v="0"/>
    <x v="3"/>
    <x v="4"/>
    <x v="0"/>
    <s v="Y"/>
    <n v="112"/>
    <x v="0"/>
    <d v="1899-12-30T00:01:47"/>
    <n v="4"/>
  </r>
  <r>
    <x v="3655"/>
    <s v="Stewart"/>
    <x v="63"/>
    <d v="1899-12-30T12:47:31"/>
    <d v="2021-03-05T12:47:31"/>
    <x v="0"/>
    <x v="3"/>
    <x v="1"/>
    <x v="0"/>
    <s v="Y"/>
    <n v="75"/>
    <x v="0"/>
    <d v="1899-12-30T00:03:23"/>
    <n v="1"/>
  </r>
  <r>
    <x v="3656"/>
    <s v="Becky"/>
    <x v="63"/>
    <d v="1899-12-30T12:50:24"/>
    <d v="2021-03-05T12:50:24"/>
    <x v="0"/>
    <x v="3"/>
    <x v="2"/>
    <x v="0"/>
    <s v="Y"/>
    <n v="34"/>
    <x v="0"/>
    <d v="1899-12-30T00:01:53"/>
    <n v="3"/>
  </r>
  <r>
    <x v="3657"/>
    <s v="Jim"/>
    <x v="63"/>
    <d v="1899-12-30T12:50:24"/>
    <d v="2021-03-05T12:50:24"/>
    <x v="0"/>
    <x v="3"/>
    <x v="3"/>
    <x v="1"/>
    <s v="N"/>
    <m/>
    <x v="0"/>
    <m/>
    <m/>
  </r>
  <r>
    <x v="3658"/>
    <s v="Stewart"/>
    <x v="63"/>
    <d v="1899-12-30T13:26:24"/>
    <d v="2021-03-05T13:26:24"/>
    <x v="0"/>
    <x v="4"/>
    <x v="2"/>
    <x v="0"/>
    <s v="Y"/>
    <n v="111"/>
    <x v="0"/>
    <d v="1899-12-30T00:05:30"/>
    <n v="4"/>
  </r>
  <r>
    <x v="3659"/>
    <s v="Martha"/>
    <x v="63"/>
    <d v="1899-12-30T13:26:24"/>
    <d v="2021-03-05T13:26:24"/>
    <x v="0"/>
    <x v="4"/>
    <x v="4"/>
    <x v="0"/>
    <s v="Y"/>
    <n v="81"/>
    <x v="0"/>
    <d v="1899-12-30T00:02:55"/>
    <n v="4"/>
  </r>
  <r>
    <x v="3660"/>
    <s v="Joe"/>
    <x v="63"/>
    <d v="1899-12-30T13:42:14"/>
    <d v="2021-03-05T13:42:14"/>
    <x v="0"/>
    <x v="4"/>
    <x v="1"/>
    <x v="0"/>
    <s v="Y"/>
    <n v="16"/>
    <x v="1"/>
    <d v="1899-12-30T00:02:38"/>
    <n v="3"/>
  </r>
  <r>
    <x v="3661"/>
    <s v="Dan"/>
    <x v="63"/>
    <d v="1899-12-30T13:42:14"/>
    <d v="2021-03-05T13:42:14"/>
    <x v="0"/>
    <x v="4"/>
    <x v="2"/>
    <x v="0"/>
    <s v="Y"/>
    <n v="75"/>
    <x v="0"/>
    <d v="1899-12-30T00:03:13"/>
    <n v="3"/>
  </r>
  <r>
    <x v="3662"/>
    <s v="Becky"/>
    <x v="63"/>
    <d v="1899-12-30T14:13:55"/>
    <d v="2021-03-05T14:13:55"/>
    <x v="0"/>
    <x v="5"/>
    <x v="4"/>
    <x v="0"/>
    <s v="Y"/>
    <n v="11"/>
    <x v="1"/>
    <d v="1899-12-30T00:06:48"/>
    <n v="4"/>
  </r>
  <r>
    <x v="3663"/>
    <s v="Dan"/>
    <x v="63"/>
    <d v="1899-12-30T14:13:55"/>
    <d v="2021-03-05T14:13:55"/>
    <x v="0"/>
    <x v="5"/>
    <x v="2"/>
    <x v="0"/>
    <s v="Y"/>
    <n v="65"/>
    <x v="0"/>
    <d v="1899-12-30T00:04:44"/>
    <n v="3"/>
  </r>
  <r>
    <x v="3664"/>
    <s v="Stewart"/>
    <x v="63"/>
    <d v="1899-12-30T14:22:34"/>
    <d v="2021-03-05T14:22:34"/>
    <x v="0"/>
    <x v="5"/>
    <x v="0"/>
    <x v="0"/>
    <s v="Y"/>
    <n v="36"/>
    <x v="0"/>
    <d v="1899-12-30T00:04:14"/>
    <n v="3"/>
  </r>
  <r>
    <x v="3665"/>
    <s v="Jim"/>
    <x v="63"/>
    <d v="1899-12-30T14:22:34"/>
    <d v="2021-03-05T14:22:34"/>
    <x v="0"/>
    <x v="5"/>
    <x v="2"/>
    <x v="0"/>
    <s v="Y"/>
    <n v="28"/>
    <x v="0"/>
    <d v="1899-12-30T00:03:37"/>
    <n v="2"/>
  </r>
  <r>
    <x v="3666"/>
    <s v="Jim"/>
    <x v="63"/>
    <d v="1899-12-30T15:15:50"/>
    <d v="2021-03-05T15:15:50"/>
    <x v="0"/>
    <x v="6"/>
    <x v="3"/>
    <x v="0"/>
    <s v="Y"/>
    <n v="34"/>
    <x v="0"/>
    <d v="1899-12-30T00:04:24"/>
    <n v="4"/>
  </r>
  <r>
    <x v="3667"/>
    <s v="Becky"/>
    <x v="63"/>
    <d v="1899-12-30T15:15:50"/>
    <d v="2021-03-05T15:15:50"/>
    <x v="0"/>
    <x v="6"/>
    <x v="4"/>
    <x v="1"/>
    <s v="N"/>
    <m/>
    <x v="0"/>
    <m/>
    <m/>
  </r>
  <r>
    <x v="3668"/>
    <s v="Becky"/>
    <x v="63"/>
    <d v="1899-12-30T15:51:50"/>
    <d v="2021-03-05T15:51:50"/>
    <x v="0"/>
    <x v="6"/>
    <x v="4"/>
    <x v="0"/>
    <s v="Y"/>
    <n v="105"/>
    <x v="0"/>
    <d v="1899-12-30T00:03:30"/>
    <n v="4"/>
  </r>
  <r>
    <x v="3669"/>
    <s v="Stewart"/>
    <x v="63"/>
    <d v="1899-12-30T15:51:50"/>
    <d v="2021-03-05T15:51:50"/>
    <x v="0"/>
    <x v="6"/>
    <x v="2"/>
    <x v="1"/>
    <s v="N"/>
    <m/>
    <x v="0"/>
    <m/>
    <m/>
  </r>
  <r>
    <x v="3670"/>
    <s v="Stewart"/>
    <x v="63"/>
    <d v="1899-12-30T15:54:43"/>
    <d v="2021-03-05T15:54:43"/>
    <x v="0"/>
    <x v="6"/>
    <x v="0"/>
    <x v="0"/>
    <s v="Y"/>
    <n v="23"/>
    <x v="0"/>
    <d v="1899-12-30T00:01:18"/>
    <n v="1"/>
  </r>
  <r>
    <x v="3671"/>
    <s v="Stewart"/>
    <x v="63"/>
    <d v="1899-12-30T15:54:43"/>
    <d v="2021-03-05T15:54:43"/>
    <x v="0"/>
    <x v="6"/>
    <x v="4"/>
    <x v="0"/>
    <s v="N"/>
    <n v="74"/>
    <x v="0"/>
    <d v="1899-12-30T00:03:31"/>
    <n v="1"/>
  </r>
  <r>
    <x v="3672"/>
    <s v="Stewart"/>
    <x v="63"/>
    <d v="1899-12-30T16:10:34"/>
    <d v="2021-03-05T16:10:34"/>
    <x v="0"/>
    <x v="8"/>
    <x v="0"/>
    <x v="0"/>
    <s v="Y"/>
    <n v="19"/>
    <x v="1"/>
    <d v="1899-12-30T00:05:04"/>
    <n v="4"/>
  </r>
  <r>
    <x v="3673"/>
    <s v="Diane"/>
    <x v="63"/>
    <d v="1899-12-30T16:10:34"/>
    <d v="2021-03-05T16:10:34"/>
    <x v="0"/>
    <x v="8"/>
    <x v="4"/>
    <x v="0"/>
    <s v="Y"/>
    <n v="102"/>
    <x v="0"/>
    <d v="1899-12-30T00:04:01"/>
    <n v="4"/>
  </r>
  <r>
    <x v="3674"/>
    <s v="Joe"/>
    <x v="63"/>
    <d v="1899-12-30T16:13:26"/>
    <d v="2021-03-05T16:13:26"/>
    <x v="0"/>
    <x v="8"/>
    <x v="4"/>
    <x v="0"/>
    <s v="N"/>
    <n v="16"/>
    <x v="1"/>
    <d v="1899-12-30T00:04:06"/>
    <n v="3"/>
  </r>
  <r>
    <x v="3675"/>
    <s v="Joe"/>
    <x v="63"/>
    <d v="1899-12-30T16:13:26"/>
    <d v="2021-03-05T16:13:26"/>
    <x v="0"/>
    <x v="8"/>
    <x v="0"/>
    <x v="0"/>
    <s v="Y"/>
    <n v="56"/>
    <x v="0"/>
    <d v="1899-12-30T00:01:11"/>
    <n v="5"/>
  </r>
  <r>
    <x v="3676"/>
    <s v="Joe"/>
    <x v="63"/>
    <d v="1899-12-30T16:16:19"/>
    <d v="2021-03-05T16:16:19"/>
    <x v="0"/>
    <x v="8"/>
    <x v="4"/>
    <x v="0"/>
    <s v="Y"/>
    <n v="22"/>
    <x v="0"/>
    <d v="1899-12-30T00:03:50"/>
    <n v="2"/>
  </r>
  <r>
    <x v="3677"/>
    <s v="Joe"/>
    <x v="63"/>
    <d v="1899-12-30T16:16:19"/>
    <d v="2021-03-05T16:16:19"/>
    <x v="0"/>
    <x v="8"/>
    <x v="1"/>
    <x v="0"/>
    <s v="Y"/>
    <n v="68"/>
    <x v="0"/>
    <d v="1899-12-30T00:04:30"/>
    <n v="4"/>
  </r>
  <r>
    <x v="3678"/>
    <s v="Martha"/>
    <x v="63"/>
    <d v="1899-12-30T16:20:38"/>
    <d v="2021-03-05T16:20:38"/>
    <x v="0"/>
    <x v="8"/>
    <x v="1"/>
    <x v="0"/>
    <s v="Y"/>
    <n v="103"/>
    <x v="0"/>
    <d v="1899-12-30T00:05:40"/>
    <n v="4"/>
  </r>
  <r>
    <x v="3679"/>
    <s v="Joe"/>
    <x v="63"/>
    <d v="1899-12-30T16:20:38"/>
    <d v="2021-03-05T16:20:38"/>
    <x v="0"/>
    <x v="8"/>
    <x v="1"/>
    <x v="1"/>
    <s v="N"/>
    <m/>
    <x v="0"/>
    <m/>
    <m/>
  </r>
  <r>
    <x v="3680"/>
    <s v="Stewart"/>
    <x v="63"/>
    <d v="1899-12-30T16:20:38"/>
    <d v="2021-03-05T16:20:38"/>
    <x v="0"/>
    <x v="8"/>
    <x v="1"/>
    <x v="0"/>
    <s v="Y"/>
    <n v="74"/>
    <x v="0"/>
    <d v="1899-12-30T00:04:22"/>
    <n v="3"/>
  </r>
  <r>
    <x v="3681"/>
    <s v="Stewart"/>
    <x v="63"/>
    <d v="1899-12-30T16:20:38"/>
    <d v="2021-03-05T16:20:38"/>
    <x v="0"/>
    <x v="8"/>
    <x v="3"/>
    <x v="0"/>
    <s v="Y"/>
    <n v="72"/>
    <x v="0"/>
    <d v="1899-12-30T00:03:13"/>
    <n v="3"/>
  </r>
  <r>
    <x v="3682"/>
    <s v="Diane"/>
    <x v="63"/>
    <d v="1899-12-30T16:23:31"/>
    <d v="2021-03-05T16:23:31"/>
    <x v="0"/>
    <x v="8"/>
    <x v="4"/>
    <x v="0"/>
    <s v="Y"/>
    <n v="44"/>
    <x v="0"/>
    <d v="1899-12-30T00:04:44"/>
    <n v="3"/>
  </r>
  <r>
    <x v="3683"/>
    <s v="Joe"/>
    <x v="63"/>
    <d v="1899-12-30T16:23:31"/>
    <d v="2021-03-05T16:23:31"/>
    <x v="0"/>
    <x v="8"/>
    <x v="0"/>
    <x v="0"/>
    <s v="Y"/>
    <n v="118"/>
    <x v="0"/>
    <d v="1899-12-30T00:03:43"/>
    <n v="3"/>
  </r>
  <r>
    <x v="3684"/>
    <s v="Dan"/>
    <x v="63"/>
    <d v="1899-12-30T17:31:12"/>
    <d v="2021-03-05T17:31:12"/>
    <x v="0"/>
    <x v="7"/>
    <x v="2"/>
    <x v="0"/>
    <s v="N"/>
    <n v="102"/>
    <x v="0"/>
    <d v="1899-12-30T00:02:09"/>
    <n v="5"/>
  </r>
  <r>
    <x v="3685"/>
    <s v="Greg"/>
    <x v="63"/>
    <d v="1899-12-30T17:31:12"/>
    <d v="2021-03-05T17:31:12"/>
    <x v="0"/>
    <x v="7"/>
    <x v="1"/>
    <x v="0"/>
    <s v="Y"/>
    <n v="116"/>
    <x v="0"/>
    <d v="1899-12-30T00:05:30"/>
    <n v="2"/>
  </r>
  <r>
    <x v="3686"/>
    <s v="Jim"/>
    <x v="63"/>
    <d v="1899-12-30T17:34:05"/>
    <d v="2021-03-05T17:34:05"/>
    <x v="0"/>
    <x v="7"/>
    <x v="4"/>
    <x v="1"/>
    <s v="N"/>
    <m/>
    <x v="0"/>
    <m/>
    <m/>
  </r>
  <r>
    <x v="3687"/>
    <s v="Jim"/>
    <x v="63"/>
    <d v="1899-12-30T17:34:05"/>
    <d v="2021-03-05T17:34:05"/>
    <x v="0"/>
    <x v="7"/>
    <x v="0"/>
    <x v="0"/>
    <s v="N"/>
    <n v="116"/>
    <x v="0"/>
    <d v="1899-12-30T00:03:20"/>
    <n v="5"/>
  </r>
  <r>
    <x v="3688"/>
    <s v="Becky"/>
    <x v="63"/>
    <d v="1899-12-30T17:52:48"/>
    <d v="2021-03-05T17:52:48"/>
    <x v="0"/>
    <x v="7"/>
    <x v="3"/>
    <x v="0"/>
    <s v="Y"/>
    <n v="29"/>
    <x v="0"/>
    <d v="1899-12-30T00:03:17"/>
    <n v="2"/>
  </r>
  <r>
    <x v="3689"/>
    <s v="Stewart"/>
    <x v="63"/>
    <d v="1899-12-30T17:52:48"/>
    <d v="2021-03-05T17:52:48"/>
    <x v="0"/>
    <x v="7"/>
    <x v="4"/>
    <x v="1"/>
    <s v="N"/>
    <m/>
    <x v="0"/>
    <m/>
    <m/>
  </r>
  <r>
    <x v="3690"/>
    <s v="Martha"/>
    <x v="64"/>
    <d v="1899-12-30T09:00:00"/>
    <d v="2021-03-06T09:00:00"/>
    <x v="1"/>
    <x v="0"/>
    <x v="1"/>
    <x v="0"/>
    <s v="Y"/>
    <n v="73"/>
    <x v="0"/>
    <d v="1899-12-30T00:01:20"/>
    <n v="4"/>
  </r>
  <r>
    <x v="3691"/>
    <s v="Stewart"/>
    <x v="64"/>
    <d v="1899-12-30T09:00:00"/>
    <d v="2021-03-06T09:00:00"/>
    <x v="1"/>
    <x v="0"/>
    <x v="2"/>
    <x v="0"/>
    <s v="Y"/>
    <n v="85"/>
    <x v="0"/>
    <d v="1899-12-30T00:02:15"/>
    <n v="5"/>
  </r>
  <r>
    <x v="3692"/>
    <s v="Diane"/>
    <x v="64"/>
    <d v="1899-12-30T09:51:50"/>
    <d v="2021-03-06T09:51:50"/>
    <x v="1"/>
    <x v="0"/>
    <x v="3"/>
    <x v="0"/>
    <s v="Y"/>
    <n v="22"/>
    <x v="0"/>
    <d v="1899-12-30T00:05:01"/>
    <n v="3"/>
  </r>
  <r>
    <x v="3693"/>
    <s v="Jim"/>
    <x v="64"/>
    <d v="1899-12-30T09:51:50"/>
    <d v="2021-03-06T09:51:50"/>
    <x v="1"/>
    <x v="0"/>
    <x v="0"/>
    <x v="0"/>
    <s v="Y"/>
    <n v="29"/>
    <x v="0"/>
    <d v="1899-12-30T00:01:21"/>
    <n v="3"/>
  </r>
  <r>
    <x v="3694"/>
    <s v="Becky"/>
    <x v="64"/>
    <d v="1899-12-30T10:00:29"/>
    <d v="2021-03-06T10:00:29"/>
    <x v="1"/>
    <x v="1"/>
    <x v="0"/>
    <x v="0"/>
    <s v="Y"/>
    <n v="56"/>
    <x v="0"/>
    <d v="1899-12-30T00:02:27"/>
    <n v="5"/>
  </r>
  <r>
    <x v="3695"/>
    <s v="Martha"/>
    <x v="64"/>
    <d v="1899-12-30T10:00:29"/>
    <d v="2021-03-06T10:00:29"/>
    <x v="1"/>
    <x v="1"/>
    <x v="3"/>
    <x v="0"/>
    <s v="Y"/>
    <n v="93"/>
    <x v="0"/>
    <d v="1899-12-30T00:05:48"/>
    <n v="3"/>
  </r>
  <r>
    <x v="3696"/>
    <s v="Greg"/>
    <x v="64"/>
    <d v="1899-12-30T10:17:46"/>
    <d v="2021-03-06T10:17:46"/>
    <x v="1"/>
    <x v="1"/>
    <x v="4"/>
    <x v="0"/>
    <s v="Y"/>
    <n v="85"/>
    <x v="0"/>
    <d v="1899-12-30T00:06:04"/>
    <n v="5"/>
  </r>
  <r>
    <x v="3697"/>
    <s v="Martha"/>
    <x v="64"/>
    <d v="1899-12-30T10:17:46"/>
    <d v="2021-03-06T10:17:46"/>
    <x v="1"/>
    <x v="1"/>
    <x v="2"/>
    <x v="1"/>
    <s v="N"/>
    <m/>
    <x v="0"/>
    <m/>
    <m/>
  </r>
  <r>
    <x v="3698"/>
    <s v="Greg"/>
    <x v="64"/>
    <d v="1899-12-30T10:17:46"/>
    <d v="2021-03-06T10:17:46"/>
    <x v="1"/>
    <x v="1"/>
    <x v="4"/>
    <x v="0"/>
    <s v="Y"/>
    <n v="69"/>
    <x v="0"/>
    <d v="1899-12-30T00:02:43"/>
    <n v="5"/>
  </r>
  <r>
    <x v="3699"/>
    <s v="Becky"/>
    <x v="64"/>
    <d v="1899-12-30T10:17:46"/>
    <d v="2021-03-06T10:17:46"/>
    <x v="1"/>
    <x v="1"/>
    <x v="0"/>
    <x v="0"/>
    <s v="Y"/>
    <n v="66"/>
    <x v="0"/>
    <d v="1899-12-30T00:03:27"/>
    <n v="2"/>
  </r>
  <r>
    <x v="3700"/>
    <s v="Joe"/>
    <x v="64"/>
    <d v="1899-12-30T10:40:48"/>
    <d v="2021-03-06T10:40:48"/>
    <x v="1"/>
    <x v="1"/>
    <x v="2"/>
    <x v="0"/>
    <s v="Y"/>
    <n v="117"/>
    <x v="0"/>
    <d v="1899-12-30T00:06:36"/>
    <n v="3"/>
  </r>
  <r>
    <x v="3701"/>
    <s v="Dan"/>
    <x v="64"/>
    <d v="1899-12-30T10:40:48"/>
    <d v="2021-03-06T10:40:48"/>
    <x v="1"/>
    <x v="1"/>
    <x v="2"/>
    <x v="0"/>
    <s v="Y"/>
    <n v="71"/>
    <x v="0"/>
    <d v="1899-12-30T00:03:12"/>
    <n v="1"/>
  </r>
  <r>
    <x v="3702"/>
    <s v="Martha"/>
    <x v="64"/>
    <d v="1899-12-30T10:45:07"/>
    <d v="2021-03-06T10:45:07"/>
    <x v="1"/>
    <x v="1"/>
    <x v="3"/>
    <x v="0"/>
    <s v="Y"/>
    <n v="23"/>
    <x v="0"/>
    <d v="1899-12-30T00:05:05"/>
    <n v="4"/>
  </r>
  <r>
    <x v="3703"/>
    <s v="Joe"/>
    <x v="64"/>
    <d v="1899-12-30T10:45:07"/>
    <d v="2021-03-06T10:45:07"/>
    <x v="1"/>
    <x v="1"/>
    <x v="3"/>
    <x v="1"/>
    <s v="N"/>
    <m/>
    <x v="0"/>
    <m/>
    <m/>
  </r>
  <r>
    <x v="3704"/>
    <s v="Dan"/>
    <x v="64"/>
    <d v="1899-12-30T11:02:24"/>
    <d v="2021-03-06T11:02:24"/>
    <x v="1"/>
    <x v="2"/>
    <x v="1"/>
    <x v="0"/>
    <s v="Y"/>
    <n v="116"/>
    <x v="0"/>
    <d v="1899-12-30T00:00:52"/>
    <n v="4"/>
  </r>
  <r>
    <x v="3705"/>
    <s v="Jim"/>
    <x v="64"/>
    <d v="1899-12-30T11:02:24"/>
    <d v="2021-03-06T11:02:24"/>
    <x v="1"/>
    <x v="2"/>
    <x v="0"/>
    <x v="0"/>
    <s v="Y"/>
    <n v="52"/>
    <x v="0"/>
    <d v="1899-12-30T00:06:46"/>
    <n v="4"/>
  </r>
  <r>
    <x v="3706"/>
    <s v="Martha"/>
    <x v="64"/>
    <d v="1899-12-30T11:21:07"/>
    <d v="2021-03-06T11:21:07"/>
    <x v="1"/>
    <x v="2"/>
    <x v="3"/>
    <x v="0"/>
    <s v="Y"/>
    <n v="106"/>
    <x v="0"/>
    <d v="1899-12-30T00:01:52"/>
    <n v="5"/>
  </r>
  <r>
    <x v="3707"/>
    <s v="Joe"/>
    <x v="64"/>
    <d v="1899-12-30T11:21:07"/>
    <d v="2021-03-06T11:21:07"/>
    <x v="1"/>
    <x v="2"/>
    <x v="0"/>
    <x v="1"/>
    <s v="N"/>
    <m/>
    <x v="0"/>
    <m/>
    <m/>
  </r>
  <r>
    <x v="3708"/>
    <s v="Martha"/>
    <x v="64"/>
    <d v="1899-12-30T11:25:26"/>
    <d v="2021-03-06T11:25:26"/>
    <x v="1"/>
    <x v="2"/>
    <x v="3"/>
    <x v="0"/>
    <s v="Y"/>
    <n v="48"/>
    <x v="0"/>
    <d v="1899-12-30T00:03:21"/>
    <n v="1"/>
  </r>
  <r>
    <x v="3709"/>
    <s v="Dan"/>
    <x v="64"/>
    <d v="1899-12-30T11:25:26"/>
    <d v="2021-03-06T11:25:26"/>
    <x v="1"/>
    <x v="2"/>
    <x v="2"/>
    <x v="0"/>
    <s v="Y"/>
    <n v="93"/>
    <x v="0"/>
    <d v="1899-12-30T00:06:38"/>
    <n v="2"/>
  </r>
  <r>
    <x v="3710"/>
    <s v="Martha"/>
    <x v="64"/>
    <d v="1899-12-30T11:28:19"/>
    <d v="2021-03-06T11:28:19"/>
    <x v="1"/>
    <x v="2"/>
    <x v="2"/>
    <x v="0"/>
    <s v="Y"/>
    <n v="106"/>
    <x v="0"/>
    <d v="1899-12-30T00:00:54"/>
    <n v="5"/>
  </r>
  <r>
    <x v="3711"/>
    <s v="Joe"/>
    <x v="64"/>
    <d v="1899-12-30T11:28:19"/>
    <d v="2021-03-06T11:28:19"/>
    <x v="1"/>
    <x v="2"/>
    <x v="4"/>
    <x v="1"/>
    <s v="N"/>
    <m/>
    <x v="0"/>
    <m/>
    <m/>
  </r>
  <r>
    <x v="3712"/>
    <s v="Becky"/>
    <x v="64"/>
    <d v="1899-12-30T12:07:12"/>
    <d v="2021-03-06T12:07:12"/>
    <x v="1"/>
    <x v="3"/>
    <x v="3"/>
    <x v="0"/>
    <s v="Y"/>
    <n v="33"/>
    <x v="0"/>
    <d v="1899-12-30T00:04:52"/>
    <n v="4"/>
  </r>
  <r>
    <x v="3713"/>
    <s v="Joe"/>
    <x v="64"/>
    <d v="1899-12-30T12:07:12"/>
    <d v="2021-03-06T12:07:12"/>
    <x v="1"/>
    <x v="3"/>
    <x v="3"/>
    <x v="0"/>
    <s v="Y"/>
    <n v="18"/>
    <x v="1"/>
    <d v="1899-12-30T00:02:30"/>
    <n v="5"/>
  </r>
  <r>
    <x v="3714"/>
    <s v="Joe"/>
    <x v="64"/>
    <d v="1899-12-30T12:18:43"/>
    <d v="2021-03-06T12:18:43"/>
    <x v="1"/>
    <x v="3"/>
    <x v="1"/>
    <x v="0"/>
    <s v="Y"/>
    <n v="118"/>
    <x v="0"/>
    <d v="1899-12-30T00:05:36"/>
    <n v="4"/>
  </r>
  <r>
    <x v="3715"/>
    <s v="Martha"/>
    <x v="64"/>
    <d v="1899-12-30T12:18:43"/>
    <d v="2021-03-06T12:18:43"/>
    <x v="1"/>
    <x v="3"/>
    <x v="2"/>
    <x v="1"/>
    <s v="N"/>
    <m/>
    <x v="0"/>
    <m/>
    <m/>
  </r>
  <r>
    <x v="3716"/>
    <s v="Stewart"/>
    <x v="64"/>
    <d v="1899-12-30T12:46:05"/>
    <d v="2021-03-06T12:46:05"/>
    <x v="1"/>
    <x v="3"/>
    <x v="3"/>
    <x v="0"/>
    <s v="Y"/>
    <n v="55"/>
    <x v="0"/>
    <d v="1899-12-30T00:03:31"/>
    <n v="3"/>
  </r>
  <r>
    <x v="3717"/>
    <s v="Greg"/>
    <x v="64"/>
    <d v="1899-12-30T12:46:05"/>
    <d v="2021-03-06T12:46:05"/>
    <x v="1"/>
    <x v="3"/>
    <x v="0"/>
    <x v="1"/>
    <s v="N"/>
    <m/>
    <x v="0"/>
    <m/>
    <m/>
  </r>
  <r>
    <x v="3718"/>
    <s v="Jim"/>
    <x v="64"/>
    <d v="1899-12-30T13:22:05"/>
    <d v="2021-03-06T13:22:05"/>
    <x v="1"/>
    <x v="4"/>
    <x v="3"/>
    <x v="0"/>
    <s v="Y"/>
    <n v="35"/>
    <x v="0"/>
    <d v="1899-12-30T00:03:42"/>
    <n v="3"/>
  </r>
  <r>
    <x v="3719"/>
    <s v="Joe"/>
    <x v="64"/>
    <d v="1899-12-30T13:22:05"/>
    <d v="2021-03-06T13:22:05"/>
    <x v="1"/>
    <x v="4"/>
    <x v="4"/>
    <x v="0"/>
    <s v="Y"/>
    <n v="10"/>
    <x v="1"/>
    <d v="1899-12-30T00:04:22"/>
    <n v="2"/>
  </r>
  <r>
    <x v="3720"/>
    <s v="Jim"/>
    <x v="64"/>
    <d v="1899-12-30T13:32:10"/>
    <d v="2021-03-06T13:32:10"/>
    <x v="1"/>
    <x v="4"/>
    <x v="0"/>
    <x v="0"/>
    <s v="Y"/>
    <n v="114"/>
    <x v="0"/>
    <d v="1899-12-30T00:03:16"/>
    <n v="3"/>
  </r>
  <r>
    <x v="3721"/>
    <s v="Jim"/>
    <x v="64"/>
    <d v="1899-12-30T13:32:10"/>
    <d v="2021-03-06T13:32:10"/>
    <x v="1"/>
    <x v="4"/>
    <x v="4"/>
    <x v="0"/>
    <s v="Y"/>
    <n v="85"/>
    <x v="0"/>
    <d v="1899-12-30T00:02:01"/>
    <n v="4"/>
  </r>
  <r>
    <x v="3722"/>
    <s v="Greg"/>
    <x v="64"/>
    <d v="1899-12-30T13:42:14"/>
    <d v="2021-03-06T13:42:14"/>
    <x v="1"/>
    <x v="4"/>
    <x v="0"/>
    <x v="1"/>
    <s v="N"/>
    <m/>
    <x v="0"/>
    <m/>
    <m/>
  </r>
  <r>
    <x v="3723"/>
    <s v="Becky"/>
    <x v="64"/>
    <d v="1899-12-30T13:42:14"/>
    <d v="2021-03-06T13:42:14"/>
    <x v="1"/>
    <x v="4"/>
    <x v="3"/>
    <x v="0"/>
    <s v="Y"/>
    <n v="84"/>
    <x v="0"/>
    <d v="1899-12-30T00:06:06"/>
    <n v="3"/>
  </r>
  <r>
    <x v="3724"/>
    <s v="Jim"/>
    <x v="64"/>
    <d v="1899-12-30T13:46:34"/>
    <d v="2021-03-06T13:46:34"/>
    <x v="1"/>
    <x v="4"/>
    <x v="1"/>
    <x v="1"/>
    <s v="N"/>
    <m/>
    <x v="0"/>
    <m/>
    <m/>
  </r>
  <r>
    <x v="3725"/>
    <s v="Greg"/>
    <x v="64"/>
    <d v="1899-12-30T13:46:34"/>
    <d v="2021-03-06T13:46:34"/>
    <x v="1"/>
    <x v="4"/>
    <x v="4"/>
    <x v="0"/>
    <s v="Y"/>
    <n v="73"/>
    <x v="0"/>
    <d v="1899-12-30T00:02:12"/>
    <n v="3"/>
  </r>
  <r>
    <x v="3726"/>
    <s v="Becky"/>
    <x v="64"/>
    <d v="1899-12-30T13:49:26"/>
    <d v="2021-03-06T13:49:26"/>
    <x v="1"/>
    <x v="4"/>
    <x v="3"/>
    <x v="0"/>
    <s v="Y"/>
    <n v="22"/>
    <x v="0"/>
    <d v="1899-12-30T00:04:45"/>
    <n v="4"/>
  </r>
  <r>
    <x v="3727"/>
    <s v="Diane"/>
    <x v="64"/>
    <d v="1899-12-30T13:49:26"/>
    <d v="2021-03-06T13:49:26"/>
    <x v="1"/>
    <x v="4"/>
    <x v="3"/>
    <x v="0"/>
    <s v="Y"/>
    <n v="102"/>
    <x v="0"/>
    <d v="1899-12-30T00:03:29"/>
    <n v="5"/>
  </r>
  <r>
    <x v="3728"/>
    <s v="Diane"/>
    <x v="64"/>
    <d v="1899-12-30T14:25:26"/>
    <d v="2021-03-06T14:25:26"/>
    <x v="1"/>
    <x v="5"/>
    <x v="4"/>
    <x v="0"/>
    <s v="Y"/>
    <n v="14"/>
    <x v="1"/>
    <d v="1899-12-30T00:03:19"/>
    <n v="3"/>
  </r>
  <r>
    <x v="3729"/>
    <s v="Greg"/>
    <x v="64"/>
    <d v="1899-12-30T14:25:26"/>
    <d v="2021-03-06T14:25:26"/>
    <x v="1"/>
    <x v="5"/>
    <x v="3"/>
    <x v="1"/>
    <s v="N"/>
    <m/>
    <x v="0"/>
    <m/>
    <m/>
  </r>
  <r>
    <x v="3730"/>
    <s v="Becky"/>
    <x v="64"/>
    <d v="1899-12-30T14:28:19"/>
    <d v="2021-03-06T14:28:19"/>
    <x v="1"/>
    <x v="5"/>
    <x v="4"/>
    <x v="1"/>
    <s v="N"/>
    <m/>
    <x v="0"/>
    <m/>
    <m/>
  </r>
  <r>
    <x v="3731"/>
    <s v="Jim"/>
    <x v="64"/>
    <d v="1899-12-30T14:28:19"/>
    <d v="2021-03-06T14:28:19"/>
    <x v="1"/>
    <x v="5"/>
    <x v="2"/>
    <x v="0"/>
    <s v="Y"/>
    <n v="66"/>
    <x v="0"/>
    <d v="1899-12-30T00:03:10"/>
    <n v="1"/>
  </r>
  <r>
    <x v="3732"/>
    <s v="Becky"/>
    <x v="64"/>
    <d v="1899-12-30T16:10:34"/>
    <d v="2021-03-06T16:10:34"/>
    <x v="1"/>
    <x v="8"/>
    <x v="0"/>
    <x v="0"/>
    <s v="Y"/>
    <n v="57"/>
    <x v="0"/>
    <d v="1899-12-30T00:03:23"/>
    <n v="5"/>
  </r>
  <r>
    <x v="3733"/>
    <s v="Dan"/>
    <x v="64"/>
    <d v="1899-12-30T16:10:34"/>
    <d v="2021-03-06T16:10:34"/>
    <x v="1"/>
    <x v="8"/>
    <x v="2"/>
    <x v="0"/>
    <s v="Y"/>
    <n v="40"/>
    <x v="0"/>
    <d v="1899-12-30T00:05:17"/>
    <n v="4"/>
  </r>
  <r>
    <x v="3734"/>
    <s v="Jim"/>
    <x v="64"/>
    <d v="1899-12-30T16:27:50"/>
    <d v="2021-03-06T16:27:50"/>
    <x v="1"/>
    <x v="8"/>
    <x v="0"/>
    <x v="0"/>
    <s v="Y"/>
    <n v="90"/>
    <x v="0"/>
    <d v="1899-12-30T00:02:48"/>
    <n v="4"/>
  </r>
  <r>
    <x v="3735"/>
    <s v="Diane"/>
    <x v="64"/>
    <d v="1899-12-30T16:27:50"/>
    <d v="2021-03-06T16:27:50"/>
    <x v="1"/>
    <x v="8"/>
    <x v="1"/>
    <x v="0"/>
    <s v="Y"/>
    <n v="74"/>
    <x v="0"/>
    <d v="1899-12-30T00:01:24"/>
    <n v="4"/>
  </r>
  <r>
    <x v="3736"/>
    <s v="Diane"/>
    <x v="64"/>
    <d v="1899-12-30T16:32:10"/>
    <d v="2021-03-06T16:32:10"/>
    <x v="1"/>
    <x v="8"/>
    <x v="4"/>
    <x v="0"/>
    <s v="Y"/>
    <n v="65"/>
    <x v="0"/>
    <d v="1899-12-30T00:06:29"/>
    <n v="3"/>
  </r>
  <r>
    <x v="3737"/>
    <s v="Jim"/>
    <x v="64"/>
    <d v="1899-12-30T16:32:10"/>
    <d v="2021-03-06T16:32:10"/>
    <x v="1"/>
    <x v="8"/>
    <x v="2"/>
    <x v="0"/>
    <s v="Y"/>
    <n v="125"/>
    <x v="0"/>
    <d v="1899-12-30T00:00:42"/>
    <n v="5"/>
  </r>
  <r>
    <x v="3738"/>
    <s v="Diane"/>
    <x v="64"/>
    <d v="1899-12-30T16:35:02"/>
    <d v="2021-03-06T16:35:02"/>
    <x v="1"/>
    <x v="8"/>
    <x v="0"/>
    <x v="1"/>
    <s v="N"/>
    <m/>
    <x v="0"/>
    <m/>
    <m/>
  </r>
  <r>
    <x v="3739"/>
    <s v="Dan"/>
    <x v="64"/>
    <d v="1899-12-30T16:35:02"/>
    <d v="2021-03-06T16:35:02"/>
    <x v="1"/>
    <x v="8"/>
    <x v="1"/>
    <x v="0"/>
    <s v="N"/>
    <n v="71"/>
    <x v="0"/>
    <d v="1899-12-30T00:06:02"/>
    <n v="5"/>
  </r>
  <r>
    <x v="3740"/>
    <s v="Stewart"/>
    <x v="64"/>
    <d v="1899-12-30T16:40:48"/>
    <d v="2021-03-06T16:40:48"/>
    <x v="1"/>
    <x v="8"/>
    <x v="0"/>
    <x v="0"/>
    <s v="Y"/>
    <n v="37"/>
    <x v="0"/>
    <d v="1899-12-30T00:02:01"/>
    <n v="1"/>
  </r>
  <r>
    <x v="3741"/>
    <s v="Greg"/>
    <x v="64"/>
    <d v="1899-12-30T16:40:48"/>
    <d v="2021-03-06T16:40:48"/>
    <x v="1"/>
    <x v="8"/>
    <x v="1"/>
    <x v="0"/>
    <s v="Y"/>
    <n v="119"/>
    <x v="0"/>
    <d v="1899-12-30T00:06:19"/>
    <n v="4"/>
  </r>
  <r>
    <x v="3742"/>
    <s v="Martha"/>
    <x v="64"/>
    <d v="1899-12-30T16:49:26"/>
    <d v="2021-03-06T16:49:26"/>
    <x v="1"/>
    <x v="8"/>
    <x v="3"/>
    <x v="0"/>
    <s v="Y"/>
    <n v="22"/>
    <x v="0"/>
    <d v="1899-12-30T00:01:23"/>
    <n v="4"/>
  </r>
  <r>
    <x v="3743"/>
    <s v="Dan"/>
    <x v="64"/>
    <d v="1899-12-30T16:49:26"/>
    <d v="2021-03-06T16:49:26"/>
    <x v="1"/>
    <x v="8"/>
    <x v="1"/>
    <x v="0"/>
    <s v="Y"/>
    <n v="76"/>
    <x v="0"/>
    <d v="1899-12-30T00:01:12"/>
    <n v="5"/>
  </r>
  <r>
    <x v="3744"/>
    <s v="Greg"/>
    <x v="64"/>
    <d v="1899-12-30T17:15:22"/>
    <d v="2021-03-06T17:15:22"/>
    <x v="1"/>
    <x v="7"/>
    <x v="3"/>
    <x v="1"/>
    <s v="N"/>
    <m/>
    <x v="0"/>
    <m/>
    <m/>
  </r>
  <r>
    <x v="3745"/>
    <s v="Martha"/>
    <x v="64"/>
    <d v="1899-12-30T17:15:22"/>
    <d v="2021-03-06T17:15:22"/>
    <x v="1"/>
    <x v="7"/>
    <x v="4"/>
    <x v="0"/>
    <s v="N"/>
    <n v="125"/>
    <x v="0"/>
    <d v="1899-12-30T00:04:56"/>
    <n v="5"/>
  </r>
  <r>
    <x v="3746"/>
    <s v="Diane"/>
    <x v="64"/>
    <d v="1899-12-30T17:18:14"/>
    <d v="2021-03-06T17:18:14"/>
    <x v="1"/>
    <x v="7"/>
    <x v="2"/>
    <x v="0"/>
    <s v="N"/>
    <n v="34"/>
    <x v="0"/>
    <d v="1899-12-30T00:03:53"/>
    <n v="1"/>
  </r>
  <r>
    <x v="3747"/>
    <s v="Diane"/>
    <x v="64"/>
    <d v="1899-12-30T17:18:14"/>
    <d v="2021-03-06T17:18:14"/>
    <x v="1"/>
    <x v="7"/>
    <x v="3"/>
    <x v="0"/>
    <s v="Y"/>
    <n v="121"/>
    <x v="0"/>
    <d v="1899-12-30T00:06:28"/>
    <n v="3"/>
  </r>
  <r>
    <x v="3748"/>
    <s v="Diane"/>
    <x v="64"/>
    <d v="1899-12-30T17:22:34"/>
    <d v="2021-03-06T17:22:34"/>
    <x v="1"/>
    <x v="7"/>
    <x v="1"/>
    <x v="1"/>
    <s v="N"/>
    <m/>
    <x v="0"/>
    <m/>
    <m/>
  </r>
  <r>
    <x v="3749"/>
    <s v="Greg"/>
    <x v="64"/>
    <d v="1899-12-30T17:22:34"/>
    <d v="2021-03-06T17:22:34"/>
    <x v="1"/>
    <x v="7"/>
    <x v="2"/>
    <x v="1"/>
    <s v="N"/>
    <m/>
    <x v="0"/>
    <m/>
    <m/>
  </r>
  <r>
    <x v="3750"/>
    <s v="Martha"/>
    <x v="64"/>
    <d v="1899-12-30T17:22:34"/>
    <d v="2021-03-06T17:22:34"/>
    <x v="1"/>
    <x v="7"/>
    <x v="4"/>
    <x v="0"/>
    <s v="Y"/>
    <n v="17"/>
    <x v="1"/>
    <d v="1899-12-30T00:02:02"/>
    <n v="1"/>
  </r>
  <r>
    <x v="3751"/>
    <s v="Dan"/>
    <x v="64"/>
    <d v="1899-12-30T17:22:34"/>
    <d v="2021-03-06T17:22:34"/>
    <x v="1"/>
    <x v="7"/>
    <x v="0"/>
    <x v="0"/>
    <s v="Y"/>
    <n v="65"/>
    <x v="0"/>
    <d v="1899-12-30T00:05:23"/>
    <n v="1"/>
  </r>
  <r>
    <x v="3752"/>
    <s v="Stewart"/>
    <x v="65"/>
    <d v="1899-12-30T09:59:02"/>
    <d v="2021-03-07T09:59:02"/>
    <x v="2"/>
    <x v="0"/>
    <x v="1"/>
    <x v="0"/>
    <s v="Y"/>
    <n v="65"/>
    <x v="0"/>
    <d v="1899-12-30T00:04:27"/>
    <n v="5"/>
  </r>
  <r>
    <x v="3753"/>
    <s v="Jim"/>
    <x v="65"/>
    <d v="1899-12-30T09:59:02"/>
    <d v="2021-03-07T09:59:02"/>
    <x v="2"/>
    <x v="0"/>
    <x v="2"/>
    <x v="1"/>
    <s v="N"/>
    <m/>
    <x v="0"/>
    <m/>
    <m/>
  </r>
  <r>
    <x v="3754"/>
    <s v="Martha"/>
    <x v="65"/>
    <d v="1899-12-30T10:01:55"/>
    <d v="2021-03-07T10:01:55"/>
    <x v="2"/>
    <x v="1"/>
    <x v="2"/>
    <x v="0"/>
    <s v="Y"/>
    <n v="96"/>
    <x v="0"/>
    <d v="1899-12-30T00:06:46"/>
    <n v="1"/>
  </r>
  <r>
    <x v="3755"/>
    <s v="Diane"/>
    <x v="65"/>
    <d v="1899-12-30T10:01:55"/>
    <d v="2021-03-07T10:01:55"/>
    <x v="2"/>
    <x v="1"/>
    <x v="0"/>
    <x v="0"/>
    <s v="Y"/>
    <n v="23"/>
    <x v="0"/>
    <d v="1899-12-30T00:06:54"/>
    <n v="4"/>
  </r>
  <r>
    <x v="3756"/>
    <s v="Martha"/>
    <x v="65"/>
    <d v="1899-12-30T10:58:05"/>
    <d v="2021-03-07T10:58:05"/>
    <x v="2"/>
    <x v="1"/>
    <x v="1"/>
    <x v="1"/>
    <s v="N"/>
    <m/>
    <x v="0"/>
    <m/>
    <m/>
  </r>
  <r>
    <x v="3757"/>
    <s v="Joe"/>
    <x v="65"/>
    <d v="1899-12-30T10:58:05"/>
    <d v="2021-03-07T10:58:05"/>
    <x v="2"/>
    <x v="1"/>
    <x v="3"/>
    <x v="1"/>
    <s v="N"/>
    <m/>
    <x v="0"/>
    <m/>
    <m/>
  </r>
  <r>
    <x v="3758"/>
    <s v="Jim"/>
    <x v="65"/>
    <d v="1899-12-30T12:01:26"/>
    <d v="2021-03-07T12:01:26"/>
    <x v="2"/>
    <x v="3"/>
    <x v="2"/>
    <x v="0"/>
    <s v="Y"/>
    <n v="105"/>
    <x v="0"/>
    <d v="1899-12-30T00:02:00"/>
    <n v="4"/>
  </r>
  <r>
    <x v="3759"/>
    <s v="Dan"/>
    <x v="65"/>
    <d v="1899-12-30T12:01:26"/>
    <d v="2021-03-07T12:01:26"/>
    <x v="2"/>
    <x v="3"/>
    <x v="3"/>
    <x v="1"/>
    <s v="N"/>
    <m/>
    <x v="0"/>
    <m/>
    <m/>
  </r>
  <r>
    <x v="3760"/>
    <s v="Jim"/>
    <x v="65"/>
    <d v="1899-12-30T12:07:12"/>
    <d v="2021-03-07T12:07:12"/>
    <x v="2"/>
    <x v="3"/>
    <x v="4"/>
    <x v="0"/>
    <s v="Y"/>
    <n v="42"/>
    <x v="0"/>
    <d v="1899-12-30T00:01:56"/>
    <n v="5"/>
  </r>
  <r>
    <x v="3761"/>
    <s v="Jim"/>
    <x v="65"/>
    <d v="1899-12-30T12:07:12"/>
    <d v="2021-03-07T12:07:12"/>
    <x v="2"/>
    <x v="3"/>
    <x v="3"/>
    <x v="0"/>
    <s v="Y"/>
    <n v="79"/>
    <x v="0"/>
    <d v="1899-12-30T00:02:07"/>
    <n v="4"/>
  </r>
  <r>
    <x v="3762"/>
    <s v="Diane"/>
    <x v="65"/>
    <d v="1899-12-30T12:21:36"/>
    <d v="2021-03-07T12:21:36"/>
    <x v="2"/>
    <x v="3"/>
    <x v="0"/>
    <x v="1"/>
    <s v="N"/>
    <m/>
    <x v="0"/>
    <m/>
    <m/>
  </r>
  <r>
    <x v="3763"/>
    <s v="Martha"/>
    <x v="65"/>
    <d v="1899-12-30T12:21:36"/>
    <d v="2021-03-07T12:21:36"/>
    <x v="2"/>
    <x v="3"/>
    <x v="2"/>
    <x v="0"/>
    <s v="Y"/>
    <n v="35"/>
    <x v="0"/>
    <d v="1899-12-30T00:01:02"/>
    <n v="5"/>
  </r>
  <r>
    <x v="3764"/>
    <s v="Martha"/>
    <x v="65"/>
    <d v="1899-12-30T12:33:07"/>
    <d v="2021-03-07T12:33:07"/>
    <x v="2"/>
    <x v="3"/>
    <x v="2"/>
    <x v="0"/>
    <s v="Y"/>
    <n v="70"/>
    <x v="0"/>
    <d v="1899-12-30T00:06:44"/>
    <n v="4"/>
  </r>
  <r>
    <x v="3765"/>
    <s v="Becky"/>
    <x v="65"/>
    <d v="1899-12-30T12:33:07"/>
    <d v="2021-03-07T12:33:07"/>
    <x v="2"/>
    <x v="3"/>
    <x v="3"/>
    <x v="0"/>
    <s v="Y"/>
    <n v="104"/>
    <x v="0"/>
    <d v="1899-12-30T00:06:28"/>
    <n v="4"/>
  </r>
  <r>
    <x v="3766"/>
    <s v="Greg"/>
    <x v="65"/>
    <d v="1899-12-30T13:06:14"/>
    <d v="2021-03-07T13:06:14"/>
    <x v="2"/>
    <x v="4"/>
    <x v="3"/>
    <x v="0"/>
    <s v="Y"/>
    <n v="103"/>
    <x v="0"/>
    <d v="1899-12-30T00:02:11"/>
    <n v="3"/>
  </r>
  <r>
    <x v="3767"/>
    <s v="Greg"/>
    <x v="65"/>
    <d v="1899-12-30T13:06:14"/>
    <d v="2021-03-07T13:06:14"/>
    <x v="2"/>
    <x v="4"/>
    <x v="4"/>
    <x v="1"/>
    <s v="N"/>
    <m/>
    <x v="0"/>
    <m/>
    <m/>
  </r>
  <r>
    <x v="3768"/>
    <s v="Becky"/>
    <x v="65"/>
    <d v="1899-12-30T13:20:38"/>
    <d v="2021-03-07T13:20:38"/>
    <x v="2"/>
    <x v="4"/>
    <x v="2"/>
    <x v="0"/>
    <s v="Y"/>
    <n v="22"/>
    <x v="0"/>
    <d v="1899-12-30T00:06:19"/>
    <n v="3"/>
  </r>
  <r>
    <x v="3769"/>
    <s v="Stewart"/>
    <x v="65"/>
    <d v="1899-12-30T13:20:38"/>
    <d v="2021-03-07T13:20:38"/>
    <x v="2"/>
    <x v="4"/>
    <x v="0"/>
    <x v="0"/>
    <s v="Y"/>
    <n v="48"/>
    <x v="0"/>
    <d v="1899-12-30T00:05:50"/>
    <n v="2"/>
  </r>
  <r>
    <x v="3770"/>
    <s v="Becky"/>
    <x v="65"/>
    <d v="1899-12-30T13:40:48"/>
    <d v="2021-03-07T13:40:48"/>
    <x v="2"/>
    <x v="4"/>
    <x v="2"/>
    <x v="1"/>
    <s v="N"/>
    <m/>
    <x v="0"/>
    <m/>
    <m/>
  </r>
  <r>
    <x v="3771"/>
    <s v="Stewart"/>
    <x v="65"/>
    <d v="1899-12-30T13:40:48"/>
    <d v="2021-03-07T13:40:48"/>
    <x v="2"/>
    <x v="4"/>
    <x v="1"/>
    <x v="0"/>
    <s v="Y"/>
    <n v="12"/>
    <x v="1"/>
    <d v="1899-12-30T00:02:32"/>
    <n v="3"/>
  </r>
  <r>
    <x v="3772"/>
    <s v="Joe"/>
    <x v="65"/>
    <d v="1899-12-30T13:46:34"/>
    <d v="2021-03-07T13:46:34"/>
    <x v="2"/>
    <x v="4"/>
    <x v="1"/>
    <x v="0"/>
    <s v="Y"/>
    <n v="16"/>
    <x v="1"/>
    <d v="1899-12-30T00:04:36"/>
    <n v="3"/>
  </r>
  <r>
    <x v="3773"/>
    <s v="Joe"/>
    <x v="65"/>
    <d v="1899-12-30T13:46:34"/>
    <d v="2021-03-07T13:46:34"/>
    <x v="2"/>
    <x v="4"/>
    <x v="0"/>
    <x v="0"/>
    <s v="Y"/>
    <n v="116"/>
    <x v="0"/>
    <d v="1899-12-30T00:04:01"/>
    <n v="2"/>
  </r>
  <r>
    <x v="3774"/>
    <s v="Greg"/>
    <x v="65"/>
    <d v="1899-12-30T13:52:19"/>
    <d v="2021-03-07T13:52:19"/>
    <x v="2"/>
    <x v="4"/>
    <x v="3"/>
    <x v="1"/>
    <s v="N"/>
    <m/>
    <x v="0"/>
    <m/>
    <m/>
  </r>
  <r>
    <x v="3775"/>
    <s v="Greg"/>
    <x v="65"/>
    <d v="1899-12-30T13:52:19"/>
    <d v="2021-03-07T13:52:19"/>
    <x v="2"/>
    <x v="4"/>
    <x v="3"/>
    <x v="0"/>
    <s v="Y"/>
    <n v="25"/>
    <x v="0"/>
    <d v="1899-12-30T00:02:23"/>
    <n v="2"/>
  </r>
  <r>
    <x v="3776"/>
    <s v="Greg"/>
    <x v="65"/>
    <d v="1899-12-30T13:53:46"/>
    <d v="2021-03-07T13:53:46"/>
    <x v="2"/>
    <x v="4"/>
    <x v="3"/>
    <x v="0"/>
    <s v="Y"/>
    <n v="30"/>
    <x v="0"/>
    <d v="1899-12-30T00:04:35"/>
    <n v="4"/>
  </r>
  <r>
    <x v="3777"/>
    <s v="Joe"/>
    <x v="65"/>
    <d v="1899-12-30T13:53:46"/>
    <d v="2021-03-07T13:53:46"/>
    <x v="2"/>
    <x v="4"/>
    <x v="1"/>
    <x v="1"/>
    <s v="N"/>
    <m/>
    <x v="0"/>
    <m/>
    <m/>
  </r>
  <r>
    <x v="3778"/>
    <s v="Jim"/>
    <x v="65"/>
    <d v="1899-12-30T14:35:31"/>
    <d v="2021-03-07T14:35:31"/>
    <x v="2"/>
    <x v="5"/>
    <x v="1"/>
    <x v="0"/>
    <s v="Y"/>
    <n v="29"/>
    <x v="0"/>
    <d v="1899-12-30T00:03:55"/>
    <n v="2"/>
  </r>
  <r>
    <x v="3779"/>
    <s v="Jim"/>
    <x v="65"/>
    <d v="1899-12-30T14:35:31"/>
    <d v="2021-03-07T14:35:31"/>
    <x v="2"/>
    <x v="5"/>
    <x v="2"/>
    <x v="0"/>
    <s v="Y"/>
    <n v="23"/>
    <x v="0"/>
    <d v="1899-12-30T00:03:16"/>
    <n v="4"/>
  </r>
  <r>
    <x v="3780"/>
    <s v="Stewart"/>
    <x v="65"/>
    <d v="1899-12-30T14:42:43"/>
    <d v="2021-03-07T14:42:43"/>
    <x v="2"/>
    <x v="5"/>
    <x v="0"/>
    <x v="0"/>
    <s v="Y"/>
    <n v="11"/>
    <x v="1"/>
    <d v="1899-12-30T00:05:10"/>
    <n v="5"/>
  </r>
  <r>
    <x v="3781"/>
    <s v="Martha"/>
    <x v="65"/>
    <d v="1899-12-30T14:42:43"/>
    <d v="2021-03-07T14:42:43"/>
    <x v="2"/>
    <x v="5"/>
    <x v="0"/>
    <x v="0"/>
    <s v="Y"/>
    <n v="114"/>
    <x v="0"/>
    <d v="1899-12-30T00:02:36"/>
    <n v="3"/>
  </r>
  <r>
    <x v="3782"/>
    <s v="Jim"/>
    <x v="65"/>
    <d v="1899-12-30T15:25:55"/>
    <d v="2021-03-07T15:25:55"/>
    <x v="2"/>
    <x v="6"/>
    <x v="4"/>
    <x v="0"/>
    <s v="Y"/>
    <n v="27"/>
    <x v="0"/>
    <d v="1899-12-30T00:00:53"/>
    <n v="3"/>
  </r>
  <r>
    <x v="3783"/>
    <s v="Dan"/>
    <x v="65"/>
    <d v="1899-12-30T15:25:55"/>
    <d v="2021-03-07T15:25:55"/>
    <x v="2"/>
    <x v="6"/>
    <x v="4"/>
    <x v="0"/>
    <s v="Y"/>
    <n v="64"/>
    <x v="0"/>
    <d v="1899-12-30T00:03:27"/>
    <n v="3"/>
  </r>
  <r>
    <x v="3784"/>
    <s v="Becky"/>
    <x v="65"/>
    <d v="1899-12-30T15:30:14"/>
    <d v="2021-03-07T15:30:14"/>
    <x v="2"/>
    <x v="6"/>
    <x v="3"/>
    <x v="0"/>
    <s v="Y"/>
    <n v="59"/>
    <x v="0"/>
    <d v="1899-12-30T00:03:40"/>
    <n v="2"/>
  </r>
  <r>
    <x v="3785"/>
    <s v="Martha"/>
    <x v="65"/>
    <d v="1899-12-30T15:30:14"/>
    <d v="2021-03-07T15:30:14"/>
    <x v="2"/>
    <x v="6"/>
    <x v="1"/>
    <x v="1"/>
    <s v="N"/>
    <m/>
    <x v="0"/>
    <m/>
    <m/>
  </r>
  <r>
    <x v="3786"/>
    <s v="Joe"/>
    <x v="65"/>
    <d v="1899-12-30T15:36:00"/>
    <d v="2021-03-07T15:36:00"/>
    <x v="2"/>
    <x v="6"/>
    <x v="2"/>
    <x v="0"/>
    <s v="Y"/>
    <n v="10"/>
    <x v="1"/>
    <d v="1899-12-30T00:03:26"/>
    <n v="5"/>
  </r>
  <r>
    <x v="3787"/>
    <s v="Martha"/>
    <x v="65"/>
    <d v="1899-12-30T15:36:00"/>
    <d v="2021-03-07T15:36:00"/>
    <x v="2"/>
    <x v="6"/>
    <x v="3"/>
    <x v="0"/>
    <s v="Y"/>
    <n v="84"/>
    <x v="0"/>
    <d v="1899-12-30T00:01:40"/>
    <n v="2"/>
  </r>
  <r>
    <x v="3788"/>
    <s v="Diane"/>
    <x v="65"/>
    <d v="1899-12-30T15:59:02"/>
    <d v="2021-03-07T15:59:02"/>
    <x v="2"/>
    <x v="6"/>
    <x v="0"/>
    <x v="1"/>
    <s v="N"/>
    <m/>
    <x v="0"/>
    <m/>
    <m/>
  </r>
  <r>
    <x v="3789"/>
    <s v="Jim"/>
    <x v="65"/>
    <d v="1899-12-30T15:59:02"/>
    <d v="2021-03-07T15:59:02"/>
    <x v="2"/>
    <x v="6"/>
    <x v="3"/>
    <x v="1"/>
    <s v="N"/>
    <m/>
    <x v="0"/>
    <m/>
    <m/>
  </r>
  <r>
    <x v="3790"/>
    <s v="Dan"/>
    <x v="65"/>
    <d v="1899-12-30T16:24:58"/>
    <d v="2021-03-07T16:24:58"/>
    <x v="2"/>
    <x v="8"/>
    <x v="3"/>
    <x v="1"/>
    <s v="N"/>
    <m/>
    <x v="0"/>
    <m/>
    <m/>
  </r>
  <r>
    <x v="3791"/>
    <s v="Greg"/>
    <x v="65"/>
    <d v="1899-12-30T16:24:58"/>
    <d v="2021-03-07T16:24:58"/>
    <x v="2"/>
    <x v="8"/>
    <x v="3"/>
    <x v="0"/>
    <s v="N"/>
    <n v="56"/>
    <x v="0"/>
    <d v="1899-12-30T00:01:07"/>
    <n v="5"/>
  </r>
  <r>
    <x v="3792"/>
    <s v="Diane"/>
    <x v="65"/>
    <d v="1899-12-30T16:43:41"/>
    <d v="2021-03-07T16:43:41"/>
    <x v="2"/>
    <x v="8"/>
    <x v="1"/>
    <x v="1"/>
    <s v="N"/>
    <m/>
    <x v="0"/>
    <m/>
    <m/>
  </r>
  <r>
    <x v="3793"/>
    <s v="Jim"/>
    <x v="65"/>
    <d v="1899-12-30T16:43:41"/>
    <d v="2021-03-07T16:43:41"/>
    <x v="2"/>
    <x v="8"/>
    <x v="2"/>
    <x v="0"/>
    <s v="Y"/>
    <n v="119"/>
    <x v="0"/>
    <d v="1899-12-30T00:06:29"/>
    <n v="4"/>
  </r>
  <r>
    <x v="3794"/>
    <s v="Diane"/>
    <x v="65"/>
    <d v="1899-12-30T16:46:34"/>
    <d v="2021-03-07T16:46:34"/>
    <x v="2"/>
    <x v="8"/>
    <x v="4"/>
    <x v="0"/>
    <s v="Y"/>
    <n v="19"/>
    <x v="1"/>
    <d v="1899-12-30T00:02:23"/>
    <n v="3"/>
  </r>
  <r>
    <x v="3795"/>
    <s v="Jim"/>
    <x v="65"/>
    <d v="1899-12-30T16:46:34"/>
    <d v="2021-03-07T16:46:34"/>
    <x v="2"/>
    <x v="8"/>
    <x v="0"/>
    <x v="0"/>
    <s v="Y"/>
    <n v="96"/>
    <x v="0"/>
    <d v="1899-12-30T00:05:21"/>
    <n v="4"/>
  </r>
  <r>
    <x v="3796"/>
    <s v="Joe"/>
    <x v="65"/>
    <d v="1899-12-30T16:58:05"/>
    <d v="2021-03-07T16:58:05"/>
    <x v="2"/>
    <x v="8"/>
    <x v="3"/>
    <x v="0"/>
    <s v="Y"/>
    <n v="13"/>
    <x v="1"/>
    <d v="1899-12-30T00:01:37"/>
    <n v="5"/>
  </r>
  <r>
    <x v="3797"/>
    <s v="Becky"/>
    <x v="65"/>
    <d v="1899-12-30T16:58:05"/>
    <d v="2021-03-07T16:58:05"/>
    <x v="2"/>
    <x v="8"/>
    <x v="3"/>
    <x v="0"/>
    <s v="N"/>
    <n v="22"/>
    <x v="0"/>
    <d v="1899-12-30T00:05:49"/>
    <n v="5"/>
  </r>
  <r>
    <x v="3798"/>
    <s v="Stewart"/>
    <x v="65"/>
    <d v="1899-12-30T17:15:22"/>
    <d v="2021-03-07T17:15:22"/>
    <x v="2"/>
    <x v="7"/>
    <x v="4"/>
    <x v="1"/>
    <s v="N"/>
    <m/>
    <x v="0"/>
    <m/>
    <m/>
  </r>
  <r>
    <x v="3799"/>
    <s v="Dan"/>
    <x v="65"/>
    <d v="1899-12-30T17:15:22"/>
    <d v="2021-03-07T17:15:22"/>
    <x v="2"/>
    <x v="7"/>
    <x v="1"/>
    <x v="1"/>
    <s v="N"/>
    <m/>
    <x v="0"/>
    <m/>
    <m/>
  </r>
  <r>
    <x v="3800"/>
    <s v="Dan"/>
    <x v="66"/>
    <d v="1899-12-30T09:07:12"/>
    <d v="2021-03-08T09:07:12"/>
    <x v="3"/>
    <x v="0"/>
    <x v="3"/>
    <x v="0"/>
    <s v="Y"/>
    <n v="43"/>
    <x v="0"/>
    <d v="1899-12-30T00:03:24"/>
    <n v="3"/>
  </r>
  <r>
    <x v="3801"/>
    <s v="Martha"/>
    <x v="66"/>
    <d v="1899-12-30T09:07:12"/>
    <d v="2021-03-08T09:07:12"/>
    <x v="3"/>
    <x v="0"/>
    <x v="0"/>
    <x v="0"/>
    <s v="Y"/>
    <n v="39"/>
    <x v="0"/>
    <d v="1899-12-30T00:03:59"/>
    <n v="2"/>
  </r>
  <r>
    <x v="3802"/>
    <s v="Diane"/>
    <x v="66"/>
    <d v="1899-12-30T09:57:36"/>
    <d v="2021-03-08T09:57:36"/>
    <x v="3"/>
    <x v="0"/>
    <x v="1"/>
    <x v="0"/>
    <s v="Y"/>
    <n v="26"/>
    <x v="0"/>
    <d v="1899-12-30T00:01:39"/>
    <n v="5"/>
  </r>
  <r>
    <x v="3803"/>
    <s v="Becky"/>
    <x v="66"/>
    <d v="1899-12-30T09:57:36"/>
    <d v="2021-03-08T09:57:36"/>
    <x v="3"/>
    <x v="0"/>
    <x v="4"/>
    <x v="0"/>
    <s v="Y"/>
    <n v="27"/>
    <x v="0"/>
    <d v="1899-12-30T00:04:14"/>
    <n v="2"/>
  </r>
  <r>
    <x v="3804"/>
    <s v="Diane"/>
    <x v="66"/>
    <d v="1899-12-30T10:24:58"/>
    <d v="2021-03-08T10:24:58"/>
    <x v="3"/>
    <x v="1"/>
    <x v="2"/>
    <x v="0"/>
    <s v="Y"/>
    <n v="72"/>
    <x v="0"/>
    <d v="1899-12-30T00:07:00"/>
    <n v="5"/>
  </r>
  <r>
    <x v="3805"/>
    <s v="Dan"/>
    <x v="66"/>
    <d v="1899-12-30T10:24:58"/>
    <d v="2021-03-08T10:24:58"/>
    <x v="3"/>
    <x v="1"/>
    <x v="0"/>
    <x v="0"/>
    <s v="Y"/>
    <n v="77"/>
    <x v="0"/>
    <d v="1899-12-30T00:00:31"/>
    <n v="4"/>
  </r>
  <r>
    <x v="3806"/>
    <s v="Martha"/>
    <x v="66"/>
    <d v="1899-12-30T10:29:17"/>
    <d v="2021-03-08T10:29:17"/>
    <x v="3"/>
    <x v="1"/>
    <x v="3"/>
    <x v="0"/>
    <s v="Y"/>
    <n v="119"/>
    <x v="0"/>
    <d v="1899-12-30T00:00:51"/>
    <n v="3"/>
  </r>
  <r>
    <x v="3807"/>
    <s v="Diane"/>
    <x v="66"/>
    <d v="1899-12-30T10:29:17"/>
    <d v="2021-03-08T10:29:17"/>
    <x v="3"/>
    <x v="1"/>
    <x v="0"/>
    <x v="0"/>
    <s v="Y"/>
    <n v="30"/>
    <x v="0"/>
    <d v="1899-12-30T00:01:53"/>
    <n v="4"/>
  </r>
  <r>
    <x v="3808"/>
    <s v="Becky"/>
    <x v="66"/>
    <d v="1899-12-30T10:36:29"/>
    <d v="2021-03-08T10:36:29"/>
    <x v="3"/>
    <x v="1"/>
    <x v="2"/>
    <x v="0"/>
    <s v="Y"/>
    <n v="112"/>
    <x v="0"/>
    <d v="1899-12-30T00:03:46"/>
    <n v="4"/>
  </r>
  <r>
    <x v="3809"/>
    <s v="Jim"/>
    <x v="66"/>
    <d v="1899-12-30T10:36:29"/>
    <d v="2021-03-08T10:36:29"/>
    <x v="3"/>
    <x v="1"/>
    <x v="3"/>
    <x v="0"/>
    <s v="Y"/>
    <n v="34"/>
    <x v="0"/>
    <d v="1899-12-30T00:05:17"/>
    <n v="2"/>
  </r>
  <r>
    <x v="3810"/>
    <s v="Greg"/>
    <x v="66"/>
    <d v="1899-12-30T11:19:41"/>
    <d v="2021-03-08T11:19:41"/>
    <x v="3"/>
    <x v="2"/>
    <x v="1"/>
    <x v="0"/>
    <s v="Y"/>
    <n v="99"/>
    <x v="0"/>
    <d v="1899-12-30T00:01:25"/>
    <n v="3"/>
  </r>
  <r>
    <x v="3811"/>
    <s v="Greg"/>
    <x v="66"/>
    <d v="1899-12-30T11:19:41"/>
    <d v="2021-03-08T11:19:41"/>
    <x v="3"/>
    <x v="2"/>
    <x v="3"/>
    <x v="1"/>
    <s v="N"/>
    <m/>
    <x v="0"/>
    <m/>
    <m/>
  </r>
  <r>
    <x v="3812"/>
    <s v="Jim"/>
    <x v="66"/>
    <d v="1899-12-30T11:22:34"/>
    <d v="2021-03-08T11:22:34"/>
    <x v="3"/>
    <x v="2"/>
    <x v="3"/>
    <x v="0"/>
    <s v="Y"/>
    <n v="40"/>
    <x v="0"/>
    <d v="1899-12-30T00:02:48"/>
    <n v="4"/>
  </r>
  <r>
    <x v="3813"/>
    <s v="Martha"/>
    <x v="66"/>
    <d v="1899-12-30T11:22:34"/>
    <d v="2021-03-08T11:22:34"/>
    <x v="3"/>
    <x v="2"/>
    <x v="4"/>
    <x v="0"/>
    <s v="Y"/>
    <n v="55"/>
    <x v="0"/>
    <d v="1899-12-30T00:03:18"/>
    <n v="3"/>
  </r>
  <r>
    <x v="3814"/>
    <s v="Greg"/>
    <x v="66"/>
    <d v="1899-12-30T12:23:02"/>
    <d v="2021-03-08T12:23:02"/>
    <x v="3"/>
    <x v="3"/>
    <x v="3"/>
    <x v="0"/>
    <s v="Y"/>
    <n v="79"/>
    <x v="0"/>
    <d v="1899-12-30T00:01:25"/>
    <n v="3"/>
  </r>
  <r>
    <x v="3815"/>
    <s v="Greg"/>
    <x v="66"/>
    <d v="1899-12-30T12:23:02"/>
    <d v="2021-03-08T12:23:02"/>
    <x v="3"/>
    <x v="3"/>
    <x v="1"/>
    <x v="0"/>
    <s v="Y"/>
    <n v="67"/>
    <x v="0"/>
    <d v="1899-12-30T00:03:51"/>
    <n v="3"/>
  </r>
  <r>
    <x v="3816"/>
    <s v="Stewart"/>
    <x v="66"/>
    <d v="1899-12-30T12:25:55"/>
    <d v="2021-03-08T12:25:55"/>
    <x v="3"/>
    <x v="3"/>
    <x v="3"/>
    <x v="0"/>
    <s v="Y"/>
    <n v="68"/>
    <x v="0"/>
    <d v="1899-12-30T00:01:07"/>
    <n v="4"/>
  </r>
  <r>
    <x v="3817"/>
    <s v="Joe"/>
    <x v="66"/>
    <d v="1899-12-30T12:25:55"/>
    <d v="2021-03-08T12:25:55"/>
    <x v="3"/>
    <x v="3"/>
    <x v="4"/>
    <x v="0"/>
    <s v="N"/>
    <n v="69"/>
    <x v="0"/>
    <d v="1899-12-30T00:06:28"/>
    <n v="5"/>
  </r>
  <r>
    <x v="3818"/>
    <s v="Dan"/>
    <x v="66"/>
    <d v="1899-12-30T13:07:41"/>
    <d v="2021-03-08T13:07:41"/>
    <x v="3"/>
    <x v="4"/>
    <x v="1"/>
    <x v="1"/>
    <s v="N"/>
    <m/>
    <x v="0"/>
    <m/>
    <m/>
  </r>
  <r>
    <x v="3819"/>
    <s v="Dan"/>
    <x v="66"/>
    <d v="1899-12-30T13:07:41"/>
    <d v="2021-03-08T13:07:41"/>
    <x v="3"/>
    <x v="4"/>
    <x v="2"/>
    <x v="0"/>
    <s v="Y"/>
    <n v="29"/>
    <x v="0"/>
    <d v="1899-12-30T00:02:35"/>
    <n v="3"/>
  </r>
  <r>
    <x v="3820"/>
    <s v="Dan"/>
    <x v="66"/>
    <d v="1899-12-30T13:10:34"/>
    <d v="2021-03-08T13:10:34"/>
    <x v="3"/>
    <x v="4"/>
    <x v="1"/>
    <x v="0"/>
    <s v="N"/>
    <n v="62"/>
    <x v="0"/>
    <d v="1899-12-30T00:05:22"/>
    <n v="3"/>
  </r>
  <r>
    <x v="3821"/>
    <s v="Stewart"/>
    <x v="66"/>
    <d v="1899-12-30T13:10:34"/>
    <d v="2021-03-08T13:10:34"/>
    <x v="3"/>
    <x v="4"/>
    <x v="2"/>
    <x v="0"/>
    <s v="Y"/>
    <n v="109"/>
    <x v="0"/>
    <d v="1899-12-30T00:05:19"/>
    <n v="4"/>
  </r>
  <r>
    <x v="3822"/>
    <s v="Martha"/>
    <x v="66"/>
    <d v="1899-12-30T13:33:36"/>
    <d v="2021-03-08T13:33:36"/>
    <x v="3"/>
    <x v="4"/>
    <x v="2"/>
    <x v="0"/>
    <s v="Y"/>
    <n v="59"/>
    <x v="0"/>
    <d v="1899-12-30T00:04:30"/>
    <n v="3"/>
  </r>
  <r>
    <x v="3823"/>
    <s v="Joe"/>
    <x v="66"/>
    <d v="1899-12-30T13:33:36"/>
    <d v="2021-03-08T13:33:36"/>
    <x v="3"/>
    <x v="4"/>
    <x v="1"/>
    <x v="0"/>
    <s v="Y"/>
    <n v="51"/>
    <x v="0"/>
    <d v="1899-12-30T00:03:01"/>
    <n v="4"/>
  </r>
  <r>
    <x v="3824"/>
    <s v="Greg"/>
    <x v="66"/>
    <d v="1899-12-30T13:46:34"/>
    <d v="2021-03-08T13:46:34"/>
    <x v="3"/>
    <x v="4"/>
    <x v="4"/>
    <x v="0"/>
    <s v="Y"/>
    <n v="11"/>
    <x v="1"/>
    <d v="1899-12-30T00:05:22"/>
    <n v="4"/>
  </r>
  <r>
    <x v="3825"/>
    <s v="Stewart"/>
    <x v="66"/>
    <d v="1899-12-30T13:46:34"/>
    <d v="2021-03-08T13:46:34"/>
    <x v="3"/>
    <x v="4"/>
    <x v="3"/>
    <x v="1"/>
    <s v="N"/>
    <m/>
    <x v="0"/>
    <m/>
    <m/>
  </r>
  <r>
    <x v="3826"/>
    <s v="Joe"/>
    <x v="66"/>
    <d v="1899-12-30T13:50:53"/>
    <d v="2021-03-08T13:50:53"/>
    <x v="3"/>
    <x v="4"/>
    <x v="2"/>
    <x v="0"/>
    <s v="Y"/>
    <n v="44"/>
    <x v="0"/>
    <d v="1899-12-30T00:03:26"/>
    <n v="4"/>
  </r>
  <r>
    <x v="3827"/>
    <s v="Stewart"/>
    <x v="66"/>
    <d v="1899-12-30T13:50:53"/>
    <d v="2021-03-08T13:50:53"/>
    <x v="3"/>
    <x v="4"/>
    <x v="2"/>
    <x v="0"/>
    <s v="Y"/>
    <n v="35"/>
    <x v="0"/>
    <d v="1899-12-30T00:03:56"/>
    <n v="2"/>
  </r>
  <r>
    <x v="3828"/>
    <s v="Becky"/>
    <x v="66"/>
    <d v="1899-12-30T13:55:12"/>
    <d v="2021-03-08T13:55:12"/>
    <x v="3"/>
    <x v="4"/>
    <x v="4"/>
    <x v="0"/>
    <s v="Y"/>
    <n v="17"/>
    <x v="1"/>
    <d v="1899-12-30T00:03:38"/>
    <n v="1"/>
  </r>
  <r>
    <x v="3829"/>
    <s v="Dan"/>
    <x v="66"/>
    <d v="1899-12-30T13:55:12"/>
    <d v="2021-03-08T13:55:12"/>
    <x v="3"/>
    <x v="4"/>
    <x v="4"/>
    <x v="0"/>
    <s v="Y"/>
    <n v="105"/>
    <x v="0"/>
    <d v="1899-12-30T00:06:08"/>
    <n v="4"/>
  </r>
  <r>
    <x v="3830"/>
    <s v="Diane"/>
    <x v="66"/>
    <d v="1899-12-30T14:35:31"/>
    <d v="2021-03-08T14:35:31"/>
    <x v="3"/>
    <x v="5"/>
    <x v="4"/>
    <x v="1"/>
    <s v="N"/>
    <m/>
    <x v="0"/>
    <m/>
    <m/>
  </r>
  <r>
    <x v="3831"/>
    <s v="Greg"/>
    <x v="66"/>
    <d v="1899-12-30T14:35:31"/>
    <d v="2021-03-08T14:35:31"/>
    <x v="3"/>
    <x v="5"/>
    <x v="1"/>
    <x v="1"/>
    <s v="N"/>
    <m/>
    <x v="0"/>
    <m/>
    <m/>
  </r>
  <r>
    <x v="3832"/>
    <s v="Diane"/>
    <x v="66"/>
    <d v="1899-12-30T15:00:00"/>
    <d v="2021-03-08T15:00:00"/>
    <x v="3"/>
    <x v="6"/>
    <x v="3"/>
    <x v="0"/>
    <s v="Y"/>
    <n v="10"/>
    <x v="1"/>
    <d v="1899-12-30T00:00:34"/>
    <n v="5"/>
  </r>
  <r>
    <x v="3833"/>
    <s v="Becky"/>
    <x v="66"/>
    <d v="1899-12-30T15:00:00"/>
    <d v="2021-03-08T15:00:00"/>
    <x v="3"/>
    <x v="6"/>
    <x v="2"/>
    <x v="0"/>
    <s v="Y"/>
    <n v="110"/>
    <x v="0"/>
    <d v="1899-12-30T00:01:54"/>
    <n v="3"/>
  </r>
  <r>
    <x v="3834"/>
    <s v="Greg"/>
    <x v="66"/>
    <d v="1899-12-30T15:04:19"/>
    <d v="2021-03-08T15:04:19"/>
    <x v="3"/>
    <x v="6"/>
    <x v="2"/>
    <x v="0"/>
    <s v="Y"/>
    <n v="41"/>
    <x v="0"/>
    <d v="1899-12-30T00:01:13"/>
    <n v="5"/>
  </r>
  <r>
    <x v="3835"/>
    <s v="Stewart"/>
    <x v="66"/>
    <d v="1899-12-30T15:04:19"/>
    <d v="2021-03-08T15:04:19"/>
    <x v="3"/>
    <x v="6"/>
    <x v="0"/>
    <x v="0"/>
    <s v="Y"/>
    <n v="46"/>
    <x v="0"/>
    <d v="1899-12-30T00:02:30"/>
    <n v="4"/>
  </r>
  <r>
    <x v="3836"/>
    <s v="Martha"/>
    <x v="66"/>
    <d v="1899-12-30T15:25:55"/>
    <d v="2021-03-08T15:25:55"/>
    <x v="3"/>
    <x v="6"/>
    <x v="3"/>
    <x v="0"/>
    <s v="Y"/>
    <n v="109"/>
    <x v="0"/>
    <d v="1899-12-30T00:03:02"/>
    <n v="3"/>
  </r>
  <r>
    <x v="3837"/>
    <s v="Becky"/>
    <x v="66"/>
    <d v="1899-12-30T15:25:55"/>
    <d v="2021-03-08T15:25:55"/>
    <x v="3"/>
    <x v="6"/>
    <x v="1"/>
    <x v="0"/>
    <s v="Y"/>
    <n v="18"/>
    <x v="1"/>
    <d v="1899-12-30T00:02:59"/>
    <n v="5"/>
  </r>
  <r>
    <x v="3838"/>
    <s v="Becky"/>
    <x v="66"/>
    <d v="1899-12-30T15:40:19"/>
    <d v="2021-03-08T15:40:19"/>
    <x v="3"/>
    <x v="6"/>
    <x v="2"/>
    <x v="0"/>
    <s v="Y"/>
    <n v="61"/>
    <x v="0"/>
    <d v="1899-12-30T00:02:21"/>
    <n v="4"/>
  </r>
  <r>
    <x v="3839"/>
    <s v="Dan"/>
    <x v="66"/>
    <d v="1899-12-30T15:40:19"/>
    <d v="2021-03-08T15:40:19"/>
    <x v="3"/>
    <x v="6"/>
    <x v="4"/>
    <x v="0"/>
    <s v="N"/>
    <n v="42"/>
    <x v="0"/>
    <d v="1899-12-30T00:04:05"/>
    <n v="3"/>
  </r>
  <r>
    <x v="3840"/>
    <s v="Diane"/>
    <x v="66"/>
    <d v="1899-12-30T16:37:55"/>
    <d v="2021-03-08T16:37:55"/>
    <x v="3"/>
    <x v="8"/>
    <x v="2"/>
    <x v="0"/>
    <s v="Y"/>
    <n v="105"/>
    <x v="0"/>
    <d v="1899-12-30T00:05:15"/>
    <n v="3"/>
  </r>
  <r>
    <x v="3841"/>
    <s v="Martha"/>
    <x v="66"/>
    <d v="1899-12-30T16:37:55"/>
    <d v="2021-03-08T16:37:55"/>
    <x v="3"/>
    <x v="8"/>
    <x v="3"/>
    <x v="0"/>
    <s v="Y"/>
    <n v="85"/>
    <x v="0"/>
    <d v="1899-12-30T00:00:34"/>
    <n v="3"/>
  </r>
  <r>
    <x v="3842"/>
    <s v="Becky"/>
    <x v="66"/>
    <d v="1899-12-30T17:00:58"/>
    <d v="2021-03-08T17:00:58"/>
    <x v="3"/>
    <x v="7"/>
    <x v="0"/>
    <x v="0"/>
    <s v="N"/>
    <n v="95"/>
    <x v="0"/>
    <d v="1899-12-30T00:05:05"/>
    <n v="3"/>
  </r>
  <r>
    <x v="3843"/>
    <s v="Dan"/>
    <x v="66"/>
    <d v="1899-12-30T17:00:58"/>
    <d v="2021-03-08T17:00:58"/>
    <x v="3"/>
    <x v="7"/>
    <x v="2"/>
    <x v="0"/>
    <s v="Y"/>
    <n v="71"/>
    <x v="0"/>
    <d v="1899-12-30T00:01:00"/>
    <n v="5"/>
  </r>
  <r>
    <x v="3844"/>
    <s v="Greg"/>
    <x v="66"/>
    <d v="1899-12-30T17:31:12"/>
    <d v="2021-03-08T17:31:12"/>
    <x v="3"/>
    <x v="7"/>
    <x v="2"/>
    <x v="0"/>
    <s v="Y"/>
    <n v="15"/>
    <x v="1"/>
    <d v="1899-12-30T00:04:52"/>
    <n v="3"/>
  </r>
  <r>
    <x v="3845"/>
    <s v="Becky"/>
    <x v="66"/>
    <d v="1899-12-30T17:31:12"/>
    <d v="2021-03-08T17:31:12"/>
    <x v="3"/>
    <x v="7"/>
    <x v="3"/>
    <x v="0"/>
    <s v="Y"/>
    <n v="21"/>
    <x v="0"/>
    <d v="1899-12-30T00:02:51"/>
    <n v="5"/>
  </r>
  <r>
    <x v="3846"/>
    <s v="Diane"/>
    <x v="66"/>
    <d v="1899-12-30T17:38:24"/>
    <d v="2021-03-08T17:38:24"/>
    <x v="3"/>
    <x v="7"/>
    <x v="4"/>
    <x v="0"/>
    <s v="N"/>
    <n v="123"/>
    <x v="0"/>
    <d v="1899-12-30T00:02:03"/>
    <n v="4"/>
  </r>
  <r>
    <x v="3847"/>
    <s v="Jim"/>
    <x v="66"/>
    <d v="1899-12-30T17:38:24"/>
    <d v="2021-03-08T17:38:24"/>
    <x v="3"/>
    <x v="7"/>
    <x v="3"/>
    <x v="0"/>
    <s v="Y"/>
    <n v="107"/>
    <x v="0"/>
    <d v="1899-12-30T00:03:59"/>
    <n v="1"/>
  </r>
  <r>
    <x v="3848"/>
    <s v="Joe"/>
    <x v="66"/>
    <d v="1899-12-30T17:48:29"/>
    <d v="2021-03-08T17:48:29"/>
    <x v="3"/>
    <x v="7"/>
    <x v="4"/>
    <x v="0"/>
    <s v="Y"/>
    <n v="93"/>
    <x v="0"/>
    <d v="1899-12-30T00:06:50"/>
    <n v="3"/>
  </r>
  <r>
    <x v="3849"/>
    <s v="Dan"/>
    <x v="66"/>
    <d v="1899-12-30T17:48:29"/>
    <d v="2021-03-08T17:48:29"/>
    <x v="3"/>
    <x v="7"/>
    <x v="2"/>
    <x v="0"/>
    <s v="Y"/>
    <n v="110"/>
    <x v="0"/>
    <d v="1899-12-30T00:00:31"/>
    <n v="4"/>
  </r>
  <r>
    <x v="3850"/>
    <s v="Diane"/>
    <x v="66"/>
    <d v="1899-12-30T17:48:29"/>
    <d v="2021-03-08T17:48:29"/>
    <x v="3"/>
    <x v="7"/>
    <x v="4"/>
    <x v="0"/>
    <s v="Y"/>
    <n v="18"/>
    <x v="1"/>
    <d v="1899-12-30T00:02:07"/>
    <n v="5"/>
  </r>
  <r>
    <x v="3851"/>
    <s v="Jim"/>
    <x v="66"/>
    <d v="1899-12-30T17:48:29"/>
    <d v="2021-03-08T17:48:29"/>
    <x v="3"/>
    <x v="7"/>
    <x v="0"/>
    <x v="0"/>
    <s v="Y"/>
    <n v="33"/>
    <x v="0"/>
    <d v="1899-12-30T00:04:43"/>
    <n v="3"/>
  </r>
  <r>
    <x v="3852"/>
    <s v="Jim"/>
    <x v="66"/>
    <d v="1899-12-30T17:51:22"/>
    <d v="2021-03-08T17:51:22"/>
    <x v="3"/>
    <x v="7"/>
    <x v="0"/>
    <x v="0"/>
    <s v="Y"/>
    <n v="71"/>
    <x v="0"/>
    <d v="1899-12-30T00:04:36"/>
    <n v="4"/>
  </r>
  <r>
    <x v="3853"/>
    <s v="Dan"/>
    <x v="66"/>
    <d v="1899-12-30T17:51:22"/>
    <d v="2021-03-08T17:51:22"/>
    <x v="3"/>
    <x v="7"/>
    <x v="3"/>
    <x v="0"/>
    <s v="Y"/>
    <n v="19"/>
    <x v="1"/>
    <d v="1899-12-30T00:05:07"/>
    <n v="4"/>
  </r>
  <r>
    <x v="3854"/>
    <s v="Dan"/>
    <x v="66"/>
    <d v="1899-12-30T17:52:48"/>
    <d v="2021-03-08T17:52:48"/>
    <x v="3"/>
    <x v="7"/>
    <x v="2"/>
    <x v="0"/>
    <s v="Y"/>
    <n v="93"/>
    <x v="0"/>
    <d v="1899-12-30T00:06:41"/>
    <n v="4"/>
  </r>
  <r>
    <x v="3855"/>
    <s v="Diane"/>
    <x v="66"/>
    <d v="1899-12-30T17:52:48"/>
    <d v="2021-03-08T17:52:48"/>
    <x v="3"/>
    <x v="7"/>
    <x v="1"/>
    <x v="0"/>
    <s v="Y"/>
    <n v="43"/>
    <x v="0"/>
    <d v="1899-12-30T00:03:39"/>
    <n v="1"/>
  </r>
  <r>
    <x v="3856"/>
    <s v="Diane"/>
    <x v="67"/>
    <d v="1899-12-30T09:18:43"/>
    <d v="2021-03-09T09:18:43"/>
    <x v="4"/>
    <x v="0"/>
    <x v="1"/>
    <x v="0"/>
    <s v="N"/>
    <n v="92"/>
    <x v="0"/>
    <d v="1899-12-30T00:04:53"/>
    <n v="5"/>
  </r>
  <r>
    <x v="3857"/>
    <s v="Martha"/>
    <x v="67"/>
    <d v="1899-12-30T09:18:43"/>
    <d v="2021-03-09T09:18:43"/>
    <x v="4"/>
    <x v="0"/>
    <x v="0"/>
    <x v="0"/>
    <s v="Y"/>
    <n v="19"/>
    <x v="1"/>
    <d v="1899-12-30T00:05:14"/>
    <n v="3"/>
  </r>
  <r>
    <x v="3858"/>
    <s v="Dan"/>
    <x v="67"/>
    <d v="1899-12-30T09:40:19"/>
    <d v="2021-03-09T09:40:19"/>
    <x v="4"/>
    <x v="0"/>
    <x v="0"/>
    <x v="1"/>
    <s v="N"/>
    <m/>
    <x v="0"/>
    <m/>
    <m/>
  </r>
  <r>
    <x v="3859"/>
    <s v="Becky"/>
    <x v="67"/>
    <d v="1899-12-30T09:40:19"/>
    <d v="2021-03-09T09:40:19"/>
    <x v="4"/>
    <x v="0"/>
    <x v="0"/>
    <x v="0"/>
    <s v="Y"/>
    <n v="66"/>
    <x v="0"/>
    <d v="1899-12-30T00:02:15"/>
    <n v="1"/>
  </r>
  <r>
    <x v="3860"/>
    <s v="Greg"/>
    <x v="67"/>
    <d v="1899-12-30T10:13:26"/>
    <d v="2021-03-09T10:13:26"/>
    <x v="4"/>
    <x v="1"/>
    <x v="0"/>
    <x v="0"/>
    <s v="Y"/>
    <n v="47"/>
    <x v="0"/>
    <d v="1899-12-30T00:02:16"/>
    <n v="4"/>
  </r>
  <r>
    <x v="3861"/>
    <s v="Dan"/>
    <x v="67"/>
    <d v="1899-12-30T10:13:26"/>
    <d v="2021-03-09T10:13:26"/>
    <x v="4"/>
    <x v="1"/>
    <x v="1"/>
    <x v="0"/>
    <s v="Y"/>
    <n v="80"/>
    <x v="0"/>
    <d v="1899-12-30T00:05:23"/>
    <n v="3"/>
  </r>
  <r>
    <x v="3862"/>
    <s v="Greg"/>
    <x v="67"/>
    <d v="1899-12-30T10:27:50"/>
    <d v="2021-03-09T10:27:50"/>
    <x v="4"/>
    <x v="1"/>
    <x v="4"/>
    <x v="0"/>
    <s v="Y"/>
    <n v="82"/>
    <x v="0"/>
    <d v="1899-12-30T00:03:37"/>
    <n v="2"/>
  </r>
  <r>
    <x v="3863"/>
    <s v="Martha"/>
    <x v="67"/>
    <d v="1899-12-30T10:27:50"/>
    <d v="2021-03-09T10:27:50"/>
    <x v="4"/>
    <x v="1"/>
    <x v="1"/>
    <x v="0"/>
    <s v="Y"/>
    <n v="88"/>
    <x v="0"/>
    <d v="1899-12-30T00:02:51"/>
    <n v="1"/>
  </r>
  <r>
    <x v="3864"/>
    <s v="Martha"/>
    <x v="67"/>
    <d v="1899-12-30T10:29:17"/>
    <d v="2021-03-09T10:29:17"/>
    <x v="4"/>
    <x v="1"/>
    <x v="1"/>
    <x v="0"/>
    <s v="Y"/>
    <n v="51"/>
    <x v="0"/>
    <d v="1899-12-30T00:01:26"/>
    <n v="4"/>
  </r>
  <r>
    <x v="3865"/>
    <s v="Becky"/>
    <x v="67"/>
    <d v="1899-12-30T10:29:17"/>
    <d v="2021-03-09T10:29:17"/>
    <x v="4"/>
    <x v="1"/>
    <x v="0"/>
    <x v="0"/>
    <s v="N"/>
    <n v="41"/>
    <x v="0"/>
    <d v="1899-12-30T00:05:24"/>
    <n v="3"/>
  </r>
  <r>
    <x v="3866"/>
    <s v="Diane"/>
    <x v="67"/>
    <d v="1899-12-30T10:30:43"/>
    <d v="2021-03-09T10:30:43"/>
    <x v="4"/>
    <x v="1"/>
    <x v="2"/>
    <x v="0"/>
    <s v="Y"/>
    <n v="46"/>
    <x v="0"/>
    <d v="1899-12-30T00:02:54"/>
    <n v="1"/>
  </r>
  <r>
    <x v="3867"/>
    <s v="Martha"/>
    <x v="67"/>
    <d v="1899-12-30T10:30:43"/>
    <d v="2021-03-09T10:30:43"/>
    <x v="4"/>
    <x v="1"/>
    <x v="1"/>
    <x v="0"/>
    <s v="Y"/>
    <n v="113"/>
    <x v="0"/>
    <d v="1899-12-30T00:06:41"/>
    <n v="4"/>
  </r>
  <r>
    <x v="3868"/>
    <s v="Diane"/>
    <x v="67"/>
    <d v="1899-12-30T11:02:24"/>
    <d v="2021-03-09T11:02:24"/>
    <x v="4"/>
    <x v="2"/>
    <x v="3"/>
    <x v="0"/>
    <s v="Y"/>
    <n v="52"/>
    <x v="0"/>
    <d v="1899-12-30T00:02:56"/>
    <n v="4"/>
  </r>
  <r>
    <x v="3869"/>
    <s v="Diane"/>
    <x v="67"/>
    <d v="1899-12-30T11:02:24"/>
    <d v="2021-03-09T11:02:24"/>
    <x v="4"/>
    <x v="2"/>
    <x v="1"/>
    <x v="0"/>
    <s v="Y"/>
    <n v="77"/>
    <x v="0"/>
    <d v="1899-12-30T00:05:01"/>
    <n v="3"/>
  </r>
  <r>
    <x v="3870"/>
    <s v="Greg"/>
    <x v="67"/>
    <d v="1899-12-30T11:03:50"/>
    <d v="2021-03-09T11:03:50"/>
    <x v="4"/>
    <x v="2"/>
    <x v="4"/>
    <x v="0"/>
    <s v="Y"/>
    <n v="119"/>
    <x v="0"/>
    <d v="1899-12-30T00:01:56"/>
    <n v="1"/>
  </r>
  <r>
    <x v="3871"/>
    <s v="Diane"/>
    <x v="67"/>
    <d v="1899-12-30T11:03:50"/>
    <d v="2021-03-09T11:03:50"/>
    <x v="4"/>
    <x v="2"/>
    <x v="2"/>
    <x v="1"/>
    <s v="N"/>
    <m/>
    <x v="0"/>
    <m/>
    <m/>
  </r>
  <r>
    <x v="3872"/>
    <s v="Joe"/>
    <x v="67"/>
    <d v="1899-12-30T11:22:34"/>
    <d v="2021-03-09T11:22:34"/>
    <x v="4"/>
    <x v="2"/>
    <x v="3"/>
    <x v="0"/>
    <s v="Y"/>
    <n v="63"/>
    <x v="0"/>
    <d v="1899-12-30T00:00:50"/>
    <n v="3"/>
  </r>
  <r>
    <x v="3873"/>
    <s v="Becky"/>
    <x v="67"/>
    <d v="1899-12-30T11:22:34"/>
    <d v="2021-03-09T11:22:34"/>
    <x v="4"/>
    <x v="2"/>
    <x v="4"/>
    <x v="0"/>
    <s v="N"/>
    <n v="41"/>
    <x v="0"/>
    <d v="1899-12-30T00:06:21"/>
    <n v="4"/>
  </r>
  <r>
    <x v="3874"/>
    <s v="Diane"/>
    <x v="67"/>
    <d v="1899-12-30T11:48:29"/>
    <d v="2021-03-09T11:48:29"/>
    <x v="4"/>
    <x v="2"/>
    <x v="0"/>
    <x v="0"/>
    <s v="Y"/>
    <n v="93"/>
    <x v="0"/>
    <d v="1899-12-30T00:06:40"/>
    <n v="5"/>
  </r>
  <r>
    <x v="3875"/>
    <s v="Becky"/>
    <x v="67"/>
    <d v="1899-12-30T11:48:29"/>
    <d v="2021-03-09T11:48:29"/>
    <x v="4"/>
    <x v="2"/>
    <x v="4"/>
    <x v="0"/>
    <s v="N"/>
    <n v="63"/>
    <x v="0"/>
    <d v="1899-12-30T00:05:06"/>
    <n v="2"/>
  </r>
  <r>
    <x v="3876"/>
    <s v="Diane"/>
    <x v="67"/>
    <d v="1899-12-30T13:22:05"/>
    <d v="2021-03-09T13:22:05"/>
    <x v="4"/>
    <x v="4"/>
    <x v="0"/>
    <x v="1"/>
    <s v="N"/>
    <m/>
    <x v="0"/>
    <m/>
    <m/>
  </r>
  <r>
    <x v="3877"/>
    <s v="Martha"/>
    <x v="67"/>
    <d v="1899-12-30T13:22:05"/>
    <d v="2021-03-09T13:22:05"/>
    <x v="4"/>
    <x v="4"/>
    <x v="4"/>
    <x v="0"/>
    <s v="N"/>
    <n v="43"/>
    <x v="0"/>
    <d v="1899-12-30T00:01:57"/>
    <n v="2"/>
  </r>
  <r>
    <x v="3878"/>
    <s v="Jim"/>
    <x v="67"/>
    <d v="1899-12-30T13:26:24"/>
    <d v="2021-03-09T13:26:24"/>
    <x v="4"/>
    <x v="4"/>
    <x v="2"/>
    <x v="0"/>
    <s v="Y"/>
    <n v="88"/>
    <x v="0"/>
    <d v="1899-12-30T00:02:36"/>
    <n v="4"/>
  </r>
  <r>
    <x v="3879"/>
    <s v="Stewart"/>
    <x v="67"/>
    <d v="1899-12-30T13:26:24"/>
    <d v="2021-03-09T13:26:24"/>
    <x v="4"/>
    <x v="4"/>
    <x v="0"/>
    <x v="0"/>
    <s v="Y"/>
    <n v="100"/>
    <x v="0"/>
    <d v="1899-12-30T00:01:06"/>
    <n v="4"/>
  </r>
  <r>
    <x v="3880"/>
    <s v="Diane"/>
    <x v="67"/>
    <d v="1899-12-30T13:45:07"/>
    <d v="2021-03-09T13:45:07"/>
    <x v="4"/>
    <x v="4"/>
    <x v="3"/>
    <x v="1"/>
    <s v="N"/>
    <m/>
    <x v="0"/>
    <m/>
    <m/>
  </r>
  <r>
    <x v="3881"/>
    <s v="Stewart"/>
    <x v="67"/>
    <d v="1899-12-30T13:45:07"/>
    <d v="2021-03-09T13:45:07"/>
    <x v="4"/>
    <x v="4"/>
    <x v="3"/>
    <x v="0"/>
    <s v="Y"/>
    <n v="108"/>
    <x v="0"/>
    <d v="1899-12-30T00:01:01"/>
    <n v="5"/>
  </r>
  <r>
    <x v="3882"/>
    <s v="Greg"/>
    <x v="67"/>
    <d v="1899-12-30T15:21:36"/>
    <d v="2021-03-09T15:21:36"/>
    <x v="4"/>
    <x v="6"/>
    <x v="2"/>
    <x v="0"/>
    <s v="Y"/>
    <n v="88"/>
    <x v="0"/>
    <d v="1899-12-30T00:04:01"/>
    <n v="3"/>
  </r>
  <r>
    <x v="3883"/>
    <s v="Diane"/>
    <x v="67"/>
    <d v="1899-12-30T15:21:36"/>
    <d v="2021-03-09T15:21:36"/>
    <x v="4"/>
    <x v="6"/>
    <x v="2"/>
    <x v="1"/>
    <s v="N"/>
    <m/>
    <x v="0"/>
    <m/>
    <m/>
  </r>
  <r>
    <x v="3884"/>
    <s v="Becky"/>
    <x v="67"/>
    <d v="1899-12-30T15:23:02"/>
    <d v="2021-03-09T15:23:02"/>
    <x v="4"/>
    <x v="6"/>
    <x v="0"/>
    <x v="0"/>
    <s v="Y"/>
    <n v="72"/>
    <x v="0"/>
    <d v="1899-12-30T00:04:43"/>
    <n v="3"/>
  </r>
  <r>
    <x v="3885"/>
    <s v="Joe"/>
    <x v="67"/>
    <d v="1899-12-30T15:23:02"/>
    <d v="2021-03-09T15:23:02"/>
    <x v="4"/>
    <x v="6"/>
    <x v="4"/>
    <x v="0"/>
    <s v="Y"/>
    <n v="52"/>
    <x v="0"/>
    <d v="1899-12-30T00:03:31"/>
    <n v="5"/>
  </r>
  <r>
    <x v="3886"/>
    <s v="Stewart"/>
    <x v="67"/>
    <d v="1899-12-30T15:27:22"/>
    <d v="2021-03-09T15:27:22"/>
    <x v="4"/>
    <x v="6"/>
    <x v="1"/>
    <x v="0"/>
    <s v="Y"/>
    <n v="15"/>
    <x v="1"/>
    <d v="1899-12-30T00:04:43"/>
    <n v="5"/>
  </r>
  <r>
    <x v="3887"/>
    <s v="Dan"/>
    <x v="67"/>
    <d v="1899-12-30T15:27:22"/>
    <d v="2021-03-09T15:27:22"/>
    <x v="4"/>
    <x v="6"/>
    <x v="2"/>
    <x v="0"/>
    <s v="Y"/>
    <n v="113"/>
    <x v="0"/>
    <d v="1899-12-30T00:04:49"/>
    <n v="3"/>
  </r>
  <r>
    <x v="3888"/>
    <s v="Martha"/>
    <x v="67"/>
    <d v="1899-12-30T15:41:46"/>
    <d v="2021-03-09T15:41:46"/>
    <x v="4"/>
    <x v="6"/>
    <x v="1"/>
    <x v="0"/>
    <s v="Y"/>
    <n v="123"/>
    <x v="0"/>
    <d v="1899-12-30T00:05:02"/>
    <n v="1"/>
  </r>
  <r>
    <x v="3889"/>
    <s v="Greg"/>
    <x v="67"/>
    <d v="1899-12-30T15:41:46"/>
    <d v="2021-03-09T15:41:46"/>
    <x v="4"/>
    <x v="6"/>
    <x v="2"/>
    <x v="0"/>
    <s v="Y"/>
    <n v="97"/>
    <x v="0"/>
    <d v="1899-12-30T00:02:01"/>
    <n v="4"/>
  </r>
  <r>
    <x v="3890"/>
    <s v="Becky"/>
    <x v="67"/>
    <d v="1899-12-30T15:43:12"/>
    <d v="2021-03-09T15:43:12"/>
    <x v="4"/>
    <x v="6"/>
    <x v="3"/>
    <x v="0"/>
    <s v="Y"/>
    <n v="22"/>
    <x v="0"/>
    <d v="1899-12-30T00:04:40"/>
    <n v="3"/>
  </r>
  <r>
    <x v="3891"/>
    <s v="Greg"/>
    <x v="67"/>
    <d v="1899-12-30T15:43:12"/>
    <d v="2021-03-09T15:43:12"/>
    <x v="4"/>
    <x v="6"/>
    <x v="0"/>
    <x v="0"/>
    <s v="Y"/>
    <n v="62"/>
    <x v="0"/>
    <d v="1899-12-30T00:06:36"/>
    <n v="5"/>
  </r>
  <r>
    <x v="3892"/>
    <s v="Becky"/>
    <x v="67"/>
    <d v="1899-12-30T15:44:38"/>
    <d v="2021-03-09T15:44:38"/>
    <x v="4"/>
    <x v="6"/>
    <x v="0"/>
    <x v="0"/>
    <s v="N"/>
    <n v="79"/>
    <x v="0"/>
    <d v="1899-12-30T00:06:02"/>
    <n v="1"/>
  </r>
  <r>
    <x v="3893"/>
    <s v="Diane"/>
    <x v="67"/>
    <d v="1899-12-30T15:44:38"/>
    <d v="2021-03-09T15:44:38"/>
    <x v="4"/>
    <x v="6"/>
    <x v="2"/>
    <x v="0"/>
    <s v="Y"/>
    <n v="85"/>
    <x v="0"/>
    <d v="1899-12-30T00:03:07"/>
    <n v="4"/>
  </r>
  <r>
    <x v="3894"/>
    <s v="Stewart"/>
    <x v="67"/>
    <d v="1899-12-30T15:59:02"/>
    <d v="2021-03-09T15:59:02"/>
    <x v="4"/>
    <x v="6"/>
    <x v="1"/>
    <x v="0"/>
    <s v="Y"/>
    <n v="74"/>
    <x v="0"/>
    <d v="1899-12-30T00:00:47"/>
    <n v="5"/>
  </r>
  <r>
    <x v="3895"/>
    <s v="Jim"/>
    <x v="67"/>
    <d v="1899-12-30T15:59:02"/>
    <d v="2021-03-09T15:59:02"/>
    <x v="4"/>
    <x v="6"/>
    <x v="4"/>
    <x v="0"/>
    <s v="Y"/>
    <n v="61"/>
    <x v="0"/>
    <d v="1899-12-30T00:05:00"/>
    <n v="4"/>
  </r>
  <r>
    <x v="3896"/>
    <s v="Diane"/>
    <x v="67"/>
    <d v="1899-12-30T16:52:19"/>
    <d v="2021-03-09T16:52:19"/>
    <x v="4"/>
    <x v="8"/>
    <x v="2"/>
    <x v="0"/>
    <s v="Y"/>
    <n v="81"/>
    <x v="0"/>
    <d v="1899-12-30T00:04:35"/>
    <n v="2"/>
  </r>
  <r>
    <x v="3897"/>
    <s v="Joe"/>
    <x v="67"/>
    <d v="1899-12-30T16:52:19"/>
    <d v="2021-03-09T16:52:19"/>
    <x v="4"/>
    <x v="8"/>
    <x v="3"/>
    <x v="1"/>
    <s v="N"/>
    <m/>
    <x v="0"/>
    <m/>
    <m/>
  </r>
  <r>
    <x v="3898"/>
    <s v="Joe"/>
    <x v="67"/>
    <d v="1899-12-30T16:59:31"/>
    <d v="2021-03-09T16:59:31"/>
    <x v="4"/>
    <x v="8"/>
    <x v="0"/>
    <x v="0"/>
    <s v="Y"/>
    <n v="74"/>
    <x v="0"/>
    <d v="1899-12-30T00:06:17"/>
    <n v="5"/>
  </r>
  <r>
    <x v="3899"/>
    <s v="Stewart"/>
    <x v="67"/>
    <d v="1899-12-30T16:59:31"/>
    <d v="2021-03-09T16:59:31"/>
    <x v="4"/>
    <x v="8"/>
    <x v="0"/>
    <x v="0"/>
    <s v="N"/>
    <n v="32"/>
    <x v="0"/>
    <d v="1899-12-30T00:04:19"/>
    <n v="4"/>
  </r>
  <r>
    <x v="3900"/>
    <s v="Greg"/>
    <x v="67"/>
    <d v="1899-12-30T17:06:43"/>
    <d v="2021-03-09T17:06:43"/>
    <x v="4"/>
    <x v="7"/>
    <x v="1"/>
    <x v="0"/>
    <s v="Y"/>
    <n v="99"/>
    <x v="0"/>
    <d v="1899-12-30T00:04:24"/>
    <n v="3"/>
  </r>
  <r>
    <x v="3901"/>
    <s v="Becky"/>
    <x v="67"/>
    <d v="1899-12-30T17:06:43"/>
    <d v="2021-03-09T17:06:43"/>
    <x v="4"/>
    <x v="7"/>
    <x v="3"/>
    <x v="1"/>
    <s v="N"/>
    <m/>
    <x v="0"/>
    <m/>
    <m/>
  </r>
  <r>
    <x v="3902"/>
    <s v="Dan"/>
    <x v="68"/>
    <d v="1899-12-30T09:12:58"/>
    <d v="2021-03-10T09:12:58"/>
    <x v="5"/>
    <x v="0"/>
    <x v="1"/>
    <x v="0"/>
    <s v="Y"/>
    <n v="75"/>
    <x v="0"/>
    <d v="1899-12-30T00:02:49"/>
    <n v="5"/>
  </r>
  <r>
    <x v="3903"/>
    <s v="Martha"/>
    <x v="68"/>
    <d v="1899-12-30T09:12:58"/>
    <d v="2021-03-10T09:12:58"/>
    <x v="5"/>
    <x v="0"/>
    <x v="2"/>
    <x v="1"/>
    <s v="N"/>
    <m/>
    <x v="0"/>
    <m/>
    <m/>
  </r>
  <r>
    <x v="3904"/>
    <s v="Dan"/>
    <x v="68"/>
    <d v="1899-12-30T09:18:43"/>
    <d v="2021-03-10T09:18:43"/>
    <x v="5"/>
    <x v="0"/>
    <x v="1"/>
    <x v="0"/>
    <s v="Y"/>
    <n v="114"/>
    <x v="0"/>
    <d v="1899-12-30T00:04:33"/>
    <n v="5"/>
  </r>
  <r>
    <x v="3905"/>
    <s v="Greg"/>
    <x v="68"/>
    <d v="1899-12-30T09:18:43"/>
    <d v="2021-03-10T09:18:43"/>
    <x v="5"/>
    <x v="0"/>
    <x v="1"/>
    <x v="1"/>
    <s v="N"/>
    <m/>
    <x v="0"/>
    <m/>
    <m/>
  </r>
  <r>
    <x v="3906"/>
    <s v="Jim"/>
    <x v="68"/>
    <d v="1899-12-30T09:51:50"/>
    <d v="2021-03-10T09:51:50"/>
    <x v="5"/>
    <x v="0"/>
    <x v="3"/>
    <x v="0"/>
    <s v="Y"/>
    <n v="50"/>
    <x v="0"/>
    <d v="1899-12-30T00:06:13"/>
    <n v="3"/>
  </r>
  <r>
    <x v="3907"/>
    <s v="Jim"/>
    <x v="68"/>
    <d v="1899-12-30T09:51:50"/>
    <d v="2021-03-10T09:51:50"/>
    <x v="5"/>
    <x v="0"/>
    <x v="1"/>
    <x v="1"/>
    <s v="N"/>
    <m/>
    <x v="0"/>
    <m/>
    <m/>
  </r>
  <r>
    <x v="3908"/>
    <s v="Jim"/>
    <x v="68"/>
    <d v="1899-12-30T10:06:14"/>
    <d v="2021-03-10T10:06:14"/>
    <x v="5"/>
    <x v="1"/>
    <x v="3"/>
    <x v="0"/>
    <s v="N"/>
    <n v="115"/>
    <x v="0"/>
    <d v="1899-12-30T00:03:10"/>
    <n v="2"/>
  </r>
  <r>
    <x v="3909"/>
    <s v="Becky"/>
    <x v="68"/>
    <d v="1899-12-30T10:06:14"/>
    <d v="2021-03-10T10:06:14"/>
    <x v="5"/>
    <x v="1"/>
    <x v="3"/>
    <x v="0"/>
    <s v="Y"/>
    <n v="48"/>
    <x v="0"/>
    <d v="1899-12-30T00:01:31"/>
    <n v="4"/>
  </r>
  <r>
    <x v="3910"/>
    <s v="Joe"/>
    <x v="68"/>
    <d v="1899-12-30T10:07:41"/>
    <d v="2021-03-10T10:07:41"/>
    <x v="5"/>
    <x v="1"/>
    <x v="2"/>
    <x v="0"/>
    <s v="Y"/>
    <n v="16"/>
    <x v="1"/>
    <d v="1899-12-30T00:01:55"/>
    <n v="1"/>
  </r>
  <r>
    <x v="3911"/>
    <s v="Stewart"/>
    <x v="68"/>
    <d v="1899-12-30T10:07:41"/>
    <d v="2021-03-10T10:07:41"/>
    <x v="5"/>
    <x v="1"/>
    <x v="1"/>
    <x v="0"/>
    <s v="Y"/>
    <n v="74"/>
    <x v="0"/>
    <d v="1899-12-30T00:06:37"/>
    <n v="5"/>
  </r>
  <r>
    <x v="3912"/>
    <s v="Joe"/>
    <x v="68"/>
    <d v="1899-12-30T10:22:05"/>
    <d v="2021-03-10T10:22:05"/>
    <x v="5"/>
    <x v="1"/>
    <x v="2"/>
    <x v="1"/>
    <s v="N"/>
    <m/>
    <x v="0"/>
    <m/>
    <m/>
  </r>
  <r>
    <x v="3913"/>
    <s v="Greg"/>
    <x v="68"/>
    <d v="1899-12-30T10:22:05"/>
    <d v="2021-03-10T10:22:05"/>
    <x v="5"/>
    <x v="1"/>
    <x v="0"/>
    <x v="1"/>
    <s v="N"/>
    <m/>
    <x v="0"/>
    <m/>
    <m/>
  </r>
  <r>
    <x v="3914"/>
    <s v="Greg"/>
    <x v="68"/>
    <d v="1899-12-30T10:26:24"/>
    <d v="2021-03-10T10:26:24"/>
    <x v="5"/>
    <x v="1"/>
    <x v="4"/>
    <x v="1"/>
    <s v="N"/>
    <m/>
    <x v="0"/>
    <m/>
    <m/>
  </r>
  <r>
    <x v="3915"/>
    <s v="Stewart"/>
    <x v="68"/>
    <d v="1899-12-30T10:26:24"/>
    <d v="2021-03-10T10:26:24"/>
    <x v="5"/>
    <x v="1"/>
    <x v="4"/>
    <x v="0"/>
    <s v="Y"/>
    <n v="37"/>
    <x v="0"/>
    <d v="1899-12-30T00:05:05"/>
    <n v="5"/>
  </r>
  <r>
    <x v="3916"/>
    <s v="Martha"/>
    <x v="68"/>
    <d v="1899-12-30T12:04:19"/>
    <d v="2021-03-10T12:04:19"/>
    <x v="5"/>
    <x v="3"/>
    <x v="2"/>
    <x v="0"/>
    <s v="Y"/>
    <n v="125"/>
    <x v="0"/>
    <d v="1899-12-30T00:02:02"/>
    <n v="3"/>
  </r>
  <r>
    <x v="3917"/>
    <s v="Diane"/>
    <x v="68"/>
    <d v="1899-12-30T12:04:19"/>
    <d v="2021-03-10T12:04:19"/>
    <x v="5"/>
    <x v="3"/>
    <x v="3"/>
    <x v="0"/>
    <s v="Y"/>
    <n v="42"/>
    <x v="0"/>
    <d v="1899-12-30T00:03:55"/>
    <n v="3"/>
  </r>
  <r>
    <x v="3918"/>
    <s v="Jim"/>
    <x v="68"/>
    <d v="1899-12-30T12:48:58"/>
    <d v="2021-03-10T12:48:58"/>
    <x v="5"/>
    <x v="3"/>
    <x v="2"/>
    <x v="1"/>
    <s v="N"/>
    <m/>
    <x v="0"/>
    <m/>
    <m/>
  </r>
  <r>
    <x v="3919"/>
    <s v="Becky"/>
    <x v="68"/>
    <d v="1899-12-30T12:48:58"/>
    <d v="2021-03-10T12:48:58"/>
    <x v="5"/>
    <x v="3"/>
    <x v="4"/>
    <x v="0"/>
    <s v="Y"/>
    <n v="43"/>
    <x v="0"/>
    <d v="1899-12-30T00:00:36"/>
    <n v="3"/>
  </r>
  <r>
    <x v="3920"/>
    <s v="Becky"/>
    <x v="68"/>
    <d v="1899-12-30T13:29:17"/>
    <d v="2021-03-10T13:29:17"/>
    <x v="5"/>
    <x v="4"/>
    <x v="4"/>
    <x v="0"/>
    <s v="Y"/>
    <n v="74"/>
    <x v="0"/>
    <d v="1899-12-30T00:02:40"/>
    <n v="4"/>
  </r>
  <r>
    <x v="3921"/>
    <s v="Joe"/>
    <x v="68"/>
    <d v="1899-12-30T13:29:17"/>
    <d v="2021-03-10T13:29:17"/>
    <x v="5"/>
    <x v="4"/>
    <x v="3"/>
    <x v="0"/>
    <s v="Y"/>
    <n v="90"/>
    <x v="0"/>
    <d v="1899-12-30T00:04:57"/>
    <n v="3"/>
  </r>
  <r>
    <x v="3922"/>
    <s v="Greg"/>
    <x v="68"/>
    <d v="1899-12-30T13:32:10"/>
    <d v="2021-03-10T13:32:10"/>
    <x v="5"/>
    <x v="4"/>
    <x v="0"/>
    <x v="1"/>
    <s v="N"/>
    <m/>
    <x v="0"/>
    <m/>
    <m/>
  </r>
  <r>
    <x v="3923"/>
    <s v="Jim"/>
    <x v="68"/>
    <d v="1899-12-30T13:32:10"/>
    <d v="2021-03-10T13:32:10"/>
    <x v="5"/>
    <x v="4"/>
    <x v="3"/>
    <x v="0"/>
    <s v="Y"/>
    <n v="84"/>
    <x v="0"/>
    <d v="1899-12-30T00:06:22"/>
    <n v="5"/>
  </r>
  <r>
    <x v="3924"/>
    <s v="Joe"/>
    <x v="68"/>
    <d v="1899-12-30T13:42:14"/>
    <d v="2021-03-10T13:42:14"/>
    <x v="5"/>
    <x v="4"/>
    <x v="2"/>
    <x v="0"/>
    <s v="Y"/>
    <n v="51"/>
    <x v="0"/>
    <d v="1899-12-30T00:06:45"/>
    <n v="3"/>
  </r>
  <r>
    <x v="3925"/>
    <s v="Diane"/>
    <x v="68"/>
    <d v="1899-12-30T13:42:14"/>
    <d v="2021-03-10T13:42:14"/>
    <x v="5"/>
    <x v="4"/>
    <x v="0"/>
    <x v="1"/>
    <s v="N"/>
    <m/>
    <x v="0"/>
    <m/>
    <m/>
  </r>
  <r>
    <x v="3926"/>
    <s v="Diane"/>
    <x v="68"/>
    <d v="1899-12-30T13:45:07"/>
    <d v="2021-03-10T13:45:07"/>
    <x v="5"/>
    <x v="4"/>
    <x v="4"/>
    <x v="0"/>
    <s v="N"/>
    <n v="90"/>
    <x v="0"/>
    <d v="1899-12-30T00:04:23"/>
    <n v="3"/>
  </r>
  <r>
    <x v="3927"/>
    <s v="Joe"/>
    <x v="68"/>
    <d v="1899-12-30T13:45:07"/>
    <d v="2021-03-10T13:45:07"/>
    <x v="5"/>
    <x v="4"/>
    <x v="3"/>
    <x v="0"/>
    <s v="Y"/>
    <n v="82"/>
    <x v="0"/>
    <d v="1899-12-30T00:00:49"/>
    <n v="3"/>
  </r>
  <r>
    <x v="3928"/>
    <s v="Greg"/>
    <x v="68"/>
    <d v="1899-12-30T13:48:00"/>
    <d v="2021-03-10T13:48:00"/>
    <x v="5"/>
    <x v="4"/>
    <x v="3"/>
    <x v="0"/>
    <s v="Y"/>
    <n v="77"/>
    <x v="0"/>
    <d v="1899-12-30T00:04:06"/>
    <n v="3"/>
  </r>
  <r>
    <x v="3929"/>
    <s v="Martha"/>
    <x v="68"/>
    <d v="1899-12-30T13:48:00"/>
    <d v="2021-03-10T13:48:00"/>
    <x v="5"/>
    <x v="4"/>
    <x v="1"/>
    <x v="1"/>
    <s v="N"/>
    <m/>
    <x v="0"/>
    <m/>
    <m/>
  </r>
  <r>
    <x v="3930"/>
    <s v="Greg"/>
    <x v="68"/>
    <d v="1899-12-30T13:56:38"/>
    <d v="2021-03-10T13:56:38"/>
    <x v="5"/>
    <x v="4"/>
    <x v="0"/>
    <x v="0"/>
    <s v="Y"/>
    <n v="116"/>
    <x v="0"/>
    <d v="1899-12-30T00:00:31"/>
    <n v="3"/>
  </r>
  <r>
    <x v="3931"/>
    <s v="Stewart"/>
    <x v="68"/>
    <d v="1899-12-30T13:56:38"/>
    <d v="2021-03-10T13:56:38"/>
    <x v="5"/>
    <x v="4"/>
    <x v="2"/>
    <x v="0"/>
    <s v="Y"/>
    <n v="120"/>
    <x v="0"/>
    <d v="1899-12-30T00:01:24"/>
    <n v="3"/>
  </r>
  <r>
    <x v="3932"/>
    <s v="Dan"/>
    <x v="68"/>
    <d v="1899-12-30T14:00:58"/>
    <d v="2021-03-10T14:00:58"/>
    <x v="5"/>
    <x v="5"/>
    <x v="2"/>
    <x v="0"/>
    <s v="Y"/>
    <n v="13"/>
    <x v="1"/>
    <d v="1899-12-30T00:04:26"/>
    <n v="1"/>
  </r>
  <r>
    <x v="3933"/>
    <s v="Dan"/>
    <x v="68"/>
    <d v="1899-12-30T14:00:58"/>
    <d v="2021-03-10T14:00:58"/>
    <x v="5"/>
    <x v="5"/>
    <x v="4"/>
    <x v="0"/>
    <s v="Y"/>
    <n v="26"/>
    <x v="0"/>
    <d v="1899-12-30T00:03:01"/>
    <n v="3"/>
  </r>
  <r>
    <x v="3934"/>
    <s v="Stewart"/>
    <x v="68"/>
    <d v="1899-12-30T15:17:17"/>
    <d v="2021-03-10T15:17:17"/>
    <x v="5"/>
    <x v="6"/>
    <x v="0"/>
    <x v="0"/>
    <s v="Y"/>
    <n v="93"/>
    <x v="0"/>
    <d v="1899-12-30T00:02:18"/>
    <n v="3"/>
  </r>
  <r>
    <x v="3935"/>
    <s v="Dan"/>
    <x v="68"/>
    <d v="1899-12-30T15:17:17"/>
    <d v="2021-03-10T15:17:17"/>
    <x v="5"/>
    <x v="6"/>
    <x v="0"/>
    <x v="0"/>
    <s v="Y"/>
    <n v="20"/>
    <x v="1"/>
    <d v="1899-12-30T00:00:33"/>
    <n v="3"/>
  </r>
  <r>
    <x v="3936"/>
    <s v="Stewart"/>
    <x v="68"/>
    <d v="1899-12-30T15:24:29"/>
    <d v="2021-03-10T15:24:29"/>
    <x v="5"/>
    <x v="6"/>
    <x v="0"/>
    <x v="1"/>
    <s v="N"/>
    <m/>
    <x v="0"/>
    <m/>
    <m/>
  </r>
  <r>
    <x v="3937"/>
    <s v="Joe"/>
    <x v="68"/>
    <d v="1899-12-30T15:24:29"/>
    <d v="2021-03-10T15:24:29"/>
    <x v="5"/>
    <x v="6"/>
    <x v="4"/>
    <x v="0"/>
    <s v="Y"/>
    <n v="113"/>
    <x v="0"/>
    <d v="1899-12-30T00:01:18"/>
    <n v="1"/>
  </r>
  <r>
    <x v="3938"/>
    <s v="Stewart"/>
    <x v="68"/>
    <d v="1899-12-30T16:00:29"/>
    <d v="2021-03-10T16:00:29"/>
    <x v="5"/>
    <x v="8"/>
    <x v="4"/>
    <x v="1"/>
    <s v="N"/>
    <m/>
    <x v="0"/>
    <m/>
    <m/>
  </r>
  <r>
    <x v="3939"/>
    <s v="Joe"/>
    <x v="68"/>
    <d v="1899-12-30T16:00:29"/>
    <d v="2021-03-10T16:00:29"/>
    <x v="5"/>
    <x v="8"/>
    <x v="2"/>
    <x v="0"/>
    <s v="Y"/>
    <n v="113"/>
    <x v="0"/>
    <d v="1899-12-30T00:06:15"/>
    <n v="2"/>
  </r>
  <r>
    <x v="3940"/>
    <s v="Greg"/>
    <x v="68"/>
    <d v="1899-12-30T16:30:43"/>
    <d v="2021-03-10T16:30:43"/>
    <x v="5"/>
    <x v="8"/>
    <x v="4"/>
    <x v="0"/>
    <s v="Y"/>
    <n v="44"/>
    <x v="0"/>
    <d v="1899-12-30T00:03:17"/>
    <n v="5"/>
  </r>
  <r>
    <x v="3941"/>
    <s v="Becky"/>
    <x v="68"/>
    <d v="1899-12-30T16:30:43"/>
    <d v="2021-03-10T16:30:43"/>
    <x v="5"/>
    <x v="8"/>
    <x v="2"/>
    <x v="0"/>
    <s v="Y"/>
    <n v="103"/>
    <x v="0"/>
    <d v="1899-12-30T00:01:23"/>
    <n v="3"/>
  </r>
  <r>
    <x v="3942"/>
    <s v="Greg"/>
    <x v="68"/>
    <d v="1899-12-30T16:46:34"/>
    <d v="2021-03-10T16:46:34"/>
    <x v="5"/>
    <x v="8"/>
    <x v="4"/>
    <x v="0"/>
    <s v="Y"/>
    <n v="92"/>
    <x v="0"/>
    <d v="1899-12-30T00:06:23"/>
    <n v="2"/>
  </r>
  <r>
    <x v="3943"/>
    <s v="Dan"/>
    <x v="68"/>
    <d v="1899-12-30T16:46:34"/>
    <d v="2021-03-10T16:46:34"/>
    <x v="5"/>
    <x v="8"/>
    <x v="4"/>
    <x v="0"/>
    <s v="N"/>
    <n v="92"/>
    <x v="0"/>
    <d v="1899-12-30T00:04:20"/>
    <n v="3"/>
  </r>
  <r>
    <x v="3944"/>
    <s v="Dan"/>
    <x v="68"/>
    <d v="1899-12-30T17:05:17"/>
    <d v="2021-03-10T17:05:17"/>
    <x v="5"/>
    <x v="7"/>
    <x v="4"/>
    <x v="0"/>
    <s v="Y"/>
    <n v="33"/>
    <x v="0"/>
    <d v="1899-12-30T00:05:14"/>
    <n v="5"/>
  </r>
  <r>
    <x v="3945"/>
    <s v="Dan"/>
    <x v="68"/>
    <d v="1899-12-30T17:05:17"/>
    <d v="2021-03-10T17:05:17"/>
    <x v="5"/>
    <x v="7"/>
    <x v="0"/>
    <x v="0"/>
    <s v="Y"/>
    <n v="24"/>
    <x v="0"/>
    <d v="1899-12-30T00:04:40"/>
    <n v="5"/>
  </r>
  <r>
    <x v="3946"/>
    <s v="Greg"/>
    <x v="68"/>
    <d v="1899-12-30T17:35:31"/>
    <d v="2021-03-10T17:35:31"/>
    <x v="5"/>
    <x v="7"/>
    <x v="4"/>
    <x v="0"/>
    <s v="Y"/>
    <n v="84"/>
    <x v="0"/>
    <d v="1899-12-30T00:02:03"/>
    <n v="3"/>
  </r>
  <r>
    <x v="3947"/>
    <s v="Jim"/>
    <x v="68"/>
    <d v="1899-12-30T17:35:31"/>
    <d v="2021-03-10T17:35:31"/>
    <x v="5"/>
    <x v="7"/>
    <x v="1"/>
    <x v="0"/>
    <s v="Y"/>
    <n v="99"/>
    <x v="0"/>
    <d v="1899-12-30T00:02:47"/>
    <n v="3"/>
  </r>
  <r>
    <x v="3948"/>
    <s v="Stewart"/>
    <x v="69"/>
    <d v="1899-12-30T09:10:05"/>
    <d v="2021-03-11T09:10:05"/>
    <x v="6"/>
    <x v="0"/>
    <x v="1"/>
    <x v="1"/>
    <s v="N"/>
    <m/>
    <x v="0"/>
    <m/>
    <m/>
  </r>
  <r>
    <x v="3949"/>
    <s v="Diane"/>
    <x v="69"/>
    <d v="1899-12-30T09:10:05"/>
    <d v="2021-03-11T09:10:05"/>
    <x v="6"/>
    <x v="0"/>
    <x v="1"/>
    <x v="0"/>
    <s v="Y"/>
    <n v="58"/>
    <x v="0"/>
    <d v="1899-12-30T00:02:16"/>
    <n v="5"/>
  </r>
  <r>
    <x v="3950"/>
    <s v="Joe"/>
    <x v="69"/>
    <d v="1899-12-30T09:38:53"/>
    <d v="2021-03-11T09:38:53"/>
    <x v="6"/>
    <x v="0"/>
    <x v="4"/>
    <x v="1"/>
    <s v="N"/>
    <m/>
    <x v="0"/>
    <m/>
    <m/>
  </r>
  <r>
    <x v="3951"/>
    <s v="Greg"/>
    <x v="69"/>
    <d v="1899-12-30T09:38:53"/>
    <d v="2021-03-11T09:38:53"/>
    <x v="6"/>
    <x v="0"/>
    <x v="3"/>
    <x v="0"/>
    <s v="Y"/>
    <n v="27"/>
    <x v="0"/>
    <d v="1899-12-30T00:01:28"/>
    <n v="1"/>
  </r>
  <r>
    <x v="3952"/>
    <s v="Greg"/>
    <x v="69"/>
    <d v="1899-12-30T09:40:19"/>
    <d v="2021-03-11T09:40:19"/>
    <x v="6"/>
    <x v="0"/>
    <x v="2"/>
    <x v="0"/>
    <s v="Y"/>
    <n v="48"/>
    <x v="0"/>
    <d v="1899-12-30T00:00:44"/>
    <n v="3"/>
  </r>
  <r>
    <x v="3953"/>
    <s v="Jim"/>
    <x v="69"/>
    <d v="1899-12-30T09:40:19"/>
    <d v="2021-03-11T09:40:19"/>
    <x v="6"/>
    <x v="0"/>
    <x v="0"/>
    <x v="0"/>
    <s v="Y"/>
    <n v="86"/>
    <x v="0"/>
    <d v="1899-12-30T00:06:37"/>
    <n v="5"/>
  </r>
  <r>
    <x v="3954"/>
    <s v="Dan"/>
    <x v="69"/>
    <d v="1899-12-30T09:57:36"/>
    <d v="2021-03-11T09:57:36"/>
    <x v="6"/>
    <x v="0"/>
    <x v="4"/>
    <x v="1"/>
    <s v="N"/>
    <m/>
    <x v="0"/>
    <m/>
    <m/>
  </r>
  <r>
    <x v="3955"/>
    <s v="Greg"/>
    <x v="69"/>
    <d v="1899-12-30T09:57:36"/>
    <d v="2021-03-11T09:57:36"/>
    <x v="6"/>
    <x v="0"/>
    <x v="1"/>
    <x v="0"/>
    <s v="Y"/>
    <n v="82"/>
    <x v="0"/>
    <d v="1899-12-30T00:05:17"/>
    <n v="3"/>
  </r>
  <r>
    <x v="3956"/>
    <s v="Jim"/>
    <x v="69"/>
    <d v="1899-12-30T10:01:55"/>
    <d v="2021-03-11T10:01:55"/>
    <x v="6"/>
    <x v="1"/>
    <x v="1"/>
    <x v="0"/>
    <s v="Y"/>
    <n v="54"/>
    <x v="0"/>
    <d v="1899-12-30T00:04:12"/>
    <n v="4"/>
  </r>
  <r>
    <x v="3957"/>
    <s v="Dan"/>
    <x v="69"/>
    <d v="1899-12-30T10:01:55"/>
    <d v="2021-03-11T10:01:55"/>
    <x v="6"/>
    <x v="1"/>
    <x v="1"/>
    <x v="0"/>
    <s v="Y"/>
    <n v="87"/>
    <x v="0"/>
    <d v="1899-12-30T00:06:21"/>
    <n v="4"/>
  </r>
  <r>
    <x v="3958"/>
    <s v="Diane"/>
    <x v="69"/>
    <d v="1899-12-30T10:09:07"/>
    <d v="2021-03-11T10:09:07"/>
    <x v="6"/>
    <x v="1"/>
    <x v="3"/>
    <x v="0"/>
    <s v="Y"/>
    <n v="114"/>
    <x v="0"/>
    <d v="1899-12-30T00:06:15"/>
    <n v="5"/>
  </r>
  <r>
    <x v="3959"/>
    <s v="Jim"/>
    <x v="69"/>
    <d v="1899-12-30T10:09:07"/>
    <d v="2021-03-11T10:09:07"/>
    <x v="6"/>
    <x v="1"/>
    <x v="3"/>
    <x v="1"/>
    <s v="N"/>
    <m/>
    <x v="0"/>
    <m/>
    <m/>
  </r>
  <r>
    <x v="3960"/>
    <s v="Jim"/>
    <x v="69"/>
    <d v="1899-12-30T10:24:58"/>
    <d v="2021-03-11T10:24:58"/>
    <x v="6"/>
    <x v="1"/>
    <x v="3"/>
    <x v="0"/>
    <s v="Y"/>
    <n v="104"/>
    <x v="0"/>
    <d v="1899-12-30T00:00:48"/>
    <n v="5"/>
  </r>
  <r>
    <x v="3961"/>
    <s v="Stewart"/>
    <x v="69"/>
    <d v="1899-12-30T10:24:58"/>
    <d v="2021-03-11T10:24:58"/>
    <x v="6"/>
    <x v="1"/>
    <x v="4"/>
    <x v="0"/>
    <s v="Y"/>
    <n v="81"/>
    <x v="0"/>
    <d v="1899-12-30T00:02:50"/>
    <n v="5"/>
  </r>
  <r>
    <x v="3962"/>
    <s v="Greg"/>
    <x v="69"/>
    <d v="1899-12-30T10:30:43"/>
    <d v="2021-03-11T10:30:43"/>
    <x v="6"/>
    <x v="1"/>
    <x v="2"/>
    <x v="0"/>
    <s v="Y"/>
    <n v="120"/>
    <x v="0"/>
    <d v="1899-12-30T00:03:57"/>
    <n v="4"/>
  </r>
  <r>
    <x v="3963"/>
    <s v="Greg"/>
    <x v="69"/>
    <d v="1899-12-30T10:30:43"/>
    <d v="2021-03-11T10:30:43"/>
    <x v="6"/>
    <x v="1"/>
    <x v="2"/>
    <x v="1"/>
    <s v="N"/>
    <m/>
    <x v="0"/>
    <m/>
    <m/>
  </r>
  <r>
    <x v="3964"/>
    <s v="Becky"/>
    <x v="69"/>
    <d v="1899-12-30T10:49:26"/>
    <d v="2021-03-11T10:49:26"/>
    <x v="6"/>
    <x v="1"/>
    <x v="0"/>
    <x v="0"/>
    <s v="Y"/>
    <n v="72"/>
    <x v="0"/>
    <d v="1899-12-30T00:05:11"/>
    <n v="3"/>
  </r>
  <r>
    <x v="3965"/>
    <s v="Stewart"/>
    <x v="69"/>
    <d v="1899-12-30T10:49:26"/>
    <d v="2021-03-11T10:49:26"/>
    <x v="6"/>
    <x v="1"/>
    <x v="3"/>
    <x v="0"/>
    <s v="Y"/>
    <n v="57"/>
    <x v="0"/>
    <d v="1899-12-30T00:02:58"/>
    <n v="3"/>
  </r>
  <r>
    <x v="3966"/>
    <s v="Greg"/>
    <x v="69"/>
    <d v="1899-12-30T10:50:53"/>
    <d v="2021-03-11T10:50:53"/>
    <x v="6"/>
    <x v="1"/>
    <x v="3"/>
    <x v="0"/>
    <s v="Y"/>
    <n v="74"/>
    <x v="0"/>
    <d v="1899-12-30T00:00:48"/>
    <n v="5"/>
  </r>
  <r>
    <x v="3967"/>
    <s v="Joe"/>
    <x v="69"/>
    <d v="1899-12-30T10:50:53"/>
    <d v="2021-03-11T10:50:53"/>
    <x v="6"/>
    <x v="1"/>
    <x v="4"/>
    <x v="0"/>
    <s v="Y"/>
    <n v="53"/>
    <x v="0"/>
    <d v="1899-12-30T00:05:42"/>
    <n v="3"/>
  </r>
  <r>
    <x v="3968"/>
    <s v="Greg"/>
    <x v="69"/>
    <d v="1899-12-30T11:00:58"/>
    <d v="2021-03-11T11:00:58"/>
    <x v="6"/>
    <x v="2"/>
    <x v="2"/>
    <x v="0"/>
    <s v="Y"/>
    <n v="79"/>
    <x v="0"/>
    <d v="1899-12-30T00:02:17"/>
    <n v="3"/>
  </r>
  <r>
    <x v="3969"/>
    <s v="Martha"/>
    <x v="69"/>
    <d v="1899-12-30T11:00:58"/>
    <d v="2021-03-11T11:00:58"/>
    <x v="6"/>
    <x v="2"/>
    <x v="4"/>
    <x v="0"/>
    <s v="Y"/>
    <n v="100"/>
    <x v="0"/>
    <d v="1899-12-30T00:06:00"/>
    <n v="3"/>
  </r>
  <r>
    <x v="3970"/>
    <s v="Dan"/>
    <x v="69"/>
    <d v="1899-12-30T11:26:53"/>
    <d v="2021-03-11T11:26:53"/>
    <x v="6"/>
    <x v="2"/>
    <x v="4"/>
    <x v="0"/>
    <s v="Y"/>
    <n v="116"/>
    <x v="0"/>
    <d v="1899-12-30T00:04:31"/>
    <n v="3"/>
  </r>
  <r>
    <x v="3971"/>
    <s v="Diane"/>
    <x v="69"/>
    <d v="1899-12-30T11:26:53"/>
    <d v="2021-03-11T11:26:53"/>
    <x v="6"/>
    <x v="2"/>
    <x v="1"/>
    <x v="1"/>
    <s v="N"/>
    <m/>
    <x v="0"/>
    <m/>
    <m/>
  </r>
  <r>
    <x v="3972"/>
    <s v="Martha"/>
    <x v="69"/>
    <d v="1899-12-30T11:38:24"/>
    <d v="2021-03-11T11:38:24"/>
    <x v="6"/>
    <x v="2"/>
    <x v="4"/>
    <x v="0"/>
    <s v="Y"/>
    <n v="14"/>
    <x v="1"/>
    <d v="1899-12-30T00:01:44"/>
    <n v="5"/>
  </r>
  <r>
    <x v="3973"/>
    <s v="Joe"/>
    <x v="69"/>
    <d v="1899-12-30T11:38:24"/>
    <d v="2021-03-11T11:38:24"/>
    <x v="6"/>
    <x v="2"/>
    <x v="4"/>
    <x v="0"/>
    <s v="Y"/>
    <n v="92"/>
    <x v="0"/>
    <d v="1899-12-30T00:01:41"/>
    <n v="5"/>
  </r>
  <r>
    <x v="3974"/>
    <s v="Jim"/>
    <x v="69"/>
    <d v="1899-12-30T12:02:53"/>
    <d v="2021-03-11T12:02:53"/>
    <x v="6"/>
    <x v="3"/>
    <x v="3"/>
    <x v="0"/>
    <s v="Y"/>
    <n v="92"/>
    <x v="0"/>
    <d v="1899-12-30T00:02:30"/>
    <n v="1"/>
  </r>
  <r>
    <x v="3975"/>
    <s v="Joe"/>
    <x v="69"/>
    <d v="1899-12-30T12:02:53"/>
    <d v="2021-03-11T12:02:53"/>
    <x v="6"/>
    <x v="3"/>
    <x v="0"/>
    <x v="0"/>
    <s v="Y"/>
    <n v="78"/>
    <x v="0"/>
    <d v="1899-12-30T00:06:24"/>
    <n v="4"/>
  </r>
  <r>
    <x v="3976"/>
    <s v="Martha"/>
    <x v="69"/>
    <d v="1899-12-30T12:20:10"/>
    <d v="2021-03-11T12:20:10"/>
    <x v="6"/>
    <x v="3"/>
    <x v="1"/>
    <x v="0"/>
    <s v="Y"/>
    <n v="36"/>
    <x v="0"/>
    <d v="1899-12-30T00:00:42"/>
    <n v="3"/>
  </r>
  <r>
    <x v="3977"/>
    <s v="Jim"/>
    <x v="69"/>
    <d v="1899-12-30T12:20:10"/>
    <d v="2021-03-11T12:20:10"/>
    <x v="6"/>
    <x v="3"/>
    <x v="4"/>
    <x v="1"/>
    <s v="N"/>
    <m/>
    <x v="0"/>
    <m/>
    <m/>
  </r>
  <r>
    <x v="3978"/>
    <s v="Greg"/>
    <x v="69"/>
    <d v="1899-12-30T12:20:10"/>
    <d v="2021-03-11T12:20:10"/>
    <x v="6"/>
    <x v="3"/>
    <x v="2"/>
    <x v="0"/>
    <s v="Y"/>
    <n v="20"/>
    <x v="1"/>
    <d v="1899-12-30T00:04:32"/>
    <n v="2"/>
  </r>
  <r>
    <x v="3979"/>
    <s v="Dan"/>
    <x v="69"/>
    <d v="1899-12-30T12:20:10"/>
    <d v="2021-03-11T12:20:10"/>
    <x v="6"/>
    <x v="3"/>
    <x v="1"/>
    <x v="0"/>
    <s v="N"/>
    <n v="29"/>
    <x v="0"/>
    <d v="1899-12-30T00:05:03"/>
    <n v="5"/>
  </r>
  <r>
    <x v="3980"/>
    <s v="Stewart"/>
    <x v="69"/>
    <d v="1899-12-30T12:31:41"/>
    <d v="2021-03-11T12:31:41"/>
    <x v="6"/>
    <x v="3"/>
    <x v="2"/>
    <x v="0"/>
    <s v="Y"/>
    <n v="119"/>
    <x v="0"/>
    <d v="1899-12-30T00:06:51"/>
    <n v="3"/>
  </r>
  <r>
    <x v="3981"/>
    <s v="Martha"/>
    <x v="69"/>
    <d v="1899-12-30T12:31:41"/>
    <d v="2021-03-11T12:31:41"/>
    <x v="6"/>
    <x v="3"/>
    <x v="2"/>
    <x v="0"/>
    <s v="Y"/>
    <n v="67"/>
    <x v="0"/>
    <d v="1899-12-30T00:05:10"/>
    <n v="5"/>
  </r>
  <r>
    <x v="3982"/>
    <s v="Jim"/>
    <x v="69"/>
    <d v="1899-12-30T12:38:53"/>
    <d v="2021-03-11T12:38:53"/>
    <x v="6"/>
    <x v="3"/>
    <x v="4"/>
    <x v="1"/>
    <s v="N"/>
    <m/>
    <x v="0"/>
    <m/>
    <m/>
  </r>
  <r>
    <x v="3983"/>
    <s v="Martha"/>
    <x v="69"/>
    <d v="1899-12-30T12:38:53"/>
    <d v="2021-03-11T12:38:53"/>
    <x v="6"/>
    <x v="3"/>
    <x v="4"/>
    <x v="0"/>
    <s v="Y"/>
    <n v="102"/>
    <x v="0"/>
    <d v="1899-12-30T00:01:14"/>
    <n v="1"/>
  </r>
  <r>
    <x v="3984"/>
    <s v="Martha"/>
    <x v="69"/>
    <d v="1899-12-30T12:56:10"/>
    <d v="2021-03-11T12:56:10"/>
    <x v="6"/>
    <x v="3"/>
    <x v="4"/>
    <x v="0"/>
    <s v="Y"/>
    <n v="72"/>
    <x v="0"/>
    <d v="1899-12-30T00:05:24"/>
    <n v="4"/>
  </r>
  <r>
    <x v="3985"/>
    <s v="Diane"/>
    <x v="69"/>
    <d v="1899-12-30T12:56:10"/>
    <d v="2021-03-11T12:56:10"/>
    <x v="6"/>
    <x v="3"/>
    <x v="3"/>
    <x v="0"/>
    <s v="Y"/>
    <n v="107"/>
    <x v="0"/>
    <d v="1899-12-30T00:01:58"/>
    <n v="5"/>
  </r>
  <r>
    <x v="3986"/>
    <s v="Greg"/>
    <x v="69"/>
    <d v="1899-12-30T12:57:36"/>
    <d v="2021-03-11T12:57:36"/>
    <x v="6"/>
    <x v="3"/>
    <x v="4"/>
    <x v="1"/>
    <s v="N"/>
    <m/>
    <x v="0"/>
    <m/>
    <m/>
  </r>
  <r>
    <x v="3987"/>
    <s v="Becky"/>
    <x v="69"/>
    <d v="1899-12-30T12:57:36"/>
    <d v="2021-03-11T12:57:36"/>
    <x v="6"/>
    <x v="3"/>
    <x v="3"/>
    <x v="1"/>
    <s v="N"/>
    <m/>
    <x v="0"/>
    <m/>
    <m/>
  </r>
  <r>
    <x v="3988"/>
    <s v="Joe"/>
    <x v="69"/>
    <d v="1899-12-30T13:32:10"/>
    <d v="2021-03-11T13:32:10"/>
    <x v="6"/>
    <x v="4"/>
    <x v="2"/>
    <x v="0"/>
    <s v="N"/>
    <n v="106"/>
    <x v="0"/>
    <d v="1899-12-30T00:01:31"/>
    <n v="4"/>
  </r>
  <r>
    <x v="3989"/>
    <s v="Joe"/>
    <x v="69"/>
    <d v="1899-12-30T13:32:10"/>
    <d v="2021-03-11T13:32:10"/>
    <x v="6"/>
    <x v="4"/>
    <x v="3"/>
    <x v="0"/>
    <s v="Y"/>
    <n v="68"/>
    <x v="0"/>
    <d v="1899-12-30T00:04:16"/>
    <n v="2"/>
  </r>
  <r>
    <x v="3990"/>
    <s v="Dan"/>
    <x v="69"/>
    <d v="1899-12-30T13:40:48"/>
    <d v="2021-03-11T13:40:48"/>
    <x v="6"/>
    <x v="4"/>
    <x v="1"/>
    <x v="0"/>
    <s v="Y"/>
    <n v="44"/>
    <x v="0"/>
    <d v="1899-12-30T00:06:38"/>
    <n v="3"/>
  </r>
  <r>
    <x v="3991"/>
    <s v="Becky"/>
    <x v="69"/>
    <d v="1899-12-30T13:40:48"/>
    <d v="2021-03-11T13:40:48"/>
    <x v="6"/>
    <x v="4"/>
    <x v="3"/>
    <x v="0"/>
    <s v="Y"/>
    <n v="96"/>
    <x v="0"/>
    <d v="1899-12-30T00:03:34"/>
    <n v="1"/>
  </r>
  <r>
    <x v="3992"/>
    <s v="Diane"/>
    <x v="69"/>
    <d v="1899-12-30T13:50:53"/>
    <d v="2021-03-11T13:50:53"/>
    <x v="6"/>
    <x v="4"/>
    <x v="2"/>
    <x v="1"/>
    <s v="N"/>
    <m/>
    <x v="0"/>
    <m/>
    <m/>
  </r>
  <r>
    <x v="3993"/>
    <s v="Stewart"/>
    <x v="69"/>
    <d v="1899-12-30T13:50:53"/>
    <d v="2021-03-11T13:50:53"/>
    <x v="6"/>
    <x v="4"/>
    <x v="1"/>
    <x v="0"/>
    <s v="Y"/>
    <n v="53"/>
    <x v="0"/>
    <d v="1899-12-30T00:00:34"/>
    <n v="4"/>
  </r>
  <r>
    <x v="3994"/>
    <s v="Dan"/>
    <x v="69"/>
    <d v="1899-12-30T13:56:38"/>
    <d v="2021-03-11T13:56:38"/>
    <x v="6"/>
    <x v="4"/>
    <x v="4"/>
    <x v="0"/>
    <s v="Y"/>
    <n v="100"/>
    <x v="0"/>
    <d v="1899-12-30T00:01:05"/>
    <n v="1"/>
  </r>
  <r>
    <x v="3995"/>
    <s v="Becky"/>
    <x v="69"/>
    <d v="1899-12-30T13:56:38"/>
    <d v="2021-03-11T13:56:38"/>
    <x v="6"/>
    <x v="4"/>
    <x v="4"/>
    <x v="0"/>
    <s v="Y"/>
    <n v="75"/>
    <x v="0"/>
    <d v="1899-12-30T00:01:55"/>
    <n v="2"/>
  </r>
  <r>
    <x v="3996"/>
    <s v="Jim"/>
    <x v="69"/>
    <d v="1899-12-30T13:59:31"/>
    <d v="2021-03-11T13:59:31"/>
    <x v="6"/>
    <x v="4"/>
    <x v="2"/>
    <x v="0"/>
    <s v="Y"/>
    <n v="109"/>
    <x v="0"/>
    <d v="1899-12-30T00:04:19"/>
    <n v="3"/>
  </r>
  <r>
    <x v="3997"/>
    <s v="Joe"/>
    <x v="69"/>
    <d v="1899-12-30T13:59:31"/>
    <d v="2021-03-11T13:59:31"/>
    <x v="6"/>
    <x v="4"/>
    <x v="2"/>
    <x v="0"/>
    <s v="Y"/>
    <n v="95"/>
    <x v="0"/>
    <d v="1899-12-30T00:02:14"/>
    <n v="4"/>
  </r>
  <r>
    <x v="3998"/>
    <s v="Stewart"/>
    <x v="69"/>
    <d v="1899-12-30T14:22:34"/>
    <d v="2021-03-11T14:22:34"/>
    <x v="6"/>
    <x v="5"/>
    <x v="0"/>
    <x v="0"/>
    <s v="Y"/>
    <n v="69"/>
    <x v="0"/>
    <d v="1899-12-30T00:00:59"/>
    <n v="4"/>
  </r>
  <r>
    <x v="3999"/>
    <s v="Becky"/>
    <x v="69"/>
    <d v="1899-12-30T14:22:34"/>
    <d v="2021-03-11T14:22:34"/>
    <x v="6"/>
    <x v="5"/>
    <x v="4"/>
    <x v="0"/>
    <s v="Y"/>
    <n v="113"/>
    <x v="0"/>
    <d v="1899-12-30T00:02:55"/>
    <n v="5"/>
  </r>
  <r>
    <x v="4000"/>
    <s v="Joe"/>
    <x v="69"/>
    <d v="1899-12-30T14:26:53"/>
    <d v="2021-03-11T14:26:53"/>
    <x v="6"/>
    <x v="5"/>
    <x v="3"/>
    <x v="0"/>
    <s v="Y"/>
    <n v="108"/>
    <x v="0"/>
    <d v="1899-12-30T00:01:32"/>
    <n v="2"/>
  </r>
  <r>
    <x v="4001"/>
    <s v="Joe"/>
    <x v="69"/>
    <d v="1899-12-30T14:26:53"/>
    <d v="2021-03-11T14:26:53"/>
    <x v="6"/>
    <x v="5"/>
    <x v="4"/>
    <x v="0"/>
    <s v="Y"/>
    <n v="46"/>
    <x v="0"/>
    <d v="1899-12-30T00:05:20"/>
    <n v="2"/>
  </r>
  <r>
    <x v="4002"/>
    <s v="Joe"/>
    <x v="69"/>
    <d v="1899-12-30T14:28:19"/>
    <d v="2021-03-11T14:28:19"/>
    <x v="6"/>
    <x v="5"/>
    <x v="2"/>
    <x v="0"/>
    <s v="Y"/>
    <n v="71"/>
    <x v="0"/>
    <d v="1899-12-30T00:01:48"/>
    <n v="1"/>
  </r>
  <r>
    <x v="4003"/>
    <s v="Diane"/>
    <x v="69"/>
    <d v="1899-12-30T14:28:19"/>
    <d v="2021-03-11T14:28:19"/>
    <x v="6"/>
    <x v="5"/>
    <x v="3"/>
    <x v="0"/>
    <s v="Y"/>
    <n v="124"/>
    <x v="0"/>
    <d v="1899-12-30T00:02:52"/>
    <n v="2"/>
  </r>
  <r>
    <x v="4004"/>
    <s v="Martha"/>
    <x v="69"/>
    <d v="1899-12-30T15:21:36"/>
    <d v="2021-03-11T15:21:36"/>
    <x v="6"/>
    <x v="6"/>
    <x v="1"/>
    <x v="0"/>
    <s v="Y"/>
    <n v="79"/>
    <x v="0"/>
    <d v="1899-12-30T00:01:01"/>
    <n v="4"/>
  </r>
  <r>
    <x v="4005"/>
    <s v="Diane"/>
    <x v="69"/>
    <d v="1899-12-30T15:21:36"/>
    <d v="2021-03-11T15:21:36"/>
    <x v="6"/>
    <x v="6"/>
    <x v="2"/>
    <x v="0"/>
    <s v="N"/>
    <n v="111"/>
    <x v="0"/>
    <d v="1899-12-30T00:02:34"/>
    <n v="5"/>
  </r>
  <r>
    <x v="4006"/>
    <s v="Dan"/>
    <x v="69"/>
    <d v="1899-12-30T15:24:29"/>
    <d v="2021-03-11T15:24:29"/>
    <x v="6"/>
    <x v="6"/>
    <x v="2"/>
    <x v="0"/>
    <s v="Y"/>
    <n v="27"/>
    <x v="0"/>
    <d v="1899-12-30T00:00:43"/>
    <n v="4"/>
  </r>
  <r>
    <x v="4007"/>
    <s v="Becky"/>
    <x v="69"/>
    <d v="1899-12-30T15:24:29"/>
    <d v="2021-03-11T15:24:29"/>
    <x v="6"/>
    <x v="6"/>
    <x v="4"/>
    <x v="0"/>
    <s v="Y"/>
    <n v="69"/>
    <x v="0"/>
    <d v="1899-12-30T00:03:42"/>
    <n v="4"/>
  </r>
  <r>
    <x v="4008"/>
    <s v="Joe"/>
    <x v="69"/>
    <d v="1899-12-30T15:34:34"/>
    <d v="2021-03-11T15:34:34"/>
    <x v="6"/>
    <x v="6"/>
    <x v="2"/>
    <x v="0"/>
    <s v="Y"/>
    <n v="121"/>
    <x v="0"/>
    <d v="1899-12-30T00:05:16"/>
    <n v="1"/>
  </r>
  <r>
    <x v="4009"/>
    <s v="Stewart"/>
    <x v="69"/>
    <d v="1899-12-30T15:34:34"/>
    <d v="2021-03-11T15:34:34"/>
    <x v="6"/>
    <x v="6"/>
    <x v="4"/>
    <x v="0"/>
    <s v="Y"/>
    <n v="16"/>
    <x v="1"/>
    <d v="1899-12-30T00:06:15"/>
    <n v="3"/>
  </r>
  <r>
    <x v="4010"/>
    <s v="Stewart"/>
    <x v="69"/>
    <d v="1899-12-30T15:59:02"/>
    <d v="2021-03-11T15:59:02"/>
    <x v="6"/>
    <x v="6"/>
    <x v="0"/>
    <x v="1"/>
    <s v="N"/>
    <m/>
    <x v="0"/>
    <m/>
    <m/>
  </r>
  <r>
    <x v="4011"/>
    <s v="Jim"/>
    <x v="69"/>
    <d v="1899-12-30T15:59:02"/>
    <d v="2021-03-11T15:59:02"/>
    <x v="6"/>
    <x v="6"/>
    <x v="4"/>
    <x v="0"/>
    <s v="N"/>
    <n v="35"/>
    <x v="0"/>
    <d v="1899-12-30T00:06:08"/>
    <n v="5"/>
  </r>
  <r>
    <x v="4012"/>
    <s v="Becky"/>
    <x v="69"/>
    <d v="1899-12-30T16:10:34"/>
    <d v="2021-03-11T16:10:34"/>
    <x v="6"/>
    <x v="8"/>
    <x v="4"/>
    <x v="0"/>
    <s v="Y"/>
    <n v="85"/>
    <x v="0"/>
    <d v="1899-12-30T00:03:44"/>
    <n v="3"/>
  </r>
  <r>
    <x v="4013"/>
    <s v="Dan"/>
    <x v="69"/>
    <d v="1899-12-30T16:10:34"/>
    <d v="2021-03-11T16:10:34"/>
    <x v="6"/>
    <x v="8"/>
    <x v="3"/>
    <x v="0"/>
    <s v="Y"/>
    <n v="73"/>
    <x v="0"/>
    <d v="1899-12-30T00:02:57"/>
    <n v="2"/>
  </r>
  <r>
    <x v="4014"/>
    <s v="Martha"/>
    <x v="69"/>
    <d v="1899-12-30T16:13:26"/>
    <d v="2021-03-11T16:13:26"/>
    <x v="6"/>
    <x v="8"/>
    <x v="2"/>
    <x v="0"/>
    <s v="Y"/>
    <n v="101"/>
    <x v="0"/>
    <d v="1899-12-30T00:04:57"/>
    <n v="3"/>
  </r>
  <r>
    <x v="4015"/>
    <s v="Jim"/>
    <x v="69"/>
    <d v="1899-12-30T16:13:26"/>
    <d v="2021-03-11T16:13:26"/>
    <x v="6"/>
    <x v="8"/>
    <x v="3"/>
    <x v="0"/>
    <s v="Y"/>
    <n v="89"/>
    <x v="0"/>
    <d v="1899-12-30T00:04:28"/>
    <n v="2"/>
  </r>
  <r>
    <x v="4016"/>
    <s v="Diane"/>
    <x v="69"/>
    <d v="1899-12-30T17:34:05"/>
    <d v="2021-03-11T17:34:05"/>
    <x v="6"/>
    <x v="7"/>
    <x v="1"/>
    <x v="0"/>
    <s v="Y"/>
    <n v="70"/>
    <x v="0"/>
    <d v="1899-12-30T00:05:01"/>
    <n v="5"/>
  </r>
  <r>
    <x v="4017"/>
    <s v="Diane"/>
    <x v="69"/>
    <d v="1899-12-30T17:34:05"/>
    <d v="2021-03-11T17:34:05"/>
    <x v="6"/>
    <x v="7"/>
    <x v="0"/>
    <x v="0"/>
    <s v="Y"/>
    <n v="52"/>
    <x v="0"/>
    <d v="1899-12-30T00:05:32"/>
    <n v="3"/>
  </r>
  <r>
    <x v="4018"/>
    <s v="Jim"/>
    <x v="69"/>
    <d v="1899-12-30T17:39:50"/>
    <d v="2021-03-11T17:39:50"/>
    <x v="6"/>
    <x v="7"/>
    <x v="0"/>
    <x v="1"/>
    <s v="N"/>
    <m/>
    <x v="0"/>
    <m/>
    <m/>
  </r>
  <r>
    <x v="4019"/>
    <s v="Dan"/>
    <x v="69"/>
    <d v="1899-12-30T17:39:50"/>
    <d v="2021-03-11T17:39:50"/>
    <x v="6"/>
    <x v="7"/>
    <x v="4"/>
    <x v="0"/>
    <s v="Y"/>
    <n v="91"/>
    <x v="0"/>
    <d v="1899-12-30T00:00:57"/>
    <n v="1"/>
  </r>
  <r>
    <x v="4020"/>
    <s v="Joe"/>
    <x v="69"/>
    <d v="1899-12-30T17:39:50"/>
    <d v="2021-03-11T17:39:50"/>
    <x v="6"/>
    <x v="7"/>
    <x v="2"/>
    <x v="1"/>
    <s v="N"/>
    <m/>
    <x v="0"/>
    <m/>
    <m/>
  </r>
  <r>
    <x v="4021"/>
    <s v="Diane"/>
    <x v="69"/>
    <d v="1899-12-30T17:39:50"/>
    <d v="2021-03-11T17:39:50"/>
    <x v="6"/>
    <x v="7"/>
    <x v="1"/>
    <x v="0"/>
    <s v="Y"/>
    <n v="18"/>
    <x v="1"/>
    <d v="1899-12-30T00:05:44"/>
    <n v="5"/>
  </r>
  <r>
    <x v="4022"/>
    <s v="Martha"/>
    <x v="70"/>
    <d v="1899-12-30T09:11:31"/>
    <d v="2021-03-12T09:11:31"/>
    <x v="0"/>
    <x v="0"/>
    <x v="0"/>
    <x v="0"/>
    <s v="N"/>
    <n v="32"/>
    <x v="0"/>
    <d v="1899-12-30T00:04:36"/>
    <n v="1"/>
  </r>
  <r>
    <x v="4023"/>
    <s v="Greg"/>
    <x v="70"/>
    <d v="1899-12-30T09:11:31"/>
    <d v="2021-03-12T09:11:31"/>
    <x v="0"/>
    <x v="0"/>
    <x v="2"/>
    <x v="0"/>
    <s v="Y"/>
    <n v="71"/>
    <x v="0"/>
    <d v="1899-12-30T00:05:00"/>
    <n v="3"/>
  </r>
  <r>
    <x v="4024"/>
    <s v="Stewart"/>
    <x v="70"/>
    <d v="1899-12-30T09:36:00"/>
    <d v="2021-03-12T09:36:00"/>
    <x v="0"/>
    <x v="0"/>
    <x v="1"/>
    <x v="0"/>
    <s v="Y"/>
    <n v="54"/>
    <x v="0"/>
    <d v="1899-12-30T00:02:35"/>
    <n v="4"/>
  </r>
  <r>
    <x v="4025"/>
    <s v="Dan"/>
    <x v="70"/>
    <d v="1899-12-30T09:36:00"/>
    <d v="2021-03-12T09:36:00"/>
    <x v="0"/>
    <x v="0"/>
    <x v="0"/>
    <x v="0"/>
    <s v="Y"/>
    <n v="121"/>
    <x v="0"/>
    <d v="1899-12-30T00:04:24"/>
    <n v="4"/>
  </r>
  <r>
    <x v="4026"/>
    <s v="Dan"/>
    <x v="70"/>
    <d v="1899-12-30T09:57:36"/>
    <d v="2021-03-12T09:57:36"/>
    <x v="0"/>
    <x v="0"/>
    <x v="1"/>
    <x v="0"/>
    <s v="Y"/>
    <n v="59"/>
    <x v="0"/>
    <d v="1899-12-30T00:01:07"/>
    <n v="3"/>
  </r>
  <r>
    <x v="4027"/>
    <s v="Jim"/>
    <x v="70"/>
    <d v="1899-12-30T09:57:36"/>
    <d v="2021-03-12T09:57:36"/>
    <x v="0"/>
    <x v="0"/>
    <x v="0"/>
    <x v="0"/>
    <s v="Y"/>
    <n v="59"/>
    <x v="0"/>
    <d v="1899-12-30T00:01:03"/>
    <n v="2"/>
  </r>
  <r>
    <x v="4028"/>
    <s v="Jim"/>
    <x v="70"/>
    <d v="1899-12-30T10:01:55"/>
    <d v="2021-03-12T10:01:55"/>
    <x v="0"/>
    <x v="1"/>
    <x v="2"/>
    <x v="0"/>
    <s v="Y"/>
    <n v="108"/>
    <x v="0"/>
    <d v="1899-12-30T00:03:20"/>
    <n v="5"/>
  </r>
  <r>
    <x v="4029"/>
    <s v="Stewart"/>
    <x v="70"/>
    <d v="1899-12-30T10:01:55"/>
    <d v="2021-03-12T10:01:55"/>
    <x v="0"/>
    <x v="1"/>
    <x v="1"/>
    <x v="0"/>
    <s v="Y"/>
    <n v="35"/>
    <x v="0"/>
    <d v="1899-12-30T00:02:11"/>
    <n v="4"/>
  </r>
  <r>
    <x v="4030"/>
    <s v="Stewart"/>
    <x v="70"/>
    <d v="1899-12-30T10:03:22"/>
    <d v="2021-03-12T10:03:22"/>
    <x v="0"/>
    <x v="1"/>
    <x v="2"/>
    <x v="0"/>
    <s v="Y"/>
    <n v="22"/>
    <x v="0"/>
    <d v="1899-12-30T00:05:31"/>
    <n v="5"/>
  </r>
  <r>
    <x v="4031"/>
    <s v="Diane"/>
    <x v="70"/>
    <d v="1899-12-30T10:03:22"/>
    <d v="2021-03-12T10:03:22"/>
    <x v="0"/>
    <x v="1"/>
    <x v="1"/>
    <x v="0"/>
    <s v="Y"/>
    <n v="37"/>
    <x v="0"/>
    <d v="1899-12-30T00:04:29"/>
    <n v="5"/>
  </r>
  <r>
    <x v="4032"/>
    <s v="Martha"/>
    <x v="70"/>
    <d v="1899-12-30T10:09:07"/>
    <d v="2021-03-12T10:09:07"/>
    <x v="0"/>
    <x v="1"/>
    <x v="2"/>
    <x v="0"/>
    <s v="Y"/>
    <n v="14"/>
    <x v="1"/>
    <d v="1899-12-30T00:06:52"/>
    <n v="3"/>
  </r>
  <r>
    <x v="4033"/>
    <s v="Greg"/>
    <x v="70"/>
    <d v="1899-12-30T10:09:07"/>
    <d v="2021-03-12T10:09:07"/>
    <x v="0"/>
    <x v="1"/>
    <x v="2"/>
    <x v="1"/>
    <s v="N"/>
    <m/>
    <x v="0"/>
    <m/>
    <m/>
  </r>
  <r>
    <x v="4034"/>
    <s v="Martha"/>
    <x v="70"/>
    <d v="1899-12-30T10:12:00"/>
    <d v="2021-03-12T10:12:00"/>
    <x v="0"/>
    <x v="1"/>
    <x v="2"/>
    <x v="0"/>
    <s v="Y"/>
    <n v="73"/>
    <x v="0"/>
    <d v="1899-12-30T00:01:01"/>
    <n v="3"/>
  </r>
  <r>
    <x v="4035"/>
    <s v="Joe"/>
    <x v="70"/>
    <d v="1899-12-30T10:12:00"/>
    <d v="2021-03-12T10:12:00"/>
    <x v="0"/>
    <x v="1"/>
    <x v="4"/>
    <x v="1"/>
    <s v="N"/>
    <m/>
    <x v="0"/>
    <m/>
    <m/>
  </r>
  <r>
    <x v="4036"/>
    <s v="Diane"/>
    <x v="70"/>
    <d v="1899-12-30T10:22:05"/>
    <d v="2021-03-12T10:22:05"/>
    <x v="0"/>
    <x v="1"/>
    <x v="3"/>
    <x v="1"/>
    <s v="N"/>
    <m/>
    <x v="0"/>
    <m/>
    <m/>
  </r>
  <r>
    <x v="4037"/>
    <s v="Jim"/>
    <x v="70"/>
    <d v="1899-12-30T10:22:05"/>
    <d v="2021-03-12T10:22:05"/>
    <x v="0"/>
    <x v="1"/>
    <x v="1"/>
    <x v="0"/>
    <s v="Y"/>
    <n v="63"/>
    <x v="0"/>
    <d v="1899-12-30T00:02:55"/>
    <n v="1"/>
  </r>
  <r>
    <x v="4038"/>
    <s v="Jim"/>
    <x v="70"/>
    <d v="1899-12-30T10:42:14"/>
    <d v="2021-03-12T10:42:14"/>
    <x v="0"/>
    <x v="1"/>
    <x v="1"/>
    <x v="0"/>
    <s v="Y"/>
    <n v="64"/>
    <x v="0"/>
    <d v="1899-12-30T00:05:50"/>
    <n v="4"/>
  </r>
  <r>
    <x v="4039"/>
    <s v="Joe"/>
    <x v="70"/>
    <d v="1899-12-30T10:42:14"/>
    <d v="2021-03-12T10:42:14"/>
    <x v="0"/>
    <x v="1"/>
    <x v="1"/>
    <x v="0"/>
    <s v="Y"/>
    <n v="17"/>
    <x v="1"/>
    <d v="1899-12-30T00:05:40"/>
    <n v="3"/>
  </r>
  <r>
    <x v="4040"/>
    <s v="Diane"/>
    <x v="70"/>
    <d v="1899-12-30T11:12:29"/>
    <d v="2021-03-12T11:12:29"/>
    <x v="0"/>
    <x v="2"/>
    <x v="0"/>
    <x v="0"/>
    <s v="Y"/>
    <n v="42"/>
    <x v="0"/>
    <d v="1899-12-30T00:02:39"/>
    <n v="4"/>
  </r>
  <r>
    <x v="4041"/>
    <s v="Diane"/>
    <x v="70"/>
    <d v="1899-12-30T11:12:29"/>
    <d v="2021-03-12T11:12:29"/>
    <x v="0"/>
    <x v="2"/>
    <x v="1"/>
    <x v="0"/>
    <s v="Y"/>
    <n v="121"/>
    <x v="0"/>
    <d v="1899-12-30T00:04:07"/>
    <n v="1"/>
  </r>
  <r>
    <x v="4042"/>
    <s v="Diane"/>
    <x v="70"/>
    <d v="1899-12-30T11:13:55"/>
    <d v="2021-03-12T11:13:55"/>
    <x v="0"/>
    <x v="2"/>
    <x v="2"/>
    <x v="0"/>
    <s v="Y"/>
    <n v="56"/>
    <x v="0"/>
    <d v="1899-12-30T00:03:29"/>
    <n v="4"/>
  </r>
  <r>
    <x v="4043"/>
    <s v="Joe"/>
    <x v="70"/>
    <d v="1899-12-30T11:13:55"/>
    <d v="2021-03-12T11:13:55"/>
    <x v="0"/>
    <x v="2"/>
    <x v="1"/>
    <x v="0"/>
    <s v="Y"/>
    <n v="123"/>
    <x v="0"/>
    <d v="1899-12-30T00:05:15"/>
    <n v="4"/>
  </r>
  <r>
    <x v="4044"/>
    <s v="Diane"/>
    <x v="70"/>
    <d v="1899-12-30T11:16:48"/>
    <d v="2021-03-12T11:16:48"/>
    <x v="0"/>
    <x v="2"/>
    <x v="3"/>
    <x v="0"/>
    <s v="Y"/>
    <n v="27"/>
    <x v="0"/>
    <d v="1899-12-30T00:00:49"/>
    <n v="5"/>
  </r>
  <r>
    <x v="4045"/>
    <s v="Dan"/>
    <x v="70"/>
    <d v="1899-12-30T11:16:48"/>
    <d v="2021-03-12T11:16:48"/>
    <x v="0"/>
    <x v="2"/>
    <x v="1"/>
    <x v="0"/>
    <s v="Y"/>
    <n v="46"/>
    <x v="0"/>
    <d v="1899-12-30T00:03:49"/>
    <n v="4"/>
  </r>
  <r>
    <x v="4046"/>
    <s v="Diane"/>
    <x v="70"/>
    <d v="1899-12-30T12:01:26"/>
    <d v="2021-03-12T12:01:26"/>
    <x v="0"/>
    <x v="3"/>
    <x v="1"/>
    <x v="0"/>
    <s v="Y"/>
    <n v="117"/>
    <x v="0"/>
    <d v="1899-12-30T00:02:07"/>
    <n v="2"/>
  </r>
  <r>
    <x v="4047"/>
    <s v="Becky"/>
    <x v="70"/>
    <d v="1899-12-30T12:01:26"/>
    <d v="2021-03-12T12:01:26"/>
    <x v="0"/>
    <x v="3"/>
    <x v="2"/>
    <x v="1"/>
    <s v="N"/>
    <m/>
    <x v="0"/>
    <m/>
    <m/>
  </r>
  <r>
    <x v="4048"/>
    <s v="Greg"/>
    <x v="70"/>
    <d v="1899-12-30T12:57:36"/>
    <d v="2021-03-12T12:57:36"/>
    <x v="0"/>
    <x v="3"/>
    <x v="0"/>
    <x v="0"/>
    <s v="Y"/>
    <n v="64"/>
    <x v="0"/>
    <d v="1899-12-30T00:05:21"/>
    <n v="3"/>
  </r>
  <r>
    <x v="4049"/>
    <s v="Jim"/>
    <x v="70"/>
    <d v="1899-12-30T12:57:36"/>
    <d v="2021-03-12T12:57:36"/>
    <x v="0"/>
    <x v="3"/>
    <x v="0"/>
    <x v="0"/>
    <s v="Y"/>
    <n v="20"/>
    <x v="1"/>
    <d v="1899-12-30T00:02:48"/>
    <n v="4"/>
  </r>
  <r>
    <x v="4050"/>
    <s v="Stewart"/>
    <x v="70"/>
    <d v="1899-12-30T13:29:17"/>
    <d v="2021-03-12T13:29:17"/>
    <x v="0"/>
    <x v="4"/>
    <x v="0"/>
    <x v="0"/>
    <s v="Y"/>
    <n v="21"/>
    <x v="0"/>
    <d v="1899-12-30T00:06:34"/>
    <n v="5"/>
  </r>
  <r>
    <x v="4051"/>
    <s v="Greg"/>
    <x v="70"/>
    <d v="1899-12-30T13:29:17"/>
    <d v="2021-03-12T13:29:17"/>
    <x v="0"/>
    <x v="4"/>
    <x v="1"/>
    <x v="1"/>
    <s v="N"/>
    <m/>
    <x v="0"/>
    <m/>
    <m/>
  </r>
  <r>
    <x v="4052"/>
    <s v="Dan"/>
    <x v="70"/>
    <d v="1899-12-30T14:00:58"/>
    <d v="2021-03-12T14:00:58"/>
    <x v="0"/>
    <x v="5"/>
    <x v="4"/>
    <x v="0"/>
    <s v="N"/>
    <n v="118"/>
    <x v="0"/>
    <d v="1899-12-30T00:02:37"/>
    <n v="3"/>
  </r>
  <r>
    <x v="4053"/>
    <s v="Stewart"/>
    <x v="70"/>
    <d v="1899-12-30T14:00:58"/>
    <d v="2021-03-12T14:00:58"/>
    <x v="0"/>
    <x v="5"/>
    <x v="3"/>
    <x v="0"/>
    <s v="Y"/>
    <n v="105"/>
    <x v="0"/>
    <d v="1899-12-30T00:05:28"/>
    <n v="2"/>
  </r>
  <r>
    <x v="4054"/>
    <s v="Joe"/>
    <x v="70"/>
    <d v="1899-12-30T14:18:14"/>
    <d v="2021-03-12T14:18:14"/>
    <x v="0"/>
    <x v="5"/>
    <x v="1"/>
    <x v="0"/>
    <s v="Y"/>
    <n v="117"/>
    <x v="0"/>
    <d v="1899-12-30T00:00:46"/>
    <n v="4"/>
  </r>
  <r>
    <x v="4055"/>
    <s v="Martha"/>
    <x v="70"/>
    <d v="1899-12-30T14:18:14"/>
    <d v="2021-03-12T14:18:14"/>
    <x v="0"/>
    <x v="5"/>
    <x v="2"/>
    <x v="0"/>
    <s v="N"/>
    <n v="16"/>
    <x v="1"/>
    <d v="1899-12-30T00:03:33"/>
    <n v="4"/>
  </r>
  <r>
    <x v="4056"/>
    <s v="Joe"/>
    <x v="70"/>
    <d v="1899-12-30T14:31:12"/>
    <d v="2021-03-12T14:31:12"/>
    <x v="0"/>
    <x v="5"/>
    <x v="3"/>
    <x v="0"/>
    <s v="Y"/>
    <n v="110"/>
    <x v="0"/>
    <d v="1899-12-30T00:02:01"/>
    <n v="5"/>
  </r>
  <r>
    <x v="4057"/>
    <s v="Diane"/>
    <x v="70"/>
    <d v="1899-12-30T14:31:12"/>
    <d v="2021-03-12T14:31:12"/>
    <x v="0"/>
    <x v="5"/>
    <x v="3"/>
    <x v="1"/>
    <s v="N"/>
    <m/>
    <x v="0"/>
    <m/>
    <m/>
  </r>
  <r>
    <x v="4058"/>
    <s v="Stewart"/>
    <x v="70"/>
    <d v="1899-12-30T14:32:38"/>
    <d v="2021-03-12T14:32:38"/>
    <x v="0"/>
    <x v="5"/>
    <x v="3"/>
    <x v="0"/>
    <s v="Y"/>
    <n v="57"/>
    <x v="0"/>
    <d v="1899-12-30T00:02:05"/>
    <n v="5"/>
  </r>
  <r>
    <x v="4059"/>
    <s v="Joe"/>
    <x v="70"/>
    <d v="1899-12-30T14:32:38"/>
    <d v="2021-03-12T14:32:38"/>
    <x v="0"/>
    <x v="5"/>
    <x v="1"/>
    <x v="0"/>
    <s v="Y"/>
    <n v="105"/>
    <x v="0"/>
    <d v="1899-12-30T00:06:50"/>
    <n v="3"/>
  </r>
  <r>
    <x v="4060"/>
    <s v="Greg"/>
    <x v="70"/>
    <d v="1899-12-30T14:57:07"/>
    <d v="2021-03-12T14:57:07"/>
    <x v="0"/>
    <x v="5"/>
    <x v="3"/>
    <x v="0"/>
    <s v="Y"/>
    <n v="95"/>
    <x v="0"/>
    <d v="1899-12-30T00:06:12"/>
    <n v="5"/>
  </r>
  <r>
    <x v="4061"/>
    <s v="Jim"/>
    <x v="70"/>
    <d v="1899-12-30T14:57:07"/>
    <d v="2021-03-12T14:57:07"/>
    <x v="0"/>
    <x v="5"/>
    <x v="1"/>
    <x v="0"/>
    <s v="Y"/>
    <n v="19"/>
    <x v="1"/>
    <d v="1899-12-30T00:05:47"/>
    <n v="2"/>
  </r>
  <r>
    <x v="4062"/>
    <s v="Becky"/>
    <x v="70"/>
    <d v="1899-12-30T16:06:14"/>
    <d v="2021-03-12T16:06:14"/>
    <x v="0"/>
    <x v="8"/>
    <x v="1"/>
    <x v="0"/>
    <s v="Y"/>
    <n v="25"/>
    <x v="0"/>
    <d v="1899-12-30T00:05:10"/>
    <n v="3"/>
  </r>
  <r>
    <x v="4063"/>
    <s v="Becky"/>
    <x v="70"/>
    <d v="1899-12-30T16:06:14"/>
    <d v="2021-03-12T16:06:14"/>
    <x v="0"/>
    <x v="8"/>
    <x v="4"/>
    <x v="0"/>
    <s v="N"/>
    <n v="65"/>
    <x v="0"/>
    <d v="1899-12-30T00:02:07"/>
    <n v="2"/>
  </r>
  <r>
    <x v="4064"/>
    <s v="Jim"/>
    <x v="70"/>
    <d v="1899-12-30T16:23:31"/>
    <d v="2021-03-12T16:23:31"/>
    <x v="0"/>
    <x v="8"/>
    <x v="1"/>
    <x v="0"/>
    <s v="Y"/>
    <n v="27"/>
    <x v="0"/>
    <d v="1899-12-30T00:02:48"/>
    <n v="1"/>
  </r>
  <r>
    <x v="4065"/>
    <s v="Jim"/>
    <x v="70"/>
    <d v="1899-12-30T16:23:31"/>
    <d v="2021-03-12T16:23:31"/>
    <x v="0"/>
    <x v="8"/>
    <x v="0"/>
    <x v="0"/>
    <s v="Y"/>
    <n v="107"/>
    <x v="0"/>
    <d v="1899-12-30T00:02:23"/>
    <n v="1"/>
  </r>
  <r>
    <x v="4066"/>
    <s v="Becky"/>
    <x v="70"/>
    <d v="1899-12-30T17:00:58"/>
    <d v="2021-03-12T17:00:58"/>
    <x v="0"/>
    <x v="7"/>
    <x v="3"/>
    <x v="0"/>
    <s v="Y"/>
    <n v="90"/>
    <x v="0"/>
    <d v="1899-12-30T00:03:39"/>
    <n v="3"/>
  </r>
  <r>
    <x v="4067"/>
    <s v="Becky"/>
    <x v="70"/>
    <d v="1899-12-30T17:00:58"/>
    <d v="2021-03-12T17:00:58"/>
    <x v="0"/>
    <x v="7"/>
    <x v="2"/>
    <x v="0"/>
    <s v="Y"/>
    <n v="45"/>
    <x v="0"/>
    <d v="1899-12-30T00:01:31"/>
    <n v="3"/>
  </r>
  <r>
    <x v="4068"/>
    <s v="Dan"/>
    <x v="70"/>
    <d v="1899-12-30T17:11:02"/>
    <d v="2021-03-12T17:11:02"/>
    <x v="0"/>
    <x v="7"/>
    <x v="2"/>
    <x v="0"/>
    <s v="Y"/>
    <n v="39"/>
    <x v="0"/>
    <d v="1899-12-30T00:05:43"/>
    <n v="4"/>
  </r>
  <r>
    <x v="4069"/>
    <s v="Joe"/>
    <x v="70"/>
    <d v="1899-12-30T17:11:02"/>
    <d v="2021-03-12T17:11:02"/>
    <x v="0"/>
    <x v="7"/>
    <x v="4"/>
    <x v="0"/>
    <s v="Y"/>
    <n v="63"/>
    <x v="0"/>
    <d v="1899-12-30T00:04:43"/>
    <n v="5"/>
  </r>
  <r>
    <x v="4070"/>
    <s v="Greg"/>
    <x v="70"/>
    <d v="1899-12-30T17:52:48"/>
    <d v="2021-03-12T17:52:48"/>
    <x v="0"/>
    <x v="7"/>
    <x v="3"/>
    <x v="0"/>
    <s v="N"/>
    <n v="95"/>
    <x v="0"/>
    <d v="1899-12-30T00:00:38"/>
    <n v="1"/>
  </r>
  <r>
    <x v="4071"/>
    <s v="Joe"/>
    <x v="70"/>
    <d v="1899-12-30T17:52:48"/>
    <d v="2021-03-12T17:52:48"/>
    <x v="0"/>
    <x v="7"/>
    <x v="3"/>
    <x v="0"/>
    <s v="Y"/>
    <n v="39"/>
    <x v="0"/>
    <d v="1899-12-30T00:05:24"/>
    <n v="4"/>
  </r>
  <r>
    <x v="4072"/>
    <s v="Diane"/>
    <x v="71"/>
    <d v="1899-12-30T09:02:53"/>
    <d v="2021-03-13T09:02:53"/>
    <x v="1"/>
    <x v="0"/>
    <x v="3"/>
    <x v="1"/>
    <s v="N"/>
    <m/>
    <x v="0"/>
    <m/>
    <m/>
  </r>
  <r>
    <x v="4073"/>
    <s v="Martha"/>
    <x v="71"/>
    <d v="1899-12-30T09:02:53"/>
    <d v="2021-03-13T09:02:53"/>
    <x v="1"/>
    <x v="0"/>
    <x v="3"/>
    <x v="1"/>
    <s v="N"/>
    <m/>
    <x v="0"/>
    <m/>
    <m/>
  </r>
  <r>
    <x v="4074"/>
    <s v="Martha"/>
    <x v="71"/>
    <d v="1899-12-30T09:02:53"/>
    <d v="2021-03-13T09:02:53"/>
    <x v="1"/>
    <x v="0"/>
    <x v="3"/>
    <x v="0"/>
    <s v="Y"/>
    <n v="125"/>
    <x v="0"/>
    <d v="1899-12-30T00:01:00"/>
    <n v="3"/>
  </r>
  <r>
    <x v="4075"/>
    <s v="Martha"/>
    <x v="71"/>
    <d v="1899-12-30T09:02:53"/>
    <d v="2021-03-13T09:02:53"/>
    <x v="1"/>
    <x v="0"/>
    <x v="1"/>
    <x v="0"/>
    <s v="Y"/>
    <n v="73"/>
    <x v="0"/>
    <d v="1899-12-30T00:01:30"/>
    <n v="4"/>
  </r>
  <r>
    <x v="4076"/>
    <s v="Greg"/>
    <x v="71"/>
    <d v="1899-12-30T09:38:53"/>
    <d v="2021-03-13T09:38:53"/>
    <x v="1"/>
    <x v="0"/>
    <x v="3"/>
    <x v="0"/>
    <s v="Y"/>
    <n v="116"/>
    <x v="0"/>
    <d v="1899-12-30T00:00:56"/>
    <n v="4"/>
  </r>
  <r>
    <x v="4077"/>
    <s v="Joe"/>
    <x v="71"/>
    <d v="1899-12-30T09:38:53"/>
    <d v="2021-03-13T09:38:53"/>
    <x v="1"/>
    <x v="0"/>
    <x v="1"/>
    <x v="0"/>
    <s v="Y"/>
    <n v="115"/>
    <x v="0"/>
    <d v="1899-12-30T00:02:21"/>
    <n v="2"/>
  </r>
  <r>
    <x v="4078"/>
    <s v="Joe"/>
    <x v="71"/>
    <d v="1899-12-30T10:49:26"/>
    <d v="2021-03-13T10:49:26"/>
    <x v="1"/>
    <x v="1"/>
    <x v="3"/>
    <x v="1"/>
    <s v="N"/>
    <m/>
    <x v="0"/>
    <m/>
    <m/>
  </r>
  <r>
    <x v="4079"/>
    <s v="Stewart"/>
    <x v="71"/>
    <d v="1899-12-30T10:49:26"/>
    <d v="2021-03-13T10:49:26"/>
    <x v="1"/>
    <x v="1"/>
    <x v="2"/>
    <x v="0"/>
    <s v="Y"/>
    <n v="56"/>
    <x v="0"/>
    <d v="1899-12-30T00:06:07"/>
    <n v="2"/>
  </r>
  <r>
    <x v="4080"/>
    <s v="Dan"/>
    <x v="71"/>
    <d v="1899-12-30T11:15:22"/>
    <d v="2021-03-13T11:15:22"/>
    <x v="1"/>
    <x v="2"/>
    <x v="1"/>
    <x v="0"/>
    <s v="Y"/>
    <n v="123"/>
    <x v="0"/>
    <d v="1899-12-30T00:02:39"/>
    <n v="2"/>
  </r>
  <r>
    <x v="4081"/>
    <s v="Becky"/>
    <x v="71"/>
    <d v="1899-12-30T11:15:22"/>
    <d v="2021-03-13T11:15:22"/>
    <x v="1"/>
    <x v="2"/>
    <x v="3"/>
    <x v="0"/>
    <s v="Y"/>
    <n v="36"/>
    <x v="0"/>
    <d v="1899-12-30T00:00:50"/>
    <n v="1"/>
  </r>
  <r>
    <x v="4082"/>
    <s v="Greg"/>
    <x v="71"/>
    <d v="1899-12-30T11:28:19"/>
    <d v="2021-03-13T11:28:19"/>
    <x v="1"/>
    <x v="2"/>
    <x v="1"/>
    <x v="0"/>
    <s v="Y"/>
    <n v="84"/>
    <x v="0"/>
    <d v="1899-12-30T00:01:33"/>
    <n v="5"/>
  </r>
  <r>
    <x v="4083"/>
    <s v="Martha"/>
    <x v="71"/>
    <d v="1899-12-30T11:28:19"/>
    <d v="2021-03-13T11:28:19"/>
    <x v="1"/>
    <x v="2"/>
    <x v="4"/>
    <x v="0"/>
    <s v="Y"/>
    <n v="74"/>
    <x v="0"/>
    <d v="1899-12-30T00:03:01"/>
    <n v="3"/>
  </r>
  <r>
    <x v="4084"/>
    <s v="Jim"/>
    <x v="71"/>
    <d v="1899-12-30T11:38:24"/>
    <d v="2021-03-13T11:38:24"/>
    <x v="1"/>
    <x v="2"/>
    <x v="4"/>
    <x v="0"/>
    <s v="Y"/>
    <n v="20"/>
    <x v="1"/>
    <d v="1899-12-30T00:04:16"/>
    <n v="5"/>
  </r>
  <r>
    <x v="4085"/>
    <s v="Martha"/>
    <x v="71"/>
    <d v="1899-12-30T11:38:24"/>
    <d v="2021-03-13T11:38:24"/>
    <x v="1"/>
    <x v="2"/>
    <x v="4"/>
    <x v="1"/>
    <s v="N"/>
    <m/>
    <x v="0"/>
    <m/>
    <m/>
  </r>
  <r>
    <x v="4086"/>
    <s v="Diane"/>
    <x v="71"/>
    <d v="1899-12-30T11:42:43"/>
    <d v="2021-03-13T11:42:43"/>
    <x v="1"/>
    <x v="2"/>
    <x v="2"/>
    <x v="0"/>
    <s v="Y"/>
    <n v="13"/>
    <x v="1"/>
    <d v="1899-12-30T00:04:33"/>
    <n v="3"/>
  </r>
  <r>
    <x v="4087"/>
    <s v="Greg"/>
    <x v="71"/>
    <d v="1899-12-30T11:42:43"/>
    <d v="2021-03-13T11:42:43"/>
    <x v="1"/>
    <x v="2"/>
    <x v="0"/>
    <x v="0"/>
    <s v="N"/>
    <n v="28"/>
    <x v="0"/>
    <d v="1899-12-30T00:00:59"/>
    <n v="3"/>
  </r>
  <r>
    <x v="4088"/>
    <s v="Dan"/>
    <x v="71"/>
    <d v="1899-12-30T13:42:14"/>
    <d v="2021-03-13T13:42:14"/>
    <x v="1"/>
    <x v="4"/>
    <x v="0"/>
    <x v="0"/>
    <s v="Y"/>
    <n v="13"/>
    <x v="1"/>
    <d v="1899-12-30T00:01:55"/>
    <n v="4"/>
  </r>
  <r>
    <x v="4089"/>
    <s v="Martha"/>
    <x v="71"/>
    <d v="1899-12-30T13:42:14"/>
    <d v="2021-03-13T13:42:14"/>
    <x v="1"/>
    <x v="4"/>
    <x v="4"/>
    <x v="0"/>
    <s v="Y"/>
    <n v="100"/>
    <x v="0"/>
    <d v="1899-12-30T00:01:13"/>
    <n v="3"/>
  </r>
  <r>
    <x v="4090"/>
    <s v="Jim"/>
    <x v="71"/>
    <d v="1899-12-30T14:13:55"/>
    <d v="2021-03-13T14:13:55"/>
    <x v="1"/>
    <x v="5"/>
    <x v="0"/>
    <x v="0"/>
    <s v="Y"/>
    <n v="119"/>
    <x v="0"/>
    <d v="1899-12-30T00:02:55"/>
    <n v="3"/>
  </r>
  <r>
    <x v="4091"/>
    <s v="Stewart"/>
    <x v="71"/>
    <d v="1899-12-30T14:13:55"/>
    <d v="2021-03-13T14:13:55"/>
    <x v="1"/>
    <x v="5"/>
    <x v="1"/>
    <x v="1"/>
    <s v="N"/>
    <m/>
    <x v="0"/>
    <m/>
    <m/>
  </r>
  <r>
    <x v="4092"/>
    <s v="Martha"/>
    <x v="71"/>
    <d v="1899-12-30T14:18:14"/>
    <d v="2021-03-13T14:18:14"/>
    <x v="1"/>
    <x v="5"/>
    <x v="1"/>
    <x v="0"/>
    <s v="Y"/>
    <n v="125"/>
    <x v="0"/>
    <d v="1899-12-30T00:05:43"/>
    <n v="5"/>
  </r>
  <r>
    <x v="4093"/>
    <s v="Joe"/>
    <x v="71"/>
    <d v="1899-12-30T14:18:14"/>
    <d v="2021-03-13T14:18:14"/>
    <x v="1"/>
    <x v="5"/>
    <x v="4"/>
    <x v="1"/>
    <s v="N"/>
    <m/>
    <x v="0"/>
    <m/>
    <m/>
  </r>
  <r>
    <x v="4094"/>
    <s v="Jim"/>
    <x v="71"/>
    <d v="1899-12-30T14:38:24"/>
    <d v="2021-03-13T14:38:24"/>
    <x v="1"/>
    <x v="5"/>
    <x v="1"/>
    <x v="0"/>
    <s v="N"/>
    <n v="88"/>
    <x v="0"/>
    <d v="1899-12-30T00:01:47"/>
    <n v="4"/>
  </r>
  <r>
    <x v="4095"/>
    <s v="Becky"/>
    <x v="71"/>
    <d v="1899-12-30T14:38:24"/>
    <d v="2021-03-13T14:38:24"/>
    <x v="1"/>
    <x v="5"/>
    <x v="1"/>
    <x v="0"/>
    <s v="Y"/>
    <n v="71"/>
    <x v="0"/>
    <d v="1899-12-30T00:00:34"/>
    <n v="4"/>
  </r>
  <r>
    <x v="4096"/>
    <s v="Dan"/>
    <x v="71"/>
    <d v="1899-12-30T14:41:17"/>
    <d v="2021-03-13T14:41:17"/>
    <x v="1"/>
    <x v="5"/>
    <x v="0"/>
    <x v="0"/>
    <s v="Y"/>
    <n v="99"/>
    <x v="0"/>
    <d v="1899-12-30T00:00:34"/>
    <n v="4"/>
  </r>
  <r>
    <x v="4097"/>
    <s v="Dan"/>
    <x v="71"/>
    <d v="1899-12-30T14:41:17"/>
    <d v="2021-03-13T14:41:17"/>
    <x v="1"/>
    <x v="5"/>
    <x v="3"/>
    <x v="0"/>
    <s v="Y"/>
    <n v="94"/>
    <x v="0"/>
    <d v="1899-12-30T00:05:52"/>
    <n v="1"/>
  </r>
  <r>
    <x v="4098"/>
    <s v="Becky"/>
    <x v="71"/>
    <d v="1899-12-30T15:00:00"/>
    <d v="2021-03-13T15:00:00"/>
    <x v="1"/>
    <x v="6"/>
    <x v="3"/>
    <x v="0"/>
    <s v="Y"/>
    <n v="115"/>
    <x v="0"/>
    <d v="1899-12-30T00:05:12"/>
    <n v="1"/>
  </r>
  <r>
    <x v="4099"/>
    <s v="Becky"/>
    <x v="71"/>
    <d v="1899-12-30T15:00:00"/>
    <d v="2021-03-13T15:00:00"/>
    <x v="1"/>
    <x v="6"/>
    <x v="0"/>
    <x v="0"/>
    <s v="Y"/>
    <n v="36"/>
    <x v="0"/>
    <d v="1899-12-30T00:05:11"/>
    <n v="5"/>
  </r>
  <r>
    <x v="4100"/>
    <s v="Stewart"/>
    <x v="71"/>
    <d v="1899-12-30T15:02:53"/>
    <d v="2021-03-13T15:02:53"/>
    <x v="1"/>
    <x v="6"/>
    <x v="2"/>
    <x v="0"/>
    <s v="Y"/>
    <n v="72"/>
    <x v="0"/>
    <d v="1899-12-30T00:03:52"/>
    <n v="3"/>
  </r>
  <r>
    <x v="4101"/>
    <s v="Becky"/>
    <x v="71"/>
    <d v="1899-12-30T15:02:53"/>
    <d v="2021-03-13T15:02:53"/>
    <x v="1"/>
    <x v="6"/>
    <x v="0"/>
    <x v="0"/>
    <s v="Y"/>
    <n v="51"/>
    <x v="0"/>
    <d v="1899-12-30T00:01:03"/>
    <n v="3"/>
  </r>
  <r>
    <x v="4102"/>
    <s v="Diane"/>
    <x v="71"/>
    <d v="1899-12-30T15:36:00"/>
    <d v="2021-03-13T15:36:00"/>
    <x v="1"/>
    <x v="6"/>
    <x v="3"/>
    <x v="0"/>
    <s v="Y"/>
    <n v="11"/>
    <x v="1"/>
    <d v="1899-12-30T00:04:33"/>
    <n v="2"/>
  </r>
  <r>
    <x v="4103"/>
    <s v="Stewart"/>
    <x v="71"/>
    <d v="1899-12-30T15:36:00"/>
    <d v="2021-03-13T15:36:00"/>
    <x v="1"/>
    <x v="6"/>
    <x v="3"/>
    <x v="0"/>
    <s v="N"/>
    <n v="101"/>
    <x v="0"/>
    <d v="1899-12-30T00:05:46"/>
    <n v="5"/>
  </r>
  <r>
    <x v="4104"/>
    <s v="Stewart"/>
    <x v="71"/>
    <d v="1899-12-30T15:38:53"/>
    <d v="2021-03-13T15:38:53"/>
    <x v="1"/>
    <x v="6"/>
    <x v="3"/>
    <x v="0"/>
    <s v="Y"/>
    <n v="119"/>
    <x v="0"/>
    <d v="1899-12-30T00:05:37"/>
    <n v="3"/>
  </r>
  <r>
    <x v="4105"/>
    <s v="Diane"/>
    <x v="71"/>
    <d v="1899-12-30T15:38:53"/>
    <d v="2021-03-13T15:38:53"/>
    <x v="1"/>
    <x v="6"/>
    <x v="1"/>
    <x v="0"/>
    <s v="Y"/>
    <n v="64"/>
    <x v="0"/>
    <d v="1899-12-30T00:02:37"/>
    <n v="3"/>
  </r>
  <r>
    <x v="4106"/>
    <s v="Martha"/>
    <x v="71"/>
    <d v="1899-12-30T15:44:38"/>
    <d v="2021-03-13T15:44:38"/>
    <x v="1"/>
    <x v="6"/>
    <x v="1"/>
    <x v="0"/>
    <s v="Y"/>
    <n v="12"/>
    <x v="1"/>
    <d v="1899-12-30T00:04:10"/>
    <n v="3"/>
  </r>
  <r>
    <x v="4107"/>
    <s v="Greg"/>
    <x v="71"/>
    <d v="1899-12-30T15:44:38"/>
    <d v="2021-03-13T15:44:38"/>
    <x v="1"/>
    <x v="6"/>
    <x v="4"/>
    <x v="0"/>
    <s v="Y"/>
    <n v="118"/>
    <x v="0"/>
    <d v="1899-12-30T00:05:11"/>
    <n v="3"/>
  </r>
  <r>
    <x v="4108"/>
    <s v="Greg"/>
    <x v="71"/>
    <d v="1899-12-30T15:59:02"/>
    <d v="2021-03-13T15:59:02"/>
    <x v="1"/>
    <x v="6"/>
    <x v="2"/>
    <x v="0"/>
    <s v="Y"/>
    <n v="107"/>
    <x v="0"/>
    <d v="1899-12-30T00:02:31"/>
    <n v="2"/>
  </r>
  <r>
    <x v="4109"/>
    <s v="Martha"/>
    <x v="71"/>
    <d v="1899-12-30T15:59:02"/>
    <d v="2021-03-13T15:59:02"/>
    <x v="1"/>
    <x v="6"/>
    <x v="2"/>
    <x v="0"/>
    <s v="Y"/>
    <n v="122"/>
    <x v="0"/>
    <d v="1899-12-30T00:05:03"/>
    <n v="3"/>
  </r>
  <r>
    <x v="4110"/>
    <s v="Becky"/>
    <x v="71"/>
    <d v="1899-12-30T16:17:46"/>
    <d v="2021-03-13T16:17:46"/>
    <x v="1"/>
    <x v="8"/>
    <x v="2"/>
    <x v="0"/>
    <s v="Y"/>
    <n v="41"/>
    <x v="0"/>
    <d v="1899-12-30T00:03:41"/>
    <n v="4"/>
  </r>
  <r>
    <x v="4111"/>
    <s v="Becky"/>
    <x v="71"/>
    <d v="1899-12-30T16:17:46"/>
    <d v="2021-03-13T16:17:46"/>
    <x v="1"/>
    <x v="8"/>
    <x v="4"/>
    <x v="0"/>
    <s v="Y"/>
    <n v="22"/>
    <x v="0"/>
    <d v="1899-12-30T00:00:43"/>
    <n v="1"/>
  </r>
  <r>
    <x v="4112"/>
    <s v="Martha"/>
    <x v="71"/>
    <d v="1899-12-30T16:53:46"/>
    <d v="2021-03-13T16:53:46"/>
    <x v="1"/>
    <x v="8"/>
    <x v="1"/>
    <x v="1"/>
    <s v="N"/>
    <m/>
    <x v="0"/>
    <m/>
    <m/>
  </r>
  <r>
    <x v="4113"/>
    <s v="Martha"/>
    <x v="71"/>
    <d v="1899-12-30T16:53:46"/>
    <d v="2021-03-13T16:53:46"/>
    <x v="1"/>
    <x v="8"/>
    <x v="0"/>
    <x v="0"/>
    <s v="Y"/>
    <n v="93"/>
    <x v="0"/>
    <d v="1899-12-30T00:03:39"/>
    <n v="3"/>
  </r>
  <r>
    <x v="4114"/>
    <s v="Jim"/>
    <x v="71"/>
    <d v="1899-12-30T17:02:24"/>
    <d v="2021-03-13T17:02:24"/>
    <x v="1"/>
    <x v="7"/>
    <x v="3"/>
    <x v="0"/>
    <s v="Y"/>
    <n v="20"/>
    <x v="1"/>
    <d v="1899-12-30T00:04:20"/>
    <n v="5"/>
  </r>
  <r>
    <x v="4115"/>
    <s v="Dan"/>
    <x v="71"/>
    <d v="1899-12-30T17:02:24"/>
    <d v="2021-03-13T17:02:24"/>
    <x v="1"/>
    <x v="7"/>
    <x v="0"/>
    <x v="0"/>
    <s v="Y"/>
    <n v="90"/>
    <x v="0"/>
    <d v="1899-12-30T00:04:05"/>
    <n v="4"/>
  </r>
  <r>
    <x v="4116"/>
    <s v="Becky"/>
    <x v="71"/>
    <d v="1899-12-30T17:24:00"/>
    <d v="2021-03-13T17:24:00"/>
    <x v="1"/>
    <x v="7"/>
    <x v="1"/>
    <x v="0"/>
    <s v="Y"/>
    <n v="107"/>
    <x v="0"/>
    <d v="1899-12-30T00:06:33"/>
    <n v="3"/>
  </r>
  <r>
    <x v="4117"/>
    <s v="Jim"/>
    <x v="71"/>
    <d v="1899-12-30T17:24:00"/>
    <d v="2021-03-13T17:24:00"/>
    <x v="1"/>
    <x v="7"/>
    <x v="1"/>
    <x v="1"/>
    <s v="N"/>
    <m/>
    <x v="0"/>
    <m/>
    <m/>
  </r>
  <r>
    <x v="4118"/>
    <s v="Dan"/>
    <x v="71"/>
    <d v="1899-12-30T17:44:10"/>
    <d v="2021-03-13T17:44:10"/>
    <x v="1"/>
    <x v="7"/>
    <x v="0"/>
    <x v="0"/>
    <s v="Y"/>
    <n v="38"/>
    <x v="0"/>
    <d v="1899-12-30T00:05:43"/>
    <n v="3"/>
  </r>
  <r>
    <x v="4119"/>
    <s v="Joe"/>
    <x v="71"/>
    <d v="1899-12-30T17:44:10"/>
    <d v="2021-03-13T17:44:10"/>
    <x v="1"/>
    <x v="7"/>
    <x v="0"/>
    <x v="1"/>
    <s v="N"/>
    <m/>
    <x v="0"/>
    <m/>
    <m/>
  </r>
  <r>
    <x v="4120"/>
    <s v="Becky"/>
    <x v="72"/>
    <d v="1899-12-30T09:00:00"/>
    <d v="2021-03-14T09:00:00"/>
    <x v="2"/>
    <x v="0"/>
    <x v="4"/>
    <x v="0"/>
    <s v="Y"/>
    <n v="50"/>
    <x v="0"/>
    <d v="1899-12-30T00:01:57"/>
    <n v="4"/>
  </r>
  <r>
    <x v="4121"/>
    <s v="Greg"/>
    <x v="72"/>
    <d v="1899-12-30T09:00:00"/>
    <d v="2021-03-14T09:00:00"/>
    <x v="2"/>
    <x v="0"/>
    <x v="3"/>
    <x v="0"/>
    <s v="Y"/>
    <n v="90"/>
    <x v="0"/>
    <d v="1899-12-30T00:05:06"/>
    <n v="4"/>
  </r>
  <r>
    <x v="4122"/>
    <s v="Becky"/>
    <x v="72"/>
    <d v="1899-12-30T09:20:10"/>
    <d v="2021-03-14T09:20:10"/>
    <x v="2"/>
    <x v="0"/>
    <x v="3"/>
    <x v="0"/>
    <s v="Y"/>
    <n v="22"/>
    <x v="0"/>
    <d v="1899-12-30T00:04:21"/>
    <n v="4"/>
  </r>
  <r>
    <x v="4123"/>
    <s v="Joe"/>
    <x v="72"/>
    <d v="1899-12-30T09:20:10"/>
    <d v="2021-03-14T09:20:10"/>
    <x v="2"/>
    <x v="0"/>
    <x v="3"/>
    <x v="1"/>
    <s v="N"/>
    <m/>
    <x v="0"/>
    <m/>
    <m/>
  </r>
  <r>
    <x v="4124"/>
    <s v="Martha"/>
    <x v="72"/>
    <d v="1899-12-30T09:57:36"/>
    <d v="2021-03-14T09:57:36"/>
    <x v="2"/>
    <x v="0"/>
    <x v="4"/>
    <x v="0"/>
    <s v="Y"/>
    <n v="67"/>
    <x v="0"/>
    <d v="1899-12-30T00:05:05"/>
    <n v="4"/>
  </r>
  <r>
    <x v="4125"/>
    <s v="Dan"/>
    <x v="72"/>
    <d v="1899-12-30T09:57:36"/>
    <d v="2021-03-14T09:57:36"/>
    <x v="2"/>
    <x v="0"/>
    <x v="0"/>
    <x v="0"/>
    <s v="Y"/>
    <n v="89"/>
    <x v="0"/>
    <d v="1899-12-30T00:06:20"/>
    <n v="3"/>
  </r>
  <r>
    <x v="4126"/>
    <s v="Becky"/>
    <x v="72"/>
    <d v="1899-12-30T10:07:41"/>
    <d v="2021-03-14T10:07:41"/>
    <x v="2"/>
    <x v="1"/>
    <x v="2"/>
    <x v="0"/>
    <s v="Y"/>
    <n v="21"/>
    <x v="0"/>
    <d v="1899-12-30T00:05:46"/>
    <n v="3"/>
  </r>
  <r>
    <x v="4127"/>
    <s v="Diane"/>
    <x v="72"/>
    <d v="1899-12-30T10:07:41"/>
    <d v="2021-03-14T10:07:41"/>
    <x v="2"/>
    <x v="1"/>
    <x v="0"/>
    <x v="0"/>
    <s v="Y"/>
    <n v="34"/>
    <x v="0"/>
    <d v="1899-12-30T00:01:04"/>
    <n v="4"/>
  </r>
  <r>
    <x v="4128"/>
    <s v="Diane"/>
    <x v="72"/>
    <d v="1899-12-30T10:09:07"/>
    <d v="2021-03-14T10:09:07"/>
    <x v="2"/>
    <x v="1"/>
    <x v="0"/>
    <x v="0"/>
    <s v="Y"/>
    <n v="77"/>
    <x v="0"/>
    <d v="1899-12-30T00:00:48"/>
    <n v="2"/>
  </r>
  <r>
    <x v="4129"/>
    <s v="Diane"/>
    <x v="72"/>
    <d v="1899-12-30T10:09:07"/>
    <d v="2021-03-14T10:09:07"/>
    <x v="2"/>
    <x v="1"/>
    <x v="3"/>
    <x v="0"/>
    <s v="Y"/>
    <n v="72"/>
    <x v="0"/>
    <d v="1899-12-30T00:02:45"/>
    <n v="1"/>
  </r>
  <r>
    <x v="4130"/>
    <s v="Joe"/>
    <x v="72"/>
    <d v="1899-12-30T10:32:10"/>
    <d v="2021-03-14T10:32:10"/>
    <x v="2"/>
    <x v="1"/>
    <x v="4"/>
    <x v="0"/>
    <s v="Y"/>
    <n v="83"/>
    <x v="0"/>
    <d v="1899-12-30T00:02:01"/>
    <n v="3"/>
  </r>
  <r>
    <x v="4131"/>
    <s v="Jim"/>
    <x v="72"/>
    <d v="1899-12-30T10:32:10"/>
    <d v="2021-03-14T10:32:10"/>
    <x v="2"/>
    <x v="1"/>
    <x v="4"/>
    <x v="0"/>
    <s v="Y"/>
    <n v="120"/>
    <x v="0"/>
    <d v="1899-12-30T00:01:46"/>
    <n v="3"/>
  </r>
  <r>
    <x v="4132"/>
    <s v="Diane"/>
    <x v="72"/>
    <d v="1899-12-30T11:09:36"/>
    <d v="2021-03-14T11:09:36"/>
    <x v="2"/>
    <x v="2"/>
    <x v="0"/>
    <x v="0"/>
    <s v="Y"/>
    <n v="82"/>
    <x v="0"/>
    <d v="1899-12-30T00:04:16"/>
    <n v="5"/>
  </r>
  <r>
    <x v="4133"/>
    <s v="Martha"/>
    <x v="72"/>
    <d v="1899-12-30T11:09:36"/>
    <d v="2021-03-14T11:09:36"/>
    <x v="2"/>
    <x v="2"/>
    <x v="4"/>
    <x v="0"/>
    <s v="Y"/>
    <n v="61"/>
    <x v="0"/>
    <d v="1899-12-30T00:06:39"/>
    <n v="5"/>
  </r>
  <r>
    <x v="4134"/>
    <s v="Jim"/>
    <x v="72"/>
    <d v="1899-12-30T11:25:26"/>
    <d v="2021-03-14T11:25:26"/>
    <x v="2"/>
    <x v="2"/>
    <x v="0"/>
    <x v="0"/>
    <s v="Y"/>
    <n v="69"/>
    <x v="0"/>
    <d v="1899-12-30T00:02:39"/>
    <n v="2"/>
  </r>
  <r>
    <x v="4135"/>
    <s v="Jim"/>
    <x v="72"/>
    <d v="1899-12-30T11:25:26"/>
    <d v="2021-03-14T11:25:26"/>
    <x v="2"/>
    <x v="2"/>
    <x v="1"/>
    <x v="0"/>
    <s v="N"/>
    <n v="19"/>
    <x v="1"/>
    <d v="1899-12-30T00:04:17"/>
    <n v="4"/>
  </r>
  <r>
    <x v="4136"/>
    <s v="Diane"/>
    <x v="72"/>
    <d v="1899-12-30T11:36:58"/>
    <d v="2021-03-14T11:36:58"/>
    <x v="2"/>
    <x v="2"/>
    <x v="1"/>
    <x v="0"/>
    <s v="Y"/>
    <n v="35"/>
    <x v="0"/>
    <d v="1899-12-30T00:04:15"/>
    <n v="2"/>
  </r>
  <r>
    <x v="4137"/>
    <s v="Jim"/>
    <x v="72"/>
    <d v="1899-12-30T11:36:58"/>
    <d v="2021-03-14T11:36:58"/>
    <x v="2"/>
    <x v="2"/>
    <x v="2"/>
    <x v="1"/>
    <s v="N"/>
    <m/>
    <x v="0"/>
    <m/>
    <m/>
  </r>
  <r>
    <x v="4138"/>
    <s v="Jim"/>
    <x v="72"/>
    <d v="1899-12-30T11:52:48"/>
    <d v="2021-03-14T11:52:48"/>
    <x v="2"/>
    <x v="2"/>
    <x v="0"/>
    <x v="0"/>
    <s v="Y"/>
    <n v="11"/>
    <x v="1"/>
    <d v="1899-12-30T00:06:28"/>
    <n v="3"/>
  </r>
  <r>
    <x v="4139"/>
    <s v="Jim"/>
    <x v="72"/>
    <d v="1899-12-30T11:52:48"/>
    <d v="2021-03-14T11:52:48"/>
    <x v="2"/>
    <x v="2"/>
    <x v="3"/>
    <x v="0"/>
    <s v="Y"/>
    <n v="110"/>
    <x v="0"/>
    <d v="1899-12-30T00:00:49"/>
    <n v="3"/>
  </r>
  <r>
    <x v="4140"/>
    <s v="Dan"/>
    <x v="72"/>
    <d v="1899-12-30T13:00:29"/>
    <d v="2021-03-14T13:00:29"/>
    <x v="2"/>
    <x v="4"/>
    <x v="2"/>
    <x v="0"/>
    <s v="Y"/>
    <n v="119"/>
    <x v="0"/>
    <d v="1899-12-30T00:02:17"/>
    <n v="1"/>
  </r>
  <r>
    <x v="4141"/>
    <s v="Jim"/>
    <x v="72"/>
    <d v="1899-12-30T13:00:29"/>
    <d v="2021-03-14T13:00:29"/>
    <x v="2"/>
    <x v="4"/>
    <x v="0"/>
    <x v="0"/>
    <s v="Y"/>
    <n v="38"/>
    <x v="0"/>
    <d v="1899-12-30T00:01:27"/>
    <n v="4"/>
  </r>
  <r>
    <x v="4142"/>
    <s v="Joe"/>
    <x v="72"/>
    <d v="1899-12-30T13:09:07"/>
    <d v="2021-03-14T13:09:07"/>
    <x v="2"/>
    <x v="4"/>
    <x v="2"/>
    <x v="0"/>
    <s v="Y"/>
    <n v="40"/>
    <x v="0"/>
    <d v="1899-12-30T00:05:08"/>
    <n v="4"/>
  </r>
  <r>
    <x v="4143"/>
    <s v="Dan"/>
    <x v="72"/>
    <d v="1899-12-30T13:09:07"/>
    <d v="2021-03-14T13:09:07"/>
    <x v="2"/>
    <x v="4"/>
    <x v="4"/>
    <x v="0"/>
    <s v="Y"/>
    <n v="19"/>
    <x v="1"/>
    <d v="1899-12-30T00:04:26"/>
    <n v="5"/>
  </r>
  <r>
    <x v="4144"/>
    <s v="Dan"/>
    <x v="72"/>
    <d v="1899-12-30T13:16:19"/>
    <d v="2021-03-14T13:16:19"/>
    <x v="2"/>
    <x v="4"/>
    <x v="1"/>
    <x v="1"/>
    <s v="N"/>
    <m/>
    <x v="0"/>
    <m/>
    <m/>
  </r>
  <r>
    <x v="4145"/>
    <s v="Martha"/>
    <x v="72"/>
    <d v="1899-12-30T13:16:19"/>
    <d v="2021-03-14T13:16:19"/>
    <x v="2"/>
    <x v="4"/>
    <x v="2"/>
    <x v="0"/>
    <s v="Y"/>
    <n v="63"/>
    <x v="0"/>
    <d v="1899-12-30T00:05:45"/>
    <n v="3"/>
  </r>
  <r>
    <x v="4146"/>
    <s v="Jim"/>
    <x v="72"/>
    <d v="1899-12-30T13:24:58"/>
    <d v="2021-03-14T13:24:58"/>
    <x v="2"/>
    <x v="4"/>
    <x v="1"/>
    <x v="0"/>
    <s v="Y"/>
    <n v="33"/>
    <x v="0"/>
    <d v="1899-12-30T00:03:10"/>
    <n v="5"/>
  </r>
  <r>
    <x v="4147"/>
    <s v="Becky"/>
    <x v="72"/>
    <d v="1899-12-30T13:24:58"/>
    <d v="2021-03-14T13:24:58"/>
    <x v="2"/>
    <x v="4"/>
    <x v="1"/>
    <x v="1"/>
    <s v="N"/>
    <m/>
    <x v="0"/>
    <m/>
    <m/>
  </r>
  <r>
    <x v="4148"/>
    <s v="Jim"/>
    <x v="72"/>
    <d v="1899-12-30T13:40:48"/>
    <d v="2021-03-14T13:40:48"/>
    <x v="2"/>
    <x v="4"/>
    <x v="3"/>
    <x v="0"/>
    <s v="N"/>
    <n v="26"/>
    <x v="0"/>
    <d v="1899-12-30T00:05:08"/>
    <n v="5"/>
  </r>
  <r>
    <x v="4149"/>
    <s v="Jim"/>
    <x v="72"/>
    <d v="1899-12-30T13:40:48"/>
    <d v="2021-03-14T13:40:48"/>
    <x v="2"/>
    <x v="4"/>
    <x v="4"/>
    <x v="1"/>
    <s v="N"/>
    <m/>
    <x v="0"/>
    <m/>
    <m/>
  </r>
  <r>
    <x v="4150"/>
    <s v="Diane"/>
    <x v="72"/>
    <d v="1899-12-30T13:46:34"/>
    <d v="2021-03-14T13:46:34"/>
    <x v="2"/>
    <x v="4"/>
    <x v="0"/>
    <x v="1"/>
    <s v="N"/>
    <m/>
    <x v="0"/>
    <m/>
    <m/>
  </r>
  <r>
    <x v="4151"/>
    <s v="Jim"/>
    <x v="72"/>
    <d v="1899-12-30T13:46:34"/>
    <d v="2021-03-14T13:46:34"/>
    <x v="2"/>
    <x v="4"/>
    <x v="3"/>
    <x v="0"/>
    <s v="Y"/>
    <n v="81"/>
    <x v="0"/>
    <d v="1899-12-30T00:03:31"/>
    <n v="5"/>
  </r>
  <r>
    <x v="4152"/>
    <s v="Martha"/>
    <x v="72"/>
    <d v="1899-12-30T14:03:50"/>
    <d v="2021-03-14T14:03:50"/>
    <x v="2"/>
    <x v="5"/>
    <x v="1"/>
    <x v="0"/>
    <s v="Y"/>
    <n v="65"/>
    <x v="0"/>
    <d v="1899-12-30T00:06:28"/>
    <n v="3"/>
  </r>
  <r>
    <x v="4153"/>
    <s v="Jim"/>
    <x v="72"/>
    <d v="1899-12-30T14:03:50"/>
    <d v="2021-03-14T14:03:50"/>
    <x v="2"/>
    <x v="5"/>
    <x v="3"/>
    <x v="0"/>
    <s v="Y"/>
    <n v="84"/>
    <x v="0"/>
    <d v="1899-12-30T00:04:14"/>
    <n v="3"/>
  </r>
  <r>
    <x v="4154"/>
    <s v="Jim"/>
    <x v="72"/>
    <d v="1899-12-30T14:25:26"/>
    <d v="2021-03-14T14:25:26"/>
    <x v="2"/>
    <x v="5"/>
    <x v="3"/>
    <x v="0"/>
    <s v="Y"/>
    <n v="42"/>
    <x v="0"/>
    <d v="1899-12-30T00:04:52"/>
    <n v="1"/>
  </r>
  <r>
    <x v="4155"/>
    <s v="Dan"/>
    <x v="72"/>
    <d v="1899-12-30T14:25:26"/>
    <d v="2021-03-14T14:25:26"/>
    <x v="2"/>
    <x v="5"/>
    <x v="3"/>
    <x v="1"/>
    <s v="N"/>
    <m/>
    <x v="0"/>
    <m/>
    <m/>
  </r>
  <r>
    <x v="4156"/>
    <s v="Becky"/>
    <x v="72"/>
    <d v="1899-12-30T14:39:50"/>
    <d v="2021-03-14T14:39:50"/>
    <x v="2"/>
    <x v="5"/>
    <x v="3"/>
    <x v="1"/>
    <s v="N"/>
    <m/>
    <x v="0"/>
    <m/>
    <m/>
  </r>
  <r>
    <x v="4157"/>
    <s v="Martha"/>
    <x v="72"/>
    <d v="1899-12-30T14:39:50"/>
    <d v="2021-03-14T14:39:50"/>
    <x v="2"/>
    <x v="5"/>
    <x v="4"/>
    <x v="0"/>
    <s v="Y"/>
    <n v="123"/>
    <x v="0"/>
    <d v="1899-12-30T00:03:38"/>
    <n v="2"/>
  </r>
  <r>
    <x v="4158"/>
    <s v="Greg"/>
    <x v="72"/>
    <d v="1899-12-30T15:17:17"/>
    <d v="2021-03-14T15:17:17"/>
    <x v="2"/>
    <x v="6"/>
    <x v="0"/>
    <x v="0"/>
    <s v="Y"/>
    <n v="65"/>
    <x v="0"/>
    <d v="1899-12-30T00:06:37"/>
    <n v="4"/>
  </r>
  <r>
    <x v="4159"/>
    <s v="Diane"/>
    <x v="72"/>
    <d v="1899-12-30T15:17:17"/>
    <d v="2021-03-14T15:17:17"/>
    <x v="2"/>
    <x v="6"/>
    <x v="0"/>
    <x v="0"/>
    <s v="Y"/>
    <n v="33"/>
    <x v="0"/>
    <d v="1899-12-30T00:05:43"/>
    <n v="5"/>
  </r>
  <r>
    <x v="4160"/>
    <s v="Diane"/>
    <x v="72"/>
    <d v="1899-12-30T15:27:22"/>
    <d v="2021-03-14T15:27:22"/>
    <x v="2"/>
    <x v="6"/>
    <x v="2"/>
    <x v="0"/>
    <s v="Y"/>
    <n v="117"/>
    <x v="0"/>
    <d v="1899-12-30T00:04:04"/>
    <n v="3"/>
  </r>
  <r>
    <x v="4161"/>
    <s v="Diane"/>
    <x v="72"/>
    <d v="1899-12-30T15:27:22"/>
    <d v="2021-03-14T15:27:22"/>
    <x v="2"/>
    <x v="6"/>
    <x v="4"/>
    <x v="0"/>
    <s v="Y"/>
    <n v="122"/>
    <x v="0"/>
    <d v="1899-12-30T00:01:36"/>
    <n v="3"/>
  </r>
  <r>
    <x v="4162"/>
    <s v="Jim"/>
    <x v="72"/>
    <d v="1899-12-30T15:43:12"/>
    <d v="2021-03-14T15:43:12"/>
    <x v="2"/>
    <x v="6"/>
    <x v="1"/>
    <x v="0"/>
    <s v="Y"/>
    <n v="21"/>
    <x v="0"/>
    <d v="1899-12-30T00:05:25"/>
    <n v="4"/>
  </r>
  <r>
    <x v="4163"/>
    <s v="Dan"/>
    <x v="72"/>
    <d v="1899-12-30T15:43:12"/>
    <d v="2021-03-14T15:43:12"/>
    <x v="2"/>
    <x v="6"/>
    <x v="4"/>
    <x v="0"/>
    <s v="N"/>
    <n v="48"/>
    <x v="0"/>
    <d v="1899-12-30T00:04:16"/>
    <n v="4"/>
  </r>
  <r>
    <x v="4164"/>
    <s v="Greg"/>
    <x v="72"/>
    <d v="1899-12-30T16:36:29"/>
    <d v="2021-03-14T16:36:29"/>
    <x v="2"/>
    <x v="8"/>
    <x v="0"/>
    <x v="1"/>
    <s v="N"/>
    <m/>
    <x v="0"/>
    <m/>
    <m/>
  </r>
  <r>
    <x v="4165"/>
    <s v="Diane"/>
    <x v="72"/>
    <d v="1899-12-30T16:36:29"/>
    <d v="2021-03-14T16:36:29"/>
    <x v="2"/>
    <x v="8"/>
    <x v="1"/>
    <x v="0"/>
    <s v="Y"/>
    <n v="98"/>
    <x v="0"/>
    <d v="1899-12-30T00:02:57"/>
    <n v="1"/>
  </r>
  <r>
    <x v="4166"/>
    <s v="Dan"/>
    <x v="72"/>
    <d v="1899-12-30T16:36:29"/>
    <d v="2021-03-14T16:36:29"/>
    <x v="2"/>
    <x v="8"/>
    <x v="4"/>
    <x v="0"/>
    <s v="Y"/>
    <n v="95"/>
    <x v="0"/>
    <d v="1899-12-30T00:02:31"/>
    <n v="4"/>
  </r>
  <r>
    <x v="4167"/>
    <s v="Dan"/>
    <x v="72"/>
    <d v="1899-12-30T16:36:29"/>
    <d v="2021-03-14T16:36:29"/>
    <x v="2"/>
    <x v="8"/>
    <x v="0"/>
    <x v="0"/>
    <s v="Y"/>
    <n v="28"/>
    <x v="0"/>
    <d v="1899-12-30T00:06:48"/>
    <n v="3"/>
  </r>
  <r>
    <x v="4168"/>
    <s v="Joe"/>
    <x v="72"/>
    <d v="1899-12-30T17:57:07"/>
    <d v="2021-03-14T17:57:07"/>
    <x v="2"/>
    <x v="7"/>
    <x v="3"/>
    <x v="1"/>
    <s v="N"/>
    <m/>
    <x v="0"/>
    <m/>
    <m/>
  </r>
  <r>
    <x v="4169"/>
    <s v="Dan"/>
    <x v="72"/>
    <d v="1899-12-30T17:57:07"/>
    <d v="2021-03-14T17:57:07"/>
    <x v="2"/>
    <x v="7"/>
    <x v="4"/>
    <x v="1"/>
    <s v="N"/>
    <m/>
    <x v="0"/>
    <m/>
    <m/>
  </r>
  <r>
    <x v="4170"/>
    <s v="Dan"/>
    <x v="73"/>
    <d v="1899-12-30T09:08:38"/>
    <d v="2021-03-15T09:08:38"/>
    <x v="3"/>
    <x v="0"/>
    <x v="3"/>
    <x v="1"/>
    <s v="N"/>
    <m/>
    <x v="0"/>
    <m/>
    <m/>
  </r>
  <r>
    <x v="4171"/>
    <s v="Greg"/>
    <x v="73"/>
    <d v="1899-12-30T09:08:38"/>
    <d v="2021-03-15T09:08:38"/>
    <x v="3"/>
    <x v="0"/>
    <x v="4"/>
    <x v="0"/>
    <s v="Y"/>
    <n v="40"/>
    <x v="0"/>
    <d v="1899-12-30T00:04:52"/>
    <n v="3"/>
  </r>
  <r>
    <x v="4172"/>
    <s v="Martha"/>
    <x v="73"/>
    <d v="1899-12-30T09:30:14"/>
    <d v="2021-03-15T09:30:14"/>
    <x v="3"/>
    <x v="0"/>
    <x v="4"/>
    <x v="0"/>
    <s v="Y"/>
    <n v="13"/>
    <x v="1"/>
    <d v="1899-12-30T00:03:43"/>
    <n v="2"/>
  </r>
  <r>
    <x v="4173"/>
    <s v="Becky"/>
    <x v="73"/>
    <d v="1899-12-30T09:30:14"/>
    <d v="2021-03-15T09:30:14"/>
    <x v="3"/>
    <x v="0"/>
    <x v="4"/>
    <x v="0"/>
    <s v="Y"/>
    <n v="71"/>
    <x v="0"/>
    <d v="1899-12-30T00:01:19"/>
    <n v="5"/>
  </r>
  <r>
    <x v="4174"/>
    <s v="Martha"/>
    <x v="73"/>
    <d v="1899-12-30T09:44:38"/>
    <d v="2021-03-15T09:44:38"/>
    <x v="3"/>
    <x v="0"/>
    <x v="1"/>
    <x v="0"/>
    <s v="Y"/>
    <n v="106"/>
    <x v="0"/>
    <d v="1899-12-30T00:00:46"/>
    <n v="4"/>
  </r>
  <r>
    <x v="4175"/>
    <s v="Dan"/>
    <x v="73"/>
    <d v="1899-12-30T09:44:38"/>
    <d v="2021-03-15T09:44:38"/>
    <x v="3"/>
    <x v="0"/>
    <x v="4"/>
    <x v="0"/>
    <s v="N"/>
    <n v="94"/>
    <x v="0"/>
    <d v="1899-12-30T00:03:31"/>
    <n v="4"/>
  </r>
  <r>
    <x v="4176"/>
    <s v="Greg"/>
    <x v="73"/>
    <d v="1899-12-30T10:00:29"/>
    <d v="2021-03-15T10:00:29"/>
    <x v="3"/>
    <x v="1"/>
    <x v="2"/>
    <x v="0"/>
    <s v="Y"/>
    <n v="74"/>
    <x v="0"/>
    <d v="1899-12-30T00:03:59"/>
    <n v="5"/>
  </r>
  <r>
    <x v="4177"/>
    <s v="Dan"/>
    <x v="73"/>
    <d v="1899-12-30T10:00:29"/>
    <d v="2021-03-15T10:00:29"/>
    <x v="3"/>
    <x v="1"/>
    <x v="0"/>
    <x v="0"/>
    <s v="Y"/>
    <n v="34"/>
    <x v="0"/>
    <d v="1899-12-30T00:00:38"/>
    <n v="4"/>
  </r>
  <r>
    <x v="4178"/>
    <s v="Jim"/>
    <x v="73"/>
    <d v="1899-12-30T10:09:07"/>
    <d v="2021-03-15T10:09:07"/>
    <x v="3"/>
    <x v="1"/>
    <x v="3"/>
    <x v="0"/>
    <s v="Y"/>
    <n v="38"/>
    <x v="0"/>
    <d v="1899-12-30T00:02:06"/>
    <n v="2"/>
  </r>
  <r>
    <x v="4179"/>
    <s v="Jim"/>
    <x v="73"/>
    <d v="1899-12-30T10:09:07"/>
    <d v="2021-03-15T10:09:07"/>
    <x v="3"/>
    <x v="1"/>
    <x v="1"/>
    <x v="0"/>
    <s v="Y"/>
    <n v="31"/>
    <x v="0"/>
    <d v="1899-12-30T00:02:53"/>
    <n v="4"/>
  </r>
  <r>
    <x v="4180"/>
    <s v="Martha"/>
    <x v="73"/>
    <d v="1899-12-30T10:13:26"/>
    <d v="2021-03-15T10:13:26"/>
    <x v="3"/>
    <x v="1"/>
    <x v="0"/>
    <x v="0"/>
    <s v="Y"/>
    <n v="13"/>
    <x v="1"/>
    <d v="1899-12-30T00:03:05"/>
    <n v="3"/>
  </r>
  <r>
    <x v="4181"/>
    <s v="Stewart"/>
    <x v="73"/>
    <d v="1899-12-30T10:13:26"/>
    <d v="2021-03-15T10:13:26"/>
    <x v="3"/>
    <x v="1"/>
    <x v="1"/>
    <x v="0"/>
    <s v="Y"/>
    <n v="79"/>
    <x v="0"/>
    <d v="1899-12-30T00:01:48"/>
    <n v="3"/>
  </r>
  <r>
    <x v="4182"/>
    <s v="Stewart"/>
    <x v="73"/>
    <d v="1899-12-30T11:06:43"/>
    <d v="2021-03-15T11:06:43"/>
    <x v="3"/>
    <x v="2"/>
    <x v="0"/>
    <x v="0"/>
    <s v="Y"/>
    <n v="49"/>
    <x v="0"/>
    <d v="1899-12-30T00:05:00"/>
    <n v="2"/>
  </r>
  <r>
    <x v="4183"/>
    <s v="Stewart"/>
    <x v="73"/>
    <d v="1899-12-30T11:06:43"/>
    <d v="2021-03-15T11:06:43"/>
    <x v="3"/>
    <x v="2"/>
    <x v="1"/>
    <x v="0"/>
    <s v="Y"/>
    <n v="89"/>
    <x v="0"/>
    <d v="1899-12-30T00:03:59"/>
    <n v="1"/>
  </r>
  <r>
    <x v="4184"/>
    <s v="Jim"/>
    <x v="73"/>
    <d v="1899-12-30T11:09:36"/>
    <d v="2021-03-15T11:09:36"/>
    <x v="3"/>
    <x v="2"/>
    <x v="4"/>
    <x v="0"/>
    <s v="Y"/>
    <n v="37"/>
    <x v="0"/>
    <d v="1899-12-30T00:04:57"/>
    <n v="5"/>
  </r>
  <r>
    <x v="4185"/>
    <s v="Becky"/>
    <x v="73"/>
    <d v="1899-12-30T11:09:36"/>
    <d v="2021-03-15T11:09:36"/>
    <x v="3"/>
    <x v="2"/>
    <x v="4"/>
    <x v="1"/>
    <s v="N"/>
    <m/>
    <x v="0"/>
    <m/>
    <m/>
  </r>
  <r>
    <x v="4186"/>
    <s v="Jim"/>
    <x v="73"/>
    <d v="1899-12-30T11:58:34"/>
    <d v="2021-03-15T11:58:34"/>
    <x v="3"/>
    <x v="2"/>
    <x v="0"/>
    <x v="1"/>
    <s v="N"/>
    <m/>
    <x v="0"/>
    <m/>
    <m/>
  </r>
  <r>
    <x v="4187"/>
    <s v="Diane"/>
    <x v="73"/>
    <d v="1899-12-30T11:58:34"/>
    <d v="2021-03-15T11:58:34"/>
    <x v="3"/>
    <x v="2"/>
    <x v="3"/>
    <x v="0"/>
    <s v="Y"/>
    <n v="51"/>
    <x v="0"/>
    <d v="1899-12-30T00:02:22"/>
    <n v="3"/>
  </r>
  <r>
    <x v="4188"/>
    <s v="Greg"/>
    <x v="73"/>
    <d v="1899-12-30T12:10:05"/>
    <d v="2021-03-15T12:10:05"/>
    <x v="3"/>
    <x v="3"/>
    <x v="2"/>
    <x v="0"/>
    <s v="Y"/>
    <n v="49"/>
    <x v="0"/>
    <d v="1899-12-30T00:02:11"/>
    <n v="1"/>
  </r>
  <r>
    <x v="4189"/>
    <s v="Jim"/>
    <x v="73"/>
    <d v="1899-12-30T12:10:05"/>
    <d v="2021-03-15T12:10:05"/>
    <x v="3"/>
    <x v="3"/>
    <x v="2"/>
    <x v="1"/>
    <s v="N"/>
    <m/>
    <x v="0"/>
    <m/>
    <m/>
  </r>
  <r>
    <x v="4190"/>
    <s v="Becky"/>
    <x v="73"/>
    <d v="1899-12-30T12:28:48"/>
    <d v="2021-03-15T12:28:48"/>
    <x v="3"/>
    <x v="3"/>
    <x v="3"/>
    <x v="0"/>
    <s v="Y"/>
    <n v="14"/>
    <x v="1"/>
    <d v="1899-12-30T00:05:44"/>
    <n v="4"/>
  </r>
  <r>
    <x v="4191"/>
    <s v="Joe"/>
    <x v="73"/>
    <d v="1899-12-30T12:28:48"/>
    <d v="2021-03-15T12:28:48"/>
    <x v="3"/>
    <x v="3"/>
    <x v="2"/>
    <x v="0"/>
    <s v="Y"/>
    <n v="91"/>
    <x v="0"/>
    <d v="1899-12-30T00:04:47"/>
    <n v="3"/>
  </r>
  <r>
    <x v="4192"/>
    <s v="Becky"/>
    <x v="73"/>
    <d v="1899-12-30T13:07:41"/>
    <d v="2021-03-15T13:07:41"/>
    <x v="3"/>
    <x v="4"/>
    <x v="0"/>
    <x v="1"/>
    <s v="N"/>
    <m/>
    <x v="0"/>
    <m/>
    <m/>
  </r>
  <r>
    <x v="4193"/>
    <s v="Greg"/>
    <x v="73"/>
    <d v="1899-12-30T13:07:41"/>
    <d v="2021-03-15T13:07:41"/>
    <x v="3"/>
    <x v="4"/>
    <x v="3"/>
    <x v="0"/>
    <s v="Y"/>
    <n v="111"/>
    <x v="0"/>
    <d v="1899-12-30T00:03:08"/>
    <n v="3"/>
  </r>
  <r>
    <x v="4194"/>
    <s v="Martha"/>
    <x v="73"/>
    <d v="1899-12-30T13:33:36"/>
    <d v="2021-03-15T13:33:36"/>
    <x v="3"/>
    <x v="4"/>
    <x v="0"/>
    <x v="0"/>
    <s v="Y"/>
    <n v="80"/>
    <x v="0"/>
    <d v="1899-12-30T00:04:46"/>
    <n v="5"/>
  </r>
  <r>
    <x v="4195"/>
    <s v="Dan"/>
    <x v="73"/>
    <d v="1899-12-30T13:33:36"/>
    <d v="2021-03-15T13:33:36"/>
    <x v="3"/>
    <x v="4"/>
    <x v="3"/>
    <x v="0"/>
    <s v="Y"/>
    <n v="119"/>
    <x v="0"/>
    <d v="1899-12-30T00:01:54"/>
    <n v="3"/>
  </r>
  <r>
    <x v="4196"/>
    <s v="Jim"/>
    <x v="73"/>
    <d v="1899-12-30T13:52:19"/>
    <d v="2021-03-15T13:52:19"/>
    <x v="3"/>
    <x v="4"/>
    <x v="0"/>
    <x v="0"/>
    <s v="Y"/>
    <n v="68"/>
    <x v="0"/>
    <d v="1899-12-30T00:03:17"/>
    <n v="3"/>
  </r>
  <r>
    <x v="4197"/>
    <s v="Stewart"/>
    <x v="73"/>
    <d v="1899-12-30T13:52:19"/>
    <d v="2021-03-15T13:52:19"/>
    <x v="3"/>
    <x v="4"/>
    <x v="2"/>
    <x v="1"/>
    <s v="N"/>
    <m/>
    <x v="0"/>
    <m/>
    <m/>
  </r>
  <r>
    <x v="4198"/>
    <s v="Jim"/>
    <x v="73"/>
    <d v="1899-12-30T14:09:36"/>
    <d v="2021-03-15T14:09:36"/>
    <x v="3"/>
    <x v="5"/>
    <x v="0"/>
    <x v="0"/>
    <s v="Y"/>
    <n v="109"/>
    <x v="0"/>
    <d v="1899-12-30T00:02:25"/>
    <n v="3"/>
  </r>
  <r>
    <x v="4199"/>
    <s v="Stewart"/>
    <x v="73"/>
    <d v="1899-12-30T14:09:36"/>
    <d v="2021-03-15T14:09:36"/>
    <x v="3"/>
    <x v="5"/>
    <x v="4"/>
    <x v="0"/>
    <s v="Y"/>
    <n v="24"/>
    <x v="0"/>
    <d v="1899-12-30T00:06:56"/>
    <n v="4"/>
  </r>
  <r>
    <x v="4200"/>
    <s v="Diane"/>
    <x v="73"/>
    <d v="1899-12-30T14:26:53"/>
    <d v="2021-03-15T14:26:53"/>
    <x v="3"/>
    <x v="5"/>
    <x v="1"/>
    <x v="0"/>
    <s v="Y"/>
    <n v="55"/>
    <x v="0"/>
    <d v="1899-12-30T00:02:25"/>
    <n v="5"/>
  </r>
  <r>
    <x v="4201"/>
    <s v="Dan"/>
    <x v="73"/>
    <d v="1899-12-30T14:26:53"/>
    <d v="2021-03-15T14:26:53"/>
    <x v="3"/>
    <x v="5"/>
    <x v="3"/>
    <x v="0"/>
    <s v="Y"/>
    <n v="92"/>
    <x v="0"/>
    <d v="1899-12-30T00:04:14"/>
    <n v="5"/>
  </r>
  <r>
    <x v="4202"/>
    <s v="Martha"/>
    <x v="73"/>
    <d v="1899-12-30T15:51:50"/>
    <d v="2021-03-15T15:51:50"/>
    <x v="3"/>
    <x v="6"/>
    <x v="1"/>
    <x v="0"/>
    <s v="Y"/>
    <n v="106"/>
    <x v="0"/>
    <d v="1899-12-30T00:03:22"/>
    <n v="3"/>
  </r>
  <r>
    <x v="4203"/>
    <s v="Diane"/>
    <x v="73"/>
    <d v="1899-12-30T15:51:50"/>
    <d v="2021-03-15T15:51:50"/>
    <x v="3"/>
    <x v="6"/>
    <x v="3"/>
    <x v="0"/>
    <s v="Y"/>
    <n v="28"/>
    <x v="0"/>
    <d v="1899-12-30T00:01:25"/>
    <n v="3"/>
  </r>
  <r>
    <x v="4204"/>
    <s v="Becky"/>
    <x v="73"/>
    <d v="1899-12-30T16:04:48"/>
    <d v="2021-03-15T16:04:48"/>
    <x v="3"/>
    <x v="8"/>
    <x v="2"/>
    <x v="0"/>
    <s v="Y"/>
    <n v="28"/>
    <x v="0"/>
    <d v="1899-12-30T00:02:32"/>
    <n v="5"/>
  </r>
  <r>
    <x v="4205"/>
    <s v="Dan"/>
    <x v="73"/>
    <d v="1899-12-30T16:04:48"/>
    <d v="2021-03-15T16:04:48"/>
    <x v="3"/>
    <x v="8"/>
    <x v="0"/>
    <x v="0"/>
    <s v="N"/>
    <n v="40"/>
    <x v="0"/>
    <d v="1899-12-30T00:05:57"/>
    <n v="2"/>
  </r>
  <r>
    <x v="4206"/>
    <s v="Greg"/>
    <x v="73"/>
    <d v="1899-12-30T16:27:50"/>
    <d v="2021-03-15T16:27:50"/>
    <x v="3"/>
    <x v="8"/>
    <x v="1"/>
    <x v="0"/>
    <s v="Y"/>
    <n v="12"/>
    <x v="1"/>
    <d v="1899-12-30T00:06:45"/>
    <n v="5"/>
  </r>
  <r>
    <x v="4207"/>
    <s v="Joe"/>
    <x v="73"/>
    <d v="1899-12-30T16:27:50"/>
    <d v="2021-03-15T16:27:50"/>
    <x v="3"/>
    <x v="8"/>
    <x v="4"/>
    <x v="0"/>
    <s v="Y"/>
    <n v="61"/>
    <x v="0"/>
    <d v="1899-12-30T00:02:29"/>
    <n v="5"/>
  </r>
  <r>
    <x v="4208"/>
    <s v="Becky"/>
    <x v="73"/>
    <d v="1899-12-30T17:05:17"/>
    <d v="2021-03-15T17:05:17"/>
    <x v="3"/>
    <x v="7"/>
    <x v="4"/>
    <x v="0"/>
    <s v="Y"/>
    <n v="92"/>
    <x v="0"/>
    <d v="1899-12-30T00:01:24"/>
    <n v="1"/>
  </r>
  <r>
    <x v="4209"/>
    <s v="Jim"/>
    <x v="73"/>
    <d v="1899-12-30T17:05:17"/>
    <d v="2021-03-15T17:05:17"/>
    <x v="3"/>
    <x v="7"/>
    <x v="1"/>
    <x v="1"/>
    <s v="N"/>
    <m/>
    <x v="0"/>
    <m/>
    <m/>
  </r>
  <r>
    <x v="4210"/>
    <s v="Greg"/>
    <x v="73"/>
    <d v="1899-12-30T17:11:02"/>
    <d v="2021-03-15T17:11:02"/>
    <x v="3"/>
    <x v="7"/>
    <x v="2"/>
    <x v="1"/>
    <s v="N"/>
    <m/>
    <x v="0"/>
    <m/>
    <m/>
  </r>
  <r>
    <x v="4211"/>
    <s v="Greg"/>
    <x v="73"/>
    <d v="1899-12-30T17:11:02"/>
    <d v="2021-03-15T17:11:02"/>
    <x v="3"/>
    <x v="7"/>
    <x v="3"/>
    <x v="0"/>
    <s v="Y"/>
    <n v="43"/>
    <x v="0"/>
    <d v="1899-12-30T00:00:36"/>
    <n v="3"/>
  </r>
  <r>
    <x v="4212"/>
    <s v="Joe"/>
    <x v="73"/>
    <d v="1899-12-30T17:18:14"/>
    <d v="2021-03-15T17:18:14"/>
    <x v="3"/>
    <x v="7"/>
    <x v="3"/>
    <x v="0"/>
    <s v="Y"/>
    <n v="46"/>
    <x v="0"/>
    <d v="1899-12-30T00:03:53"/>
    <n v="5"/>
  </r>
  <r>
    <x v="4213"/>
    <s v="Dan"/>
    <x v="73"/>
    <d v="1899-12-30T17:18:14"/>
    <d v="2021-03-15T17:18:14"/>
    <x v="3"/>
    <x v="7"/>
    <x v="1"/>
    <x v="0"/>
    <s v="Y"/>
    <n v="51"/>
    <x v="0"/>
    <d v="1899-12-30T00:06:02"/>
    <n v="4"/>
  </r>
  <r>
    <x v="4214"/>
    <s v="Diane"/>
    <x v="73"/>
    <d v="1899-12-30T17:28:19"/>
    <d v="2021-03-15T17:28:19"/>
    <x v="3"/>
    <x v="7"/>
    <x v="0"/>
    <x v="0"/>
    <s v="Y"/>
    <n v="13"/>
    <x v="1"/>
    <d v="1899-12-30T00:01:14"/>
    <n v="3"/>
  </r>
  <r>
    <x v="4215"/>
    <s v="Diane"/>
    <x v="73"/>
    <d v="1899-12-30T17:28:19"/>
    <d v="2021-03-15T17:28:19"/>
    <x v="3"/>
    <x v="7"/>
    <x v="2"/>
    <x v="0"/>
    <s v="N"/>
    <n v="19"/>
    <x v="1"/>
    <d v="1899-12-30T00:01:44"/>
    <n v="5"/>
  </r>
  <r>
    <x v="4216"/>
    <s v="Becky"/>
    <x v="73"/>
    <d v="1899-12-30T17:32:38"/>
    <d v="2021-03-15T17:32:38"/>
    <x v="3"/>
    <x v="7"/>
    <x v="3"/>
    <x v="0"/>
    <s v="Y"/>
    <n v="30"/>
    <x v="0"/>
    <d v="1899-12-30T00:03:29"/>
    <n v="3"/>
  </r>
  <r>
    <x v="4217"/>
    <s v="Dan"/>
    <x v="73"/>
    <d v="1899-12-30T17:32:38"/>
    <d v="2021-03-15T17:32:38"/>
    <x v="3"/>
    <x v="7"/>
    <x v="1"/>
    <x v="0"/>
    <s v="Y"/>
    <n v="122"/>
    <x v="0"/>
    <d v="1899-12-30T00:06:34"/>
    <n v="3"/>
  </r>
  <r>
    <x v="4218"/>
    <s v="Greg"/>
    <x v="73"/>
    <d v="1899-12-30T17:47:02"/>
    <d v="2021-03-15T17:47:02"/>
    <x v="3"/>
    <x v="7"/>
    <x v="3"/>
    <x v="0"/>
    <s v="Y"/>
    <n v="83"/>
    <x v="0"/>
    <d v="1899-12-30T00:03:41"/>
    <n v="2"/>
  </r>
  <r>
    <x v="4219"/>
    <s v="Jim"/>
    <x v="73"/>
    <d v="1899-12-30T17:47:02"/>
    <d v="2021-03-15T17:47:02"/>
    <x v="3"/>
    <x v="7"/>
    <x v="1"/>
    <x v="1"/>
    <s v="N"/>
    <m/>
    <x v="0"/>
    <m/>
    <m/>
  </r>
  <r>
    <x v="4220"/>
    <s v="Joe"/>
    <x v="74"/>
    <d v="1899-12-30T09:11:31"/>
    <d v="2021-03-16T09:11:31"/>
    <x v="4"/>
    <x v="0"/>
    <x v="1"/>
    <x v="0"/>
    <s v="Y"/>
    <n v="125"/>
    <x v="0"/>
    <d v="1899-12-30T00:01:15"/>
    <n v="4"/>
  </r>
  <r>
    <x v="4221"/>
    <s v="Joe"/>
    <x v="74"/>
    <d v="1899-12-30T09:11:31"/>
    <d v="2021-03-16T09:11:31"/>
    <x v="4"/>
    <x v="0"/>
    <x v="3"/>
    <x v="0"/>
    <s v="Y"/>
    <n v="80"/>
    <x v="0"/>
    <d v="1899-12-30T00:01:09"/>
    <n v="2"/>
  </r>
  <r>
    <x v="4222"/>
    <s v="Stewart"/>
    <x v="74"/>
    <d v="1899-12-30T09:46:05"/>
    <d v="2021-03-16T09:46:05"/>
    <x v="4"/>
    <x v="0"/>
    <x v="4"/>
    <x v="0"/>
    <s v="Y"/>
    <n v="112"/>
    <x v="0"/>
    <d v="1899-12-30T00:05:47"/>
    <n v="2"/>
  </r>
  <r>
    <x v="4223"/>
    <s v="Greg"/>
    <x v="74"/>
    <d v="1899-12-30T09:46:05"/>
    <d v="2021-03-16T09:46:05"/>
    <x v="4"/>
    <x v="0"/>
    <x v="4"/>
    <x v="0"/>
    <s v="Y"/>
    <n v="113"/>
    <x v="0"/>
    <d v="1899-12-30T00:03:26"/>
    <n v="5"/>
  </r>
  <r>
    <x v="4224"/>
    <s v="Dan"/>
    <x v="74"/>
    <d v="1899-12-30T10:09:07"/>
    <d v="2021-03-16T10:09:07"/>
    <x v="4"/>
    <x v="1"/>
    <x v="3"/>
    <x v="0"/>
    <s v="Y"/>
    <n v="95"/>
    <x v="0"/>
    <d v="1899-12-30T00:04:00"/>
    <n v="4"/>
  </r>
  <r>
    <x v="4225"/>
    <s v="Joe"/>
    <x v="74"/>
    <d v="1899-12-30T10:09:07"/>
    <d v="2021-03-16T10:09:07"/>
    <x v="4"/>
    <x v="1"/>
    <x v="4"/>
    <x v="0"/>
    <s v="Y"/>
    <n v="40"/>
    <x v="0"/>
    <d v="1899-12-30T00:03:15"/>
    <n v="3"/>
  </r>
  <r>
    <x v="4226"/>
    <s v="Dan"/>
    <x v="74"/>
    <d v="1899-12-30T10:10:34"/>
    <d v="2021-03-16T10:10:34"/>
    <x v="4"/>
    <x v="1"/>
    <x v="4"/>
    <x v="0"/>
    <s v="Y"/>
    <n v="106"/>
    <x v="0"/>
    <d v="1899-12-30T00:06:52"/>
    <n v="3"/>
  </r>
  <r>
    <x v="4227"/>
    <s v="Greg"/>
    <x v="74"/>
    <d v="1899-12-30T10:10:34"/>
    <d v="2021-03-16T10:10:34"/>
    <x v="4"/>
    <x v="1"/>
    <x v="2"/>
    <x v="0"/>
    <s v="Y"/>
    <n v="38"/>
    <x v="0"/>
    <d v="1899-12-30T00:03:33"/>
    <n v="3"/>
  </r>
  <r>
    <x v="4228"/>
    <s v="Martha"/>
    <x v="74"/>
    <d v="1899-12-30T10:23:31"/>
    <d v="2021-03-16T10:23:31"/>
    <x v="4"/>
    <x v="1"/>
    <x v="0"/>
    <x v="1"/>
    <s v="N"/>
    <m/>
    <x v="0"/>
    <m/>
    <m/>
  </r>
  <r>
    <x v="4229"/>
    <s v="Greg"/>
    <x v="74"/>
    <d v="1899-12-30T10:23:31"/>
    <d v="2021-03-16T10:23:31"/>
    <x v="4"/>
    <x v="1"/>
    <x v="4"/>
    <x v="0"/>
    <s v="Y"/>
    <n v="61"/>
    <x v="0"/>
    <d v="1899-12-30T00:04:00"/>
    <n v="3"/>
  </r>
  <r>
    <x v="4230"/>
    <s v="Dan"/>
    <x v="74"/>
    <d v="1899-12-30T10:23:31"/>
    <d v="2021-03-16T10:23:31"/>
    <x v="4"/>
    <x v="1"/>
    <x v="3"/>
    <x v="1"/>
    <s v="N"/>
    <m/>
    <x v="0"/>
    <m/>
    <m/>
  </r>
  <r>
    <x v="4231"/>
    <s v="Joe"/>
    <x v="74"/>
    <d v="1899-12-30T10:23:31"/>
    <d v="2021-03-16T10:23:31"/>
    <x v="4"/>
    <x v="1"/>
    <x v="4"/>
    <x v="1"/>
    <s v="N"/>
    <m/>
    <x v="0"/>
    <m/>
    <m/>
  </r>
  <r>
    <x v="4232"/>
    <s v="Martha"/>
    <x v="74"/>
    <d v="1899-12-30T10:35:02"/>
    <d v="2021-03-16T10:35:02"/>
    <x v="4"/>
    <x v="1"/>
    <x v="4"/>
    <x v="1"/>
    <s v="N"/>
    <m/>
    <x v="0"/>
    <m/>
    <m/>
  </r>
  <r>
    <x v="4233"/>
    <s v="Jim"/>
    <x v="74"/>
    <d v="1899-12-30T10:35:02"/>
    <d v="2021-03-16T10:35:02"/>
    <x v="4"/>
    <x v="1"/>
    <x v="3"/>
    <x v="0"/>
    <s v="Y"/>
    <n v="70"/>
    <x v="0"/>
    <d v="1899-12-30T00:04:11"/>
    <n v="1"/>
  </r>
  <r>
    <x v="4234"/>
    <s v="Becky"/>
    <x v="74"/>
    <d v="1899-12-30T11:12:29"/>
    <d v="2021-03-16T11:12:29"/>
    <x v="4"/>
    <x v="2"/>
    <x v="1"/>
    <x v="1"/>
    <s v="N"/>
    <m/>
    <x v="0"/>
    <m/>
    <m/>
  </r>
  <r>
    <x v="4235"/>
    <s v="Dan"/>
    <x v="74"/>
    <d v="1899-12-30T11:12:29"/>
    <d v="2021-03-16T11:12:29"/>
    <x v="4"/>
    <x v="2"/>
    <x v="4"/>
    <x v="1"/>
    <s v="N"/>
    <m/>
    <x v="0"/>
    <m/>
    <m/>
  </r>
  <r>
    <x v="4236"/>
    <s v="Stewart"/>
    <x v="74"/>
    <d v="1899-12-30T11:44:10"/>
    <d v="2021-03-16T11:44:10"/>
    <x v="4"/>
    <x v="2"/>
    <x v="1"/>
    <x v="0"/>
    <s v="Y"/>
    <n v="56"/>
    <x v="0"/>
    <d v="1899-12-30T00:05:36"/>
    <n v="4"/>
  </r>
  <r>
    <x v="4237"/>
    <s v="Stewart"/>
    <x v="74"/>
    <d v="1899-12-30T11:44:10"/>
    <d v="2021-03-16T11:44:10"/>
    <x v="4"/>
    <x v="2"/>
    <x v="4"/>
    <x v="0"/>
    <s v="Y"/>
    <n v="26"/>
    <x v="0"/>
    <d v="1899-12-30T00:06:11"/>
    <n v="4"/>
  </r>
  <r>
    <x v="4238"/>
    <s v="Diane"/>
    <x v="74"/>
    <d v="1899-12-30T12:21:36"/>
    <d v="2021-03-16T12:21:36"/>
    <x v="4"/>
    <x v="3"/>
    <x v="1"/>
    <x v="0"/>
    <s v="Y"/>
    <n v="11"/>
    <x v="1"/>
    <d v="1899-12-30T00:03:06"/>
    <n v="4"/>
  </r>
  <r>
    <x v="4239"/>
    <s v="Greg"/>
    <x v="74"/>
    <d v="1899-12-30T12:21:36"/>
    <d v="2021-03-16T12:21:36"/>
    <x v="4"/>
    <x v="3"/>
    <x v="2"/>
    <x v="0"/>
    <s v="Y"/>
    <n v="22"/>
    <x v="0"/>
    <d v="1899-12-30T00:06:31"/>
    <n v="1"/>
  </r>
  <r>
    <x v="4240"/>
    <s v="Jim"/>
    <x v="74"/>
    <d v="1899-12-30T12:43:12"/>
    <d v="2021-03-16T12:43:12"/>
    <x v="4"/>
    <x v="3"/>
    <x v="4"/>
    <x v="0"/>
    <s v="Y"/>
    <n v="33"/>
    <x v="0"/>
    <d v="1899-12-30T00:06:40"/>
    <n v="3"/>
  </r>
  <r>
    <x v="4241"/>
    <s v="Stewart"/>
    <x v="74"/>
    <d v="1899-12-30T12:43:12"/>
    <d v="2021-03-16T12:43:12"/>
    <x v="4"/>
    <x v="3"/>
    <x v="4"/>
    <x v="0"/>
    <s v="Y"/>
    <n v="58"/>
    <x v="0"/>
    <d v="1899-12-30T00:01:06"/>
    <n v="4"/>
  </r>
  <r>
    <x v="4242"/>
    <s v="Greg"/>
    <x v="74"/>
    <d v="1899-12-30T12:48:58"/>
    <d v="2021-03-16T12:48:58"/>
    <x v="4"/>
    <x v="3"/>
    <x v="0"/>
    <x v="0"/>
    <s v="Y"/>
    <n v="72"/>
    <x v="0"/>
    <d v="1899-12-30T00:05:47"/>
    <n v="3"/>
  </r>
  <r>
    <x v="4243"/>
    <s v="Greg"/>
    <x v="74"/>
    <d v="1899-12-30T12:48:58"/>
    <d v="2021-03-16T12:48:58"/>
    <x v="4"/>
    <x v="3"/>
    <x v="2"/>
    <x v="0"/>
    <s v="Y"/>
    <n v="63"/>
    <x v="0"/>
    <d v="1899-12-30T00:05:27"/>
    <n v="5"/>
  </r>
  <r>
    <x v="4244"/>
    <s v="Diane"/>
    <x v="74"/>
    <d v="1899-12-30T13:04:48"/>
    <d v="2021-03-16T13:04:48"/>
    <x v="4"/>
    <x v="4"/>
    <x v="4"/>
    <x v="0"/>
    <s v="Y"/>
    <n v="52"/>
    <x v="0"/>
    <d v="1899-12-30T00:03:32"/>
    <n v="4"/>
  </r>
  <r>
    <x v="4245"/>
    <s v="Joe"/>
    <x v="74"/>
    <d v="1899-12-30T13:04:48"/>
    <d v="2021-03-16T13:04:48"/>
    <x v="4"/>
    <x v="4"/>
    <x v="4"/>
    <x v="1"/>
    <s v="N"/>
    <m/>
    <x v="0"/>
    <m/>
    <m/>
  </r>
  <r>
    <x v="4246"/>
    <s v="Stewart"/>
    <x v="74"/>
    <d v="1899-12-30T13:16:19"/>
    <d v="2021-03-16T13:16:19"/>
    <x v="4"/>
    <x v="4"/>
    <x v="1"/>
    <x v="0"/>
    <s v="Y"/>
    <n v="106"/>
    <x v="0"/>
    <d v="1899-12-30T00:05:31"/>
    <n v="5"/>
  </r>
  <r>
    <x v="4247"/>
    <s v="Diane"/>
    <x v="74"/>
    <d v="1899-12-30T13:16:19"/>
    <d v="2021-03-16T13:16:19"/>
    <x v="4"/>
    <x v="4"/>
    <x v="3"/>
    <x v="0"/>
    <s v="Y"/>
    <n v="26"/>
    <x v="0"/>
    <d v="1899-12-30T00:06:34"/>
    <n v="3"/>
  </r>
  <r>
    <x v="4248"/>
    <s v="Diane"/>
    <x v="74"/>
    <d v="1899-12-30T13:29:17"/>
    <d v="2021-03-16T13:29:17"/>
    <x v="4"/>
    <x v="4"/>
    <x v="2"/>
    <x v="0"/>
    <s v="Y"/>
    <n v="76"/>
    <x v="0"/>
    <d v="1899-12-30T00:03:29"/>
    <n v="5"/>
  </r>
  <r>
    <x v="4249"/>
    <s v="Stewart"/>
    <x v="74"/>
    <d v="1899-12-30T13:29:17"/>
    <d v="2021-03-16T13:29:17"/>
    <x v="4"/>
    <x v="4"/>
    <x v="1"/>
    <x v="0"/>
    <s v="Y"/>
    <n v="45"/>
    <x v="0"/>
    <d v="1899-12-30T00:06:29"/>
    <n v="5"/>
  </r>
  <r>
    <x v="4250"/>
    <s v="Martha"/>
    <x v="74"/>
    <d v="1899-12-30T13:32:10"/>
    <d v="2021-03-16T13:32:10"/>
    <x v="4"/>
    <x v="4"/>
    <x v="0"/>
    <x v="1"/>
    <s v="N"/>
    <m/>
    <x v="0"/>
    <m/>
    <m/>
  </r>
  <r>
    <x v="4251"/>
    <s v="Dan"/>
    <x v="74"/>
    <d v="1899-12-30T13:32:10"/>
    <d v="2021-03-16T13:32:10"/>
    <x v="4"/>
    <x v="4"/>
    <x v="2"/>
    <x v="0"/>
    <s v="Y"/>
    <n v="61"/>
    <x v="0"/>
    <d v="1899-12-30T00:01:30"/>
    <n v="3"/>
  </r>
  <r>
    <x v="4252"/>
    <s v="Greg"/>
    <x v="74"/>
    <d v="1899-12-30T13:56:38"/>
    <d v="2021-03-16T13:56:38"/>
    <x v="4"/>
    <x v="4"/>
    <x v="1"/>
    <x v="1"/>
    <s v="N"/>
    <m/>
    <x v="0"/>
    <m/>
    <m/>
  </r>
  <r>
    <x v="4253"/>
    <s v="Dan"/>
    <x v="74"/>
    <d v="1899-12-30T13:56:38"/>
    <d v="2021-03-16T13:56:38"/>
    <x v="4"/>
    <x v="4"/>
    <x v="0"/>
    <x v="0"/>
    <s v="N"/>
    <n v="38"/>
    <x v="0"/>
    <d v="1899-12-30T00:04:55"/>
    <n v="2"/>
  </r>
  <r>
    <x v="4254"/>
    <s v="Jim"/>
    <x v="74"/>
    <d v="1899-12-30T14:09:36"/>
    <d v="2021-03-16T14:09:36"/>
    <x v="4"/>
    <x v="5"/>
    <x v="0"/>
    <x v="0"/>
    <s v="Y"/>
    <n v="19"/>
    <x v="1"/>
    <d v="1899-12-30T00:02:13"/>
    <n v="4"/>
  </r>
  <r>
    <x v="4255"/>
    <s v="Joe"/>
    <x v="74"/>
    <d v="1899-12-30T14:09:36"/>
    <d v="2021-03-16T14:09:36"/>
    <x v="4"/>
    <x v="5"/>
    <x v="4"/>
    <x v="0"/>
    <s v="Y"/>
    <n v="15"/>
    <x v="1"/>
    <d v="1899-12-30T00:03:03"/>
    <n v="4"/>
  </r>
  <r>
    <x v="4256"/>
    <s v="Becky"/>
    <x v="74"/>
    <d v="1899-12-30T14:13:55"/>
    <d v="2021-03-16T14:13:55"/>
    <x v="4"/>
    <x v="5"/>
    <x v="4"/>
    <x v="0"/>
    <s v="Y"/>
    <n v="90"/>
    <x v="0"/>
    <d v="1899-12-30T00:04:55"/>
    <n v="3"/>
  </r>
  <r>
    <x v="4257"/>
    <s v="Stewart"/>
    <x v="74"/>
    <d v="1899-12-30T14:13:55"/>
    <d v="2021-03-16T14:13:55"/>
    <x v="4"/>
    <x v="5"/>
    <x v="3"/>
    <x v="0"/>
    <s v="Y"/>
    <n v="99"/>
    <x v="0"/>
    <d v="1899-12-30T00:01:04"/>
    <n v="3"/>
  </r>
  <r>
    <x v="4258"/>
    <s v="Becky"/>
    <x v="74"/>
    <d v="1899-12-30T14:13:55"/>
    <d v="2021-03-16T14:13:55"/>
    <x v="4"/>
    <x v="5"/>
    <x v="0"/>
    <x v="0"/>
    <s v="Y"/>
    <n v="18"/>
    <x v="1"/>
    <d v="1899-12-30T00:01:56"/>
    <n v="5"/>
  </r>
  <r>
    <x v="4259"/>
    <s v="Jim"/>
    <x v="74"/>
    <d v="1899-12-30T14:13:55"/>
    <d v="2021-03-16T14:13:55"/>
    <x v="4"/>
    <x v="5"/>
    <x v="2"/>
    <x v="0"/>
    <s v="Y"/>
    <n v="65"/>
    <x v="0"/>
    <d v="1899-12-30T00:02:35"/>
    <n v="4"/>
  </r>
  <r>
    <x v="4260"/>
    <s v="Martha"/>
    <x v="74"/>
    <d v="1899-12-30T14:25:26"/>
    <d v="2021-03-16T14:25:26"/>
    <x v="4"/>
    <x v="5"/>
    <x v="3"/>
    <x v="0"/>
    <s v="Y"/>
    <n v="91"/>
    <x v="0"/>
    <d v="1899-12-30T00:05:37"/>
    <n v="4"/>
  </r>
  <r>
    <x v="4261"/>
    <s v="Jim"/>
    <x v="74"/>
    <d v="1899-12-30T14:25:26"/>
    <d v="2021-03-16T14:25:26"/>
    <x v="4"/>
    <x v="5"/>
    <x v="4"/>
    <x v="0"/>
    <s v="Y"/>
    <n v="95"/>
    <x v="0"/>
    <d v="1899-12-30T00:02:04"/>
    <n v="4"/>
  </r>
  <r>
    <x v="4262"/>
    <s v="Jim"/>
    <x v="74"/>
    <d v="1899-12-30T14:34:05"/>
    <d v="2021-03-16T14:34:05"/>
    <x v="4"/>
    <x v="5"/>
    <x v="4"/>
    <x v="0"/>
    <s v="Y"/>
    <n v="87"/>
    <x v="0"/>
    <d v="1899-12-30T00:04:44"/>
    <n v="4"/>
  </r>
  <r>
    <x v="4263"/>
    <s v="Dan"/>
    <x v="74"/>
    <d v="1899-12-30T14:34:05"/>
    <d v="2021-03-16T14:34:05"/>
    <x v="4"/>
    <x v="5"/>
    <x v="2"/>
    <x v="0"/>
    <s v="Y"/>
    <n v="71"/>
    <x v="0"/>
    <d v="1899-12-30T00:06:01"/>
    <n v="3"/>
  </r>
  <r>
    <x v="4264"/>
    <s v="Jim"/>
    <x v="74"/>
    <d v="1899-12-30T15:21:36"/>
    <d v="2021-03-16T15:21:36"/>
    <x v="4"/>
    <x v="6"/>
    <x v="3"/>
    <x v="0"/>
    <s v="Y"/>
    <n v="74"/>
    <x v="0"/>
    <d v="1899-12-30T00:03:04"/>
    <n v="5"/>
  </r>
  <r>
    <x v="4265"/>
    <s v="Jim"/>
    <x v="74"/>
    <d v="1899-12-30T15:21:36"/>
    <d v="2021-03-16T15:21:36"/>
    <x v="4"/>
    <x v="6"/>
    <x v="1"/>
    <x v="0"/>
    <s v="Y"/>
    <n v="28"/>
    <x v="0"/>
    <d v="1899-12-30T00:05:05"/>
    <n v="4"/>
  </r>
  <r>
    <x v="4266"/>
    <s v="Joe"/>
    <x v="74"/>
    <d v="1899-12-30T15:40:19"/>
    <d v="2021-03-16T15:40:19"/>
    <x v="4"/>
    <x v="6"/>
    <x v="0"/>
    <x v="0"/>
    <s v="Y"/>
    <n v="101"/>
    <x v="0"/>
    <d v="1899-12-30T00:02:53"/>
    <n v="3"/>
  </r>
  <r>
    <x v="4267"/>
    <s v="Martha"/>
    <x v="74"/>
    <d v="1899-12-30T15:40:19"/>
    <d v="2021-03-16T15:40:19"/>
    <x v="4"/>
    <x v="6"/>
    <x v="0"/>
    <x v="1"/>
    <s v="N"/>
    <m/>
    <x v="0"/>
    <m/>
    <m/>
  </r>
  <r>
    <x v="4268"/>
    <s v="Martha"/>
    <x v="74"/>
    <d v="1899-12-30T15:43:12"/>
    <d v="2021-03-16T15:43:12"/>
    <x v="4"/>
    <x v="6"/>
    <x v="2"/>
    <x v="0"/>
    <s v="Y"/>
    <n v="90"/>
    <x v="0"/>
    <d v="1899-12-30T00:04:48"/>
    <n v="3"/>
  </r>
  <r>
    <x v="4269"/>
    <s v="Joe"/>
    <x v="74"/>
    <d v="1899-12-30T15:43:12"/>
    <d v="2021-03-16T15:43:12"/>
    <x v="4"/>
    <x v="6"/>
    <x v="0"/>
    <x v="0"/>
    <s v="Y"/>
    <n v="76"/>
    <x v="0"/>
    <d v="1899-12-30T00:04:56"/>
    <n v="5"/>
  </r>
  <r>
    <x v="4270"/>
    <s v="Diane"/>
    <x v="74"/>
    <d v="1899-12-30T16:00:29"/>
    <d v="2021-03-16T16:00:29"/>
    <x v="4"/>
    <x v="8"/>
    <x v="2"/>
    <x v="1"/>
    <s v="N"/>
    <m/>
    <x v="0"/>
    <m/>
    <m/>
  </r>
  <r>
    <x v="4271"/>
    <s v="Joe"/>
    <x v="74"/>
    <d v="1899-12-30T16:00:29"/>
    <d v="2021-03-16T16:00:29"/>
    <x v="4"/>
    <x v="8"/>
    <x v="0"/>
    <x v="0"/>
    <s v="N"/>
    <n v="20"/>
    <x v="1"/>
    <d v="1899-12-30T00:01:19"/>
    <n v="5"/>
  </r>
  <r>
    <x v="4272"/>
    <s v="Becky"/>
    <x v="74"/>
    <d v="1899-12-30T16:13:26"/>
    <d v="2021-03-16T16:13:26"/>
    <x v="4"/>
    <x v="8"/>
    <x v="0"/>
    <x v="0"/>
    <s v="N"/>
    <n v="26"/>
    <x v="0"/>
    <d v="1899-12-30T00:06:19"/>
    <n v="3"/>
  </r>
  <r>
    <x v="4273"/>
    <s v="Stewart"/>
    <x v="74"/>
    <d v="1899-12-30T16:13:26"/>
    <d v="2021-03-16T16:13:26"/>
    <x v="4"/>
    <x v="8"/>
    <x v="0"/>
    <x v="0"/>
    <s v="Y"/>
    <n v="53"/>
    <x v="0"/>
    <d v="1899-12-30T00:01:12"/>
    <n v="3"/>
  </r>
  <r>
    <x v="4274"/>
    <s v="Greg"/>
    <x v="74"/>
    <d v="1899-12-30T16:36:29"/>
    <d v="2021-03-16T16:36:29"/>
    <x v="4"/>
    <x v="8"/>
    <x v="0"/>
    <x v="0"/>
    <s v="Y"/>
    <n v="26"/>
    <x v="0"/>
    <d v="1899-12-30T00:02:57"/>
    <n v="4"/>
  </r>
  <r>
    <x v="4275"/>
    <s v="Joe"/>
    <x v="74"/>
    <d v="1899-12-30T16:36:29"/>
    <d v="2021-03-16T16:36:29"/>
    <x v="4"/>
    <x v="8"/>
    <x v="2"/>
    <x v="0"/>
    <s v="Y"/>
    <n v="66"/>
    <x v="0"/>
    <d v="1899-12-30T00:03:42"/>
    <n v="3"/>
  </r>
  <r>
    <x v="4276"/>
    <s v="Dan"/>
    <x v="74"/>
    <d v="1899-12-30T17:09:36"/>
    <d v="2021-03-16T17:09:36"/>
    <x v="4"/>
    <x v="7"/>
    <x v="2"/>
    <x v="0"/>
    <s v="N"/>
    <n v="105"/>
    <x v="0"/>
    <d v="1899-12-30T00:05:32"/>
    <n v="4"/>
  </r>
  <r>
    <x v="4277"/>
    <s v="Diane"/>
    <x v="74"/>
    <d v="1899-12-30T17:09:36"/>
    <d v="2021-03-16T17:09:36"/>
    <x v="4"/>
    <x v="7"/>
    <x v="3"/>
    <x v="0"/>
    <s v="Y"/>
    <n v="111"/>
    <x v="0"/>
    <d v="1899-12-30T00:01:13"/>
    <n v="3"/>
  </r>
  <r>
    <x v="4278"/>
    <s v="Martha"/>
    <x v="74"/>
    <d v="1899-12-30T17:49:55"/>
    <d v="2021-03-16T17:49:55"/>
    <x v="4"/>
    <x v="7"/>
    <x v="0"/>
    <x v="0"/>
    <s v="Y"/>
    <n v="26"/>
    <x v="0"/>
    <d v="1899-12-30T00:06:30"/>
    <n v="1"/>
  </r>
  <r>
    <x v="4279"/>
    <s v="Jim"/>
    <x v="74"/>
    <d v="1899-12-30T17:49:55"/>
    <d v="2021-03-16T17:49:55"/>
    <x v="4"/>
    <x v="7"/>
    <x v="0"/>
    <x v="1"/>
    <s v="N"/>
    <m/>
    <x v="0"/>
    <m/>
    <m/>
  </r>
  <r>
    <x v="4280"/>
    <s v="Stewart"/>
    <x v="75"/>
    <d v="1899-12-30T09:05:46"/>
    <d v="2021-03-17T09:05:46"/>
    <x v="5"/>
    <x v="0"/>
    <x v="2"/>
    <x v="0"/>
    <s v="N"/>
    <n v="50"/>
    <x v="0"/>
    <d v="1899-12-30T00:02:52"/>
    <n v="4"/>
  </r>
  <r>
    <x v="4281"/>
    <s v="Dan"/>
    <x v="75"/>
    <d v="1899-12-30T09:05:46"/>
    <d v="2021-03-17T09:05:46"/>
    <x v="5"/>
    <x v="0"/>
    <x v="4"/>
    <x v="0"/>
    <s v="Y"/>
    <n v="57"/>
    <x v="0"/>
    <d v="1899-12-30T00:06:06"/>
    <n v="5"/>
  </r>
  <r>
    <x v="4282"/>
    <s v="Jim"/>
    <x v="75"/>
    <d v="1899-12-30T09:43:12"/>
    <d v="2021-03-17T09:43:12"/>
    <x v="5"/>
    <x v="0"/>
    <x v="1"/>
    <x v="0"/>
    <s v="Y"/>
    <n v="26"/>
    <x v="0"/>
    <d v="1899-12-30T00:01:19"/>
    <n v="5"/>
  </r>
  <r>
    <x v="4283"/>
    <s v="Greg"/>
    <x v="75"/>
    <d v="1899-12-30T09:43:12"/>
    <d v="2021-03-17T09:43:12"/>
    <x v="5"/>
    <x v="0"/>
    <x v="3"/>
    <x v="0"/>
    <s v="Y"/>
    <n v="104"/>
    <x v="0"/>
    <d v="1899-12-30T00:06:58"/>
    <n v="1"/>
  </r>
  <r>
    <x v="4284"/>
    <s v="Becky"/>
    <x v="75"/>
    <d v="1899-12-30T10:59:31"/>
    <d v="2021-03-17T10:59:31"/>
    <x v="5"/>
    <x v="1"/>
    <x v="1"/>
    <x v="0"/>
    <s v="Y"/>
    <n v="93"/>
    <x v="0"/>
    <d v="1899-12-30T00:05:21"/>
    <n v="1"/>
  </r>
  <r>
    <x v="4285"/>
    <s v="Jim"/>
    <x v="75"/>
    <d v="1899-12-30T10:59:31"/>
    <d v="2021-03-17T10:59:31"/>
    <x v="5"/>
    <x v="1"/>
    <x v="1"/>
    <x v="0"/>
    <s v="Y"/>
    <n v="108"/>
    <x v="0"/>
    <d v="1899-12-30T00:02:05"/>
    <n v="3"/>
  </r>
  <r>
    <x v="4286"/>
    <s v="Martha"/>
    <x v="75"/>
    <d v="1899-12-30T11:25:26"/>
    <d v="2021-03-17T11:25:26"/>
    <x v="5"/>
    <x v="2"/>
    <x v="4"/>
    <x v="0"/>
    <s v="Y"/>
    <n v="42"/>
    <x v="0"/>
    <d v="1899-12-30T00:02:22"/>
    <n v="5"/>
  </r>
  <r>
    <x v="4287"/>
    <s v="Martha"/>
    <x v="75"/>
    <d v="1899-12-30T11:25:26"/>
    <d v="2021-03-17T11:25:26"/>
    <x v="5"/>
    <x v="2"/>
    <x v="1"/>
    <x v="1"/>
    <s v="N"/>
    <m/>
    <x v="0"/>
    <m/>
    <m/>
  </r>
  <r>
    <x v="4288"/>
    <s v="Jim"/>
    <x v="75"/>
    <d v="1899-12-30T11:44:10"/>
    <d v="2021-03-17T11:44:10"/>
    <x v="5"/>
    <x v="2"/>
    <x v="3"/>
    <x v="0"/>
    <s v="Y"/>
    <n v="94"/>
    <x v="0"/>
    <d v="1899-12-30T00:05:17"/>
    <n v="5"/>
  </r>
  <r>
    <x v="4289"/>
    <s v="Dan"/>
    <x v="75"/>
    <d v="1899-12-30T11:44:10"/>
    <d v="2021-03-17T11:44:10"/>
    <x v="5"/>
    <x v="2"/>
    <x v="0"/>
    <x v="0"/>
    <s v="Y"/>
    <n v="74"/>
    <x v="0"/>
    <d v="1899-12-30T00:03:05"/>
    <n v="3"/>
  </r>
  <r>
    <x v="4290"/>
    <s v="Diane"/>
    <x v="75"/>
    <d v="1899-12-30T12:43:12"/>
    <d v="2021-03-17T12:43:12"/>
    <x v="5"/>
    <x v="3"/>
    <x v="0"/>
    <x v="0"/>
    <s v="Y"/>
    <n v="117"/>
    <x v="0"/>
    <d v="1899-12-30T00:02:21"/>
    <n v="5"/>
  </r>
  <r>
    <x v="4291"/>
    <s v="Dan"/>
    <x v="75"/>
    <d v="1899-12-30T12:43:12"/>
    <d v="2021-03-17T12:43:12"/>
    <x v="5"/>
    <x v="3"/>
    <x v="3"/>
    <x v="1"/>
    <s v="N"/>
    <m/>
    <x v="0"/>
    <m/>
    <m/>
  </r>
  <r>
    <x v="4292"/>
    <s v="Martha"/>
    <x v="75"/>
    <d v="1899-12-30T13:01:55"/>
    <d v="2021-03-17T13:01:55"/>
    <x v="5"/>
    <x v="4"/>
    <x v="2"/>
    <x v="0"/>
    <s v="Y"/>
    <n v="49"/>
    <x v="0"/>
    <d v="1899-12-30T00:00:54"/>
    <n v="1"/>
  </r>
  <r>
    <x v="4293"/>
    <s v="Diane"/>
    <x v="75"/>
    <d v="1899-12-30T13:01:55"/>
    <d v="2021-03-17T13:01:55"/>
    <x v="5"/>
    <x v="4"/>
    <x v="4"/>
    <x v="0"/>
    <s v="Y"/>
    <n v="23"/>
    <x v="0"/>
    <d v="1899-12-30T00:04:40"/>
    <n v="3"/>
  </r>
  <r>
    <x v="4294"/>
    <s v="Joe"/>
    <x v="75"/>
    <d v="1899-12-30T13:24:58"/>
    <d v="2021-03-17T13:24:58"/>
    <x v="5"/>
    <x v="4"/>
    <x v="4"/>
    <x v="1"/>
    <s v="N"/>
    <m/>
    <x v="0"/>
    <m/>
    <m/>
  </r>
  <r>
    <x v="4295"/>
    <s v="Martha"/>
    <x v="75"/>
    <d v="1899-12-30T13:24:58"/>
    <d v="2021-03-17T13:24:58"/>
    <x v="5"/>
    <x v="4"/>
    <x v="4"/>
    <x v="0"/>
    <s v="Y"/>
    <n v="84"/>
    <x v="0"/>
    <d v="1899-12-30T00:02:16"/>
    <n v="5"/>
  </r>
  <r>
    <x v="4296"/>
    <s v="Martha"/>
    <x v="75"/>
    <d v="1899-12-30T13:58:05"/>
    <d v="2021-03-17T13:58:05"/>
    <x v="5"/>
    <x v="4"/>
    <x v="2"/>
    <x v="0"/>
    <s v="Y"/>
    <n v="69"/>
    <x v="0"/>
    <d v="1899-12-30T00:01:19"/>
    <n v="1"/>
  </r>
  <r>
    <x v="4297"/>
    <s v="Diane"/>
    <x v="75"/>
    <d v="1899-12-30T13:58:05"/>
    <d v="2021-03-17T13:58:05"/>
    <x v="5"/>
    <x v="4"/>
    <x v="1"/>
    <x v="0"/>
    <s v="Y"/>
    <n v="25"/>
    <x v="0"/>
    <d v="1899-12-30T00:04:44"/>
    <n v="3"/>
  </r>
  <r>
    <x v="4298"/>
    <s v="Becky"/>
    <x v="75"/>
    <d v="1899-12-30T14:00:58"/>
    <d v="2021-03-17T14:00:58"/>
    <x v="5"/>
    <x v="5"/>
    <x v="2"/>
    <x v="1"/>
    <s v="N"/>
    <m/>
    <x v="0"/>
    <m/>
    <m/>
  </r>
  <r>
    <x v="4299"/>
    <s v="Martha"/>
    <x v="75"/>
    <d v="1899-12-30T14:00:58"/>
    <d v="2021-03-17T14:00:58"/>
    <x v="5"/>
    <x v="5"/>
    <x v="1"/>
    <x v="1"/>
    <s v="N"/>
    <m/>
    <x v="0"/>
    <m/>
    <m/>
  </r>
  <r>
    <x v="4300"/>
    <s v="Greg"/>
    <x v="75"/>
    <d v="1899-12-30T14:19:41"/>
    <d v="2021-03-17T14:19:41"/>
    <x v="5"/>
    <x v="5"/>
    <x v="2"/>
    <x v="0"/>
    <s v="Y"/>
    <n v="34"/>
    <x v="0"/>
    <d v="1899-12-30T00:04:33"/>
    <n v="4"/>
  </r>
  <r>
    <x v="4301"/>
    <s v="Joe"/>
    <x v="75"/>
    <d v="1899-12-30T14:19:41"/>
    <d v="2021-03-17T14:19:41"/>
    <x v="5"/>
    <x v="5"/>
    <x v="4"/>
    <x v="0"/>
    <s v="N"/>
    <n v="45"/>
    <x v="0"/>
    <d v="1899-12-30T00:03:45"/>
    <n v="1"/>
  </r>
  <r>
    <x v="4302"/>
    <s v="Martha"/>
    <x v="75"/>
    <d v="1899-12-30T14:21:07"/>
    <d v="2021-03-17T14:21:07"/>
    <x v="5"/>
    <x v="5"/>
    <x v="4"/>
    <x v="1"/>
    <s v="N"/>
    <m/>
    <x v="0"/>
    <m/>
    <m/>
  </r>
  <r>
    <x v="4303"/>
    <s v="Dan"/>
    <x v="75"/>
    <d v="1899-12-30T14:21:07"/>
    <d v="2021-03-17T14:21:07"/>
    <x v="5"/>
    <x v="5"/>
    <x v="2"/>
    <x v="0"/>
    <s v="Y"/>
    <n v="29"/>
    <x v="0"/>
    <d v="1899-12-30T00:01:50"/>
    <n v="5"/>
  </r>
  <r>
    <x v="4304"/>
    <s v="Jim"/>
    <x v="75"/>
    <d v="1899-12-30T15:17:17"/>
    <d v="2021-03-17T15:17:17"/>
    <x v="5"/>
    <x v="6"/>
    <x v="1"/>
    <x v="0"/>
    <s v="Y"/>
    <n v="26"/>
    <x v="0"/>
    <d v="1899-12-30T00:03:15"/>
    <n v="4"/>
  </r>
  <r>
    <x v="4305"/>
    <s v="Diane"/>
    <x v="75"/>
    <d v="1899-12-30T15:17:17"/>
    <d v="2021-03-17T15:17:17"/>
    <x v="5"/>
    <x v="6"/>
    <x v="4"/>
    <x v="0"/>
    <s v="Y"/>
    <n v="115"/>
    <x v="0"/>
    <d v="1899-12-30T00:04:28"/>
    <n v="4"/>
  </r>
  <r>
    <x v="4306"/>
    <s v="Martha"/>
    <x v="75"/>
    <d v="1899-12-30T15:47:31"/>
    <d v="2021-03-17T15:47:31"/>
    <x v="5"/>
    <x v="6"/>
    <x v="2"/>
    <x v="0"/>
    <s v="Y"/>
    <n v="78"/>
    <x v="0"/>
    <d v="1899-12-30T00:04:08"/>
    <n v="3"/>
  </r>
  <r>
    <x v="4307"/>
    <s v="Jim"/>
    <x v="75"/>
    <d v="1899-12-30T15:47:31"/>
    <d v="2021-03-17T15:47:31"/>
    <x v="5"/>
    <x v="6"/>
    <x v="4"/>
    <x v="0"/>
    <s v="N"/>
    <n v="41"/>
    <x v="0"/>
    <d v="1899-12-30T00:04:11"/>
    <n v="3"/>
  </r>
  <r>
    <x v="4308"/>
    <s v="Diane"/>
    <x v="75"/>
    <d v="1899-12-30T16:20:38"/>
    <d v="2021-03-17T16:20:38"/>
    <x v="5"/>
    <x v="8"/>
    <x v="0"/>
    <x v="0"/>
    <s v="Y"/>
    <n v="21"/>
    <x v="0"/>
    <d v="1899-12-30T00:02:26"/>
    <n v="5"/>
  </r>
  <r>
    <x v="4309"/>
    <s v="Dan"/>
    <x v="75"/>
    <d v="1899-12-30T16:20:38"/>
    <d v="2021-03-17T16:20:38"/>
    <x v="5"/>
    <x v="8"/>
    <x v="4"/>
    <x v="1"/>
    <s v="N"/>
    <m/>
    <x v="0"/>
    <m/>
    <m/>
  </r>
  <r>
    <x v="4310"/>
    <s v="Martha"/>
    <x v="75"/>
    <d v="1899-12-30T16:22:05"/>
    <d v="2021-03-17T16:22:05"/>
    <x v="5"/>
    <x v="8"/>
    <x v="4"/>
    <x v="0"/>
    <s v="Y"/>
    <n v="47"/>
    <x v="0"/>
    <d v="1899-12-30T00:04:30"/>
    <n v="5"/>
  </r>
  <r>
    <x v="4311"/>
    <s v="Jim"/>
    <x v="75"/>
    <d v="1899-12-30T16:22:05"/>
    <d v="2021-03-17T16:22:05"/>
    <x v="5"/>
    <x v="8"/>
    <x v="2"/>
    <x v="0"/>
    <s v="N"/>
    <n v="98"/>
    <x v="0"/>
    <d v="1899-12-30T00:05:59"/>
    <n v="2"/>
  </r>
  <r>
    <x v="4312"/>
    <s v="Joe"/>
    <x v="75"/>
    <d v="1899-12-30T16:42:14"/>
    <d v="2021-03-17T16:42:14"/>
    <x v="5"/>
    <x v="8"/>
    <x v="0"/>
    <x v="1"/>
    <s v="N"/>
    <m/>
    <x v="0"/>
    <m/>
    <m/>
  </r>
  <r>
    <x v="4313"/>
    <s v="Martha"/>
    <x v="75"/>
    <d v="1899-12-30T16:42:14"/>
    <d v="2021-03-17T16:42:14"/>
    <x v="5"/>
    <x v="8"/>
    <x v="2"/>
    <x v="0"/>
    <s v="Y"/>
    <n v="51"/>
    <x v="0"/>
    <d v="1899-12-30T00:04:34"/>
    <n v="4"/>
  </r>
  <r>
    <x v="4314"/>
    <s v="Becky"/>
    <x v="75"/>
    <d v="1899-12-30T16:46:34"/>
    <d v="2021-03-17T16:46:34"/>
    <x v="5"/>
    <x v="8"/>
    <x v="4"/>
    <x v="0"/>
    <s v="Y"/>
    <n v="70"/>
    <x v="0"/>
    <d v="1899-12-30T00:05:35"/>
    <n v="4"/>
  </r>
  <r>
    <x v="4315"/>
    <s v="Diane"/>
    <x v="75"/>
    <d v="1899-12-30T16:46:34"/>
    <d v="2021-03-17T16:46:34"/>
    <x v="5"/>
    <x v="8"/>
    <x v="0"/>
    <x v="0"/>
    <s v="Y"/>
    <n v="58"/>
    <x v="0"/>
    <d v="1899-12-30T00:06:20"/>
    <n v="2"/>
  </r>
  <r>
    <x v="4316"/>
    <s v="Jim"/>
    <x v="75"/>
    <d v="1899-12-30T16:52:19"/>
    <d v="2021-03-17T16:52:19"/>
    <x v="5"/>
    <x v="8"/>
    <x v="1"/>
    <x v="1"/>
    <s v="N"/>
    <m/>
    <x v="0"/>
    <m/>
    <m/>
  </r>
  <r>
    <x v="4317"/>
    <s v="Greg"/>
    <x v="75"/>
    <d v="1899-12-30T16:52:19"/>
    <d v="2021-03-17T16:52:19"/>
    <x v="5"/>
    <x v="8"/>
    <x v="3"/>
    <x v="1"/>
    <s v="N"/>
    <m/>
    <x v="0"/>
    <m/>
    <m/>
  </r>
  <r>
    <x v="4318"/>
    <s v="Greg"/>
    <x v="75"/>
    <d v="1899-12-30T17:12:29"/>
    <d v="2021-03-17T17:12:29"/>
    <x v="5"/>
    <x v="7"/>
    <x v="4"/>
    <x v="0"/>
    <s v="Y"/>
    <n v="39"/>
    <x v="0"/>
    <d v="1899-12-30T00:03:54"/>
    <n v="5"/>
  </r>
  <r>
    <x v="4319"/>
    <s v="Joe"/>
    <x v="75"/>
    <d v="1899-12-30T17:12:29"/>
    <d v="2021-03-17T17:12:29"/>
    <x v="5"/>
    <x v="7"/>
    <x v="2"/>
    <x v="0"/>
    <s v="Y"/>
    <n v="55"/>
    <x v="0"/>
    <d v="1899-12-30T00:03:25"/>
    <n v="1"/>
  </r>
  <r>
    <x v="4320"/>
    <s v="Diane"/>
    <x v="75"/>
    <d v="1899-12-30T17:13:55"/>
    <d v="2021-03-17T17:13:55"/>
    <x v="5"/>
    <x v="7"/>
    <x v="0"/>
    <x v="0"/>
    <s v="Y"/>
    <n v="80"/>
    <x v="0"/>
    <d v="1899-12-30T00:03:05"/>
    <n v="3"/>
  </r>
  <r>
    <x v="4321"/>
    <s v="Dan"/>
    <x v="75"/>
    <d v="1899-12-30T17:13:55"/>
    <d v="2021-03-17T17:13:55"/>
    <x v="5"/>
    <x v="7"/>
    <x v="2"/>
    <x v="0"/>
    <s v="Y"/>
    <n v="68"/>
    <x v="0"/>
    <d v="1899-12-30T00:03:29"/>
    <n v="4"/>
  </r>
  <r>
    <x v="4322"/>
    <s v="Diane"/>
    <x v="75"/>
    <d v="1899-12-30T17:24:00"/>
    <d v="2021-03-17T17:24:00"/>
    <x v="5"/>
    <x v="7"/>
    <x v="1"/>
    <x v="0"/>
    <s v="Y"/>
    <n v="96"/>
    <x v="0"/>
    <d v="1899-12-30T00:02:14"/>
    <n v="3"/>
  </r>
  <r>
    <x v="4323"/>
    <s v="Greg"/>
    <x v="75"/>
    <d v="1899-12-30T17:24:00"/>
    <d v="2021-03-17T17:24:00"/>
    <x v="5"/>
    <x v="7"/>
    <x v="2"/>
    <x v="0"/>
    <s v="Y"/>
    <n v="32"/>
    <x v="0"/>
    <d v="1899-12-30T00:03:48"/>
    <n v="3"/>
  </r>
  <r>
    <x v="4324"/>
    <s v="Stewart"/>
    <x v="75"/>
    <d v="1899-12-30T17:26:53"/>
    <d v="2021-03-17T17:26:53"/>
    <x v="5"/>
    <x v="7"/>
    <x v="3"/>
    <x v="1"/>
    <s v="N"/>
    <m/>
    <x v="0"/>
    <m/>
    <m/>
  </r>
  <r>
    <x v="4325"/>
    <s v="Diane"/>
    <x v="75"/>
    <d v="1899-12-30T17:26:53"/>
    <d v="2021-03-17T17:26:53"/>
    <x v="5"/>
    <x v="7"/>
    <x v="4"/>
    <x v="0"/>
    <s v="Y"/>
    <n v="90"/>
    <x v="0"/>
    <d v="1899-12-30T00:01:53"/>
    <n v="3"/>
  </r>
  <r>
    <x v="4326"/>
    <s v="Dan"/>
    <x v="75"/>
    <d v="1899-12-30T17:48:29"/>
    <d v="2021-03-17T17:48:29"/>
    <x v="5"/>
    <x v="7"/>
    <x v="4"/>
    <x v="0"/>
    <s v="Y"/>
    <n v="108"/>
    <x v="0"/>
    <d v="1899-12-30T00:03:15"/>
    <n v="4"/>
  </r>
  <r>
    <x v="4327"/>
    <s v="Stewart"/>
    <x v="75"/>
    <d v="1899-12-30T17:48:29"/>
    <d v="2021-03-17T17:48:29"/>
    <x v="5"/>
    <x v="7"/>
    <x v="1"/>
    <x v="0"/>
    <s v="N"/>
    <n v="120"/>
    <x v="0"/>
    <d v="1899-12-30T00:05:34"/>
    <n v="4"/>
  </r>
  <r>
    <x v="4328"/>
    <s v="Dan"/>
    <x v="75"/>
    <d v="1899-12-30T18:00:00"/>
    <d v="2021-03-17T18:00:00"/>
    <x v="5"/>
    <x v="9"/>
    <x v="0"/>
    <x v="0"/>
    <s v="Y"/>
    <n v="21"/>
    <x v="0"/>
    <d v="1899-12-30T00:04:39"/>
    <n v="5"/>
  </r>
  <r>
    <x v="4329"/>
    <s v="Greg"/>
    <x v="75"/>
    <d v="1899-12-30T18:00:00"/>
    <d v="2021-03-17T18:00:00"/>
    <x v="5"/>
    <x v="9"/>
    <x v="0"/>
    <x v="1"/>
    <s v="N"/>
    <m/>
    <x v="0"/>
    <m/>
    <m/>
  </r>
  <r>
    <x v="4330"/>
    <s v="Martha"/>
    <x v="76"/>
    <d v="1899-12-30T09:14:24"/>
    <d v="2021-03-18T09:14:24"/>
    <x v="6"/>
    <x v="0"/>
    <x v="2"/>
    <x v="0"/>
    <s v="N"/>
    <n v="59"/>
    <x v="0"/>
    <d v="1899-12-30T00:02:47"/>
    <n v="4"/>
  </r>
  <r>
    <x v="4331"/>
    <s v="Stewart"/>
    <x v="76"/>
    <d v="1899-12-30T09:14:24"/>
    <d v="2021-03-18T09:14:24"/>
    <x v="6"/>
    <x v="0"/>
    <x v="3"/>
    <x v="0"/>
    <s v="Y"/>
    <n v="14"/>
    <x v="1"/>
    <d v="1899-12-30T00:05:22"/>
    <n v="3"/>
  </r>
  <r>
    <x v="4332"/>
    <s v="Joe"/>
    <x v="76"/>
    <d v="1899-12-30T09:21:36"/>
    <d v="2021-03-18T09:21:36"/>
    <x v="6"/>
    <x v="0"/>
    <x v="0"/>
    <x v="1"/>
    <s v="N"/>
    <m/>
    <x v="0"/>
    <m/>
    <m/>
  </r>
  <r>
    <x v="4333"/>
    <s v="Stewart"/>
    <x v="76"/>
    <d v="1899-12-30T09:21:36"/>
    <d v="2021-03-18T09:21:36"/>
    <x v="6"/>
    <x v="0"/>
    <x v="4"/>
    <x v="0"/>
    <s v="Y"/>
    <n v="57"/>
    <x v="0"/>
    <d v="1899-12-30T00:00:44"/>
    <n v="3"/>
  </r>
  <r>
    <x v="4334"/>
    <s v="Dan"/>
    <x v="76"/>
    <d v="1899-12-30T10:32:10"/>
    <d v="2021-03-18T10:32:10"/>
    <x v="6"/>
    <x v="1"/>
    <x v="4"/>
    <x v="0"/>
    <s v="Y"/>
    <n v="123"/>
    <x v="0"/>
    <d v="1899-12-30T00:04:04"/>
    <n v="3"/>
  </r>
  <r>
    <x v="4335"/>
    <s v="Dan"/>
    <x v="76"/>
    <d v="1899-12-30T10:32:10"/>
    <d v="2021-03-18T10:32:10"/>
    <x v="6"/>
    <x v="1"/>
    <x v="4"/>
    <x v="0"/>
    <s v="Y"/>
    <n v="71"/>
    <x v="0"/>
    <d v="1899-12-30T00:05:41"/>
    <n v="3"/>
  </r>
  <r>
    <x v="4336"/>
    <s v="Stewart"/>
    <x v="76"/>
    <d v="1899-12-30T10:56:38"/>
    <d v="2021-03-18T10:56:38"/>
    <x v="6"/>
    <x v="1"/>
    <x v="0"/>
    <x v="0"/>
    <s v="N"/>
    <n v="71"/>
    <x v="0"/>
    <d v="1899-12-30T00:04:16"/>
    <n v="3"/>
  </r>
  <r>
    <x v="4337"/>
    <s v="Martha"/>
    <x v="76"/>
    <d v="1899-12-30T10:56:38"/>
    <d v="2021-03-18T10:56:38"/>
    <x v="6"/>
    <x v="1"/>
    <x v="1"/>
    <x v="0"/>
    <s v="Y"/>
    <n v="41"/>
    <x v="0"/>
    <d v="1899-12-30T00:06:22"/>
    <n v="3"/>
  </r>
  <r>
    <x v="4338"/>
    <s v="Dan"/>
    <x v="76"/>
    <d v="1899-12-30T11:38:24"/>
    <d v="2021-03-18T11:38:24"/>
    <x v="6"/>
    <x v="2"/>
    <x v="0"/>
    <x v="1"/>
    <s v="N"/>
    <m/>
    <x v="0"/>
    <m/>
    <m/>
  </r>
  <r>
    <x v="4339"/>
    <s v="Martha"/>
    <x v="76"/>
    <d v="1899-12-30T11:38:24"/>
    <d v="2021-03-18T11:38:24"/>
    <x v="6"/>
    <x v="2"/>
    <x v="1"/>
    <x v="0"/>
    <s v="Y"/>
    <n v="80"/>
    <x v="0"/>
    <d v="1899-12-30T00:05:43"/>
    <n v="4"/>
  </r>
  <r>
    <x v="4340"/>
    <s v="Stewart"/>
    <x v="76"/>
    <d v="1899-12-30T12:02:53"/>
    <d v="2021-03-18T12:02:53"/>
    <x v="6"/>
    <x v="3"/>
    <x v="2"/>
    <x v="1"/>
    <s v="N"/>
    <m/>
    <x v="0"/>
    <m/>
    <m/>
  </r>
  <r>
    <x v="4341"/>
    <s v="Greg"/>
    <x v="76"/>
    <d v="1899-12-30T12:02:53"/>
    <d v="2021-03-18T12:02:53"/>
    <x v="6"/>
    <x v="3"/>
    <x v="2"/>
    <x v="0"/>
    <s v="Y"/>
    <n v="57"/>
    <x v="0"/>
    <d v="1899-12-30T00:01:12"/>
    <n v="2"/>
  </r>
  <r>
    <x v="4342"/>
    <s v="Stewart"/>
    <x v="76"/>
    <d v="1899-12-30T12:30:14"/>
    <d v="2021-03-18T12:30:14"/>
    <x v="6"/>
    <x v="3"/>
    <x v="4"/>
    <x v="0"/>
    <s v="Y"/>
    <n v="17"/>
    <x v="1"/>
    <d v="1899-12-30T00:02:39"/>
    <n v="3"/>
  </r>
  <r>
    <x v="4343"/>
    <s v="Martha"/>
    <x v="76"/>
    <d v="1899-12-30T12:30:14"/>
    <d v="2021-03-18T12:30:14"/>
    <x v="6"/>
    <x v="3"/>
    <x v="3"/>
    <x v="0"/>
    <s v="Y"/>
    <n v="93"/>
    <x v="0"/>
    <d v="1899-12-30T00:04:47"/>
    <n v="5"/>
  </r>
  <r>
    <x v="4344"/>
    <s v="Greg"/>
    <x v="76"/>
    <d v="1899-12-30T12:51:50"/>
    <d v="2021-03-18T12:51:50"/>
    <x v="6"/>
    <x v="3"/>
    <x v="2"/>
    <x v="0"/>
    <s v="Y"/>
    <n v="13"/>
    <x v="1"/>
    <d v="1899-12-30T00:00:43"/>
    <n v="3"/>
  </r>
  <r>
    <x v="4345"/>
    <s v="Stewart"/>
    <x v="76"/>
    <d v="1899-12-30T12:51:50"/>
    <d v="2021-03-18T12:51:50"/>
    <x v="6"/>
    <x v="3"/>
    <x v="2"/>
    <x v="0"/>
    <s v="Y"/>
    <n v="64"/>
    <x v="0"/>
    <d v="1899-12-30T00:01:42"/>
    <n v="4"/>
  </r>
  <r>
    <x v="4346"/>
    <s v="Stewart"/>
    <x v="76"/>
    <d v="1899-12-30T13:36:29"/>
    <d v="2021-03-18T13:36:29"/>
    <x v="6"/>
    <x v="4"/>
    <x v="1"/>
    <x v="0"/>
    <s v="Y"/>
    <n v="98"/>
    <x v="0"/>
    <d v="1899-12-30T00:01:50"/>
    <n v="5"/>
  </r>
  <r>
    <x v="4347"/>
    <s v="Greg"/>
    <x v="76"/>
    <d v="1899-12-30T13:36:29"/>
    <d v="2021-03-18T13:36:29"/>
    <x v="6"/>
    <x v="4"/>
    <x v="1"/>
    <x v="0"/>
    <s v="N"/>
    <n v="83"/>
    <x v="0"/>
    <d v="1899-12-30T00:02:28"/>
    <n v="2"/>
  </r>
  <r>
    <x v="4348"/>
    <s v="Martha"/>
    <x v="76"/>
    <d v="1899-12-30T13:49:26"/>
    <d v="2021-03-18T13:49:26"/>
    <x v="6"/>
    <x v="4"/>
    <x v="4"/>
    <x v="0"/>
    <s v="N"/>
    <n v="116"/>
    <x v="0"/>
    <d v="1899-12-30T00:06:18"/>
    <n v="5"/>
  </r>
  <r>
    <x v="4349"/>
    <s v="Becky"/>
    <x v="76"/>
    <d v="1899-12-30T13:49:26"/>
    <d v="2021-03-18T13:49:26"/>
    <x v="6"/>
    <x v="4"/>
    <x v="4"/>
    <x v="0"/>
    <s v="Y"/>
    <n v="104"/>
    <x v="0"/>
    <d v="1899-12-30T00:00:46"/>
    <n v="2"/>
  </r>
  <r>
    <x v="4350"/>
    <s v="Martha"/>
    <x v="76"/>
    <d v="1899-12-30T14:02:24"/>
    <d v="2021-03-18T14:02:24"/>
    <x v="6"/>
    <x v="5"/>
    <x v="4"/>
    <x v="0"/>
    <s v="Y"/>
    <n v="83"/>
    <x v="0"/>
    <d v="1899-12-30T00:05:34"/>
    <n v="5"/>
  </r>
  <r>
    <x v="4351"/>
    <s v="Martha"/>
    <x v="76"/>
    <d v="1899-12-30T14:02:24"/>
    <d v="2021-03-18T14:02:24"/>
    <x v="6"/>
    <x v="5"/>
    <x v="3"/>
    <x v="0"/>
    <s v="Y"/>
    <n v="26"/>
    <x v="0"/>
    <d v="1899-12-30T00:06:48"/>
    <n v="4"/>
  </r>
  <r>
    <x v="4352"/>
    <s v="Diane"/>
    <x v="76"/>
    <d v="1899-12-30T14:25:26"/>
    <d v="2021-03-18T14:25:26"/>
    <x v="6"/>
    <x v="5"/>
    <x v="3"/>
    <x v="0"/>
    <s v="Y"/>
    <n v="47"/>
    <x v="0"/>
    <d v="1899-12-30T00:00:36"/>
    <n v="2"/>
  </r>
  <r>
    <x v="4353"/>
    <s v="Jim"/>
    <x v="76"/>
    <d v="1899-12-30T14:25:26"/>
    <d v="2021-03-18T14:25:26"/>
    <x v="6"/>
    <x v="5"/>
    <x v="0"/>
    <x v="1"/>
    <s v="N"/>
    <m/>
    <x v="0"/>
    <m/>
    <m/>
  </r>
  <r>
    <x v="4354"/>
    <s v="Dan"/>
    <x v="76"/>
    <d v="1899-12-30T14:41:17"/>
    <d v="2021-03-18T14:41:17"/>
    <x v="6"/>
    <x v="5"/>
    <x v="3"/>
    <x v="1"/>
    <s v="N"/>
    <m/>
    <x v="0"/>
    <m/>
    <m/>
  </r>
  <r>
    <x v="4355"/>
    <s v="Joe"/>
    <x v="76"/>
    <d v="1899-12-30T14:41:17"/>
    <d v="2021-03-18T14:41:17"/>
    <x v="6"/>
    <x v="5"/>
    <x v="1"/>
    <x v="0"/>
    <s v="N"/>
    <n v="34"/>
    <x v="0"/>
    <d v="1899-12-30T00:03:07"/>
    <n v="4"/>
  </r>
  <r>
    <x v="4356"/>
    <s v="Becky"/>
    <x v="76"/>
    <d v="1899-12-30T14:52:48"/>
    <d v="2021-03-18T14:52:48"/>
    <x v="6"/>
    <x v="5"/>
    <x v="1"/>
    <x v="0"/>
    <s v="Y"/>
    <n v="65"/>
    <x v="0"/>
    <d v="1899-12-30T00:03:42"/>
    <n v="5"/>
  </r>
  <r>
    <x v="4357"/>
    <s v="Diane"/>
    <x v="76"/>
    <d v="1899-12-30T14:52:48"/>
    <d v="2021-03-18T14:52:48"/>
    <x v="6"/>
    <x v="5"/>
    <x v="4"/>
    <x v="0"/>
    <s v="Y"/>
    <n v="54"/>
    <x v="0"/>
    <d v="1899-12-30T00:06:19"/>
    <n v="3"/>
  </r>
  <r>
    <x v="4358"/>
    <s v="Joe"/>
    <x v="76"/>
    <d v="1899-12-30T14:52:48"/>
    <d v="2021-03-18T14:52:48"/>
    <x v="6"/>
    <x v="5"/>
    <x v="1"/>
    <x v="0"/>
    <s v="Y"/>
    <n v="108"/>
    <x v="0"/>
    <d v="1899-12-30T00:05:15"/>
    <n v="4"/>
  </r>
  <r>
    <x v="4359"/>
    <s v="Jim"/>
    <x v="76"/>
    <d v="1899-12-30T14:52:48"/>
    <d v="2021-03-18T14:52:48"/>
    <x v="6"/>
    <x v="5"/>
    <x v="0"/>
    <x v="0"/>
    <s v="Y"/>
    <n v="114"/>
    <x v="0"/>
    <d v="1899-12-30T00:04:42"/>
    <n v="4"/>
  </r>
  <r>
    <x v="4360"/>
    <s v="Jim"/>
    <x v="76"/>
    <d v="1899-12-30T15:48:58"/>
    <d v="2021-03-18T15:48:58"/>
    <x v="6"/>
    <x v="6"/>
    <x v="3"/>
    <x v="0"/>
    <s v="Y"/>
    <n v="109"/>
    <x v="0"/>
    <d v="1899-12-30T00:02:59"/>
    <n v="3"/>
  </r>
  <r>
    <x v="4361"/>
    <s v="Jim"/>
    <x v="76"/>
    <d v="1899-12-30T15:48:58"/>
    <d v="2021-03-18T15:48:58"/>
    <x v="6"/>
    <x v="6"/>
    <x v="4"/>
    <x v="0"/>
    <s v="Y"/>
    <n v="115"/>
    <x v="0"/>
    <d v="1899-12-30T00:03:35"/>
    <n v="3"/>
  </r>
  <r>
    <x v="4362"/>
    <s v="Joe"/>
    <x v="76"/>
    <d v="1899-12-30T16:03:22"/>
    <d v="2021-03-18T16:03:22"/>
    <x v="6"/>
    <x v="8"/>
    <x v="4"/>
    <x v="0"/>
    <s v="Y"/>
    <n v="125"/>
    <x v="0"/>
    <d v="1899-12-30T00:04:07"/>
    <n v="3"/>
  </r>
  <r>
    <x v="4363"/>
    <s v="Joe"/>
    <x v="76"/>
    <d v="1899-12-30T16:03:22"/>
    <d v="2021-03-18T16:03:22"/>
    <x v="6"/>
    <x v="8"/>
    <x v="1"/>
    <x v="0"/>
    <s v="Y"/>
    <n v="116"/>
    <x v="0"/>
    <d v="1899-12-30T00:03:19"/>
    <n v="4"/>
  </r>
  <r>
    <x v="4364"/>
    <s v="Greg"/>
    <x v="76"/>
    <d v="1899-12-30T16:16:19"/>
    <d v="2021-03-18T16:16:19"/>
    <x v="6"/>
    <x v="8"/>
    <x v="3"/>
    <x v="0"/>
    <s v="Y"/>
    <n v="12"/>
    <x v="1"/>
    <d v="1899-12-30T00:02:51"/>
    <n v="3"/>
  </r>
  <r>
    <x v="4365"/>
    <s v="Becky"/>
    <x v="76"/>
    <d v="1899-12-30T16:16:19"/>
    <d v="2021-03-18T16:16:19"/>
    <x v="6"/>
    <x v="8"/>
    <x v="4"/>
    <x v="0"/>
    <s v="Y"/>
    <n v="96"/>
    <x v="0"/>
    <d v="1899-12-30T00:02:14"/>
    <n v="5"/>
  </r>
  <r>
    <x v="4366"/>
    <s v="Diane"/>
    <x v="76"/>
    <d v="1899-12-30T16:30:43"/>
    <d v="2021-03-18T16:30:43"/>
    <x v="6"/>
    <x v="8"/>
    <x v="4"/>
    <x v="0"/>
    <s v="Y"/>
    <n v="13"/>
    <x v="1"/>
    <d v="1899-12-30T00:05:17"/>
    <n v="5"/>
  </r>
  <r>
    <x v="4367"/>
    <s v="Jim"/>
    <x v="76"/>
    <d v="1899-12-30T16:30:43"/>
    <d v="2021-03-18T16:30:43"/>
    <x v="6"/>
    <x v="8"/>
    <x v="2"/>
    <x v="1"/>
    <s v="N"/>
    <m/>
    <x v="0"/>
    <m/>
    <m/>
  </r>
  <r>
    <x v="4368"/>
    <s v="Jim"/>
    <x v="76"/>
    <d v="1899-12-30T16:58:05"/>
    <d v="2021-03-18T16:58:05"/>
    <x v="6"/>
    <x v="8"/>
    <x v="0"/>
    <x v="0"/>
    <s v="Y"/>
    <n v="96"/>
    <x v="0"/>
    <d v="1899-12-30T00:06:22"/>
    <n v="3"/>
  </r>
  <r>
    <x v="4369"/>
    <s v="Greg"/>
    <x v="76"/>
    <d v="1899-12-30T16:58:05"/>
    <d v="2021-03-18T16:58:05"/>
    <x v="6"/>
    <x v="8"/>
    <x v="2"/>
    <x v="1"/>
    <s v="N"/>
    <m/>
    <x v="0"/>
    <m/>
    <m/>
  </r>
  <r>
    <x v="4370"/>
    <s v="Dan"/>
    <x v="76"/>
    <d v="1899-12-30T17:08:10"/>
    <d v="2021-03-18T17:08:10"/>
    <x v="6"/>
    <x v="7"/>
    <x v="4"/>
    <x v="0"/>
    <s v="Y"/>
    <n v="37"/>
    <x v="0"/>
    <d v="1899-12-30T00:05:55"/>
    <n v="3"/>
  </r>
  <r>
    <x v="4371"/>
    <s v="Stewart"/>
    <x v="76"/>
    <d v="1899-12-30T17:08:10"/>
    <d v="2021-03-18T17:08:10"/>
    <x v="6"/>
    <x v="7"/>
    <x v="1"/>
    <x v="0"/>
    <s v="Y"/>
    <n v="45"/>
    <x v="0"/>
    <d v="1899-12-30T00:06:15"/>
    <n v="4"/>
  </r>
  <r>
    <x v="4372"/>
    <s v="Becky"/>
    <x v="76"/>
    <d v="1899-12-30T17:22:34"/>
    <d v="2021-03-18T17:22:34"/>
    <x v="6"/>
    <x v="7"/>
    <x v="4"/>
    <x v="0"/>
    <s v="Y"/>
    <n v="44"/>
    <x v="0"/>
    <d v="1899-12-30T00:02:44"/>
    <n v="5"/>
  </r>
  <r>
    <x v="4373"/>
    <s v="Greg"/>
    <x v="76"/>
    <d v="1899-12-30T17:22:34"/>
    <d v="2021-03-18T17:22:34"/>
    <x v="6"/>
    <x v="7"/>
    <x v="0"/>
    <x v="1"/>
    <s v="N"/>
    <m/>
    <x v="0"/>
    <m/>
    <m/>
  </r>
  <r>
    <x v="4374"/>
    <s v="Martha"/>
    <x v="76"/>
    <d v="1899-12-30T17:26:53"/>
    <d v="2021-03-18T17:26:53"/>
    <x v="6"/>
    <x v="7"/>
    <x v="0"/>
    <x v="0"/>
    <s v="Y"/>
    <n v="65"/>
    <x v="0"/>
    <d v="1899-12-30T00:03:19"/>
    <n v="3"/>
  </r>
  <r>
    <x v="4375"/>
    <s v="Martha"/>
    <x v="76"/>
    <d v="1899-12-30T17:26:53"/>
    <d v="2021-03-18T17:26:53"/>
    <x v="6"/>
    <x v="7"/>
    <x v="4"/>
    <x v="0"/>
    <s v="Y"/>
    <n v="48"/>
    <x v="0"/>
    <d v="1899-12-30T00:02:07"/>
    <n v="4"/>
  </r>
  <r>
    <x v="4376"/>
    <s v="Stewart"/>
    <x v="76"/>
    <d v="1899-12-30T17:41:17"/>
    <d v="2021-03-18T17:41:17"/>
    <x v="6"/>
    <x v="7"/>
    <x v="1"/>
    <x v="0"/>
    <s v="Y"/>
    <n v="119"/>
    <x v="0"/>
    <d v="1899-12-30T00:02:34"/>
    <n v="1"/>
  </r>
  <r>
    <x v="4377"/>
    <s v="Jim"/>
    <x v="76"/>
    <d v="1899-12-30T17:41:17"/>
    <d v="2021-03-18T17:41:17"/>
    <x v="6"/>
    <x v="7"/>
    <x v="0"/>
    <x v="0"/>
    <s v="N"/>
    <n v="102"/>
    <x v="0"/>
    <d v="1899-12-30T00:05:16"/>
    <n v="3"/>
  </r>
  <r>
    <x v="4378"/>
    <s v="Stewart"/>
    <x v="77"/>
    <d v="1899-12-30T09:15:50"/>
    <d v="2021-03-19T09:15:50"/>
    <x v="0"/>
    <x v="0"/>
    <x v="0"/>
    <x v="0"/>
    <s v="Y"/>
    <n v="30"/>
    <x v="0"/>
    <d v="1899-12-30T00:05:10"/>
    <n v="5"/>
  </r>
  <r>
    <x v="4379"/>
    <s v="Joe"/>
    <x v="77"/>
    <d v="1899-12-30T09:15:50"/>
    <d v="2021-03-19T09:15:50"/>
    <x v="0"/>
    <x v="0"/>
    <x v="2"/>
    <x v="0"/>
    <s v="Y"/>
    <n v="51"/>
    <x v="0"/>
    <d v="1899-12-30T00:05:19"/>
    <n v="1"/>
  </r>
  <r>
    <x v="4380"/>
    <s v="Jim"/>
    <x v="77"/>
    <d v="1899-12-30T09:47:31"/>
    <d v="2021-03-19T09:47:31"/>
    <x v="0"/>
    <x v="0"/>
    <x v="0"/>
    <x v="1"/>
    <s v="N"/>
    <m/>
    <x v="0"/>
    <m/>
    <m/>
  </r>
  <r>
    <x v="4381"/>
    <s v="Becky"/>
    <x v="77"/>
    <d v="1899-12-30T09:47:31"/>
    <d v="2021-03-19T09:47:31"/>
    <x v="0"/>
    <x v="0"/>
    <x v="1"/>
    <x v="0"/>
    <s v="Y"/>
    <n v="39"/>
    <x v="0"/>
    <d v="1899-12-30T00:05:10"/>
    <n v="5"/>
  </r>
  <r>
    <x v="4382"/>
    <s v="Becky"/>
    <x v="77"/>
    <d v="1899-12-30T10:03:22"/>
    <d v="2021-03-19T10:03:22"/>
    <x v="0"/>
    <x v="1"/>
    <x v="2"/>
    <x v="0"/>
    <s v="Y"/>
    <n v="102"/>
    <x v="0"/>
    <d v="1899-12-30T00:05:27"/>
    <n v="2"/>
  </r>
  <r>
    <x v="4383"/>
    <s v="Stewart"/>
    <x v="77"/>
    <d v="1899-12-30T10:03:22"/>
    <d v="2021-03-19T10:03:22"/>
    <x v="0"/>
    <x v="1"/>
    <x v="2"/>
    <x v="0"/>
    <s v="Y"/>
    <n v="112"/>
    <x v="0"/>
    <d v="1899-12-30T00:00:40"/>
    <n v="3"/>
  </r>
  <r>
    <x v="4384"/>
    <s v="Becky"/>
    <x v="77"/>
    <d v="1899-12-30T10:14:53"/>
    <d v="2021-03-19T10:14:53"/>
    <x v="0"/>
    <x v="1"/>
    <x v="2"/>
    <x v="1"/>
    <s v="N"/>
    <m/>
    <x v="0"/>
    <m/>
    <m/>
  </r>
  <r>
    <x v="4385"/>
    <s v="Martha"/>
    <x v="77"/>
    <d v="1899-12-30T10:14:53"/>
    <d v="2021-03-19T10:14:53"/>
    <x v="0"/>
    <x v="1"/>
    <x v="1"/>
    <x v="0"/>
    <s v="Y"/>
    <n v="42"/>
    <x v="0"/>
    <d v="1899-12-30T00:04:36"/>
    <n v="5"/>
  </r>
  <r>
    <x v="4386"/>
    <s v="Greg"/>
    <x v="77"/>
    <d v="1899-12-30T11:12:29"/>
    <d v="2021-03-19T11:12:29"/>
    <x v="0"/>
    <x v="2"/>
    <x v="3"/>
    <x v="0"/>
    <s v="Y"/>
    <n v="87"/>
    <x v="0"/>
    <d v="1899-12-30T00:01:28"/>
    <n v="3"/>
  </r>
  <r>
    <x v="4387"/>
    <s v="Becky"/>
    <x v="77"/>
    <d v="1899-12-30T11:12:29"/>
    <d v="2021-03-19T11:12:29"/>
    <x v="0"/>
    <x v="2"/>
    <x v="2"/>
    <x v="1"/>
    <s v="N"/>
    <m/>
    <x v="0"/>
    <m/>
    <m/>
  </r>
  <r>
    <x v="4388"/>
    <s v="Becky"/>
    <x v="77"/>
    <d v="1899-12-30T11:13:55"/>
    <d v="2021-03-19T11:13:55"/>
    <x v="0"/>
    <x v="2"/>
    <x v="0"/>
    <x v="0"/>
    <s v="Y"/>
    <n v="123"/>
    <x v="0"/>
    <d v="1899-12-30T00:02:32"/>
    <n v="3"/>
  </r>
  <r>
    <x v="4389"/>
    <s v="Stewart"/>
    <x v="77"/>
    <d v="1899-12-30T11:13:55"/>
    <d v="2021-03-19T11:13:55"/>
    <x v="0"/>
    <x v="2"/>
    <x v="2"/>
    <x v="1"/>
    <s v="N"/>
    <m/>
    <x v="0"/>
    <m/>
    <m/>
  </r>
  <r>
    <x v="4390"/>
    <s v="Dan"/>
    <x v="77"/>
    <d v="1899-12-30T11:29:46"/>
    <d v="2021-03-19T11:29:46"/>
    <x v="0"/>
    <x v="2"/>
    <x v="0"/>
    <x v="0"/>
    <s v="Y"/>
    <n v="98"/>
    <x v="0"/>
    <d v="1899-12-30T00:01:26"/>
    <n v="3"/>
  </r>
  <r>
    <x v="4391"/>
    <s v="Jim"/>
    <x v="77"/>
    <d v="1899-12-30T11:29:46"/>
    <d v="2021-03-19T11:29:46"/>
    <x v="0"/>
    <x v="2"/>
    <x v="4"/>
    <x v="0"/>
    <s v="Y"/>
    <n v="45"/>
    <x v="0"/>
    <d v="1899-12-30T00:00:39"/>
    <n v="4"/>
  </r>
  <r>
    <x v="4392"/>
    <s v="Stewart"/>
    <x v="77"/>
    <d v="1899-12-30T12:14:24"/>
    <d v="2021-03-19T12:14:24"/>
    <x v="0"/>
    <x v="3"/>
    <x v="2"/>
    <x v="0"/>
    <s v="Y"/>
    <n v="50"/>
    <x v="0"/>
    <d v="1899-12-30T00:02:14"/>
    <n v="3"/>
  </r>
  <r>
    <x v="4393"/>
    <s v="Joe"/>
    <x v="77"/>
    <d v="1899-12-30T12:14:24"/>
    <d v="2021-03-19T12:14:24"/>
    <x v="0"/>
    <x v="3"/>
    <x v="2"/>
    <x v="0"/>
    <s v="Y"/>
    <n v="102"/>
    <x v="0"/>
    <d v="1899-12-30T00:04:30"/>
    <n v="4"/>
  </r>
  <r>
    <x v="4394"/>
    <s v="Diane"/>
    <x v="77"/>
    <d v="1899-12-30T12:27:22"/>
    <d v="2021-03-19T12:27:22"/>
    <x v="0"/>
    <x v="3"/>
    <x v="3"/>
    <x v="0"/>
    <s v="Y"/>
    <n v="93"/>
    <x v="0"/>
    <d v="1899-12-30T00:02:12"/>
    <n v="1"/>
  </r>
  <r>
    <x v="4395"/>
    <s v="Stewart"/>
    <x v="77"/>
    <d v="1899-12-30T12:27:22"/>
    <d v="2021-03-19T12:27:22"/>
    <x v="0"/>
    <x v="3"/>
    <x v="3"/>
    <x v="0"/>
    <s v="Y"/>
    <n v="28"/>
    <x v="0"/>
    <d v="1899-12-30T00:05:27"/>
    <n v="3"/>
  </r>
  <r>
    <x v="4396"/>
    <s v="Jim"/>
    <x v="77"/>
    <d v="1899-12-30T12:59:02"/>
    <d v="2021-03-19T12:59:02"/>
    <x v="0"/>
    <x v="3"/>
    <x v="2"/>
    <x v="1"/>
    <s v="N"/>
    <m/>
    <x v="0"/>
    <m/>
    <m/>
  </r>
  <r>
    <x v="4397"/>
    <s v="Martha"/>
    <x v="77"/>
    <d v="1899-12-30T12:59:02"/>
    <d v="2021-03-19T12:59:02"/>
    <x v="0"/>
    <x v="3"/>
    <x v="4"/>
    <x v="1"/>
    <s v="N"/>
    <m/>
    <x v="0"/>
    <m/>
    <m/>
  </r>
  <r>
    <x v="4398"/>
    <s v="Joe"/>
    <x v="77"/>
    <d v="1899-12-30T12:59:02"/>
    <d v="2021-03-19T12:59:02"/>
    <x v="0"/>
    <x v="3"/>
    <x v="1"/>
    <x v="0"/>
    <s v="N"/>
    <n v="123"/>
    <x v="0"/>
    <d v="1899-12-30T00:00:46"/>
    <n v="4"/>
  </r>
  <r>
    <x v="4399"/>
    <s v="Greg"/>
    <x v="77"/>
    <d v="1899-12-30T12:59:02"/>
    <d v="2021-03-19T12:59:02"/>
    <x v="0"/>
    <x v="3"/>
    <x v="3"/>
    <x v="0"/>
    <s v="Y"/>
    <n v="112"/>
    <x v="0"/>
    <d v="1899-12-30T00:04:09"/>
    <n v="4"/>
  </r>
  <r>
    <x v="4400"/>
    <s v="Stewart"/>
    <x v="77"/>
    <d v="1899-12-30T13:07:41"/>
    <d v="2021-03-19T13:07:41"/>
    <x v="0"/>
    <x v="4"/>
    <x v="0"/>
    <x v="0"/>
    <s v="Y"/>
    <n v="12"/>
    <x v="1"/>
    <d v="1899-12-30T00:01:16"/>
    <n v="3"/>
  </r>
  <r>
    <x v="4401"/>
    <s v="Dan"/>
    <x v="77"/>
    <d v="1899-12-30T13:07:41"/>
    <d v="2021-03-19T13:07:41"/>
    <x v="0"/>
    <x v="4"/>
    <x v="0"/>
    <x v="0"/>
    <s v="Y"/>
    <n v="107"/>
    <x v="0"/>
    <d v="1899-12-30T00:06:01"/>
    <n v="4"/>
  </r>
  <r>
    <x v="4402"/>
    <s v="Diane"/>
    <x v="77"/>
    <d v="1899-12-30T13:55:12"/>
    <d v="2021-03-19T13:55:12"/>
    <x v="0"/>
    <x v="4"/>
    <x v="1"/>
    <x v="0"/>
    <s v="Y"/>
    <n v="97"/>
    <x v="0"/>
    <d v="1899-12-30T00:03:38"/>
    <n v="2"/>
  </r>
  <r>
    <x v="4403"/>
    <s v="Joe"/>
    <x v="77"/>
    <d v="1899-12-30T13:55:12"/>
    <d v="2021-03-19T13:55:12"/>
    <x v="0"/>
    <x v="4"/>
    <x v="0"/>
    <x v="1"/>
    <s v="N"/>
    <m/>
    <x v="0"/>
    <m/>
    <m/>
  </r>
  <r>
    <x v="4404"/>
    <s v="Joe"/>
    <x v="77"/>
    <d v="1899-12-30T14:18:14"/>
    <d v="2021-03-19T14:18:14"/>
    <x v="0"/>
    <x v="5"/>
    <x v="3"/>
    <x v="1"/>
    <s v="N"/>
    <m/>
    <x v="0"/>
    <m/>
    <m/>
  </r>
  <r>
    <x v="4405"/>
    <s v="Diane"/>
    <x v="77"/>
    <d v="1899-12-30T14:18:14"/>
    <d v="2021-03-19T14:18:14"/>
    <x v="0"/>
    <x v="5"/>
    <x v="3"/>
    <x v="0"/>
    <s v="Y"/>
    <n v="98"/>
    <x v="0"/>
    <d v="1899-12-30T00:06:47"/>
    <n v="4"/>
  </r>
  <r>
    <x v="4406"/>
    <s v="Jim"/>
    <x v="77"/>
    <d v="1899-12-30T15:21:36"/>
    <d v="2021-03-19T15:21:36"/>
    <x v="0"/>
    <x v="6"/>
    <x v="4"/>
    <x v="0"/>
    <s v="Y"/>
    <n v="96"/>
    <x v="0"/>
    <d v="1899-12-30T00:05:49"/>
    <n v="2"/>
  </r>
  <r>
    <x v="4407"/>
    <s v="Diane"/>
    <x v="77"/>
    <d v="1899-12-30T15:21:36"/>
    <d v="2021-03-19T15:21:36"/>
    <x v="0"/>
    <x v="6"/>
    <x v="2"/>
    <x v="1"/>
    <s v="N"/>
    <m/>
    <x v="0"/>
    <m/>
    <m/>
  </r>
  <r>
    <x v="4408"/>
    <s v="Joe"/>
    <x v="77"/>
    <d v="1899-12-30T15:24:29"/>
    <d v="2021-03-19T15:24:29"/>
    <x v="0"/>
    <x v="6"/>
    <x v="2"/>
    <x v="0"/>
    <s v="Y"/>
    <n v="60"/>
    <x v="0"/>
    <d v="1899-12-30T00:01:17"/>
    <n v="1"/>
  </r>
  <r>
    <x v="4409"/>
    <s v="Joe"/>
    <x v="77"/>
    <d v="1899-12-30T15:24:29"/>
    <d v="2021-03-19T15:24:29"/>
    <x v="0"/>
    <x v="6"/>
    <x v="0"/>
    <x v="0"/>
    <s v="Y"/>
    <n v="115"/>
    <x v="0"/>
    <d v="1899-12-30T00:04:56"/>
    <n v="3"/>
  </r>
  <r>
    <x v="4410"/>
    <s v="Martha"/>
    <x v="77"/>
    <d v="1899-12-30T15:28:48"/>
    <d v="2021-03-19T15:28:48"/>
    <x v="0"/>
    <x v="6"/>
    <x v="0"/>
    <x v="0"/>
    <s v="Y"/>
    <n v="86"/>
    <x v="0"/>
    <d v="1899-12-30T00:02:17"/>
    <n v="4"/>
  </r>
  <r>
    <x v="4411"/>
    <s v="Martha"/>
    <x v="77"/>
    <d v="1899-12-30T15:28:48"/>
    <d v="2021-03-19T15:28:48"/>
    <x v="0"/>
    <x v="6"/>
    <x v="2"/>
    <x v="0"/>
    <s v="Y"/>
    <n v="99"/>
    <x v="0"/>
    <d v="1899-12-30T00:02:10"/>
    <n v="2"/>
  </r>
  <r>
    <x v="4412"/>
    <s v="Greg"/>
    <x v="77"/>
    <d v="1899-12-30T15:34:34"/>
    <d v="2021-03-19T15:34:34"/>
    <x v="0"/>
    <x v="6"/>
    <x v="3"/>
    <x v="0"/>
    <s v="N"/>
    <n v="55"/>
    <x v="0"/>
    <d v="1899-12-30T00:03:31"/>
    <n v="4"/>
  </r>
  <r>
    <x v="4413"/>
    <s v="Joe"/>
    <x v="77"/>
    <d v="1899-12-30T15:34:34"/>
    <d v="2021-03-19T15:34:34"/>
    <x v="0"/>
    <x v="6"/>
    <x v="4"/>
    <x v="0"/>
    <s v="N"/>
    <n v="100"/>
    <x v="0"/>
    <d v="1899-12-30T00:01:32"/>
    <n v="2"/>
  </r>
  <r>
    <x v="4414"/>
    <s v="Becky"/>
    <x v="77"/>
    <d v="1899-12-30T16:27:50"/>
    <d v="2021-03-19T16:27:50"/>
    <x v="0"/>
    <x v="8"/>
    <x v="0"/>
    <x v="0"/>
    <s v="Y"/>
    <n v="101"/>
    <x v="0"/>
    <d v="1899-12-30T00:01:24"/>
    <n v="4"/>
  </r>
  <r>
    <x v="4415"/>
    <s v="Joe"/>
    <x v="77"/>
    <d v="1899-12-30T16:27:50"/>
    <d v="2021-03-19T16:27:50"/>
    <x v="0"/>
    <x v="8"/>
    <x v="2"/>
    <x v="0"/>
    <s v="Y"/>
    <n v="105"/>
    <x v="0"/>
    <d v="1899-12-30T00:06:19"/>
    <n v="5"/>
  </r>
  <r>
    <x v="4416"/>
    <s v="Stewart"/>
    <x v="77"/>
    <d v="1899-12-30T16:33:36"/>
    <d v="2021-03-19T16:33:36"/>
    <x v="0"/>
    <x v="8"/>
    <x v="2"/>
    <x v="1"/>
    <s v="N"/>
    <m/>
    <x v="0"/>
    <m/>
    <m/>
  </r>
  <r>
    <x v="4417"/>
    <s v="Greg"/>
    <x v="77"/>
    <d v="1899-12-30T16:33:36"/>
    <d v="2021-03-19T16:33:36"/>
    <x v="0"/>
    <x v="8"/>
    <x v="0"/>
    <x v="0"/>
    <s v="Y"/>
    <n v="47"/>
    <x v="0"/>
    <d v="1899-12-30T00:06:54"/>
    <n v="4"/>
  </r>
  <r>
    <x v="4418"/>
    <s v="Greg"/>
    <x v="77"/>
    <d v="1899-12-30T16:43:41"/>
    <d v="2021-03-19T16:43:41"/>
    <x v="0"/>
    <x v="8"/>
    <x v="3"/>
    <x v="0"/>
    <s v="Y"/>
    <n v="123"/>
    <x v="0"/>
    <d v="1899-12-30T00:02:40"/>
    <n v="3"/>
  </r>
  <r>
    <x v="4419"/>
    <s v="Jim"/>
    <x v="77"/>
    <d v="1899-12-30T16:43:41"/>
    <d v="2021-03-19T16:43:41"/>
    <x v="0"/>
    <x v="8"/>
    <x v="4"/>
    <x v="0"/>
    <s v="N"/>
    <n v="108"/>
    <x v="0"/>
    <d v="1899-12-30T00:04:39"/>
    <n v="3"/>
  </r>
  <r>
    <x v="4420"/>
    <s v="Stewart"/>
    <x v="78"/>
    <d v="1899-12-30T09:05:46"/>
    <d v="2021-03-20T09:05:46"/>
    <x v="1"/>
    <x v="0"/>
    <x v="3"/>
    <x v="1"/>
    <s v="N"/>
    <m/>
    <x v="0"/>
    <m/>
    <m/>
  </r>
  <r>
    <x v="4421"/>
    <s v="Martha"/>
    <x v="78"/>
    <d v="1899-12-30T09:05:46"/>
    <d v="2021-03-20T09:05:46"/>
    <x v="1"/>
    <x v="0"/>
    <x v="1"/>
    <x v="0"/>
    <s v="Y"/>
    <n v="35"/>
    <x v="0"/>
    <d v="1899-12-30T00:01:07"/>
    <n v="5"/>
  </r>
  <r>
    <x v="4422"/>
    <s v="Jim"/>
    <x v="78"/>
    <d v="1899-12-30T09:57:36"/>
    <d v="2021-03-20T09:57:36"/>
    <x v="1"/>
    <x v="0"/>
    <x v="1"/>
    <x v="0"/>
    <s v="Y"/>
    <n v="80"/>
    <x v="0"/>
    <d v="1899-12-30T00:03:07"/>
    <n v="5"/>
  </r>
  <r>
    <x v="4423"/>
    <s v="Dan"/>
    <x v="78"/>
    <d v="1899-12-30T09:57:36"/>
    <d v="2021-03-20T09:57:36"/>
    <x v="1"/>
    <x v="0"/>
    <x v="1"/>
    <x v="0"/>
    <s v="Y"/>
    <n v="16"/>
    <x v="1"/>
    <d v="1899-12-30T00:02:55"/>
    <n v="5"/>
  </r>
  <r>
    <x v="4424"/>
    <s v="Dan"/>
    <x v="78"/>
    <d v="1899-12-30T10:17:46"/>
    <d v="2021-03-20T10:17:46"/>
    <x v="1"/>
    <x v="1"/>
    <x v="3"/>
    <x v="0"/>
    <s v="Y"/>
    <n v="102"/>
    <x v="0"/>
    <d v="1899-12-30T00:06:15"/>
    <n v="3"/>
  </r>
  <r>
    <x v="4425"/>
    <s v="Stewart"/>
    <x v="78"/>
    <d v="1899-12-30T10:17:46"/>
    <d v="2021-03-20T10:17:46"/>
    <x v="1"/>
    <x v="1"/>
    <x v="4"/>
    <x v="1"/>
    <s v="N"/>
    <m/>
    <x v="0"/>
    <m/>
    <m/>
  </r>
  <r>
    <x v="4426"/>
    <s v="Joe"/>
    <x v="78"/>
    <d v="1899-12-30T10:19:12"/>
    <d v="2021-03-20T10:19:12"/>
    <x v="1"/>
    <x v="1"/>
    <x v="4"/>
    <x v="0"/>
    <s v="Y"/>
    <n v="111"/>
    <x v="0"/>
    <d v="1899-12-30T00:06:16"/>
    <n v="3"/>
  </r>
  <r>
    <x v="4427"/>
    <s v="Becky"/>
    <x v="78"/>
    <d v="1899-12-30T10:19:12"/>
    <d v="2021-03-20T10:19:12"/>
    <x v="1"/>
    <x v="1"/>
    <x v="2"/>
    <x v="0"/>
    <s v="Y"/>
    <n v="81"/>
    <x v="0"/>
    <d v="1899-12-30T00:04:45"/>
    <n v="4"/>
  </r>
  <r>
    <x v="4428"/>
    <s v="Diane"/>
    <x v="78"/>
    <d v="1899-12-30T10:42:14"/>
    <d v="2021-03-20T10:42:14"/>
    <x v="1"/>
    <x v="1"/>
    <x v="0"/>
    <x v="1"/>
    <s v="N"/>
    <m/>
    <x v="0"/>
    <m/>
    <m/>
  </r>
  <r>
    <x v="4429"/>
    <s v="Martha"/>
    <x v="78"/>
    <d v="1899-12-30T10:42:14"/>
    <d v="2021-03-20T10:42:14"/>
    <x v="1"/>
    <x v="1"/>
    <x v="1"/>
    <x v="0"/>
    <s v="Y"/>
    <n v="32"/>
    <x v="0"/>
    <d v="1899-12-30T00:00:36"/>
    <n v="5"/>
  </r>
  <r>
    <x v="4430"/>
    <s v="Dan"/>
    <x v="78"/>
    <d v="1899-12-30T11:12:29"/>
    <d v="2021-03-20T11:12:29"/>
    <x v="1"/>
    <x v="2"/>
    <x v="2"/>
    <x v="1"/>
    <s v="N"/>
    <m/>
    <x v="0"/>
    <m/>
    <m/>
  </r>
  <r>
    <x v="4431"/>
    <s v="Diane"/>
    <x v="78"/>
    <d v="1899-12-30T11:12:29"/>
    <d v="2021-03-20T11:12:29"/>
    <x v="1"/>
    <x v="2"/>
    <x v="4"/>
    <x v="0"/>
    <s v="Y"/>
    <n v="52"/>
    <x v="0"/>
    <d v="1899-12-30T00:03:14"/>
    <n v="3"/>
  </r>
  <r>
    <x v="4432"/>
    <s v="Martha"/>
    <x v="78"/>
    <d v="1899-12-30T11:25:26"/>
    <d v="2021-03-20T11:25:26"/>
    <x v="1"/>
    <x v="2"/>
    <x v="1"/>
    <x v="0"/>
    <s v="Y"/>
    <n v="112"/>
    <x v="0"/>
    <d v="1899-12-30T00:03:11"/>
    <n v="5"/>
  </r>
  <r>
    <x v="4433"/>
    <s v="Becky"/>
    <x v="78"/>
    <d v="1899-12-30T11:25:26"/>
    <d v="2021-03-20T11:25:26"/>
    <x v="1"/>
    <x v="2"/>
    <x v="1"/>
    <x v="0"/>
    <s v="Y"/>
    <n v="30"/>
    <x v="0"/>
    <d v="1899-12-30T00:06:15"/>
    <n v="3"/>
  </r>
  <r>
    <x v="4434"/>
    <s v="Becky"/>
    <x v="78"/>
    <d v="1899-12-30T11:47:02"/>
    <d v="2021-03-20T11:47:02"/>
    <x v="1"/>
    <x v="2"/>
    <x v="3"/>
    <x v="0"/>
    <s v="Y"/>
    <n v="91"/>
    <x v="0"/>
    <d v="1899-12-30T00:01:59"/>
    <n v="1"/>
  </r>
  <r>
    <x v="4435"/>
    <s v="Greg"/>
    <x v="78"/>
    <d v="1899-12-30T11:47:02"/>
    <d v="2021-03-20T11:47:02"/>
    <x v="1"/>
    <x v="2"/>
    <x v="4"/>
    <x v="0"/>
    <s v="Y"/>
    <n v="53"/>
    <x v="0"/>
    <d v="1899-12-30T00:05:15"/>
    <n v="3"/>
  </r>
  <r>
    <x v="4436"/>
    <s v="Becky"/>
    <x v="78"/>
    <d v="1899-12-30T11:55:41"/>
    <d v="2021-03-20T11:55:41"/>
    <x v="1"/>
    <x v="2"/>
    <x v="0"/>
    <x v="1"/>
    <s v="N"/>
    <m/>
    <x v="0"/>
    <m/>
    <m/>
  </r>
  <r>
    <x v="4437"/>
    <s v="Diane"/>
    <x v="78"/>
    <d v="1899-12-30T11:55:41"/>
    <d v="2021-03-20T11:55:41"/>
    <x v="1"/>
    <x v="2"/>
    <x v="0"/>
    <x v="1"/>
    <s v="N"/>
    <m/>
    <x v="0"/>
    <m/>
    <m/>
  </r>
  <r>
    <x v="4438"/>
    <s v="Jim"/>
    <x v="78"/>
    <d v="1899-12-30T12:12:58"/>
    <d v="2021-03-20T12:12:58"/>
    <x v="1"/>
    <x v="3"/>
    <x v="1"/>
    <x v="0"/>
    <s v="Y"/>
    <n v="40"/>
    <x v="0"/>
    <d v="1899-12-30T00:05:02"/>
    <n v="3"/>
  </r>
  <r>
    <x v="4439"/>
    <s v="Diane"/>
    <x v="78"/>
    <d v="1899-12-30T12:12:58"/>
    <d v="2021-03-20T12:12:58"/>
    <x v="1"/>
    <x v="3"/>
    <x v="0"/>
    <x v="0"/>
    <s v="Y"/>
    <n v="45"/>
    <x v="0"/>
    <d v="1899-12-30T00:05:46"/>
    <n v="5"/>
  </r>
  <r>
    <x v="4440"/>
    <s v="Jim"/>
    <x v="78"/>
    <d v="1899-12-30T12:24:29"/>
    <d v="2021-03-20T12:24:29"/>
    <x v="1"/>
    <x v="3"/>
    <x v="4"/>
    <x v="1"/>
    <s v="N"/>
    <m/>
    <x v="0"/>
    <m/>
    <m/>
  </r>
  <r>
    <x v="4441"/>
    <s v="Stewart"/>
    <x v="78"/>
    <d v="1899-12-30T12:24:29"/>
    <d v="2021-03-20T12:24:29"/>
    <x v="1"/>
    <x v="3"/>
    <x v="3"/>
    <x v="0"/>
    <s v="Y"/>
    <n v="89"/>
    <x v="0"/>
    <d v="1899-12-30T00:03:37"/>
    <n v="2"/>
  </r>
  <r>
    <x v="4442"/>
    <s v="Becky"/>
    <x v="78"/>
    <d v="1899-12-30T13:07:41"/>
    <d v="2021-03-20T13:07:41"/>
    <x v="1"/>
    <x v="4"/>
    <x v="1"/>
    <x v="0"/>
    <s v="Y"/>
    <n v="24"/>
    <x v="0"/>
    <d v="1899-12-30T00:01:50"/>
    <n v="5"/>
  </r>
  <r>
    <x v="4443"/>
    <s v="Diane"/>
    <x v="78"/>
    <d v="1899-12-30T13:07:41"/>
    <d v="2021-03-20T13:07:41"/>
    <x v="1"/>
    <x v="4"/>
    <x v="1"/>
    <x v="0"/>
    <s v="Y"/>
    <n v="76"/>
    <x v="0"/>
    <d v="1899-12-30T00:05:04"/>
    <n v="3"/>
  </r>
  <r>
    <x v="4444"/>
    <s v="Greg"/>
    <x v="78"/>
    <d v="1899-12-30T13:12:00"/>
    <d v="2021-03-20T13:12:00"/>
    <x v="1"/>
    <x v="4"/>
    <x v="4"/>
    <x v="0"/>
    <s v="Y"/>
    <n v="27"/>
    <x v="0"/>
    <d v="1899-12-30T00:04:17"/>
    <n v="2"/>
  </r>
  <r>
    <x v="4445"/>
    <s v="Stewart"/>
    <x v="78"/>
    <d v="1899-12-30T13:12:00"/>
    <d v="2021-03-20T13:12:00"/>
    <x v="1"/>
    <x v="4"/>
    <x v="0"/>
    <x v="0"/>
    <s v="N"/>
    <n v="27"/>
    <x v="0"/>
    <d v="1899-12-30T00:02:31"/>
    <n v="4"/>
  </r>
  <r>
    <x v="4446"/>
    <s v="Diane"/>
    <x v="78"/>
    <d v="1899-12-30T13:42:14"/>
    <d v="2021-03-20T13:42:14"/>
    <x v="1"/>
    <x v="4"/>
    <x v="0"/>
    <x v="0"/>
    <s v="Y"/>
    <n v="104"/>
    <x v="0"/>
    <d v="1899-12-30T00:05:32"/>
    <n v="2"/>
  </r>
  <r>
    <x v="4447"/>
    <s v="Diane"/>
    <x v="78"/>
    <d v="1899-12-30T13:42:14"/>
    <d v="2021-03-20T13:42:14"/>
    <x v="1"/>
    <x v="4"/>
    <x v="3"/>
    <x v="0"/>
    <s v="Y"/>
    <n v="110"/>
    <x v="0"/>
    <d v="1899-12-30T00:03:29"/>
    <n v="1"/>
  </r>
  <r>
    <x v="4448"/>
    <s v="Joe"/>
    <x v="78"/>
    <d v="1899-12-30T13:46:34"/>
    <d v="2021-03-20T13:46:34"/>
    <x v="1"/>
    <x v="4"/>
    <x v="0"/>
    <x v="0"/>
    <s v="Y"/>
    <n v="51"/>
    <x v="0"/>
    <d v="1899-12-30T00:05:11"/>
    <n v="4"/>
  </r>
  <r>
    <x v="4449"/>
    <s v="Dan"/>
    <x v="78"/>
    <d v="1899-12-30T13:46:34"/>
    <d v="2021-03-20T13:46:34"/>
    <x v="1"/>
    <x v="4"/>
    <x v="0"/>
    <x v="0"/>
    <s v="Y"/>
    <n v="65"/>
    <x v="0"/>
    <d v="1899-12-30T00:05:49"/>
    <n v="2"/>
  </r>
  <r>
    <x v="4450"/>
    <s v="Greg"/>
    <x v="78"/>
    <d v="1899-12-30T14:26:53"/>
    <d v="2021-03-20T14:26:53"/>
    <x v="1"/>
    <x v="5"/>
    <x v="3"/>
    <x v="0"/>
    <s v="Y"/>
    <n v="21"/>
    <x v="0"/>
    <d v="1899-12-30T00:03:12"/>
    <n v="4"/>
  </r>
  <r>
    <x v="4451"/>
    <s v="Becky"/>
    <x v="78"/>
    <d v="1899-12-30T14:26:53"/>
    <d v="2021-03-20T14:26:53"/>
    <x v="1"/>
    <x v="5"/>
    <x v="4"/>
    <x v="0"/>
    <s v="Y"/>
    <n v="29"/>
    <x v="0"/>
    <d v="1899-12-30T00:01:13"/>
    <n v="3"/>
  </r>
  <r>
    <x v="4452"/>
    <s v="Diane"/>
    <x v="78"/>
    <d v="1899-12-30T15:23:02"/>
    <d v="2021-03-20T15:23:02"/>
    <x v="1"/>
    <x v="6"/>
    <x v="2"/>
    <x v="1"/>
    <s v="N"/>
    <m/>
    <x v="0"/>
    <m/>
    <m/>
  </r>
  <r>
    <x v="4453"/>
    <s v="Joe"/>
    <x v="78"/>
    <d v="1899-12-30T15:23:02"/>
    <d v="2021-03-20T15:23:02"/>
    <x v="1"/>
    <x v="6"/>
    <x v="1"/>
    <x v="1"/>
    <s v="N"/>
    <m/>
    <x v="0"/>
    <m/>
    <m/>
  </r>
  <r>
    <x v="4454"/>
    <s v="Stewart"/>
    <x v="78"/>
    <d v="1899-12-30T15:41:46"/>
    <d v="2021-03-20T15:41:46"/>
    <x v="1"/>
    <x v="6"/>
    <x v="0"/>
    <x v="0"/>
    <s v="Y"/>
    <n v="124"/>
    <x v="0"/>
    <d v="1899-12-30T00:03:03"/>
    <n v="4"/>
  </r>
  <r>
    <x v="4455"/>
    <s v="Greg"/>
    <x v="78"/>
    <d v="1899-12-30T15:41:46"/>
    <d v="2021-03-20T15:41:46"/>
    <x v="1"/>
    <x v="6"/>
    <x v="4"/>
    <x v="0"/>
    <s v="Y"/>
    <n v="21"/>
    <x v="0"/>
    <d v="1899-12-30T00:04:24"/>
    <n v="1"/>
  </r>
  <r>
    <x v="4456"/>
    <s v="Martha"/>
    <x v="78"/>
    <d v="1899-12-30T15:43:12"/>
    <d v="2021-03-20T15:43:12"/>
    <x v="1"/>
    <x v="6"/>
    <x v="3"/>
    <x v="0"/>
    <s v="Y"/>
    <n v="121"/>
    <x v="0"/>
    <d v="1899-12-30T00:02:18"/>
    <n v="3"/>
  </r>
  <r>
    <x v="4457"/>
    <s v="Becky"/>
    <x v="78"/>
    <d v="1899-12-30T15:43:12"/>
    <d v="2021-03-20T15:43:12"/>
    <x v="1"/>
    <x v="6"/>
    <x v="1"/>
    <x v="1"/>
    <s v="N"/>
    <m/>
    <x v="0"/>
    <m/>
    <m/>
  </r>
  <r>
    <x v="4458"/>
    <s v="Dan"/>
    <x v="78"/>
    <d v="1899-12-30T15:43:12"/>
    <d v="2021-03-20T15:43:12"/>
    <x v="1"/>
    <x v="6"/>
    <x v="2"/>
    <x v="0"/>
    <s v="Y"/>
    <n v="56"/>
    <x v="0"/>
    <d v="1899-12-30T00:02:47"/>
    <n v="2"/>
  </r>
  <r>
    <x v="4459"/>
    <s v="Greg"/>
    <x v="78"/>
    <d v="1899-12-30T15:43:12"/>
    <d v="2021-03-20T15:43:12"/>
    <x v="1"/>
    <x v="6"/>
    <x v="0"/>
    <x v="0"/>
    <s v="Y"/>
    <n v="10"/>
    <x v="1"/>
    <d v="1899-12-30T00:06:13"/>
    <n v="3"/>
  </r>
  <r>
    <x v="4460"/>
    <s v="Martha"/>
    <x v="78"/>
    <d v="1899-12-30T15:44:38"/>
    <d v="2021-03-20T15:44:38"/>
    <x v="1"/>
    <x v="6"/>
    <x v="2"/>
    <x v="0"/>
    <s v="Y"/>
    <n v="56"/>
    <x v="0"/>
    <d v="1899-12-30T00:02:52"/>
    <n v="4"/>
  </r>
  <r>
    <x v="4461"/>
    <s v="Joe"/>
    <x v="78"/>
    <d v="1899-12-30T15:44:38"/>
    <d v="2021-03-20T15:44:38"/>
    <x v="1"/>
    <x v="6"/>
    <x v="2"/>
    <x v="1"/>
    <s v="N"/>
    <m/>
    <x v="0"/>
    <m/>
    <m/>
  </r>
  <r>
    <x v="4462"/>
    <s v="Jim"/>
    <x v="78"/>
    <d v="1899-12-30T15:56:10"/>
    <d v="2021-03-20T15:56:10"/>
    <x v="1"/>
    <x v="6"/>
    <x v="1"/>
    <x v="0"/>
    <s v="Y"/>
    <n v="17"/>
    <x v="1"/>
    <d v="1899-12-30T00:00:31"/>
    <n v="3"/>
  </r>
  <r>
    <x v="4463"/>
    <s v="Martha"/>
    <x v="78"/>
    <d v="1899-12-30T15:56:10"/>
    <d v="2021-03-20T15:56:10"/>
    <x v="1"/>
    <x v="6"/>
    <x v="0"/>
    <x v="0"/>
    <s v="Y"/>
    <n v="37"/>
    <x v="0"/>
    <d v="1899-12-30T00:00:50"/>
    <n v="5"/>
  </r>
  <r>
    <x v="4464"/>
    <s v="Becky"/>
    <x v="78"/>
    <d v="1899-12-30T16:06:14"/>
    <d v="2021-03-20T16:06:14"/>
    <x v="1"/>
    <x v="8"/>
    <x v="4"/>
    <x v="0"/>
    <s v="Y"/>
    <n v="108"/>
    <x v="0"/>
    <d v="1899-12-30T00:01:06"/>
    <n v="5"/>
  </r>
  <r>
    <x v="4465"/>
    <s v="Diane"/>
    <x v="78"/>
    <d v="1899-12-30T16:06:14"/>
    <d v="2021-03-20T16:06:14"/>
    <x v="1"/>
    <x v="8"/>
    <x v="1"/>
    <x v="0"/>
    <s v="Y"/>
    <n v="18"/>
    <x v="1"/>
    <d v="1899-12-30T00:05:43"/>
    <n v="5"/>
  </r>
  <r>
    <x v="4466"/>
    <s v="Martha"/>
    <x v="78"/>
    <d v="1899-12-30T16:50:53"/>
    <d v="2021-03-20T16:50:53"/>
    <x v="1"/>
    <x v="8"/>
    <x v="4"/>
    <x v="1"/>
    <s v="N"/>
    <m/>
    <x v="0"/>
    <m/>
    <m/>
  </r>
  <r>
    <x v="4467"/>
    <s v="Martha"/>
    <x v="78"/>
    <d v="1899-12-30T16:50:53"/>
    <d v="2021-03-20T16:50:53"/>
    <x v="1"/>
    <x v="8"/>
    <x v="4"/>
    <x v="0"/>
    <s v="Y"/>
    <n v="77"/>
    <x v="0"/>
    <d v="1899-12-30T00:04:43"/>
    <n v="4"/>
  </r>
  <r>
    <x v="4468"/>
    <s v="Diane"/>
    <x v="78"/>
    <d v="1899-12-30T17:32:38"/>
    <d v="2021-03-20T17:32:38"/>
    <x v="1"/>
    <x v="7"/>
    <x v="4"/>
    <x v="0"/>
    <s v="Y"/>
    <n v="34"/>
    <x v="0"/>
    <d v="1899-12-30T00:04:31"/>
    <n v="1"/>
  </r>
  <r>
    <x v="4469"/>
    <s v="Greg"/>
    <x v="78"/>
    <d v="1899-12-30T17:32:38"/>
    <d v="2021-03-20T17:32:38"/>
    <x v="1"/>
    <x v="7"/>
    <x v="0"/>
    <x v="0"/>
    <s v="Y"/>
    <n v="73"/>
    <x v="0"/>
    <d v="1899-12-30T00:01:42"/>
    <n v="3"/>
  </r>
  <r>
    <x v="4470"/>
    <s v="Martha"/>
    <x v="78"/>
    <d v="1899-12-30T17:44:10"/>
    <d v="2021-03-20T17:44:10"/>
    <x v="1"/>
    <x v="7"/>
    <x v="4"/>
    <x v="1"/>
    <s v="N"/>
    <m/>
    <x v="0"/>
    <m/>
    <m/>
  </r>
  <r>
    <x v="4471"/>
    <s v="Greg"/>
    <x v="78"/>
    <d v="1899-12-30T17:44:10"/>
    <d v="2021-03-20T17:44:10"/>
    <x v="1"/>
    <x v="7"/>
    <x v="3"/>
    <x v="0"/>
    <s v="Y"/>
    <n v="120"/>
    <x v="0"/>
    <d v="1899-12-30T00:02:42"/>
    <n v="3"/>
  </r>
  <r>
    <x v="4472"/>
    <s v="Stewart"/>
    <x v="78"/>
    <d v="1899-12-30T17:57:07"/>
    <d v="2021-03-20T17:57:07"/>
    <x v="1"/>
    <x v="7"/>
    <x v="1"/>
    <x v="0"/>
    <s v="Y"/>
    <n v="100"/>
    <x v="0"/>
    <d v="1899-12-30T00:05:17"/>
    <n v="1"/>
  </r>
  <r>
    <x v="4473"/>
    <s v="Martha"/>
    <x v="78"/>
    <d v="1899-12-30T17:57:07"/>
    <d v="2021-03-20T17:57:07"/>
    <x v="1"/>
    <x v="7"/>
    <x v="2"/>
    <x v="0"/>
    <s v="Y"/>
    <n v="93"/>
    <x v="0"/>
    <d v="1899-12-30T00:06:18"/>
    <n v="4"/>
  </r>
  <r>
    <x v="4474"/>
    <s v="Diane"/>
    <x v="78"/>
    <d v="1899-12-30T17:58:34"/>
    <d v="2021-03-20T17:58:34"/>
    <x v="1"/>
    <x v="7"/>
    <x v="4"/>
    <x v="0"/>
    <s v="N"/>
    <n v="17"/>
    <x v="1"/>
    <d v="1899-12-30T00:00:49"/>
    <n v="4"/>
  </r>
  <r>
    <x v="4475"/>
    <s v="Stewart"/>
    <x v="78"/>
    <d v="1899-12-30T17:58:34"/>
    <d v="2021-03-20T17:58:34"/>
    <x v="1"/>
    <x v="7"/>
    <x v="2"/>
    <x v="0"/>
    <s v="Y"/>
    <n v="17"/>
    <x v="1"/>
    <d v="1899-12-30T00:05:09"/>
    <n v="2"/>
  </r>
  <r>
    <x v="4476"/>
    <s v="Jim"/>
    <x v="79"/>
    <d v="1899-12-30T09:01:26"/>
    <d v="2021-03-21T09:01:26"/>
    <x v="2"/>
    <x v="0"/>
    <x v="0"/>
    <x v="0"/>
    <s v="Y"/>
    <n v="56"/>
    <x v="0"/>
    <d v="1899-12-30T00:04:25"/>
    <n v="2"/>
  </r>
  <r>
    <x v="4477"/>
    <s v="Diane"/>
    <x v="79"/>
    <d v="1899-12-30T09:01:26"/>
    <d v="2021-03-21T09:01:26"/>
    <x v="2"/>
    <x v="0"/>
    <x v="3"/>
    <x v="1"/>
    <s v="N"/>
    <m/>
    <x v="0"/>
    <m/>
    <m/>
  </r>
  <r>
    <x v="4478"/>
    <s v="Dan"/>
    <x v="79"/>
    <d v="1899-12-30T09:04:19"/>
    <d v="2021-03-21T09:04:19"/>
    <x v="2"/>
    <x v="0"/>
    <x v="0"/>
    <x v="0"/>
    <s v="Y"/>
    <n v="97"/>
    <x v="0"/>
    <d v="1899-12-30T00:02:39"/>
    <n v="2"/>
  </r>
  <r>
    <x v="4479"/>
    <s v="Stewart"/>
    <x v="79"/>
    <d v="1899-12-30T09:04:19"/>
    <d v="2021-03-21T09:04:19"/>
    <x v="2"/>
    <x v="0"/>
    <x v="4"/>
    <x v="0"/>
    <s v="Y"/>
    <n v="25"/>
    <x v="0"/>
    <d v="1899-12-30T00:06:20"/>
    <n v="4"/>
  </r>
  <r>
    <x v="4480"/>
    <s v="Diane"/>
    <x v="79"/>
    <d v="1899-12-30T09:27:22"/>
    <d v="2021-03-21T09:27:22"/>
    <x v="2"/>
    <x v="0"/>
    <x v="1"/>
    <x v="0"/>
    <s v="Y"/>
    <n v="47"/>
    <x v="0"/>
    <d v="1899-12-30T00:02:50"/>
    <n v="4"/>
  </r>
  <r>
    <x v="4481"/>
    <s v="Jim"/>
    <x v="79"/>
    <d v="1899-12-30T09:27:22"/>
    <d v="2021-03-21T09:27:22"/>
    <x v="2"/>
    <x v="0"/>
    <x v="2"/>
    <x v="0"/>
    <s v="Y"/>
    <n v="70"/>
    <x v="0"/>
    <d v="1899-12-30T00:01:55"/>
    <n v="3"/>
  </r>
  <r>
    <x v="4482"/>
    <s v="Greg"/>
    <x v="79"/>
    <d v="1899-12-30T10:01:55"/>
    <d v="2021-03-21T10:01:55"/>
    <x v="2"/>
    <x v="1"/>
    <x v="1"/>
    <x v="0"/>
    <s v="Y"/>
    <n v="86"/>
    <x v="0"/>
    <d v="1899-12-30T00:03:07"/>
    <n v="3"/>
  </r>
  <r>
    <x v="4483"/>
    <s v="Stewart"/>
    <x v="79"/>
    <d v="1899-12-30T10:01:55"/>
    <d v="2021-03-21T10:01:55"/>
    <x v="2"/>
    <x v="1"/>
    <x v="0"/>
    <x v="0"/>
    <s v="Y"/>
    <n v="92"/>
    <x v="0"/>
    <d v="1899-12-30T00:04:09"/>
    <n v="5"/>
  </r>
  <r>
    <x v="4484"/>
    <s v="Greg"/>
    <x v="79"/>
    <d v="1899-12-30T10:35:02"/>
    <d v="2021-03-21T10:35:02"/>
    <x v="2"/>
    <x v="1"/>
    <x v="3"/>
    <x v="0"/>
    <s v="Y"/>
    <n v="122"/>
    <x v="0"/>
    <d v="1899-12-30T00:01:28"/>
    <n v="3"/>
  </r>
  <r>
    <x v="4485"/>
    <s v="Diane"/>
    <x v="79"/>
    <d v="1899-12-30T10:35:02"/>
    <d v="2021-03-21T10:35:02"/>
    <x v="2"/>
    <x v="1"/>
    <x v="4"/>
    <x v="0"/>
    <s v="Y"/>
    <n v="11"/>
    <x v="1"/>
    <d v="1899-12-30T00:06:48"/>
    <n v="3"/>
  </r>
  <r>
    <x v="4486"/>
    <s v="Diane"/>
    <x v="79"/>
    <d v="1899-12-30T10:43:41"/>
    <d v="2021-03-21T10:43:41"/>
    <x v="2"/>
    <x v="1"/>
    <x v="1"/>
    <x v="0"/>
    <s v="Y"/>
    <n v="27"/>
    <x v="0"/>
    <d v="1899-12-30T00:06:08"/>
    <n v="3"/>
  </r>
  <r>
    <x v="4487"/>
    <s v="Greg"/>
    <x v="79"/>
    <d v="1899-12-30T10:43:41"/>
    <d v="2021-03-21T10:43:41"/>
    <x v="2"/>
    <x v="1"/>
    <x v="0"/>
    <x v="1"/>
    <s v="N"/>
    <m/>
    <x v="0"/>
    <m/>
    <m/>
  </r>
  <r>
    <x v="4488"/>
    <s v="Becky"/>
    <x v="79"/>
    <d v="1899-12-30T11:09:36"/>
    <d v="2021-03-21T11:09:36"/>
    <x v="2"/>
    <x v="2"/>
    <x v="2"/>
    <x v="0"/>
    <s v="Y"/>
    <n v="17"/>
    <x v="1"/>
    <d v="1899-12-30T00:01:58"/>
    <n v="4"/>
  </r>
  <r>
    <x v="4489"/>
    <s v="Greg"/>
    <x v="79"/>
    <d v="1899-12-30T11:09:36"/>
    <d v="2021-03-21T11:09:36"/>
    <x v="2"/>
    <x v="2"/>
    <x v="2"/>
    <x v="0"/>
    <s v="Y"/>
    <n v="113"/>
    <x v="0"/>
    <d v="1899-12-30T00:03:14"/>
    <n v="3"/>
  </r>
  <r>
    <x v="4490"/>
    <s v="Dan"/>
    <x v="79"/>
    <d v="1899-12-30T11:31:12"/>
    <d v="2021-03-21T11:31:12"/>
    <x v="2"/>
    <x v="2"/>
    <x v="2"/>
    <x v="1"/>
    <s v="N"/>
    <m/>
    <x v="0"/>
    <m/>
    <m/>
  </r>
  <r>
    <x v="4491"/>
    <s v="Becky"/>
    <x v="79"/>
    <d v="1899-12-30T11:31:12"/>
    <d v="2021-03-21T11:31:12"/>
    <x v="2"/>
    <x v="2"/>
    <x v="4"/>
    <x v="0"/>
    <s v="Y"/>
    <n v="101"/>
    <x v="0"/>
    <d v="1899-12-30T00:03:22"/>
    <n v="3"/>
  </r>
  <r>
    <x v="4492"/>
    <s v="Becky"/>
    <x v="79"/>
    <d v="1899-12-30T11:47:02"/>
    <d v="2021-03-21T11:47:02"/>
    <x v="2"/>
    <x v="2"/>
    <x v="0"/>
    <x v="0"/>
    <s v="Y"/>
    <n v="69"/>
    <x v="0"/>
    <d v="1899-12-30T00:02:34"/>
    <n v="1"/>
  </r>
  <r>
    <x v="4493"/>
    <s v="Stewart"/>
    <x v="79"/>
    <d v="1899-12-30T11:47:02"/>
    <d v="2021-03-21T11:47:02"/>
    <x v="2"/>
    <x v="2"/>
    <x v="1"/>
    <x v="0"/>
    <s v="Y"/>
    <n v="24"/>
    <x v="0"/>
    <d v="1899-12-30T00:03:57"/>
    <n v="3"/>
  </r>
  <r>
    <x v="4494"/>
    <s v="Becky"/>
    <x v="79"/>
    <d v="1899-12-30T11:55:41"/>
    <d v="2021-03-21T11:55:41"/>
    <x v="2"/>
    <x v="2"/>
    <x v="1"/>
    <x v="0"/>
    <s v="Y"/>
    <n v="84"/>
    <x v="0"/>
    <d v="1899-12-30T00:02:00"/>
    <n v="4"/>
  </r>
  <r>
    <x v="4495"/>
    <s v="Greg"/>
    <x v="79"/>
    <d v="1899-12-30T11:55:41"/>
    <d v="2021-03-21T11:55:41"/>
    <x v="2"/>
    <x v="2"/>
    <x v="1"/>
    <x v="1"/>
    <s v="N"/>
    <m/>
    <x v="0"/>
    <m/>
    <m/>
  </r>
  <r>
    <x v="4496"/>
    <s v="Diane"/>
    <x v="79"/>
    <d v="1899-12-30T12:00:00"/>
    <d v="2021-03-21T12:00:00"/>
    <x v="2"/>
    <x v="3"/>
    <x v="2"/>
    <x v="1"/>
    <s v="N"/>
    <m/>
    <x v="0"/>
    <m/>
    <m/>
  </r>
  <r>
    <x v="4497"/>
    <s v="Diane"/>
    <x v="79"/>
    <d v="1899-12-30T12:00:00"/>
    <d v="2021-03-21T12:00:00"/>
    <x v="2"/>
    <x v="3"/>
    <x v="1"/>
    <x v="1"/>
    <s v="N"/>
    <m/>
    <x v="0"/>
    <m/>
    <m/>
  </r>
  <r>
    <x v="4498"/>
    <s v="Martha"/>
    <x v="79"/>
    <d v="1899-12-30T12:18:43"/>
    <d v="2021-03-21T12:18:43"/>
    <x v="2"/>
    <x v="3"/>
    <x v="4"/>
    <x v="0"/>
    <s v="Y"/>
    <n v="92"/>
    <x v="0"/>
    <d v="1899-12-30T00:04:10"/>
    <n v="3"/>
  </r>
  <r>
    <x v="4499"/>
    <s v="Joe"/>
    <x v="79"/>
    <d v="1899-12-30T12:18:43"/>
    <d v="2021-03-21T12:18:43"/>
    <x v="2"/>
    <x v="3"/>
    <x v="3"/>
    <x v="1"/>
    <s v="N"/>
    <m/>
    <x v="0"/>
    <m/>
    <m/>
  </r>
  <r>
    <x v="4500"/>
    <s v="Stewart"/>
    <x v="79"/>
    <d v="1899-12-30T12:53:17"/>
    <d v="2021-03-21T12:53:17"/>
    <x v="2"/>
    <x v="3"/>
    <x v="2"/>
    <x v="1"/>
    <s v="N"/>
    <m/>
    <x v="0"/>
    <m/>
    <m/>
  </r>
  <r>
    <x v="4501"/>
    <s v="Diane"/>
    <x v="79"/>
    <d v="1899-12-30T12:53:17"/>
    <d v="2021-03-21T12:53:17"/>
    <x v="2"/>
    <x v="3"/>
    <x v="4"/>
    <x v="0"/>
    <s v="Y"/>
    <n v="114"/>
    <x v="0"/>
    <d v="1899-12-30T00:03:55"/>
    <n v="2"/>
  </r>
  <r>
    <x v="4502"/>
    <s v="Diane"/>
    <x v="79"/>
    <d v="1899-12-30T12:53:17"/>
    <d v="2021-03-21T12:53:17"/>
    <x v="2"/>
    <x v="3"/>
    <x v="2"/>
    <x v="0"/>
    <s v="Y"/>
    <n v="109"/>
    <x v="0"/>
    <d v="1899-12-30T00:04:39"/>
    <n v="3"/>
  </r>
  <r>
    <x v="4503"/>
    <s v="Diane"/>
    <x v="79"/>
    <d v="1899-12-30T12:53:17"/>
    <d v="2021-03-21T12:53:17"/>
    <x v="2"/>
    <x v="3"/>
    <x v="1"/>
    <x v="0"/>
    <s v="Y"/>
    <n v="89"/>
    <x v="0"/>
    <d v="1899-12-30T00:02:31"/>
    <n v="3"/>
  </r>
  <r>
    <x v="4504"/>
    <s v="Dan"/>
    <x v="79"/>
    <d v="1899-12-30T13:09:07"/>
    <d v="2021-03-21T13:09:07"/>
    <x v="2"/>
    <x v="4"/>
    <x v="2"/>
    <x v="0"/>
    <s v="Y"/>
    <n v="124"/>
    <x v="0"/>
    <d v="1899-12-30T00:03:38"/>
    <n v="3"/>
  </r>
  <r>
    <x v="4505"/>
    <s v="Martha"/>
    <x v="79"/>
    <d v="1899-12-30T13:09:07"/>
    <d v="2021-03-21T13:09:07"/>
    <x v="2"/>
    <x v="4"/>
    <x v="4"/>
    <x v="0"/>
    <s v="Y"/>
    <n v="43"/>
    <x v="0"/>
    <d v="1899-12-30T00:01:07"/>
    <n v="5"/>
  </r>
  <r>
    <x v="4506"/>
    <s v="Dan"/>
    <x v="79"/>
    <d v="1899-12-30T13:30:43"/>
    <d v="2021-03-21T13:30:43"/>
    <x v="2"/>
    <x v="4"/>
    <x v="0"/>
    <x v="0"/>
    <s v="Y"/>
    <n v="110"/>
    <x v="0"/>
    <d v="1899-12-30T00:05:20"/>
    <n v="5"/>
  </r>
  <r>
    <x v="4507"/>
    <s v="Becky"/>
    <x v="79"/>
    <d v="1899-12-30T13:30:43"/>
    <d v="2021-03-21T13:30:43"/>
    <x v="2"/>
    <x v="4"/>
    <x v="4"/>
    <x v="0"/>
    <s v="Y"/>
    <n v="31"/>
    <x v="0"/>
    <d v="1899-12-30T00:03:19"/>
    <n v="4"/>
  </r>
  <r>
    <x v="4508"/>
    <s v="Stewart"/>
    <x v="79"/>
    <d v="1899-12-30T13:49:26"/>
    <d v="2021-03-21T13:49:26"/>
    <x v="2"/>
    <x v="4"/>
    <x v="2"/>
    <x v="1"/>
    <s v="N"/>
    <m/>
    <x v="0"/>
    <m/>
    <m/>
  </r>
  <r>
    <x v="4509"/>
    <s v="Diane"/>
    <x v="79"/>
    <d v="1899-12-30T13:49:26"/>
    <d v="2021-03-21T13:49:26"/>
    <x v="2"/>
    <x v="4"/>
    <x v="3"/>
    <x v="1"/>
    <s v="N"/>
    <m/>
    <x v="0"/>
    <m/>
    <m/>
  </r>
  <r>
    <x v="4510"/>
    <s v="Diane"/>
    <x v="79"/>
    <d v="1899-12-30T14:12:29"/>
    <d v="2021-03-21T14:12:29"/>
    <x v="2"/>
    <x v="5"/>
    <x v="4"/>
    <x v="0"/>
    <s v="Y"/>
    <n v="17"/>
    <x v="1"/>
    <d v="1899-12-30T00:04:48"/>
    <n v="3"/>
  </r>
  <r>
    <x v="4511"/>
    <s v="Becky"/>
    <x v="79"/>
    <d v="1899-12-30T14:12:29"/>
    <d v="2021-03-21T14:12:29"/>
    <x v="2"/>
    <x v="5"/>
    <x v="0"/>
    <x v="0"/>
    <s v="Y"/>
    <n v="111"/>
    <x v="0"/>
    <d v="1899-12-30T00:05:25"/>
    <n v="3"/>
  </r>
  <r>
    <x v="4512"/>
    <s v="Diane"/>
    <x v="79"/>
    <d v="1899-12-30T14:16:48"/>
    <d v="2021-03-21T14:16:48"/>
    <x v="2"/>
    <x v="5"/>
    <x v="3"/>
    <x v="0"/>
    <s v="Y"/>
    <n v="10"/>
    <x v="1"/>
    <d v="1899-12-30T00:03:21"/>
    <n v="2"/>
  </r>
  <r>
    <x v="4513"/>
    <s v="Stewart"/>
    <x v="79"/>
    <d v="1899-12-30T14:16:48"/>
    <d v="2021-03-21T14:16:48"/>
    <x v="2"/>
    <x v="5"/>
    <x v="0"/>
    <x v="0"/>
    <s v="Y"/>
    <n v="121"/>
    <x v="0"/>
    <d v="1899-12-30T00:01:29"/>
    <n v="1"/>
  </r>
  <r>
    <x v="4514"/>
    <s v="Dan"/>
    <x v="79"/>
    <d v="1899-12-30T14:22:34"/>
    <d v="2021-03-21T14:22:34"/>
    <x v="2"/>
    <x v="5"/>
    <x v="2"/>
    <x v="0"/>
    <s v="Y"/>
    <n v="114"/>
    <x v="0"/>
    <d v="1899-12-30T00:01:58"/>
    <n v="4"/>
  </r>
  <r>
    <x v="4515"/>
    <s v="Greg"/>
    <x v="79"/>
    <d v="1899-12-30T14:22:34"/>
    <d v="2021-03-21T14:22:34"/>
    <x v="2"/>
    <x v="5"/>
    <x v="1"/>
    <x v="0"/>
    <s v="Y"/>
    <n v="49"/>
    <x v="0"/>
    <d v="1899-12-30T00:00:32"/>
    <n v="4"/>
  </r>
  <r>
    <x v="4516"/>
    <s v="Greg"/>
    <x v="79"/>
    <d v="1899-12-30T14:29:46"/>
    <d v="2021-03-21T14:29:46"/>
    <x v="2"/>
    <x v="5"/>
    <x v="3"/>
    <x v="0"/>
    <s v="Y"/>
    <n v="114"/>
    <x v="0"/>
    <d v="1899-12-30T00:03:25"/>
    <n v="1"/>
  </r>
  <r>
    <x v="4517"/>
    <s v="Jim"/>
    <x v="79"/>
    <d v="1899-12-30T14:29:46"/>
    <d v="2021-03-21T14:29:46"/>
    <x v="2"/>
    <x v="5"/>
    <x v="4"/>
    <x v="0"/>
    <s v="Y"/>
    <n v="75"/>
    <x v="0"/>
    <d v="1899-12-30T00:02:42"/>
    <n v="3"/>
  </r>
  <r>
    <x v="4518"/>
    <s v="Jim"/>
    <x v="79"/>
    <d v="1899-12-30T14:36:58"/>
    <d v="2021-03-21T14:36:58"/>
    <x v="2"/>
    <x v="5"/>
    <x v="2"/>
    <x v="0"/>
    <s v="N"/>
    <n v="42"/>
    <x v="0"/>
    <d v="1899-12-30T00:03:25"/>
    <n v="5"/>
  </r>
  <r>
    <x v="4519"/>
    <s v="Greg"/>
    <x v="79"/>
    <d v="1899-12-30T14:36:58"/>
    <d v="2021-03-21T14:36:58"/>
    <x v="2"/>
    <x v="5"/>
    <x v="2"/>
    <x v="0"/>
    <s v="Y"/>
    <n v="95"/>
    <x v="0"/>
    <d v="1899-12-30T00:04:57"/>
    <n v="3"/>
  </r>
  <r>
    <x v="4520"/>
    <s v="Stewart"/>
    <x v="79"/>
    <d v="1899-12-30T15:12:58"/>
    <d v="2021-03-21T15:12:58"/>
    <x v="2"/>
    <x v="6"/>
    <x v="3"/>
    <x v="0"/>
    <s v="Y"/>
    <n v="88"/>
    <x v="0"/>
    <d v="1899-12-30T00:06:25"/>
    <n v="3"/>
  </r>
  <r>
    <x v="4521"/>
    <s v="Joe"/>
    <x v="79"/>
    <d v="1899-12-30T15:12:58"/>
    <d v="2021-03-21T15:12:58"/>
    <x v="2"/>
    <x v="6"/>
    <x v="1"/>
    <x v="0"/>
    <s v="Y"/>
    <n v="51"/>
    <x v="0"/>
    <d v="1899-12-30T00:02:48"/>
    <n v="3"/>
  </r>
  <r>
    <x v="4522"/>
    <s v="Martha"/>
    <x v="79"/>
    <d v="1899-12-30T15:15:50"/>
    <d v="2021-03-21T15:15:50"/>
    <x v="2"/>
    <x v="6"/>
    <x v="0"/>
    <x v="0"/>
    <s v="Y"/>
    <n v="28"/>
    <x v="0"/>
    <d v="1899-12-30T00:00:49"/>
    <n v="1"/>
  </r>
  <r>
    <x v="4523"/>
    <s v="Diane"/>
    <x v="79"/>
    <d v="1899-12-30T15:15:50"/>
    <d v="2021-03-21T15:15:50"/>
    <x v="2"/>
    <x v="6"/>
    <x v="2"/>
    <x v="0"/>
    <s v="N"/>
    <n v="86"/>
    <x v="0"/>
    <d v="1899-12-30T00:06:14"/>
    <n v="4"/>
  </r>
  <r>
    <x v="4524"/>
    <s v="Diane"/>
    <x v="79"/>
    <d v="1899-12-30T15:24:29"/>
    <d v="2021-03-21T15:24:29"/>
    <x v="2"/>
    <x v="6"/>
    <x v="0"/>
    <x v="0"/>
    <s v="N"/>
    <n v="60"/>
    <x v="0"/>
    <d v="1899-12-30T00:03:18"/>
    <n v="4"/>
  </r>
  <r>
    <x v="4525"/>
    <s v="Joe"/>
    <x v="79"/>
    <d v="1899-12-30T15:24:29"/>
    <d v="2021-03-21T15:24:29"/>
    <x v="2"/>
    <x v="6"/>
    <x v="4"/>
    <x v="0"/>
    <s v="Y"/>
    <n v="60"/>
    <x v="0"/>
    <d v="1899-12-30T00:04:47"/>
    <n v="2"/>
  </r>
  <r>
    <x v="4526"/>
    <s v="Dan"/>
    <x v="79"/>
    <d v="1899-12-30T16:06:14"/>
    <d v="2021-03-21T16:06:14"/>
    <x v="2"/>
    <x v="8"/>
    <x v="2"/>
    <x v="0"/>
    <s v="Y"/>
    <n v="63"/>
    <x v="0"/>
    <d v="1899-12-30T00:01:51"/>
    <n v="4"/>
  </r>
  <r>
    <x v="4527"/>
    <s v="Joe"/>
    <x v="79"/>
    <d v="1899-12-30T16:06:14"/>
    <d v="2021-03-21T16:06:14"/>
    <x v="2"/>
    <x v="8"/>
    <x v="1"/>
    <x v="0"/>
    <s v="Y"/>
    <n v="23"/>
    <x v="0"/>
    <d v="1899-12-30T00:06:21"/>
    <n v="4"/>
  </r>
  <r>
    <x v="4528"/>
    <s v="Greg"/>
    <x v="79"/>
    <d v="1899-12-30T16:12:00"/>
    <d v="2021-03-21T16:12:00"/>
    <x v="2"/>
    <x v="8"/>
    <x v="1"/>
    <x v="1"/>
    <s v="N"/>
    <m/>
    <x v="0"/>
    <m/>
    <m/>
  </r>
  <r>
    <x v="4529"/>
    <s v="Becky"/>
    <x v="79"/>
    <d v="1899-12-30T16:12:00"/>
    <d v="2021-03-21T16:12:00"/>
    <x v="2"/>
    <x v="8"/>
    <x v="4"/>
    <x v="0"/>
    <s v="Y"/>
    <n v="100"/>
    <x v="0"/>
    <d v="1899-12-30T00:01:48"/>
    <n v="4"/>
  </r>
  <r>
    <x v="4530"/>
    <s v="Jim"/>
    <x v="79"/>
    <d v="1899-12-30T16:52:19"/>
    <d v="2021-03-21T16:52:19"/>
    <x v="2"/>
    <x v="8"/>
    <x v="3"/>
    <x v="0"/>
    <s v="Y"/>
    <n v="105"/>
    <x v="0"/>
    <d v="1899-12-30T00:00:32"/>
    <n v="4"/>
  </r>
  <r>
    <x v="4531"/>
    <s v="Greg"/>
    <x v="79"/>
    <d v="1899-12-30T16:52:19"/>
    <d v="2021-03-21T16:52:19"/>
    <x v="2"/>
    <x v="8"/>
    <x v="1"/>
    <x v="0"/>
    <s v="Y"/>
    <n v="29"/>
    <x v="0"/>
    <d v="1899-12-30T00:02:11"/>
    <n v="4"/>
  </r>
  <r>
    <x v="4532"/>
    <s v="Becky"/>
    <x v="79"/>
    <d v="1899-12-30T17:26:53"/>
    <d v="2021-03-21T17:26:53"/>
    <x v="2"/>
    <x v="7"/>
    <x v="3"/>
    <x v="1"/>
    <s v="N"/>
    <m/>
    <x v="0"/>
    <m/>
    <m/>
  </r>
  <r>
    <x v="4533"/>
    <s v="Stewart"/>
    <x v="79"/>
    <d v="1899-12-30T17:26:53"/>
    <d v="2021-03-21T17:26:53"/>
    <x v="2"/>
    <x v="7"/>
    <x v="2"/>
    <x v="0"/>
    <s v="N"/>
    <n v="98"/>
    <x v="0"/>
    <d v="1899-12-30T00:04:09"/>
    <n v="2"/>
  </r>
  <r>
    <x v="4534"/>
    <s v="Dan"/>
    <x v="79"/>
    <d v="1899-12-30T17:32:38"/>
    <d v="2021-03-21T17:32:38"/>
    <x v="2"/>
    <x v="7"/>
    <x v="0"/>
    <x v="0"/>
    <s v="Y"/>
    <n v="108"/>
    <x v="0"/>
    <d v="1899-12-30T00:05:28"/>
    <n v="4"/>
  </r>
  <r>
    <x v="4535"/>
    <s v="Becky"/>
    <x v="79"/>
    <d v="1899-12-30T17:32:38"/>
    <d v="2021-03-21T17:32:38"/>
    <x v="2"/>
    <x v="7"/>
    <x v="2"/>
    <x v="1"/>
    <s v="N"/>
    <m/>
    <x v="0"/>
    <m/>
    <m/>
  </r>
  <r>
    <x v="4536"/>
    <s v="Stewart"/>
    <x v="79"/>
    <d v="1899-12-30T17:42:43"/>
    <d v="2021-03-21T17:42:43"/>
    <x v="2"/>
    <x v="7"/>
    <x v="0"/>
    <x v="0"/>
    <s v="Y"/>
    <n v="116"/>
    <x v="0"/>
    <d v="1899-12-30T00:06:33"/>
    <n v="5"/>
  </r>
  <r>
    <x v="4537"/>
    <s v="Stewart"/>
    <x v="79"/>
    <d v="1899-12-30T17:42:43"/>
    <d v="2021-03-21T17:42:43"/>
    <x v="2"/>
    <x v="7"/>
    <x v="4"/>
    <x v="0"/>
    <s v="Y"/>
    <n v="78"/>
    <x v="0"/>
    <d v="1899-12-30T00:05:30"/>
    <n v="4"/>
  </r>
  <r>
    <x v="4538"/>
    <s v="Diane"/>
    <x v="80"/>
    <d v="1899-12-30T09:44:38"/>
    <d v="2021-03-22T09:44:38"/>
    <x v="3"/>
    <x v="0"/>
    <x v="2"/>
    <x v="1"/>
    <s v="N"/>
    <m/>
    <x v="0"/>
    <m/>
    <m/>
  </r>
  <r>
    <x v="4539"/>
    <s v="Greg"/>
    <x v="80"/>
    <d v="1899-12-30T09:44:38"/>
    <d v="2021-03-22T09:44:38"/>
    <x v="3"/>
    <x v="0"/>
    <x v="2"/>
    <x v="0"/>
    <s v="Y"/>
    <n v="81"/>
    <x v="0"/>
    <d v="1899-12-30T00:03:51"/>
    <n v="3"/>
  </r>
  <r>
    <x v="4540"/>
    <s v="Diane"/>
    <x v="80"/>
    <d v="1899-12-30T09:46:05"/>
    <d v="2021-03-22T09:46:05"/>
    <x v="3"/>
    <x v="0"/>
    <x v="4"/>
    <x v="0"/>
    <s v="Y"/>
    <n v="84"/>
    <x v="0"/>
    <d v="1899-12-30T00:00:53"/>
    <n v="2"/>
  </r>
  <r>
    <x v="4541"/>
    <s v="Stewart"/>
    <x v="80"/>
    <d v="1899-12-30T09:46:05"/>
    <d v="2021-03-22T09:46:05"/>
    <x v="3"/>
    <x v="0"/>
    <x v="0"/>
    <x v="0"/>
    <s v="Y"/>
    <n v="24"/>
    <x v="0"/>
    <d v="1899-12-30T00:05:34"/>
    <n v="4"/>
  </r>
  <r>
    <x v="4542"/>
    <s v="Dan"/>
    <x v="80"/>
    <d v="1899-12-30T10:03:22"/>
    <d v="2021-03-22T10:03:22"/>
    <x v="3"/>
    <x v="1"/>
    <x v="4"/>
    <x v="0"/>
    <s v="Y"/>
    <n v="114"/>
    <x v="0"/>
    <d v="1899-12-30T00:05:43"/>
    <n v="3"/>
  </r>
  <r>
    <x v="4543"/>
    <s v="Diane"/>
    <x v="80"/>
    <d v="1899-12-30T10:03:22"/>
    <d v="2021-03-22T10:03:22"/>
    <x v="3"/>
    <x v="1"/>
    <x v="0"/>
    <x v="1"/>
    <s v="N"/>
    <m/>
    <x v="0"/>
    <m/>
    <m/>
  </r>
  <r>
    <x v="4544"/>
    <s v="Greg"/>
    <x v="80"/>
    <d v="1899-12-30T10:07:41"/>
    <d v="2021-03-22T10:07:41"/>
    <x v="3"/>
    <x v="1"/>
    <x v="0"/>
    <x v="0"/>
    <s v="N"/>
    <n v="32"/>
    <x v="0"/>
    <d v="1899-12-30T00:03:11"/>
    <n v="5"/>
  </r>
  <r>
    <x v="4545"/>
    <s v="Martha"/>
    <x v="80"/>
    <d v="1899-12-30T10:07:41"/>
    <d v="2021-03-22T10:07:41"/>
    <x v="3"/>
    <x v="1"/>
    <x v="0"/>
    <x v="0"/>
    <s v="Y"/>
    <n v="16"/>
    <x v="1"/>
    <d v="1899-12-30T00:03:10"/>
    <n v="4"/>
  </r>
  <r>
    <x v="4546"/>
    <s v="Jim"/>
    <x v="80"/>
    <d v="1899-12-30T10:14:53"/>
    <d v="2021-03-22T10:14:53"/>
    <x v="3"/>
    <x v="1"/>
    <x v="3"/>
    <x v="0"/>
    <s v="N"/>
    <n v="104"/>
    <x v="0"/>
    <d v="1899-12-30T00:04:44"/>
    <n v="5"/>
  </r>
  <r>
    <x v="4547"/>
    <s v="Stewart"/>
    <x v="80"/>
    <d v="1899-12-30T10:14:53"/>
    <d v="2021-03-22T10:14:53"/>
    <x v="3"/>
    <x v="1"/>
    <x v="1"/>
    <x v="0"/>
    <s v="Y"/>
    <n v="40"/>
    <x v="0"/>
    <d v="1899-12-30T00:00:53"/>
    <n v="3"/>
  </r>
  <r>
    <x v="4548"/>
    <s v="Joe"/>
    <x v="80"/>
    <d v="1899-12-30T11:19:41"/>
    <d v="2021-03-22T11:19:41"/>
    <x v="3"/>
    <x v="2"/>
    <x v="0"/>
    <x v="0"/>
    <s v="Y"/>
    <n v="80"/>
    <x v="0"/>
    <d v="1899-12-30T00:02:47"/>
    <n v="4"/>
  </r>
  <r>
    <x v="4549"/>
    <s v="Jim"/>
    <x v="80"/>
    <d v="1899-12-30T11:19:41"/>
    <d v="2021-03-22T11:19:41"/>
    <x v="3"/>
    <x v="2"/>
    <x v="2"/>
    <x v="0"/>
    <s v="Y"/>
    <n v="88"/>
    <x v="0"/>
    <d v="1899-12-30T00:05:10"/>
    <n v="4"/>
  </r>
  <r>
    <x v="4550"/>
    <s v="Joe"/>
    <x v="80"/>
    <d v="1899-12-30T12:00:00"/>
    <d v="2021-03-22T12:00:00"/>
    <x v="3"/>
    <x v="3"/>
    <x v="3"/>
    <x v="0"/>
    <s v="Y"/>
    <n v="86"/>
    <x v="0"/>
    <d v="1899-12-30T00:03:39"/>
    <n v="3"/>
  </r>
  <r>
    <x v="4551"/>
    <s v="Martha"/>
    <x v="80"/>
    <d v="1899-12-30T12:00:00"/>
    <d v="2021-03-22T12:00:00"/>
    <x v="3"/>
    <x v="3"/>
    <x v="4"/>
    <x v="0"/>
    <s v="Y"/>
    <n v="57"/>
    <x v="0"/>
    <d v="1899-12-30T00:06:38"/>
    <n v="4"/>
  </r>
  <r>
    <x v="4552"/>
    <s v="Jim"/>
    <x v="80"/>
    <d v="1899-12-30T12:05:46"/>
    <d v="2021-03-22T12:05:46"/>
    <x v="3"/>
    <x v="3"/>
    <x v="0"/>
    <x v="0"/>
    <s v="Y"/>
    <n v="96"/>
    <x v="0"/>
    <d v="1899-12-30T00:06:10"/>
    <n v="5"/>
  </r>
  <r>
    <x v="4553"/>
    <s v="Jim"/>
    <x v="80"/>
    <d v="1899-12-30T12:05:46"/>
    <d v="2021-03-22T12:05:46"/>
    <x v="3"/>
    <x v="3"/>
    <x v="1"/>
    <x v="0"/>
    <s v="Y"/>
    <n v="72"/>
    <x v="0"/>
    <d v="1899-12-30T00:04:20"/>
    <n v="2"/>
  </r>
  <r>
    <x v="4554"/>
    <s v="Jim"/>
    <x v="80"/>
    <d v="1899-12-30T12:07:12"/>
    <d v="2021-03-22T12:07:12"/>
    <x v="3"/>
    <x v="3"/>
    <x v="3"/>
    <x v="0"/>
    <s v="Y"/>
    <n v="37"/>
    <x v="0"/>
    <d v="1899-12-30T00:01:16"/>
    <n v="5"/>
  </r>
  <r>
    <x v="4555"/>
    <s v="Jim"/>
    <x v="80"/>
    <d v="1899-12-30T12:07:12"/>
    <d v="2021-03-22T12:07:12"/>
    <x v="3"/>
    <x v="3"/>
    <x v="1"/>
    <x v="1"/>
    <s v="N"/>
    <m/>
    <x v="0"/>
    <m/>
    <m/>
  </r>
  <r>
    <x v="4556"/>
    <s v="Martha"/>
    <x v="80"/>
    <d v="1899-12-30T12:46:05"/>
    <d v="2021-03-22T12:46:05"/>
    <x v="3"/>
    <x v="3"/>
    <x v="1"/>
    <x v="0"/>
    <s v="Y"/>
    <n v="37"/>
    <x v="0"/>
    <d v="1899-12-30T00:00:32"/>
    <n v="1"/>
  </r>
  <r>
    <x v="4557"/>
    <s v="Becky"/>
    <x v="80"/>
    <d v="1899-12-30T12:46:05"/>
    <d v="2021-03-22T12:46:05"/>
    <x v="3"/>
    <x v="3"/>
    <x v="4"/>
    <x v="0"/>
    <s v="Y"/>
    <n v="10"/>
    <x v="1"/>
    <d v="1899-12-30T00:01:49"/>
    <n v="5"/>
  </r>
  <r>
    <x v="4558"/>
    <s v="Diane"/>
    <x v="80"/>
    <d v="1899-12-30T13:26:24"/>
    <d v="2021-03-22T13:26:24"/>
    <x v="3"/>
    <x v="4"/>
    <x v="3"/>
    <x v="1"/>
    <s v="N"/>
    <m/>
    <x v="0"/>
    <m/>
    <m/>
  </r>
  <r>
    <x v="4559"/>
    <s v="Dan"/>
    <x v="80"/>
    <d v="1899-12-30T13:26:24"/>
    <d v="2021-03-22T13:26:24"/>
    <x v="3"/>
    <x v="4"/>
    <x v="1"/>
    <x v="0"/>
    <s v="Y"/>
    <n v="120"/>
    <x v="0"/>
    <d v="1899-12-30T00:02:03"/>
    <n v="3"/>
  </r>
  <r>
    <x v="4560"/>
    <s v="Becky"/>
    <x v="80"/>
    <d v="1899-12-30T13:27:50"/>
    <d v="2021-03-22T13:27:50"/>
    <x v="3"/>
    <x v="4"/>
    <x v="0"/>
    <x v="0"/>
    <s v="Y"/>
    <n v="95"/>
    <x v="0"/>
    <d v="1899-12-30T00:04:04"/>
    <n v="4"/>
  </r>
  <r>
    <x v="4561"/>
    <s v="Jim"/>
    <x v="80"/>
    <d v="1899-12-30T13:27:50"/>
    <d v="2021-03-22T13:27:50"/>
    <x v="3"/>
    <x v="4"/>
    <x v="1"/>
    <x v="0"/>
    <s v="Y"/>
    <n v="74"/>
    <x v="0"/>
    <d v="1899-12-30T00:05:55"/>
    <n v="3"/>
  </r>
  <r>
    <x v="4562"/>
    <s v="Diane"/>
    <x v="80"/>
    <d v="1899-12-30T13:32:10"/>
    <d v="2021-03-22T13:32:10"/>
    <x v="3"/>
    <x v="4"/>
    <x v="0"/>
    <x v="1"/>
    <s v="N"/>
    <m/>
    <x v="0"/>
    <m/>
    <m/>
  </r>
  <r>
    <x v="4563"/>
    <s v="Diane"/>
    <x v="80"/>
    <d v="1899-12-30T13:32:10"/>
    <d v="2021-03-22T13:32:10"/>
    <x v="3"/>
    <x v="4"/>
    <x v="4"/>
    <x v="1"/>
    <s v="N"/>
    <m/>
    <x v="0"/>
    <m/>
    <m/>
  </r>
  <r>
    <x v="4564"/>
    <s v="Stewart"/>
    <x v="80"/>
    <d v="1899-12-30T13:43:41"/>
    <d v="2021-03-22T13:43:41"/>
    <x v="3"/>
    <x v="4"/>
    <x v="1"/>
    <x v="0"/>
    <s v="Y"/>
    <n v="77"/>
    <x v="0"/>
    <d v="1899-12-30T00:01:20"/>
    <n v="3"/>
  </r>
  <r>
    <x v="4565"/>
    <s v="Joe"/>
    <x v="80"/>
    <d v="1899-12-30T13:43:41"/>
    <d v="2021-03-22T13:43:41"/>
    <x v="3"/>
    <x v="4"/>
    <x v="1"/>
    <x v="0"/>
    <s v="Y"/>
    <n v="50"/>
    <x v="0"/>
    <d v="1899-12-30T00:03:31"/>
    <n v="4"/>
  </r>
  <r>
    <x v="4566"/>
    <s v="Diane"/>
    <x v="80"/>
    <d v="1899-12-30T14:13:55"/>
    <d v="2021-03-22T14:13:55"/>
    <x v="3"/>
    <x v="5"/>
    <x v="2"/>
    <x v="0"/>
    <s v="Y"/>
    <n v="94"/>
    <x v="0"/>
    <d v="1899-12-30T00:04:52"/>
    <n v="3"/>
  </r>
  <r>
    <x v="4567"/>
    <s v="Becky"/>
    <x v="80"/>
    <d v="1899-12-30T14:13:55"/>
    <d v="2021-03-22T14:13:55"/>
    <x v="3"/>
    <x v="5"/>
    <x v="1"/>
    <x v="0"/>
    <s v="Y"/>
    <n v="109"/>
    <x v="0"/>
    <d v="1899-12-30T00:03:09"/>
    <n v="2"/>
  </r>
  <r>
    <x v="4568"/>
    <s v="Dan"/>
    <x v="80"/>
    <d v="1899-12-30T14:48:29"/>
    <d v="2021-03-22T14:48:29"/>
    <x v="3"/>
    <x v="5"/>
    <x v="0"/>
    <x v="0"/>
    <s v="Y"/>
    <n v="30"/>
    <x v="0"/>
    <d v="1899-12-30T00:02:19"/>
    <n v="1"/>
  </r>
  <r>
    <x v="4569"/>
    <s v="Joe"/>
    <x v="80"/>
    <d v="1899-12-30T14:48:29"/>
    <d v="2021-03-22T14:48:29"/>
    <x v="3"/>
    <x v="5"/>
    <x v="3"/>
    <x v="0"/>
    <s v="Y"/>
    <n v="124"/>
    <x v="0"/>
    <d v="1899-12-30T00:05:27"/>
    <n v="4"/>
  </r>
  <r>
    <x v="4570"/>
    <s v="Becky"/>
    <x v="80"/>
    <d v="1899-12-30T14:51:22"/>
    <d v="2021-03-22T14:51:22"/>
    <x v="3"/>
    <x v="5"/>
    <x v="1"/>
    <x v="1"/>
    <s v="N"/>
    <m/>
    <x v="0"/>
    <m/>
    <m/>
  </r>
  <r>
    <x v="4571"/>
    <s v="Diane"/>
    <x v="80"/>
    <d v="1899-12-30T14:51:22"/>
    <d v="2021-03-22T14:51:22"/>
    <x v="3"/>
    <x v="5"/>
    <x v="0"/>
    <x v="1"/>
    <s v="N"/>
    <m/>
    <x v="0"/>
    <m/>
    <m/>
  </r>
  <r>
    <x v="4572"/>
    <s v="Joe"/>
    <x v="80"/>
    <d v="1899-12-30T15:25:55"/>
    <d v="2021-03-22T15:25:55"/>
    <x v="3"/>
    <x v="6"/>
    <x v="4"/>
    <x v="0"/>
    <s v="Y"/>
    <n v="114"/>
    <x v="0"/>
    <d v="1899-12-30T00:04:08"/>
    <n v="3"/>
  </r>
  <r>
    <x v="4573"/>
    <s v="Greg"/>
    <x v="80"/>
    <d v="1899-12-30T15:25:55"/>
    <d v="2021-03-22T15:25:55"/>
    <x v="3"/>
    <x v="6"/>
    <x v="1"/>
    <x v="0"/>
    <s v="Y"/>
    <n v="32"/>
    <x v="0"/>
    <d v="1899-12-30T00:05:00"/>
    <n v="4"/>
  </r>
  <r>
    <x v="4574"/>
    <s v="Martha"/>
    <x v="80"/>
    <d v="1899-12-30T15:41:46"/>
    <d v="2021-03-22T15:41:46"/>
    <x v="3"/>
    <x v="6"/>
    <x v="0"/>
    <x v="0"/>
    <s v="Y"/>
    <n v="75"/>
    <x v="0"/>
    <d v="1899-12-30T00:01:45"/>
    <n v="4"/>
  </r>
  <r>
    <x v="4575"/>
    <s v="Dan"/>
    <x v="80"/>
    <d v="1899-12-30T15:41:46"/>
    <d v="2021-03-22T15:41:46"/>
    <x v="3"/>
    <x v="6"/>
    <x v="0"/>
    <x v="0"/>
    <s v="N"/>
    <n v="109"/>
    <x v="0"/>
    <d v="1899-12-30T00:06:06"/>
    <n v="2"/>
  </r>
  <r>
    <x v="4576"/>
    <s v="Martha"/>
    <x v="80"/>
    <d v="1899-12-30T16:03:22"/>
    <d v="2021-03-22T16:03:22"/>
    <x v="3"/>
    <x v="8"/>
    <x v="4"/>
    <x v="0"/>
    <s v="Y"/>
    <n v="116"/>
    <x v="0"/>
    <d v="1899-12-30T00:02:42"/>
    <n v="3"/>
  </r>
  <r>
    <x v="4577"/>
    <s v="Dan"/>
    <x v="80"/>
    <d v="1899-12-30T16:03:22"/>
    <d v="2021-03-22T16:03:22"/>
    <x v="3"/>
    <x v="8"/>
    <x v="1"/>
    <x v="0"/>
    <s v="Y"/>
    <n v="26"/>
    <x v="0"/>
    <d v="1899-12-30T00:02:31"/>
    <n v="3"/>
  </r>
  <r>
    <x v="4578"/>
    <s v="Joe"/>
    <x v="80"/>
    <d v="1899-12-30T16:06:14"/>
    <d v="2021-03-22T16:06:14"/>
    <x v="3"/>
    <x v="8"/>
    <x v="3"/>
    <x v="0"/>
    <s v="Y"/>
    <n v="67"/>
    <x v="0"/>
    <d v="1899-12-30T00:06:03"/>
    <n v="4"/>
  </r>
  <r>
    <x v="4579"/>
    <s v="Stewart"/>
    <x v="80"/>
    <d v="1899-12-30T16:06:14"/>
    <d v="2021-03-22T16:06:14"/>
    <x v="3"/>
    <x v="8"/>
    <x v="3"/>
    <x v="0"/>
    <s v="N"/>
    <n v="58"/>
    <x v="0"/>
    <d v="1899-12-30T00:03:37"/>
    <n v="4"/>
  </r>
  <r>
    <x v="4580"/>
    <s v="Stewart"/>
    <x v="80"/>
    <d v="1899-12-30T16:24:58"/>
    <d v="2021-03-22T16:24:58"/>
    <x v="3"/>
    <x v="8"/>
    <x v="4"/>
    <x v="0"/>
    <s v="Y"/>
    <n v="20"/>
    <x v="1"/>
    <d v="1899-12-30T00:06:35"/>
    <n v="2"/>
  </r>
  <r>
    <x v="4581"/>
    <s v="Jim"/>
    <x v="80"/>
    <d v="1899-12-30T16:24:58"/>
    <d v="2021-03-22T16:24:58"/>
    <x v="3"/>
    <x v="8"/>
    <x v="1"/>
    <x v="0"/>
    <s v="Y"/>
    <n v="115"/>
    <x v="0"/>
    <d v="1899-12-30T00:04:49"/>
    <n v="1"/>
  </r>
  <r>
    <x v="4582"/>
    <s v="Stewart"/>
    <x v="80"/>
    <d v="1899-12-30T16:29:17"/>
    <d v="2021-03-22T16:29:17"/>
    <x v="3"/>
    <x v="8"/>
    <x v="3"/>
    <x v="0"/>
    <s v="N"/>
    <n v="35"/>
    <x v="0"/>
    <d v="1899-12-30T00:03:45"/>
    <n v="4"/>
  </r>
  <r>
    <x v="4583"/>
    <s v="Becky"/>
    <x v="80"/>
    <d v="1899-12-30T16:29:17"/>
    <d v="2021-03-22T16:29:17"/>
    <x v="3"/>
    <x v="8"/>
    <x v="1"/>
    <x v="0"/>
    <s v="Y"/>
    <n v="36"/>
    <x v="0"/>
    <d v="1899-12-30T00:02:11"/>
    <n v="4"/>
  </r>
  <r>
    <x v="4584"/>
    <s v="Greg"/>
    <x v="80"/>
    <d v="1899-12-30T16:49:26"/>
    <d v="2021-03-22T16:49:26"/>
    <x v="3"/>
    <x v="8"/>
    <x v="0"/>
    <x v="1"/>
    <s v="N"/>
    <m/>
    <x v="0"/>
    <m/>
    <m/>
  </r>
  <r>
    <x v="4585"/>
    <s v="Greg"/>
    <x v="80"/>
    <d v="1899-12-30T16:49:26"/>
    <d v="2021-03-22T16:49:26"/>
    <x v="3"/>
    <x v="8"/>
    <x v="2"/>
    <x v="0"/>
    <s v="Y"/>
    <n v="62"/>
    <x v="0"/>
    <d v="1899-12-30T00:01:17"/>
    <n v="1"/>
  </r>
  <r>
    <x v="4586"/>
    <s v="Dan"/>
    <x v="80"/>
    <d v="1899-12-30T17:39:50"/>
    <d v="2021-03-22T17:39:50"/>
    <x v="3"/>
    <x v="7"/>
    <x v="3"/>
    <x v="0"/>
    <s v="Y"/>
    <n v="37"/>
    <x v="0"/>
    <d v="1899-12-30T00:04:20"/>
    <n v="3"/>
  </r>
  <r>
    <x v="4587"/>
    <s v="Dan"/>
    <x v="80"/>
    <d v="1899-12-30T17:39:50"/>
    <d v="2021-03-22T17:39:50"/>
    <x v="3"/>
    <x v="7"/>
    <x v="2"/>
    <x v="1"/>
    <s v="N"/>
    <m/>
    <x v="0"/>
    <m/>
    <m/>
  </r>
  <r>
    <x v="4588"/>
    <s v="Martha"/>
    <x v="80"/>
    <d v="1899-12-30T17:48:29"/>
    <d v="2021-03-22T17:48:29"/>
    <x v="3"/>
    <x v="7"/>
    <x v="1"/>
    <x v="0"/>
    <s v="Y"/>
    <n v="124"/>
    <x v="0"/>
    <d v="1899-12-30T00:06:19"/>
    <n v="1"/>
  </r>
  <r>
    <x v="4589"/>
    <s v="Joe"/>
    <x v="80"/>
    <d v="1899-12-30T17:48:29"/>
    <d v="2021-03-22T17:48:29"/>
    <x v="3"/>
    <x v="7"/>
    <x v="3"/>
    <x v="0"/>
    <s v="Y"/>
    <n v="58"/>
    <x v="0"/>
    <d v="1899-12-30T00:06:15"/>
    <n v="5"/>
  </r>
  <r>
    <x v="4590"/>
    <s v="Becky"/>
    <x v="80"/>
    <d v="1899-12-30T17:58:34"/>
    <d v="2021-03-22T17:58:34"/>
    <x v="3"/>
    <x v="7"/>
    <x v="3"/>
    <x v="0"/>
    <s v="Y"/>
    <n v="77"/>
    <x v="0"/>
    <d v="1899-12-30T00:02:11"/>
    <n v="5"/>
  </r>
  <r>
    <x v="4591"/>
    <s v="Jim"/>
    <x v="80"/>
    <d v="1899-12-30T17:58:34"/>
    <d v="2021-03-22T17:58:34"/>
    <x v="3"/>
    <x v="7"/>
    <x v="1"/>
    <x v="0"/>
    <s v="Y"/>
    <n v="80"/>
    <x v="0"/>
    <d v="1899-12-30T00:01:08"/>
    <n v="4"/>
  </r>
  <r>
    <x v="4592"/>
    <s v="Martha"/>
    <x v="81"/>
    <d v="1899-12-30T09:18:43"/>
    <d v="2021-03-23T09:18:43"/>
    <x v="4"/>
    <x v="0"/>
    <x v="2"/>
    <x v="0"/>
    <s v="Y"/>
    <n v="51"/>
    <x v="0"/>
    <d v="1899-12-30T00:02:25"/>
    <n v="5"/>
  </r>
  <r>
    <x v="4593"/>
    <s v="Martha"/>
    <x v="81"/>
    <d v="1899-12-30T09:18:43"/>
    <d v="2021-03-23T09:18:43"/>
    <x v="4"/>
    <x v="0"/>
    <x v="4"/>
    <x v="0"/>
    <s v="Y"/>
    <n v="110"/>
    <x v="0"/>
    <d v="1899-12-30T00:04:19"/>
    <n v="3"/>
  </r>
  <r>
    <x v="4594"/>
    <s v="Becky"/>
    <x v="81"/>
    <d v="1899-12-30T09:47:31"/>
    <d v="2021-03-23T09:47:31"/>
    <x v="4"/>
    <x v="0"/>
    <x v="3"/>
    <x v="0"/>
    <s v="Y"/>
    <n v="112"/>
    <x v="0"/>
    <d v="1899-12-30T00:04:40"/>
    <n v="4"/>
  </r>
  <r>
    <x v="4595"/>
    <s v="Dan"/>
    <x v="81"/>
    <d v="1899-12-30T09:47:31"/>
    <d v="2021-03-23T09:47:31"/>
    <x v="4"/>
    <x v="0"/>
    <x v="1"/>
    <x v="0"/>
    <s v="Y"/>
    <n v="27"/>
    <x v="0"/>
    <d v="1899-12-30T00:00:42"/>
    <n v="5"/>
  </r>
  <r>
    <x v="4596"/>
    <s v="Dan"/>
    <x v="81"/>
    <d v="1899-12-30T11:22:34"/>
    <d v="2021-03-23T11:22:34"/>
    <x v="4"/>
    <x v="2"/>
    <x v="1"/>
    <x v="0"/>
    <s v="Y"/>
    <n v="53"/>
    <x v="0"/>
    <d v="1899-12-30T00:00:35"/>
    <n v="1"/>
  </r>
  <r>
    <x v="4597"/>
    <s v="Joe"/>
    <x v="81"/>
    <d v="1899-12-30T11:22:34"/>
    <d v="2021-03-23T11:22:34"/>
    <x v="4"/>
    <x v="2"/>
    <x v="1"/>
    <x v="0"/>
    <s v="Y"/>
    <n v="125"/>
    <x v="0"/>
    <d v="1899-12-30T00:03:52"/>
    <n v="3"/>
  </r>
  <r>
    <x v="4598"/>
    <s v="Joe"/>
    <x v="81"/>
    <d v="1899-12-30T11:45:36"/>
    <d v="2021-03-23T11:45:36"/>
    <x v="4"/>
    <x v="2"/>
    <x v="4"/>
    <x v="0"/>
    <s v="Y"/>
    <n v="13"/>
    <x v="1"/>
    <d v="1899-12-30T00:02:54"/>
    <n v="1"/>
  </r>
  <r>
    <x v="4599"/>
    <s v="Joe"/>
    <x v="81"/>
    <d v="1899-12-30T11:45:36"/>
    <d v="2021-03-23T11:45:36"/>
    <x v="4"/>
    <x v="2"/>
    <x v="0"/>
    <x v="0"/>
    <s v="Y"/>
    <n v="37"/>
    <x v="0"/>
    <d v="1899-12-30T00:02:44"/>
    <n v="4"/>
  </r>
  <r>
    <x v="4600"/>
    <s v="Martha"/>
    <x v="81"/>
    <d v="1899-12-30T12:27:22"/>
    <d v="2021-03-23T12:27:22"/>
    <x v="4"/>
    <x v="3"/>
    <x v="4"/>
    <x v="0"/>
    <s v="Y"/>
    <n v="84"/>
    <x v="0"/>
    <d v="1899-12-30T00:03:46"/>
    <n v="4"/>
  </r>
  <r>
    <x v="4601"/>
    <s v="Greg"/>
    <x v="81"/>
    <d v="1899-12-30T12:27:22"/>
    <d v="2021-03-23T12:27:22"/>
    <x v="4"/>
    <x v="3"/>
    <x v="1"/>
    <x v="1"/>
    <s v="N"/>
    <m/>
    <x v="0"/>
    <m/>
    <m/>
  </r>
  <r>
    <x v="4602"/>
    <s v="Martha"/>
    <x v="81"/>
    <d v="1899-12-30T12:38:53"/>
    <d v="2021-03-23T12:38:53"/>
    <x v="4"/>
    <x v="3"/>
    <x v="4"/>
    <x v="1"/>
    <s v="N"/>
    <m/>
    <x v="0"/>
    <m/>
    <m/>
  </r>
  <r>
    <x v="4603"/>
    <s v="Joe"/>
    <x v="81"/>
    <d v="1899-12-30T12:38:53"/>
    <d v="2021-03-23T12:38:53"/>
    <x v="4"/>
    <x v="3"/>
    <x v="3"/>
    <x v="0"/>
    <s v="Y"/>
    <n v="123"/>
    <x v="0"/>
    <d v="1899-12-30T00:03:06"/>
    <n v="3"/>
  </r>
  <r>
    <x v="4604"/>
    <s v="Martha"/>
    <x v="81"/>
    <d v="1899-12-30T13:03:22"/>
    <d v="2021-03-23T13:03:22"/>
    <x v="4"/>
    <x v="4"/>
    <x v="4"/>
    <x v="0"/>
    <s v="N"/>
    <n v="51"/>
    <x v="0"/>
    <d v="1899-12-30T00:05:31"/>
    <n v="3"/>
  </r>
  <r>
    <x v="4605"/>
    <s v="Greg"/>
    <x v="81"/>
    <d v="1899-12-30T13:03:22"/>
    <d v="2021-03-23T13:03:22"/>
    <x v="4"/>
    <x v="4"/>
    <x v="3"/>
    <x v="0"/>
    <s v="Y"/>
    <n v="69"/>
    <x v="0"/>
    <d v="1899-12-30T00:04:47"/>
    <n v="1"/>
  </r>
  <r>
    <x v="4606"/>
    <s v="Dan"/>
    <x v="81"/>
    <d v="1899-12-30T13:52:19"/>
    <d v="2021-03-23T13:52:19"/>
    <x v="4"/>
    <x v="4"/>
    <x v="4"/>
    <x v="0"/>
    <s v="Y"/>
    <n v="80"/>
    <x v="0"/>
    <d v="1899-12-30T00:03:00"/>
    <n v="1"/>
  </r>
  <r>
    <x v="4607"/>
    <s v="Greg"/>
    <x v="81"/>
    <d v="1899-12-30T13:52:19"/>
    <d v="2021-03-23T13:52:19"/>
    <x v="4"/>
    <x v="4"/>
    <x v="2"/>
    <x v="0"/>
    <s v="Y"/>
    <n v="111"/>
    <x v="0"/>
    <d v="1899-12-30T00:04:05"/>
    <n v="5"/>
  </r>
  <r>
    <x v="4608"/>
    <s v="Diane"/>
    <x v="81"/>
    <d v="1899-12-30T14:05:17"/>
    <d v="2021-03-23T14:05:17"/>
    <x v="4"/>
    <x v="5"/>
    <x v="3"/>
    <x v="0"/>
    <s v="Y"/>
    <n v="26"/>
    <x v="0"/>
    <d v="1899-12-30T00:05:58"/>
    <n v="4"/>
  </r>
  <r>
    <x v="4609"/>
    <s v="Dan"/>
    <x v="81"/>
    <d v="1899-12-30T14:05:17"/>
    <d v="2021-03-23T14:05:17"/>
    <x v="4"/>
    <x v="5"/>
    <x v="3"/>
    <x v="0"/>
    <s v="Y"/>
    <n v="29"/>
    <x v="0"/>
    <d v="1899-12-30T00:02:43"/>
    <n v="1"/>
  </r>
  <r>
    <x v="4610"/>
    <s v="Martha"/>
    <x v="81"/>
    <d v="1899-12-30T14:26:53"/>
    <d v="2021-03-23T14:26:53"/>
    <x v="4"/>
    <x v="5"/>
    <x v="4"/>
    <x v="1"/>
    <s v="N"/>
    <m/>
    <x v="0"/>
    <m/>
    <m/>
  </r>
  <r>
    <x v="4611"/>
    <s v="Becky"/>
    <x v="81"/>
    <d v="1899-12-30T14:26:53"/>
    <d v="2021-03-23T14:26:53"/>
    <x v="4"/>
    <x v="5"/>
    <x v="1"/>
    <x v="0"/>
    <s v="Y"/>
    <n v="43"/>
    <x v="0"/>
    <d v="1899-12-30T00:01:32"/>
    <n v="4"/>
  </r>
  <r>
    <x v="4612"/>
    <s v="Diane"/>
    <x v="81"/>
    <d v="1899-12-30T15:21:36"/>
    <d v="2021-03-23T15:21:36"/>
    <x v="4"/>
    <x v="6"/>
    <x v="1"/>
    <x v="0"/>
    <s v="Y"/>
    <n v="58"/>
    <x v="0"/>
    <d v="1899-12-30T00:04:56"/>
    <n v="3"/>
  </r>
  <r>
    <x v="4613"/>
    <s v="Jim"/>
    <x v="81"/>
    <d v="1899-12-30T15:21:36"/>
    <d v="2021-03-23T15:21:36"/>
    <x v="4"/>
    <x v="6"/>
    <x v="3"/>
    <x v="0"/>
    <s v="Y"/>
    <n v="27"/>
    <x v="0"/>
    <d v="1899-12-30T00:06:28"/>
    <n v="2"/>
  </r>
  <r>
    <x v="4614"/>
    <s v="Diane"/>
    <x v="81"/>
    <d v="1899-12-30T15:27:22"/>
    <d v="2021-03-23T15:27:22"/>
    <x v="4"/>
    <x v="6"/>
    <x v="3"/>
    <x v="0"/>
    <s v="Y"/>
    <n v="39"/>
    <x v="0"/>
    <d v="1899-12-30T00:01:55"/>
    <n v="4"/>
  </r>
  <r>
    <x v="4615"/>
    <s v="Joe"/>
    <x v="81"/>
    <d v="1899-12-30T15:27:22"/>
    <d v="2021-03-23T15:27:22"/>
    <x v="4"/>
    <x v="6"/>
    <x v="2"/>
    <x v="0"/>
    <s v="Y"/>
    <n v="83"/>
    <x v="0"/>
    <d v="1899-12-30T00:02:03"/>
    <n v="4"/>
  </r>
  <r>
    <x v="4616"/>
    <s v="Jim"/>
    <x v="81"/>
    <d v="1899-12-30T15:33:07"/>
    <d v="2021-03-23T15:33:07"/>
    <x v="4"/>
    <x v="6"/>
    <x v="0"/>
    <x v="0"/>
    <s v="Y"/>
    <n v="22"/>
    <x v="0"/>
    <d v="1899-12-30T00:04:16"/>
    <n v="4"/>
  </r>
  <r>
    <x v="4617"/>
    <s v="Jim"/>
    <x v="81"/>
    <d v="1899-12-30T15:33:07"/>
    <d v="2021-03-23T15:33:07"/>
    <x v="4"/>
    <x v="6"/>
    <x v="0"/>
    <x v="0"/>
    <s v="Y"/>
    <n v="56"/>
    <x v="0"/>
    <d v="1899-12-30T00:02:07"/>
    <n v="5"/>
  </r>
  <r>
    <x v="4618"/>
    <s v="Martha"/>
    <x v="81"/>
    <d v="1899-12-30T16:20:38"/>
    <d v="2021-03-23T16:20:38"/>
    <x v="4"/>
    <x v="8"/>
    <x v="4"/>
    <x v="0"/>
    <s v="Y"/>
    <n v="98"/>
    <x v="0"/>
    <d v="1899-12-30T00:04:10"/>
    <n v="2"/>
  </r>
  <r>
    <x v="4619"/>
    <s v="Diane"/>
    <x v="81"/>
    <d v="1899-12-30T16:20:38"/>
    <d v="2021-03-23T16:20:38"/>
    <x v="4"/>
    <x v="8"/>
    <x v="4"/>
    <x v="1"/>
    <s v="N"/>
    <m/>
    <x v="0"/>
    <m/>
    <m/>
  </r>
  <r>
    <x v="4620"/>
    <s v="Greg"/>
    <x v="81"/>
    <d v="1899-12-30T16:24:58"/>
    <d v="2021-03-23T16:24:58"/>
    <x v="4"/>
    <x v="8"/>
    <x v="4"/>
    <x v="0"/>
    <s v="Y"/>
    <n v="101"/>
    <x v="0"/>
    <d v="1899-12-30T00:01:15"/>
    <n v="5"/>
  </r>
  <r>
    <x v="4621"/>
    <s v="Greg"/>
    <x v="81"/>
    <d v="1899-12-30T16:24:58"/>
    <d v="2021-03-23T16:24:58"/>
    <x v="4"/>
    <x v="8"/>
    <x v="4"/>
    <x v="1"/>
    <s v="N"/>
    <m/>
    <x v="0"/>
    <m/>
    <m/>
  </r>
  <r>
    <x v="4622"/>
    <s v="Dan"/>
    <x v="81"/>
    <d v="1899-12-30T16:33:36"/>
    <d v="2021-03-23T16:33:36"/>
    <x v="4"/>
    <x v="8"/>
    <x v="1"/>
    <x v="0"/>
    <s v="Y"/>
    <n v="93"/>
    <x v="0"/>
    <d v="1899-12-30T00:00:36"/>
    <n v="4"/>
  </r>
  <r>
    <x v="4623"/>
    <s v="Dan"/>
    <x v="81"/>
    <d v="1899-12-30T16:33:36"/>
    <d v="2021-03-23T16:33:36"/>
    <x v="4"/>
    <x v="8"/>
    <x v="2"/>
    <x v="0"/>
    <s v="Y"/>
    <n v="24"/>
    <x v="0"/>
    <d v="1899-12-30T00:02:57"/>
    <n v="4"/>
  </r>
  <r>
    <x v="4624"/>
    <s v="Diane"/>
    <x v="81"/>
    <d v="1899-12-30T16:39:22"/>
    <d v="2021-03-23T16:39:22"/>
    <x v="4"/>
    <x v="8"/>
    <x v="3"/>
    <x v="0"/>
    <s v="Y"/>
    <n v="58"/>
    <x v="0"/>
    <d v="1899-12-30T00:05:05"/>
    <n v="4"/>
  </r>
  <r>
    <x v="4625"/>
    <s v="Greg"/>
    <x v="81"/>
    <d v="1899-12-30T16:39:22"/>
    <d v="2021-03-23T16:39:22"/>
    <x v="4"/>
    <x v="8"/>
    <x v="2"/>
    <x v="0"/>
    <s v="Y"/>
    <n v="124"/>
    <x v="0"/>
    <d v="1899-12-30T00:01:49"/>
    <n v="4"/>
  </r>
  <r>
    <x v="4626"/>
    <s v="Dan"/>
    <x v="81"/>
    <d v="1899-12-30T16:39:22"/>
    <d v="2021-03-23T16:39:22"/>
    <x v="4"/>
    <x v="8"/>
    <x v="2"/>
    <x v="0"/>
    <s v="N"/>
    <n v="50"/>
    <x v="0"/>
    <d v="1899-12-30T00:04:42"/>
    <n v="2"/>
  </r>
  <r>
    <x v="4627"/>
    <s v="Martha"/>
    <x v="81"/>
    <d v="1899-12-30T16:39:22"/>
    <d v="2021-03-23T16:39:22"/>
    <x v="4"/>
    <x v="8"/>
    <x v="2"/>
    <x v="0"/>
    <s v="Y"/>
    <n v="74"/>
    <x v="0"/>
    <d v="1899-12-30T00:05:20"/>
    <n v="3"/>
  </r>
  <r>
    <x v="4628"/>
    <s v="Joe"/>
    <x v="81"/>
    <d v="1899-12-30T16:48:00"/>
    <d v="2021-03-23T16:48:00"/>
    <x v="4"/>
    <x v="8"/>
    <x v="3"/>
    <x v="0"/>
    <s v="Y"/>
    <n v="62"/>
    <x v="0"/>
    <d v="1899-12-30T00:00:45"/>
    <n v="4"/>
  </r>
  <r>
    <x v="4629"/>
    <s v="Joe"/>
    <x v="81"/>
    <d v="1899-12-30T16:48:00"/>
    <d v="2021-03-23T16:48:00"/>
    <x v="4"/>
    <x v="8"/>
    <x v="2"/>
    <x v="1"/>
    <s v="N"/>
    <m/>
    <x v="0"/>
    <m/>
    <m/>
  </r>
  <r>
    <x v="4630"/>
    <s v="Becky"/>
    <x v="81"/>
    <d v="1899-12-30T17:21:07"/>
    <d v="2021-03-23T17:21:07"/>
    <x v="4"/>
    <x v="7"/>
    <x v="2"/>
    <x v="0"/>
    <s v="Y"/>
    <n v="19"/>
    <x v="1"/>
    <d v="1899-12-30T00:03:48"/>
    <n v="3"/>
  </r>
  <r>
    <x v="4631"/>
    <s v="Dan"/>
    <x v="81"/>
    <d v="1899-12-30T17:21:07"/>
    <d v="2021-03-23T17:21:07"/>
    <x v="4"/>
    <x v="7"/>
    <x v="3"/>
    <x v="0"/>
    <s v="Y"/>
    <n v="65"/>
    <x v="0"/>
    <d v="1899-12-30T00:05:20"/>
    <n v="3"/>
  </r>
  <r>
    <x v="4632"/>
    <s v="Dan"/>
    <x v="81"/>
    <d v="1899-12-30T17:32:38"/>
    <d v="2021-03-23T17:32:38"/>
    <x v="4"/>
    <x v="7"/>
    <x v="0"/>
    <x v="0"/>
    <s v="Y"/>
    <n v="30"/>
    <x v="0"/>
    <d v="1899-12-30T00:03:00"/>
    <n v="3"/>
  </r>
  <r>
    <x v="4633"/>
    <s v="Stewart"/>
    <x v="81"/>
    <d v="1899-12-30T17:32:38"/>
    <d v="2021-03-23T17:32:38"/>
    <x v="4"/>
    <x v="7"/>
    <x v="3"/>
    <x v="0"/>
    <s v="Y"/>
    <n v="77"/>
    <x v="0"/>
    <d v="1899-12-30T00:00:42"/>
    <n v="4"/>
  </r>
  <r>
    <x v="4634"/>
    <s v="Joe"/>
    <x v="81"/>
    <d v="1899-12-30T17:39:50"/>
    <d v="2021-03-23T17:39:50"/>
    <x v="4"/>
    <x v="7"/>
    <x v="2"/>
    <x v="1"/>
    <s v="N"/>
    <m/>
    <x v="0"/>
    <m/>
    <m/>
  </r>
  <r>
    <x v="4635"/>
    <s v="Martha"/>
    <x v="81"/>
    <d v="1899-12-30T17:39:50"/>
    <d v="2021-03-23T17:39:50"/>
    <x v="4"/>
    <x v="7"/>
    <x v="2"/>
    <x v="0"/>
    <s v="N"/>
    <n v="98"/>
    <x v="0"/>
    <d v="1899-12-30T00:02:44"/>
    <n v="5"/>
  </r>
  <r>
    <x v="4636"/>
    <s v="Stewart"/>
    <x v="81"/>
    <d v="1899-12-30T17:54:14"/>
    <d v="2021-03-23T17:54:14"/>
    <x v="4"/>
    <x v="7"/>
    <x v="3"/>
    <x v="0"/>
    <s v="Y"/>
    <n v="70"/>
    <x v="0"/>
    <d v="1899-12-30T00:04:41"/>
    <n v="1"/>
  </r>
  <r>
    <x v="4637"/>
    <s v="Joe"/>
    <x v="81"/>
    <d v="1899-12-30T17:54:14"/>
    <d v="2021-03-23T17:54:14"/>
    <x v="4"/>
    <x v="7"/>
    <x v="0"/>
    <x v="0"/>
    <s v="Y"/>
    <n v="58"/>
    <x v="0"/>
    <d v="1899-12-30T00:02:25"/>
    <n v="3"/>
  </r>
  <r>
    <x v="4638"/>
    <s v="Dan"/>
    <x v="82"/>
    <d v="1899-12-30T09:00:00"/>
    <d v="2021-03-24T09:00:00"/>
    <x v="5"/>
    <x v="0"/>
    <x v="1"/>
    <x v="0"/>
    <s v="Y"/>
    <n v="21"/>
    <x v="0"/>
    <d v="1899-12-30T00:02:34"/>
    <n v="3"/>
  </r>
  <r>
    <x v="4639"/>
    <s v="Dan"/>
    <x v="82"/>
    <d v="1899-12-30T09:00:00"/>
    <d v="2021-03-24T09:00:00"/>
    <x v="5"/>
    <x v="0"/>
    <x v="2"/>
    <x v="0"/>
    <s v="Y"/>
    <n v="61"/>
    <x v="0"/>
    <d v="1899-12-30T00:05:47"/>
    <n v="5"/>
  </r>
  <r>
    <x v="4640"/>
    <s v="Jim"/>
    <x v="82"/>
    <d v="1899-12-30T09:12:58"/>
    <d v="2021-03-24T09:12:58"/>
    <x v="5"/>
    <x v="0"/>
    <x v="0"/>
    <x v="0"/>
    <s v="Y"/>
    <n v="111"/>
    <x v="0"/>
    <d v="1899-12-30T00:06:41"/>
    <n v="5"/>
  </r>
  <r>
    <x v="4641"/>
    <s v="Dan"/>
    <x v="82"/>
    <d v="1899-12-30T09:12:58"/>
    <d v="2021-03-24T09:12:58"/>
    <x v="5"/>
    <x v="0"/>
    <x v="4"/>
    <x v="0"/>
    <s v="Y"/>
    <n v="75"/>
    <x v="0"/>
    <d v="1899-12-30T00:05:39"/>
    <n v="4"/>
  </r>
  <r>
    <x v="4642"/>
    <s v="Greg"/>
    <x v="82"/>
    <d v="1899-12-30T09:37:26"/>
    <d v="2021-03-24T09:37:26"/>
    <x v="5"/>
    <x v="0"/>
    <x v="3"/>
    <x v="1"/>
    <s v="N"/>
    <m/>
    <x v="0"/>
    <m/>
    <m/>
  </r>
  <r>
    <x v="4643"/>
    <s v="Greg"/>
    <x v="82"/>
    <d v="1899-12-30T09:37:26"/>
    <d v="2021-03-24T09:37:26"/>
    <x v="5"/>
    <x v="0"/>
    <x v="1"/>
    <x v="1"/>
    <s v="N"/>
    <m/>
    <x v="0"/>
    <m/>
    <m/>
  </r>
  <r>
    <x v="4644"/>
    <s v="Joe"/>
    <x v="82"/>
    <d v="1899-12-30T09:43:12"/>
    <d v="2021-03-24T09:43:12"/>
    <x v="5"/>
    <x v="0"/>
    <x v="1"/>
    <x v="0"/>
    <s v="Y"/>
    <n v="30"/>
    <x v="0"/>
    <d v="1899-12-30T00:05:03"/>
    <n v="3"/>
  </r>
  <r>
    <x v="4645"/>
    <s v="Joe"/>
    <x v="82"/>
    <d v="1899-12-30T09:43:12"/>
    <d v="2021-03-24T09:43:12"/>
    <x v="5"/>
    <x v="0"/>
    <x v="2"/>
    <x v="0"/>
    <s v="Y"/>
    <n v="78"/>
    <x v="0"/>
    <d v="1899-12-30T00:04:36"/>
    <n v="5"/>
  </r>
  <r>
    <x v="4646"/>
    <s v="Dan"/>
    <x v="82"/>
    <d v="1899-12-30T09:50:24"/>
    <d v="2021-03-24T09:50:24"/>
    <x v="5"/>
    <x v="0"/>
    <x v="1"/>
    <x v="1"/>
    <s v="N"/>
    <m/>
    <x v="0"/>
    <m/>
    <m/>
  </r>
  <r>
    <x v="4647"/>
    <s v="Becky"/>
    <x v="82"/>
    <d v="1899-12-30T09:50:24"/>
    <d v="2021-03-24T09:50:24"/>
    <x v="5"/>
    <x v="0"/>
    <x v="1"/>
    <x v="0"/>
    <s v="Y"/>
    <n v="26"/>
    <x v="0"/>
    <d v="1899-12-30T00:03:51"/>
    <n v="5"/>
  </r>
  <r>
    <x v="4648"/>
    <s v="Dan"/>
    <x v="82"/>
    <d v="1899-12-30T09:59:02"/>
    <d v="2021-03-24T09:59:02"/>
    <x v="5"/>
    <x v="0"/>
    <x v="2"/>
    <x v="1"/>
    <s v="N"/>
    <m/>
    <x v="0"/>
    <m/>
    <m/>
  </r>
  <r>
    <x v="4649"/>
    <s v="Greg"/>
    <x v="82"/>
    <d v="1899-12-30T09:59:02"/>
    <d v="2021-03-24T09:59:02"/>
    <x v="5"/>
    <x v="0"/>
    <x v="1"/>
    <x v="0"/>
    <s v="Y"/>
    <n v="93"/>
    <x v="0"/>
    <d v="1899-12-30T00:02:29"/>
    <n v="3"/>
  </r>
  <r>
    <x v="4650"/>
    <s v="Jim"/>
    <x v="82"/>
    <d v="1899-12-30T10:06:14"/>
    <d v="2021-03-24T10:06:14"/>
    <x v="5"/>
    <x v="1"/>
    <x v="4"/>
    <x v="0"/>
    <s v="Y"/>
    <n v="101"/>
    <x v="0"/>
    <d v="1899-12-30T00:05:41"/>
    <n v="5"/>
  </r>
  <r>
    <x v="4651"/>
    <s v="Jim"/>
    <x v="82"/>
    <d v="1899-12-30T10:06:14"/>
    <d v="2021-03-24T10:06:14"/>
    <x v="5"/>
    <x v="1"/>
    <x v="1"/>
    <x v="0"/>
    <s v="Y"/>
    <n v="107"/>
    <x v="0"/>
    <d v="1899-12-30T00:02:59"/>
    <n v="1"/>
  </r>
  <r>
    <x v="4652"/>
    <s v="Stewart"/>
    <x v="82"/>
    <d v="1899-12-30T10:10:34"/>
    <d v="2021-03-24T10:10:34"/>
    <x v="5"/>
    <x v="1"/>
    <x v="3"/>
    <x v="0"/>
    <s v="Y"/>
    <n v="123"/>
    <x v="0"/>
    <d v="1899-12-30T00:05:55"/>
    <n v="4"/>
  </r>
  <r>
    <x v="4653"/>
    <s v="Martha"/>
    <x v="82"/>
    <d v="1899-12-30T10:10:34"/>
    <d v="2021-03-24T10:10:34"/>
    <x v="5"/>
    <x v="1"/>
    <x v="0"/>
    <x v="0"/>
    <s v="Y"/>
    <n v="99"/>
    <x v="0"/>
    <d v="1899-12-30T00:02:33"/>
    <n v="3"/>
  </r>
  <r>
    <x v="4654"/>
    <s v="Becky"/>
    <x v="82"/>
    <d v="1899-12-30T10:52:19"/>
    <d v="2021-03-24T10:52:19"/>
    <x v="5"/>
    <x v="1"/>
    <x v="4"/>
    <x v="0"/>
    <s v="N"/>
    <n v="72"/>
    <x v="0"/>
    <d v="1899-12-30T00:05:39"/>
    <n v="4"/>
  </r>
  <r>
    <x v="4655"/>
    <s v="Joe"/>
    <x v="82"/>
    <d v="1899-12-30T10:52:19"/>
    <d v="2021-03-24T10:52:19"/>
    <x v="5"/>
    <x v="1"/>
    <x v="0"/>
    <x v="0"/>
    <s v="Y"/>
    <n v="113"/>
    <x v="0"/>
    <d v="1899-12-30T00:02:18"/>
    <n v="5"/>
  </r>
  <r>
    <x v="4656"/>
    <s v="Diane"/>
    <x v="82"/>
    <d v="1899-12-30T11:08:10"/>
    <d v="2021-03-24T11:08:10"/>
    <x v="5"/>
    <x v="2"/>
    <x v="1"/>
    <x v="1"/>
    <s v="N"/>
    <m/>
    <x v="0"/>
    <m/>
    <m/>
  </r>
  <r>
    <x v="4657"/>
    <s v="Joe"/>
    <x v="82"/>
    <d v="1899-12-30T11:08:10"/>
    <d v="2021-03-24T11:08:10"/>
    <x v="5"/>
    <x v="2"/>
    <x v="3"/>
    <x v="1"/>
    <s v="N"/>
    <m/>
    <x v="0"/>
    <m/>
    <m/>
  </r>
  <r>
    <x v="4658"/>
    <s v="Greg"/>
    <x v="82"/>
    <d v="1899-12-30T11:11:02"/>
    <d v="2021-03-24T11:11:02"/>
    <x v="5"/>
    <x v="2"/>
    <x v="1"/>
    <x v="0"/>
    <s v="Y"/>
    <n v="119"/>
    <x v="0"/>
    <d v="1899-12-30T00:00:35"/>
    <n v="2"/>
  </r>
  <r>
    <x v="4659"/>
    <s v="Diane"/>
    <x v="82"/>
    <d v="1899-12-30T11:11:02"/>
    <d v="2021-03-24T11:11:02"/>
    <x v="5"/>
    <x v="2"/>
    <x v="2"/>
    <x v="0"/>
    <s v="Y"/>
    <n v="80"/>
    <x v="0"/>
    <d v="1899-12-30T00:00:34"/>
    <n v="5"/>
  </r>
  <r>
    <x v="4660"/>
    <s v="Dan"/>
    <x v="82"/>
    <d v="1899-12-30T11:34:05"/>
    <d v="2021-03-24T11:34:05"/>
    <x v="5"/>
    <x v="2"/>
    <x v="2"/>
    <x v="0"/>
    <s v="Y"/>
    <n v="82"/>
    <x v="0"/>
    <d v="1899-12-30T00:01:07"/>
    <n v="3"/>
  </r>
  <r>
    <x v="4661"/>
    <s v="Martha"/>
    <x v="82"/>
    <d v="1899-12-30T11:34:05"/>
    <d v="2021-03-24T11:34:05"/>
    <x v="5"/>
    <x v="2"/>
    <x v="2"/>
    <x v="0"/>
    <s v="Y"/>
    <n v="97"/>
    <x v="0"/>
    <d v="1899-12-30T00:02:56"/>
    <n v="1"/>
  </r>
  <r>
    <x v="4662"/>
    <s v="Joe"/>
    <x v="82"/>
    <d v="1899-12-30T12:18:43"/>
    <d v="2021-03-24T12:18:43"/>
    <x v="5"/>
    <x v="3"/>
    <x v="2"/>
    <x v="0"/>
    <s v="Y"/>
    <n v="31"/>
    <x v="0"/>
    <d v="1899-12-30T00:02:49"/>
    <n v="5"/>
  </r>
  <r>
    <x v="4663"/>
    <s v="Jim"/>
    <x v="82"/>
    <d v="1899-12-30T12:18:43"/>
    <d v="2021-03-24T12:18:43"/>
    <x v="5"/>
    <x v="3"/>
    <x v="3"/>
    <x v="1"/>
    <s v="N"/>
    <m/>
    <x v="0"/>
    <m/>
    <m/>
  </r>
  <r>
    <x v="4664"/>
    <s v="Dan"/>
    <x v="82"/>
    <d v="1899-12-30T13:17:46"/>
    <d v="2021-03-24T13:17:46"/>
    <x v="5"/>
    <x v="4"/>
    <x v="1"/>
    <x v="0"/>
    <s v="Y"/>
    <n v="11"/>
    <x v="1"/>
    <d v="1899-12-30T00:06:23"/>
    <n v="5"/>
  </r>
  <r>
    <x v="4665"/>
    <s v="Becky"/>
    <x v="82"/>
    <d v="1899-12-30T13:17:46"/>
    <d v="2021-03-24T13:17:46"/>
    <x v="5"/>
    <x v="4"/>
    <x v="4"/>
    <x v="0"/>
    <s v="Y"/>
    <n v="91"/>
    <x v="0"/>
    <d v="1899-12-30T00:01:53"/>
    <n v="3"/>
  </r>
  <r>
    <x v="4666"/>
    <s v="Becky"/>
    <x v="82"/>
    <d v="1899-12-30T13:42:14"/>
    <d v="2021-03-24T13:42:14"/>
    <x v="5"/>
    <x v="4"/>
    <x v="1"/>
    <x v="0"/>
    <s v="Y"/>
    <n v="15"/>
    <x v="1"/>
    <d v="1899-12-30T00:01:56"/>
    <n v="5"/>
  </r>
  <r>
    <x v="4667"/>
    <s v="Jim"/>
    <x v="82"/>
    <d v="1899-12-30T13:42:14"/>
    <d v="2021-03-24T13:42:14"/>
    <x v="5"/>
    <x v="4"/>
    <x v="0"/>
    <x v="0"/>
    <s v="Y"/>
    <n v="17"/>
    <x v="1"/>
    <d v="1899-12-30T00:06:06"/>
    <n v="3"/>
  </r>
  <r>
    <x v="4668"/>
    <s v="Greg"/>
    <x v="82"/>
    <d v="1899-12-30T13:53:46"/>
    <d v="2021-03-24T13:53:46"/>
    <x v="5"/>
    <x v="4"/>
    <x v="1"/>
    <x v="0"/>
    <s v="Y"/>
    <n v="38"/>
    <x v="0"/>
    <d v="1899-12-30T00:04:40"/>
    <n v="2"/>
  </r>
  <r>
    <x v="4669"/>
    <s v="Stewart"/>
    <x v="82"/>
    <d v="1899-12-30T13:53:46"/>
    <d v="2021-03-24T13:53:46"/>
    <x v="5"/>
    <x v="4"/>
    <x v="1"/>
    <x v="0"/>
    <s v="Y"/>
    <n v="47"/>
    <x v="0"/>
    <d v="1899-12-30T00:04:30"/>
    <n v="4"/>
  </r>
  <r>
    <x v="4670"/>
    <s v="Dan"/>
    <x v="82"/>
    <d v="1899-12-30T14:26:53"/>
    <d v="2021-03-24T14:26:53"/>
    <x v="5"/>
    <x v="5"/>
    <x v="1"/>
    <x v="0"/>
    <s v="Y"/>
    <n v="52"/>
    <x v="0"/>
    <d v="1899-12-30T00:01:08"/>
    <n v="3"/>
  </r>
  <r>
    <x v="4671"/>
    <s v="Greg"/>
    <x v="82"/>
    <d v="1899-12-30T14:26:53"/>
    <d v="2021-03-24T14:26:53"/>
    <x v="5"/>
    <x v="5"/>
    <x v="0"/>
    <x v="0"/>
    <s v="Y"/>
    <n v="99"/>
    <x v="0"/>
    <d v="1899-12-30T00:01:27"/>
    <n v="3"/>
  </r>
  <r>
    <x v="4672"/>
    <s v="Stewart"/>
    <x v="82"/>
    <d v="1899-12-30T14:39:50"/>
    <d v="2021-03-24T14:39:50"/>
    <x v="5"/>
    <x v="5"/>
    <x v="2"/>
    <x v="1"/>
    <s v="N"/>
    <m/>
    <x v="0"/>
    <m/>
    <m/>
  </r>
  <r>
    <x v="4673"/>
    <s v="Martha"/>
    <x v="82"/>
    <d v="1899-12-30T14:39:50"/>
    <d v="2021-03-24T14:39:50"/>
    <x v="5"/>
    <x v="5"/>
    <x v="0"/>
    <x v="0"/>
    <s v="Y"/>
    <n v="108"/>
    <x v="0"/>
    <d v="1899-12-30T00:03:06"/>
    <n v="2"/>
  </r>
  <r>
    <x v="4674"/>
    <s v="Diane"/>
    <x v="82"/>
    <d v="1899-12-30T15:01:26"/>
    <d v="2021-03-24T15:01:26"/>
    <x v="5"/>
    <x v="6"/>
    <x v="4"/>
    <x v="0"/>
    <s v="Y"/>
    <n v="54"/>
    <x v="0"/>
    <d v="1899-12-30T00:02:09"/>
    <n v="3"/>
  </r>
  <r>
    <x v="4675"/>
    <s v="Joe"/>
    <x v="82"/>
    <d v="1899-12-30T15:01:26"/>
    <d v="2021-03-24T15:01:26"/>
    <x v="5"/>
    <x v="6"/>
    <x v="0"/>
    <x v="0"/>
    <s v="Y"/>
    <n v="73"/>
    <x v="0"/>
    <d v="1899-12-30T00:04:05"/>
    <n v="3"/>
  </r>
  <r>
    <x v="4676"/>
    <s v="Martha"/>
    <x v="82"/>
    <d v="1899-12-30T15:17:17"/>
    <d v="2021-03-24T15:17:17"/>
    <x v="5"/>
    <x v="6"/>
    <x v="3"/>
    <x v="0"/>
    <s v="Y"/>
    <n v="123"/>
    <x v="0"/>
    <d v="1899-12-30T00:00:47"/>
    <n v="1"/>
  </r>
  <r>
    <x v="4677"/>
    <s v="Greg"/>
    <x v="82"/>
    <d v="1899-12-30T15:17:17"/>
    <d v="2021-03-24T15:17:17"/>
    <x v="5"/>
    <x v="6"/>
    <x v="2"/>
    <x v="0"/>
    <s v="Y"/>
    <n v="33"/>
    <x v="0"/>
    <d v="1899-12-30T00:06:11"/>
    <n v="5"/>
  </r>
  <r>
    <x v="4678"/>
    <s v="Stewart"/>
    <x v="82"/>
    <d v="1899-12-30T15:33:07"/>
    <d v="2021-03-24T15:33:07"/>
    <x v="5"/>
    <x v="6"/>
    <x v="2"/>
    <x v="0"/>
    <s v="Y"/>
    <n v="53"/>
    <x v="0"/>
    <d v="1899-12-30T00:01:22"/>
    <n v="2"/>
  </r>
  <r>
    <x v="4679"/>
    <s v="Joe"/>
    <x v="82"/>
    <d v="1899-12-30T15:33:07"/>
    <d v="2021-03-24T15:33:07"/>
    <x v="5"/>
    <x v="6"/>
    <x v="2"/>
    <x v="0"/>
    <s v="Y"/>
    <n v="35"/>
    <x v="0"/>
    <d v="1899-12-30T00:02:56"/>
    <n v="1"/>
  </r>
  <r>
    <x v="4680"/>
    <s v="Diane"/>
    <x v="82"/>
    <d v="1899-12-30T15:46:05"/>
    <d v="2021-03-24T15:46:05"/>
    <x v="5"/>
    <x v="6"/>
    <x v="0"/>
    <x v="1"/>
    <s v="N"/>
    <m/>
    <x v="0"/>
    <m/>
    <m/>
  </r>
  <r>
    <x v="4681"/>
    <s v="Becky"/>
    <x v="82"/>
    <d v="1899-12-30T15:46:05"/>
    <d v="2021-03-24T15:46:05"/>
    <x v="5"/>
    <x v="6"/>
    <x v="1"/>
    <x v="0"/>
    <s v="Y"/>
    <n v="45"/>
    <x v="0"/>
    <d v="1899-12-30T00:05:50"/>
    <n v="3"/>
  </r>
  <r>
    <x v="4682"/>
    <s v="Dan"/>
    <x v="82"/>
    <d v="1899-12-30T16:16:19"/>
    <d v="2021-03-24T16:16:19"/>
    <x v="5"/>
    <x v="8"/>
    <x v="2"/>
    <x v="0"/>
    <s v="N"/>
    <n v="113"/>
    <x v="0"/>
    <d v="1899-12-30T00:03:54"/>
    <n v="1"/>
  </r>
  <r>
    <x v="4683"/>
    <s v="Jim"/>
    <x v="82"/>
    <d v="1899-12-30T16:16:19"/>
    <d v="2021-03-24T16:16:19"/>
    <x v="5"/>
    <x v="8"/>
    <x v="3"/>
    <x v="0"/>
    <s v="Y"/>
    <n v="115"/>
    <x v="0"/>
    <d v="1899-12-30T00:05:04"/>
    <n v="5"/>
  </r>
  <r>
    <x v="4684"/>
    <s v="Diane"/>
    <x v="82"/>
    <d v="1899-12-30T16:17:46"/>
    <d v="2021-03-24T16:17:46"/>
    <x v="5"/>
    <x v="8"/>
    <x v="0"/>
    <x v="0"/>
    <s v="Y"/>
    <n v="81"/>
    <x v="0"/>
    <d v="1899-12-30T00:01:58"/>
    <n v="5"/>
  </r>
  <r>
    <x v="4685"/>
    <s v="Martha"/>
    <x v="82"/>
    <d v="1899-12-30T16:17:46"/>
    <d v="2021-03-24T16:17:46"/>
    <x v="5"/>
    <x v="8"/>
    <x v="1"/>
    <x v="0"/>
    <s v="Y"/>
    <n v="21"/>
    <x v="0"/>
    <d v="1899-12-30T00:04:47"/>
    <n v="5"/>
  </r>
  <r>
    <x v="4686"/>
    <s v="Joe"/>
    <x v="82"/>
    <d v="1899-12-30T16:27:50"/>
    <d v="2021-03-24T16:27:50"/>
    <x v="5"/>
    <x v="8"/>
    <x v="3"/>
    <x v="0"/>
    <s v="N"/>
    <n v="89"/>
    <x v="0"/>
    <d v="1899-12-30T00:01:10"/>
    <n v="5"/>
  </r>
  <r>
    <x v="4687"/>
    <s v="Jim"/>
    <x v="82"/>
    <d v="1899-12-30T16:27:50"/>
    <d v="2021-03-24T16:27:50"/>
    <x v="5"/>
    <x v="8"/>
    <x v="2"/>
    <x v="0"/>
    <s v="Y"/>
    <n v="54"/>
    <x v="0"/>
    <d v="1899-12-30T00:05:17"/>
    <n v="3"/>
  </r>
  <r>
    <x v="4688"/>
    <s v="Jim"/>
    <x v="82"/>
    <d v="1899-12-30T16:30:43"/>
    <d v="2021-03-24T16:30:43"/>
    <x v="5"/>
    <x v="8"/>
    <x v="1"/>
    <x v="0"/>
    <s v="Y"/>
    <n v="59"/>
    <x v="0"/>
    <d v="1899-12-30T00:06:07"/>
    <n v="1"/>
  </r>
  <r>
    <x v="4689"/>
    <s v="Becky"/>
    <x v="82"/>
    <d v="1899-12-30T16:30:43"/>
    <d v="2021-03-24T16:30:43"/>
    <x v="5"/>
    <x v="8"/>
    <x v="4"/>
    <x v="0"/>
    <s v="Y"/>
    <n v="61"/>
    <x v="0"/>
    <d v="1899-12-30T00:04:12"/>
    <n v="1"/>
  </r>
  <r>
    <x v="4690"/>
    <s v="Greg"/>
    <x v="82"/>
    <d v="1899-12-30T17:28:19"/>
    <d v="2021-03-24T17:28:19"/>
    <x v="5"/>
    <x v="7"/>
    <x v="4"/>
    <x v="0"/>
    <s v="Y"/>
    <n v="102"/>
    <x v="0"/>
    <d v="1899-12-30T00:06:41"/>
    <n v="1"/>
  </r>
  <r>
    <x v="4691"/>
    <s v="Martha"/>
    <x v="82"/>
    <d v="1899-12-30T17:28:19"/>
    <d v="2021-03-24T17:28:19"/>
    <x v="5"/>
    <x v="7"/>
    <x v="0"/>
    <x v="0"/>
    <s v="N"/>
    <n v="73"/>
    <x v="0"/>
    <d v="1899-12-30T00:00:40"/>
    <n v="3"/>
  </r>
  <r>
    <x v="4692"/>
    <s v="Greg"/>
    <x v="83"/>
    <d v="1899-12-30T09:01:26"/>
    <d v="2021-03-25T09:01:26"/>
    <x v="6"/>
    <x v="0"/>
    <x v="2"/>
    <x v="1"/>
    <s v="N"/>
    <m/>
    <x v="0"/>
    <m/>
    <m/>
  </r>
  <r>
    <x v="4693"/>
    <s v="Stewart"/>
    <x v="83"/>
    <d v="1899-12-30T09:01:26"/>
    <d v="2021-03-25T09:01:26"/>
    <x v="6"/>
    <x v="0"/>
    <x v="0"/>
    <x v="0"/>
    <s v="Y"/>
    <n v="75"/>
    <x v="0"/>
    <d v="1899-12-30T00:04:12"/>
    <n v="5"/>
  </r>
  <r>
    <x v="4694"/>
    <s v="Martha"/>
    <x v="83"/>
    <d v="1899-12-30T09:04:19"/>
    <d v="2021-03-25T09:04:19"/>
    <x v="6"/>
    <x v="0"/>
    <x v="4"/>
    <x v="0"/>
    <s v="Y"/>
    <n v="46"/>
    <x v="0"/>
    <d v="1899-12-30T00:01:40"/>
    <n v="3"/>
  </r>
  <r>
    <x v="4695"/>
    <s v="Joe"/>
    <x v="83"/>
    <d v="1899-12-30T09:04:19"/>
    <d v="2021-03-25T09:04:19"/>
    <x v="6"/>
    <x v="0"/>
    <x v="1"/>
    <x v="0"/>
    <s v="Y"/>
    <n v="96"/>
    <x v="0"/>
    <d v="1899-12-30T00:04:20"/>
    <n v="5"/>
  </r>
  <r>
    <x v="4696"/>
    <s v="Martha"/>
    <x v="83"/>
    <d v="1899-12-30T09:18:43"/>
    <d v="2021-03-25T09:18:43"/>
    <x v="6"/>
    <x v="0"/>
    <x v="2"/>
    <x v="0"/>
    <s v="Y"/>
    <n v="17"/>
    <x v="1"/>
    <d v="1899-12-30T00:01:46"/>
    <n v="3"/>
  </r>
  <r>
    <x v="4697"/>
    <s v="Martha"/>
    <x v="83"/>
    <d v="1899-12-30T09:18:43"/>
    <d v="2021-03-25T09:18:43"/>
    <x v="6"/>
    <x v="0"/>
    <x v="3"/>
    <x v="0"/>
    <s v="Y"/>
    <n v="97"/>
    <x v="0"/>
    <d v="1899-12-30T00:02:06"/>
    <n v="4"/>
  </r>
  <r>
    <x v="4698"/>
    <s v="Martha"/>
    <x v="83"/>
    <d v="1899-12-30T10:27:50"/>
    <d v="2021-03-25T10:27:50"/>
    <x v="6"/>
    <x v="1"/>
    <x v="2"/>
    <x v="0"/>
    <s v="Y"/>
    <n v="124"/>
    <x v="0"/>
    <d v="1899-12-30T00:06:11"/>
    <n v="4"/>
  </r>
  <r>
    <x v="4699"/>
    <s v="Joe"/>
    <x v="83"/>
    <d v="1899-12-30T10:27:50"/>
    <d v="2021-03-25T10:27:50"/>
    <x v="6"/>
    <x v="1"/>
    <x v="4"/>
    <x v="0"/>
    <s v="Y"/>
    <n v="94"/>
    <x v="0"/>
    <d v="1899-12-30T00:03:29"/>
    <n v="5"/>
  </r>
  <r>
    <x v="4700"/>
    <s v="Jim"/>
    <x v="83"/>
    <d v="1899-12-30T10:27:50"/>
    <d v="2021-03-25T10:27:50"/>
    <x v="6"/>
    <x v="1"/>
    <x v="4"/>
    <x v="1"/>
    <s v="N"/>
    <m/>
    <x v="0"/>
    <m/>
    <m/>
  </r>
  <r>
    <x v="4701"/>
    <s v="Stewart"/>
    <x v="83"/>
    <d v="1899-12-30T10:27:50"/>
    <d v="2021-03-25T10:27:50"/>
    <x v="6"/>
    <x v="1"/>
    <x v="0"/>
    <x v="0"/>
    <s v="Y"/>
    <n v="91"/>
    <x v="0"/>
    <d v="1899-12-30T00:06:01"/>
    <n v="5"/>
  </r>
  <r>
    <x v="4702"/>
    <s v="Stewart"/>
    <x v="83"/>
    <d v="1899-12-30T10:48:00"/>
    <d v="2021-03-25T10:48:00"/>
    <x v="6"/>
    <x v="1"/>
    <x v="1"/>
    <x v="0"/>
    <s v="Y"/>
    <n v="51"/>
    <x v="0"/>
    <d v="1899-12-30T00:05:44"/>
    <n v="4"/>
  </r>
  <r>
    <x v="4703"/>
    <s v="Jim"/>
    <x v="83"/>
    <d v="1899-12-30T10:48:00"/>
    <d v="2021-03-25T10:48:00"/>
    <x v="6"/>
    <x v="1"/>
    <x v="0"/>
    <x v="0"/>
    <s v="N"/>
    <n v="73"/>
    <x v="0"/>
    <d v="1899-12-30T00:06:50"/>
    <n v="4"/>
  </r>
  <r>
    <x v="4704"/>
    <s v="Dan"/>
    <x v="83"/>
    <d v="1899-12-30T10:53:46"/>
    <d v="2021-03-25T10:53:46"/>
    <x v="6"/>
    <x v="1"/>
    <x v="4"/>
    <x v="0"/>
    <s v="Y"/>
    <n v="67"/>
    <x v="0"/>
    <d v="1899-12-30T00:06:32"/>
    <n v="2"/>
  </r>
  <r>
    <x v="4705"/>
    <s v="Greg"/>
    <x v="83"/>
    <d v="1899-12-30T10:53:46"/>
    <d v="2021-03-25T10:53:46"/>
    <x v="6"/>
    <x v="1"/>
    <x v="2"/>
    <x v="1"/>
    <s v="N"/>
    <m/>
    <x v="0"/>
    <m/>
    <m/>
  </r>
  <r>
    <x v="4706"/>
    <s v="Greg"/>
    <x v="83"/>
    <d v="1899-12-30T11:00:58"/>
    <d v="2021-03-25T11:00:58"/>
    <x v="6"/>
    <x v="2"/>
    <x v="1"/>
    <x v="1"/>
    <s v="N"/>
    <m/>
    <x v="0"/>
    <m/>
    <m/>
  </r>
  <r>
    <x v="4707"/>
    <s v="Martha"/>
    <x v="83"/>
    <d v="1899-12-30T11:00:58"/>
    <d v="2021-03-25T11:00:58"/>
    <x v="6"/>
    <x v="2"/>
    <x v="2"/>
    <x v="1"/>
    <s v="N"/>
    <m/>
    <x v="0"/>
    <m/>
    <m/>
  </r>
  <r>
    <x v="4708"/>
    <s v="Greg"/>
    <x v="83"/>
    <d v="1899-12-30T11:44:10"/>
    <d v="2021-03-25T11:44:10"/>
    <x v="6"/>
    <x v="2"/>
    <x v="4"/>
    <x v="0"/>
    <s v="Y"/>
    <n v="83"/>
    <x v="0"/>
    <d v="1899-12-30T00:06:11"/>
    <n v="4"/>
  </r>
  <r>
    <x v="4709"/>
    <s v="Diane"/>
    <x v="83"/>
    <d v="1899-12-30T11:44:10"/>
    <d v="2021-03-25T11:44:10"/>
    <x v="6"/>
    <x v="2"/>
    <x v="2"/>
    <x v="0"/>
    <s v="Y"/>
    <n v="95"/>
    <x v="0"/>
    <d v="1899-12-30T00:05:13"/>
    <n v="1"/>
  </r>
  <r>
    <x v="4710"/>
    <s v="Jim"/>
    <x v="83"/>
    <d v="1899-12-30T12:04:19"/>
    <d v="2021-03-25T12:04:19"/>
    <x v="6"/>
    <x v="3"/>
    <x v="2"/>
    <x v="0"/>
    <s v="Y"/>
    <n v="43"/>
    <x v="0"/>
    <d v="1899-12-30T00:02:15"/>
    <n v="1"/>
  </r>
  <r>
    <x v="4711"/>
    <s v="Becky"/>
    <x v="83"/>
    <d v="1899-12-30T12:04:19"/>
    <d v="2021-03-25T12:04:19"/>
    <x v="6"/>
    <x v="3"/>
    <x v="2"/>
    <x v="0"/>
    <s v="Y"/>
    <n v="95"/>
    <x v="0"/>
    <d v="1899-12-30T00:01:37"/>
    <n v="3"/>
  </r>
  <r>
    <x v="4712"/>
    <s v="Joe"/>
    <x v="83"/>
    <d v="1899-12-30T13:40:48"/>
    <d v="2021-03-25T13:40:48"/>
    <x v="6"/>
    <x v="4"/>
    <x v="3"/>
    <x v="1"/>
    <s v="N"/>
    <m/>
    <x v="0"/>
    <m/>
    <m/>
  </r>
  <r>
    <x v="4713"/>
    <s v="Stewart"/>
    <x v="83"/>
    <d v="1899-12-30T13:40:48"/>
    <d v="2021-03-25T13:40:48"/>
    <x v="6"/>
    <x v="4"/>
    <x v="2"/>
    <x v="0"/>
    <s v="Y"/>
    <n v="53"/>
    <x v="0"/>
    <d v="1899-12-30T00:05:53"/>
    <n v="4"/>
  </r>
  <r>
    <x v="4714"/>
    <s v="Stewart"/>
    <x v="83"/>
    <d v="1899-12-30T13:53:46"/>
    <d v="2021-03-25T13:53:46"/>
    <x v="6"/>
    <x v="4"/>
    <x v="0"/>
    <x v="0"/>
    <s v="Y"/>
    <n v="28"/>
    <x v="0"/>
    <d v="1899-12-30T00:03:19"/>
    <n v="4"/>
  </r>
  <r>
    <x v="4715"/>
    <s v="Martha"/>
    <x v="83"/>
    <d v="1899-12-30T13:53:46"/>
    <d v="2021-03-25T13:53:46"/>
    <x v="6"/>
    <x v="4"/>
    <x v="4"/>
    <x v="0"/>
    <s v="Y"/>
    <n v="99"/>
    <x v="0"/>
    <d v="1899-12-30T00:04:48"/>
    <n v="4"/>
  </r>
  <r>
    <x v="4716"/>
    <s v="Becky"/>
    <x v="83"/>
    <d v="1899-12-30T14:49:55"/>
    <d v="2021-03-25T14:49:55"/>
    <x v="6"/>
    <x v="5"/>
    <x v="3"/>
    <x v="0"/>
    <s v="N"/>
    <n v="70"/>
    <x v="0"/>
    <d v="1899-12-30T00:00:37"/>
    <n v="1"/>
  </r>
  <r>
    <x v="4717"/>
    <s v="Jim"/>
    <x v="83"/>
    <d v="1899-12-30T14:49:55"/>
    <d v="2021-03-25T14:49:55"/>
    <x v="6"/>
    <x v="5"/>
    <x v="3"/>
    <x v="0"/>
    <s v="Y"/>
    <n v="51"/>
    <x v="0"/>
    <d v="1899-12-30T00:04:15"/>
    <n v="3"/>
  </r>
  <r>
    <x v="4718"/>
    <s v="Greg"/>
    <x v="83"/>
    <d v="1899-12-30T15:01:26"/>
    <d v="2021-03-25T15:01:26"/>
    <x v="6"/>
    <x v="6"/>
    <x v="3"/>
    <x v="1"/>
    <s v="N"/>
    <m/>
    <x v="0"/>
    <m/>
    <m/>
  </r>
  <r>
    <x v="4719"/>
    <s v="Greg"/>
    <x v="83"/>
    <d v="1899-12-30T15:01:26"/>
    <d v="2021-03-25T15:01:26"/>
    <x v="6"/>
    <x v="6"/>
    <x v="4"/>
    <x v="0"/>
    <s v="Y"/>
    <n v="38"/>
    <x v="0"/>
    <d v="1899-12-30T00:05:23"/>
    <n v="3"/>
  </r>
  <r>
    <x v="4720"/>
    <s v="Greg"/>
    <x v="83"/>
    <d v="1899-12-30T15:18:43"/>
    <d v="2021-03-25T15:18:43"/>
    <x v="6"/>
    <x v="6"/>
    <x v="1"/>
    <x v="0"/>
    <s v="N"/>
    <n v="61"/>
    <x v="0"/>
    <d v="1899-12-30T00:05:53"/>
    <n v="4"/>
  </r>
  <r>
    <x v="4721"/>
    <s v="Martha"/>
    <x v="83"/>
    <d v="1899-12-30T15:18:43"/>
    <d v="2021-03-25T15:18:43"/>
    <x v="6"/>
    <x v="6"/>
    <x v="1"/>
    <x v="0"/>
    <s v="Y"/>
    <n v="49"/>
    <x v="0"/>
    <d v="1899-12-30T00:03:09"/>
    <n v="3"/>
  </r>
  <r>
    <x v="4722"/>
    <s v="Jim"/>
    <x v="83"/>
    <d v="1899-12-30T15:23:02"/>
    <d v="2021-03-25T15:23:02"/>
    <x v="6"/>
    <x v="6"/>
    <x v="2"/>
    <x v="0"/>
    <s v="Y"/>
    <n v="65"/>
    <x v="0"/>
    <d v="1899-12-30T00:04:58"/>
    <n v="3"/>
  </r>
  <r>
    <x v="4723"/>
    <s v="Becky"/>
    <x v="83"/>
    <d v="1899-12-30T15:23:02"/>
    <d v="2021-03-25T15:23:02"/>
    <x v="6"/>
    <x v="6"/>
    <x v="0"/>
    <x v="0"/>
    <s v="Y"/>
    <n v="74"/>
    <x v="0"/>
    <d v="1899-12-30T00:06:46"/>
    <n v="4"/>
  </r>
  <r>
    <x v="4724"/>
    <s v="Greg"/>
    <x v="83"/>
    <d v="1899-12-30T15:50:24"/>
    <d v="2021-03-25T15:50:24"/>
    <x v="6"/>
    <x v="6"/>
    <x v="3"/>
    <x v="0"/>
    <s v="Y"/>
    <n v="114"/>
    <x v="0"/>
    <d v="1899-12-30T00:02:53"/>
    <n v="4"/>
  </r>
  <r>
    <x v="4725"/>
    <s v="Stewart"/>
    <x v="83"/>
    <d v="1899-12-30T15:50:24"/>
    <d v="2021-03-25T15:50:24"/>
    <x v="6"/>
    <x v="6"/>
    <x v="0"/>
    <x v="1"/>
    <s v="N"/>
    <m/>
    <x v="0"/>
    <m/>
    <m/>
  </r>
  <r>
    <x v="4726"/>
    <s v="Greg"/>
    <x v="83"/>
    <d v="1899-12-30T16:01:55"/>
    <d v="2021-03-25T16:01:55"/>
    <x v="6"/>
    <x v="8"/>
    <x v="3"/>
    <x v="0"/>
    <s v="N"/>
    <n v="118"/>
    <x v="0"/>
    <d v="1899-12-30T00:02:07"/>
    <n v="3"/>
  </r>
  <r>
    <x v="4727"/>
    <s v="Martha"/>
    <x v="83"/>
    <d v="1899-12-30T16:01:55"/>
    <d v="2021-03-25T16:01:55"/>
    <x v="6"/>
    <x v="8"/>
    <x v="2"/>
    <x v="0"/>
    <s v="Y"/>
    <n v="119"/>
    <x v="0"/>
    <d v="1899-12-30T00:05:51"/>
    <n v="4"/>
  </r>
  <r>
    <x v="4728"/>
    <s v="Dan"/>
    <x v="83"/>
    <d v="1899-12-30T16:06:14"/>
    <d v="2021-03-25T16:06:14"/>
    <x v="6"/>
    <x v="8"/>
    <x v="3"/>
    <x v="0"/>
    <s v="Y"/>
    <n v="25"/>
    <x v="0"/>
    <d v="1899-12-30T00:04:08"/>
    <n v="2"/>
  </r>
  <r>
    <x v="4729"/>
    <s v="Dan"/>
    <x v="83"/>
    <d v="1899-12-30T16:06:14"/>
    <d v="2021-03-25T16:06:14"/>
    <x v="6"/>
    <x v="8"/>
    <x v="0"/>
    <x v="0"/>
    <s v="Y"/>
    <n v="106"/>
    <x v="0"/>
    <d v="1899-12-30T00:03:41"/>
    <n v="4"/>
  </r>
  <r>
    <x v="4730"/>
    <s v="Diane"/>
    <x v="83"/>
    <d v="1899-12-30T16:26:24"/>
    <d v="2021-03-25T16:26:24"/>
    <x v="6"/>
    <x v="8"/>
    <x v="4"/>
    <x v="0"/>
    <s v="Y"/>
    <n v="29"/>
    <x v="0"/>
    <d v="1899-12-30T00:06:48"/>
    <n v="5"/>
  </r>
  <r>
    <x v="4731"/>
    <s v="Stewart"/>
    <x v="83"/>
    <d v="1899-12-30T16:26:24"/>
    <d v="2021-03-25T16:26:24"/>
    <x v="6"/>
    <x v="8"/>
    <x v="3"/>
    <x v="0"/>
    <s v="Y"/>
    <n v="104"/>
    <x v="0"/>
    <d v="1899-12-30T00:06:12"/>
    <n v="5"/>
  </r>
  <r>
    <x v="4732"/>
    <s v="Greg"/>
    <x v="83"/>
    <d v="1899-12-30T16:39:22"/>
    <d v="2021-03-25T16:39:22"/>
    <x v="6"/>
    <x v="8"/>
    <x v="3"/>
    <x v="0"/>
    <s v="Y"/>
    <n v="70"/>
    <x v="0"/>
    <d v="1899-12-30T00:06:08"/>
    <n v="4"/>
  </r>
  <r>
    <x v="4733"/>
    <s v="Jim"/>
    <x v="83"/>
    <d v="1899-12-30T16:39:22"/>
    <d v="2021-03-25T16:39:22"/>
    <x v="6"/>
    <x v="8"/>
    <x v="2"/>
    <x v="0"/>
    <s v="Y"/>
    <n v="85"/>
    <x v="0"/>
    <d v="1899-12-30T00:03:25"/>
    <n v="4"/>
  </r>
  <r>
    <x v="4734"/>
    <s v="Becky"/>
    <x v="83"/>
    <d v="1899-12-30T17:35:31"/>
    <d v="2021-03-25T17:35:31"/>
    <x v="6"/>
    <x v="7"/>
    <x v="0"/>
    <x v="1"/>
    <s v="N"/>
    <m/>
    <x v="0"/>
    <m/>
    <m/>
  </r>
  <r>
    <x v="4735"/>
    <s v="Jim"/>
    <x v="83"/>
    <d v="1899-12-30T17:35:31"/>
    <d v="2021-03-25T17:35:31"/>
    <x v="6"/>
    <x v="7"/>
    <x v="0"/>
    <x v="0"/>
    <s v="Y"/>
    <n v="61"/>
    <x v="0"/>
    <d v="1899-12-30T00:05:19"/>
    <n v="5"/>
  </r>
  <r>
    <x v="4736"/>
    <s v="Jim"/>
    <x v="83"/>
    <d v="1899-12-30T17:44:10"/>
    <d v="2021-03-25T17:44:10"/>
    <x v="6"/>
    <x v="7"/>
    <x v="0"/>
    <x v="0"/>
    <s v="Y"/>
    <n v="44"/>
    <x v="0"/>
    <d v="1899-12-30T00:05:28"/>
    <n v="3"/>
  </r>
  <r>
    <x v="4737"/>
    <s v="Stewart"/>
    <x v="83"/>
    <d v="1899-12-30T17:44:10"/>
    <d v="2021-03-25T17:44:10"/>
    <x v="6"/>
    <x v="7"/>
    <x v="3"/>
    <x v="0"/>
    <s v="Y"/>
    <n v="40"/>
    <x v="0"/>
    <d v="1899-12-30T00:03:55"/>
    <n v="5"/>
  </r>
  <r>
    <x v="4738"/>
    <s v="Martha"/>
    <x v="84"/>
    <d v="1899-12-30T09:23:02"/>
    <d v="2021-03-26T09:23:02"/>
    <x v="0"/>
    <x v="0"/>
    <x v="1"/>
    <x v="0"/>
    <s v="Y"/>
    <n v="15"/>
    <x v="1"/>
    <d v="1899-12-30T00:05:38"/>
    <n v="4"/>
  </r>
  <r>
    <x v="4739"/>
    <s v="Diane"/>
    <x v="84"/>
    <d v="1899-12-30T09:23:02"/>
    <d v="2021-03-26T09:23:02"/>
    <x v="0"/>
    <x v="0"/>
    <x v="0"/>
    <x v="0"/>
    <s v="Y"/>
    <n v="41"/>
    <x v="0"/>
    <d v="1899-12-30T00:02:50"/>
    <n v="2"/>
  </r>
  <r>
    <x v="4740"/>
    <s v="Dan"/>
    <x v="84"/>
    <d v="1899-12-30T09:24:29"/>
    <d v="2021-03-26T09:24:29"/>
    <x v="0"/>
    <x v="0"/>
    <x v="2"/>
    <x v="0"/>
    <s v="N"/>
    <n v="78"/>
    <x v="0"/>
    <d v="1899-12-30T00:02:20"/>
    <n v="4"/>
  </r>
  <r>
    <x v="4741"/>
    <s v="Joe"/>
    <x v="84"/>
    <d v="1899-12-30T09:24:29"/>
    <d v="2021-03-26T09:24:29"/>
    <x v="0"/>
    <x v="0"/>
    <x v="4"/>
    <x v="1"/>
    <s v="N"/>
    <m/>
    <x v="0"/>
    <m/>
    <m/>
  </r>
  <r>
    <x v="4742"/>
    <s v="Joe"/>
    <x v="84"/>
    <d v="1899-12-30T09:34:34"/>
    <d v="2021-03-26T09:34:34"/>
    <x v="0"/>
    <x v="0"/>
    <x v="1"/>
    <x v="0"/>
    <s v="Y"/>
    <n v="46"/>
    <x v="0"/>
    <d v="1899-12-30T00:02:02"/>
    <n v="3"/>
  </r>
  <r>
    <x v="4743"/>
    <s v="Martha"/>
    <x v="84"/>
    <d v="1899-12-30T09:34:34"/>
    <d v="2021-03-26T09:34:34"/>
    <x v="0"/>
    <x v="0"/>
    <x v="4"/>
    <x v="1"/>
    <s v="N"/>
    <m/>
    <x v="0"/>
    <m/>
    <m/>
  </r>
  <r>
    <x v="4744"/>
    <s v="Dan"/>
    <x v="84"/>
    <d v="1899-12-30T10:00:29"/>
    <d v="2021-03-26T10:00:29"/>
    <x v="0"/>
    <x v="1"/>
    <x v="2"/>
    <x v="0"/>
    <s v="Y"/>
    <n v="45"/>
    <x v="0"/>
    <d v="1899-12-30T00:05:40"/>
    <n v="2"/>
  </r>
  <r>
    <x v="4745"/>
    <s v="Stewart"/>
    <x v="84"/>
    <d v="1899-12-30T10:00:29"/>
    <d v="2021-03-26T10:00:29"/>
    <x v="0"/>
    <x v="1"/>
    <x v="0"/>
    <x v="0"/>
    <s v="Y"/>
    <n v="86"/>
    <x v="0"/>
    <d v="1899-12-30T00:05:42"/>
    <n v="1"/>
  </r>
  <r>
    <x v="4746"/>
    <s v="Diane"/>
    <x v="84"/>
    <d v="1899-12-30T10:06:14"/>
    <d v="2021-03-26T10:06:14"/>
    <x v="0"/>
    <x v="1"/>
    <x v="1"/>
    <x v="1"/>
    <s v="N"/>
    <m/>
    <x v="0"/>
    <m/>
    <m/>
  </r>
  <r>
    <x v="4747"/>
    <s v="Dan"/>
    <x v="84"/>
    <d v="1899-12-30T10:06:14"/>
    <d v="2021-03-26T10:06:14"/>
    <x v="0"/>
    <x v="1"/>
    <x v="2"/>
    <x v="0"/>
    <s v="N"/>
    <n v="59"/>
    <x v="0"/>
    <d v="1899-12-30T00:02:21"/>
    <n v="2"/>
  </r>
  <r>
    <x v="4748"/>
    <s v="Joe"/>
    <x v="84"/>
    <d v="1899-12-30T10:10:34"/>
    <d v="2021-03-26T10:10:34"/>
    <x v="0"/>
    <x v="1"/>
    <x v="3"/>
    <x v="0"/>
    <s v="Y"/>
    <n v="23"/>
    <x v="0"/>
    <d v="1899-12-30T00:04:54"/>
    <n v="3"/>
  </r>
  <r>
    <x v="4749"/>
    <s v="Jim"/>
    <x v="84"/>
    <d v="1899-12-30T10:10:34"/>
    <d v="2021-03-26T10:10:34"/>
    <x v="0"/>
    <x v="1"/>
    <x v="3"/>
    <x v="0"/>
    <s v="Y"/>
    <n v="79"/>
    <x v="0"/>
    <d v="1899-12-30T00:03:46"/>
    <n v="4"/>
  </r>
  <r>
    <x v="4750"/>
    <s v="Stewart"/>
    <x v="84"/>
    <d v="1899-12-30T10:14:53"/>
    <d v="2021-03-26T10:14:53"/>
    <x v="0"/>
    <x v="1"/>
    <x v="0"/>
    <x v="0"/>
    <s v="Y"/>
    <n v="105"/>
    <x v="0"/>
    <d v="1899-12-30T00:06:26"/>
    <n v="4"/>
  </r>
  <r>
    <x v="4751"/>
    <s v="Martha"/>
    <x v="84"/>
    <d v="1899-12-30T10:14:53"/>
    <d v="2021-03-26T10:14:53"/>
    <x v="0"/>
    <x v="1"/>
    <x v="1"/>
    <x v="0"/>
    <s v="Y"/>
    <n v="42"/>
    <x v="0"/>
    <d v="1899-12-30T00:00:55"/>
    <n v="5"/>
  </r>
  <r>
    <x v="4752"/>
    <s v="Becky"/>
    <x v="84"/>
    <d v="1899-12-30T10:56:38"/>
    <d v="2021-03-26T10:56:38"/>
    <x v="0"/>
    <x v="1"/>
    <x v="4"/>
    <x v="0"/>
    <s v="Y"/>
    <n v="20"/>
    <x v="1"/>
    <d v="1899-12-30T00:01:25"/>
    <n v="4"/>
  </r>
  <r>
    <x v="4753"/>
    <s v="Greg"/>
    <x v="84"/>
    <d v="1899-12-30T10:56:38"/>
    <d v="2021-03-26T10:56:38"/>
    <x v="0"/>
    <x v="1"/>
    <x v="1"/>
    <x v="0"/>
    <s v="Y"/>
    <n v="48"/>
    <x v="0"/>
    <d v="1899-12-30T00:05:44"/>
    <n v="4"/>
  </r>
  <r>
    <x v="4754"/>
    <s v="Becky"/>
    <x v="84"/>
    <d v="1899-12-30T11:48:29"/>
    <d v="2021-03-26T11:48:29"/>
    <x v="0"/>
    <x v="2"/>
    <x v="3"/>
    <x v="0"/>
    <s v="Y"/>
    <n v="29"/>
    <x v="0"/>
    <d v="1899-12-30T00:05:32"/>
    <n v="3"/>
  </r>
  <r>
    <x v="4755"/>
    <s v="Dan"/>
    <x v="84"/>
    <d v="1899-12-30T11:48:29"/>
    <d v="2021-03-26T11:48:29"/>
    <x v="0"/>
    <x v="2"/>
    <x v="1"/>
    <x v="0"/>
    <s v="Y"/>
    <n v="49"/>
    <x v="0"/>
    <d v="1899-12-30T00:05:47"/>
    <n v="3"/>
  </r>
  <r>
    <x v="4756"/>
    <s v="Greg"/>
    <x v="84"/>
    <d v="1899-12-30T11:55:41"/>
    <d v="2021-03-26T11:55:41"/>
    <x v="0"/>
    <x v="2"/>
    <x v="4"/>
    <x v="0"/>
    <s v="Y"/>
    <n v="94"/>
    <x v="0"/>
    <d v="1899-12-30T00:06:53"/>
    <n v="5"/>
  </r>
  <r>
    <x v="4757"/>
    <s v="Stewart"/>
    <x v="84"/>
    <d v="1899-12-30T11:55:41"/>
    <d v="2021-03-26T11:55:41"/>
    <x v="0"/>
    <x v="2"/>
    <x v="1"/>
    <x v="0"/>
    <s v="N"/>
    <n v="22"/>
    <x v="0"/>
    <d v="1899-12-30T00:01:46"/>
    <n v="4"/>
  </r>
  <r>
    <x v="4758"/>
    <s v="Stewart"/>
    <x v="84"/>
    <d v="1899-12-30T12:01:26"/>
    <d v="2021-03-26T12:01:26"/>
    <x v="0"/>
    <x v="3"/>
    <x v="3"/>
    <x v="0"/>
    <s v="Y"/>
    <n v="93"/>
    <x v="0"/>
    <d v="1899-12-30T00:04:13"/>
    <n v="4"/>
  </r>
  <r>
    <x v="4759"/>
    <s v="Martha"/>
    <x v="84"/>
    <d v="1899-12-30T12:01:26"/>
    <d v="2021-03-26T12:01:26"/>
    <x v="0"/>
    <x v="3"/>
    <x v="4"/>
    <x v="0"/>
    <s v="Y"/>
    <n v="56"/>
    <x v="0"/>
    <d v="1899-12-30T00:04:33"/>
    <n v="5"/>
  </r>
  <r>
    <x v="4760"/>
    <s v="Becky"/>
    <x v="84"/>
    <d v="1899-12-30T12:24:29"/>
    <d v="2021-03-26T12:24:29"/>
    <x v="0"/>
    <x v="3"/>
    <x v="0"/>
    <x v="0"/>
    <s v="Y"/>
    <n v="16"/>
    <x v="1"/>
    <d v="1899-12-30T00:05:50"/>
    <n v="5"/>
  </r>
  <r>
    <x v="4761"/>
    <s v="Diane"/>
    <x v="84"/>
    <d v="1899-12-30T12:24:29"/>
    <d v="2021-03-26T12:24:29"/>
    <x v="0"/>
    <x v="3"/>
    <x v="3"/>
    <x v="1"/>
    <s v="N"/>
    <m/>
    <x v="0"/>
    <m/>
    <m/>
  </r>
  <r>
    <x v="4762"/>
    <s v="Stewart"/>
    <x v="84"/>
    <d v="1899-12-30T12:46:05"/>
    <d v="2021-03-26T12:46:05"/>
    <x v="0"/>
    <x v="3"/>
    <x v="0"/>
    <x v="0"/>
    <s v="Y"/>
    <n v="124"/>
    <x v="0"/>
    <d v="1899-12-30T00:02:06"/>
    <n v="2"/>
  </r>
  <r>
    <x v="4763"/>
    <s v="Stewart"/>
    <x v="84"/>
    <d v="1899-12-30T12:46:05"/>
    <d v="2021-03-26T12:46:05"/>
    <x v="0"/>
    <x v="3"/>
    <x v="4"/>
    <x v="1"/>
    <s v="N"/>
    <m/>
    <x v="0"/>
    <m/>
    <m/>
  </r>
  <r>
    <x v="4764"/>
    <s v="Greg"/>
    <x v="84"/>
    <d v="1899-12-30T12:50:24"/>
    <d v="2021-03-26T12:50:24"/>
    <x v="0"/>
    <x v="3"/>
    <x v="0"/>
    <x v="0"/>
    <s v="Y"/>
    <n v="93"/>
    <x v="0"/>
    <d v="1899-12-30T00:01:28"/>
    <n v="5"/>
  </r>
  <r>
    <x v="4765"/>
    <s v="Diane"/>
    <x v="84"/>
    <d v="1899-12-30T12:50:24"/>
    <d v="2021-03-26T12:50:24"/>
    <x v="0"/>
    <x v="3"/>
    <x v="4"/>
    <x v="0"/>
    <s v="Y"/>
    <n v="10"/>
    <x v="1"/>
    <d v="1899-12-30T00:02:07"/>
    <n v="3"/>
  </r>
  <r>
    <x v="4766"/>
    <s v="Becky"/>
    <x v="84"/>
    <d v="1899-12-30T12:51:50"/>
    <d v="2021-03-26T12:51:50"/>
    <x v="0"/>
    <x v="3"/>
    <x v="1"/>
    <x v="0"/>
    <s v="N"/>
    <n v="17"/>
    <x v="1"/>
    <d v="1899-12-30T00:02:02"/>
    <n v="4"/>
  </r>
  <r>
    <x v="4767"/>
    <s v="Dan"/>
    <x v="84"/>
    <d v="1899-12-30T12:51:50"/>
    <d v="2021-03-26T12:51:50"/>
    <x v="0"/>
    <x v="3"/>
    <x v="1"/>
    <x v="0"/>
    <s v="Y"/>
    <n v="121"/>
    <x v="0"/>
    <d v="1899-12-30T00:01:00"/>
    <n v="3"/>
  </r>
  <r>
    <x v="4768"/>
    <s v="Martha"/>
    <x v="84"/>
    <d v="1899-12-30T12:51:50"/>
    <d v="2021-03-26T12:51:50"/>
    <x v="0"/>
    <x v="3"/>
    <x v="1"/>
    <x v="0"/>
    <s v="Y"/>
    <n v="74"/>
    <x v="0"/>
    <d v="1899-12-30T00:02:33"/>
    <n v="5"/>
  </r>
  <r>
    <x v="4769"/>
    <s v="Greg"/>
    <x v="84"/>
    <d v="1899-12-30T12:51:50"/>
    <d v="2021-03-26T12:51:50"/>
    <x v="0"/>
    <x v="3"/>
    <x v="2"/>
    <x v="0"/>
    <s v="Y"/>
    <n v="22"/>
    <x v="0"/>
    <d v="1899-12-30T00:00:35"/>
    <n v="3"/>
  </r>
  <r>
    <x v="4770"/>
    <s v="Jim"/>
    <x v="84"/>
    <d v="1899-12-30T13:45:07"/>
    <d v="2021-03-26T13:45:07"/>
    <x v="0"/>
    <x v="4"/>
    <x v="3"/>
    <x v="0"/>
    <s v="Y"/>
    <n v="76"/>
    <x v="0"/>
    <d v="1899-12-30T00:06:03"/>
    <n v="4"/>
  </r>
  <r>
    <x v="4771"/>
    <s v="Jim"/>
    <x v="84"/>
    <d v="1899-12-30T13:45:07"/>
    <d v="2021-03-26T13:45:07"/>
    <x v="0"/>
    <x v="4"/>
    <x v="1"/>
    <x v="0"/>
    <s v="N"/>
    <n v="86"/>
    <x v="0"/>
    <d v="1899-12-30T00:02:58"/>
    <n v="5"/>
  </r>
  <r>
    <x v="4772"/>
    <s v="Stewart"/>
    <x v="84"/>
    <d v="1899-12-30T14:38:24"/>
    <d v="2021-03-26T14:38:24"/>
    <x v="0"/>
    <x v="5"/>
    <x v="1"/>
    <x v="0"/>
    <s v="Y"/>
    <n v="59"/>
    <x v="0"/>
    <d v="1899-12-30T00:00:45"/>
    <n v="3"/>
  </r>
  <r>
    <x v="4773"/>
    <s v="Becky"/>
    <x v="84"/>
    <d v="1899-12-30T14:38:24"/>
    <d v="2021-03-26T14:38:24"/>
    <x v="0"/>
    <x v="5"/>
    <x v="3"/>
    <x v="1"/>
    <s v="N"/>
    <m/>
    <x v="0"/>
    <m/>
    <m/>
  </r>
  <r>
    <x v="4774"/>
    <s v="Diane"/>
    <x v="84"/>
    <d v="1899-12-30T14:49:55"/>
    <d v="2021-03-26T14:49:55"/>
    <x v="0"/>
    <x v="5"/>
    <x v="3"/>
    <x v="0"/>
    <s v="Y"/>
    <n v="57"/>
    <x v="0"/>
    <d v="1899-12-30T00:06:37"/>
    <n v="5"/>
  </r>
  <r>
    <x v="4775"/>
    <s v="Joe"/>
    <x v="84"/>
    <d v="1899-12-30T14:49:55"/>
    <d v="2021-03-26T14:49:55"/>
    <x v="0"/>
    <x v="5"/>
    <x v="3"/>
    <x v="0"/>
    <s v="Y"/>
    <n v="92"/>
    <x v="0"/>
    <d v="1899-12-30T00:04:43"/>
    <n v="3"/>
  </r>
  <r>
    <x v="4776"/>
    <s v="Becky"/>
    <x v="84"/>
    <d v="1899-12-30T15:20:10"/>
    <d v="2021-03-26T15:20:10"/>
    <x v="0"/>
    <x v="6"/>
    <x v="0"/>
    <x v="0"/>
    <s v="Y"/>
    <n v="35"/>
    <x v="0"/>
    <d v="1899-12-30T00:02:57"/>
    <n v="1"/>
  </r>
  <r>
    <x v="4777"/>
    <s v="Joe"/>
    <x v="84"/>
    <d v="1899-12-30T15:20:10"/>
    <d v="2021-03-26T15:20:10"/>
    <x v="0"/>
    <x v="6"/>
    <x v="1"/>
    <x v="1"/>
    <s v="N"/>
    <m/>
    <x v="0"/>
    <m/>
    <m/>
  </r>
  <r>
    <x v="4778"/>
    <s v="Martha"/>
    <x v="84"/>
    <d v="1899-12-30T15:41:46"/>
    <d v="2021-03-26T15:41:46"/>
    <x v="0"/>
    <x v="6"/>
    <x v="4"/>
    <x v="0"/>
    <s v="Y"/>
    <n v="76"/>
    <x v="0"/>
    <d v="1899-12-30T00:03:59"/>
    <n v="5"/>
  </r>
  <r>
    <x v="4779"/>
    <s v="Joe"/>
    <x v="84"/>
    <d v="1899-12-30T15:41:46"/>
    <d v="2021-03-26T15:41:46"/>
    <x v="0"/>
    <x v="6"/>
    <x v="0"/>
    <x v="0"/>
    <s v="Y"/>
    <n v="110"/>
    <x v="0"/>
    <d v="1899-12-30T00:00:47"/>
    <n v="5"/>
  </r>
  <r>
    <x v="4780"/>
    <s v="Becky"/>
    <x v="84"/>
    <d v="1899-12-30T15:53:17"/>
    <d v="2021-03-26T15:53:17"/>
    <x v="0"/>
    <x v="6"/>
    <x v="3"/>
    <x v="0"/>
    <s v="Y"/>
    <n v="125"/>
    <x v="0"/>
    <d v="1899-12-30T00:01:48"/>
    <n v="1"/>
  </r>
  <r>
    <x v="4781"/>
    <s v="Dan"/>
    <x v="84"/>
    <d v="1899-12-30T15:53:17"/>
    <d v="2021-03-26T15:53:17"/>
    <x v="0"/>
    <x v="6"/>
    <x v="1"/>
    <x v="0"/>
    <s v="Y"/>
    <n v="44"/>
    <x v="0"/>
    <d v="1899-12-30T00:02:44"/>
    <n v="1"/>
  </r>
  <r>
    <x v="4782"/>
    <s v="Martha"/>
    <x v="84"/>
    <d v="1899-12-30T16:27:50"/>
    <d v="2021-03-26T16:27:50"/>
    <x v="0"/>
    <x v="8"/>
    <x v="0"/>
    <x v="0"/>
    <s v="Y"/>
    <n v="113"/>
    <x v="0"/>
    <d v="1899-12-30T00:03:45"/>
    <n v="1"/>
  </r>
  <r>
    <x v="4783"/>
    <s v="Becky"/>
    <x v="84"/>
    <d v="1899-12-30T16:27:50"/>
    <d v="2021-03-26T16:27:50"/>
    <x v="0"/>
    <x v="8"/>
    <x v="2"/>
    <x v="0"/>
    <s v="Y"/>
    <n v="101"/>
    <x v="0"/>
    <d v="1899-12-30T00:04:57"/>
    <n v="3"/>
  </r>
  <r>
    <x v="4784"/>
    <s v="Diane"/>
    <x v="84"/>
    <d v="1899-12-30T16:52:19"/>
    <d v="2021-03-26T16:52:19"/>
    <x v="0"/>
    <x v="8"/>
    <x v="4"/>
    <x v="0"/>
    <s v="Y"/>
    <n v="27"/>
    <x v="0"/>
    <d v="1899-12-30T00:04:13"/>
    <n v="1"/>
  </r>
  <r>
    <x v="4785"/>
    <s v="Diane"/>
    <x v="84"/>
    <d v="1899-12-30T16:52:19"/>
    <d v="2021-03-26T16:52:19"/>
    <x v="0"/>
    <x v="8"/>
    <x v="0"/>
    <x v="1"/>
    <s v="N"/>
    <m/>
    <x v="0"/>
    <m/>
    <m/>
  </r>
  <r>
    <x v="4786"/>
    <s v="Diane"/>
    <x v="84"/>
    <d v="1899-12-30T17:05:17"/>
    <d v="2021-03-26T17:05:17"/>
    <x v="0"/>
    <x v="7"/>
    <x v="2"/>
    <x v="0"/>
    <s v="N"/>
    <n v="125"/>
    <x v="0"/>
    <d v="1899-12-30T00:02:50"/>
    <n v="4"/>
  </r>
  <r>
    <x v="4787"/>
    <s v="Becky"/>
    <x v="84"/>
    <d v="1899-12-30T17:05:17"/>
    <d v="2021-03-26T17:05:17"/>
    <x v="0"/>
    <x v="7"/>
    <x v="3"/>
    <x v="0"/>
    <s v="Y"/>
    <n v="10"/>
    <x v="1"/>
    <d v="1899-12-30T00:02:16"/>
    <n v="1"/>
  </r>
  <r>
    <x v="4788"/>
    <s v="Dan"/>
    <x v="84"/>
    <d v="1899-12-30T17:13:55"/>
    <d v="2021-03-26T17:13:55"/>
    <x v="0"/>
    <x v="7"/>
    <x v="0"/>
    <x v="0"/>
    <s v="Y"/>
    <n v="16"/>
    <x v="1"/>
    <d v="1899-12-30T00:04:20"/>
    <n v="4"/>
  </r>
  <r>
    <x v="4789"/>
    <s v="Joe"/>
    <x v="84"/>
    <d v="1899-12-30T17:13:55"/>
    <d v="2021-03-26T17:13:55"/>
    <x v="0"/>
    <x v="7"/>
    <x v="0"/>
    <x v="0"/>
    <s v="Y"/>
    <n v="85"/>
    <x v="0"/>
    <d v="1899-12-30T00:06:01"/>
    <n v="1"/>
  </r>
  <r>
    <x v="4790"/>
    <s v="Dan"/>
    <x v="84"/>
    <d v="1899-12-30T17:42:43"/>
    <d v="2021-03-26T17:42:43"/>
    <x v="0"/>
    <x v="7"/>
    <x v="4"/>
    <x v="0"/>
    <s v="Y"/>
    <n v="36"/>
    <x v="0"/>
    <d v="1899-12-30T00:01:47"/>
    <n v="4"/>
  </r>
  <r>
    <x v="4791"/>
    <s v="Greg"/>
    <x v="84"/>
    <d v="1899-12-30T17:42:43"/>
    <d v="2021-03-26T17:42:43"/>
    <x v="0"/>
    <x v="7"/>
    <x v="0"/>
    <x v="0"/>
    <s v="Y"/>
    <n v="96"/>
    <x v="0"/>
    <d v="1899-12-30T00:06:31"/>
    <n v="3"/>
  </r>
  <r>
    <x v="4792"/>
    <s v="Greg"/>
    <x v="85"/>
    <d v="1899-12-30T09:36:00"/>
    <d v="2021-03-27T09:36:00"/>
    <x v="1"/>
    <x v="0"/>
    <x v="1"/>
    <x v="0"/>
    <s v="Y"/>
    <n v="19"/>
    <x v="1"/>
    <d v="1899-12-30T00:01:05"/>
    <n v="4"/>
  </r>
  <r>
    <x v="4793"/>
    <s v="Becky"/>
    <x v="85"/>
    <d v="1899-12-30T09:36:00"/>
    <d v="2021-03-27T09:36:00"/>
    <x v="1"/>
    <x v="0"/>
    <x v="2"/>
    <x v="0"/>
    <s v="N"/>
    <n v="70"/>
    <x v="0"/>
    <d v="1899-12-30T00:02:01"/>
    <n v="5"/>
  </r>
  <r>
    <x v="4794"/>
    <s v="Greg"/>
    <x v="85"/>
    <d v="1899-12-30T11:03:50"/>
    <d v="2021-03-27T11:03:50"/>
    <x v="1"/>
    <x v="2"/>
    <x v="1"/>
    <x v="1"/>
    <s v="N"/>
    <m/>
    <x v="0"/>
    <m/>
    <m/>
  </r>
  <r>
    <x v="4795"/>
    <s v="Martha"/>
    <x v="85"/>
    <d v="1899-12-30T11:03:50"/>
    <d v="2021-03-27T11:03:50"/>
    <x v="1"/>
    <x v="2"/>
    <x v="0"/>
    <x v="1"/>
    <s v="N"/>
    <m/>
    <x v="0"/>
    <m/>
    <m/>
  </r>
  <r>
    <x v="4796"/>
    <s v="Jim"/>
    <x v="85"/>
    <d v="1899-12-30T11:09:36"/>
    <d v="2021-03-27T11:09:36"/>
    <x v="1"/>
    <x v="2"/>
    <x v="1"/>
    <x v="1"/>
    <s v="N"/>
    <m/>
    <x v="0"/>
    <m/>
    <m/>
  </r>
  <r>
    <x v="4797"/>
    <s v="Greg"/>
    <x v="85"/>
    <d v="1899-12-30T11:09:36"/>
    <d v="2021-03-27T11:09:36"/>
    <x v="1"/>
    <x v="2"/>
    <x v="0"/>
    <x v="0"/>
    <s v="Y"/>
    <n v="88"/>
    <x v="0"/>
    <d v="1899-12-30T00:00:41"/>
    <n v="5"/>
  </r>
  <r>
    <x v="4798"/>
    <s v="Greg"/>
    <x v="85"/>
    <d v="1899-12-30T11:22:34"/>
    <d v="2021-03-27T11:22:34"/>
    <x v="1"/>
    <x v="2"/>
    <x v="3"/>
    <x v="0"/>
    <s v="Y"/>
    <n v="23"/>
    <x v="0"/>
    <d v="1899-12-30T00:01:54"/>
    <n v="1"/>
  </r>
  <r>
    <x v="4799"/>
    <s v="Dan"/>
    <x v="85"/>
    <d v="1899-12-30T11:22:34"/>
    <d v="2021-03-27T11:22:34"/>
    <x v="1"/>
    <x v="2"/>
    <x v="0"/>
    <x v="0"/>
    <s v="Y"/>
    <n v="78"/>
    <x v="0"/>
    <d v="1899-12-30T00:02:33"/>
    <n v="2"/>
  </r>
  <r>
    <x v="4800"/>
    <s v="Jim"/>
    <x v="85"/>
    <d v="1899-12-30T11:45:36"/>
    <d v="2021-03-27T11:45:36"/>
    <x v="1"/>
    <x v="2"/>
    <x v="4"/>
    <x v="0"/>
    <s v="Y"/>
    <n v="100"/>
    <x v="0"/>
    <d v="1899-12-30T00:05:31"/>
    <n v="2"/>
  </r>
  <r>
    <x v="4801"/>
    <s v="Becky"/>
    <x v="85"/>
    <d v="1899-12-30T11:45:36"/>
    <d v="2021-03-27T11:45:36"/>
    <x v="1"/>
    <x v="2"/>
    <x v="2"/>
    <x v="0"/>
    <s v="Y"/>
    <n v="124"/>
    <x v="0"/>
    <d v="1899-12-30T00:04:13"/>
    <n v="5"/>
  </r>
  <r>
    <x v="4802"/>
    <s v="Joe"/>
    <x v="85"/>
    <d v="1899-12-30T11:48:29"/>
    <d v="2021-03-27T11:48:29"/>
    <x v="1"/>
    <x v="2"/>
    <x v="1"/>
    <x v="0"/>
    <s v="Y"/>
    <n v="73"/>
    <x v="0"/>
    <d v="1899-12-30T00:06:40"/>
    <n v="3"/>
  </r>
  <r>
    <x v="4803"/>
    <s v="Becky"/>
    <x v="85"/>
    <d v="1899-12-30T11:48:29"/>
    <d v="2021-03-27T11:48:29"/>
    <x v="1"/>
    <x v="2"/>
    <x v="3"/>
    <x v="0"/>
    <s v="Y"/>
    <n v="94"/>
    <x v="0"/>
    <d v="1899-12-30T00:01:20"/>
    <n v="4"/>
  </r>
  <r>
    <x v="4804"/>
    <s v="Greg"/>
    <x v="85"/>
    <d v="1899-12-30T12:23:02"/>
    <d v="2021-03-27T12:23:02"/>
    <x v="1"/>
    <x v="3"/>
    <x v="4"/>
    <x v="1"/>
    <s v="N"/>
    <m/>
    <x v="0"/>
    <m/>
    <m/>
  </r>
  <r>
    <x v="4805"/>
    <s v="Greg"/>
    <x v="85"/>
    <d v="1899-12-30T12:23:02"/>
    <d v="2021-03-27T12:23:02"/>
    <x v="1"/>
    <x v="3"/>
    <x v="2"/>
    <x v="0"/>
    <s v="Y"/>
    <n v="40"/>
    <x v="0"/>
    <d v="1899-12-30T00:03:50"/>
    <n v="2"/>
  </r>
  <r>
    <x v="4806"/>
    <s v="Martha"/>
    <x v="85"/>
    <d v="1899-12-30T12:25:55"/>
    <d v="2021-03-27T12:25:55"/>
    <x v="1"/>
    <x v="3"/>
    <x v="2"/>
    <x v="0"/>
    <s v="Y"/>
    <n v="15"/>
    <x v="1"/>
    <d v="1899-12-30T00:01:27"/>
    <n v="3"/>
  </r>
  <r>
    <x v="4807"/>
    <s v="Becky"/>
    <x v="85"/>
    <d v="1899-12-30T12:25:55"/>
    <d v="2021-03-27T12:25:55"/>
    <x v="1"/>
    <x v="3"/>
    <x v="2"/>
    <x v="1"/>
    <s v="N"/>
    <m/>
    <x v="0"/>
    <m/>
    <m/>
  </r>
  <r>
    <x v="4808"/>
    <s v="Greg"/>
    <x v="85"/>
    <d v="1899-12-30T12:54:43"/>
    <d v="2021-03-27T12:54:43"/>
    <x v="1"/>
    <x v="3"/>
    <x v="3"/>
    <x v="0"/>
    <s v="Y"/>
    <n v="104"/>
    <x v="0"/>
    <d v="1899-12-30T00:05:11"/>
    <n v="4"/>
  </r>
  <r>
    <x v="4809"/>
    <s v="Dan"/>
    <x v="85"/>
    <d v="1899-12-30T12:54:43"/>
    <d v="2021-03-27T12:54:43"/>
    <x v="1"/>
    <x v="3"/>
    <x v="4"/>
    <x v="0"/>
    <s v="Y"/>
    <n v="92"/>
    <x v="0"/>
    <d v="1899-12-30T00:03:18"/>
    <n v="3"/>
  </r>
  <r>
    <x v="4810"/>
    <s v="Greg"/>
    <x v="85"/>
    <d v="1899-12-30T13:23:31"/>
    <d v="2021-03-27T13:23:31"/>
    <x v="1"/>
    <x v="4"/>
    <x v="2"/>
    <x v="0"/>
    <s v="Y"/>
    <n v="103"/>
    <x v="0"/>
    <d v="1899-12-30T00:03:52"/>
    <n v="5"/>
  </r>
  <r>
    <x v="4811"/>
    <s v="Becky"/>
    <x v="85"/>
    <d v="1899-12-30T13:23:31"/>
    <d v="2021-03-27T13:23:31"/>
    <x v="1"/>
    <x v="4"/>
    <x v="2"/>
    <x v="0"/>
    <s v="Y"/>
    <n v="43"/>
    <x v="0"/>
    <d v="1899-12-30T00:01:30"/>
    <n v="4"/>
  </r>
  <r>
    <x v="4812"/>
    <s v="Stewart"/>
    <x v="85"/>
    <d v="1899-12-30T13:30:43"/>
    <d v="2021-03-27T13:30:43"/>
    <x v="1"/>
    <x v="4"/>
    <x v="1"/>
    <x v="0"/>
    <s v="Y"/>
    <n v="93"/>
    <x v="0"/>
    <d v="1899-12-30T00:00:58"/>
    <n v="4"/>
  </r>
  <r>
    <x v="4813"/>
    <s v="Joe"/>
    <x v="85"/>
    <d v="1899-12-30T13:30:43"/>
    <d v="2021-03-27T13:30:43"/>
    <x v="1"/>
    <x v="4"/>
    <x v="2"/>
    <x v="1"/>
    <s v="N"/>
    <m/>
    <x v="0"/>
    <m/>
    <m/>
  </r>
  <r>
    <x v="4814"/>
    <s v="Jim"/>
    <x v="85"/>
    <d v="1899-12-30T14:09:36"/>
    <d v="2021-03-27T14:09:36"/>
    <x v="1"/>
    <x v="5"/>
    <x v="4"/>
    <x v="0"/>
    <s v="Y"/>
    <n v="107"/>
    <x v="0"/>
    <d v="1899-12-30T00:03:25"/>
    <n v="3"/>
  </r>
  <r>
    <x v="4815"/>
    <s v="Becky"/>
    <x v="85"/>
    <d v="1899-12-30T14:09:36"/>
    <d v="2021-03-27T14:09:36"/>
    <x v="1"/>
    <x v="5"/>
    <x v="2"/>
    <x v="0"/>
    <s v="Y"/>
    <n v="51"/>
    <x v="0"/>
    <d v="1899-12-30T00:01:54"/>
    <n v="3"/>
  </r>
  <r>
    <x v="4816"/>
    <s v="Greg"/>
    <x v="85"/>
    <d v="1899-12-30T14:19:41"/>
    <d v="2021-03-27T14:19:41"/>
    <x v="1"/>
    <x v="5"/>
    <x v="2"/>
    <x v="1"/>
    <s v="N"/>
    <m/>
    <x v="0"/>
    <m/>
    <m/>
  </r>
  <r>
    <x v="4817"/>
    <s v="Jim"/>
    <x v="85"/>
    <d v="1899-12-30T14:19:41"/>
    <d v="2021-03-27T14:19:41"/>
    <x v="1"/>
    <x v="5"/>
    <x v="2"/>
    <x v="0"/>
    <s v="Y"/>
    <n v="50"/>
    <x v="0"/>
    <d v="1899-12-30T00:04:54"/>
    <n v="3"/>
  </r>
  <r>
    <x v="4818"/>
    <s v="Dan"/>
    <x v="85"/>
    <d v="1899-12-30T14:36:58"/>
    <d v="2021-03-27T14:36:58"/>
    <x v="1"/>
    <x v="5"/>
    <x v="4"/>
    <x v="0"/>
    <s v="Y"/>
    <n v="68"/>
    <x v="0"/>
    <d v="1899-12-30T00:03:58"/>
    <n v="5"/>
  </r>
  <r>
    <x v="4819"/>
    <s v="Stewart"/>
    <x v="85"/>
    <d v="1899-12-30T14:36:58"/>
    <d v="2021-03-27T14:36:58"/>
    <x v="1"/>
    <x v="5"/>
    <x v="2"/>
    <x v="0"/>
    <s v="Y"/>
    <n v="35"/>
    <x v="0"/>
    <d v="1899-12-30T00:04:12"/>
    <n v="4"/>
  </r>
  <r>
    <x v="4820"/>
    <s v="Stewart"/>
    <x v="85"/>
    <d v="1899-12-30T15:17:17"/>
    <d v="2021-03-27T15:17:17"/>
    <x v="1"/>
    <x v="6"/>
    <x v="0"/>
    <x v="0"/>
    <s v="Y"/>
    <n v="87"/>
    <x v="0"/>
    <d v="1899-12-30T00:06:45"/>
    <n v="1"/>
  </r>
  <r>
    <x v="4821"/>
    <s v="Martha"/>
    <x v="85"/>
    <d v="1899-12-30T15:17:17"/>
    <d v="2021-03-27T15:17:17"/>
    <x v="1"/>
    <x v="6"/>
    <x v="4"/>
    <x v="1"/>
    <s v="N"/>
    <m/>
    <x v="0"/>
    <m/>
    <m/>
  </r>
  <r>
    <x v="4822"/>
    <s v="Becky"/>
    <x v="85"/>
    <d v="1899-12-30T15:21:36"/>
    <d v="2021-03-27T15:21:36"/>
    <x v="1"/>
    <x v="6"/>
    <x v="0"/>
    <x v="1"/>
    <s v="N"/>
    <m/>
    <x v="0"/>
    <m/>
    <m/>
  </r>
  <r>
    <x v="4823"/>
    <s v="Dan"/>
    <x v="85"/>
    <d v="1899-12-30T15:21:36"/>
    <d v="2021-03-27T15:21:36"/>
    <x v="1"/>
    <x v="6"/>
    <x v="2"/>
    <x v="0"/>
    <s v="Y"/>
    <n v="79"/>
    <x v="0"/>
    <d v="1899-12-30T00:06:39"/>
    <n v="3"/>
  </r>
  <r>
    <x v="4824"/>
    <s v="Joe"/>
    <x v="85"/>
    <d v="1899-12-30T15:23:02"/>
    <d v="2021-03-27T15:23:02"/>
    <x v="1"/>
    <x v="6"/>
    <x v="3"/>
    <x v="0"/>
    <s v="Y"/>
    <n v="28"/>
    <x v="0"/>
    <d v="1899-12-30T00:02:59"/>
    <n v="1"/>
  </r>
  <r>
    <x v="4825"/>
    <s v="Greg"/>
    <x v="85"/>
    <d v="1899-12-30T15:23:02"/>
    <d v="2021-03-27T15:23:02"/>
    <x v="1"/>
    <x v="6"/>
    <x v="0"/>
    <x v="0"/>
    <s v="Y"/>
    <n v="82"/>
    <x v="0"/>
    <d v="1899-12-30T00:03:19"/>
    <n v="5"/>
  </r>
  <r>
    <x v="4826"/>
    <s v="Dan"/>
    <x v="85"/>
    <d v="1899-12-30T15:36:00"/>
    <d v="2021-03-27T15:36:00"/>
    <x v="1"/>
    <x v="6"/>
    <x v="4"/>
    <x v="0"/>
    <s v="Y"/>
    <n v="56"/>
    <x v="0"/>
    <d v="1899-12-30T00:02:06"/>
    <n v="3"/>
  </r>
  <r>
    <x v="4827"/>
    <s v="Becky"/>
    <x v="85"/>
    <d v="1899-12-30T15:36:00"/>
    <d v="2021-03-27T15:36:00"/>
    <x v="1"/>
    <x v="6"/>
    <x v="2"/>
    <x v="0"/>
    <s v="Y"/>
    <n v="102"/>
    <x v="0"/>
    <d v="1899-12-30T00:06:17"/>
    <n v="4"/>
  </r>
  <r>
    <x v="4828"/>
    <s v="Diane"/>
    <x v="85"/>
    <d v="1899-12-30T15:43:12"/>
    <d v="2021-03-27T15:43:12"/>
    <x v="1"/>
    <x v="6"/>
    <x v="1"/>
    <x v="1"/>
    <s v="N"/>
    <m/>
    <x v="0"/>
    <m/>
    <m/>
  </r>
  <r>
    <x v="4829"/>
    <s v="Joe"/>
    <x v="85"/>
    <d v="1899-12-30T15:43:12"/>
    <d v="2021-03-27T15:43:12"/>
    <x v="1"/>
    <x v="6"/>
    <x v="3"/>
    <x v="0"/>
    <s v="Y"/>
    <n v="11"/>
    <x v="1"/>
    <d v="1899-12-30T00:05:51"/>
    <n v="5"/>
  </r>
  <r>
    <x v="4830"/>
    <s v="Joe"/>
    <x v="85"/>
    <d v="1899-12-30T15:46:05"/>
    <d v="2021-03-27T15:46:05"/>
    <x v="1"/>
    <x v="6"/>
    <x v="2"/>
    <x v="0"/>
    <s v="Y"/>
    <n v="76"/>
    <x v="0"/>
    <d v="1899-12-30T00:04:32"/>
    <n v="1"/>
  </r>
  <r>
    <x v="4831"/>
    <s v="Dan"/>
    <x v="85"/>
    <d v="1899-12-30T15:46:05"/>
    <d v="2021-03-27T15:46:05"/>
    <x v="1"/>
    <x v="6"/>
    <x v="2"/>
    <x v="0"/>
    <s v="Y"/>
    <n v="69"/>
    <x v="0"/>
    <d v="1899-12-30T00:05:33"/>
    <n v="5"/>
  </r>
  <r>
    <x v="4832"/>
    <s v="Stewart"/>
    <x v="85"/>
    <d v="1899-12-30T15:51:50"/>
    <d v="2021-03-27T15:51:50"/>
    <x v="1"/>
    <x v="6"/>
    <x v="3"/>
    <x v="0"/>
    <s v="N"/>
    <n v="108"/>
    <x v="0"/>
    <d v="1899-12-30T00:06:54"/>
    <n v="3"/>
  </r>
  <r>
    <x v="4833"/>
    <s v="Becky"/>
    <x v="85"/>
    <d v="1899-12-30T15:51:50"/>
    <d v="2021-03-27T15:51:50"/>
    <x v="1"/>
    <x v="6"/>
    <x v="1"/>
    <x v="0"/>
    <s v="Y"/>
    <n v="47"/>
    <x v="0"/>
    <d v="1899-12-30T00:02:39"/>
    <n v="3"/>
  </r>
  <r>
    <x v="4834"/>
    <s v="Joe"/>
    <x v="85"/>
    <d v="1899-12-30T15:53:17"/>
    <d v="2021-03-27T15:53:17"/>
    <x v="1"/>
    <x v="6"/>
    <x v="3"/>
    <x v="0"/>
    <s v="N"/>
    <n v="51"/>
    <x v="0"/>
    <d v="1899-12-30T00:05:15"/>
    <n v="3"/>
  </r>
  <r>
    <x v="4835"/>
    <s v="Dan"/>
    <x v="85"/>
    <d v="1899-12-30T15:53:17"/>
    <d v="2021-03-27T15:53:17"/>
    <x v="1"/>
    <x v="6"/>
    <x v="1"/>
    <x v="0"/>
    <s v="Y"/>
    <n v="57"/>
    <x v="0"/>
    <d v="1899-12-30T00:03:29"/>
    <n v="3"/>
  </r>
  <r>
    <x v="4836"/>
    <s v="Stewart"/>
    <x v="85"/>
    <d v="1899-12-30T16:16:19"/>
    <d v="2021-03-27T16:16:19"/>
    <x v="1"/>
    <x v="8"/>
    <x v="1"/>
    <x v="0"/>
    <s v="N"/>
    <n v="67"/>
    <x v="0"/>
    <d v="1899-12-30T00:06:51"/>
    <n v="4"/>
  </r>
  <r>
    <x v="4837"/>
    <s v="Diane"/>
    <x v="85"/>
    <d v="1899-12-30T16:16:19"/>
    <d v="2021-03-27T16:16:19"/>
    <x v="1"/>
    <x v="8"/>
    <x v="4"/>
    <x v="0"/>
    <s v="N"/>
    <n v="22"/>
    <x v="0"/>
    <d v="1899-12-30T00:06:08"/>
    <n v="4"/>
  </r>
  <r>
    <x v="4838"/>
    <s v="Martha"/>
    <x v="85"/>
    <d v="1899-12-30T16:16:19"/>
    <d v="2021-03-27T16:16:19"/>
    <x v="1"/>
    <x v="8"/>
    <x v="2"/>
    <x v="0"/>
    <s v="Y"/>
    <n v="23"/>
    <x v="0"/>
    <d v="1899-12-30T00:01:43"/>
    <n v="2"/>
  </r>
  <r>
    <x v="4839"/>
    <s v="Dan"/>
    <x v="85"/>
    <d v="1899-12-30T16:16:19"/>
    <d v="2021-03-27T16:16:19"/>
    <x v="1"/>
    <x v="8"/>
    <x v="3"/>
    <x v="0"/>
    <s v="Y"/>
    <n v="88"/>
    <x v="0"/>
    <d v="1899-12-30T00:01:51"/>
    <n v="4"/>
  </r>
  <r>
    <x v="4840"/>
    <s v="Martha"/>
    <x v="85"/>
    <d v="1899-12-30T16:26:24"/>
    <d v="2021-03-27T16:26:24"/>
    <x v="1"/>
    <x v="8"/>
    <x v="1"/>
    <x v="0"/>
    <s v="Y"/>
    <n v="44"/>
    <x v="0"/>
    <d v="1899-12-30T00:06:09"/>
    <n v="3"/>
  </r>
  <r>
    <x v="4841"/>
    <s v="Joe"/>
    <x v="85"/>
    <d v="1899-12-30T16:26:24"/>
    <d v="2021-03-27T16:26:24"/>
    <x v="1"/>
    <x v="8"/>
    <x v="4"/>
    <x v="0"/>
    <s v="Y"/>
    <n v="111"/>
    <x v="0"/>
    <d v="1899-12-30T00:04:10"/>
    <n v="4"/>
  </r>
  <r>
    <x v="4842"/>
    <s v="Jim"/>
    <x v="85"/>
    <d v="1899-12-30T16:50:53"/>
    <d v="2021-03-27T16:50:53"/>
    <x v="1"/>
    <x v="8"/>
    <x v="3"/>
    <x v="1"/>
    <s v="N"/>
    <m/>
    <x v="0"/>
    <m/>
    <m/>
  </r>
  <r>
    <x v="4843"/>
    <s v="Diane"/>
    <x v="85"/>
    <d v="1899-12-30T16:50:53"/>
    <d v="2021-03-27T16:50:53"/>
    <x v="1"/>
    <x v="8"/>
    <x v="3"/>
    <x v="0"/>
    <s v="Y"/>
    <n v="61"/>
    <x v="0"/>
    <d v="1899-12-30T00:06:14"/>
    <n v="4"/>
  </r>
  <r>
    <x v="4844"/>
    <s v="Martha"/>
    <x v="85"/>
    <d v="1899-12-30T16:58:05"/>
    <d v="2021-03-27T16:58:05"/>
    <x v="1"/>
    <x v="8"/>
    <x v="2"/>
    <x v="0"/>
    <s v="Y"/>
    <n v="108"/>
    <x v="0"/>
    <d v="1899-12-30T00:03:30"/>
    <n v="4"/>
  </r>
  <r>
    <x v="4845"/>
    <s v="Stewart"/>
    <x v="85"/>
    <d v="1899-12-30T16:58:05"/>
    <d v="2021-03-27T16:58:05"/>
    <x v="1"/>
    <x v="8"/>
    <x v="0"/>
    <x v="1"/>
    <s v="N"/>
    <m/>
    <x v="0"/>
    <m/>
    <m/>
  </r>
  <r>
    <x v="4846"/>
    <s v="Stewart"/>
    <x v="85"/>
    <d v="1899-12-30T17:15:22"/>
    <d v="2021-03-27T17:15:22"/>
    <x v="1"/>
    <x v="7"/>
    <x v="4"/>
    <x v="0"/>
    <s v="Y"/>
    <n v="57"/>
    <x v="0"/>
    <d v="1899-12-30T00:04:20"/>
    <n v="5"/>
  </r>
  <r>
    <x v="4847"/>
    <s v="Becky"/>
    <x v="85"/>
    <d v="1899-12-30T17:15:22"/>
    <d v="2021-03-27T17:15:22"/>
    <x v="1"/>
    <x v="7"/>
    <x v="1"/>
    <x v="0"/>
    <s v="Y"/>
    <n v="55"/>
    <x v="0"/>
    <d v="1899-12-30T00:04:14"/>
    <n v="4"/>
  </r>
  <r>
    <x v="4848"/>
    <s v="Martha"/>
    <x v="85"/>
    <d v="1899-12-30T17:35:31"/>
    <d v="2021-03-27T17:35:31"/>
    <x v="1"/>
    <x v="7"/>
    <x v="1"/>
    <x v="0"/>
    <s v="N"/>
    <n v="35"/>
    <x v="0"/>
    <d v="1899-12-30T00:03:30"/>
    <n v="4"/>
  </r>
  <r>
    <x v="4849"/>
    <s v="Jim"/>
    <x v="85"/>
    <d v="1899-12-30T17:35:31"/>
    <d v="2021-03-27T17:35:31"/>
    <x v="1"/>
    <x v="7"/>
    <x v="0"/>
    <x v="0"/>
    <s v="Y"/>
    <n v="28"/>
    <x v="0"/>
    <d v="1899-12-30T00:02:38"/>
    <n v="4"/>
  </r>
  <r>
    <x v="4850"/>
    <s v="Dan"/>
    <x v="86"/>
    <d v="1899-12-30T09:12:58"/>
    <d v="2021-03-28T09:12:58"/>
    <x v="2"/>
    <x v="0"/>
    <x v="4"/>
    <x v="0"/>
    <s v="Y"/>
    <n v="13"/>
    <x v="1"/>
    <d v="1899-12-30T00:02:05"/>
    <n v="3"/>
  </r>
  <r>
    <x v="4851"/>
    <s v="Jim"/>
    <x v="86"/>
    <d v="1899-12-30T09:12:58"/>
    <d v="2021-03-28T09:12:58"/>
    <x v="2"/>
    <x v="0"/>
    <x v="3"/>
    <x v="0"/>
    <s v="Y"/>
    <n v="37"/>
    <x v="0"/>
    <d v="1899-12-30T00:01:04"/>
    <n v="2"/>
  </r>
  <r>
    <x v="4852"/>
    <s v="Dan"/>
    <x v="86"/>
    <d v="1899-12-30T09:38:53"/>
    <d v="2021-03-28T09:38:53"/>
    <x v="2"/>
    <x v="0"/>
    <x v="1"/>
    <x v="0"/>
    <s v="Y"/>
    <n v="99"/>
    <x v="0"/>
    <d v="1899-12-30T00:04:36"/>
    <n v="3"/>
  </r>
  <r>
    <x v="4853"/>
    <s v="Joe"/>
    <x v="86"/>
    <d v="1899-12-30T09:38:53"/>
    <d v="2021-03-28T09:38:53"/>
    <x v="2"/>
    <x v="0"/>
    <x v="1"/>
    <x v="0"/>
    <s v="N"/>
    <n v="89"/>
    <x v="0"/>
    <d v="1899-12-30T00:04:03"/>
    <n v="1"/>
  </r>
  <r>
    <x v="4854"/>
    <s v="Dan"/>
    <x v="86"/>
    <d v="1899-12-30T10:26:24"/>
    <d v="2021-03-28T10:26:24"/>
    <x v="2"/>
    <x v="1"/>
    <x v="3"/>
    <x v="0"/>
    <s v="N"/>
    <n v="22"/>
    <x v="0"/>
    <d v="1899-12-30T00:02:58"/>
    <n v="5"/>
  </r>
  <r>
    <x v="4855"/>
    <s v="Martha"/>
    <x v="86"/>
    <d v="1899-12-30T10:26:24"/>
    <d v="2021-03-28T10:26:24"/>
    <x v="2"/>
    <x v="1"/>
    <x v="1"/>
    <x v="1"/>
    <s v="N"/>
    <m/>
    <x v="0"/>
    <m/>
    <m/>
  </r>
  <r>
    <x v="4856"/>
    <s v="Diane"/>
    <x v="86"/>
    <d v="1899-12-30T11:03:50"/>
    <d v="2021-03-28T11:03:50"/>
    <x v="2"/>
    <x v="2"/>
    <x v="2"/>
    <x v="0"/>
    <s v="Y"/>
    <n v="32"/>
    <x v="0"/>
    <d v="1899-12-30T00:00:49"/>
    <n v="4"/>
  </r>
  <r>
    <x v="4857"/>
    <s v="Becky"/>
    <x v="86"/>
    <d v="1899-12-30T11:03:50"/>
    <d v="2021-03-28T11:03:50"/>
    <x v="2"/>
    <x v="2"/>
    <x v="2"/>
    <x v="1"/>
    <s v="N"/>
    <m/>
    <x v="0"/>
    <m/>
    <m/>
  </r>
  <r>
    <x v="4858"/>
    <s v="Greg"/>
    <x v="86"/>
    <d v="1899-12-30T11:28:19"/>
    <d v="2021-03-28T11:28:19"/>
    <x v="2"/>
    <x v="2"/>
    <x v="2"/>
    <x v="0"/>
    <s v="Y"/>
    <n v="88"/>
    <x v="0"/>
    <d v="1899-12-30T00:01:26"/>
    <n v="3"/>
  </r>
  <r>
    <x v="4859"/>
    <s v="Stewart"/>
    <x v="86"/>
    <d v="1899-12-30T11:28:19"/>
    <d v="2021-03-28T11:28:19"/>
    <x v="2"/>
    <x v="2"/>
    <x v="1"/>
    <x v="1"/>
    <s v="N"/>
    <m/>
    <x v="0"/>
    <m/>
    <m/>
  </r>
  <r>
    <x v="4860"/>
    <s v="Diane"/>
    <x v="86"/>
    <d v="1899-12-30T11:29:46"/>
    <d v="2021-03-28T11:29:46"/>
    <x v="2"/>
    <x v="2"/>
    <x v="0"/>
    <x v="0"/>
    <s v="Y"/>
    <n v="29"/>
    <x v="0"/>
    <d v="1899-12-30T00:03:03"/>
    <n v="3"/>
  </r>
  <r>
    <x v="4861"/>
    <s v="Joe"/>
    <x v="86"/>
    <d v="1899-12-30T11:29:46"/>
    <d v="2021-03-28T11:29:46"/>
    <x v="2"/>
    <x v="2"/>
    <x v="3"/>
    <x v="0"/>
    <s v="Y"/>
    <n v="32"/>
    <x v="0"/>
    <d v="1899-12-30T00:02:02"/>
    <n v="3"/>
  </r>
  <r>
    <x v="4862"/>
    <s v="Jim"/>
    <x v="86"/>
    <d v="1899-12-30T12:47:31"/>
    <d v="2021-03-28T12:47:31"/>
    <x v="2"/>
    <x v="3"/>
    <x v="0"/>
    <x v="0"/>
    <s v="Y"/>
    <n v="16"/>
    <x v="1"/>
    <d v="1899-12-30T00:03:57"/>
    <n v="1"/>
  </r>
  <r>
    <x v="4863"/>
    <s v="Becky"/>
    <x v="86"/>
    <d v="1899-12-30T12:47:31"/>
    <d v="2021-03-28T12:47:31"/>
    <x v="2"/>
    <x v="3"/>
    <x v="1"/>
    <x v="0"/>
    <s v="Y"/>
    <n v="79"/>
    <x v="0"/>
    <d v="1899-12-30T00:03:22"/>
    <n v="1"/>
  </r>
  <r>
    <x v="4864"/>
    <s v="Becky"/>
    <x v="86"/>
    <d v="1899-12-30T13:04:48"/>
    <d v="2021-03-28T13:04:48"/>
    <x v="2"/>
    <x v="4"/>
    <x v="3"/>
    <x v="0"/>
    <s v="Y"/>
    <n v="23"/>
    <x v="0"/>
    <d v="1899-12-30T00:00:52"/>
    <n v="1"/>
  </r>
  <r>
    <x v="4865"/>
    <s v="Jim"/>
    <x v="86"/>
    <d v="1899-12-30T13:04:48"/>
    <d v="2021-03-28T13:04:48"/>
    <x v="2"/>
    <x v="4"/>
    <x v="1"/>
    <x v="0"/>
    <s v="N"/>
    <n v="94"/>
    <x v="0"/>
    <d v="1899-12-30T00:05:58"/>
    <n v="5"/>
  </r>
  <r>
    <x v="4866"/>
    <s v="Joe"/>
    <x v="86"/>
    <d v="1899-12-30T13:06:14"/>
    <d v="2021-03-28T13:06:14"/>
    <x v="2"/>
    <x v="4"/>
    <x v="3"/>
    <x v="0"/>
    <s v="Y"/>
    <n v="39"/>
    <x v="0"/>
    <d v="1899-12-30T00:06:09"/>
    <n v="4"/>
  </r>
  <r>
    <x v="4867"/>
    <s v="Greg"/>
    <x v="86"/>
    <d v="1899-12-30T13:06:14"/>
    <d v="2021-03-28T13:06:14"/>
    <x v="2"/>
    <x v="4"/>
    <x v="4"/>
    <x v="0"/>
    <s v="Y"/>
    <n v="12"/>
    <x v="1"/>
    <d v="1899-12-30T00:00:35"/>
    <n v="2"/>
  </r>
  <r>
    <x v="4868"/>
    <s v="Stewart"/>
    <x v="86"/>
    <d v="1899-12-30T13:37:55"/>
    <d v="2021-03-28T13:37:55"/>
    <x v="2"/>
    <x v="4"/>
    <x v="4"/>
    <x v="0"/>
    <s v="Y"/>
    <n v="54"/>
    <x v="0"/>
    <d v="1899-12-30T00:01:50"/>
    <n v="3"/>
  </r>
  <r>
    <x v="4869"/>
    <s v="Joe"/>
    <x v="86"/>
    <d v="1899-12-30T13:37:55"/>
    <d v="2021-03-28T13:37:55"/>
    <x v="2"/>
    <x v="4"/>
    <x v="3"/>
    <x v="1"/>
    <s v="N"/>
    <m/>
    <x v="0"/>
    <m/>
    <m/>
  </r>
  <r>
    <x v="4870"/>
    <s v="Dan"/>
    <x v="86"/>
    <d v="1899-12-30T15:12:58"/>
    <d v="2021-03-28T15:12:58"/>
    <x v="2"/>
    <x v="6"/>
    <x v="1"/>
    <x v="0"/>
    <s v="N"/>
    <n v="70"/>
    <x v="0"/>
    <d v="1899-12-30T00:04:00"/>
    <n v="5"/>
  </r>
  <r>
    <x v="4871"/>
    <s v="Martha"/>
    <x v="86"/>
    <d v="1899-12-30T15:12:58"/>
    <d v="2021-03-28T15:12:58"/>
    <x v="2"/>
    <x v="6"/>
    <x v="4"/>
    <x v="0"/>
    <s v="Y"/>
    <n v="123"/>
    <x v="0"/>
    <d v="1899-12-30T00:01:27"/>
    <n v="2"/>
  </r>
  <r>
    <x v="4872"/>
    <s v="Stewart"/>
    <x v="86"/>
    <d v="1899-12-30T16:01:55"/>
    <d v="2021-03-28T16:01:55"/>
    <x v="2"/>
    <x v="8"/>
    <x v="1"/>
    <x v="0"/>
    <s v="Y"/>
    <n v="27"/>
    <x v="0"/>
    <d v="1899-12-30T00:02:58"/>
    <n v="1"/>
  </r>
  <r>
    <x v="4873"/>
    <s v="Dan"/>
    <x v="86"/>
    <d v="1899-12-30T16:01:55"/>
    <d v="2021-03-28T16:01:55"/>
    <x v="2"/>
    <x v="8"/>
    <x v="2"/>
    <x v="0"/>
    <s v="Y"/>
    <n v="112"/>
    <x v="0"/>
    <d v="1899-12-30T00:03:40"/>
    <n v="5"/>
  </r>
  <r>
    <x v="4874"/>
    <s v="Diane"/>
    <x v="86"/>
    <d v="1899-12-30T16:04:48"/>
    <d v="2021-03-28T16:04:48"/>
    <x v="2"/>
    <x v="8"/>
    <x v="1"/>
    <x v="1"/>
    <s v="N"/>
    <m/>
    <x v="0"/>
    <m/>
    <m/>
  </r>
  <r>
    <x v="4875"/>
    <s v="Dan"/>
    <x v="86"/>
    <d v="1899-12-30T16:04:48"/>
    <d v="2021-03-28T16:04:48"/>
    <x v="2"/>
    <x v="8"/>
    <x v="2"/>
    <x v="1"/>
    <s v="N"/>
    <m/>
    <x v="0"/>
    <m/>
    <m/>
  </r>
  <r>
    <x v="4876"/>
    <s v="Becky"/>
    <x v="86"/>
    <d v="1899-12-30T16:58:05"/>
    <d v="2021-03-28T16:58:05"/>
    <x v="2"/>
    <x v="8"/>
    <x v="2"/>
    <x v="0"/>
    <s v="Y"/>
    <n v="119"/>
    <x v="0"/>
    <d v="1899-12-30T00:05:04"/>
    <n v="1"/>
  </r>
  <r>
    <x v="4877"/>
    <s v="Stewart"/>
    <x v="86"/>
    <d v="1899-12-30T16:58:05"/>
    <d v="2021-03-28T16:58:05"/>
    <x v="2"/>
    <x v="8"/>
    <x v="0"/>
    <x v="0"/>
    <s v="Y"/>
    <n v="18"/>
    <x v="1"/>
    <d v="1899-12-30T00:04:27"/>
    <n v="4"/>
  </r>
  <r>
    <x v="4878"/>
    <s v="Diane"/>
    <x v="86"/>
    <d v="1899-12-30T17:05:17"/>
    <d v="2021-03-28T17:05:17"/>
    <x v="2"/>
    <x v="7"/>
    <x v="2"/>
    <x v="0"/>
    <s v="Y"/>
    <n v="24"/>
    <x v="0"/>
    <d v="1899-12-30T00:00:51"/>
    <n v="3"/>
  </r>
  <r>
    <x v="4879"/>
    <s v="Joe"/>
    <x v="86"/>
    <d v="1899-12-30T17:05:17"/>
    <d v="2021-03-28T17:05:17"/>
    <x v="2"/>
    <x v="7"/>
    <x v="0"/>
    <x v="0"/>
    <s v="Y"/>
    <n v="70"/>
    <x v="0"/>
    <d v="1899-12-30T00:03:18"/>
    <n v="3"/>
  </r>
  <r>
    <x v="4880"/>
    <s v="Greg"/>
    <x v="86"/>
    <d v="1899-12-30T17:09:36"/>
    <d v="2021-03-28T17:09:36"/>
    <x v="2"/>
    <x v="7"/>
    <x v="3"/>
    <x v="1"/>
    <s v="N"/>
    <m/>
    <x v="0"/>
    <m/>
    <m/>
  </r>
  <r>
    <x v="4881"/>
    <s v="Greg"/>
    <x v="86"/>
    <d v="1899-12-30T17:09:36"/>
    <d v="2021-03-28T17:09:36"/>
    <x v="2"/>
    <x v="7"/>
    <x v="4"/>
    <x v="0"/>
    <s v="Y"/>
    <n v="120"/>
    <x v="0"/>
    <d v="1899-12-30T00:06:17"/>
    <n v="2"/>
  </r>
  <r>
    <x v="4882"/>
    <s v="Jim"/>
    <x v="86"/>
    <d v="1899-12-30T17:19:41"/>
    <d v="2021-03-28T17:19:41"/>
    <x v="2"/>
    <x v="7"/>
    <x v="1"/>
    <x v="0"/>
    <s v="Y"/>
    <n v="46"/>
    <x v="0"/>
    <d v="1899-12-30T00:04:09"/>
    <n v="3"/>
  </r>
  <r>
    <x v="4883"/>
    <s v="Greg"/>
    <x v="86"/>
    <d v="1899-12-30T17:19:41"/>
    <d v="2021-03-28T17:19:41"/>
    <x v="2"/>
    <x v="7"/>
    <x v="2"/>
    <x v="0"/>
    <s v="Y"/>
    <n v="10"/>
    <x v="1"/>
    <d v="1899-12-30T00:02:32"/>
    <n v="2"/>
  </r>
  <r>
    <x v="4884"/>
    <s v="Dan"/>
    <x v="86"/>
    <d v="1899-12-30T17:52:48"/>
    <d v="2021-03-28T17:52:48"/>
    <x v="2"/>
    <x v="7"/>
    <x v="0"/>
    <x v="0"/>
    <s v="Y"/>
    <n v="32"/>
    <x v="0"/>
    <d v="1899-12-30T00:00:47"/>
    <n v="3"/>
  </r>
  <r>
    <x v="4885"/>
    <s v="Stewart"/>
    <x v="86"/>
    <d v="1899-12-30T17:52:48"/>
    <d v="2021-03-28T17:52:48"/>
    <x v="2"/>
    <x v="7"/>
    <x v="4"/>
    <x v="0"/>
    <s v="Y"/>
    <n v="16"/>
    <x v="1"/>
    <d v="1899-12-30T00:01:23"/>
    <n v="4"/>
  </r>
  <r>
    <x v="4886"/>
    <s v="Joe"/>
    <x v="86"/>
    <d v="1899-12-30T17:58:34"/>
    <d v="2021-03-28T17:58:34"/>
    <x v="2"/>
    <x v="7"/>
    <x v="2"/>
    <x v="0"/>
    <s v="Y"/>
    <n v="64"/>
    <x v="0"/>
    <d v="1899-12-30T00:04:16"/>
    <n v="3"/>
  </r>
  <r>
    <x v="4887"/>
    <s v="Diane"/>
    <x v="86"/>
    <d v="1899-12-30T17:58:34"/>
    <d v="2021-03-28T17:58:34"/>
    <x v="2"/>
    <x v="7"/>
    <x v="0"/>
    <x v="0"/>
    <s v="Y"/>
    <n v="103"/>
    <x v="0"/>
    <d v="1899-12-30T00:06:32"/>
    <n v="5"/>
  </r>
  <r>
    <x v="4888"/>
    <s v="Martha"/>
    <x v="87"/>
    <d v="1899-12-30T09:11:31"/>
    <d v="2021-03-29T09:11:31"/>
    <x v="3"/>
    <x v="0"/>
    <x v="3"/>
    <x v="0"/>
    <s v="Y"/>
    <n v="109"/>
    <x v="0"/>
    <d v="1899-12-30T00:06:21"/>
    <n v="5"/>
  </r>
  <r>
    <x v="4889"/>
    <s v="Martha"/>
    <x v="87"/>
    <d v="1899-12-30T09:11:31"/>
    <d v="2021-03-29T09:11:31"/>
    <x v="3"/>
    <x v="0"/>
    <x v="1"/>
    <x v="0"/>
    <s v="Y"/>
    <n v="61"/>
    <x v="0"/>
    <d v="1899-12-30T00:02:42"/>
    <n v="5"/>
  </r>
  <r>
    <x v="4890"/>
    <s v="Martha"/>
    <x v="87"/>
    <d v="1899-12-30T09:50:24"/>
    <d v="2021-03-29T09:50:24"/>
    <x v="3"/>
    <x v="0"/>
    <x v="4"/>
    <x v="1"/>
    <s v="N"/>
    <m/>
    <x v="0"/>
    <m/>
    <m/>
  </r>
  <r>
    <x v="4891"/>
    <s v="Joe"/>
    <x v="87"/>
    <d v="1899-12-30T09:50:24"/>
    <d v="2021-03-29T09:50:24"/>
    <x v="3"/>
    <x v="0"/>
    <x v="2"/>
    <x v="0"/>
    <s v="Y"/>
    <n v="23"/>
    <x v="0"/>
    <d v="1899-12-30T00:03:12"/>
    <n v="5"/>
  </r>
  <r>
    <x v="4892"/>
    <s v="Diane"/>
    <x v="87"/>
    <d v="1899-12-30T10:04:48"/>
    <d v="2021-03-29T10:04:48"/>
    <x v="3"/>
    <x v="1"/>
    <x v="0"/>
    <x v="0"/>
    <s v="Y"/>
    <n v="63"/>
    <x v="0"/>
    <d v="1899-12-30T00:03:02"/>
    <n v="4"/>
  </r>
  <r>
    <x v="4893"/>
    <s v="Diane"/>
    <x v="87"/>
    <d v="1899-12-30T10:04:48"/>
    <d v="2021-03-29T10:04:48"/>
    <x v="3"/>
    <x v="1"/>
    <x v="0"/>
    <x v="0"/>
    <s v="Y"/>
    <n v="117"/>
    <x v="0"/>
    <d v="1899-12-30T00:06:06"/>
    <n v="5"/>
  </r>
  <r>
    <x v="4894"/>
    <s v="Stewart"/>
    <x v="87"/>
    <d v="1899-12-30T10:39:22"/>
    <d v="2021-03-29T10:39:22"/>
    <x v="3"/>
    <x v="1"/>
    <x v="1"/>
    <x v="0"/>
    <s v="Y"/>
    <n v="122"/>
    <x v="0"/>
    <d v="1899-12-30T00:05:41"/>
    <n v="1"/>
  </r>
  <r>
    <x v="4895"/>
    <s v="Martha"/>
    <x v="87"/>
    <d v="1899-12-30T10:39:22"/>
    <d v="2021-03-29T10:39:22"/>
    <x v="3"/>
    <x v="1"/>
    <x v="1"/>
    <x v="1"/>
    <s v="N"/>
    <m/>
    <x v="0"/>
    <m/>
    <m/>
  </r>
  <r>
    <x v="4896"/>
    <s v="Becky"/>
    <x v="87"/>
    <d v="1899-12-30T10:45:07"/>
    <d v="2021-03-29T10:45:07"/>
    <x v="3"/>
    <x v="1"/>
    <x v="3"/>
    <x v="0"/>
    <s v="Y"/>
    <n v="77"/>
    <x v="0"/>
    <d v="1899-12-30T00:01:31"/>
    <n v="4"/>
  </r>
  <r>
    <x v="4897"/>
    <s v="Diane"/>
    <x v="87"/>
    <d v="1899-12-30T10:45:07"/>
    <d v="2021-03-29T10:45:07"/>
    <x v="3"/>
    <x v="1"/>
    <x v="0"/>
    <x v="0"/>
    <s v="Y"/>
    <n v="93"/>
    <x v="0"/>
    <d v="1899-12-30T00:04:51"/>
    <n v="2"/>
  </r>
  <r>
    <x v="4898"/>
    <s v="Stewart"/>
    <x v="87"/>
    <d v="1899-12-30T10:49:26"/>
    <d v="2021-03-29T10:49:26"/>
    <x v="3"/>
    <x v="1"/>
    <x v="1"/>
    <x v="0"/>
    <s v="Y"/>
    <n v="53"/>
    <x v="0"/>
    <d v="1899-12-30T00:05:34"/>
    <n v="2"/>
  </r>
  <r>
    <x v="4899"/>
    <s v="Greg"/>
    <x v="87"/>
    <d v="1899-12-30T10:49:26"/>
    <d v="2021-03-29T10:49:26"/>
    <x v="3"/>
    <x v="1"/>
    <x v="1"/>
    <x v="1"/>
    <s v="N"/>
    <m/>
    <x v="0"/>
    <m/>
    <m/>
  </r>
  <r>
    <x v="4900"/>
    <s v="Martha"/>
    <x v="87"/>
    <d v="1899-12-30T11:05:17"/>
    <d v="2021-03-29T11:05:17"/>
    <x v="3"/>
    <x v="2"/>
    <x v="1"/>
    <x v="0"/>
    <s v="Y"/>
    <n v="27"/>
    <x v="0"/>
    <d v="1899-12-30T00:06:59"/>
    <n v="2"/>
  </r>
  <r>
    <x v="4901"/>
    <s v="Martha"/>
    <x v="87"/>
    <d v="1899-12-30T11:05:17"/>
    <d v="2021-03-29T11:05:17"/>
    <x v="3"/>
    <x v="2"/>
    <x v="2"/>
    <x v="0"/>
    <s v="Y"/>
    <n v="111"/>
    <x v="0"/>
    <d v="1899-12-30T00:01:03"/>
    <n v="5"/>
  </r>
  <r>
    <x v="4902"/>
    <s v="Stewart"/>
    <x v="87"/>
    <d v="1899-12-30T11:12:29"/>
    <d v="2021-03-29T11:12:29"/>
    <x v="3"/>
    <x v="2"/>
    <x v="2"/>
    <x v="0"/>
    <s v="Y"/>
    <n v="87"/>
    <x v="0"/>
    <d v="1899-12-30T00:03:51"/>
    <n v="3"/>
  </r>
  <r>
    <x v="4903"/>
    <s v="Martha"/>
    <x v="87"/>
    <d v="1899-12-30T11:12:29"/>
    <d v="2021-03-29T11:12:29"/>
    <x v="3"/>
    <x v="2"/>
    <x v="0"/>
    <x v="0"/>
    <s v="Y"/>
    <n v="78"/>
    <x v="0"/>
    <d v="1899-12-30T00:00:31"/>
    <n v="4"/>
  </r>
  <r>
    <x v="4904"/>
    <s v="Greg"/>
    <x v="87"/>
    <d v="1899-12-30T11:34:05"/>
    <d v="2021-03-29T11:34:05"/>
    <x v="3"/>
    <x v="2"/>
    <x v="0"/>
    <x v="0"/>
    <s v="Y"/>
    <n v="78"/>
    <x v="0"/>
    <d v="1899-12-30T00:03:05"/>
    <n v="1"/>
  </r>
  <r>
    <x v="4905"/>
    <s v="Martha"/>
    <x v="87"/>
    <d v="1899-12-30T11:34:05"/>
    <d v="2021-03-29T11:34:05"/>
    <x v="3"/>
    <x v="2"/>
    <x v="0"/>
    <x v="0"/>
    <s v="Y"/>
    <n v="116"/>
    <x v="0"/>
    <d v="1899-12-30T00:04:55"/>
    <n v="3"/>
  </r>
  <r>
    <x v="4906"/>
    <s v="Stewart"/>
    <x v="87"/>
    <d v="1899-12-30T11:52:48"/>
    <d v="2021-03-29T11:52:48"/>
    <x v="3"/>
    <x v="2"/>
    <x v="1"/>
    <x v="0"/>
    <s v="Y"/>
    <n v="84"/>
    <x v="0"/>
    <d v="1899-12-30T00:01:53"/>
    <n v="3"/>
  </r>
  <r>
    <x v="4907"/>
    <s v="Becky"/>
    <x v="87"/>
    <d v="1899-12-30T11:52:48"/>
    <d v="2021-03-29T11:52:48"/>
    <x v="3"/>
    <x v="2"/>
    <x v="3"/>
    <x v="0"/>
    <s v="Y"/>
    <n v="44"/>
    <x v="0"/>
    <d v="1899-12-30T00:02:33"/>
    <n v="2"/>
  </r>
  <r>
    <x v="4908"/>
    <s v="Jim"/>
    <x v="87"/>
    <d v="1899-12-30T12:00:00"/>
    <d v="2021-03-29T12:00:00"/>
    <x v="3"/>
    <x v="3"/>
    <x v="0"/>
    <x v="0"/>
    <s v="N"/>
    <n v="121"/>
    <x v="0"/>
    <d v="1899-12-30T00:05:34"/>
    <n v="3"/>
  </r>
  <r>
    <x v="4909"/>
    <s v="Jim"/>
    <x v="87"/>
    <d v="1899-12-30T12:00:00"/>
    <d v="2021-03-29T12:00:00"/>
    <x v="3"/>
    <x v="3"/>
    <x v="2"/>
    <x v="0"/>
    <s v="Y"/>
    <n v="92"/>
    <x v="0"/>
    <d v="1899-12-30T00:01:02"/>
    <n v="3"/>
  </r>
  <r>
    <x v="4910"/>
    <s v="Stewart"/>
    <x v="87"/>
    <d v="1899-12-30T12:59:02"/>
    <d v="2021-03-29T12:59:02"/>
    <x v="3"/>
    <x v="3"/>
    <x v="0"/>
    <x v="0"/>
    <s v="Y"/>
    <n v="83"/>
    <x v="0"/>
    <d v="1899-12-30T00:02:35"/>
    <n v="3"/>
  </r>
  <r>
    <x v="4911"/>
    <s v="Stewart"/>
    <x v="87"/>
    <d v="1899-12-30T12:59:02"/>
    <d v="2021-03-29T12:59:02"/>
    <x v="3"/>
    <x v="3"/>
    <x v="0"/>
    <x v="0"/>
    <s v="Y"/>
    <n v="12"/>
    <x v="1"/>
    <d v="1899-12-30T00:01:22"/>
    <n v="4"/>
  </r>
  <r>
    <x v="4912"/>
    <s v="Dan"/>
    <x v="87"/>
    <d v="1899-12-30T13:01:55"/>
    <d v="2021-03-29T13:01:55"/>
    <x v="3"/>
    <x v="4"/>
    <x v="3"/>
    <x v="0"/>
    <s v="N"/>
    <n v="27"/>
    <x v="0"/>
    <d v="1899-12-30T00:02:06"/>
    <n v="3"/>
  </r>
  <r>
    <x v="4913"/>
    <s v="Jim"/>
    <x v="87"/>
    <d v="1899-12-30T13:01:55"/>
    <d v="2021-03-29T13:01:55"/>
    <x v="3"/>
    <x v="4"/>
    <x v="4"/>
    <x v="0"/>
    <s v="Y"/>
    <n v="56"/>
    <x v="0"/>
    <d v="1899-12-30T00:01:58"/>
    <n v="3"/>
  </r>
  <r>
    <x v="4914"/>
    <s v="Stewart"/>
    <x v="87"/>
    <d v="1899-12-30T13:30:43"/>
    <d v="2021-03-29T13:30:43"/>
    <x v="3"/>
    <x v="4"/>
    <x v="4"/>
    <x v="0"/>
    <s v="Y"/>
    <n v="45"/>
    <x v="0"/>
    <d v="1899-12-30T00:06:43"/>
    <n v="4"/>
  </r>
  <r>
    <x v="4915"/>
    <s v="Becky"/>
    <x v="87"/>
    <d v="1899-12-30T13:30:43"/>
    <d v="2021-03-29T13:30:43"/>
    <x v="3"/>
    <x v="4"/>
    <x v="4"/>
    <x v="1"/>
    <s v="N"/>
    <m/>
    <x v="0"/>
    <m/>
    <m/>
  </r>
  <r>
    <x v="4916"/>
    <s v="Becky"/>
    <x v="87"/>
    <d v="1899-12-30T13:45:07"/>
    <d v="2021-03-29T13:45:07"/>
    <x v="3"/>
    <x v="4"/>
    <x v="1"/>
    <x v="1"/>
    <s v="N"/>
    <m/>
    <x v="0"/>
    <m/>
    <m/>
  </r>
  <r>
    <x v="4917"/>
    <s v="Becky"/>
    <x v="87"/>
    <d v="1899-12-30T13:45:07"/>
    <d v="2021-03-29T13:45:07"/>
    <x v="3"/>
    <x v="4"/>
    <x v="3"/>
    <x v="0"/>
    <s v="Y"/>
    <n v="91"/>
    <x v="0"/>
    <d v="1899-12-30T00:00:30"/>
    <n v="4"/>
  </r>
  <r>
    <x v="4918"/>
    <s v="Joe"/>
    <x v="87"/>
    <d v="1899-12-30T13:59:31"/>
    <d v="2021-03-29T13:59:31"/>
    <x v="3"/>
    <x v="4"/>
    <x v="1"/>
    <x v="0"/>
    <s v="Y"/>
    <n v="84"/>
    <x v="0"/>
    <d v="1899-12-30T00:02:38"/>
    <n v="1"/>
  </r>
  <r>
    <x v="4919"/>
    <s v="Joe"/>
    <x v="87"/>
    <d v="1899-12-30T13:59:31"/>
    <d v="2021-03-29T13:59:31"/>
    <x v="3"/>
    <x v="4"/>
    <x v="2"/>
    <x v="0"/>
    <s v="Y"/>
    <n v="15"/>
    <x v="1"/>
    <d v="1899-12-30T00:02:47"/>
    <n v="1"/>
  </r>
  <r>
    <x v="4920"/>
    <s v="Joe"/>
    <x v="87"/>
    <d v="1899-12-30T14:42:43"/>
    <d v="2021-03-29T14:42:43"/>
    <x v="3"/>
    <x v="5"/>
    <x v="1"/>
    <x v="0"/>
    <s v="Y"/>
    <n v="31"/>
    <x v="0"/>
    <d v="1899-12-30T00:05:47"/>
    <n v="5"/>
  </r>
  <r>
    <x v="4921"/>
    <s v="Jim"/>
    <x v="87"/>
    <d v="1899-12-30T14:42:43"/>
    <d v="2021-03-29T14:42:43"/>
    <x v="3"/>
    <x v="5"/>
    <x v="1"/>
    <x v="0"/>
    <s v="Y"/>
    <n v="100"/>
    <x v="0"/>
    <d v="1899-12-30T00:05:28"/>
    <n v="4"/>
  </r>
  <r>
    <x v="4922"/>
    <s v="Jim"/>
    <x v="87"/>
    <d v="1899-12-30T14:52:48"/>
    <d v="2021-03-29T14:52:48"/>
    <x v="3"/>
    <x v="5"/>
    <x v="3"/>
    <x v="0"/>
    <s v="Y"/>
    <n v="75"/>
    <x v="0"/>
    <d v="1899-12-30T00:03:34"/>
    <n v="3"/>
  </r>
  <r>
    <x v="4923"/>
    <s v="Becky"/>
    <x v="87"/>
    <d v="1899-12-30T14:52:48"/>
    <d v="2021-03-29T14:52:48"/>
    <x v="3"/>
    <x v="5"/>
    <x v="0"/>
    <x v="1"/>
    <s v="N"/>
    <m/>
    <x v="0"/>
    <m/>
    <m/>
  </r>
  <r>
    <x v="4924"/>
    <s v="Becky"/>
    <x v="87"/>
    <d v="1899-12-30T14:58:34"/>
    <d v="2021-03-29T14:58:34"/>
    <x v="3"/>
    <x v="5"/>
    <x v="3"/>
    <x v="0"/>
    <s v="Y"/>
    <n v="47"/>
    <x v="0"/>
    <d v="1899-12-30T00:04:10"/>
    <n v="5"/>
  </r>
  <r>
    <x v="4925"/>
    <s v="Dan"/>
    <x v="87"/>
    <d v="1899-12-30T14:58:34"/>
    <d v="2021-03-29T14:58:34"/>
    <x v="3"/>
    <x v="5"/>
    <x v="4"/>
    <x v="1"/>
    <s v="N"/>
    <m/>
    <x v="0"/>
    <m/>
    <m/>
  </r>
  <r>
    <x v="4926"/>
    <s v="Dan"/>
    <x v="87"/>
    <d v="1899-12-30T15:04:19"/>
    <d v="2021-03-29T15:04:19"/>
    <x v="3"/>
    <x v="6"/>
    <x v="1"/>
    <x v="0"/>
    <s v="Y"/>
    <n v="73"/>
    <x v="0"/>
    <d v="1899-12-30T00:03:15"/>
    <n v="3"/>
  </r>
  <r>
    <x v="4927"/>
    <s v="Jim"/>
    <x v="87"/>
    <d v="1899-12-30T15:04:19"/>
    <d v="2021-03-29T15:04:19"/>
    <x v="3"/>
    <x v="6"/>
    <x v="4"/>
    <x v="0"/>
    <s v="Y"/>
    <n v="33"/>
    <x v="0"/>
    <d v="1899-12-30T00:03:41"/>
    <n v="3"/>
  </r>
  <r>
    <x v="4928"/>
    <s v="Joe"/>
    <x v="87"/>
    <d v="1899-12-30T15:05:46"/>
    <d v="2021-03-29T15:05:46"/>
    <x v="3"/>
    <x v="6"/>
    <x v="3"/>
    <x v="1"/>
    <s v="N"/>
    <m/>
    <x v="0"/>
    <m/>
    <m/>
  </r>
  <r>
    <x v="4929"/>
    <s v="Stewart"/>
    <x v="87"/>
    <d v="1899-12-30T15:05:46"/>
    <d v="2021-03-29T15:05:46"/>
    <x v="3"/>
    <x v="6"/>
    <x v="0"/>
    <x v="0"/>
    <s v="Y"/>
    <n v="103"/>
    <x v="0"/>
    <d v="1899-12-30T00:04:55"/>
    <n v="1"/>
  </r>
  <r>
    <x v="4930"/>
    <s v="Becky"/>
    <x v="87"/>
    <d v="1899-12-30T15:11:31"/>
    <d v="2021-03-29T15:11:31"/>
    <x v="3"/>
    <x v="6"/>
    <x v="0"/>
    <x v="0"/>
    <s v="Y"/>
    <n v="75"/>
    <x v="0"/>
    <d v="1899-12-30T00:03:09"/>
    <n v="4"/>
  </r>
  <r>
    <x v="4931"/>
    <s v="Diane"/>
    <x v="87"/>
    <d v="1899-12-30T15:11:31"/>
    <d v="2021-03-29T15:11:31"/>
    <x v="3"/>
    <x v="6"/>
    <x v="2"/>
    <x v="0"/>
    <s v="Y"/>
    <n v="65"/>
    <x v="0"/>
    <d v="1899-12-30T00:03:06"/>
    <n v="4"/>
  </r>
  <r>
    <x v="4932"/>
    <s v="Joe"/>
    <x v="87"/>
    <d v="1899-12-30T15:11:31"/>
    <d v="2021-03-29T15:11:31"/>
    <x v="3"/>
    <x v="6"/>
    <x v="4"/>
    <x v="0"/>
    <s v="Y"/>
    <n v="110"/>
    <x v="0"/>
    <d v="1899-12-30T00:06:13"/>
    <n v="3"/>
  </r>
  <r>
    <x v="4933"/>
    <s v="Diane"/>
    <x v="87"/>
    <d v="1899-12-30T15:11:31"/>
    <d v="2021-03-29T15:11:31"/>
    <x v="3"/>
    <x v="6"/>
    <x v="2"/>
    <x v="0"/>
    <s v="Y"/>
    <n v="109"/>
    <x v="0"/>
    <d v="1899-12-30T00:04:14"/>
    <n v="5"/>
  </r>
  <r>
    <x v="4934"/>
    <s v="Becky"/>
    <x v="87"/>
    <d v="1899-12-30T15:36:00"/>
    <d v="2021-03-29T15:36:00"/>
    <x v="3"/>
    <x v="6"/>
    <x v="1"/>
    <x v="0"/>
    <s v="Y"/>
    <n v="96"/>
    <x v="0"/>
    <d v="1899-12-30T00:05:18"/>
    <n v="5"/>
  </r>
  <r>
    <x v="4935"/>
    <s v="Jim"/>
    <x v="87"/>
    <d v="1899-12-30T15:36:00"/>
    <d v="2021-03-29T15:36:00"/>
    <x v="3"/>
    <x v="6"/>
    <x v="0"/>
    <x v="0"/>
    <s v="Y"/>
    <n v="80"/>
    <x v="0"/>
    <d v="1899-12-30T00:00:38"/>
    <n v="4"/>
  </r>
  <r>
    <x v="4936"/>
    <s v="Jim"/>
    <x v="87"/>
    <d v="1899-12-30T15:40:19"/>
    <d v="2021-03-29T15:40:19"/>
    <x v="3"/>
    <x v="6"/>
    <x v="4"/>
    <x v="0"/>
    <s v="Y"/>
    <n v="82"/>
    <x v="0"/>
    <d v="1899-12-30T00:02:08"/>
    <n v="4"/>
  </r>
  <r>
    <x v="4937"/>
    <s v="Stewart"/>
    <x v="87"/>
    <d v="1899-12-30T15:40:19"/>
    <d v="2021-03-29T15:40:19"/>
    <x v="3"/>
    <x v="6"/>
    <x v="3"/>
    <x v="0"/>
    <s v="N"/>
    <n v="26"/>
    <x v="0"/>
    <d v="1899-12-30T00:00:57"/>
    <n v="2"/>
  </r>
  <r>
    <x v="4938"/>
    <s v="Dan"/>
    <x v="87"/>
    <d v="1899-12-30T15:43:12"/>
    <d v="2021-03-29T15:43:12"/>
    <x v="3"/>
    <x v="6"/>
    <x v="0"/>
    <x v="0"/>
    <s v="Y"/>
    <n v="109"/>
    <x v="0"/>
    <d v="1899-12-30T00:03:27"/>
    <n v="2"/>
  </r>
  <r>
    <x v="4939"/>
    <s v="Joe"/>
    <x v="87"/>
    <d v="1899-12-30T15:43:12"/>
    <d v="2021-03-29T15:43:12"/>
    <x v="3"/>
    <x v="6"/>
    <x v="1"/>
    <x v="0"/>
    <s v="N"/>
    <n v="27"/>
    <x v="0"/>
    <d v="1899-12-30T00:06:48"/>
    <n v="1"/>
  </r>
  <r>
    <x v="4940"/>
    <s v="Dan"/>
    <x v="87"/>
    <d v="1899-12-30T15:44:38"/>
    <d v="2021-03-29T15:44:38"/>
    <x v="3"/>
    <x v="6"/>
    <x v="1"/>
    <x v="0"/>
    <s v="Y"/>
    <n v="63"/>
    <x v="0"/>
    <d v="1899-12-30T00:03:16"/>
    <n v="5"/>
  </r>
  <r>
    <x v="4941"/>
    <s v="Martha"/>
    <x v="87"/>
    <d v="1899-12-30T15:44:38"/>
    <d v="2021-03-29T15:44:38"/>
    <x v="3"/>
    <x v="6"/>
    <x v="3"/>
    <x v="1"/>
    <s v="N"/>
    <m/>
    <x v="0"/>
    <m/>
    <m/>
  </r>
  <r>
    <x v="4942"/>
    <s v="Jim"/>
    <x v="87"/>
    <d v="1899-12-30T16:10:34"/>
    <d v="2021-03-29T16:10:34"/>
    <x v="3"/>
    <x v="8"/>
    <x v="0"/>
    <x v="0"/>
    <s v="Y"/>
    <n v="76"/>
    <x v="0"/>
    <d v="1899-12-30T00:04:08"/>
    <n v="4"/>
  </r>
  <r>
    <x v="4943"/>
    <s v="Dan"/>
    <x v="87"/>
    <d v="1899-12-30T16:10:34"/>
    <d v="2021-03-29T16:10:34"/>
    <x v="3"/>
    <x v="8"/>
    <x v="3"/>
    <x v="0"/>
    <s v="Y"/>
    <n v="91"/>
    <x v="0"/>
    <d v="1899-12-30T00:06:59"/>
    <n v="3"/>
  </r>
  <r>
    <x v="4944"/>
    <s v="Diane"/>
    <x v="87"/>
    <d v="1899-12-30T16:48:00"/>
    <d v="2021-03-29T16:48:00"/>
    <x v="3"/>
    <x v="8"/>
    <x v="0"/>
    <x v="0"/>
    <s v="Y"/>
    <n v="68"/>
    <x v="0"/>
    <d v="1899-12-30T00:03:57"/>
    <n v="4"/>
  </r>
  <r>
    <x v="4945"/>
    <s v="Joe"/>
    <x v="87"/>
    <d v="1899-12-30T16:48:00"/>
    <d v="2021-03-29T16:48:00"/>
    <x v="3"/>
    <x v="8"/>
    <x v="4"/>
    <x v="0"/>
    <s v="Y"/>
    <n v="123"/>
    <x v="0"/>
    <d v="1899-12-30T00:03:02"/>
    <n v="4"/>
  </r>
  <r>
    <x v="4946"/>
    <s v="Greg"/>
    <x v="87"/>
    <d v="1899-12-30T17:57:07"/>
    <d v="2021-03-29T17:57:07"/>
    <x v="3"/>
    <x v="7"/>
    <x v="3"/>
    <x v="0"/>
    <s v="Y"/>
    <n v="74"/>
    <x v="0"/>
    <d v="1899-12-30T00:06:08"/>
    <n v="3"/>
  </r>
  <r>
    <x v="4947"/>
    <s v="Joe"/>
    <x v="87"/>
    <d v="1899-12-30T17:57:07"/>
    <d v="2021-03-29T17:57:07"/>
    <x v="3"/>
    <x v="7"/>
    <x v="0"/>
    <x v="1"/>
    <s v="N"/>
    <m/>
    <x v="0"/>
    <m/>
    <m/>
  </r>
  <r>
    <x v="4948"/>
    <s v="Jim"/>
    <x v="88"/>
    <d v="1899-12-30T09:05:46"/>
    <d v="2021-03-30T09:05:46"/>
    <x v="4"/>
    <x v="0"/>
    <x v="2"/>
    <x v="0"/>
    <s v="Y"/>
    <n v="92"/>
    <x v="0"/>
    <d v="1899-12-30T00:01:13"/>
    <n v="2"/>
  </r>
  <r>
    <x v="4949"/>
    <s v="Diane"/>
    <x v="88"/>
    <d v="1899-12-30T09:21:36"/>
    <d v="2021-03-30T09:21:36"/>
    <x v="4"/>
    <x v="0"/>
    <x v="2"/>
    <x v="0"/>
    <s v="Y"/>
    <n v="108"/>
    <x v="0"/>
    <d v="1899-12-30T00:01:13"/>
    <n v="3"/>
  </r>
  <r>
    <x v="4950"/>
    <s v="Becky"/>
    <x v="88"/>
    <d v="1899-12-30T09:25:55"/>
    <d v="2021-03-30T09:25:55"/>
    <x v="4"/>
    <x v="0"/>
    <x v="0"/>
    <x v="0"/>
    <s v="Y"/>
    <n v="63"/>
    <x v="0"/>
    <d v="1899-12-30T00:03:01"/>
    <n v="5"/>
  </r>
  <r>
    <x v="4951"/>
    <s v="Diane"/>
    <x v="88"/>
    <d v="1899-12-30T11:24:00"/>
    <d v="2021-03-30T11:24:00"/>
    <x v="4"/>
    <x v="2"/>
    <x v="3"/>
    <x v="0"/>
    <s v="Y"/>
    <n v="120"/>
    <x v="0"/>
    <d v="1899-12-30T00:03:32"/>
    <n v="3"/>
  </r>
  <r>
    <x v="4952"/>
    <s v="Jim"/>
    <x v="88"/>
    <d v="1899-12-30T11:24:00"/>
    <d v="2021-03-30T11:24:00"/>
    <x v="4"/>
    <x v="2"/>
    <x v="4"/>
    <x v="0"/>
    <s v="Y"/>
    <n v="50"/>
    <x v="0"/>
    <d v="1899-12-30T00:05:21"/>
    <n v="3"/>
  </r>
  <r>
    <x v="4953"/>
    <s v="Dan"/>
    <x v="88"/>
    <d v="1899-12-30T12:01:26"/>
    <d v="2021-03-30T12:01:26"/>
    <x v="4"/>
    <x v="3"/>
    <x v="4"/>
    <x v="1"/>
    <s v="N"/>
    <m/>
    <x v="0"/>
    <m/>
    <m/>
  </r>
  <r>
    <x v="4954"/>
    <s v="Joe"/>
    <x v="88"/>
    <d v="1899-12-30T12:04:19"/>
    <d v="2021-03-30T12:04:19"/>
    <x v="4"/>
    <x v="3"/>
    <x v="3"/>
    <x v="0"/>
    <s v="Y"/>
    <n v="18"/>
    <x v="1"/>
    <d v="1899-12-30T00:04:19"/>
    <n v="3"/>
  </r>
  <r>
    <x v="4955"/>
    <s v="Stewart"/>
    <x v="88"/>
    <d v="1899-12-30T12:30:14"/>
    <d v="2021-03-30T12:30:14"/>
    <x v="4"/>
    <x v="3"/>
    <x v="3"/>
    <x v="1"/>
    <s v="N"/>
    <m/>
    <x v="0"/>
    <m/>
    <m/>
  </r>
  <r>
    <x v="4956"/>
    <s v="Dan"/>
    <x v="88"/>
    <d v="1899-12-30T12:36:00"/>
    <d v="2021-03-30T12:36:00"/>
    <x v="4"/>
    <x v="3"/>
    <x v="3"/>
    <x v="0"/>
    <s v="Y"/>
    <n v="114"/>
    <x v="0"/>
    <d v="1899-12-30T00:06:54"/>
    <n v="4"/>
  </r>
  <r>
    <x v="4957"/>
    <s v="Becky"/>
    <x v="88"/>
    <d v="1899-12-30T12:46:05"/>
    <d v="2021-03-30T12:46:05"/>
    <x v="4"/>
    <x v="3"/>
    <x v="2"/>
    <x v="0"/>
    <s v="N"/>
    <n v="116"/>
    <x v="0"/>
    <d v="1899-12-30T00:03:05"/>
    <n v="4"/>
  </r>
  <r>
    <x v="4958"/>
    <s v="Diane"/>
    <x v="88"/>
    <d v="1899-12-30T13:27:50"/>
    <d v="2021-03-30T13:27:50"/>
    <x v="4"/>
    <x v="4"/>
    <x v="2"/>
    <x v="0"/>
    <s v="Y"/>
    <n v="124"/>
    <x v="0"/>
    <d v="1899-12-30T00:04:20"/>
    <n v="4"/>
  </r>
  <r>
    <x v="4959"/>
    <s v="Martha"/>
    <x v="88"/>
    <d v="1899-12-30T13:33:36"/>
    <d v="2021-03-30T13:33:36"/>
    <x v="4"/>
    <x v="4"/>
    <x v="0"/>
    <x v="0"/>
    <s v="Y"/>
    <n v="27"/>
    <x v="0"/>
    <d v="1899-12-30T00:04:31"/>
    <n v="5"/>
  </r>
  <r>
    <x v="4960"/>
    <s v="Dan"/>
    <x v="88"/>
    <d v="1899-12-30T13:50:53"/>
    <d v="2021-03-30T13:50:53"/>
    <x v="4"/>
    <x v="4"/>
    <x v="0"/>
    <x v="1"/>
    <s v="N"/>
    <m/>
    <x v="0"/>
    <m/>
    <m/>
  </r>
  <r>
    <x v="4961"/>
    <s v="Jim"/>
    <x v="88"/>
    <d v="1899-12-30T15:08:38"/>
    <d v="2021-03-30T15:08:38"/>
    <x v="4"/>
    <x v="6"/>
    <x v="4"/>
    <x v="1"/>
    <s v="N"/>
    <m/>
    <x v="0"/>
    <m/>
    <m/>
  </r>
  <r>
    <x v="4962"/>
    <s v="Greg"/>
    <x v="88"/>
    <d v="1899-12-30T15:36:00"/>
    <d v="2021-03-30T15:36:00"/>
    <x v="4"/>
    <x v="6"/>
    <x v="3"/>
    <x v="0"/>
    <s v="N"/>
    <n v="22"/>
    <x v="0"/>
    <d v="1899-12-30T00:04:45"/>
    <n v="4"/>
  </r>
  <r>
    <x v="4963"/>
    <s v="Diane"/>
    <x v="88"/>
    <d v="1899-12-30T15:46:05"/>
    <d v="2021-03-30T15:46:05"/>
    <x v="4"/>
    <x v="6"/>
    <x v="1"/>
    <x v="0"/>
    <s v="Y"/>
    <n v="55"/>
    <x v="0"/>
    <d v="1899-12-30T00:05:24"/>
    <n v="2"/>
  </r>
  <r>
    <x v="4964"/>
    <s v="Becky"/>
    <x v="88"/>
    <d v="1899-12-30T15:50:24"/>
    <d v="2021-03-30T15:50:24"/>
    <x v="4"/>
    <x v="6"/>
    <x v="3"/>
    <x v="1"/>
    <s v="N"/>
    <m/>
    <x v="0"/>
    <m/>
    <m/>
  </r>
  <r>
    <x v="4965"/>
    <s v="Jim"/>
    <x v="88"/>
    <d v="1899-12-30T16:04:48"/>
    <d v="2021-03-30T16:04:48"/>
    <x v="4"/>
    <x v="8"/>
    <x v="4"/>
    <x v="1"/>
    <s v="N"/>
    <m/>
    <x v="0"/>
    <m/>
    <m/>
  </r>
  <r>
    <x v="4966"/>
    <s v="Joe"/>
    <x v="88"/>
    <d v="1899-12-30T16:13:26"/>
    <d v="2021-03-30T16:13:26"/>
    <x v="4"/>
    <x v="8"/>
    <x v="0"/>
    <x v="1"/>
    <s v="N"/>
    <m/>
    <x v="0"/>
    <m/>
    <m/>
  </r>
  <r>
    <x v="4967"/>
    <s v="Jim"/>
    <x v="88"/>
    <d v="1899-12-30T16:29:17"/>
    <d v="2021-03-30T16:29:17"/>
    <x v="4"/>
    <x v="8"/>
    <x v="1"/>
    <x v="1"/>
    <s v="N"/>
    <m/>
    <x v="0"/>
    <m/>
    <m/>
  </r>
  <r>
    <x v="4968"/>
    <s v="Greg"/>
    <x v="88"/>
    <d v="1899-12-30T16:32:10"/>
    <d v="2021-03-30T16:32:10"/>
    <x v="4"/>
    <x v="8"/>
    <x v="1"/>
    <x v="0"/>
    <s v="Y"/>
    <n v="105"/>
    <x v="0"/>
    <d v="1899-12-30T00:04:53"/>
    <n v="4"/>
  </r>
  <r>
    <x v="4969"/>
    <s v="Dan"/>
    <x v="88"/>
    <d v="1899-12-30T16:46:34"/>
    <d v="2021-03-30T16:46:34"/>
    <x v="4"/>
    <x v="8"/>
    <x v="1"/>
    <x v="0"/>
    <s v="Y"/>
    <n v="41"/>
    <x v="0"/>
    <d v="1899-12-30T00:02:06"/>
    <n v="5"/>
  </r>
  <r>
    <x v="4970"/>
    <s v="Greg"/>
    <x v="88"/>
    <d v="1899-12-30T17:13:55"/>
    <d v="2021-03-30T17:13:55"/>
    <x v="4"/>
    <x v="7"/>
    <x v="4"/>
    <x v="1"/>
    <s v="N"/>
    <m/>
    <x v="0"/>
    <m/>
    <m/>
  </r>
  <r>
    <x v="4971"/>
    <s v="Joe"/>
    <x v="88"/>
    <d v="1899-12-30T17:25:26"/>
    <d v="2021-03-30T17:25:26"/>
    <x v="4"/>
    <x v="7"/>
    <x v="0"/>
    <x v="0"/>
    <s v="Y"/>
    <n v="42"/>
    <x v="0"/>
    <d v="1899-12-30T00:00:35"/>
    <n v="5"/>
  </r>
  <r>
    <x v="4972"/>
    <s v="Joe"/>
    <x v="88"/>
    <d v="1899-12-30T17:36:58"/>
    <d v="2021-03-30T17:36:58"/>
    <x v="4"/>
    <x v="7"/>
    <x v="3"/>
    <x v="0"/>
    <s v="Y"/>
    <n v="103"/>
    <x v="0"/>
    <d v="1899-12-30T00:02:23"/>
    <n v="3"/>
  </r>
  <r>
    <x v="4973"/>
    <s v="Martha"/>
    <x v="89"/>
    <d v="1899-12-30T09:01:26"/>
    <d v="2021-03-31T09:01:26"/>
    <x v="5"/>
    <x v="0"/>
    <x v="2"/>
    <x v="0"/>
    <s v="Y"/>
    <n v="124"/>
    <x v="0"/>
    <d v="1899-12-30T00:06:24"/>
    <n v="3"/>
  </r>
  <r>
    <x v="4974"/>
    <s v="Dan"/>
    <x v="89"/>
    <d v="1899-12-30T09:10:05"/>
    <d v="2021-03-31T09:10:05"/>
    <x v="5"/>
    <x v="0"/>
    <x v="1"/>
    <x v="0"/>
    <s v="Y"/>
    <n v="102"/>
    <x v="0"/>
    <d v="1899-12-30T00:02:26"/>
    <n v="5"/>
  </r>
  <r>
    <x v="4975"/>
    <s v="Martha"/>
    <x v="89"/>
    <d v="1899-12-30T09:20:10"/>
    <d v="2021-03-31T09:20:10"/>
    <x v="5"/>
    <x v="0"/>
    <x v="1"/>
    <x v="0"/>
    <s v="Y"/>
    <n v="87"/>
    <x v="0"/>
    <d v="1899-12-30T00:06:57"/>
    <n v="4"/>
  </r>
  <r>
    <x v="4976"/>
    <s v="Greg"/>
    <x v="89"/>
    <d v="1899-12-30T09:24:29"/>
    <d v="2021-03-31T09:24:29"/>
    <x v="5"/>
    <x v="0"/>
    <x v="4"/>
    <x v="0"/>
    <s v="Y"/>
    <n v="40"/>
    <x v="0"/>
    <d v="1899-12-30T00:02:55"/>
    <n v="4"/>
  </r>
  <r>
    <x v="4977"/>
    <s v="Greg"/>
    <x v="89"/>
    <d v="1899-12-30T10:13:26"/>
    <d v="2021-03-31T10:13:26"/>
    <x v="5"/>
    <x v="1"/>
    <x v="0"/>
    <x v="0"/>
    <s v="Y"/>
    <n v="94"/>
    <x v="0"/>
    <d v="1899-12-30T00:00:40"/>
    <n v="4"/>
  </r>
  <r>
    <x v="4978"/>
    <s v="Greg"/>
    <x v="89"/>
    <d v="1899-12-30T10:39:22"/>
    <d v="2021-03-31T10:39:22"/>
    <x v="5"/>
    <x v="1"/>
    <x v="1"/>
    <x v="1"/>
    <s v="N"/>
    <m/>
    <x v="0"/>
    <m/>
    <m/>
  </r>
  <r>
    <x v="4979"/>
    <s v="Becky"/>
    <x v="89"/>
    <d v="1899-12-30T10:49:26"/>
    <d v="2021-03-31T10:49:26"/>
    <x v="5"/>
    <x v="1"/>
    <x v="3"/>
    <x v="0"/>
    <s v="Y"/>
    <n v="37"/>
    <x v="0"/>
    <d v="1899-12-30T00:04:19"/>
    <n v="5"/>
  </r>
  <r>
    <x v="4980"/>
    <s v="Becky"/>
    <x v="89"/>
    <d v="1899-12-30T11:08:10"/>
    <d v="2021-03-31T11:08:10"/>
    <x v="5"/>
    <x v="2"/>
    <x v="3"/>
    <x v="0"/>
    <s v="Y"/>
    <n v="23"/>
    <x v="0"/>
    <d v="1899-12-30T00:04:47"/>
    <n v="4"/>
  </r>
  <r>
    <x v="4981"/>
    <s v="Jim"/>
    <x v="89"/>
    <d v="1899-12-30T11:21:07"/>
    <d v="2021-03-31T11:21:07"/>
    <x v="5"/>
    <x v="2"/>
    <x v="0"/>
    <x v="0"/>
    <s v="Y"/>
    <n v="80"/>
    <x v="0"/>
    <d v="1899-12-30T00:02:35"/>
    <n v="3"/>
  </r>
  <r>
    <x v="4982"/>
    <s v="Stewart"/>
    <x v="89"/>
    <d v="1899-12-30T11:32:38"/>
    <d v="2021-03-31T11:32:38"/>
    <x v="5"/>
    <x v="2"/>
    <x v="2"/>
    <x v="0"/>
    <s v="Y"/>
    <n v="81"/>
    <x v="0"/>
    <d v="1899-12-30T00:04:49"/>
    <n v="1"/>
  </r>
  <r>
    <x v="4983"/>
    <s v="Joe"/>
    <x v="89"/>
    <d v="1899-12-30T11:36:58"/>
    <d v="2021-03-31T11:36:58"/>
    <x v="5"/>
    <x v="2"/>
    <x v="0"/>
    <x v="0"/>
    <s v="Y"/>
    <n v="53"/>
    <x v="0"/>
    <d v="1899-12-30T00:03:07"/>
    <n v="4"/>
  </r>
  <r>
    <x v="4984"/>
    <s v="Jim"/>
    <x v="89"/>
    <d v="1899-12-30T12:50:24"/>
    <d v="2021-03-31T12:50:24"/>
    <x v="5"/>
    <x v="3"/>
    <x v="2"/>
    <x v="1"/>
    <s v="N"/>
    <m/>
    <x v="0"/>
    <m/>
    <m/>
  </r>
  <r>
    <x v="4985"/>
    <s v="Diane"/>
    <x v="89"/>
    <d v="1899-12-30T12:50:24"/>
    <d v="2021-03-31T12:50:24"/>
    <x v="5"/>
    <x v="3"/>
    <x v="4"/>
    <x v="0"/>
    <s v="N"/>
    <n v="55"/>
    <x v="0"/>
    <d v="1899-12-30T00:02:01"/>
    <n v="1"/>
  </r>
  <r>
    <x v="4986"/>
    <s v="Stewart"/>
    <x v="89"/>
    <d v="1899-12-30T13:01:55"/>
    <d v="2021-03-31T13:01:55"/>
    <x v="5"/>
    <x v="4"/>
    <x v="2"/>
    <x v="0"/>
    <s v="N"/>
    <n v="10"/>
    <x v="1"/>
    <d v="1899-12-30T00:02:26"/>
    <n v="4"/>
  </r>
  <r>
    <x v="4987"/>
    <s v="Stewart"/>
    <x v="89"/>
    <d v="1899-12-30T13:19:12"/>
    <d v="2021-03-31T13:19:12"/>
    <x v="5"/>
    <x v="4"/>
    <x v="0"/>
    <x v="0"/>
    <s v="Y"/>
    <n v="14"/>
    <x v="1"/>
    <d v="1899-12-30T00:05:32"/>
    <n v="4"/>
  </r>
  <r>
    <x v="4988"/>
    <s v="Martha"/>
    <x v="89"/>
    <d v="1899-12-30T13:22:05"/>
    <d v="2021-03-31T13:22:05"/>
    <x v="5"/>
    <x v="4"/>
    <x v="0"/>
    <x v="0"/>
    <s v="Y"/>
    <n v="62"/>
    <x v="0"/>
    <d v="1899-12-30T00:05:49"/>
    <n v="5"/>
  </r>
  <r>
    <x v="4989"/>
    <s v="Becky"/>
    <x v="89"/>
    <d v="1899-12-30T13:42:14"/>
    <d v="2021-03-31T13:42:14"/>
    <x v="5"/>
    <x v="4"/>
    <x v="2"/>
    <x v="0"/>
    <s v="Y"/>
    <n v="122"/>
    <x v="0"/>
    <d v="1899-12-30T00:04:59"/>
    <n v="4"/>
  </r>
  <r>
    <x v="4990"/>
    <s v="Stewart"/>
    <x v="89"/>
    <d v="1899-12-30T13:46:34"/>
    <d v="2021-03-31T13:46:34"/>
    <x v="5"/>
    <x v="4"/>
    <x v="4"/>
    <x v="0"/>
    <s v="Y"/>
    <n v="73"/>
    <x v="0"/>
    <d v="1899-12-30T00:06:26"/>
    <n v="1"/>
  </r>
  <r>
    <x v="4991"/>
    <s v="Joe"/>
    <x v="89"/>
    <d v="1899-12-30T14:13:55"/>
    <d v="2021-03-31T14:13:55"/>
    <x v="5"/>
    <x v="5"/>
    <x v="4"/>
    <x v="1"/>
    <s v="N"/>
    <m/>
    <x v="0"/>
    <m/>
    <m/>
  </r>
  <r>
    <x v="4992"/>
    <s v="Joe"/>
    <x v="89"/>
    <d v="1899-12-30T14:18:14"/>
    <d v="2021-03-31T14:18:14"/>
    <x v="5"/>
    <x v="5"/>
    <x v="3"/>
    <x v="1"/>
    <s v="N"/>
    <m/>
    <x v="0"/>
    <m/>
    <m/>
  </r>
  <r>
    <x v="4993"/>
    <s v="Greg"/>
    <x v="89"/>
    <d v="1899-12-30T14:58:34"/>
    <d v="2021-03-31T14:58:34"/>
    <x v="5"/>
    <x v="5"/>
    <x v="0"/>
    <x v="1"/>
    <s v="N"/>
    <m/>
    <x v="0"/>
    <m/>
    <m/>
  </r>
  <r>
    <x v="4994"/>
    <s v="Dan"/>
    <x v="89"/>
    <d v="1899-12-30T15:33:07"/>
    <d v="2021-03-31T15:33:07"/>
    <x v="5"/>
    <x v="6"/>
    <x v="2"/>
    <x v="1"/>
    <s v="N"/>
    <m/>
    <x v="0"/>
    <m/>
    <m/>
  </r>
  <r>
    <x v="4995"/>
    <s v="Jim"/>
    <x v="89"/>
    <d v="1899-12-30T16:37:55"/>
    <d v="2021-03-31T16:37:55"/>
    <x v="5"/>
    <x v="8"/>
    <x v="2"/>
    <x v="0"/>
    <s v="Y"/>
    <n v="22"/>
    <x v="0"/>
    <d v="1899-12-30T00:05:40"/>
    <n v="1"/>
  </r>
  <r>
    <x v="4996"/>
    <s v="Diane"/>
    <x v="89"/>
    <d v="1899-12-30T16:45:07"/>
    <d v="2021-03-31T16:45:07"/>
    <x v="5"/>
    <x v="8"/>
    <x v="2"/>
    <x v="0"/>
    <s v="Y"/>
    <n v="100"/>
    <x v="0"/>
    <d v="1899-12-30T00:03:16"/>
    <n v="3"/>
  </r>
  <r>
    <x v="4997"/>
    <s v="Diane"/>
    <x v="89"/>
    <d v="1899-12-30T16:53:46"/>
    <d v="2021-03-31T16:53:46"/>
    <x v="5"/>
    <x v="8"/>
    <x v="2"/>
    <x v="0"/>
    <s v="Y"/>
    <n v="84"/>
    <x v="0"/>
    <d v="1899-12-30T00:01:49"/>
    <n v="4"/>
  </r>
  <r>
    <x v="4998"/>
    <s v="Jim"/>
    <x v="89"/>
    <d v="1899-12-30T17:02:24"/>
    <d v="2021-03-31T17:02:24"/>
    <x v="5"/>
    <x v="7"/>
    <x v="4"/>
    <x v="0"/>
    <s v="Y"/>
    <n v="98"/>
    <x v="0"/>
    <d v="1899-12-30T00:00:58"/>
    <n v="5"/>
  </r>
  <r>
    <x v="4999"/>
    <s v="Diane"/>
    <x v="89"/>
    <d v="1899-12-30T17:39:50"/>
    <d v="2021-03-31T17:39:50"/>
    <x v="5"/>
    <x v="7"/>
    <x v="0"/>
    <x v="1"/>
    <s v="N"/>
    <m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154FB-0144-4EE1-89F5-6E30BAD577E3}" name="AgentsRequired" cacheId="3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2:D869" firstHeaderRow="0" firstDataRow="1" firstDataCol="1"/>
  <pivotFields count="4">
    <pivotField axis="axisRow" allDrilled="1" subtotalTop="0" showAll="0" dataSourceSort="1" defaultSubtotal="0" defaultAttributeDrillState="1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86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7"/>
    </i>
    <i r="1">
      <x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 r="1">
      <x v="9"/>
    </i>
    <i>
      <x v="12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14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7"/>
    </i>
    <i r="1">
      <x v="9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 r="1">
      <x v="9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7"/>
    </i>
    <i>
      <x v="20"/>
    </i>
    <i r="1">
      <x/>
    </i>
    <i r="1">
      <x v="1"/>
    </i>
    <i r="1">
      <x v="2"/>
    </i>
    <i r="1">
      <x v="3"/>
    </i>
    <i r="1">
      <x v="6"/>
    </i>
    <i r="1">
      <x v="8"/>
    </i>
    <i r="1">
      <x v="7"/>
    </i>
    <i>
      <x v="21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7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7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24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7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 r="1">
      <x v="9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30"/>
    </i>
    <i r="1">
      <x/>
    </i>
    <i r="1">
      <x v="2"/>
    </i>
    <i r="1">
      <x v="3"/>
    </i>
    <i r="1">
      <x v="5"/>
    </i>
    <i r="1">
      <x v="6"/>
    </i>
    <i r="1">
      <x v="8"/>
    </i>
    <i r="1">
      <x v="7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32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7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38"/>
    </i>
    <i r="1">
      <x/>
    </i>
    <i r="1">
      <x v="1"/>
    </i>
    <i r="1">
      <x v="3"/>
    </i>
    <i r="1">
      <x v="4"/>
    </i>
    <i r="1">
      <x v="5"/>
    </i>
    <i r="1">
      <x v="8"/>
    </i>
    <i r="1">
      <x v="7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4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>
      <x v="4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4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48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>
      <x v="4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5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5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52"/>
    </i>
    <i r="1"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5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54"/>
    </i>
    <i r="1">
      <x/>
    </i>
    <i r="1">
      <x v="3"/>
    </i>
    <i r="1">
      <x v="4"/>
    </i>
    <i r="1">
      <x v="5"/>
    </i>
    <i r="1">
      <x v="6"/>
    </i>
    <i r="1">
      <x v="8"/>
    </i>
    <i r="1">
      <x v="7"/>
    </i>
    <i>
      <x v="5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5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5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5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 r="1">
      <x v="9"/>
    </i>
    <i>
      <x v="5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6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61"/>
    </i>
    <i r="1">
      <x/>
    </i>
    <i r="1">
      <x v="1"/>
    </i>
    <i r="1">
      <x v="3"/>
    </i>
    <i r="1">
      <x v="4"/>
    </i>
    <i r="1">
      <x v="5"/>
    </i>
    <i r="1">
      <x v="6"/>
    </i>
    <i r="1">
      <x v="8"/>
    </i>
    <i r="1">
      <x v="7"/>
    </i>
    <i>
      <x v="6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6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64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7"/>
    </i>
    <i>
      <x v="65"/>
    </i>
    <i r="1">
      <x/>
    </i>
    <i r="1">
      <x v="1"/>
    </i>
    <i r="1">
      <x v="3"/>
    </i>
    <i r="1">
      <x v="4"/>
    </i>
    <i r="1">
      <x v="5"/>
    </i>
    <i r="1">
      <x v="6"/>
    </i>
    <i r="1">
      <x v="8"/>
    </i>
    <i r="1">
      <x v="7"/>
    </i>
    <i>
      <x v="6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67"/>
    </i>
    <i r="1">
      <x/>
    </i>
    <i r="1">
      <x v="1"/>
    </i>
    <i r="1">
      <x v="2"/>
    </i>
    <i r="1">
      <x v="4"/>
    </i>
    <i r="1">
      <x v="6"/>
    </i>
    <i r="1">
      <x v="8"/>
    </i>
    <i r="1">
      <x v="7"/>
    </i>
    <i>
      <x v="68"/>
    </i>
    <i r="1">
      <x/>
    </i>
    <i r="1">
      <x v="1"/>
    </i>
    <i r="1">
      <x v="3"/>
    </i>
    <i r="1">
      <x v="4"/>
    </i>
    <i r="1">
      <x v="5"/>
    </i>
    <i r="1">
      <x v="6"/>
    </i>
    <i r="1">
      <x v="8"/>
    </i>
    <i r="1">
      <x v="7"/>
    </i>
    <i>
      <x v="6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70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7"/>
    </i>
    <i>
      <x v="71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7"/>
    </i>
    <i>
      <x v="72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7"/>
    </i>
    <i>
      <x v="7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7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7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 r="1">
      <x v="9"/>
    </i>
    <i>
      <x v="7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7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>
      <x v="7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7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8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81"/>
    </i>
    <i r="1"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8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8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8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85"/>
    </i>
    <i r="1"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86"/>
    </i>
    <i r="1">
      <x/>
    </i>
    <i r="1">
      <x v="1"/>
    </i>
    <i r="1">
      <x v="2"/>
    </i>
    <i r="1">
      <x v="3"/>
    </i>
    <i r="1">
      <x v="4"/>
    </i>
    <i r="1">
      <x v="6"/>
    </i>
    <i r="1">
      <x v="8"/>
    </i>
    <i r="1">
      <x v="7"/>
    </i>
    <i>
      <x v="8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>
      <x v="88"/>
    </i>
    <i r="1">
      <x/>
    </i>
    <i r="1">
      <x v="2"/>
    </i>
    <i r="1">
      <x v="3"/>
    </i>
    <i r="1">
      <x v="4"/>
    </i>
    <i r="1">
      <x v="6"/>
    </i>
    <i r="1">
      <x v="8"/>
    </i>
    <i r="1">
      <x v="7"/>
    </i>
    <i>
      <x v="8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Talk Time" fld="2" baseField="0" baseItem="0"/>
    <dataField name="Distinct Count of Agent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Agent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1 Call-Center-Dataset.xlsx!CallLog">
        <x15:activeTabTopLevelEntity name="[CallLo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D4CB0-6A5C-5448-91FF-31A50480B2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" colHeaderCaption="Hour of Day (24h)">
  <location ref="A3:L12" firstHeaderRow="1" firstDataRow="2" firstDataCol="1"/>
  <pivotFields count="16">
    <pivotField dataField="1" showAll="0"/>
    <pivotField showAll="0"/>
    <pivotField showAll="0"/>
    <pivotField numFmtId="21" showAll="0"/>
    <pivotField numFmtId="164" showAll="0"/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axis="axisCol" numFmtId="1" showAll="0">
      <items count="11">
        <item x="0"/>
        <item x="1"/>
        <item x="2"/>
        <item x="3"/>
        <item x="4"/>
        <item x="5"/>
        <item x="6"/>
        <item x="8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Peek Hours/Days" fld="0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68C41-D92C-4F49-A3EE-08EE7ABAAE8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ic">
  <location ref="B4:E11" firstHeaderRow="1" firstDataRow="2" firstDataCol="1" rowPageCount="1" colPageCount="1"/>
  <pivotFields count="16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numFmtId="21" showAll="0"/>
    <pivotField numFmtId="164" showAll="0"/>
    <pivotField showAll="0"/>
    <pivotField numFmtId="1" showAll="0"/>
    <pivotField axis="axisRow" showAll="0">
      <items count="6">
        <item x="3"/>
        <item x="0"/>
        <item x="2"/>
        <item x="4"/>
        <item x="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1">
    <pageField fld="8" hier="-1"/>
  </pageFields>
  <dataFields count="1">
    <dataField name="Calls Answered" fld="0" subtotal="count" baseField="0" baseItem="0"/>
  </dataFields>
  <formats count="1"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E8B09-B436-5743-B757-B62B3DBF5DE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:C18" firstHeaderRow="0" firstDataRow="1" firstDataCol="1"/>
  <pivotFields count="16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numFmtId="21" showAll="0"/>
    <pivotField numFmtId="164" showAll="0"/>
    <pivotField showAll="0"/>
    <pivotField axis="axisRow" numFmtId="1" showAll="0">
      <items count="11">
        <item x="0"/>
        <item x="1"/>
        <item x="2"/>
        <item x="3"/>
        <item x="4"/>
        <item x="5"/>
        <item x="6"/>
        <item x="8"/>
        <item x="7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ll Id" fld="0" subtotal="count" baseField="0" baseItem="0"/>
    <dataField name="Count of Answered (Y/N)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8BAFD-663B-0944-9CCF-0FE934E5F64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7:E18" firstHeaderRow="1" firstDataRow="1" firstDataCol="1"/>
  <pivotFields count="16">
    <pivotField showAll="0"/>
    <pivotField showAll="0"/>
    <pivotField showAll="0"/>
    <pivotField numFmtId="21" showAll="0"/>
    <pivotField numFmtId="164" showAll="0"/>
    <pivotField showAll="0"/>
    <pivotField axis="axisRow" numFmtId="1" showAll="0">
      <items count="11">
        <item x="0"/>
        <item x="1"/>
        <item x="2"/>
        <item x="3"/>
        <item x="4"/>
        <item x="5"/>
        <item x="6"/>
        <item x="8"/>
        <item x="7"/>
        <item x="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Resolved" fld="9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52D73-3CD7-294C-B553-5C4F50011D07}" name="CallLog" displayName="CallLog" ref="A1:N5001" totalsRowShown="0">
  <autoFilter ref="A1:N5001" xr:uid="{45752D73-3CD7-294C-B553-5C4F50011D07}"/>
  <tableColumns count="14">
    <tableColumn id="1" xr3:uid="{5857A0D5-F4C1-7940-A004-9AA43DDAB147}" name="Call Id"/>
    <tableColumn id="2" xr3:uid="{D4AC3789-14A6-0645-A9C9-38A6CABFF516}" name="Agent"/>
    <tableColumn id="3" xr3:uid="{0FE5802A-3E3D-6F47-8E0A-B8D39715C808}" name="Date"/>
    <tableColumn id="4" xr3:uid="{FFC0387E-22CE-DE41-A3FB-E328BF96A90E}" name="Time" dataDxfId="5"/>
    <tableColumn id="11" xr3:uid="{1A3FE76F-FCEA-AF45-87DB-E34341C73836}" name="DateTime" dataDxfId="4">
      <calculatedColumnFormula>CallLog[[#This Row],[Date]]+CallLog[[#This Row],[Time]]</calculatedColumnFormula>
    </tableColumn>
    <tableColumn id="14" xr3:uid="{E4A69D0E-5957-1647-A826-54F7E1A51A13}" name="DayOfWeek" dataDxfId="3">
      <calculatedColumnFormula>TEXT(CallLog[[#This Row],[Date]],"dddd")</calculatedColumnFormula>
    </tableColumn>
    <tableColumn id="13" xr3:uid="{22147923-8B56-B247-8CD5-E5FD62876C26}" name="HourOfDay" dataDxfId="2">
      <calculatedColumnFormula>HOUR(CallLog[[#This Row],[Time]])</calculatedColumnFormula>
    </tableColumn>
    <tableColumn id="5" xr3:uid="{42E33EBC-1469-2947-9727-46C4FC0AD8B8}" name="Topic"/>
    <tableColumn id="6" xr3:uid="{B672A9D8-6603-A34E-B481-C3D0A2C88E27}" name="Answered (Y/N)"/>
    <tableColumn id="7" xr3:uid="{BDF37251-605A-7843-9F75-FDE8EBFAEB39}" name="Resolved"/>
    <tableColumn id="8" xr3:uid="{F81EA0A5-1B41-5A4A-A2C7-3CA9BC574736}" name="Speed of answer in seconds"/>
    <tableColumn id="12" xr3:uid="{ED28ACB6-BFFD-1D43-997B-774638090384}" name="WithinSLA">
      <calculatedColumnFormula>IF(AND(CallLog[[#This Row],[Answered (Y/N)]]="Y", CallLog[[#This Row],[Speed of answer in seconds]]&lt;=20),
    "Within",
    "Breach")</calculatedColumnFormula>
    </tableColumn>
    <tableColumn id="9" xr3:uid="{7948AE0E-3D31-8D4A-B5DA-26AB74A8EB22}" name="AvgTalkDuration" dataDxfId="1"/>
    <tableColumn id="10" xr3:uid="{B67D3245-49E9-FE47-831F-DECBE1E89264}" name="Satisfaction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opLeftCell="E1" zoomScale="117" zoomScaleNormal="31" workbookViewId="0">
      <selection activeCell="K2" sqref="K2:K5"/>
    </sheetView>
  </sheetViews>
  <sheetFormatPr defaultColWidth="11.5546875" defaultRowHeight="14.4" x14ac:dyDescent="0.3"/>
  <cols>
    <col min="1" max="2" width="8.33203125" bestFit="1" customWidth="1"/>
    <col min="3" max="3" width="10.109375" bestFit="1" customWidth="1"/>
    <col min="4" max="4" width="8.109375" bestFit="1" customWidth="1"/>
    <col min="5" max="5" width="32.44140625" bestFit="1" customWidth="1"/>
    <col min="6" max="6" width="16" bestFit="1" customWidth="1"/>
    <col min="7" max="7" width="8" customWidth="1"/>
    <col min="8" max="8" width="25" bestFit="1" customWidth="1"/>
    <col min="9" max="9" width="16.33203125" bestFit="1" customWidth="1"/>
    <col min="10" max="10" width="17.33203125" bestFit="1" customWidth="1"/>
    <col min="13" max="13" width="22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5115</v>
      </c>
      <c r="F1" t="s">
        <v>5116</v>
      </c>
      <c r="G1" t="s">
        <v>5117</v>
      </c>
      <c r="H1" t="s">
        <v>4</v>
      </c>
      <c r="I1" t="s">
        <v>5</v>
      </c>
      <c r="J1" t="s">
        <v>6</v>
      </c>
      <c r="K1" t="s">
        <v>7</v>
      </c>
      <c r="L1" t="s">
        <v>5129</v>
      </c>
      <c r="M1" t="s">
        <v>8</v>
      </c>
      <c r="N1" t="s">
        <v>9</v>
      </c>
    </row>
    <row r="2" spans="1:14" x14ac:dyDescent="0.3">
      <c r="A2" t="s">
        <v>10</v>
      </c>
      <c r="B2" t="s">
        <v>11</v>
      </c>
      <c r="C2" t="s">
        <v>12</v>
      </c>
      <c r="D2" s="1">
        <v>0.38400462962962961</v>
      </c>
      <c r="E2" s="2">
        <f>CallLog[[#This Row],[Date]]+CallLog[[#This Row],[Time]]</f>
        <v>44197.384004629632</v>
      </c>
      <c r="F2" s="1" t="str">
        <f>TEXT(CallLog[[#This Row],[Date]],"dddd")</f>
        <v>Friday</v>
      </c>
      <c r="G2" s="3">
        <f>HOUR(CallLog[[#This Row],[Time]])</f>
        <v>9</v>
      </c>
      <c r="H2" t="s">
        <v>13</v>
      </c>
      <c r="I2" t="s">
        <v>14</v>
      </c>
      <c r="J2" t="s">
        <v>14</v>
      </c>
      <c r="K2">
        <v>109</v>
      </c>
      <c r="L2" t="str">
        <f>IF(AND(CallLog[[#This Row],[Answered (Y/N)]]="Y", CallLog[[#This Row],[Speed of answer in seconds]]&lt;=20),
    "Within",
    "Breach")</f>
        <v>Breach</v>
      </c>
      <c r="M2" s="1">
        <v>1.6550925925925926E-3</v>
      </c>
      <c r="N2">
        <v>3</v>
      </c>
    </row>
    <row r="3" spans="1:14" x14ac:dyDescent="0.3">
      <c r="A3" t="s">
        <v>15</v>
      </c>
      <c r="B3" t="s">
        <v>16</v>
      </c>
      <c r="C3" t="s">
        <v>12</v>
      </c>
      <c r="D3" s="1">
        <v>0.38400462962962961</v>
      </c>
      <c r="E3" s="2">
        <f>CallLog[[#This Row],[Date]]+CallLog[[#This Row],[Time]]</f>
        <v>44197.384004629632</v>
      </c>
      <c r="F3" s="1" t="str">
        <f>TEXT(CallLog[[#This Row],[Date]],"dddd")</f>
        <v>Friday</v>
      </c>
      <c r="G3" s="3">
        <f>HOUR(CallLog[[#This Row],[Time]])</f>
        <v>9</v>
      </c>
      <c r="H3" t="s">
        <v>17</v>
      </c>
      <c r="I3" t="s">
        <v>14</v>
      </c>
      <c r="J3" t="s">
        <v>18</v>
      </c>
      <c r="K3">
        <v>70</v>
      </c>
      <c r="L3" t="str">
        <f>IF(AND(CallLog[[#This Row],[Answered (Y/N)]]="Y", CallLog[[#This Row],[Speed of answer in seconds]]&lt;=20),
    "Within",
    "Breach")</f>
        <v>Breach</v>
      </c>
      <c r="M3" s="1">
        <v>2.8009259259259259E-3</v>
      </c>
      <c r="N3">
        <v>3</v>
      </c>
    </row>
    <row r="4" spans="1:14" x14ac:dyDescent="0.3">
      <c r="A4" t="s">
        <v>19</v>
      </c>
      <c r="B4" t="s">
        <v>20</v>
      </c>
      <c r="C4" t="s">
        <v>12</v>
      </c>
      <c r="D4" s="1">
        <v>0.4079976851851852</v>
      </c>
      <c r="E4" s="2">
        <f>CallLog[[#This Row],[Date]]+CallLog[[#This Row],[Time]]</f>
        <v>44197.407997685186</v>
      </c>
      <c r="F4" s="1" t="str">
        <f>TEXT(CallLog[[#This Row],[Date]],"dddd")</f>
        <v>Friday</v>
      </c>
      <c r="G4" s="3">
        <f>HOUR(CallLog[[#This Row],[Time]])</f>
        <v>9</v>
      </c>
      <c r="H4" t="s">
        <v>13</v>
      </c>
      <c r="I4" t="s">
        <v>14</v>
      </c>
      <c r="J4" t="s">
        <v>14</v>
      </c>
      <c r="K4">
        <v>10</v>
      </c>
      <c r="L4" t="str">
        <f>IF(AND(CallLog[[#This Row],[Answered (Y/N)]]="Y", CallLog[[#This Row],[Speed of answer in seconds]]&lt;=20),
    "Within",
    "Breach")</f>
        <v>Within</v>
      </c>
      <c r="M4" s="1">
        <v>1.5162037037037036E-3</v>
      </c>
      <c r="N4">
        <v>3</v>
      </c>
    </row>
    <row r="5" spans="1:14" x14ac:dyDescent="0.3">
      <c r="A5" t="s">
        <v>21</v>
      </c>
      <c r="B5" t="s">
        <v>22</v>
      </c>
      <c r="C5" t="s">
        <v>12</v>
      </c>
      <c r="D5" s="1">
        <v>0.4079976851851852</v>
      </c>
      <c r="E5" s="2">
        <f>CallLog[[#This Row],[Date]]+CallLog[[#This Row],[Time]]</f>
        <v>44197.407997685186</v>
      </c>
      <c r="F5" s="1" t="str">
        <f>TEXT(CallLog[[#This Row],[Date]],"dddd")</f>
        <v>Friday</v>
      </c>
      <c r="G5" s="3">
        <f>HOUR(CallLog[[#This Row],[Time]])</f>
        <v>9</v>
      </c>
      <c r="H5" t="s">
        <v>13</v>
      </c>
      <c r="I5" t="s">
        <v>14</v>
      </c>
      <c r="J5" t="s">
        <v>14</v>
      </c>
      <c r="K5">
        <v>53</v>
      </c>
      <c r="L5" t="str">
        <f>IF(AND(CallLog[[#This Row],[Answered (Y/N)]]="Y", CallLog[[#This Row],[Speed of answer in seconds]]&lt;=20),
    "Within",
    "Breach")</f>
        <v>Breach</v>
      </c>
      <c r="M5" s="1">
        <v>4.2824074074074081E-4</v>
      </c>
      <c r="N5">
        <v>2</v>
      </c>
    </row>
    <row r="6" spans="1:14" x14ac:dyDescent="0.3">
      <c r="A6" t="s">
        <v>23</v>
      </c>
      <c r="B6" t="s">
        <v>16</v>
      </c>
      <c r="C6" t="s">
        <v>12</v>
      </c>
      <c r="D6" s="1">
        <v>0.41700231481481481</v>
      </c>
      <c r="E6" s="2">
        <f>CallLog[[#This Row],[Date]]+CallLog[[#This Row],[Time]]</f>
        <v>44197.417002314818</v>
      </c>
      <c r="F6" s="1" t="str">
        <f>TEXT(CallLog[[#This Row],[Date]],"dddd")</f>
        <v>Friday</v>
      </c>
      <c r="G6" s="3">
        <f>HOUR(CallLog[[#This Row],[Time]])</f>
        <v>10</v>
      </c>
      <c r="H6" t="s">
        <v>24</v>
      </c>
      <c r="I6" t="s">
        <v>14</v>
      </c>
      <c r="J6" t="s">
        <v>14</v>
      </c>
      <c r="K6">
        <v>95</v>
      </c>
      <c r="L6" t="str">
        <f>IF(AND(CallLog[[#This Row],[Answered (Y/N)]]="Y", CallLog[[#This Row],[Speed of answer in seconds]]&lt;=20),
    "Within",
    "Breach")</f>
        <v>Breach</v>
      </c>
      <c r="M6" s="1">
        <v>6.9444444444444447E-4</v>
      </c>
      <c r="N6">
        <v>3</v>
      </c>
    </row>
    <row r="7" spans="1:14" x14ac:dyDescent="0.3">
      <c r="A7" t="s">
        <v>25</v>
      </c>
      <c r="B7" t="s">
        <v>20</v>
      </c>
      <c r="C7" t="s">
        <v>12</v>
      </c>
      <c r="D7" s="1">
        <v>0.41700231481481481</v>
      </c>
      <c r="E7" s="2">
        <f>CallLog[[#This Row],[Date]]+CallLog[[#This Row],[Time]]</f>
        <v>44197.417002314818</v>
      </c>
      <c r="F7" s="1" t="str">
        <f>TEXT(CallLog[[#This Row],[Date]],"dddd")</f>
        <v>Friday</v>
      </c>
      <c r="G7" s="3">
        <f>HOUR(CallLog[[#This Row],[Time]])</f>
        <v>10</v>
      </c>
      <c r="H7" t="s">
        <v>17</v>
      </c>
      <c r="I7" t="s">
        <v>18</v>
      </c>
      <c r="J7" t="s">
        <v>18</v>
      </c>
      <c r="L7" t="str">
        <f>IF(AND(CallLog[[#This Row],[Answered (Y/N)]]="Y", CallLog[[#This Row],[Speed of answer in seconds]]&lt;=20),
    "Within",
    "Breach")</f>
        <v>Breach</v>
      </c>
    </row>
    <row r="8" spans="1:14" x14ac:dyDescent="0.3">
      <c r="A8" t="s">
        <v>26</v>
      </c>
      <c r="B8" t="s">
        <v>11</v>
      </c>
      <c r="C8" t="s">
        <v>12</v>
      </c>
      <c r="D8" s="1">
        <v>0.43200231481481483</v>
      </c>
      <c r="E8" s="2">
        <f>CallLog[[#This Row],[Date]]+CallLog[[#This Row],[Time]]</f>
        <v>44197.432002314818</v>
      </c>
      <c r="F8" s="1" t="str">
        <f>TEXT(CallLog[[#This Row],[Date]],"dddd")</f>
        <v>Friday</v>
      </c>
      <c r="G8" s="3">
        <f>HOUR(CallLog[[#This Row],[Time]])</f>
        <v>10</v>
      </c>
      <c r="H8" t="s">
        <v>24</v>
      </c>
      <c r="I8" t="s">
        <v>14</v>
      </c>
      <c r="J8" t="s">
        <v>14</v>
      </c>
      <c r="K8">
        <v>24</v>
      </c>
      <c r="L8" t="str">
        <f>IF(AND(CallLog[[#This Row],[Answered (Y/N)]]="Y", CallLog[[#This Row],[Speed of answer in seconds]]&lt;=20),
    "Within",
    "Breach")</f>
        <v>Breach</v>
      </c>
      <c r="M8" s="1">
        <v>2.5462962962962965E-3</v>
      </c>
      <c r="N8">
        <v>2</v>
      </c>
    </row>
    <row r="9" spans="1:14" x14ac:dyDescent="0.3">
      <c r="A9" t="s">
        <v>27</v>
      </c>
      <c r="B9" t="s">
        <v>11</v>
      </c>
      <c r="C9" t="s">
        <v>12</v>
      </c>
      <c r="D9" s="1">
        <v>0.43200231481481483</v>
      </c>
      <c r="E9" s="2">
        <f>CallLog[[#This Row],[Date]]+CallLog[[#This Row],[Time]]</f>
        <v>44197.432002314818</v>
      </c>
      <c r="F9" s="1" t="str">
        <f>TEXT(CallLog[[#This Row],[Date]],"dddd")</f>
        <v>Friday</v>
      </c>
      <c r="G9" s="3">
        <f>HOUR(CallLog[[#This Row],[Time]])</f>
        <v>10</v>
      </c>
      <c r="H9" t="s">
        <v>24</v>
      </c>
      <c r="I9" t="s">
        <v>14</v>
      </c>
      <c r="J9" t="s">
        <v>14</v>
      </c>
      <c r="K9">
        <v>22</v>
      </c>
      <c r="L9" t="str">
        <f>IF(AND(CallLog[[#This Row],[Answered (Y/N)]]="Y", CallLog[[#This Row],[Speed of answer in seconds]]&lt;=20),
    "Within",
    "Breach")</f>
        <v>Breach</v>
      </c>
      <c r="M9" s="1">
        <v>4.3981481481481481E-4</v>
      </c>
      <c r="N9">
        <v>4</v>
      </c>
    </row>
    <row r="10" spans="1:14" x14ac:dyDescent="0.3">
      <c r="A10" t="s">
        <v>28</v>
      </c>
      <c r="B10" t="s">
        <v>22</v>
      </c>
      <c r="C10" t="s">
        <v>12</v>
      </c>
      <c r="D10" s="1">
        <v>0.4679976851851852</v>
      </c>
      <c r="E10" s="2">
        <f>CallLog[[#This Row],[Date]]+CallLog[[#This Row],[Time]]</f>
        <v>44197.467997685184</v>
      </c>
      <c r="F10" s="1" t="str">
        <f>TEXT(CallLog[[#This Row],[Date]],"dddd")</f>
        <v>Friday</v>
      </c>
      <c r="G10" s="3">
        <f>HOUR(CallLog[[#This Row],[Time]])</f>
        <v>11</v>
      </c>
      <c r="H10" t="s">
        <v>29</v>
      </c>
      <c r="I10" t="s">
        <v>14</v>
      </c>
      <c r="J10" t="s">
        <v>14</v>
      </c>
      <c r="K10">
        <v>15</v>
      </c>
      <c r="L10" t="str">
        <f>IF(AND(CallLog[[#This Row],[Answered (Y/N)]]="Y", CallLog[[#This Row],[Speed of answer in seconds]]&lt;=20),
    "Within",
    "Breach")</f>
        <v>Within</v>
      </c>
      <c r="M10" s="1">
        <v>4.6064814814814814E-3</v>
      </c>
      <c r="N10">
        <v>4</v>
      </c>
    </row>
    <row r="11" spans="1:14" x14ac:dyDescent="0.3">
      <c r="A11" t="s">
        <v>30</v>
      </c>
      <c r="B11" t="s">
        <v>31</v>
      </c>
      <c r="C11" t="s">
        <v>12</v>
      </c>
      <c r="D11" s="1">
        <v>0.4679976851851852</v>
      </c>
      <c r="E11" s="2">
        <f>CallLog[[#This Row],[Date]]+CallLog[[#This Row],[Time]]</f>
        <v>44197.467997685184</v>
      </c>
      <c r="F11" s="1" t="str">
        <f>TEXT(CallLog[[#This Row],[Date]],"dddd")</f>
        <v>Friday</v>
      </c>
      <c r="G11" s="3">
        <f>HOUR(CallLog[[#This Row],[Time]])</f>
        <v>11</v>
      </c>
      <c r="H11" t="s">
        <v>32</v>
      </c>
      <c r="I11" t="s">
        <v>14</v>
      </c>
      <c r="J11" t="s">
        <v>14</v>
      </c>
      <c r="K11">
        <v>78</v>
      </c>
      <c r="L11" t="str">
        <f>IF(AND(CallLog[[#This Row],[Answered (Y/N)]]="Y", CallLog[[#This Row],[Speed of answer in seconds]]&lt;=20),
    "Within",
    "Breach")</f>
        <v>Breach</v>
      </c>
      <c r="M11" s="1">
        <v>7.407407407407407E-4</v>
      </c>
      <c r="N11">
        <v>3</v>
      </c>
    </row>
    <row r="12" spans="1:14" x14ac:dyDescent="0.3">
      <c r="A12" t="s">
        <v>33</v>
      </c>
      <c r="B12" t="s">
        <v>34</v>
      </c>
      <c r="C12" t="s">
        <v>12</v>
      </c>
      <c r="D12" s="1">
        <v>0.46900462962962963</v>
      </c>
      <c r="E12" s="2">
        <f>CallLog[[#This Row],[Date]]+CallLog[[#This Row],[Time]]</f>
        <v>44197.469004629631</v>
      </c>
      <c r="F12" s="1" t="str">
        <f>TEXT(CallLog[[#This Row],[Date]],"dddd")</f>
        <v>Friday</v>
      </c>
      <c r="G12" s="3">
        <f>HOUR(CallLog[[#This Row],[Time]])</f>
        <v>11</v>
      </c>
      <c r="H12" t="s">
        <v>24</v>
      </c>
      <c r="I12" t="s">
        <v>18</v>
      </c>
      <c r="J12" t="s">
        <v>18</v>
      </c>
      <c r="L12" t="str">
        <f>IF(AND(CallLog[[#This Row],[Answered (Y/N)]]="Y", CallLog[[#This Row],[Speed of answer in seconds]]&lt;=20),
    "Within",
    "Breach")</f>
        <v>Breach</v>
      </c>
    </row>
    <row r="13" spans="1:14" x14ac:dyDescent="0.3">
      <c r="A13" t="s">
        <v>35</v>
      </c>
      <c r="B13" t="s">
        <v>22</v>
      </c>
      <c r="C13" t="s">
        <v>12</v>
      </c>
      <c r="D13" s="1">
        <v>0.46900462962962963</v>
      </c>
      <c r="E13" s="2">
        <f>CallLog[[#This Row],[Date]]+CallLog[[#This Row],[Time]]</f>
        <v>44197.469004629631</v>
      </c>
      <c r="F13" s="1" t="str">
        <f>TEXT(CallLog[[#This Row],[Date]],"dddd")</f>
        <v>Friday</v>
      </c>
      <c r="G13" s="3">
        <f>HOUR(CallLog[[#This Row],[Time]])</f>
        <v>11</v>
      </c>
      <c r="H13" t="s">
        <v>24</v>
      </c>
      <c r="I13" t="s">
        <v>14</v>
      </c>
      <c r="J13" t="s">
        <v>14</v>
      </c>
      <c r="K13">
        <v>50</v>
      </c>
      <c r="L13" t="str">
        <f>IF(AND(CallLog[[#This Row],[Answered (Y/N)]]="Y", CallLog[[#This Row],[Speed of answer in seconds]]&lt;=20),
    "Within",
    "Breach")</f>
        <v>Breach</v>
      </c>
      <c r="M13" s="1">
        <v>3.7037037037037041E-4</v>
      </c>
      <c r="N13">
        <v>4</v>
      </c>
    </row>
    <row r="14" spans="1:14" x14ac:dyDescent="0.3">
      <c r="A14" t="s">
        <v>36</v>
      </c>
      <c r="B14" t="s">
        <v>34</v>
      </c>
      <c r="C14" t="s">
        <v>12</v>
      </c>
      <c r="D14" s="1">
        <v>0.495</v>
      </c>
      <c r="E14" s="2">
        <f>CallLog[[#This Row],[Date]]+CallLog[[#This Row],[Time]]</f>
        <v>44197.495000000003</v>
      </c>
      <c r="F14" s="1" t="str">
        <f>TEXT(CallLog[[#This Row],[Date]],"dddd")</f>
        <v>Friday</v>
      </c>
      <c r="G14" s="3">
        <f>HOUR(CallLog[[#This Row],[Time]])</f>
        <v>11</v>
      </c>
      <c r="H14" t="s">
        <v>24</v>
      </c>
      <c r="I14" t="s">
        <v>14</v>
      </c>
      <c r="J14" t="s">
        <v>14</v>
      </c>
      <c r="K14">
        <v>84</v>
      </c>
      <c r="L14" t="str">
        <f>IF(AND(CallLog[[#This Row],[Answered (Y/N)]]="Y", CallLog[[#This Row],[Speed of answer in seconds]]&lt;=20),
    "Within",
    "Breach")</f>
        <v>Breach</v>
      </c>
      <c r="M14" s="1">
        <v>2.476851851851852E-3</v>
      </c>
      <c r="N14">
        <v>3</v>
      </c>
    </row>
    <row r="15" spans="1:14" x14ac:dyDescent="0.3">
      <c r="A15" t="s">
        <v>37</v>
      </c>
      <c r="B15" t="s">
        <v>38</v>
      </c>
      <c r="C15" t="s">
        <v>12</v>
      </c>
      <c r="D15" s="1">
        <v>0.495</v>
      </c>
      <c r="E15" s="2">
        <f>CallLog[[#This Row],[Date]]+CallLog[[#This Row],[Time]]</f>
        <v>44197.495000000003</v>
      </c>
      <c r="F15" s="1" t="str">
        <f>TEXT(CallLog[[#This Row],[Date]],"dddd")</f>
        <v>Friday</v>
      </c>
      <c r="G15" s="3">
        <f>HOUR(CallLog[[#This Row],[Time]])</f>
        <v>11</v>
      </c>
      <c r="H15" t="s">
        <v>13</v>
      </c>
      <c r="I15" t="s">
        <v>14</v>
      </c>
      <c r="J15" t="s">
        <v>14</v>
      </c>
      <c r="K15">
        <v>89</v>
      </c>
      <c r="L15" t="str">
        <f>IF(AND(CallLog[[#This Row],[Answered (Y/N)]]="Y", CallLog[[#This Row],[Speed of answer in seconds]]&lt;=20),
    "Within",
    "Breach")</f>
        <v>Breach</v>
      </c>
      <c r="M15" s="1">
        <v>3.9814814814814817E-3</v>
      </c>
      <c r="N15">
        <v>3</v>
      </c>
    </row>
    <row r="16" spans="1:14" x14ac:dyDescent="0.3">
      <c r="A16" t="s">
        <v>39</v>
      </c>
      <c r="B16" t="s">
        <v>16</v>
      </c>
      <c r="C16" t="s">
        <v>12</v>
      </c>
      <c r="D16" s="1">
        <v>0.49700231481481483</v>
      </c>
      <c r="E16" s="2">
        <f>CallLog[[#This Row],[Date]]+CallLog[[#This Row],[Time]]</f>
        <v>44197.497002314813</v>
      </c>
      <c r="F16" s="1" t="str">
        <f>TEXT(CallLog[[#This Row],[Date]],"dddd")</f>
        <v>Friday</v>
      </c>
      <c r="G16" s="3">
        <f>HOUR(CallLog[[#This Row],[Time]])</f>
        <v>11</v>
      </c>
      <c r="H16" t="s">
        <v>29</v>
      </c>
      <c r="I16" t="s">
        <v>14</v>
      </c>
      <c r="J16" t="s">
        <v>14</v>
      </c>
      <c r="K16">
        <v>48</v>
      </c>
      <c r="L16" t="str">
        <f>IF(AND(CallLog[[#This Row],[Answered (Y/N)]]="Y", CallLog[[#This Row],[Speed of answer in seconds]]&lt;=20),
    "Within",
    "Breach")</f>
        <v>Breach</v>
      </c>
      <c r="M16" s="1">
        <v>2.627314814814815E-3</v>
      </c>
      <c r="N16">
        <v>4</v>
      </c>
    </row>
    <row r="17" spans="1:14" x14ac:dyDescent="0.3">
      <c r="A17" t="s">
        <v>40</v>
      </c>
      <c r="B17" t="s">
        <v>16</v>
      </c>
      <c r="C17" t="s">
        <v>12</v>
      </c>
      <c r="D17" s="1">
        <v>0.49700231481481483</v>
      </c>
      <c r="E17" s="2">
        <f>CallLog[[#This Row],[Date]]+CallLog[[#This Row],[Time]]</f>
        <v>44197.497002314813</v>
      </c>
      <c r="F17" s="1" t="str">
        <f>TEXT(CallLog[[#This Row],[Date]],"dddd")</f>
        <v>Friday</v>
      </c>
      <c r="G17" s="3">
        <f>HOUR(CallLog[[#This Row],[Time]])</f>
        <v>11</v>
      </c>
      <c r="H17" t="s">
        <v>29</v>
      </c>
      <c r="I17" t="s">
        <v>14</v>
      </c>
      <c r="J17" t="s">
        <v>14</v>
      </c>
      <c r="K17">
        <v>63</v>
      </c>
      <c r="L17" t="str">
        <f>IF(AND(CallLog[[#This Row],[Answered (Y/N)]]="Y", CallLog[[#This Row],[Speed of answer in seconds]]&lt;=20),
    "Within",
    "Breach")</f>
        <v>Breach</v>
      </c>
      <c r="M17" s="1">
        <v>3.7731481481481483E-3</v>
      </c>
      <c r="N17">
        <v>2</v>
      </c>
    </row>
    <row r="18" spans="1:14" x14ac:dyDescent="0.3">
      <c r="A18" t="s">
        <v>41</v>
      </c>
      <c r="B18" t="s">
        <v>22</v>
      </c>
      <c r="C18" t="s">
        <v>12</v>
      </c>
      <c r="D18" s="1">
        <v>0.49799768518518517</v>
      </c>
      <c r="E18" s="2">
        <f>CallLog[[#This Row],[Date]]+CallLog[[#This Row],[Time]]</f>
        <v>44197.497997685183</v>
      </c>
      <c r="F18" s="1" t="str">
        <f>TEXT(CallLog[[#This Row],[Date]],"dddd")</f>
        <v>Friday</v>
      </c>
      <c r="G18" s="3">
        <f>HOUR(CallLog[[#This Row],[Time]])</f>
        <v>11</v>
      </c>
      <c r="H18" t="s">
        <v>17</v>
      </c>
      <c r="I18" t="s">
        <v>14</v>
      </c>
      <c r="J18" t="s">
        <v>14</v>
      </c>
      <c r="K18">
        <v>45</v>
      </c>
      <c r="L18" t="str">
        <f>IF(AND(CallLog[[#This Row],[Answered (Y/N)]]="Y", CallLog[[#This Row],[Speed of answer in seconds]]&lt;=20),
    "Within",
    "Breach")</f>
        <v>Breach</v>
      </c>
      <c r="M18" s="1">
        <v>3.8425925925925928E-3</v>
      </c>
      <c r="N18">
        <v>5</v>
      </c>
    </row>
    <row r="19" spans="1:14" x14ac:dyDescent="0.3">
      <c r="A19" t="s">
        <v>42</v>
      </c>
      <c r="B19" t="s">
        <v>16</v>
      </c>
      <c r="C19" t="s">
        <v>12</v>
      </c>
      <c r="D19" s="1">
        <v>0.49799768518518517</v>
      </c>
      <c r="E19" s="2">
        <f>CallLog[[#This Row],[Date]]+CallLog[[#This Row],[Time]]</f>
        <v>44197.497997685183</v>
      </c>
      <c r="F19" s="1" t="str">
        <f>TEXT(CallLog[[#This Row],[Date]],"dddd")</f>
        <v>Friday</v>
      </c>
      <c r="G19" s="3">
        <f>HOUR(CallLog[[#This Row],[Time]])</f>
        <v>11</v>
      </c>
      <c r="H19" t="s">
        <v>29</v>
      </c>
      <c r="I19" t="s">
        <v>18</v>
      </c>
      <c r="J19" t="s">
        <v>18</v>
      </c>
      <c r="L19" t="str">
        <f>IF(AND(CallLog[[#This Row],[Answered (Y/N)]]="Y", CallLog[[#This Row],[Speed of answer in seconds]]&lt;=20),
    "Within",
    "Breach")</f>
        <v>Breach</v>
      </c>
    </row>
    <row r="20" spans="1:14" x14ac:dyDescent="0.3">
      <c r="A20" t="s">
        <v>43</v>
      </c>
      <c r="B20" t="s">
        <v>31</v>
      </c>
      <c r="C20" t="s">
        <v>12</v>
      </c>
      <c r="D20" s="1">
        <v>0.50099537037037034</v>
      </c>
      <c r="E20" s="2">
        <f>CallLog[[#This Row],[Date]]+CallLog[[#This Row],[Time]]</f>
        <v>44197.50099537037</v>
      </c>
      <c r="F20" s="1" t="str">
        <f>TEXT(CallLog[[#This Row],[Date]],"dddd")</f>
        <v>Friday</v>
      </c>
      <c r="G20" s="3">
        <f>HOUR(CallLog[[#This Row],[Time]])</f>
        <v>12</v>
      </c>
      <c r="H20" t="s">
        <v>32</v>
      </c>
      <c r="I20" t="s">
        <v>18</v>
      </c>
      <c r="J20" t="s">
        <v>18</v>
      </c>
      <c r="L20" t="str">
        <f>IF(AND(CallLog[[#This Row],[Answered (Y/N)]]="Y", CallLog[[#This Row],[Speed of answer in seconds]]&lt;=20),
    "Within",
    "Breach")</f>
        <v>Breach</v>
      </c>
    </row>
    <row r="21" spans="1:14" x14ac:dyDescent="0.3">
      <c r="A21" t="s">
        <v>44</v>
      </c>
      <c r="B21" t="s">
        <v>31</v>
      </c>
      <c r="C21" t="s">
        <v>12</v>
      </c>
      <c r="D21" s="1">
        <v>0.50099537037037034</v>
      </c>
      <c r="E21" s="2">
        <f>CallLog[[#This Row],[Date]]+CallLog[[#This Row],[Time]]</f>
        <v>44197.50099537037</v>
      </c>
      <c r="F21" s="1" t="str">
        <f>TEXT(CallLog[[#This Row],[Date]],"dddd")</f>
        <v>Friday</v>
      </c>
      <c r="G21" s="3">
        <f>HOUR(CallLog[[#This Row],[Time]])</f>
        <v>12</v>
      </c>
      <c r="H21" t="s">
        <v>13</v>
      </c>
      <c r="I21" t="s">
        <v>14</v>
      </c>
      <c r="J21" t="s">
        <v>14</v>
      </c>
      <c r="K21">
        <v>101</v>
      </c>
      <c r="L21" t="str">
        <f>IF(AND(CallLog[[#This Row],[Answered (Y/N)]]="Y", CallLog[[#This Row],[Speed of answer in seconds]]&lt;=20),
    "Within",
    "Breach")</f>
        <v>Breach</v>
      </c>
      <c r="M21" s="1">
        <v>1.7013888888888888E-3</v>
      </c>
      <c r="N21">
        <v>3</v>
      </c>
    </row>
    <row r="22" spans="1:14" x14ac:dyDescent="0.3">
      <c r="A22" t="s">
        <v>45</v>
      </c>
      <c r="B22" t="s">
        <v>31</v>
      </c>
      <c r="C22" t="s">
        <v>12</v>
      </c>
      <c r="D22" s="1">
        <v>0.50200231481481483</v>
      </c>
      <c r="E22" s="2">
        <f>CallLog[[#This Row],[Date]]+CallLog[[#This Row],[Time]]</f>
        <v>44197.502002314817</v>
      </c>
      <c r="F22" s="1" t="str">
        <f>TEXT(CallLog[[#This Row],[Date]],"dddd")</f>
        <v>Friday</v>
      </c>
      <c r="G22" s="3">
        <f>HOUR(CallLog[[#This Row],[Time]])</f>
        <v>12</v>
      </c>
      <c r="H22" t="s">
        <v>17</v>
      </c>
      <c r="I22" t="s">
        <v>14</v>
      </c>
      <c r="J22" t="s">
        <v>14</v>
      </c>
      <c r="K22">
        <v>74</v>
      </c>
      <c r="L22" t="str">
        <f>IF(AND(CallLog[[#This Row],[Answered (Y/N)]]="Y", CallLog[[#This Row],[Speed of answer in seconds]]&lt;=20),
    "Within",
    "Breach")</f>
        <v>Breach</v>
      </c>
      <c r="M22" s="1">
        <v>3.7268518518518519E-3</v>
      </c>
      <c r="N22">
        <v>5</v>
      </c>
    </row>
    <row r="23" spans="1:14" x14ac:dyDescent="0.3">
      <c r="A23" t="s">
        <v>46</v>
      </c>
      <c r="B23" t="s">
        <v>47</v>
      </c>
      <c r="C23" t="s">
        <v>12</v>
      </c>
      <c r="D23" s="1">
        <v>0.50200231481481483</v>
      </c>
      <c r="E23" s="2">
        <f>CallLog[[#This Row],[Date]]+CallLog[[#This Row],[Time]]</f>
        <v>44197.502002314817</v>
      </c>
      <c r="F23" s="1" t="str">
        <f>TEXT(CallLog[[#This Row],[Date]],"dddd")</f>
        <v>Friday</v>
      </c>
      <c r="G23" s="3">
        <f>HOUR(CallLog[[#This Row],[Time]])</f>
        <v>12</v>
      </c>
      <c r="H23" t="s">
        <v>29</v>
      </c>
      <c r="I23" t="s">
        <v>14</v>
      </c>
      <c r="J23" t="s">
        <v>14</v>
      </c>
      <c r="K23">
        <v>89</v>
      </c>
      <c r="L23" t="str">
        <f>IF(AND(CallLog[[#This Row],[Answered (Y/N)]]="Y", CallLog[[#This Row],[Speed of answer in seconds]]&lt;=20),
    "Within",
    "Breach")</f>
        <v>Breach</v>
      </c>
      <c r="M23" s="1">
        <v>4.0509259259259257E-3</v>
      </c>
      <c r="N23">
        <v>5</v>
      </c>
    </row>
    <row r="24" spans="1:14" x14ac:dyDescent="0.3">
      <c r="A24" t="s">
        <v>48</v>
      </c>
      <c r="B24" t="s">
        <v>38</v>
      </c>
      <c r="C24" t="s">
        <v>12</v>
      </c>
      <c r="D24" s="1">
        <v>0.50200231481481483</v>
      </c>
      <c r="E24" s="2">
        <f>CallLog[[#This Row],[Date]]+CallLog[[#This Row],[Time]]</f>
        <v>44197.502002314817</v>
      </c>
      <c r="F24" s="1" t="str">
        <f>TEXT(CallLog[[#This Row],[Date]],"dddd")</f>
        <v>Friday</v>
      </c>
      <c r="G24" s="3">
        <f>HOUR(CallLog[[#This Row],[Time]])</f>
        <v>12</v>
      </c>
      <c r="H24" t="s">
        <v>17</v>
      </c>
      <c r="I24" t="s">
        <v>18</v>
      </c>
      <c r="J24" t="s">
        <v>18</v>
      </c>
      <c r="L24" t="str">
        <f>IF(AND(CallLog[[#This Row],[Answered (Y/N)]]="Y", CallLog[[#This Row],[Speed of answer in seconds]]&lt;=20),
    "Within",
    "Breach")</f>
        <v>Breach</v>
      </c>
    </row>
    <row r="25" spans="1:14" x14ac:dyDescent="0.3">
      <c r="A25" t="s">
        <v>49</v>
      </c>
      <c r="B25" t="s">
        <v>34</v>
      </c>
      <c r="C25" t="s">
        <v>12</v>
      </c>
      <c r="D25" s="1">
        <v>0.50200231481481483</v>
      </c>
      <c r="E25" s="2">
        <f>CallLog[[#This Row],[Date]]+CallLog[[#This Row],[Time]]</f>
        <v>44197.502002314817</v>
      </c>
      <c r="F25" s="1" t="str">
        <f>TEXT(CallLog[[#This Row],[Date]],"dddd")</f>
        <v>Friday</v>
      </c>
      <c r="G25" s="3">
        <f>HOUR(CallLog[[#This Row],[Time]])</f>
        <v>12</v>
      </c>
      <c r="H25" t="s">
        <v>17</v>
      </c>
      <c r="I25" t="s">
        <v>14</v>
      </c>
      <c r="J25" t="s">
        <v>14</v>
      </c>
      <c r="K25">
        <v>68</v>
      </c>
      <c r="L25" t="str">
        <f>IF(AND(CallLog[[#This Row],[Answered (Y/N)]]="Y", CallLog[[#This Row],[Speed of answer in seconds]]&lt;=20),
    "Within",
    "Breach")</f>
        <v>Breach</v>
      </c>
      <c r="M25" s="1">
        <v>3.7615740740740739E-3</v>
      </c>
      <c r="N25">
        <v>2</v>
      </c>
    </row>
    <row r="26" spans="1:14" x14ac:dyDescent="0.3">
      <c r="A26" t="s">
        <v>50</v>
      </c>
      <c r="B26" t="s">
        <v>11</v>
      </c>
      <c r="C26" t="s">
        <v>12</v>
      </c>
      <c r="D26" s="1">
        <v>0.52099537037037036</v>
      </c>
      <c r="E26" s="2">
        <f>CallLog[[#This Row],[Date]]+CallLog[[#This Row],[Time]]</f>
        <v>44197.520995370367</v>
      </c>
      <c r="F26" s="1" t="str">
        <f>TEXT(CallLog[[#This Row],[Date]],"dddd")</f>
        <v>Friday</v>
      </c>
      <c r="G26" s="3">
        <f>HOUR(CallLog[[#This Row],[Time]])</f>
        <v>12</v>
      </c>
      <c r="H26" t="s">
        <v>32</v>
      </c>
      <c r="I26" t="s">
        <v>14</v>
      </c>
      <c r="J26" t="s">
        <v>14</v>
      </c>
      <c r="K26">
        <v>97</v>
      </c>
      <c r="L26" t="str">
        <f>IF(AND(CallLog[[#This Row],[Answered (Y/N)]]="Y", CallLog[[#This Row],[Speed of answer in seconds]]&lt;=20),
    "Within",
    "Breach")</f>
        <v>Breach</v>
      </c>
      <c r="M26" s="1">
        <v>2.8819444444444444E-3</v>
      </c>
      <c r="N26">
        <v>3</v>
      </c>
    </row>
    <row r="27" spans="1:14" x14ac:dyDescent="0.3">
      <c r="A27" t="s">
        <v>51</v>
      </c>
      <c r="B27" t="s">
        <v>47</v>
      </c>
      <c r="C27" t="s">
        <v>12</v>
      </c>
      <c r="D27" s="1">
        <v>0.52099537037037036</v>
      </c>
      <c r="E27" s="2">
        <f>CallLog[[#This Row],[Date]]+CallLog[[#This Row],[Time]]</f>
        <v>44197.520995370367</v>
      </c>
      <c r="F27" s="1" t="str">
        <f>TEXT(CallLog[[#This Row],[Date]],"dddd")</f>
        <v>Friday</v>
      </c>
      <c r="G27" s="3">
        <f>HOUR(CallLog[[#This Row],[Time]])</f>
        <v>12</v>
      </c>
      <c r="H27" t="s">
        <v>24</v>
      </c>
      <c r="I27" t="s">
        <v>18</v>
      </c>
      <c r="J27" t="s">
        <v>18</v>
      </c>
      <c r="L27" t="str">
        <f>IF(AND(CallLog[[#This Row],[Answered (Y/N)]]="Y", CallLog[[#This Row],[Speed of answer in seconds]]&lt;=20),
    "Within",
    "Breach")</f>
        <v>Breach</v>
      </c>
    </row>
    <row r="28" spans="1:14" x14ac:dyDescent="0.3">
      <c r="A28" t="s">
        <v>52</v>
      </c>
      <c r="B28" t="s">
        <v>34</v>
      </c>
      <c r="C28" t="s">
        <v>12</v>
      </c>
      <c r="D28" s="1">
        <v>0.52799768518518519</v>
      </c>
      <c r="E28" s="2">
        <f>CallLog[[#This Row],[Date]]+CallLog[[#This Row],[Time]]</f>
        <v>44197.527997685182</v>
      </c>
      <c r="F28" s="1" t="str">
        <f>TEXT(CallLog[[#This Row],[Date]],"dddd")</f>
        <v>Friday</v>
      </c>
      <c r="G28" s="3">
        <f>HOUR(CallLog[[#This Row],[Time]])</f>
        <v>12</v>
      </c>
      <c r="H28" t="s">
        <v>32</v>
      </c>
      <c r="I28" t="s">
        <v>14</v>
      </c>
      <c r="J28" t="s">
        <v>14</v>
      </c>
      <c r="K28">
        <v>39</v>
      </c>
      <c r="L28" t="str">
        <f>IF(AND(CallLog[[#This Row],[Answered (Y/N)]]="Y", CallLog[[#This Row],[Speed of answer in seconds]]&lt;=20),
    "Within",
    "Breach")</f>
        <v>Breach</v>
      </c>
      <c r="M28" s="1">
        <v>2.7777777777777779E-3</v>
      </c>
      <c r="N28">
        <v>3</v>
      </c>
    </row>
    <row r="29" spans="1:14" x14ac:dyDescent="0.3">
      <c r="A29" t="s">
        <v>53</v>
      </c>
      <c r="B29" t="s">
        <v>38</v>
      </c>
      <c r="C29" t="s">
        <v>12</v>
      </c>
      <c r="D29" s="1">
        <v>0.52799768518518519</v>
      </c>
      <c r="E29" s="2">
        <f>CallLog[[#This Row],[Date]]+CallLog[[#This Row],[Time]]</f>
        <v>44197.527997685182</v>
      </c>
      <c r="F29" s="1" t="str">
        <f>TEXT(CallLog[[#This Row],[Date]],"dddd")</f>
        <v>Friday</v>
      </c>
      <c r="G29" s="3">
        <f>HOUR(CallLog[[#This Row],[Time]])</f>
        <v>12</v>
      </c>
      <c r="H29" t="s">
        <v>13</v>
      </c>
      <c r="I29" t="s">
        <v>14</v>
      </c>
      <c r="J29" t="s">
        <v>14</v>
      </c>
      <c r="K29">
        <v>51</v>
      </c>
      <c r="L29" t="str">
        <f>IF(AND(CallLog[[#This Row],[Answered (Y/N)]]="Y", CallLog[[#This Row],[Speed of answer in seconds]]&lt;=20),
    "Within",
    "Breach")</f>
        <v>Breach</v>
      </c>
      <c r="M29" s="1">
        <v>1.7824074074074075E-3</v>
      </c>
      <c r="N29">
        <v>4</v>
      </c>
    </row>
    <row r="30" spans="1:14" x14ac:dyDescent="0.3">
      <c r="A30" t="s">
        <v>54</v>
      </c>
      <c r="B30" t="s">
        <v>34</v>
      </c>
      <c r="C30" t="s">
        <v>12</v>
      </c>
      <c r="D30" s="1">
        <v>0.52799768518518519</v>
      </c>
      <c r="E30" s="2">
        <f>CallLog[[#This Row],[Date]]+CallLog[[#This Row],[Time]]</f>
        <v>44197.527997685182</v>
      </c>
      <c r="F30" s="1" t="str">
        <f>TEXT(CallLog[[#This Row],[Date]],"dddd")</f>
        <v>Friday</v>
      </c>
      <c r="G30" s="3">
        <f>HOUR(CallLog[[#This Row],[Time]])</f>
        <v>12</v>
      </c>
      <c r="H30" t="s">
        <v>17</v>
      </c>
      <c r="I30" t="s">
        <v>14</v>
      </c>
      <c r="J30" t="s">
        <v>14</v>
      </c>
      <c r="K30">
        <v>106</v>
      </c>
      <c r="L30" t="str">
        <f>IF(AND(CallLog[[#This Row],[Answered (Y/N)]]="Y", CallLog[[#This Row],[Speed of answer in seconds]]&lt;=20),
    "Within",
    "Breach")</f>
        <v>Breach</v>
      </c>
      <c r="M30" s="1">
        <v>1.4930555555555556E-3</v>
      </c>
      <c r="N30">
        <v>4</v>
      </c>
    </row>
    <row r="31" spans="1:14" x14ac:dyDescent="0.3">
      <c r="A31" t="s">
        <v>55</v>
      </c>
      <c r="B31" t="s">
        <v>20</v>
      </c>
      <c r="C31" t="s">
        <v>12</v>
      </c>
      <c r="D31" s="1">
        <v>0.52799768518518519</v>
      </c>
      <c r="E31" s="2">
        <f>CallLog[[#This Row],[Date]]+CallLog[[#This Row],[Time]]</f>
        <v>44197.527997685182</v>
      </c>
      <c r="F31" s="1" t="str">
        <f>TEXT(CallLog[[#This Row],[Date]],"dddd")</f>
        <v>Friday</v>
      </c>
      <c r="G31" s="3">
        <f>HOUR(CallLog[[#This Row],[Time]])</f>
        <v>12</v>
      </c>
      <c r="H31" t="s">
        <v>32</v>
      </c>
      <c r="I31" t="s">
        <v>14</v>
      </c>
      <c r="J31" t="s">
        <v>14</v>
      </c>
      <c r="K31">
        <v>107</v>
      </c>
      <c r="L31" t="str">
        <f>IF(AND(CallLog[[#This Row],[Answered (Y/N)]]="Y", CallLog[[#This Row],[Speed of answer in seconds]]&lt;=20),
    "Within",
    "Breach")</f>
        <v>Breach</v>
      </c>
      <c r="M31" s="1">
        <v>4.1087962962962962E-3</v>
      </c>
      <c r="N31">
        <v>3</v>
      </c>
    </row>
    <row r="32" spans="1:14" x14ac:dyDescent="0.3">
      <c r="A32" t="s">
        <v>56</v>
      </c>
      <c r="B32" t="s">
        <v>34</v>
      </c>
      <c r="C32" t="s">
        <v>12</v>
      </c>
      <c r="D32" s="1">
        <v>0.5590046296296296</v>
      </c>
      <c r="E32" s="2">
        <f>CallLog[[#This Row],[Date]]+CallLog[[#This Row],[Time]]</f>
        <v>44197.559004629627</v>
      </c>
      <c r="F32" s="1" t="str">
        <f>TEXT(CallLog[[#This Row],[Date]],"dddd")</f>
        <v>Friday</v>
      </c>
      <c r="G32" s="3">
        <f>HOUR(CallLog[[#This Row],[Time]])</f>
        <v>13</v>
      </c>
      <c r="H32" t="s">
        <v>29</v>
      </c>
      <c r="I32" t="s">
        <v>14</v>
      </c>
      <c r="J32" t="s">
        <v>14</v>
      </c>
      <c r="K32">
        <v>22</v>
      </c>
      <c r="L32" t="str">
        <f>IF(AND(CallLog[[#This Row],[Answered (Y/N)]]="Y", CallLog[[#This Row],[Speed of answer in seconds]]&lt;=20),
    "Within",
    "Breach")</f>
        <v>Breach</v>
      </c>
      <c r="M32" s="1">
        <v>3.5648148148148149E-3</v>
      </c>
      <c r="N32">
        <v>3</v>
      </c>
    </row>
    <row r="33" spans="1:14" x14ac:dyDescent="0.3">
      <c r="A33" t="s">
        <v>57</v>
      </c>
      <c r="B33" t="s">
        <v>34</v>
      </c>
      <c r="C33" t="s">
        <v>12</v>
      </c>
      <c r="D33" s="1">
        <v>0.5590046296296296</v>
      </c>
      <c r="E33" s="2">
        <f>CallLog[[#This Row],[Date]]+CallLog[[#This Row],[Time]]</f>
        <v>44197.559004629627</v>
      </c>
      <c r="F33" s="1" t="str">
        <f>TEXT(CallLog[[#This Row],[Date]],"dddd")</f>
        <v>Friday</v>
      </c>
      <c r="G33" s="3">
        <f>HOUR(CallLog[[#This Row],[Time]])</f>
        <v>13</v>
      </c>
      <c r="H33" t="s">
        <v>32</v>
      </c>
      <c r="I33" t="s">
        <v>14</v>
      </c>
      <c r="J33" t="s">
        <v>14</v>
      </c>
      <c r="K33">
        <v>122</v>
      </c>
      <c r="L33" t="str">
        <f>IF(AND(CallLog[[#This Row],[Answered (Y/N)]]="Y", CallLog[[#This Row],[Speed of answer in seconds]]&lt;=20),
    "Within",
    "Breach")</f>
        <v>Breach</v>
      </c>
      <c r="M33" s="1">
        <v>1.4814814814814814E-3</v>
      </c>
      <c r="N33">
        <v>4</v>
      </c>
    </row>
    <row r="34" spans="1:14" x14ac:dyDescent="0.3">
      <c r="A34" t="s">
        <v>58</v>
      </c>
      <c r="B34" t="s">
        <v>11</v>
      </c>
      <c r="C34" t="s">
        <v>12</v>
      </c>
      <c r="D34" s="1">
        <v>0.56499999999999995</v>
      </c>
      <c r="E34" s="2">
        <f>CallLog[[#This Row],[Date]]+CallLog[[#This Row],[Time]]</f>
        <v>44197.565000000002</v>
      </c>
      <c r="F34" s="1" t="str">
        <f>TEXT(CallLog[[#This Row],[Date]],"dddd")</f>
        <v>Friday</v>
      </c>
      <c r="G34" s="3">
        <f>HOUR(CallLog[[#This Row],[Time]])</f>
        <v>13</v>
      </c>
      <c r="H34" t="s">
        <v>17</v>
      </c>
      <c r="I34" t="s">
        <v>14</v>
      </c>
      <c r="J34" t="s">
        <v>14</v>
      </c>
      <c r="K34">
        <v>57</v>
      </c>
      <c r="L34" t="str">
        <f>IF(AND(CallLog[[#This Row],[Answered (Y/N)]]="Y", CallLog[[#This Row],[Speed of answer in seconds]]&lt;=20),
    "Within",
    "Breach")</f>
        <v>Breach</v>
      </c>
      <c r="M34" s="1">
        <v>4.7337962962962967E-3</v>
      </c>
      <c r="N34">
        <v>3</v>
      </c>
    </row>
    <row r="35" spans="1:14" x14ac:dyDescent="0.3">
      <c r="A35" t="s">
        <v>59</v>
      </c>
      <c r="B35" t="s">
        <v>31</v>
      </c>
      <c r="C35" t="s">
        <v>12</v>
      </c>
      <c r="D35" s="1">
        <v>0.56499999999999995</v>
      </c>
      <c r="E35" s="2">
        <f>CallLog[[#This Row],[Date]]+CallLog[[#This Row],[Time]]</f>
        <v>44197.565000000002</v>
      </c>
      <c r="F35" s="1" t="str">
        <f>TEXT(CallLog[[#This Row],[Date]],"dddd")</f>
        <v>Friday</v>
      </c>
      <c r="G35" s="3">
        <f>HOUR(CallLog[[#This Row],[Time]])</f>
        <v>13</v>
      </c>
      <c r="H35" t="s">
        <v>24</v>
      </c>
      <c r="I35" t="s">
        <v>14</v>
      </c>
      <c r="J35" t="s">
        <v>18</v>
      </c>
      <c r="K35">
        <v>53</v>
      </c>
      <c r="L35" t="str">
        <f>IF(AND(CallLog[[#This Row],[Answered (Y/N)]]="Y", CallLog[[#This Row],[Speed of answer in seconds]]&lt;=20),
    "Within",
    "Breach")</f>
        <v>Breach</v>
      </c>
      <c r="M35" s="1">
        <v>1.2037037037037038E-3</v>
      </c>
      <c r="N35">
        <v>2</v>
      </c>
    </row>
    <row r="36" spans="1:14" x14ac:dyDescent="0.3">
      <c r="A36" t="s">
        <v>60</v>
      </c>
      <c r="B36" t="s">
        <v>16</v>
      </c>
      <c r="C36" t="s">
        <v>12</v>
      </c>
      <c r="D36" s="1">
        <v>0.5709953703703704</v>
      </c>
      <c r="E36" s="2">
        <f>CallLog[[#This Row],[Date]]+CallLog[[#This Row],[Time]]</f>
        <v>44197.57099537037</v>
      </c>
      <c r="F36" s="1" t="str">
        <f>TEXT(CallLog[[#This Row],[Date]],"dddd")</f>
        <v>Friday</v>
      </c>
      <c r="G36" s="3">
        <f>HOUR(CallLog[[#This Row],[Time]])</f>
        <v>13</v>
      </c>
      <c r="H36" t="s">
        <v>32</v>
      </c>
      <c r="I36" t="s">
        <v>14</v>
      </c>
      <c r="J36" t="s">
        <v>14</v>
      </c>
      <c r="K36">
        <v>119</v>
      </c>
      <c r="L36" t="str">
        <f>IF(AND(CallLog[[#This Row],[Answered (Y/N)]]="Y", CallLog[[#This Row],[Speed of answer in seconds]]&lt;=20),
    "Within",
    "Breach")</f>
        <v>Breach</v>
      </c>
      <c r="M36" s="1">
        <v>1.0532407407407407E-3</v>
      </c>
      <c r="N36">
        <v>5</v>
      </c>
    </row>
    <row r="37" spans="1:14" x14ac:dyDescent="0.3">
      <c r="A37" t="s">
        <v>61</v>
      </c>
      <c r="B37" t="s">
        <v>11</v>
      </c>
      <c r="C37" t="s">
        <v>12</v>
      </c>
      <c r="D37" s="1">
        <v>0.5709953703703704</v>
      </c>
      <c r="E37" s="2">
        <f>CallLog[[#This Row],[Date]]+CallLog[[#This Row],[Time]]</f>
        <v>44197.57099537037</v>
      </c>
      <c r="F37" s="1" t="str">
        <f>TEXT(CallLog[[#This Row],[Date]],"dddd")</f>
        <v>Friday</v>
      </c>
      <c r="G37" s="3">
        <f>HOUR(CallLog[[#This Row],[Time]])</f>
        <v>13</v>
      </c>
      <c r="H37" t="s">
        <v>32</v>
      </c>
      <c r="I37" t="s">
        <v>18</v>
      </c>
      <c r="J37" t="s">
        <v>18</v>
      </c>
      <c r="L37" t="str">
        <f>IF(AND(CallLog[[#This Row],[Answered (Y/N)]]="Y", CallLog[[#This Row],[Speed of answer in seconds]]&lt;=20),
    "Within",
    "Breach")</f>
        <v>Breach</v>
      </c>
    </row>
    <row r="38" spans="1:14" x14ac:dyDescent="0.3">
      <c r="A38" t="s">
        <v>62</v>
      </c>
      <c r="B38" t="s">
        <v>38</v>
      </c>
      <c r="C38" t="s">
        <v>12</v>
      </c>
      <c r="D38" s="1">
        <v>0.5709953703703704</v>
      </c>
      <c r="E38" s="2">
        <f>CallLog[[#This Row],[Date]]+CallLog[[#This Row],[Time]]</f>
        <v>44197.57099537037</v>
      </c>
      <c r="F38" s="1" t="str">
        <f>TEXT(CallLog[[#This Row],[Date]],"dddd")</f>
        <v>Friday</v>
      </c>
      <c r="G38" s="3">
        <f>HOUR(CallLog[[#This Row],[Time]])</f>
        <v>13</v>
      </c>
      <c r="H38" t="s">
        <v>17</v>
      </c>
      <c r="I38" t="s">
        <v>14</v>
      </c>
      <c r="J38" t="s">
        <v>18</v>
      </c>
      <c r="K38">
        <v>20</v>
      </c>
      <c r="L38" t="str">
        <f>IF(AND(CallLog[[#This Row],[Answered (Y/N)]]="Y", CallLog[[#This Row],[Speed of answer in seconds]]&lt;=20),
    "Within",
    "Breach")</f>
        <v>Within</v>
      </c>
      <c r="M38" s="1">
        <v>8.3333333333333339E-4</v>
      </c>
      <c r="N38">
        <v>2</v>
      </c>
    </row>
    <row r="39" spans="1:14" x14ac:dyDescent="0.3">
      <c r="A39" t="s">
        <v>63</v>
      </c>
      <c r="B39" t="s">
        <v>34</v>
      </c>
      <c r="C39" t="s">
        <v>12</v>
      </c>
      <c r="D39" s="1">
        <v>0.5709953703703704</v>
      </c>
      <c r="E39" s="2">
        <f>CallLog[[#This Row],[Date]]+CallLog[[#This Row],[Time]]</f>
        <v>44197.57099537037</v>
      </c>
      <c r="F39" s="1" t="str">
        <f>TEXT(CallLog[[#This Row],[Date]],"dddd")</f>
        <v>Friday</v>
      </c>
      <c r="G39" s="3">
        <f>HOUR(CallLog[[#This Row],[Time]])</f>
        <v>13</v>
      </c>
      <c r="H39" t="s">
        <v>17</v>
      </c>
      <c r="I39" t="s">
        <v>14</v>
      </c>
      <c r="J39" t="s">
        <v>14</v>
      </c>
      <c r="K39">
        <v>52</v>
      </c>
      <c r="L39" t="str">
        <f>IF(AND(CallLog[[#This Row],[Answered (Y/N)]]="Y", CallLog[[#This Row],[Speed of answer in seconds]]&lt;=20),
    "Within",
    "Breach")</f>
        <v>Breach</v>
      </c>
      <c r="M39" s="1">
        <v>4.1666666666666669E-4</v>
      </c>
      <c r="N39">
        <v>3</v>
      </c>
    </row>
    <row r="40" spans="1:14" x14ac:dyDescent="0.3">
      <c r="A40" t="s">
        <v>64</v>
      </c>
      <c r="B40" t="s">
        <v>20</v>
      </c>
      <c r="C40" t="s">
        <v>12</v>
      </c>
      <c r="D40" s="1">
        <v>0.61</v>
      </c>
      <c r="E40" s="2">
        <f>CallLog[[#This Row],[Date]]+CallLog[[#This Row],[Time]]</f>
        <v>44197.61</v>
      </c>
      <c r="F40" s="1" t="str">
        <f>TEXT(CallLog[[#This Row],[Date]],"dddd")</f>
        <v>Friday</v>
      </c>
      <c r="G40" s="3">
        <f>HOUR(CallLog[[#This Row],[Time]])</f>
        <v>14</v>
      </c>
      <c r="H40" t="s">
        <v>13</v>
      </c>
      <c r="I40" t="s">
        <v>14</v>
      </c>
      <c r="J40" t="s">
        <v>14</v>
      </c>
      <c r="K40">
        <v>74</v>
      </c>
      <c r="L40" t="str">
        <f>IF(AND(CallLog[[#This Row],[Answered (Y/N)]]="Y", CallLog[[#This Row],[Speed of answer in seconds]]&lt;=20),
    "Within",
    "Breach")</f>
        <v>Breach</v>
      </c>
      <c r="M40" s="1">
        <v>4.6412037037037038E-3</v>
      </c>
      <c r="N40">
        <v>1</v>
      </c>
    </row>
    <row r="41" spans="1:14" x14ac:dyDescent="0.3">
      <c r="A41" t="s">
        <v>65</v>
      </c>
      <c r="B41" t="s">
        <v>22</v>
      </c>
      <c r="C41" t="s">
        <v>12</v>
      </c>
      <c r="D41" s="1">
        <v>0.61</v>
      </c>
      <c r="E41" s="2">
        <f>CallLog[[#This Row],[Date]]+CallLog[[#This Row],[Time]]</f>
        <v>44197.61</v>
      </c>
      <c r="F41" s="1" t="str">
        <f>TEXT(CallLog[[#This Row],[Date]],"dddd")</f>
        <v>Friday</v>
      </c>
      <c r="G41" s="3">
        <f>HOUR(CallLog[[#This Row],[Time]])</f>
        <v>14</v>
      </c>
      <c r="H41" t="s">
        <v>17</v>
      </c>
      <c r="I41" t="s">
        <v>14</v>
      </c>
      <c r="J41" t="s">
        <v>14</v>
      </c>
      <c r="K41">
        <v>49</v>
      </c>
      <c r="L41" t="str">
        <f>IF(AND(CallLog[[#This Row],[Answered (Y/N)]]="Y", CallLog[[#This Row],[Speed of answer in seconds]]&lt;=20),
    "Within",
    "Breach")</f>
        <v>Breach</v>
      </c>
      <c r="M41" s="1">
        <v>1.724537037037037E-3</v>
      </c>
      <c r="N41">
        <v>3</v>
      </c>
    </row>
    <row r="42" spans="1:14" x14ac:dyDescent="0.3">
      <c r="A42" t="s">
        <v>66</v>
      </c>
      <c r="B42" t="s">
        <v>31</v>
      </c>
      <c r="C42" t="s">
        <v>12</v>
      </c>
      <c r="D42" s="1">
        <v>0.61599537037037033</v>
      </c>
      <c r="E42" s="2">
        <f>CallLog[[#This Row],[Date]]+CallLog[[#This Row],[Time]]</f>
        <v>44197.615995370368</v>
      </c>
      <c r="F42" s="1" t="str">
        <f>TEXT(CallLog[[#This Row],[Date]],"dddd")</f>
        <v>Friday</v>
      </c>
      <c r="G42" s="3">
        <f>HOUR(CallLog[[#This Row],[Time]])</f>
        <v>14</v>
      </c>
      <c r="H42" t="s">
        <v>17</v>
      </c>
      <c r="I42" t="s">
        <v>14</v>
      </c>
      <c r="J42" t="s">
        <v>14</v>
      </c>
      <c r="K42">
        <v>27</v>
      </c>
      <c r="L42" t="str">
        <f>IF(AND(CallLog[[#This Row],[Answered (Y/N)]]="Y", CallLog[[#This Row],[Speed of answer in seconds]]&lt;=20),
    "Within",
    "Breach")</f>
        <v>Breach</v>
      </c>
      <c r="M42" s="1">
        <v>1.4930555555555556E-3</v>
      </c>
      <c r="N42">
        <v>5</v>
      </c>
    </row>
    <row r="43" spans="1:14" x14ac:dyDescent="0.3">
      <c r="A43" t="s">
        <v>67</v>
      </c>
      <c r="B43" t="s">
        <v>22</v>
      </c>
      <c r="C43" t="s">
        <v>12</v>
      </c>
      <c r="D43" s="1">
        <v>0.61599537037037033</v>
      </c>
      <c r="E43" s="2">
        <f>CallLog[[#This Row],[Date]]+CallLog[[#This Row],[Time]]</f>
        <v>44197.615995370368</v>
      </c>
      <c r="F43" s="1" t="str">
        <f>TEXT(CallLog[[#This Row],[Date]],"dddd")</f>
        <v>Friday</v>
      </c>
      <c r="G43" s="3">
        <f>HOUR(CallLog[[#This Row],[Time]])</f>
        <v>14</v>
      </c>
      <c r="H43" t="s">
        <v>13</v>
      </c>
      <c r="I43" t="s">
        <v>14</v>
      </c>
      <c r="J43" t="s">
        <v>14</v>
      </c>
      <c r="K43">
        <v>100</v>
      </c>
      <c r="L43" t="str">
        <f>IF(AND(CallLog[[#This Row],[Answered (Y/N)]]="Y", CallLog[[#This Row],[Speed of answer in seconds]]&lt;=20),
    "Within",
    "Breach")</f>
        <v>Breach</v>
      </c>
      <c r="M43" s="1">
        <v>3.4027777777777776E-3</v>
      </c>
      <c r="N43">
        <v>5</v>
      </c>
    </row>
    <row r="44" spans="1:14" x14ac:dyDescent="0.3">
      <c r="A44" t="s">
        <v>68</v>
      </c>
      <c r="B44" t="s">
        <v>11</v>
      </c>
      <c r="C44" t="s">
        <v>12</v>
      </c>
      <c r="D44" s="1">
        <v>0.61599537037037033</v>
      </c>
      <c r="E44" s="2">
        <f>CallLog[[#This Row],[Date]]+CallLog[[#This Row],[Time]]</f>
        <v>44197.615995370368</v>
      </c>
      <c r="F44" s="1" t="str">
        <f>TEXT(CallLog[[#This Row],[Date]],"dddd")</f>
        <v>Friday</v>
      </c>
      <c r="G44" s="3">
        <f>HOUR(CallLog[[#This Row],[Time]])</f>
        <v>14</v>
      </c>
      <c r="H44" t="s">
        <v>17</v>
      </c>
      <c r="I44" t="s">
        <v>14</v>
      </c>
      <c r="J44" t="s">
        <v>14</v>
      </c>
      <c r="K44">
        <v>45</v>
      </c>
      <c r="L44" t="str">
        <f>IF(AND(CallLog[[#This Row],[Answered (Y/N)]]="Y", CallLog[[#This Row],[Speed of answer in seconds]]&lt;=20),
    "Within",
    "Breach")</f>
        <v>Breach</v>
      </c>
      <c r="M44" s="1">
        <v>4.409722222222222E-3</v>
      </c>
      <c r="N44">
        <v>3</v>
      </c>
    </row>
    <row r="45" spans="1:14" x14ac:dyDescent="0.3">
      <c r="A45" t="s">
        <v>69</v>
      </c>
      <c r="B45" t="s">
        <v>16</v>
      </c>
      <c r="C45" t="s">
        <v>12</v>
      </c>
      <c r="D45" s="1">
        <v>0.61599537037037033</v>
      </c>
      <c r="E45" s="2">
        <f>CallLog[[#This Row],[Date]]+CallLog[[#This Row],[Time]]</f>
        <v>44197.615995370368</v>
      </c>
      <c r="F45" s="1" t="str">
        <f>TEXT(CallLog[[#This Row],[Date]],"dddd")</f>
        <v>Friday</v>
      </c>
      <c r="G45" s="3">
        <f>HOUR(CallLog[[#This Row],[Time]])</f>
        <v>14</v>
      </c>
      <c r="H45" t="s">
        <v>24</v>
      </c>
      <c r="I45" t="s">
        <v>14</v>
      </c>
      <c r="J45" t="s">
        <v>14</v>
      </c>
      <c r="K45">
        <v>98</v>
      </c>
      <c r="L45" t="str">
        <f>IF(AND(CallLog[[#This Row],[Answered (Y/N)]]="Y", CallLog[[#This Row],[Speed of answer in seconds]]&lt;=20),
    "Within",
    "Breach")</f>
        <v>Breach</v>
      </c>
      <c r="M45" s="1">
        <v>2.2453703703703702E-3</v>
      </c>
      <c r="N45">
        <v>5</v>
      </c>
    </row>
    <row r="46" spans="1:14" x14ac:dyDescent="0.3">
      <c r="A46" t="s">
        <v>70</v>
      </c>
      <c r="B46" t="s">
        <v>11</v>
      </c>
      <c r="C46" t="s">
        <v>12</v>
      </c>
      <c r="D46" s="1">
        <v>0.65599537037037037</v>
      </c>
      <c r="E46" s="2">
        <f>CallLog[[#This Row],[Date]]+CallLog[[#This Row],[Time]]</f>
        <v>44197.655995370369</v>
      </c>
      <c r="F46" s="1" t="str">
        <f>TEXT(CallLog[[#This Row],[Date]],"dddd")</f>
        <v>Friday</v>
      </c>
      <c r="G46" s="3">
        <f>HOUR(CallLog[[#This Row],[Time]])</f>
        <v>15</v>
      </c>
      <c r="H46" t="s">
        <v>29</v>
      </c>
      <c r="I46" t="s">
        <v>14</v>
      </c>
      <c r="J46" t="s">
        <v>14</v>
      </c>
      <c r="K46">
        <v>25</v>
      </c>
      <c r="L46" t="str">
        <f>IF(AND(CallLog[[#This Row],[Answered (Y/N)]]="Y", CallLog[[#This Row],[Speed of answer in seconds]]&lt;=20),
    "Within",
    "Breach")</f>
        <v>Breach</v>
      </c>
      <c r="M46" s="1">
        <v>3.6226851851851854E-3</v>
      </c>
      <c r="N46">
        <v>5</v>
      </c>
    </row>
    <row r="47" spans="1:14" x14ac:dyDescent="0.3">
      <c r="A47" t="s">
        <v>71</v>
      </c>
      <c r="B47" t="s">
        <v>31</v>
      </c>
      <c r="C47" t="s">
        <v>12</v>
      </c>
      <c r="D47" s="1">
        <v>0.65599537037037037</v>
      </c>
      <c r="E47" s="2">
        <f>CallLog[[#This Row],[Date]]+CallLog[[#This Row],[Time]]</f>
        <v>44197.655995370369</v>
      </c>
      <c r="F47" s="1" t="str">
        <f>TEXT(CallLog[[#This Row],[Date]],"dddd")</f>
        <v>Friday</v>
      </c>
      <c r="G47" s="3">
        <f>HOUR(CallLog[[#This Row],[Time]])</f>
        <v>15</v>
      </c>
      <c r="H47" t="s">
        <v>13</v>
      </c>
      <c r="I47" t="s">
        <v>18</v>
      </c>
      <c r="J47" t="s">
        <v>18</v>
      </c>
      <c r="L47" t="str">
        <f>IF(AND(CallLog[[#This Row],[Answered (Y/N)]]="Y", CallLog[[#This Row],[Speed of answer in seconds]]&lt;=20),
    "Within",
    "Breach")</f>
        <v>Breach</v>
      </c>
    </row>
    <row r="48" spans="1:14" x14ac:dyDescent="0.3">
      <c r="A48" t="s">
        <v>72</v>
      </c>
      <c r="B48" t="s">
        <v>47</v>
      </c>
      <c r="C48" t="s">
        <v>12</v>
      </c>
      <c r="D48" s="1">
        <v>0.71799768518518514</v>
      </c>
      <c r="E48" s="2">
        <f>CallLog[[#This Row],[Date]]+CallLog[[#This Row],[Time]]</f>
        <v>44197.717997685184</v>
      </c>
      <c r="F48" s="1" t="str">
        <f>TEXT(CallLog[[#This Row],[Date]],"dddd")</f>
        <v>Friday</v>
      </c>
      <c r="G48" s="3">
        <f>HOUR(CallLog[[#This Row],[Time]])</f>
        <v>17</v>
      </c>
      <c r="H48" t="s">
        <v>29</v>
      </c>
      <c r="I48" t="s">
        <v>14</v>
      </c>
      <c r="J48" t="s">
        <v>14</v>
      </c>
      <c r="K48">
        <v>107</v>
      </c>
      <c r="L48" t="str">
        <f>IF(AND(CallLog[[#This Row],[Answered (Y/N)]]="Y", CallLog[[#This Row],[Speed of answer in seconds]]&lt;=20),
    "Within",
    "Breach")</f>
        <v>Breach</v>
      </c>
      <c r="M48" s="1">
        <v>1.6435185185185185E-3</v>
      </c>
      <c r="N48">
        <v>3</v>
      </c>
    </row>
    <row r="49" spans="1:14" x14ac:dyDescent="0.3">
      <c r="A49" t="s">
        <v>73</v>
      </c>
      <c r="B49" t="s">
        <v>38</v>
      </c>
      <c r="C49" t="s">
        <v>12</v>
      </c>
      <c r="D49" s="1">
        <v>0.71799768518518514</v>
      </c>
      <c r="E49" s="2">
        <f>CallLog[[#This Row],[Date]]+CallLog[[#This Row],[Time]]</f>
        <v>44197.717997685184</v>
      </c>
      <c r="F49" s="1" t="str">
        <f>TEXT(CallLog[[#This Row],[Date]],"dddd")</f>
        <v>Friday</v>
      </c>
      <c r="G49" s="3">
        <f>HOUR(CallLog[[#This Row],[Time]])</f>
        <v>17</v>
      </c>
      <c r="H49" t="s">
        <v>13</v>
      </c>
      <c r="I49" t="s">
        <v>18</v>
      </c>
      <c r="J49" t="s">
        <v>18</v>
      </c>
      <c r="L49" t="str">
        <f>IF(AND(CallLog[[#This Row],[Answered (Y/N)]]="Y", CallLog[[#This Row],[Speed of answer in seconds]]&lt;=20),
    "Within",
    "Breach")</f>
        <v>Breach</v>
      </c>
    </row>
    <row r="50" spans="1:14" x14ac:dyDescent="0.3">
      <c r="A50" t="s">
        <v>74</v>
      </c>
      <c r="B50" t="s">
        <v>34</v>
      </c>
      <c r="C50" t="s">
        <v>12</v>
      </c>
      <c r="D50" s="1">
        <v>0.72599537037037032</v>
      </c>
      <c r="E50" s="2">
        <f>CallLog[[#This Row],[Date]]+CallLog[[#This Row],[Time]]</f>
        <v>44197.725995370369</v>
      </c>
      <c r="F50" s="1" t="str">
        <f>TEXT(CallLog[[#This Row],[Date]],"dddd")</f>
        <v>Friday</v>
      </c>
      <c r="G50" s="3">
        <f>HOUR(CallLog[[#This Row],[Time]])</f>
        <v>17</v>
      </c>
      <c r="H50" t="s">
        <v>17</v>
      </c>
      <c r="I50" t="s">
        <v>14</v>
      </c>
      <c r="J50" t="s">
        <v>14</v>
      </c>
      <c r="K50">
        <v>104</v>
      </c>
      <c r="L50" t="str">
        <f>IF(AND(CallLog[[#This Row],[Answered (Y/N)]]="Y", CallLog[[#This Row],[Speed of answer in seconds]]&lt;=20),
    "Within",
    "Breach")</f>
        <v>Breach</v>
      </c>
      <c r="M50" s="1">
        <v>2.488425925925926E-3</v>
      </c>
      <c r="N50">
        <v>5</v>
      </c>
    </row>
    <row r="51" spans="1:14" x14ac:dyDescent="0.3">
      <c r="A51" t="s">
        <v>75</v>
      </c>
      <c r="B51" t="s">
        <v>47</v>
      </c>
      <c r="C51" t="s">
        <v>12</v>
      </c>
      <c r="D51" s="1">
        <v>0.72599537037037032</v>
      </c>
      <c r="E51" s="2">
        <f>CallLog[[#This Row],[Date]]+CallLog[[#This Row],[Time]]</f>
        <v>44197.725995370369</v>
      </c>
      <c r="F51" s="1" t="str">
        <f>TEXT(CallLog[[#This Row],[Date]],"dddd")</f>
        <v>Friday</v>
      </c>
      <c r="G51" s="3">
        <f>HOUR(CallLog[[#This Row],[Time]])</f>
        <v>17</v>
      </c>
      <c r="H51" t="s">
        <v>17</v>
      </c>
      <c r="I51" t="s">
        <v>18</v>
      </c>
      <c r="J51" t="s">
        <v>18</v>
      </c>
      <c r="L51" t="str">
        <f>IF(AND(CallLog[[#This Row],[Answered (Y/N)]]="Y", CallLog[[#This Row],[Speed of answer in seconds]]&lt;=20),
    "Within",
    "Breach")</f>
        <v>Breach</v>
      </c>
    </row>
    <row r="52" spans="1:14" x14ac:dyDescent="0.3">
      <c r="A52" t="s">
        <v>76</v>
      </c>
      <c r="B52" t="s">
        <v>38</v>
      </c>
      <c r="C52" t="s">
        <v>12</v>
      </c>
      <c r="D52" s="1">
        <v>0.73299768518518515</v>
      </c>
      <c r="E52" s="2">
        <f>CallLog[[#This Row],[Date]]+CallLog[[#This Row],[Time]]</f>
        <v>44197.732997685183</v>
      </c>
      <c r="F52" s="1" t="str">
        <f>TEXT(CallLog[[#This Row],[Date]],"dddd")</f>
        <v>Friday</v>
      </c>
      <c r="G52" s="3">
        <f>HOUR(CallLog[[#This Row],[Time]])</f>
        <v>17</v>
      </c>
      <c r="H52" t="s">
        <v>13</v>
      </c>
      <c r="I52" t="s">
        <v>18</v>
      </c>
      <c r="J52" t="s">
        <v>18</v>
      </c>
      <c r="L52" t="str">
        <f>IF(AND(CallLog[[#This Row],[Answered (Y/N)]]="Y", CallLog[[#This Row],[Speed of answer in seconds]]&lt;=20),
    "Within",
    "Breach")</f>
        <v>Breach</v>
      </c>
    </row>
    <row r="53" spans="1:14" x14ac:dyDescent="0.3">
      <c r="A53" t="s">
        <v>77</v>
      </c>
      <c r="B53" t="s">
        <v>31</v>
      </c>
      <c r="C53" t="s">
        <v>12</v>
      </c>
      <c r="D53" s="1">
        <v>0.73299768518518515</v>
      </c>
      <c r="E53" s="2">
        <f>CallLog[[#This Row],[Date]]+CallLog[[#This Row],[Time]]</f>
        <v>44197.732997685183</v>
      </c>
      <c r="F53" s="1" t="str">
        <f>TEXT(CallLog[[#This Row],[Date]],"dddd")</f>
        <v>Friday</v>
      </c>
      <c r="G53" s="3">
        <f>HOUR(CallLog[[#This Row],[Time]])</f>
        <v>17</v>
      </c>
      <c r="H53" t="s">
        <v>29</v>
      </c>
      <c r="I53" t="s">
        <v>18</v>
      </c>
      <c r="J53" t="s">
        <v>18</v>
      </c>
      <c r="L53" t="str">
        <f>IF(AND(CallLog[[#This Row],[Answered (Y/N)]]="Y", CallLog[[#This Row],[Speed of answer in seconds]]&lt;=20),
    "Within",
    "Breach")</f>
        <v>Breach</v>
      </c>
    </row>
    <row r="54" spans="1:14" x14ac:dyDescent="0.3">
      <c r="A54" t="s">
        <v>78</v>
      </c>
      <c r="B54" t="s">
        <v>20</v>
      </c>
      <c r="C54" t="s">
        <v>12</v>
      </c>
      <c r="D54" s="1">
        <v>0.73400462962962965</v>
      </c>
      <c r="E54" s="2">
        <f>CallLog[[#This Row],[Date]]+CallLog[[#This Row],[Time]]</f>
        <v>44197.73400462963</v>
      </c>
      <c r="F54" s="1" t="str">
        <f>TEXT(CallLog[[#This Row],[Date]],"dddd")</f>
        <v>Friday</v>
      </c>
      <c r="G54" s="3">
        <f>HOUR(CallLog[[#This Row],[Time]])</f>
        <v>17</v>
      </c>
      <c r="H54" t="s">
        <v>24</v>
      </c>
      <c r="I54" t="s">
        <v>14</v>
      </c>
      <c r="J54" t="s">
        <v>14</v>
      </c>
      <c r="K54">
        <v>13</v>
      </c>
      <c r="L54" t="str">
        <f>IF(AND(CallLog[[#This Row],[Answered (Y/N)]]="Y", CallLog[[#This Row],[Speed of answer in seconds]]&lt;=20),
    "Within",
    "Breach")</f>
        <v>Within</v>
      </c>
      <c r="M54" s="1">
        <v>8.6805555555555551E-4</v>
      </c>
      <c r="N54">
        <v>5</v>
      </c>
    </row>
    <row r="55" spans="1:14" x14ac:dyDescent="0.3">
      <c r="A55" t="s">
        <v>79</v>
      </c>
      <c r="B55" t="s">
        <v>47</v>
      </c>
      <c r="C55" t="s">
        <v>12</v>
      </c>
      <c r="D55" s="1">
        <v>0.73400462962962965</v>
      </c>
      <c r="E55" s="2">
        <f>CallLog[[#This Row],[Date]]+CallLog[[#This Row],[Time]]</f>
        <v>44197.73400462963</v>
      </c>
      <c r="F55" s="1" t="str">
        <f>TEXT(CallLog[[#This Row],[Date]],"dddd")</f>
        <v>Friday</v>
      </c>
      <c r="G55" s="3">
        <f>HOUR(CallLog[[#This Row],[Time]])</f>
        <v>17</v>
      </c>
      <c r="H55" t="s">
        <v>24</v>
      </c>
      <c r="I55" t="s">
        <v>14</v>
      </c>
      <c r="J55" t="s">
        <v>14</v>
      </c>
      <c r="K55">
        <v>119</v>
      </c>
      <c r="L55" t="str">
        <f>IF(AND(CallLog[[#This Row],[Answered (Y/N)]]="Y", CallLog[[#This Row],[Speed of answer in seconds]]&lt;=20),
    "Within",
    "Breach")</f>
        <v>Breach</v>
      </c>
      <c r="M55" s="1">
        <v>1.7592592592592592E-3</v>
      </c>
      <c r="N55">
        <v>5</v>
      </c>
    </row>
    <row r="56" spans="1:14" x14ac:dyDescent="0.3">
      <c r="A56" t="s">
        <v>80</v>
      </c>
      <c r="B56" t="s">
        <v>16</v>
      </c>
      <c r="C56" t="s">
        <v>12</v>
      </c>
      <c r="D56" s="1">
        <v>0.73900462962962965</v>
      </c>
      <c r="E56" s="2">
        <f>CallLog[[#This Row],[Date]]+CallLog[[#This Row],[Time]]</f>
        <v>44197.739004629628</v>
      </c>
      <c r="F56" s="1" t="str">
        <f>TEXT(CallLog[[#This Row],[Date]],"dddd")</f>
        <v>Friday</v>
      </c>
      <c r="G56" s="3">
        <f>HOUR(CallLog[[#This Row],[Time]])</f>
        <v>17</v>
      </c>
      <c r="H56" t="s">
        <v>32</v>
      </c>
      <c r="I56" t="s">
        <v>14</v>
      </c>
      <c r="J56" t="s">
        <v>14</v>
      </c>
      <c r="K56">
        <v>35</v>
      </c>
      <c r="L56" t="str">
        <f>IF(AND(CallLog[[#This Row],[Answered (Y/N)]]="Y", CallLog[[#This Row],[Speed of answer in seconds]]&lt;=20),
    "Within",
    "Breach")</f>
        <v>Breach</v>
      </c>
      <c r="M56" s="1">
        <v>9.1435185185185185E-4</v>
      </c>
      <c r="N56">
        <v>3</v>
      </c>
    </row>
    <row r="57" spans="1:14" x14ac:dyDescent="0.3">
      <c r="A57" t="s">
        <v>81</v>
      </c>
      <c r="B57" t="s">
        <v>47</v>
      </c>
      <c r="C57" t="s">
        <v>12</v>
      </c>
      <c r="D57" s="1">
        <v>0.73900462962962965</v>
      </c>
      <c r="E57" s="2">
        <f>CallLog[[#This Row],[Date]]+CallLog[[#This Row],[Time]]</f>
        <v>44197.739004629628</v>
      </c>
      <c r="F57" s="1" t="str">
        <f>TEXT(CallLog[[#This Row],[Date]],"dddd")</f>
        <v>Friday</v>
      </c>
      <c r="G57" s="3">
        <f>HOUR(CallLog[[#This Row],[Time]])</f>
        <v>17</v>
      </c>
      <c r="H57" t="s">
        <v>32</v>
      </c>
      <c r="I57" t="s">
        <v>14</v>
      </c>
      <c r="J57" t="s">
        <v>14</v>
      </c>
      <c r="K57">
        <v>83</v>
      </c>
      <c r="L57" t="str">
        <f>IF(AND(CallLog[[#This Row],[Answered (Y/N)]]="Y", CallLog[[#This Row],[Speed of answer in seconds]]&lt;=20),
    "Within",
    "Breach")</f>
        <v>Breach</v>
      </c>
      <c r="M57" s="1">
        <v>4.6874999999999998E-3</v>
      </c>
      <c r="N57">
        <v>4</v>
      </c>
    </row>
    <row r="58" spans="1:14" x14ac:dyDescent="0.3">
      <c r="A58" t="s">
        <v>82</v>
      </c>
      <c r="B58" t="s">
        <v>31</v>
      </c>
      <c r="C58" t="s">
        <v>12</v>
      </c>
      <c r="D58" s="1">
        <v>0.74799768518518517</v>
      </c>
      <c r="E58" s="2">
        <f>CallLog[[#This Row],[Date]]+CallLog[[#This Row],[Time]]</f>
        <v>44197.747997685183</v>
      </c>
      <c r="F58" s="1" t="str">
        <f>TEXT(CallLog[[#This Row],[Date]],"dddd")</f>
        <v>Friday</v>
      </c>
      <c r="G58" s="3">
        <f>HOUR(CallLog[[#This Row],[Time]])</f>
        <v>17</v>
      </c>
      <c r="H58" t="s">
        <v>17</v>
      </c>
      <c r="I58" t="s">
        <v>14</v>
      </c>
      <c r="J58" t="s">
        <v>14</v>
      </c>
      <c r="K58">
        <v>48</v>
      </c>
      <c r="L58" t="str">
        <f>IF(AND(CallLog[[#This Row],[Answered (Y/N)]]="Y", CallLog[[#This Row],[Speed of answer in seconds]]&lt;=20),
    "Within",
    "Breach")</f>
        <v>Breach</v>
      </c>
      <c r="M58" s="1">
        <v>1.9907407407407408E-3</v>
      </c>
      <c r="N58">
        <v>2</v>
      </c>
    </row>
    <row r="59" spans="1:14" x14ac:dyDescent="0.3">
      <c r="A59" t="s">
        <v>83</v>
      </c>
      <c r="B59" t="s">
        <v>20</v>
      </c>
      <c r="C59" t="s">
        <v>12</v>
      </c>
      <c r="D59" s="1">
        <v>0.74799768518518517</v>
      </c>
      <c r="E59" s="2">
        <f>CallLog[[#This Row],[Date]]+CallLog[[#This Row],[Time]]</f>
        <v>44197.747997685183</v>
      </c>
      <c r="F59" s="1" t="str">
        <f>TEXT(CallLog[[#This Row],[Date]],"dddd")</f>
        <v>Friday</v>
      </c>
      <c r="G59" s="3">
        <f>HOUR(CallLog[[#This Row],[Time]])</f>
        <v>17</v>
      </c>
      <c r="H59" t="s">
        <v>29</v>
      </c>
      <c r="I59" t="s">
        <v>14</v>
      </c>
      <c r="J59" t="s">
        <v>14</v>
      </c>
      <c r="K59">
        <v>45</v>
      </c>
      <c r="L59" t="str">
        <f>IF(AND(CallLog[[#This Row],[Answered (Y/N)]]="Y", CallLog[[#This Row],[Speed of answer in seconds]]&lt;=20),
    "Within",
    "Breach")</f>
        <v>Breach</v>
      </c>
      <c r="M59" s="1">
        <v>2.3495370370370371E-3</v>
      </c>
      <c r="N59">
        <v>5</v>
      </c>
    </row>
    <row r="60" spans="1:14" x14ac:dyDescent="0.3">
      <c r="A60" t="s">
        <v>84</v>
      </c>
      <c r="B60" t="s">
        <v>47</v>
      </c>
      <c r="C60" t="s">
        <v>85</v>
      </c>
      <c r="D60" s="1">
        <v>0.37900462962962961</v>
      </c>
      <c r="E60" s="2">
        <f>CallLog[[#This Row],[Date]]+CallLog[[#This Row],[Time]]</f>
        <v>44198.379004629627</v>
      </c>
      <c r="F60" s="1" t="str">
        <f>TEXT(CallLog[[#This Row],[Date]],"dddd")</f>
        <v>Saturday</v>
      </c>
      <c r="G60" s="3">
        <f>HOUR(CallLog[[#This Row],[Time]])</f>
        <v>9</v>
      </c>
      <c r="H60" t="s">
        <v>17</v>
      </c>
      <c r="I60" t="s">
        <v>14</v>
      </c>
      <c r="J60" t="s">
        <v>14</v>
      </c>
      <c r="K60">
        <v>65</v>
      </c>
      <c r="L60" t="str">
        <f>IF(AND(CallLog[[#This Row],[Answered (Y/N)]]="Y", CallLog[[#This Row],[Speed of answer in seconds]]&lt;=20),
    "Within",
    "Breach")</f>
        <v>Breach</v>
      </c>
      <c r="M60" s="1">
        <v>4.1666666666666666E-3</v>
      </c>
      <c r="N60">
        <v>5</v>
      </c>
    </row>
    <row r="61" spans="1:14" x14ac:dyDescent="0.3">
      <c r="A61" t="s">
        <v>86</v>
      </c>
      <c r="B61" t="s">
        <v>47</v>
      </c>
      <c r="C61" t="s">
        <v>85</v>
      </c>
      <c r="D61" s="1">
        <v>0.37900462962962961</v>
      </c>
      <c r="E61" s="2">
        <f>CallLog[[#This Row],[Date]]+CallLog[[#This Row],[Time]]</f>
        <v>44198.379004629627</v>
      </c>
      <c r="F61" s="1" t="str">
        <f>TEXT(CallLog[[#This Row],[Date]],"dddd")</f>
        <v>Saturday</v>
      </c>
      <c r="G61" s="3">
        <f>HOUR(CallLog[[#This Row],[Time]])</f>
        <v>9</v>
      </c>
      <c r="H61" t="s">
        <v>13</v>
      </c>
      <c r="I61" t="s">
        <v>14</v>
      </c>
      <c r="J61" t="s">
        <v>14</v>
      </c>
      <c r="K61">
        <v>50</v>
      </c>
      <c r="L61" t="str">
        <f>IF(AND(CallLog[[#This Row],[Answered (Y/N)]]="Y", CallLog[[#This Row],[Speed of answer in seconds]]&lt;=20),
    "Within",
    "Breach")</f>
        <v>Breach</v>
      </c>
      <c r="M61" s="1">
        <v>3.0787037037037037E-3</v>
      </c>
      <c r="N61">
        <v>3</v>
      </c>
    </row>
    <row r="62" spans="1:14" x14ac:dyDescent="0.3">
      <c r="A62" t="s">
        <v>87</v>
      </c>
      <c r="B62" t="s">
        <v>11</v>
      </c>
      <c r="C62" t="s">
        <v>85</v>
      </c>
      <c r="D62" s="1">
        <v>0.38799768518518518</v>
      </c>
      <c r="E62" s="2">
        <f>CallLog[[#This Row],[Date]]+CallLog[[#This Row],[Time]]</f>
        <v>44198.387997685182</v>
      </c>
      <c r="F62" s="1" t="str">
        <f>TEXT(CallLog[[#This Row],[Date]],"dddd")</f>
        <v>Saturday</v>
      </c>
      <c r="G62" s="3">
        <f>HOUR(CallLog[[#This Row],[Time]])</f>
        <v>9</v>
      </c>
      <c r="H62" t="s">
        <v>32</v>
      </c>
      <c r="I62" t="s">
        <v>14</v>
      </c>
      <c r="J62" t="s">
        <v>14</v>
      </c>
      <c r="K62">
        <v>17</v>
      </c>
      <c r="L62" t="str">
        <f>IF(AND(CallLog[[#This Row],[Answered (Y/N)]]="Y", CallLog[[#This Row],[Speed of answer in seconds]]&lt;=20),
    "Within",
    "Breach")</f>
        <v>Within</v>
      </c>
      <c r="M62" s="1">
        <v>4.340277777777778E-3</v>
      </c>
      <c r="N62">
        <v>3</v>
      </c>
    </row>
    <row r="63" spans="1:14" x14ac:dyDescent="0.3">
      <c r="A63" t="s">
        <v>88</v>
      </c>
      <c r="B63" t="s">
        <v>34</v>
      </c>
      <c r="C63" t="s">
        <v>85</v>
      </c>
      <c r="D63" s="1">
        <v>0.38799768518518518</v>
      </c>
      <c r="E63" s="2">
        <f>CallLog[[#This Row],[Date]]+CallLog[[#This Row],[Time]]</f>
        <v>44198.387997685182</v>
      </c>
      <c r="F63" s="1" t="str">
        <f>TEXT(CallLog[[#This Row],[Date]],"dddd")</f>
        <v>Saturday</v>
      </c>
      <c r="G63" s="3">
        <f>HOUR(CallLog[[#This Row],[Time]])</f>
        <v>9</v>
      </c>
      <c r="H63" t="s">
        <v>17</v>
      </c>
      <c r="I63" t="s">
        <v>18</v>
      </c>
      <c r="J63" t="s">
        <v>18</v>
      </c>
      <c r="L63" t="str">
        <f>IF(AND(CallLog[[#This Row],[Answered (Y/N)]]="Y", CallLog[[#This Row],[Speed of answer in seconds]]&lt;=20),
    "Within",
    "Breach")</f>
        <v>Breach</v>
      </c>
    </row>
    <row r="64" spans="1:14" x14ac:dyDescent="0.3">
      <c r="A64" t="s">
        <v>89</v>
      </c>
      <c r="B64" t="s">
        <v>47</v>
      </c>
      <c r="C64" t="s">
        <v>85</v>
      </c>
      <c r="D64" s="1">
        <v>0.38900462962962962</v>
      </c>
      <c r="E64" s="2">
        <f>CallLog[[#This Row],[Date]]+CallLog[[#This Row],[Time]]</f>
        <v>44198.389004629629</v>
      </c>
      <c r="F64" s="1" t="str">
        <f>TEXT(CallLog[[#This Row],[Date]],"dddd")</f>
        <v>Saturday</v>
      </c>
      <c r="G64" s="3">
        <f>HOUR(CallLog[[#This Row],[Time]])</f>
        <v>9</v>
      </c>
      <c r="H64" t="s">
        <v>32</v>
      </c>
      <c r="I64" t="s">
        <v>14</v>
      </c>
      <c r="J64" t="s">
        <v>14</v>
      </c>
      <c r="K64">
        <v>96</v>
      </c>
      <c r="L64" t="str">
        <f>IF(AND(CallLog[[#This Row],[Answered (Y/N)]]="Y", CallLog[[#This Row],[Speed of answer in seconds]]&lt;=20),
    "Within",
    "Breach")</f>
        <v>Breach</v>
      </c>
      <c r="M64" s="1">
        <v>4.6990740740740743E-3</v>
      </c>
      <c r="N64">
        <v>1</v>
      </c>
    </row>
    <row r="65" spans="1:14" x14ac:dyDescent="0.3">
      <c r="A65" t="s">
        <v>90</v>
      </c>
      <c r="B65" t="s">
        <v>20</v>
      </c>
      <c r="C65" t="s">
        <v>85</v>
      </c>
      <c r="D65" s="1">
        <v>0.38900462962962962</v>
      </c>
      <c r="E65" s="2">
        <f>CallLog[[#This Row],[Date]]+CallLog[[#This Row],[Time]]</f>
        <v>44198.389004629629</v>
      </c>
      <c r="F65" s="1" t="str">
        <f>TEXT(CallLog[[#This Row],[Date]],"dddd")</f>
        <v>Saturday</v>
      </c>
      <c r="G65" s="3">
        <f>HOUR(CallLog[[#This Row],[Time]])</f>
        <v>9</v>
      </c>
      <c r="H65" t="s">
        <v>32</v>
      </c>
      <c r="I65" t="s">
        <v>14</v>
      </c>
      <c r="J65" t="s">
        <v>14</v>
      </c>
      <c r="K65">
        <v>90</v>
      </c>
      <c r="L65" t="str">
        <f>IF(AND(CallLog[[#This Row],[Answered (Y/N)]]="Y", CallLog[[#This Row],[Speed of answer in seconds]]&lt;=20),
    "Within",
    "Breach")</f>
        <v>Breach</v>
      </c>
      <c r="M65" s="1">
        <v>4.43287037037037E-3</v>
      </c>
      <c r="N65">
        <v>3</v>
      </c>
    </row>
    <row r="66" spans="1:14" x14ac:dyDescent="0.3">
      <c r="A66" t="s">
        <v>91</v>
      </c>
      <c r="B66" t="s">
        <v>31</v>
      </c>
      <c r="C66" t="s">
        <v>85</v>
      </c>
      <c r="D66" s="1">
        <v>0.4020023148148148</v>
      </c>
      <c r="E66" s="2">
        <f>CallLog[[#This Row],[Date]]+CallLog[[#This Row],[Time]]</f>
        <v>44198.402002314811</v>
      </c>
      <c r="F66" s="1" t="str">
        <f>TEXT(CallLog[[#This Row],[Date]],"dddd")</f>
        <v>Saturday</v>
      </c>
      <c r="G66" s="3">
        <f>HOUR(CallLog[[#This Row],[Time]])</f>
        <v>9</v>
      </c>
      <c r="H66" t="s">
        <v>13</v>
      </c>
      <c r="I66" t="s">
        <v>14</v>
      </c>
      <c r="J66" t="s">
        <v>14</v>
      </c>
      <c r="K66">
        <v>98</v>
      </c>
      <c r="L66" t="str">
        <f>IF(AND(CallLog[[#This Row],[Answered (Y/N)]]="Y", CallLog[[#This Row],[Speed of answer in seconds]]&lt;=20),
    "Within",
    "Breach")</f>
        <v>Breach</v>
      </c>
      <c r="M66" s="1">
        <v>4.4560185185185189E-3</v>
      </c>
      <c r="N66">
        <v>2</v>
      </c>
    </row>
    <row r="67" spans="1:14" x14ac:dyDescent="0.3">
      <c r="A67" t="s">
        <v>92</v>
      </c>
      <c r="B67" t="s">
        <v>11</v>
      </c>
      <c r="C67" t="s">
        <v>85</v>
      </c>
      <c r="D67" s="1">
        <v>0.4020023148148148</v>
      </c>
      <c r="E67" s="2">
        <f>CallLog[[#This Row],[Date]]+CallLog[[#This Row],[Time]]</f>
        <v>44198.402002314811</v>
      </c>
      <c r="F67" s="1" t="str">
        <f>TEXT(CallLog[[#This Row],[Date]],"dddd")</f>
        <v>Saturday</v>
      </c>
      <c r="G67" s="3">
        <f>HOUR(CallLog[[#This Row],[Time]])</f>
        <v>9</v>
      </c>
      <c r="H67" t="s">
        <v>17</v>
      </c>
      <c r="I67" t="s">
        <v>14</v>
      </c>
      <c r="J67" t="s">
        <v>18</v>
      </c>
      <c r="K67">
        <v>90</v>
      </c>
      <c r="L67" t="str">
        <f>IF(AND(CallLog[[#This Row],[Answered (Y/N)]]="Y", CallLog[[#This Row],[Speed of answer in seconds]]&lt;=20),
    "Within",
    "Breach")</f>
        <v>Breach</v>
      </c>
      <c r="M67" s="1">
        <v>9.6064814814814819E-4</v>
      </c>
      <c r="N67">
        <v>4</v>
      </c>
    </row>
    <row r="68" spans="1:14" x14ac:dyDescent="0.3">
      <c r="A68" t="s">
        <v>93</v>
      </c>
      <c r="B68" t="s">
        <v>31</v>
      </c>
      <c r="C68" t="s">
        <v>85</v>
      </c>
      <c r="D68" s="1">
        <v>0.42</v>
      </c>
      <c r="E68" s="2">
        <f>CallLog[[#This Row],[Date]]+CallLog[[#This Row],[Time]]</f>
        <v>44198.42</v>
      </c>
      <c r="F68" s="1" t="str">
        <f>TEXT(CallLog[[#This Row],[Date]],"dddd")</f>
        <v>Saturday</v>
      </c>
      <c r="G68" s="3">
        <f>HOUR(CallLog[[#This Row],[Time]])</f>
        <v>10</v>
      </c>
      <c r="H68" t="s">
        <v>13</v>
      </c>
      <c r="I68" t="s">
        <v>14</v>
      </c>
      <c r="J68" t="s">
        <v>14</v>
      </c>
      <c r="K68">
        <v>98</v>
      </c>
      <c r="L68" t="str">
        <f>IF(AND(CallLog[[#This Row],[Answered (Y/N)]]="Y", CallLog[[#This Row],[Speed of answer in seconds]]&lt;=20),
    "Within",
    "Breach")</f>
        <v>Breach</v>
      </c>
      <c r="M68" s="1">
        <v>4.0393518518518521E-3</v>
      </c>
      <c r="N68">
        <v>5</v>
      </c>
    </row>
    <row r="69" spans="1:14" x14ac:dyDescent="0.3">
      <c r="A69" t="s">
        <v>94</v>
      </c>
      <c r="B69" t="s">
        <v>31</v>
      </c>
      <c r="C69" t="s">
        <v>85</v>
      </c>
      <c r="D69" s="1">
        <v>0.42</v>
      </c>
      <c r="E69" s="2">
        <f>CallLog[[#This Row],[Date]]+CallLog[[#This Row],[Time]]</f>
        <v>44198.42</v>
      </c>
      <c r="F69" s="1" t="str">
        <f>TEXT(CallLog[[#This Row],[Date]],"dddd")</f>
        <v>Saturday</v>
      </c>
      <c r="G69" s="3">
        <f>HOUR(CallLog[[#This Row],[Time]])</f>
        <v>10</v>
      </c>
      <c r="H69" t="s">
        <v>13</v>
      </c>
      <c r="I69" t="s">
        <v>14</v>
      </c>
      <c r="J69" t="s">
        <v>14</v>
      </c>
      <c r="K69">
        <v>70</v>
      </c>
      <c r="L69" t="str">
        <f>IF(AND(CallLog[[#This Row],[Answered (Y/N)]]="Y", CallLog[[#This Row],[Speed of answer in seconds]]&lt;=20),
    "Within",
    "Breach")</f>
        <v>Breach</v>
      </c>
      <c r="M69" s="1">
        <v>2.2222222222222222E-3</v>
      </c>
      <c r="N69">
        <v>5</v>
      </c>
    </row>
    <row r="70" spans="1:14" x14ac:dyDescent="0.3">
      <c r="A70" t="s">
        <v>95</v>
      </c>
      <c r="B70" t="s">
        <v>11</v>
      </c>
      <c r="C70" t="s">
        <v>85</v>
      </c>
      <c r="D70" s="1">
        <v>0.44</v>
      </c>
      <c r="E70" s="2">
        <f>CallLog[[#This Row],[Date]]+CallLog[[#This Row],[Time]]</f>
        <v>44198.44</v>
      </c>
      <c r="F70" s="1" t="str">
        <f>TEXT(CallLog[[#This Row],[Date]],"dddd")</f>
        <v>Saturday</v>
      </c>
      <c r="G70" s="3">
        <f>HOUR(CallLog[[#This Row],[Time]])</f>
        <v>10</v>
      </c>
      <c r="H70" t="s">
        <v>13</v>
      </c>
      <c r="I70" t="s">
        <v>14</v>
      </c>
      <c r="J70" t="s">
        <v>14</v>
      </c>
      <c r="K70">
        <v>69</v>
      </c>
      <c r="L70" t="str">
        <f>IF(AND(CallLog[[#This Row],[Answered (Y/N)]]="Y", CallLog[[#This Row],[Speed of answer in seconds]]&lt;=20),
    "Within",
    "Breach")</f>
        <v>Breach</v>
      </c>
      <c r="M70" s="1">
        <v>3.2986111111111111E-3</v>
      </c>
      <c r="N70">
        <v>4</v>
      </c>
    </row>
    <row r="71" spans="1:14" x14ac:dyDescent="0.3">
      <c r="A71" t="s">
        <v>96</v>
      </c>
      <c r="B71" t="s">
        <v>11</v>
      </c>
      <c r="C71" t="s">
        <v>85</v>
      </c>
      <c r="D71" s="1">
        <v>0.44</v>
      </c>
      <c r="E71" s="2">
        <f>CallLog[[#This Row],[Date]]+CallLog[[#This Row],[Time]]</f>
        <v>44198.44</v>
      </c>
      <c r="F71" s="1" t="str">
        <f>TEXT(CallLog[[#This Row],[Date]],"dddd")</f>
        <v>Saturday</v>
      </c>
      <c r="G71" s="3">
        <f>HOUR(CallLog[[#This Row],[Time]])</f>
        <v>10</v>
      </c>
      <c r="H71" t="s">
        <v>29</v>
      </c>
      <c r="I71" t="s">
        <v>18</v>
      </c>
      <c r="J71" t="s">
        <v>18</v>
      </c>
      <c r="L71" t="str">
        <f>IF(AND(CallLog[[#This Row],[Answered (Y/N)]]="Y", CallLog[[#This Row],[Speed of answer in seconds]]&lt;=20),
    "Within",
    "Breach")</f>
        <v>Breach</v>
      </c>
    </row>
    <row r="72" spans="1:14" x14ac:dyDescent="0.3">
      <c r="A72" t="s">
        <v>97</v>
      </c>
      <c r="B72" t="s">
        <v>34</v>
      </c>
      <c r="C72" t="s">
        <v>85</v>
      </c>
      <c r="D72" s="1">
        <v>0.46400462962962963</v>
      </c>
      <c r="E72" s="2">
        <f>CallLog[[#This Row],[Date]]+CallLog[[#This Row],[Time]]</f>
        <v>44198.464004629626</v>
      </c>
      <c r="F72" s="1" t="str">
        <f>TEXT(CallLog[[#This Row],[Date]],"dddd")</f>
        <v>Saturday</v>
      </c>
      <c r="G72" s="3">
        <f>HOUR(CallLog[[#This Row],[Time]])</f>
        <v>11</v>
      </c>
      <c r="H72" t="s">
        <v>17</v>
      </c>
      <c r="I72" t="s">
        <v>14</v>
      </c>
      <c r="J72" t="s">
        <v>14</v>
      </c>
      <c r="K72">
        <v>120</v>
      </c>
      <c r="L72" t="str">
        <f>IF(AND(CallLog[[#This Row],[Answered (Y/N)]]="Y", CallLog[[#This Row],[Speed of answer in seconds]]&lt;=20),
    "Within",
    "Breach")</f>
        <v>Breach</v>
      </c>
      <c r="M72" s="1">
        <v>1.5162037037037036E-3</v>
      </c>
      <c r="N72">
        <v>4</v>
      </c>
    </row>
    <row r="73" spans="1:14" x14ac:dyDescent="0.3">
      <c r="A73" t="s">
        <v>98</v>
      </c>
      <c r="B73" t="s">
        <v>20</v>
      </c>
      <c r="C73" t="s">
        <v>85</v>
      </c>
      <c r="D73" s="1">
        <v>0.46400462962962963</v>
      </c>
      <c r="E73" s="2">
        <f>CallLog[[#This Row],[Date]]+CallLog[[#This Row],[Time]]</f>
        <v>44198.464004629626</v>
      </c>
      <c r="F73" s="1" t="str">
        <f>TEXT(CallLog[[#This Row],[Date]],"dddd")</f>
        <v>Saturday</v>
      </c>
      <c r="G73" s="3">
        <f>HOUR(CallLog[[#This Row],[Time]])</f>
        <v>11</v>
      </c>
      <c r="H73" t="s">
        <v>29</v>
      </c>
      <c r="I73" t="s">
        <v>14</v>
      </c>
      <c r="J73" t="s">
        <v>14</v>
      </c>
      <c r="K73">
        <v>113</v>
      </c>
      <c r="L73" t="str">
        <f>IF(AND(CallLog[[#This Row],[Answered (Y/N)]]="Y", CallLog[[#This Row],[Speed of answer in seconds]]&lt;=20),
    "Within",
    "Breach")</f>
        <v>Breach</v>
      </c>
      <c r="M73" s="1">
        <v>4.0625000000000001E-3</v>
      </c>
      <c r="N73">
        <v>5</v>
      </c>
    </row>
    <row r="74" spans="1:14" x14ac:dyDescent="0.3">
      <c r="A74" t="s">
        <v>99</v>
      </c>
      <c r="B74" t="s">
        <v>22</v>
      </c>
      <c r="C74" t="s">
        <v>85</v>
      </c>
      <c r="D74" s="1">
        <v>0.47700231481481481</v>
      </c>
      <c r="E74" s="2">
        <f>CallLog[[#This Row],[Date]]+CallLog[[#This Row],[Time]]</f>
        <v>44198.477002314816</v>
      </c>
      <c r="F74" s="1" t="str">
        <f>TEXT(CallLog[[#This Row],[Date]],"dddd")</f>
        <v>Saturday</v>
      </c>
      <c r="G74" s="3">
        <f>HOUR(CallLog[[#This Row],[Time]])</f>
        <v>11</v>
      </c>
      <c r="H74" t="s">
        <v>24</v>
      </c>
      <c r="I74" t="s">
        <v>14</v>
      </c>
      <c r="J74" t="s">
        <v>18</v>
      </c>
      <c r="K74">
        <v>10</v>
      </c>
      <c r="L74" t="str">
        <f>IF(AND(CallLog[[#This Row],[Answered (Y/N)]]="Y", CallLog[[#This Row],[Speed of answer in seconds]]&lt;=20),
    "Within",
    "Breach")</f>
        <v>Within</v>
      </c>
      <c r="M74" s="1">
        <v>1.6087962962962963E-3</v>
      </c>
      <c r="N74">
        <v>5</v>
      </c>
    </row>
    <row r="75" spans="1:14" x14ac:dyDescent="0.3">
      <c r="A75" t="s">
        <v>100</v>
      </c>
      <c r="B75" t="s">
        <v>16</v>
      </c>
      <c r="C75" t="s">
        <v>85</v>
      </c>
      <c r="D75" s="1">
        <v>0.47700231481481481</v>
      </c>
      <c r="E75" s="2">
        <f>CallLog[[#This Row],[Date]]+CallLog[[#This Row],[Time]]</f>
        <v>44198.477002314816</v>
      </c>
      <c r="F75" s="1" t="str">
        <f>TEXT(CallLog[[#This Row],[Date]],"dddd")</f>
        <v>Saturday</v>
      </c>
      <c r="G75" s="3">
        <f>HOUR(CallLog[[#This Row],[Time]])</f>
        <v>11</v>
      </c>
      <c r="H75" t="s">
        <v>13</v>
      </c>
      <c r="I75" t="s">
        <v>14</v>
      </c>
      <c r="J75" t="s">
        <v>14</v>
      </c>
      <c r="K75">
        <v>122</v>
      </c>
      <c r="L75" t="str">
        <f>IF(AND(CallLog[[#This Row],[Answered (Y/N)]]="Y", CallLog[[#This Row],[Speed of answer in seconds]]&lt;=20),
    "Within",
    "Breach")</f>
        <v>Breach</v>
      </c>
      <c r="M75" s="1">
        <v>3.3912037037037036E-3</v>
      </c>
      <c r="N75">
        <v>1</v>
      </c>
    </row>
    <row r="76" spans="1:14" x14ac:dyDescent="0.3">
      <c r="A76" t="s">
        <v>101</v>
      </c>
      <c r="B76" t="s">
        <v>20</v>
      </c>
      <c r="C76" t="s">
        <v>85</v>
      </c>
      <c r="D76" s="1">
        <v>0.48799768518518516</v>
      </c>
      <c r="E76" s="2">
        <f>CallLog[[#This Row],[Date]]+CallLog[[#This Row],[Time]]</f>
        <v>44198.487997685188</v>
      </c>
      <c r="F76" s="1" t="str">
        <f>TEXT(CallLog[[#This Row],[Date]],"dddd")</f>
        <v>Saturday</v>
      </c>
      <c r="G76" s="3">
        <f>HOUR(CallLog[[#This Row],[Time]])</f>
        <v>11</v>
      </c>
      <c r="H76" t="s">
        <v>17</v>
      </c>
      <c r="I76" t="s">
        <v>14</v>
      </c>
      <c r="J76" t="s">
        <v>18</v>
      </c>
      <c r="K76">
        <v>125</v>
      </c>
      <c r="L76" t="str">
        <f>IF(AND(CallLog[[#This Row],[Answered (Y/N)]]="Y", CallLog[[#This Row],[Speed of answer in seconds]]&lt;=20),
    "Within",
    "Breach")</f>
        <v>Breach</v>
      </c>
      <c r="M76" s="1">
        <v>1.1342592592592593E-3</v>
      </c>
      <c r="N76">
        <v>3</v>
      </c>
    </row>
    <row r="77" spans="1:14" x14ac:dyDescent="0.3">
      <c r="A77" t="s">
        <v>102</v>
      </c>
      <c r="B77" t="s">
        <v>11</v>
      </c>
      <c r="C77" t="s">
        <v>85</v>
      </c>
      <c r="D77" s="1">
        <v>0.48799768518518516</v>
      </c>
      <c r="E77" s="2">
        <f>CallLog[[#This Row],[Date]]+CallLog[[#This Row],[Time]]</f>
        <v>44198.487997685188</v>
      </c>
      <c r="F77" s="1" t="str">
        <f>TEXT(CallLog[[#This Row],[Date]],"dddd")</f>
        <v>Saturday</v>
      </c>
      <c r="G77" s="3">
        <f>HOUR(CallLog[[#This Row],[Time]])</f>
        <v>11</v>
      </c>
      <c r="H77" t="s">
        <v>29</v>
      </c>
      <c r="I77" t="s">
        <v>18</v>
      </c>
      <c r="J77" t="s">
        <v>18</v>
      </c>
      <c r="L77" t="str">
        <f>IF(AND(CallLog[[#This Row],[Answered (Y/N)]]="Y", CallLog[[#This Row],[Speed of answer in seconds]]&lt;=20),
    "Within",
    "Breach")</f>
        <v>Breach</v>
      </c>
    </row>
    <row r="78" spans="1:14" x14ac:dyDescent="0.3">
      <c r="A78" t="s">
        <v>103</v>
      </c>
      <c r="B78" t="s">
        <v>38</v>
      </c>
      <c r="C78" t="s">
        <v>85</v>
      </c>
      <c r="D78" s="1">
        <v>0.49099537037037039</v>
      </c>
      <c r="E78" s="2">
        <f>CallLog[[#This Row],[Date]]+CallLog[[#This Row],[Time]]</f>
        <v>44198.490995370368</v>
      </c>
      <c r="F78" s="1" t="str">
        <f>TEXT(CallLog[[#This Row],[Date]],"dddd")</f>
        <v>Saturday</v>
      </c>
      <c r="G78" s="3">
        <f>HOUR(CallLog[[#This Row],[Time]])</f>
        <v>11</v>
      </c>
      <c r="H78" t="s">
        <v>17</v>
      </c>
      <c r="I78" t="s">
        <v>14</v>
      </c>
      <c r="J78" t="s">
        <v>14</v>
      </c>
      <c r="K78">
        <v>33</v>
      </c>
      <c r="L78" t="str">
        <f>IF(AND(CallLog[[#This Row],[Answered (Y/N)]]="Y", CallLog[[#This Row],[Speed of answer in seconds]]&lt;=20),
    "Within",
    "Breach")</f>
        <v>Breach</v>
      </c>
      <c r="M78" s="1">
        <v>4.6064814814814814E-3</v>
      </c>
      <c r="N78">
        <v>2</v>
      </c>
    </row>
    <row r="79" spans="1:14" x14ac:dyDescent="0.3">
      <c r="A79" t="s">
        <v>104</v>
      </c>
      <c r="B79" t="s">
        <v>47</v>
      </c>
      <c r="C79" t="s">
        <v>85</v>
      </c>
      <c r="D79" s="1">
        <v>0.49099537037037039</v>
      </c>
      <c r="E79" s="2">
        <f>CallLog[[#This Row],[Date]]+CallLog[[#This Row],[Time]]</f>
        <v>44198.490995370368</v>
      </c>
      <c r="F79" s="1" t="str">
        <f>TEXT(CallLog[[#This Row],[Date]],"dddd")</f>
        <v>Saturday</v>
      </c>
      <c r="G79" s="3">
        <f>HOUR(CallLog[[#This Row],[Time]])</f>
        <v>11</v>
      </c>
      <c r="H79" t="s">
        <v>13</v>
      </c>
      <c r="I79" t="s">
        <v>14</v>
      </c>
      <c r="J79" t="s">
        <v>14</v>
      </c>
      <c r="K79">
        <v>51</v>
      </c>
      <c r="L79" t="str">
        <f>IF(AND(CallLog[[#This Row],[Answered (Y/N)]]="Y", CallLog[[#This Row],[Speed of answer in seconds]]&lt;=20),
    "Within",
    "Breach")</f>
        <v>Breach</v>
      </c>
      <c r="M79" s="1">
        <v>4.4212962962962964E-3</v>
      </c>
      <c r="N79">
        <v>2</v>
      </c>
    </row>
    <row r="80" spans="1:14" x14ac:dyDescent="0.3">
      <c r="A80" t="s">
        <v>105</v>
      </c>
      <c r="B80" t="s">
        <v>16</v>
      </c>
      <c r="C80" t="s">
        <v>85</v>
      </c>
      <c r="D80" s="1">
        <v>0.49599537037037039</v>
      </c>
      <c r="E80" s="2">
        <f>CallLog[[#This Row],[Date]]+CallLog[[#This Row],[Time]]</f>
        <v>44198.495995370373</v>
      </c>
      <c r="F80" s="1" t="str">
        <f>TEXT(CallLog[[#This Row],[Date]],"dddd")</f>
        <v>Saturday</v>
      </c>
      <c r="G80" s="3">
        <f>HOUR(CallLog[[#This Row],[Time]])</f>
        <v>11</v>
      </c>
      <c r="H80" t="s">
        <v>13</v>
      </c>
      <c r="I80" t="s">
        <v>14</v>
      </c>
      <c r="J80" t="s">
        <v>14</v>
      </c>
      <c r="K80">
        <v>58</v>
      </c>
      <c r="L80" t="str">
        <f>IF(AND(CallLog[[#This Row],[Answered (Y/N)]]="Y", CallLog[[#This Row],[Speed of answer in seconds]]&lt;=20),
    "Within",
    "Breach")</f>
        <v>Breach</v>
      </c>
      <c r="M80" s="1">
        <v>2.4074074074074076E-3</v>
      </c>
      <c r="N80">
        <v>3</v>
      </c>
    </row>
    <row r="81" spans="1:14" x14ac:dyDescent="0.3">
      <c r="A81" t="s">
        <v>106</v>
      </c>
      <c r="B81" t="s">
        <v>47</v>
      </c>
      <c r="C81" t="s">
        <v>85</v>
      </c>
      <c r="D81" s="1">
        <v>0.49599537037037039</v>
      </c>
      <c r="E81" s="2">
        <f>CallLog[[#This Row],[Date]]+CallLog[[#This Row],[Time]]</f>
        <v>44198.495995370373</v>
      </c>
      <c r="F81" s="1" t="str">
        <f>TEXT(CallLog[[#This Row],[Date]],"dddd")</f>
        <v>Saturday</v>
      </c>
      <c r="G81" s="3">
        <f>HOUR(CallLog[[#This Row],[Time]])</f>
        <v>11</v>
      </c>
      <c r="H81" t="s">
        <v>29</v>
      </c>
      <c r="I81" t="s">
        <v>14</v>
      </c>
      <c r="J81" t="s">
        <v>14</v>
      </c>
      <c r="K81">
        <v>121</v>
      </c>
      <c r="L81" t="str">
        <f>IF(AND(CallLog[[#This Row],[Answered (Y/N)]]="Y", CallLog[[#This Row],[Speed of answer in seconds]]&lt;=20),
    "Within",
    "Breach")</f>
        <v>Breach</v>
      </c>
      <c r="M81" s="1">
        <v>3.3217592592592591E-3</v>
      </c>
      <c r="N81">
        <v>5</v>
      </c>
    </row>
    <row r="82" spans="1:14" x14ac:dyDescent="0.3">
      <c r="A82" t="s">
        <v>107</v>
      </c>
      <c r="B82" t="s">
        <v>11</v>
      </c>
      <c r="C82" t="s">
        <v>85</v>
      </c>
      <c r="D82" s="1">
        <v>0.5</v>
      </c>
      <c r="E82" s="2">
        <f>CallLog[[#This Row],[Date]]+CallLog[[#This Row],[Time]]</f>
        <v>44198.5</v>
      </c>
      <c r="F82" s="1" t="str">
        <f>TEXT(CallLog[[#This Row],[Date]],"dddd")</f>
        <v>Saturday</v>
      </c>
      <c r="G82" s="3">
        <f>HOUR(CallLog[[#This Row],[Time]])</f>
        <v>12</v>
      </c>
      <c r="H82" t="s">
        <v>29</v>
      </c>
      <c r="I82" t="s">
        <v>14</v>
      </c>
      <c r="J82" t="s">
        <v>14</v>
      </c>
      <c r="K82">
        <v>118</v>
      </c>
      <c r="L82" t="str">
        <f>IF(AND(CallLog[[#This Row],[Answered (Y/N)]]="Y", CallLog[[#This Row],[Speed of answer in seconds]]&lt;=20),
    "Within",
    "Breach")</f>
        <v>Breach</v>
      </c>
      <c r="M82" s="1">
        <v>1.4583333333333334E-3</v>
      </c>
      <c r="N82">
        <v>4</v>
      </c>
    </row>
    <row r="83" spans="1:14" x14ac:dyDescent="0.3">
      <c r="A83" t="s">
        <v>108</v>
      </c>
      <c r="B83" t="s">
        <v>22</v>
      </c>
      <c r="C83" t="s">
        <v>85</v>
      </c>
      <c r="D83" s="1">
        <v>0.5</v>
      </c>
      <c r="E83" s="2">
        <f>CallLog[[#This Row],[Date]]+CallLog[[#This Row],[Time]]</f>
        <v>44198.5</v>
      </c>
      <c r="F83" s="1" t="str">
        <f>TEXT(CallLog[[#This Row],[Date]],"dddd")</f>
        <v>Saturday</v>
      </c>
      <c r="G83" s="3">
        <f>HOUR(CallLog[[#This Row],[Time]])</f>
        <v>12</v>
      </c>
      <c r="H83" t="s">
        <v>24</v>
      </c>
      <c r="I83" t="s">
        <v>14</v>
      </c>
      <c r="J83" t="s">
        <v>14</v>
      </c>
      <c r="K83">
        <v>52</v>
      </c>
      <c r="L83" t="str">
        <f>IF(AND(CallLog[[#This Row],[Answered (Y/N)]]="Y", CallLog[[#This Row],[Speed of answer in seconds]]&lt;=20),
    "Within",
    "Breach")</f>
        <v>Breach</v>
      </c>
      <c r="M83" s="1">
        <v>4.8148148148148152E-3</v>
      </c>
      <c r="N83">
        <v>4</v>
      </c>
    </row>
    <row r="84" spans="1:14" x14ac:dyDescent="0.3">
      <c r="A84" t="s">
        <v>109</v>
      </c>
      <c r="B84" t="s">
        <v>20</v>
      </c>
      <c r="C84" t="s">
        <v>85</v>
      </c>
      <c r="D84" s="1">
        <v>0.51400462962962967</v>
      </c>
      <c r="E84" s="2">
        <f>CallLog[[#This Row],[Date]]+CallLog[[#This Row],[Time]]</f>
        <v>44198.514004629629</v>
      </c>
      <c r="F84" s="1" t="str">
        <f>TEXT(CallLog[[#This Row],[Date]],"dddd")</f>
        <v>Saturday</v>
      </c>
      <c r="G84" s="3">
        <f>HOUR(CallLog[[#This Row],[Time]])</f>
        <v>12</v>
      </c>
      <c r="H84" t="s">
        <v>29</v>
      </c>
      <c r="I84" t="s">
        <v>14</v>
      </c>
      <c r="J84" t="s">
        <v>14</v>
      </c>
      <c r="K84">
        <v>55</v>
      </c>
      <c r="L84" t="str">
        <f>IF(AND(CallLog[[#This Row],[Answered (Y/N)]]="Y", CallLog[[#This Row],[Speed of answer in seconds]]&lt;=20),
    "Within",
    "Breach")</f>
        <v>Breach</v>
      </c>
      <c r="M84" s="1">
        <v>3.2870370370370371E-3</v>
      </c>
      <c r="N84">
        <v>3</v>
      </c>
    </row>
    <row r="85" spans="1:14" x14ac:dyDescent="0.3">
      <c r="A85" t="s">
        <v>110</v>
      </c>
      <c r="B85" t="s">
        <v>47</v>
      </c>
      <c r="C85" t="s">
        <v>85</v>
      </c>
      <c r="D85" s="1">
        <v>0.51400462962962967</v>
      </c>
      <c r="E85" s="2">
        <f>CallLog[[#This Row],[Date]]+CallLog[[#This Row],[Time]]</f>
        <v>44198.514004629629</v>
      </c>
      <c r="F85" s="1" t="str">
        <f>TEXT(CallLog[[#This Row],[Date]],"dddd")</f>
        <v>Saturday</v>
      </c>
      <c r="G85" s="3">
        <f>HOUR(CallLog[[#This Row],[Time]])</f>
        <v>12</v>
      </c>
      <c r="H85" t="s">
        <v>13</v>
      </c>
      <c r="I85" t="s">
        <v>14</v>
      </c>
      <c r="J85" t="s">
        <v>14</v>
      </c>
      <c r="K85">
        <v>68</v>
      </c>
      <c r="L85" t="str">
        <f>IF(AND(CallLog[[#This Row],[Answered (Y/N)]]="Y", CallLog[[#This Row],[Speed of answer in seconds]]&lt;=20),
    "Within",
    "Breach")</f>
        <v>Breach</v>
      </c>
      <c r="M85" s="1">
        <v>4.1550925925925922E-3</v>
      </c>
      <c r="N85">
        <v>4</v>
      </c>
    </row>
    <row r="86" spans="1:14" x14ac:dyDescent="0.3">
      <c r="A86" t="s">
        <v>111</v>
      </c>
      <c r="B86" t="s">
        <v>16</v>
      </c>
      <c r="C86" t="s">
        <v>85</v>
      </c>
      <c r="D86" s="1">
        <v>0.52900462962962957</v>
      </c>
      <c r="E86" s="2">
        <f>CallLog[[#This Row],[Date]]+CallLog[[#This Row],[Time]]</f>
        <v>44198.529004629629</v>
      </c>
      <c r="F86" s="1" t="str">
        <f>TEXT(CallLog[[#This Row],[Date]],"dddd")</f>
        <v>Saturday</v>
      </c>
      <c r="G86" s="3">
        <f>HOUR(CallLog[[#This Row],[Time]])</f>
        <v>12</v>
      </c>
      <c r="H86" t="s">
        <v>17</v>
      </c>
      <c r="I86" t="s">
        <v>14</v>
      </c>
      <c r="J86" t="s">
        <v>14</v>
      </c>
      <c r="K86">
        <v>106</v>
      </c>
      <c r="L86" t="str">
        <f>IF(AND(CallLog[[#This Row],[Answered (Y/N)]]="Y", CallLog[[#This Row],[Speed of answer in seconds]]&lt;=20),
    "Within",
    "Breach")</f>
        <v>Breach</v>
      </c>
      <c r="M86" s="1">
        <v>3.0324074074074073E-3</v>
      </c>
      <c r="N86">
        <v>5</v>
      </c>
    </row>
    <row r="87" spans="1:14" x14ac:dyDescent="0.3">
      <c r="A87" t="s">
        <v>112</v>
      </c>
      <c r="B87" t="s">
        <v>38</v>
      </c>
      <c r="C87" t="s">
        <v>85</v>
      </c>
      <c r="D87" s="1">
        <v>0.52900462962962957</v>
      </c>
      <c r="E87" s="2">
        <f>CallLog[[#This Row],[Date]]+CallLog[[#This Row],[Time]]</f>
        <v>44198.529004629629</v>
      </c>
      <c r="F87" s="1" t="str">
        <f>TEXT(CallLog[[#This Row],[Date]],"dddd")</f>
        <v>Saturday</v>
      </c>
      <c r="G87" s="3">
        <f>HOUR(CallLog[[#This Row],[Time]])</f>
        <v>12</v>
      </c>
      <c r="H87" t="s">
        <v>17</v>
      </c>
      <c r="I87" t="s">
        <v>14</v>
      </c>
      <c r="J87" t="s">
        <v>14</v>
      </c>
      <c r="K87">
        <v>32</v>
      </c>
      <c r="L87" t="str">
        <f>IF(AND(CallLog[[#This Row],[Answered (Y/N)]]="Y", CallLog[[#This Row],[Speed of answer in seconds]]&lt;=20),
    "Within",
    "Breach")</f>
        <v>Breach</v>
      </c>
      <c r="M87" s="1">
        <v>3.1944444444444446E-3</v>
      </c>
      <c r="N87">
        <v>3</v>
      </c>
    </row>
    <row r="88" spans="1:14" x14ac:dyDescent="0.3">
      <c r="A88" t="s">
        <v>113</v>
      </c>
      <c r="B88" t="s">
        <v>31</v>
      </c>
      <c r="C88" t="s">
        <v>85</v>
      </c>
      <c r="D88" s="1">
        <v>0.53099537037037037</v>
      </c>
      <c r="E88" s="2">
        <f>CallLog[[#This Row],[Date]]+CallLog[[#This Row],[Time]]</f>
        <v>44198.530995370369</v>
      </c>
      <c r="F88" s="1" t="str">
        <f>TEXT(CallLog[[#This Row],[Date]],"dddd")</f>
        <v>Saturday</v>
      </c>
      <c r="G88" s="3">
        <f>HOUR(CallLog[[#This Row],[Time]])</f>
        <v>12</v>
      </c>
      <c r="H88" t="s">
        <v>24</v>
      </c>
      <c r="I88" t="s">
        <v>18</v>
      </c>
      <c r="J88" t="s">
        <v>18</v>
      </c>
      <c r="L88" t="str">
        <f>IF(AND(CallLog[[#This Row],[Answered (Y/N)]]="Y", CallLog[[#This Row],[Speed of answer in seconds]]&lt;=20),
    "Within",
    "Breach")</f>
        <v>Breach</v>
      </c>
    </row>
    <row r="89" spans="1:14" x14ac:dyDescent="0.3">
      <c r="A89" t="s">
        <v>114</v>
      </c>
      <c r="B89" t="s">
        <v>38</v>
      </c>
      <c r="C89" t="s">
        <v>85</v>
      </c>
      <c r="D89" s="1">
        <v>0.53099537037037037</v>
      </c>
      <c r="E89" s="2">
        <f>CallLog[[#This Row],[Date]]+CallLog[[#This Row],[Time]]</f>
        <v>44198.530995370369</v>
      </c>
      <c r="F89" s="1" t="str">
        <f>TEXT(CallLog[[#This Row],[Date]],"dddd")</f>
        <v>Saturday</v>
      </c>
      <c r="G89" s="3">
        <f>HOUR(CallLog[[#This Row],[Time]])</f>
        <v>12</v>
      </c>
      <c r="H89" t="s">
        <v>29</v>
      </c>
      <c r="I89" t="s">
        <v>14</v>
      </c>
      <c r="J89" t="s">
        <v>18</v>
      </c>
      <c r="K89">
        <v>45</v>
      </c>
      <c r="L89" t="str">
        <f>IF(AND(CallLog[[#This Row],[Answered (Y/N)]]="Y", CallLog[[#This Row],[Speed of answer in seconds]]&lt;=20),
    "Within",
    "Breach")</f>
        <v>Breach</v>
      </c>
      <c r="M89" s="1">
        <v>9.9537037037037042E-4</v>
      </c>
      <c r="N89">
        <v>4</v>
      </c>
    </row>
    <row r="90" spans="1:14" x14ac:dyDescent="0.3">
      <c r="A90" t="s">
        <v>115</v>
      </c>
      <c r="B90" t="s">
        <v>34</v>
      </c>
      <c r="C90" t="s">
        <v>85</v>
      </c>
      <c r="D90" s="1">
        <v>0.54099537037037038</v>
      </c>
      <c r="E90" s="2">
        <f>CallLog[[#This Row],[Date]]+CallLog[[#This Row],[Time]]</f>
        <v>44198.540995370371</v>
      </c>
      <c r="F90" s="1" t="str">
        <f>TEXT(CallLog[[#This Row],[Date]],"dddd")</f>
        <v>Saturday</v>
      </c>
      <c r="G90" s="3">
        <f>HOUR(CallLog[[#This Row],[Time]])</f>
        <v>12</v>
      </c>
      <c r="H90" t="s">
        <v>17</v>
      </c>
      <c r="I90" t="s">
        <v>14</v>
      </c>
      <c r="J90" t="s">
        <v>14</v>
      </c>
      <c r="K90">
        <v>119</v>
      </c>
      <c r="L90" t="str">
        <f>IF(AND(CallLog[[#This Row],[Answered (Y/N)]]="Y", CallLog[[#This Row],[Speed of answer in seconds]]&lt;=20),
    "Within",
    "Breach")</f>
        <v>Breach</v>
      </c>
      <c r="M90" s="1">
        <v>2.4537037037037036E-3</v>
      </c>
      <c r="N90">
        <v>4</v>
      </c>
    </row>
    <row r="91" spans="1:14" x14ac:dyDescent="0.3">
      <c r="A91" t="s">
        <v>116</v>
      </c>
      <c r="B91" t="s">
        <v>47</v>
      </c>
      <c r="C91" t="s">
        <v>85</v>
      </c>
      <c r="D91" s="1">
        <v>0.54099537037037038</v>
      </c>
      <c r="E91" s="2">
        <f>CallLog[[#This Row],[Date]]+CallLog[[#This Row],[Time]]</f>
        <v>44198.540995370371</v>
      </c>
      <c r="F91" s="1" t="str">
        <f>TEXT(CallLog[[#This Row],[Date]],"dddd")</f>
        <v>Saturday</v>
      </c>
      <c r="G91" s="3">
        <f>HOUR(CallLog[[#This Row],[Time]])</f>
        <v>12</v>
      </c>
      <c r="H91" t="s">
        <v>32</v>
      </c>
      <c r="I91" t="s">
        <v>18</v>
      </c>
      <c r="J91" t="s">
        <v>18</v>
      </c>
      <c r="L91" t="str">
        <f>IF(AND(CallLog[[#This Row],[Answered (Y/N)]]="Y", CallLog[[#This Row],[Speed of answer in seconds]]&lt;=20),
    "Within",
    "Breach")</f>
        <v>Breach</v>
      </c>
    </row>
    <row r="92" spans="1:14" x14ac:dyDescent="0.3">
      <c r="A92" t="s">
        <v>117</v>
      </c>
      <c r="B92" t="s">
        <v>31</v>
      </c>
      <c r="C92" t="s">
        <v>85</v>
      </c>
      <c r="D92" s="1">
        <v>0.54400462962962959</v>
      </c>
      <c r="E92" s="2">
        <f>CallLog[[#This Row],[Date]]+CallLog[[#This Row],[Time]]</f>
        <v>44198.544004629628</v>
      </c>
      <c r="F92" s="1" t="str">
        <f>TEXT(CallLog[[#This Row],[Date]],"dddd")</f>
        <v>Saturday</v>
      </c>
      <c r="G92" s="3">
        <f>HOUR(CallLog[[#This Row],[Time]])</f>
        <v>13</v>
      </c>
      <c r="H92" t="s">
        <v>13</v>
      </c>
      <c r="I92" t="s">
        <v>14</v>
      </c>
      <c r="J92" t="s">
        <v>14</v>
      </c>
      <c r="K92">
        <v>46</v>
      </c>
      <c r="L92" t="str">
        <f>IF(AND(CallLog[[#This Row],[Answered (Y/N)]]="Y", CallLog[[#This Row],[Speed of answer in seconds]]&lt;=20),
    "Within",
    "Breach")</f>
        <v>Breach</v>
      </c>
      <c r="M92" s="1">
        <v>3.9467592592592592E-3</v>
      </c>
      <c r="N92">
        <v>1</v>
      </c>
    </row>
    <row r="93" spans="1:14" x14ac:dyDescent="0.3">
      <c r="A93" t="s">
        <v>118</v>
      </c>
      <c r="B93" t="s">
        <v>20</v>
      </c>
      <c r="C93" t="s">
        <v>85</v>
      </c>
      <c r="D93" s="1">
        <v>0.54400462962962959</v>
      </c>
      <c r="E93" s="2">
        <f>CallLog[[#This Row],[Date]]+CallLog[[#This Row],[Time]]</f>
        <v>44198.544004629628</v>
      </c>
      <c r="F93" s="1" t="str">
        <f>TEXT(CallLog[[#This Row],[Date]],"dddd")</f>
        <v>Saturday</v>
      </c>
      <c r="G93" s="3">
        <f>HOUR(CallLog[[#This Row],[Time]])</f>
        <v>13</v>
      </c>
      <c r="H93" t="s">
        <v>17</v>
      </c>
      <c r="I93" t="s">
        <v>14</v>
      </c>
      <c r="J93" t="s">
        <v>14</v>
      </c>
      <c r="K93">
        <v>101</v>
      </c>
      <c r="L93" t="str">
        <f>IF(AND(CallLog[[#This Row],[Answered (Y/N)]]="Y", CallLog[[#This Row],[Speed of answer in seconds]]&lt;=20),
    "Within",
    "Breach")</f>
        <v>Breach</v>
      </c>
      <c r="M93" s="1">
        <v>1.0185185185185184E-3</v>
      </c>
      <c r="N93">
        <v>3</v>
      </c>
    </row>
    <row r="94" spans="1:14" x14ac:dyDescent="0.3">
      <c r="A94" t="s">
        <v>119</v>
      </c>
      <c r="B94" t="s">
        <v>31</v>
      </c>
      <c r="C94" t="s">
        <v>85</v>
      </c>
      <c r="D94" s="1">
        <v>0.54500000000000004</v>
      </c>
      <c r="E94" s="2">
        <f>CallLog[[#This Row],[Date]]+CallLog[[#This Row],[Time]]</f>
        <v>44198.544999999998</v>
      </c>
      <c r="F94" s="1" t="str">
        <f>TEXT(CallLog[[#This Row],[Date]],"dddd")</f>
        <v>Saturday</v>
      </c>
      <c r="G94" s="3">
        <f>HOUR(CallLog[[#This Row],[Time]])</f>
        <v>13</v>
      </c>
      <c r="H94" t="s">
        <v>17</v>
      </c>
      <c r="I94" t="s">
        <v>14</v>
      </c>
      <c r="J94" t="s">
        <v>14</v>
      </c>
      <c r="K94">
        <v>56</v>
      </c>
      <c r="L94" t="str">
        <f>IF(AND(CallLog[[#This Row],[Answered (Y/N)]]="Y", CallLog[[#This Row],[Speed of answer in seconds]]&lt;=20),
    "Within",
    "Breach")</f>
        <v>Breach</v>
      </c>
      <c r="M94" s="1">
        <v>1.9907407407407408E-3</v>
      </c>
      <c r="N94">
        <v>3</v>
      </c>
    </row>
    <row r="95" spans="1:14" x14ac:dyDescent="0.3">
      <c r="A95" t="s">
        <v>120</v>
      </c>
      <c r="B95" t="s">
        <v>16</v>
      </c>
      <c r="C95" t="s">
        <v>85</v>
      </c>
      <c r="D95" s="1">
        <v>0.54500000000000004</v>
      </c>
      <c r="E95" s="2">
        <f>CallLog[[#This Row],[Date]]+CallLog[[#This Row],[Time]]</f>
        <v>44198.544999999998</v>
      </c>
      <c r="F95" s="1" t="str">
        <f>TEXT(CallLog[[#This Row],[Date]],"dddd")</f>
        <v>Saturday</v>
      </c>
      <c r="G95" s="3">
        <f>HOUR(CallLog[[#This Row],[Time]])</f>
        <v>13</v>
      </c>
      <c r="H95" t="s">
        <v>17</v>
      </c>
      <c r="I95" t="s">
        <v>14</v>
      </c>
      <c r="J95" t="s">
        <v>14</v>
      </c>
      <c r="K95">
        <v>80</v>
      </c>
      <c r="L95" t="str">
        <f>IF(AND(CallLog[[#This Row],[Answered (Y/N)]]="Y", CallLog[[#This Row],[Speed of answer in seconds]]&lt;=20),
    "Within",
    "Breach")</f>
        <v>Breach</v>
      </c>
      <c r="M95" s="1">
        <v>6.134259259259259E-4</v>
      </c>
      <c r="N95">
        <v>3</v>
      </c>
    </row>
    <row r="96" spans="1:14" x14ac:dyDescent="0.3">
      <c r="A96" t="s">
        <v>121</v>
      </c>
      <c r="B96" t="s">
        <v>11</v>
      </c>
      <c r="C96" t="s">
        <v>85</v>
      </c>
      <c r="D96" s="1">
        <v>0.55099537037037039</v>
      </c>
      <c r="E96" s="2">
        <f>CallLog[[#This Row],[Date]]+CallLog[[#This Row],[Time]]</f>
        <v>44198.550995370373</v>
      </c>
      <c r="F96" s="1" t="str">
        <f>TEXT(CallLog[[#This Row],[Date]],"dddd")</f>
        <v>Saturday</v>
      </c>
      <c r="G96" s="3">
        <f>HOUR(CallLog[[#This Row],[Time]])</f>
        <v>13</v>
      </c>
      <c r="H96" t="s">
        <v>32</v>
      </c>
      <c r="I96" t="s">
        <v>14</v>
      </c>
      <c r="J96" t="s">
        <v>14</v>
      </c>
      <c r="K96">
        <v>24</v>
      </c>
      <c r="L96" t="str">
        <f>IF(AND(CallLog[[#This Row],[Answered (Y/N)]]="Y", CallLog[[#This Row],[Speed of answer in seconds]]&lt;=20),
    "Within",
    "Breach")</f>
        <v>Breach</v>
      </c>
      <c r="M96" s="1">
        <v>1.1111111111111111E-3</v>
      </c>
      <c r="N96">
        <v>3</v>
      </c>
    </row>
    <row r="97" spans="1:14" x14ac:dyDescent="0.3">
      <c r="A97" t="s">
        <v>122</v>
      </c>
      <c r="B97" t="s">
        <v>20</v>
      </c>
      <c r="C97" t="s">
        <v>85</v>
      </c>
      <c r="D97" s="1">
        <v>0.55099537037037039</v>
      </c>
      <c r="E97" s="2">
        <f>CallLog[[#This Row],[Date]]+CallLog[[#This Row],[Time]]</f>
        <v>44198.550995370373</v>
      </c>
      <c r="F97" s="1" t="str">
        <f>TEXT(CallLog[[#This Row],[Date]],"dddd")</f>
        <v>Saturday</v>
      </c>
      <c r="G97" s="3">
        <f>HOUR(CallLog[[#This Row],[Time]])</f>
        <v>13</v>
      </c>
      <c r="H97" t="s">
        <v>24</v>
      </c>
      <c r="I97" t="s">
        <v>14</v>
      </c>
      <c r="J97" t="s">
        <v>14</v>
      </c>
      <c r="K97">
        <v>113</v>
      </c>
      <c r="L97" t="str">
        <f>IF(AND(CallLog[[#This Row],[Answered (Y/N)]]="Y", CallLog[[#This Row],[Speed of answer in seconds]]&lt;=20),
    "Within",
    "Breach")</f>
        <v>Breach</v>
      </c>
      <c r="M97" s="1">
        <v>2.7083333333333334E-3</v>
      </c>
      <c r="N97">
        <v>2</v>
      </c>
    </row>
    <row r="98" spans="1:14" x14ac:dyDescent="0.3">
      <c r="A98" t="s">
        <v>123</v>
      </c>
      <c r="B98" t="s">
        <v>22</v>
      </c>
      <c r="C98" t="s">
        <v>85</v>
      </c>
      <c r="D98" s="1">
        <v>0.55599537037037039</v>
      </c>
      <c r="E98" s="2">
        <f>CallLog[[#This Row],[Date]]+CallLog[[#This Row],[Time]]</f>
        <v>44198.555995370371</v>
      </c>
      <c r="F98" s="1" t="str">
        <f>TEXT(CallLog[[#This Row],[Date]],"dddd")</f>
        <v>Saturday</v>
      </c>
      <c r="G98" s="3">
        <f>HOUR(CallLog[[#This Row],[Time]])</f>
        <v>13</v>
      </c>
      <c r="H98" t="s">
        <v>13</v>
      </c>
      <c r="I98" t="s">
        <v>14</v>
      </c>
      <c r="J98" t="s">
        <v>14</v>
      </c>
      <c r="K98">
        <v>19</v>
      </c>
      <c r="L98" t="str">
        <f>IF(AND(CallLog[[#This Row],[Answered (Y/N)]]="Y", CallLog[[#This Row],[Speed of answer in seconds]]&lt;=20),
    "Within",
    "Breach")</f>
        <v>Within</v>
      </c>
      <c r="M98" s="1">
        <v>1.4236111111111112E-3</v>
      </c>
      <c r="N98">
        <v>4</v>
      </c>
    </row>
    <row r="99" spans="1:14" x14ac:dyDescent="0.3">
      <c r="A99" t="s">
        <v>124</v>
      </c>
      <c r="B99" t="s">
        <v>38</v>
      </c>
      <c r="C99" t="s">
        <v>85</v>
      </c>
      <c r="D99" s="1">
        <v>0.55599537037037039</v>
      </c>
      <c r="E99" s="2">
        <f>CallLog[[#This Row],[Date]]+CallLog[[#This Row],[Time]]</f>
        <v>44198.555995370371</v>
      </c>
      <c r="F99" s="1" t="str">
        <f>TEXT(CallLog[[#This Row],[Date]],"dddd")</f>
        <v>Saturday</v>
      </c>
      <c r="G99" s="3">
        <f>HOUR(CallLog[[#This Row],[Time]])</f>
        <v>13</v>
      </c>
      <c r="H99" t="s">
        <v>32</v>
      </c>
      <c r="I99" t="s">
        <v>18</v>
      </c>
      <c r="J99" t="s">
        <v>18</v>
      </c>
      <c r="L99" t="str">
        <f>IF(AND(CallLog[[#This Row],[Answered (Y/N)]]="Y", CallLog[[#This Row],[Speed of answer in seconds]]&lt;=20),
    "Within",
    "Breach")</f>
        <v>Breach</v>
      </c>
    </row>
    <row r="100" spans="1:14" x14ac:dyDescent="0.3">
      <c r="A100" t="s">
        <v>125</v>
      </c>
      <c r="B100" t="s">
        <v>47</v>
      </c>
      <c r="C100" t="s">
        <v>85</v>
      </c>
      <c r="D100" s="1">
        <v>0.55599537037037039</v>
      </c>
      <c r="E100" s="2">
        <f>CallLog[[#This Row],[Date]]+CallLog[[#This Row],[Time]]</f>
        <v>44198.555995370371</v>
      </c>
      <c r="F100" s="1" t="str">
        <f>TEXT(CallLog[[#This Row],[Date]],"dddd")</f>
        <v>Saturday</v>
      </c>
      <c r="G100" s="3">
        <f>HOUR(CallLog[[#This Row],[Time]])</f>
        <v>13</v>
      </c>
      <c r="H100" t="s">
        <v>13</v>
      </c>
      <c r="I100" t="s">
        <v>14</v>
      </c>
      <c r="J100" t="s">
        <v>14</v>
      </c>
      <c r="K100">
        <v>45</v>
      </c>
      <c r="L100" t="str">
        <f>IF(AND(CallLog[[#This Row],[Answered (Y/N)]]="Y", CallLog[[#This Row],[Speed of answer in seconds]]&lt;=20),
    "Within",
    "Breach")</f>
        <v>Breach</v>
      </c>
      <c r="M100" s="1">
        <v>4.5949074074074078E-3</v>
      </c>
      <c r="N100">
        <v>3</v>
      </c>
    </row>
    <row r="101" spans="1:14" x14ac:dyDescent="0.3">
      <c r="A101" t="s">
        <v>126</v>
      </c>
      <c r="B101" t="s">
        <v>11</v>
      </c>
      <c r="C101" t="s">
        <v>85</v>
      </c>
      <c r="D101" s="1">
        <v>0.55599537037037039</v>
      </c>
      <c r="E101" s="2">
        <f>CallLog[[#This Row],[Date]]+CallLog[[#This Row],[Time]]</f>
        <v>44198.555995370371</v>
      </c>
      <c r="F101" s="1" t="str">
        <f>TEXT(CallLog[[#This Row],[Date]],"dddd")</f>
        <v>Saturday</v>
      </c>
      <c r="G101" s="3">
        <f>HOUR(CallLog[[#This Row],[Time]])</f>
        <v>13</v>
      </c>
      <c r="H101" t="s">
        <v>17</v>
      </c>
      <c r="I101" t="s">
        <v>14</v>
      </c>
      <c r="J101" t="s">
        <v>14</v>
      </c>
      <c r="K101">
        <v>95</v>
      </c>
      <c r="L101" t="str">
        <f>IF(AND(CallLog[[#This Row],[Answered (Y/N)]]="Y", CallLog[[#This Row],[Speed of answer in seconds]]&lt;=20),
    "Within",
    "Breach")</f>
        <v>Breach</v>
      </c>
      <c r="M101" s="1">
        <v>3.5995370370370369E-3</v>
      </c>
      <c r="N101">
        <v>1</v>
      </c>
    </row>
    <row r="102" spans="1:14" x14ac:dyDescent="0.3">
      <c r="A102" t="s">
        <v>127</v>
      </c>
      <c r="B102" t="s">
        <v>16</v>
      </c>
      <c r="C102" t="s">
        <v>85</v>
      </c>
      <c r="D102" s="1">
        <v>0.57299768518518523</v>
      </c>
      <c r="E102" s="2">
        <f>CallLog[[#This Row],[Date]]+CallLog[[#This Row],[Time]]</f>
        <v>44198.572997685187</v>
      </c>
      <c r="F102" s="1" t="str">
        <f>TEXT(CallLog[[#This Row],[Date]],"dddd")</f>
        <v>Saturday</v>
      </c>
      <c r="G102" s="3">
        <f>HOUR(CallLog[[#This Row],[Time]])</f>
        <v>13</v>
      </c>
      <c r="H102" t="s">
        <v>17</v>
      </c>
      <c r="I102" t="s">
        <v>18</v>
      </c>
      <c r="J102" t="s">
        <v>18</v>
      </c>
      <c r="L102" t="str">
        <f>IF(AND(CallLog[[#This Row],[Answered (Y/N)]]="Y", CallLog[[#This Row],[Speed of answer in seconds]]&lt;=20),
    "Within",
    "Breach")</f>
        <v>Breach</v>
      </c>
    </row>
    <row r="103" spans="1:14" x14ac:dyDescent="0.3">
      <c r="A103" t="s">
        <v>128</v>
      </c>
      <c r="B103" t="s">
        <v>38</v>
      </c>
      <c r="C103" t="s">
        <v>85</v>
      </c>
      <c r="D103" s="1">
        <v>0.57299768518518523</v>
      </c>
      <c r="E103" s="2">
        <f>CallLog[[#This Row],[Date]]+CallLog[[#This Row],[Time]]</f>
        <v>44198.572997685187</v>
      </c>
      <c r="F103" s="1" t="str">
        <f>TEXT(CallLog[[#This Row],[Date]],"dddd")</f>
        <v>Saturday</v>
      </c>
      <c r="G103" s="3">
        <f>HOUR(CallLog[[#This Row],[Time]])</f>
        <v>13</v>
      </c>
      <c r="H103" t="s">
        <v>17</v>
      </c>
      <c r="I103" t="s">
        <v>14</v>
      </c>
      <c r="J103" t="s">
        <v>18</v>
      </c>
      <c r="K103">
        <v>79</v>
      </c>
      <c r="L103" t="str">
        <f>IF(AND(CallLog[[#This Row],[Answered (Y/N)]]="Y", CallLog[[#This Row],[Speed of answer in seconds]]&lt;=20),
    "Within",
    "Breach")</f>
        <v>Breach</v>
      </c>
      <c r="M103" s="1">
        <v>3.8310185185185183E-3</v>
      </c>
      <c r="N103">
        <v>1</v>
      </c>
    </row>
    <row r="104" spans="1:14" x14ac:dyDescent="0.3">
      <c r="A104" t="s">
        <v>129</v>
      </c>
      <c r="B104" t="s">
        <v>11</v>
      </c>
      <c r="C104" t="s">
        <v>85</v>
      </c>
      <c r="D104" s="1">
        <v>0.57599537037037041</v>
      </c>
      <c r="E104" s="2">
        <f>CallLog[[#This Row],[Date]]+CallLog[[#This Row],[Time]]</f>
        <v>44198.575995370367</v>
      </c>
      <c r="F104" s="1" t="str">
        <f>TEXT(CallLog[[#This Row],[Date]],"dddd")</f>
        <v>Saturday</v>
      </c>
      <c r="G104" s="3">
        <f>HOUR(CallLog[[#This Row],[Time]])</f>
        <v>13</v>
      </c>
      <c r="H104" t="s">
        <v>24</v>
      </c>
      <c r="I104" t="s">
        <v>14</v>
      </c>
      <c r="J104" t="s">
        <v>14</v>
      </c>
      <c r="K104">
        <v>22</v>
      </c>
      <c r="L104" t="str">
        <f>IF(AND(CallLog[[#This Row],[Answered (Y/N)]]="Y", CallLog[[#This Row],[Speed of answer in seconds]]&lt;=20),
    "Within",
    "Breach")</f>
        <v>Breach</v>
      </c>
      <c r="M104" s="1">
        <v>2.7314814814814814E-3</v>
      </c>
      <c r="N104">
        <v>2</v>
      </c>
    </row>
    <row r="105" spans="1:14" x14ac:dyDescent="0.3">
      <c r="A105" t="s">
        <v>130</v>
      </c>
      <c r="B105" t="s">
        <v>38</v>
      </c>
      <c r="C105" t="s">
        <v>85</v>
      </c>
      <c r="D105" s="1">
        <v>0.57599537037037041</v>
      </c>
      <c r="E105" s="2">
        <f>CallLog[[#This Row],[Date]]+CallLog[[#This Row],[Time]]</f>
        <v>44198.575995370367</v>
      </c>
      <c r="F105" s="1" t="str">
        <f>TEXT(CallLog[[#This Row],[Date]],"dddd")</f>
        <v>Saturday</v>
      </c>
      <c r="G105" s="3">
        <f>HOUR(CallLog[[#This Row],[Time]])</f>
        <v>13</v>
      </c>
      <c r="H105" t="s">
        <v>13</v>
      </c>
      <c r="I105" t="s">
        <v>14</v>
      </c>
      <c r="J105" t="s">
        <v>14</v>
      </c>
      <c r="K105">
        <v>38</v>
      </c>
      <c r="L105" t="str">
        <f>IF(AND(CallLog[[#This Row],[Answered (Y/N)]]="Y", CallLog[[#This Row],[Speed of answer in seconds]]&lt;=20),
    "Within",
    "Breach")</f>
        <v>Breach</v>
      </c>
      <c r="M105" s="1">
        <v>4.5833333333333334E-3</v>
      </c>
      <c r="N105">
        <v>1</v>
      </c>
    </row>
    <row r="106" spans="1:14" x14ac:dyDescent="0.3">
      <c r="A106" t="s">
        <v>131</v>
      </c>
      <c r="B106" t="s">
        <v>16</v>
      </c>
      <c r="C106" t="s">
        <v>85</v>
      </c>
      <c r="D106" s="1">
        <v>0.57900462962962962</v>
      </c>
      <c r="E106" s="2">
        <f>CallLog[[#This Row],[Date]]+CallLog[[#This Row],[Time]]</f>
        <v>44198.579004629632</v>
      </c>
      <c r="F106" s="1" t="str">
        <f>TEXT(CallLog[[#This Row],[Date]],"dddd")</f>
        <v>Saturday</v>
      </c>
      <c r="G106" s="3">
        <f>HOUR(CallLog[[#This Row],[Time]])</f>
        <v>13</v>
      </c>
      <c r="H106" t="s">
        <v>17</v>
      </c>
      <c r="I106" t="s">
        <v>14</v>
      </c>
      <c r="J106" t="s">
        <v>14</v>
      </c>
      <c r="K106">
        <v>112</v>
      </c>
      <c r="L106" t="str">
        <f>IF(AND(CallLog[[#This Row],[Answered (Y/N)]]="Y", CallLog[[#This Row],[Speed of answer in seconds]]&lt;=20),
    "Within",
    "Breach")</f>
        <v>Breach</v>
      </c>
      <c r="M106" s="1">
        <v>2.3726851851851851E-3</v>
      </c>
      <c r="N106">
        <v>5</v>
      </c>
    </row>
    <row r="107" spans="1:14" x14ac:dyDescent="0.3">
      <c r="A107" t="s">
        <v>132</v>
      </c>
      <c r="B107" t="s">
        <v>16</v>
      </c>
      <c r="C107" t="s">
        <v>85</v>
      </c>
      <c r="D107" s="1">
        <v>0.57900462962962962</v>
      </c>
      <c r="E107" s="2">
        <f>CallLog[[#This Row],[Date]]+CallLog[[#This Row],[Time]]</f>
        <v>44198.579004629632</v>
      </c>
      <c r="F107" s="1" t="str">
        <f>TEXT(CallLog[[#This Row],[Date]],"dddd")</f>
        <v>Saturday</v>
      </c>
      <c r="G107" s="3">
        <f>HOUR(CallLog[[#This Row],[Time]])</f>
        <v>13</v>
      </c>
      <c r="H107" t="s">
        <v>24</v>
      </c>
      <c r="I107" t="s">
        <v>14</v>
      </c>
      <c r="J107" t="s">
        <v>14</v>
      </c>
      <c r="K107">
        <v>65</v>
      </c>
      <c r="L107" t="str">
        <f>IF(AND(CallLog[[#This Row],[Answered (Y/N)]]="Y", CallLog[[#This Row],[Speed of answer in seconds]]&lt;=20),
    "Within",
    "Breach")</f>
        <v>Breach</v>
      </c>
      <c r="M107" s="1">
        <v>3.4375E-3</v>
      </c>
      <c r="N107">
        <v>3</v>
      </c>
    </row>
    <row r="108" spans="1:14" x14ac:dyDescent="0.3">
      <c r="A108" t="s">
        <v>133</v>
      </c>
      <c r="B108" t="s">
        <v>34</v>
      </c>
      <c r="C108" t="s">
        <v>85</v>
      </c>
      <c r="D108" s="1">
        <v>0.59900462962962964</v>
      </c>
      <c r="E108" s="2">
        <f>CallLog[[#This Row],[Date]]+CallLog[[#This Row],[Time]]</f>
        <v>44198.599004629628</v>
      </c>
      <c r="F108" s="1" t="str">
        <f>TEXT(CallLog[[#This Row],[Date]],"dddd")</f>
        <v>Saturday</v>
      </c>
      <c r="G108" s="3">
        <f>HOUR(CallLog[[#This Row],[Time]])</f>
        <v>14</v>
      </c>
      <c r="H108" t="s">
        <v>32</v>
      </c>
      <c r="I108" t="s">
        <v>18</v>
      </c>
      <c r="J108" t="s">
        <v>18</v>
      </c>
      <c r="L108" t="str">
        <f>IF(AND(CallLog[[#This Row],[Answered (Y/N)]]="Y", CallLog[[#This Row],[Speed of answer in seconds]]&lt;=20),
    "Within",
    "Breach")</f>
        <v>Breach</v>
      </c>
    </row>
    <row r="109" spans="1:14" x14ac:dyDescent="0.3">
      <c r="A109" t="s">
        <v>134</v>
      </c>
      <c r="B109" t="s">
        <v>16</v>
      </c>
      <c r="C109" t="s">
        <v>85</v>
      </c>
      <c r="D109" s="1">
        <v>0.59900462962962964</v>
      </c>
      <c r="E109" s="2">
        <f>CallLog[[#This Row],[Date]]+CallLog[[#This Row],[Time]]</f>
        <v>44198.599004629628</v>
      </c>
      <c r="F109" s="1" t="str">
        <f>TEXT(CallLog[[#This Row],[Date]],"dddd")</f>
        <v>Saturday</v>
      </c>
      <c r="G109" s="3">
        <f>HOUR(CallLog[[#This Row],[Time]])</f>
        <v>14</v>
      </c>
      <c r="H109" t="s">
        <v>13</v>
      </c>
      <c r="I109" t="s">
        <v>14</v>
      </c>
      <c r="J109" t="s">
        <v>18</v>
      </c>
      <c r="K109">
        <v>55</v>
      </c>
      <c r="L109" t="str">
        <f>IF(AND(CallLog[[#This Row],[Answered (Y/N)]]="Y", CallLog[[#This Row],[Speed of answer in seconds]]&lt;=20),
    "Within",
    "Breach")</f>
        <v>Breach</v>
      </c>
      <c r="M109" s="1">
        <v>1.7592592592592592E-3</v>
      </c>
      <c r="N109">
        <v>1</v>
      </c>
    </row>
    <row r="110" spans="1:14" x14ac:dyDescent="0.3">
      <c r="A110" t="s">
        <v>135</v>
      </c>
      <c r="B110" t="s">
        <v>20</v>
      </c>
      <c r="C110" t="s">
        <v>85</v>
      </c>
      <c r="D110" s="1">
        <v>0.62</v>
      </c>
      <c r="E110" s="2">
        <f>CallLog[[#This Row],[Date]]+CallLog[[#This Row],[Time]]</f>
        <v>44198.62</v>
      </c>
      <c r="F110" s="1" t="str">
        <f>TEXT(CallLog[[#This Row],[Date]],"dddd")</f>
        <v>Saturday</v>
      </c>
      <c r="G110" s="3">
        <f>HOUR(CallLog[[#This Row],[Time]])</f>
        <v>14</v>
      </c>
      <c r="H110" t="s">
        <v>29</v>
      </c>
      <c r="I110" t="s">
        <v>18</v>
      </c>
      <c r="J110" t="s">
        <v>18</v>
      </c>
      <c r="L110" t="str">
        <f>IF(AND(CallLog[[#This Row],[Answered (Y/N)]]="Y", CallLog[[#This Row],[Speed of answer in seconds]]&lt;=20),
    "Within",
    "Breach")</f>
        <v>Breach</v>
      </c>
    </row>
    <row r="111" spans="1:14" x14ac:dyDescent="0.3">
      <c r="A111" t="s">
        <v>136</v>
      </c>
      <c r="B111" t="s">
        <v>34</v>
      </c>
      <c r="C111" t="s">
        <v>85</v>
      </c>
      <c r="D111" s="1">
        <v>0.62</v>
      </c>
      <c r="E111" s="2">
        <f>CallLog[[#This Row],[Date]]+CallLog[[#This Row],[Time]]</f>
        <v>44198.62</v>
      </c>
      <c r="F111" s="1" t="str">
        <f>TEXT(CallLog[[#This Row],[Date]],"dddd")</f>
        <v>Saturday</v>
      </c>
      <c r="G111" s="3">
        <f>HOUR(CallLog[[#This Row],[Time]])</f>
        <v>14</v>
      </c>
      <c r="H111" t="s">
        <v>32</v>
      </c>
      <c r="I111" t="s">
        <v>14</v>
      </c>
      <c r="J111" t="s">
        <v>14</v>
      </c>
      <c r="K111">
        <v>19</v>
      </c>
      <c r="L111" t="str">
        <f>IF(AND(CallLog[[#This Row],[Answered (Y/N)]]="Y", CallLog[[#This Row],[Speed of answer in seconds]]&lt;=20),
    "Within",
    "Breach")</f>
        <v>Within</v>
      </c>
      <c r="M111" s="1">
        <v>1.8287037037037037E-3</v>
      </c>
      <c r="N111">
        <v>2</v>
      </c>
    </row>
    <row r="112" spans="1:14" x14ac:dyDescent="0.3">
      <c r="A112" t="s">
        <v>137</v>
      </c>
      <c r="B112" t="s">
        <v>16</v>
      </c>
      <c r="C112" t="s">
        <v>85</v>
      </c>
      <c r="D112" s="1">
        <v>0.63200231481481484</v>
      </c>
      <c r="E112" s="2">
        <f>CallLog[[#This Row],[Date]]+CallLog[[#This Row],[Time]]</f>
        <v>44198.632002314815</v>
      </c>
      <c r="F112" s="1" t="str">
        <f>TEXT(CallLog[[#This Row],[Date]],"dddd")</f>
        <v>Saturday</v>
      </c>
      <c r="G112" s="3">
        <f>HOUR(CallLog[[#This Row],[Time]])</f>
        <v>15</v>
      </c>
      <c r="H112" t="s">
        <v>17</v>
      </c>
      <c r="I112" t="s">
        <v>14</v>
      </c>
      <c r="J112" t="s">
        <v>14</v>
      </c>
      <c r="K112">
        <v>53</v>
      </c>
      <c r="L112" t="str">
        <f>IF(AND(CallLog[[#This Row],[Answered (Y/N)]]="Y", CallLog[[#This Row],[Speed of answer in seconds]]&lt;=20),
    "Within",
    "Breach")</f>
        <v>Breach</v>
      </c>
      <c r="M112" s="1">
        <v>6.4814814814814813E-4</v>
      </c>
      <c r="N112">
        <v>3</v>
      </c>
    </row>
    <row r="113" spans="1:14" x14ac:dyDescent="0.3">
      <c r="A113" t="s">
        <v>138</v>
      </c>
      <c r="B113" t="s">
        <v>11</v>
      </c>
      <c r="C113" t="s">
        <v>85</v>
      </c>
      <c r="D113" s="1">
        <v>0.63200231481481484</v>
      </c>
      <c r="E113" s="2">
        <f>CallLog[[#This Row],[Date]]+CallLog[[#This Row],[Time]]</f>
        <v>44198.632002314815</v>
      </c>
      <c r="F113" s="1" t="str">
        <f>TEXT(CallLog[[#This Row],[Date]],"dddd")</f>
        <v>Saturday</v>
      </c>
      <c r="G113" s="3">
        <f>HOUR(CallLog[[#This Row],[Time]])</f>
        <v>15</v>
      </c>
      <c r="H113" t="s">
        <v>17</v>
      </c>
      <c r="I113" t="s">
        <v>14</v>
      </c>
      <c r="J113" t="s">
        <v>14</v>
      </c>
      <c r="K113">
        <v>24</v>
      </c>
      <c r="L113" t="str">
        <f>IF(AND(CallLog[[#This Row],[Answered (Y/N)]]="Y", CallLog[[#This Row],[Speed of answer in seconds]]&lt;=20),
    "Within",
    "Breach")</f>
        <v>Breach</v>
      </c>
      <c r="M113" s="1">
        <v>4.2361111111111115E-3</v>
      </c>
      <c r="N113">
        <v>5</v>
      </c>
    </row>
    <row r="114" spans="1:14" x14ac:dyDescent="0.3">
      <c r="A114" t="s">
        <v>139</v>
      </c>
      <c r="B114" t="s">
        <v>38</v>
      </c>
      <c r="C114" t="s">
        <v>85</v>
      </c>
      <c r="D114" s="1">
        <v>0.65</v>
      </c>
      <c r="E114" s="2">
        <f>CallLog[[#This Row],[Date]]+CallLog[[#This Row],[Time]]</f>
        <v>44198.65</v>
      </c>
      <c r="F114" s="1" t="str">
        <f>TEXT(CallLog[[#This Row],[Date]],"dddd")</f>
        <v>Saturday</v>
      </c>
      <c r="G114" s="3">
        <f>HOUR(CallLog[[#This Row],[Time]])</f>
        <v>15</v>
      </c>
      <c r="H114" t="s">
        <v>32</v>
      </c>
      <c r="I114" t="s">
        <v>14</v>
      </c>
      <c r="J114" t="s">
        <v>14</v>
      </c>
      <c r="K114">
        <v>73</v>
      </c>
      <c r="L114" t="str">
        <f>IF(AND(CallLog[[#This Row],[Answered (Y/N)]]="Y", CallLog[[#This Row],[Speed of answer in seconds]]&lt;=20),
    "Within",
    "Breach")</f>
        <v>Breach</v>
      </c>
      <c r="M114" s="1">
        <v>4.178240740740741E-3</v>
      </c>
      <c r="N114">
        <v>3</v>
      </c>
    </row>
    <row r="115" spans="1:14" x14ac:dyDescent="0.3">
      <c r="A115" t="s">
        <v>140</v>
      </c>
      <c r="B115" t="s">
        <v>20</v>
      </c>
      <c r="C115" t="s">
        <v>85</v>
      </c>
      <c r="D115" s="1">
        <v>0.65</v>
      </c>
      <c r="E115" s="2">
        <f>CallLog[[#This Row],[Date]]+CallLog[[#This Row],[Time]]</f>
        <v>44198.65</v>
      </c>
      <c r="F115" s="1" t="str">
        <f>TEXT(CallLog[[#This Row],[Date]],"dddd")</f>
        <v>Saturday</v>
      </c>
      <c r="G115" s="3">
        <f>HOUR(CallLog[[#This Row],[Time]])</f>
        <v>15</v>
      </c>
      <c r="H115" t="s">
        <v>17</v>
      </c>
      <c r="I115" t="s">
        <v>18</v>
      </c>
      <c r="J115" t="s">
        <v>18</v>
      </c>
      <c r="L115" t="str">
        <f>IF(AND(CallLog[[#This Row],[Answered (Y/N)]]="Y", CallLog[[#This Row],[Speed of answer in seconds]]&lt;=20),
    "Within",
    "Breach")</f>
        <v>Breach</v>
      </c>
    </row>
    <row r="116" spans="1:14" x14ac:dyDescent="0.3">
      <c r="A116" t="s">
        <v>141</v>
      </c>
      <c r="B116" t="s">
        <v>31</v>
      </c>
      <c r="C116" t="s">
        <v>85</v>
      </c>
      <c r="D116" s="1">
        <v>0.73400462962962965</v>
      </c>
      <c r="E116" s="2">
        <f>CallLog[[#This Row],[Date]]+CallLog[[#This Row],[Time]]</f>
        <v>44198.73400462963</v>
      </c>
      <c r="F116" s="1" t="str">
        <f>TEXT(CallLog[[#This Row],[Date]],"dddd")</f>
        <v>Saturday</v>
      </c>
      <c r="G116" s="3">
        <f>HOUR(CallLog[[#This Row],[Time]])</f>
        <v>17</v>
      </c>
      <c r="H116" t="s">
        <v>17</v>
      </c>
      <c r="I116" t="s">
        <v>14</v>
      </c>
      <c r="J116" t="s">
        <v>14</v>
      </c>
      <c r="K116">
        <v>55</v>
      </c>
      <c r="L116" t="str">
        <f>IF(AND(CallLog[[#This Row],[Answered (Y/N)]]="Y", CallLog[[#This Row],[Speed of answer in seconds]]&lt;=20),
    "Within",
    "Breach")</f>
        <v>Breach</v>
      </c>
      <c r="M116" s="1">
        <v>4.0162037037037041E-3</v>
      </c>
      <c r="N116">
        <v>5</v>
      </c>
    </row>
    <row r="117" spans="1:14" x14ac:dyDescent="0.3">
      <c r="A117" t="s">
        <v>142</v>
      </c>
      <c r="B117" t="s">
        <v>22</v>
      </c>
      <c r="C117" t="s">
        <v>85</v>
      </c>
      <c r="D117" s="1">
        <v>0.73400462962962965</v>
      </c>
      <c r="E117" s="2">
        <f>CallLog[[#This Row],[Date]]+CallLog[[#This Row],[Time]]</f>
        <v>44198.73400462963</v>
      </c>
      <c r="F117" s="1" t="str">
        <f>TEXT(CallLog[[#This Row],[Date]],"dddd")</f>
        <v>Saturday</v>
      </c>
      <c r="G117" s="3">
        <f>HOUR(CallLog[[#This Row],[Time]])</f>
        <v>17</v>
      </c>
      <c r="H117" t="s">
        <v>24</v>
      </c>
      <c r="I117" t="s">
        <v>18</v>
      </c>
      <c r="J117" t="s">
        <v>18</v>
      </c>
      <c r="L117" t="str">
        <f>IF(AND(CallLog[[#This Row],[Answered (Y/N)]]="Y", CallLog[[#This Row],[Speed of answer in seconds]]&lt;=20),
    "Within",
    "Breach")</f>
        <v>Breach</v>
      </c>
    </row>
    <row r="118" spans="1:14" x14ac:dyDescent="0.3">
      <c r="A118" t="s">
        <v>143</v>
      </c>
      <c r="B118" t="s">
        <v>11</v>
      </c>
      <c r="C118" t="s">
        <v>85</v>
      </c>
      <c r="D118" s="1">
        <v>0.74099537037037033</v>
      </c>
      <c r="E118" s="2">
        <f>CallLog[[#This Row],[Date]]+CallLog[[#This Row],[Time]]</f>
        <v>44198.740995370368</v>
      </c>
      <c r="F118" s="1" t="str">
        <f>TEXT(CallLog[[#This Row],[Date]],"dddd")</f>
        <v>Saturday</v>
      </c>
      <c r="G118" s="3">
        <f>HOUR(CallLog[[#This Row],[Time]])</f>
        <v>17</v>
      </c>
      <c r="H118" t="s">
        <v>32</v>
      </c>
      <c r="I118" t="s">
        <v>18</v>
      </c>
      <c r="J118" t="s">
        <v>18</v>
      </c>
      <c r="L118" t="str">
        <f>IF(AND(CallLog[[#This Row],[Answered (Y/N)]]="Y", CallLog[[#This Row],[Speed of answer in seconds]]&lt;=20),
    "Within",
    "Breach")</f>
        <v>Breach</v>
      </c>
    </row>
    <row r="119" spans="1:14" x14ac:dyDescent="0.3">
      <c r="A119" t="s">
        <v>144</v>
      </c>
      <c r="B119" t="s">
        <v>38</v>
      </c>
      <c r="C119" t="s">
        <v>85</v>
      </c>
      <c r="D119" s="1">
        <v>0.74099537037037033</v>
      </c>
      <c r="E119" s="2">
        <f>CallLog[[#This Row],[Date]]+CallLog[[#This Row],[Time]]</f>
        <v>44198.740995370368</v>
      </c>
      <c r="F119" s="1" t="str">
        <f>TEXT(CallLog[[#This Row],[Date]],"dddd")</f>
        <v>Saturday</v>
      </c>
      <c r="G119" s="3">
        <f>HOUR(CallLog[[#This Row],[Time]])</f>
        <v>17</v>
      </c>
      <c r="H119" t="s">
        <v>32</v>
      </c>
      <c r="I119" t="s">
        <v>14</v>
      </c>
      <c r="J119" t="s">
        <v>14</v>
      </c>
      <c r="K119">
        <v>23</v>
      </c>
      <c r="L119" t="str">
        <f>IF(AND(CallLog[[#This Row],[Answered (Y/N)]]="Y", CallLog[[#This Row],[Speed of answer in seconds]]&lt;=20),
    "Within",
    "Breach")</f>
        <v>Breach</v>
      </c>
      <c r="M119" s="1">
        <v>3.6805555555555554E-3</v>
      </c>
      <c r="N119">
        <v>4</v>
      </c>
    </row>
    <row r="120" spans="1:14" x14ac:dyDescent="0.3">
      <c r="A120" t="s">
        <v>145</v>
      </c>
      <c r="B120" t="s">
        <v>47</v>
      </c>
      <c r="C120" t="s">
        <v>146</v>
      </c>
      <c r="D120" s="1">
        <v>0.38200231481481484</v>
      </c>
      <c r="E120" s="2">
        <f>CallLog[[#This Row],[Date]]+CallLog[[#This Row],[Time]]</f>
        <v>44199.382002314815</v>
      </c>
      <c r="F120" s="1" t="str">
        <f>TEXT(CallLog[[#This Row],[Date]],"dddd")</f>
        <v>Sunday</v>
      </c>
      <c r="G120" s="3">
        <f>HOUR(CallLog[[#This Row],[Time]])</f>
        <v>9</v>
      </c>
      <c r="H120" t="s">
        <v>24</v>
      </c>
      <c r="I120" t="s">
        <v>14</v>
      </c>
      <c r="J120" t="s">
        <v>18</v>
      </c>
      <c r="K120">
        <v>124</v>
      </c>
      <c r="L120" t="str">
        <f>IF(AND(CallLog[[#This Row],[Answered (Y/N)]]="Y", CallLog[[#This Row],[Speed of answer in seconds]]&lt;=20),
    "Within",
    "Breach")</f>
        <v>Breach</v>
      </c>
      <c r="M120" s="1">
        <v>1.6550925925925926E-3</v>
      </c>
      <c r="N120">
        <v>5</v>
      </c>
    </row>
    <row r="121" spans="1:14" x14ac:dyDescent="0.3">
      <c r="A121" t="s">
        <v>147</v>
      </c>
      <c r="B121" t="s">
        <v>47</v>
      </c>
      <c r="C121" t="s">
        <v>146</v>
      </c>
      <c r="D121" s="1">
        <v>0.38200231481481484</v>
      </c>
      <c r="E121" s="2">
        <f>CallLog[[#This Row],[Date]]+CallLog[[#This Row],[Time]]</f>
        <v>44199.382002314815</v>
      </c>
      <c r="F121" s="1" t="str">
        <f>TEXT(CallLog[[#This Row],[Date]],"dddd")</f>
        <v>Sunday</v>
      </c>
      <c r="G121" s="3">
        <f>HOUR(CallLog[[#This Row],[Time]])</f>
        <v>9</v>
      </c>
      <c r="H121" t="s">
        <v>13</v>
      </c>
      <c r="I121" t="s">
        <v>18</v>
      </c>
      <c r="J121" t="s">
        <v>18</v>
      </c>
      <c r="L121" t="str">
        <f>IF(AND(CallLog[[#This Row],[Answered (Y/N)]]="Y", CallLog[[#This Row],[Speed of answer in seconds]]&lt;=20),
    "Within",
    "Breach")</f>
        <v>Breach</v>
      </c>
    </row>
    <row r="122" spans="1:14" x14ac:dyDescent="0.3">
      <c r="A122" t="s">
        <v>148</v>
      </c>
      <c r="B122" t="s">
        <v>47</v>
      </c>
      <c r="C122" t="s">
        <v>146</v>
      </c>
      <c r="D122" s="1">
        <v>0.4079976851851852</v>
      </c>
      <c r="E122" s="2">
        <f>CallLog[[#This Row],[Date]]+CallLog[[#This Row],[Time]]</f>
        <v>44199.407997685186</v>
      </c>
      <c r="F122" s="1" t="str">
        <f>TEXT(CallLog[[#This Row],[Date]],"dddd")</f>
        <v>Sunday</v>
      </c>
      <c r="G122" s="3">
        <f>HOUR(CallLog[[#This Row],[Time]])</f>
        <v>9</v>
      </c>
      <c r="H122" t="s">
        <v>17</v>
      </c>
      <c r="I122" t="s">
        <v>14</v>
      </c>
      <c r="J122" t="s">
        <v>14</v>
      </c>
      <c r="K122">
        <v>103</v>
      </c>
      <c r="L122" t="str">
        <f>IF(AND(CallLog[[#This Row],[Answered (Y/N)]]="Y", CallLog[[#This Row],[Speed of answer in seconds]]&lt;=20),
    "Within",
    "Breach")</f>
        <v>Breach</v>
      </c>
      <c r="M122" s="1">
        <v>7.0601851851851847E-4</v>
      </c>
      <c r="N122">
        <v>4</v>
      </c>
    </row>
    <row r="123" spans="1:14" x14ac:dyDescent="0.3">
      <c r="A123" t="s">
        <v>149</v>
      </c>
      <c r="B123" t="s">
        <v>38</v>
      </c>
      <c r="C123" t="s">
        <v>146</v>
      </c>
      <c r="D123" s="1">
        <v>0.4079976851851852</v>
      </c>
      <c r="E123" s="2">
        <f>CallLog[[#This Row],[Date]]+CallLog[[#This Row],[Time]]</f>
        <v>44199.407997685186</v>
      </c>
      <c r="F123" s="1" t="str">
        <f>TEXT(CallLog[[#This Row],[Date]],"dddd")</f>
        <v>Sunday</v>
      </c>
      <c r="G123" s="3">
        <f>HOUR(CallLog[[#This Row],[Time]])</f>
        <v>9</v>
      </c>
      <c r="H123" t="s">
        <v>13</v>
      </c>
      <c r="I123" t="s">
        <v>14</v>
      </c>
      <c r="J123" t="s">
        <v>14</v>
      </c>
      <c r="K123">
        <v>69</v>
      </c>
      <c r="L123" t="str">
        <f>IF(AND(CallLog[[#This Row],[Answered (Y/N)]]="Y", CallLog[[#This Row],[Speed of answer in seconds]]&lt;=20),
    "Within",
    "Breach")</f>
        <v>Breach</v>
      </c>
      <c r="M123" s="1">
        <v>2.6041666666666665E-3</v>
      </c>
      <c r="N123">
        <v>4</v>
      </c>
    </row>
    <row r="124" spans="1:14" x14ac:dyDescent="0.3">
      <c r="A124" t="s">
        <v>150</v>
      </c>
      <c r="B124" t="s">
        <v>34</v>
      </c>
      <c r="C124" t="s">
        <v>146</v>
      </c>
      <c r="D124" s="1">
        <v>0.43700231481481483</v>
      </c>
      <c r="E124" s="2">
        <f>CallLog[[#This Row],[Date]]+CallLog[[#This Row],[Time]]</f>
        <v>44199.437002314815</v>
      </c>
      <c r="F124" s="1" t="str">
        <f>TEXT(CallLog[[#This Row],[Date]],"dddd")</f>
        <v>Sunday</v>
      </c>
      <c r="G124" s="3">
        <f>HOUR(CallLog[[#This Row],[Time]])</f>
        <v>10</v>
      </c>
      <c r="H124" t="s">
        <v>32</v>
      </c>
      <c r="I124" t="s">
        <v>14</v>
      </c>
      <c r="J124" t="s">
        <v>14</v>
      </c>
      <c r="K124">
        <v>78</v>
      </c>
      <c r="L124" t="str">
        <f>IF(AND(CallLog[[#This Row],[Answered (Y/N)]]="Y", CallLog[[#This Row],[Speed of answer in seconds]]&lt;=20),
    "Within",
    "Breach")</f>
        <v>Breach</v>
      </c>
      <c r="M124" s="1">
        <v>8.3333333333333339E-4</v>
      </c>
      <c r="N124">
        <v>3</v>
      </c>
    </row>
    <row r="125" spans="1:14" x14ac:dyDescent="0.3">
      <c r="A125" t="s">
        <v>151</v>
      </c>
      <c r="B125" t="s">
        <v>38</v>
      </c>
      <c r="C125" t="s">
        <v>146</v>
      </c>
      <c r="D125" s="1">
        <v>0.43700231481481483</v>
      </c>
      <c r="E125" s="2">
        <f>CallLog[[#This Row],[Date]]+CallLog[[#This Row],[Time]]</f>
        <v>44199.437002314815</v>
      </c>
      <c r="F125" s="1" t="str">
        <f>TEXT(CallLog[[#This Row],[Date]],"dddd")</f>
        <v>Sunday</v>
      </c>
      <c r="G125" s="3">
        <f>HOUR(CallLog[[#This Row],[Time]])</f>
        <v>10</v>
      </c>
      <c r="H125" t="s">
        <v>17</v>
      </c>
      <c r="I125" t="s">
        <v>14</v>
      </c>
      <c r="J125" t="s">
        <v>14</v>
      </c>
      <c r="K125">
        <v>78</v>
      </c>
      <c r="L125" t="str">
        <f>IF(AND(CallLog[[#This Row],[Answered (Y/N)]]="Y", CallLog[[#This Row],[Speed of answer in seconds]]&lt;=20),
    "Within",
    "Breach")</f>
        <v>Breach</v>
      </c>
      <c r="M125" s="1">
        <v>2.3842592592592591E-3</v>
      </c>
      <c r="N125">
        <v>5</v>
      </c>
    </row>
    <row r="126" spans="1:14" x14ac:dyDescent="0.3">
      <c r="A126" t="s">
        <v>152</v>
      </c>
      <c r="B126" t="s">
        <v>38</v>
      </c>
      <c r="C126" t="s">
        <v>146</v>
      </c>
      <c r="D126" s="1">
        <v>0.44299768518518517</v>
      </c>
      <c r="E126" s="2">
        <f>CallLog[[#This Row],[Date]]+CallLog[[#This Row],[Time]]</f>
        <v>44199.442997685182</v>
      </c>
      <c r="F126" s="1" t="str">
        <f>TEXT(CallLog[[#This Row],[Date]],"dddd")</f>
        <v>Sunday</v>
      </c>
      <c r="G126" s="3">
        <f>HOUR(CallLog[[#This Row],[Time]])</f>
        <v>10</v>
      </c>
      <c r="H126" t="s">
        <v>17</v>
      </c>
      <c r="I126" t="s">
        <v>18</v>
      </c>
      <c r="J126" t="s">
        <v>18</v>
      </c>
      <c r="L126" t="str">
        <f>IF(AND(CallLog[[#This Row],[Answered (Y/N)]]="Y", CallLog[[#This Row],[Speed of answer in seconds]]&lt;=20),
    "Within",
    "Breach")</f>
        <v>Breach</v>
      </c>
    </row>
    <row r="127" spans="1:14" x14ac:dyDescent="0.3">
      <c r="A127" t="s">
        <v>153</v>
      </c>
      <c r="B127" t="s">
        <v>11</v>
      </c>
      <c r="C127" t="s">
        <v>146</v>
      </c>
      <c r="D127" s="1">
        <v>0.44299768518518517</v>
      </c>
      <c r="E127" s="2">
        <f>CallLog[[#This Row],[Date]]+CallLog[[#This Row],[Time]]</f>
        <v>44199.442997685182</v>
      </c>
      <c r="F127" s="1" t="str">
        <f>TEXT(CallLog[[#This Row],[Date]],"dddd")</f>
        <v>Sunday</v>
      </c>
      <c r="G127" s="3">
        <f>HOUR(CallLog[[#This Row],[Time]])</f>
        <v>10</v>
      </c>
      <c r="H127" t="s">
        <v>24</v>
      </c>
      <c r="I127" t="s">
        <v>14</v>
      </c>
      <c r="J127" t="s">
        <v>14</v>
      </c>
      <c r="K127">
        <v>44</v>
      </c>
      <c r="L127" t="str">
        <f>IF(AND(CallLog[[#This Row],[Answered (Y/N)]]="Y", CallLog[[#This Row],[Speed of answer in seconds]]&lt;=20),
    "Within",
    "Breach")</f>
        <v>Breach</v>
      </c>
      <c r="M127" s="1">
        <v>3.9120370370370368E-3</v>
      </c>
      <c r="N127">
        <v>4</v>
      </c>
    </row>
    <row r="128" spans="1:14" x14ac:dyDescent="0.3">
      <c r="A128" t="s">
        <v>154</v>
      </c>
      <c r="B128" t="s">
        <v>38</v>
      </c>
      <c r="C128" t="s">
        <v>146</v>
      </c>
      <c r="D128" s="1">
        <v>0.45299768518518518</v>
      </c>
      <c r="E128" s="2">
        <f>CallLog[[#This Row],[Date]]+CallLog[[#This Row],[Time]]</f>
        <v>44199.452997685185</v>
      </c>
      <c r="F128" s="1" t="str">
        <f>TEXT(CallLog[[#This Row],[Date]],"dddd")</f>
        <v>Sunday</v>
      </c>
      <c r="G128" s="3">
        <f>HOUR(CallLog[[#This Row],[Time]])</f>
        <v>10</v>
      </c>
      <c r="H128" t="s">
        <v>29</v>
      </c>
      <c r="I128" t="s">
        <v>14</v>
      </c>
      <c r="J128" t="s">
        <v>14</v>
      </c>
      <c r="K128">
        <v>35</v>
      </c>
      <c r="L128" t="str">
        <f>IF(AND(CallLog[[#This Row],[Answered (Y/N)]]="Y", CallLog[[#This Row],[Speed of answer in seconds]]&lt;=20),
    "Within",
    "Breach")</f>
        <v>Breach</v>
      </c>
      <c r="M128" s="1">
        <v>1.9212962962962964E-3</v>
      </c>
      <c r="N128">
        <v>4</v>
      </c>
    </row>
    <row r="129" spans="1:14" x14ac:dyDescent="0.3">
      <c r="A129" t="s">
        <v>155</v>
      </c>
      <c r="B129" t="s">
        <v>16</v>
      </c>
      <c r="C129" t="s">
        <v>146</v>
      </c>
      <c r="D129" s="1">
        <v>0.45299768518518518</v>
      </c>
      <c r="E129" s="2">
        <f>CallLog[[#This Row],[Date]]+CallLog[[#This Row],[Time]]</f>
        <v>44199.452997685185</v>
      </c>
      <c r="F129" s="1" t="str">
        <f>TEXT(CallLog[[#This Row],[Date]],"dddd")</f>
        <v>Sunday</v>
      </c>
      <c r="G129" s="3">
        <f>HOUR(CallLog[[#This Row],[Time]])</f>
        <v>10</v>
      </c>
      <c r="H129" t="s">
        <v>29</v>
      </c>
      <c r="I129" t="s">
        <v>14</v>
      </c>
      <c r="J129" t="s">
        <v>14</v>
      </c>
      <c r="K129">
        <v>102</v>
      </c>
      <c r="L129" t="str">
        <f>IF(AND(CallLog[[#This Row],[Answered (Y/N)]]="Y", CallLog[[#This Row],[Speed of answer in seconds]]&lt;=20),
    "Within",
    "Breach")</f>
        <v>Breach</v>
      </c>
      <c r="M129" s="1">
        <v>3.7731481481481483E-3</v>
      </c>
      <c r="N129">
        <v>4</v>
      </c>
    </row>
    <row r="130" spans="1:14" x14ac:dyDescent="0.3">
      <c r="A130" t="s">
        <v>156</v>
      </c>
      <c r="B130" t="s">
        <v>31</v>
      </c>
      <c r="C130" t="s">
        <v>146</v>
      </c>
      <c r="D130" s="1">
        <v>0.45299768518518518</v>
      </c>
      <c r="E130" s="2">
        <f>CallLog[[#This Row],[Date]]+CallLog[[#This Row],[Time]]</f>
        <v>44199.452997685185</v>
      </c>
      <c r="F130" s="1" t="str">
        <f>TEXT(CallLog[[#This Row],[Date]],"dddd")</f>
        <v>Sunday</v>
      </c>
      <c r="G130" s="3">
        <f>HOUR(CallLog[[#This Row],[Time]])</f>
        <v>10</v>
      </c>
      <c r="H130" t="s">
        <v>13</v>
      </c>
      <c r="I130" t="s">
        <v>14</v>
      </c>
      <c r="J130" t="s">
        <v>14</v>
      </c>
      <c r="K130">
        <v>99</v>
      </c>
      <c r="L130" t="str">
        <f>IF(AND(CallLog[[#This Row],[Answered (Y/N)]]="Y", CallLog[[#This Row],[Speed of answer in seconds]]&lt;=20),
    "Within",
    "Breach")</f>
        <v>Breach</v>
      </c>
      <c r="M130" s="1">
        <v>4.0625000000000001E-3</v>
      </c>
      <c r="N130">
        <v>3</v>
      </c>
    </row>
    <row r="131" spans="1:14" x14ac:dyDescent="0.3">
      <c r="A131" t="s">
        <v>157</v>
      </c>
      <c r="B131" t="s">
        <v>31</v>
      </c>
      <c r="C131" t="s">
        <v>146</v>
      </c>
      <c r="D131" s="1">
        <v>0.45299768518518518</v>
      </c>
      <c r="E131" s="2">
        <f>CallLog[[#This Row],[Date]]+CallLog[[#This Row],[Time]]</f>
        <v>44199.452997685185</v>
      </c>
      <c r="F131" s="1" t="str">
        <f>TEXT(CallLog[[#This Row],[Date]],"dddd")</f>
        <v>Sunday</v>
      </c>
      <c r="G131" s="3">
        <f>HOUR(CallLog[[#This Row],[Time]])</f>
        <v>10</v>
      </c>
      <c r="H131" t="s">
        <v>29</v>
      </c>
      <c r="I131" t="s">
        <v>14</v>
      </c>
      <c r="J131" t="s">
        <v>14</v>
      </c>
      <c r="K131">
        <v>29</v>
      </c>
      <c r="L131" t="str">
        <f>IF(AND(CallLog[[#This Row],[Answered (Y/N)]]="Y", CallLog[[#This Row],[Speed of answer in seconds]]&lt;=20),
    "Within",
    "Breach")</f>
        <v>Breach</v>
      </c>
      <c r="M131" s="1">
        <v>2.8819444444444444E-3</v>
      </c>
      <c r="N131">
        <v>3</v>
      </c>
    </row>
    <row r="132" spans="1:14" x14ac:dyDescent="0.3">
      <c r="A132" t="s">
        <v>158</v>
      </c>
      <c r="B132" t="s">
        <v>16</v>
      </c>
      <c r="C132" t="s">
        <v>146</v>
      </c>
      <c r="D132" s="1">
        <v>0.45700231481481479</v>
      </c>
      <c r="E132" s="2">
        <f>CallLog[[#This Row],[Date]]+CallLog[[#This Row],[Time]]</f>
        <v>44199.457002314812</v>
      </c>
      <c r="F132" s="1" t="str">
        <f>TEXT(CallLog[[#This Row],[Date]],"dddd")</f>
        <v>Sunday</v>
      </c>
      <c r="G132" s="3">
        <f>HOUR(CallLog[[#This Row],[Time]])</f>
        <v>10</v>
      </c>
      <c r="H132" t="s">
        <v>29</v>
      </c>
      <c r="I132" t="s">
        <v>14</v>
      </c>
      <c r="J132" t="s">
        <v>18</v>
      </c>
      <c r="K132">
        <v>42</v>
      </c>
      <c r="L132" t="str">
        <f>IF(AND(CallLog[[#This Row],[Answered (Y/N)]]="Y", CallLog[[#This Row],[Speed of answer in seconds]]&lt;=20),
    "Within",
    "Breach")</f>
        <v>Breach</v>
      </c>
      <c r="M132" s="1">
        <v>6.8287037037037036E-4</v>
      </c>
      <c r="N132">
        <v>5</v>
      </c>
    </row>
    <row r="133" spans="1:14" x14ac:dyDescent="0.3">
      <c r="A133" t="s">
        <v>159</v>
      </c>
      <c r="B133" t="s">
        <v>11</v>
      </c>
      <c r="C133" t="s">
        <v>146</v>
      </c>
      <c r="D133" s="1">
        <v>0.45700231481481479</v>
      </c>
      <c r="E133" s="2">
        <f>CallLog[[#This Row],[Date]]+CallLog[[#This Row],[Time]]</f>
        <v>44199.457002314812</v>
      </c>
      <c r="F133" s="1" t="str">
        <f>TEXT(CallLog[[#This Row],[Date]],"dddd")</f>
        <v>Sunday</v>
      </c>
      <c r="G133" s="3">
        <f>HOUR(CallLog[[#This Row],[Time]])</f>
        <v>10</v>
      </c>
      <c r="H133" t="s">
        <v>24</v>
      </c>
      <c r="I133" t="s">
        <v>14</v>
      </c>
      <c r="J133" t="s">
        <v>14</v>
      </c>
      <c r="K133">
        <v>113</v>
      </c>
      <c r="L133" t="str">
        <f>IF(AND(CallLog[[#This Row],[Answered (Y/N)]]="Y", CallLog[[#This Row],[Speed of answer in seconds]]&lt;=20),
    "Within",
    "Breach")</f>
        <v>Breach</v>
      </c>
      <c r="M133" s="1">
        <v>3.9351851851851848E-3</v>
      </c>
      <c r="N133">
        <v>4</v>
      </c>
    </row>
    <row r="134" spans="1:14" x14ac:dyDescent="0.3">
      <c r="A134" t="s">
        <v>160</v>
      </c>
      <c r="B134" t="s">
        <v>47</v>
      </c>
      <c r="C134" t="s">
        <v>146</v>
      </c>
      <c r="D134" s="1">
        <v>0.46</v>
      </c>
      <c r="E134" s="2">
        <f>CallLog[[#This Row],[Date]]+CallLog[[#This Row],[Time]]</f>
        <v>44199.46</v>
      </c>
      <c r="F134" s="1" t="str">
        <f>TEXT(CallLog[[#This Row],[Date]],"dddd")</f>
        <v>Sunday</v>
      </c>
      <c r="G134" s="3">
        <f>HOUR(CallLog[[#This Row],[Time]])</f>
        <v>11</v>
      </c>
      <c r="H134" t="s">
        <v>29</v>
      </c>
      <c r="I134" t="s">
        <v>14</v>
      </c>
      <c r="J134" t="s">
        <v>14</v>
      </c>
      <c r="K134">
        <v>124</v>
      </c>
      <c r="L134" t="str">
        <f>IF(AND(CallLog[[#This Row],[Answered (Y/N)]]="Y", CallLog[[#This Row],[Speed of answer in seconds]]&lt;=20),
    "Within",
    "Breach")</f>
        <v>Breach</v>
      </c>
      <c r="M134" s="1">
        <v>6.134259259259259E-4</v>
      </c>
      <c r="N134">
        <v>2</v>
      </c>
    </row>
    <row r="135" spans="1:14" x14ac:dyDescent="0.3">
      <c r="A135" t="s">
        <v>161</v>
      </c>
      <c r="B135" t="s">
        <v>31</v>
      </c>
      <c r="C135" t="s">
        <v>146</v>
      </c>
      <c r="D135" s="1">
        <v>0.45999999999999996</v>
      </c>
      <c r="E135" s="2">
        <f>CallLog[[#This Row],[Date]]+CallLog[[#This Row],[Time]]</f>
        <v>44199.46</v>
      </c>
      <c r="F135" s="1" t="str">
        <f>TEXT(CallLog[[#This Row],[Date]],"dddd")</f>
        <v>Sunday</v>
      </c>
      <c r="G135" s="3">
        <f>HOUR(CallLog[[#This Row],[Time]])</f>
        <v>11</v>
      </c>
      <c r="H135" t="s">
        <v>17</v>
      </c>
      <c r="I135" t="s">
        <v>18</v>
      </c>
      <c r="J135" t="s">
        <v>18</v>
      </c>
      <c r="L135" t="str">
        <f>IF(AND(CallLog[[#This Row],[Answered (Y/N)]]="Y", CallLog[[#This Row],[Speed of answer in seconds]]&lt;=20),
    "Within",
    "Breach")</f>
        <v>Breach</v>
      </c>
    </row>
    <row r="136" spans="1:14" x14ac:dyDescent="0.3">
      <c r="A136" t="s">
        <v>162</v>
      </c>
      <c r="B136" t="s">
        <v>47</v>
      </c>
      <c r="C136" t="s">
        <v>146</v>
      </c>
      <c r="D136" s="1">
        <v>0.46099537037037036</v>
      </c>
      <c r="E136" s="2">
        <f>CallLog[[#This Row],[Date]]+CallLog[[#This Row],[Time]]</f>
        <v>44199.460995370369</v>
      </c>
      <c r="F136" s="1" t="str">
        <f>TEXT(CallLog[[#This Row],[Date]],"dddd")</f>
        <v>Sunday</v>
      </c>
      <c r="G136" s="3">
        <f>HOUR(CallLog[[#This Row],[Time]])</f>
        <v>11</v>
      </c>
      <c r="H136" t="s">
        <v>24</v>
      </c>
      <c r="I136" t="s">
        <v>14</v>
      </c>
      <c r="J136" t="s">
        <v>14</v>
      </c>
      <c r="K136">
        <v>55</v>
      </c>
      <c r="L136" t="str">
        <f>IF(AND(CallLog[[#This Row],[Answered (Y/N)]]="Y", CallLog[[#This Row],[Speed of answer in seconds]]&lt;=20),
    "Within",
    "Breach")</f>
        <v>Breach</v>
      </c>
      <c r="M136" s="1">
        <v>1.5393518518518519E-3</v>
      </c>
      <c r="N136">
        <v>1</v>
      </c>
    </row>
    <row r="137" spans="1:14" x14ac:dyDescent="0.3">
      <c r="A137" t="s">
        <v>163</v>
      </c>
      <c r="B137" t="s">
        <v>22</v>
      </c>
      <c r="C137" t="s">
        <v>146</v>
      </c>
      <c r="D137" s="1">
        <v>0.46099537037037036</v>
      </c>
      <c r="E137" s="2">
        <f>CallLog[[#This Row],[Date]]+CallLog[[#This Row],[Time]]</f>
        <v>44199.460995370369</v>
      </c>
      <c r="F137" s="1" t="str">
        <f>TEXT(CallLog[[#This Row],[Date]],"dddd")</f>
        <v>Sunday</v>
      </c>
      <c r="G137" s="3">
        <f>HOUR(CallLog[[#This Row],[Time]])</f>
        <v>11</v>
      </c>
      <c r="H137" t="s">
        <v>17</v>
      </c>
      <c r="I137" t="s">
        <v>14</v>
      </c>
      <c r="J137" t="s">
        <v>18</v>
      </c>
      <c r="K137">
        <v>105</v>
      </c>
      <c r="L137" t="str">
        <f>IF(AND(CallLog[[#This Row],[Answered (Y/N)]]="Y", CallLog[[#This Row],[Speed of answer in seconds]]&lt;=20),
    "Within",
    "Breach")</f>
        <v>Breach</v>
      </c>
      <c r="M137" s="1">
        <v>4.1550925925925922E-3</v>
      </c>
      <c r="N137">
        <v>3</v>
      </c>
    </row>
    <row r="138" spans="1:14" x14ac:dyDescent="0.3">
      <c r="A138" t="s">
        <v>164</v>
      </c>
      <c r="B138" t="s">
        <v>20</v>
      </c>
      <c r="C138" t="s">
        <v>146</v>
      </c>
      <c r="D138" s="1">
        <v>0.46299768518518519</v>
      </c>
      <c r="E138" s="2">
        <f>CallLog[[#This Row],[Date]]+CallLog[[#This Row],[Time]]</f>
        <v>44199.462997685187</v>
      </c>
      <c r="F138" s="1" t="str">
        <f>TEXT(CallLog[[#This Row],[Date]],"dddd")</f>
        <v>Sunday</v>
      </c>
      <c r="G138" s="3">
        <f>HOUR(CallLog[[#This Row],[Time]])</f>
        <v>11</v>
      </c>
      <c r="H138" t="s">
        <v>13</v>
      </c>
      <c r="I138" t="s">
        <v>14</v>
      </c>
      <c r="J138" t="s">
        <v>18</v>
      </c>
      <c r="K138">
        <v>112</v>
      </c>
      <c r="L138" t="str">
        <f>IF(AND(CallLog[[#This Row],[Answered (Y/N)]]="Y", CallLog[[#This Row],[Speed of answer in seconds]]&lt;=20),
    "Within",
    "Breach")</f>
        <v>Breach</v>
      </c>
      <c r="M138" s="1">
        <v>2.2222222222222222E-3</v>
      </c>
      <c r="N138">
        <v>5</v>
      </c>
    </row>
    <row r="139" spans="1:14" x14ac:dyDescent="0.3">
      <c r="A139" t="s">
        <v>165</v>
      </c>
      <c r="B139" t="s">
        <v>38</v>
      </c>
      <c r="C139" t="s">
        <v>146</v>
      </c>
      <c r="D139" s="1">
        <v>0.46299768518518519</v>
      </c>
      <c r="E139" s="2">
        <f>CallLog[[#This Row],[Date]]+CallLog[[#This Row],[Time]]</f>
        <v>44199.462997685187</v>
      </c>
      <c r="F139" s="1" t="str">
        <f>TEXT(CallLog[[#This Row],[Date]],"dddd")</f>
        <v>Sunday</v>
      </c>
      <c r="G139" s="3">
        <f>HOUR(CallLog[[#This Row],[Time]])</f>
        <v>11</v>
      </c>
      <c r="H139" t="s">
        <v>13</v>
      </c>
      <c r="I139" t="s">
        <v>18</v>
      </c>
      <c r="J139" t="s">
        <v>18</v>
      </c>
      <c r="L139" t="str">
        <f>IF(AND(CallLog[[#This Row],[Answered (Y/N)]]="Y", CallLog[[#This Row],[Speed of answer in seconds]]&lt;=20),
    "Within",
    "Breach")</f>
        <v>Breach</v>
      </c>
    </row>
    <row r="140" spans="1:14" x14ac:dyDescent="0.3">
      <c r="A140" t="s">
        <v>166</v>
      </c>
      <c r="B140" t="s">
        <v>16</v>
      </c>
      <c r="C140" t="s">
        <v>146</v>
      </c>
      <c r="D140" s="1">
        <v>0.47</v>
      </c>
      <c r="E140" s="2">
        <f>CallLog[[#This Row],[Date]]+CallLog[[#This Row],[Time]]</f>
        <v>44199.47</v>
      </c>
      <c r="F140" s="1" t="str">
        <f>TEXT(CallLog[[#This Row],[Date]],"dddd")</f>
        <v>Sunday</v>
      </c>
      <c r="G140" s="3">
        <f>HOUR(CallLog[[#This Row],[Time]])</f>
        <v>11</v>
      </c>
      <c r="H140" t="s">
        <v>17</v>
      </c>
      <c r="I140" t="s">
        <v>14</v>
      </c>
      <c r="J140" t="s">
        <v>14</v>
      </c>
      <c r="K140">
        <v>43</v>
      </c>
      <c r="L140" t="str">
        <f>IF(AND(CallLog[[#This Row],[Answered (Y/N)]]="Y", CallLog[[#This Row],[Speed of answer in seconds]]&lt;=20),
    "Within",
    "Breach")</f>
        <v>Breach</v>
      </c>
      <c r="M140" s="1">
        <v>4.3981481481481484E-3</v>
      </c>
      <c r="N140">
        <v>5</v>
      </c>
    </row>
    <row r="141" spans="1:14" x14ac:dyDescent="0.3">
      <c r="A141" t="s">
        <v>167</v>
      </c>
      <c r="B141" t="s">
        <v>34</v>
      </c>
      <c r="C141" t="s">
        <v>146</v>
      </c>
      <c r="D141" s="1">
        <v>0.47</v>
      </c>
      <c r="E141" s="2">
        <f>CallLog[[#This Row],[Date]]+CallLog[[#This Row],[Time]]</f>
        <v>44199.47</v>
      </c>
      <c r="F141" s="1" t="str">
        <f>TEXT(CallLog[[#This Row],[Date]],"dddd")</f>
        <v>Sunday</v>
      </c>
      <c r="G141" s="3">
        <f>HOUR(CallLog[[#This Row],[Time]])</f>
        <v>11</v>
      </c>
      <c r="H141" t="s">
        <v>24</v>
      </c>
      <c r="I141" t="s">
        <v>14</v>
      </c>
      <c r="J141" t="s">
        <v>14</v>
      </c>
      <c r="K141">
        <v>20</v>
      </c>
      <c r="L141" t="str">
        <f>IF(AND(CallLog[[#This Row],[Answered (Y/N)]]="Y", CallLog[[#This Row],[Speed of answer in seconds]]&lt;=20),
    "Within",
    "Breach")</f>
        <v>Within</v>
      </c>
      <c r="M141" s="1">
        <v>1.2037037037037038E-3</v>
      </c>
      <c r="N141">
        <v>3</v>
      </c>
    </row>
    <row r="142" spans="1:14" x14ac:dyDescent="0.3">
      <c r="A142" t="s">
        <v>168</v>
      </c>
      <c r="B142" t="s">
        <v>22</v>
      </c>
      <c r="C142" t="s">
        <v>146</v>
      </c>
      <c r="D142" s="1">
        <v>0.47700231481481481</v>
      </c>
      <c r="E142" s="2">
        <f>CallLog[[#This Row],[Date]]+CallLog[[#This Row],[Time]]</f>
        <v>44199.477002314816</v>
      </c>
      <c r="F142" s="1" t="str">
        <f>TEXT(CallLog[[#This Row],[Date]],"dddd")</f>
        <v>Sunday</v>
      </c>
      <c r="G142" s="3">
        <f>HOUR(CallLog[[#This Row],[Time]])</f>
        <v>11</v>
      </c>
      <c r="H142" t="s">
        <v>17</v>
      </c>
      <c r="I142" t="s">
        <v>14</v>
      </c>
      <c r="J142" t="s">
        <v>14</v>
      </c>
      <c r="K142">
        <v>84</v>
      </c>
      <c r="L142" t="str">
        <f>IF(AND(CallLog[[#This Row],[Answered (Y/N)]]="Y", CallLog[[#This Row],[Speed of answer in seconds]]&lt;=20),
    "Within",
    "Breach")</f>
        <v>Breach</v>
      </c>
      <c r="M142" s="1">
        <v>1.1921296296296296E-3</v>
      </c>
      <c r="N142">
        <v>5</v>
      </c>
    </row>
    <row r="143" spans="1:14" x14ac:dyDescent="0.3">
      <c r="A143" t="s">
        <v>169</v>
      </c>
      <c r="B143" t="s">
        <v>31</v>
      </c>
      <c r="C143" t="s">
        <v>146</v>
      </c>
      <c r="D143" s="1">
        <v>0.47700231481481481</v>
      </c>
      <c r="E143" s="2">
        <f>CallLog[[#This Row],[Date]]+CallLog[[#This Row],[Time]]</f>
        <v>44199.477002314816</v>
      </c>
      <c r="F143" s="1" t="str">
        <f>TEXT(CallLog[[#This Row],[Date]],"dddd")</f>
        <v>Sunday</v>
      </c>
      <c r="G143" s="3">
        <f>HOUR(CallLog[[#This Row],[Time]])</f>
        <v>11</v>
      </c>
      <c r="H143" t="s">
        <v>13</v>
      </c>
      <c r="I143" t="s">
        <v>14</v>
      </c>
      <c r="J143" t="s">
        <v>14</v>
      </c>
      <c r="K143">
        <v>20</v>
      </c>
      <c r="L143" t="str">
        <f>IF(AND(CallLog[[#This Row],[Answered (Y/N)]]="Y", CallLog[[#This Row],[Speed of answer in seconds]]&lt;=20),
    "Within",
    "Breach")</f>
        <v>Within</v>
      </c>
      <c r="M143" s="1">
        <v>1.8981481481481482E-3</v>
      </c>
      <c r="N143">
        <v>4</v>
      </c>
    </row>
    <row r="144" spans="1:14" x14ac:dyDescent="0.3">
      <c r="A144" t="s">
        <v>170</v>
      </c>
      <c r="B144" t="s">
        <v>22</v>
      </c>
      <c r="C144" t="s">
        <v>146</v>
      </c>
      <c r="D144" s="1">
        <v>0.48499999999999999</v>
      </c>
      <c r="E144" s="2">
        <f>CallLog[[#This Row],[Date]]+CallLog[[#This Row],[Time]]</f>
        <v>44199.485000000001</v>
      </c>
      <c r="F144" s="1" t="str">
        <f>TEXT(CallLog[[#This Row],[Date]],"dddd")</f>
        <v>Sunday</v>
      </c>
      <c r="G144" s="3">
        <f>HOUR(CallLog[[#This Row],[Time]])</f>
        <v>11</v>
      </c>
      <c r="H144" t="s">
        <v>32</v>
      </c>
      <c r="I144" t="s">
        <v>14</v>
      </c>
      <c r="J144" t="s">
        <v>14</v>
      </c>
      <c r="K144">
        <v>101</v>
      </c>
      <c r="L144" t="str">
        <f>IF(AND(CallLog[[#This Row],[Answered (Y/N)]]="Y", CallLog[[#This Row],[Speed of answer in seconds]]&lt;=20),
    "Within",
    "Breach")</f>
        <v>Breach</v>
      </c>
      <c r="M144" s="1">
        <v>1.5740740740740741E-3</v>
      </c>
      <c r="N144">
        <v>3</v>
      </c>
    </row>
    <row r="145" spans="1:14" x14ac:dyDescent="0.3">
      <c r="A145" t="s">
        <v>171</v>
      </c>
      <c r="B145" t="s">
        <v>11</v>
      </c>
      <c r="C145" t="s">
        <v>146</v>
      </c>
      <c r="D145" s="1">
        <v>0.48499999999999999</v>
      </c>
      <c r="E145" s="2">
        <f>CallLog[[#This Row],[Date]]+CallLog[[#This Row],[Time]]</f>
        <v>44199.485000000001</v>
      </c>
      <c r="F145" s="1" t="str">
        <f>TEXT(CallLog[[#This Row],[Date]],"dddd")</f>
        <v>Sunday</v>
      </c>
      <c r="G145" s="3">
        <f>HOUR(CallLog[[#This Row],[Time]])</f>
        <v>11</v>
      </c>
      <c r="H145" t="s">
        <v>17</v>
      </c>
      <c r="I145" t="s">
        <v>14</v>
      </c>
      <c r="J145" t="s">
        <v>14</v>
      </c>
      <c r="K145">
        <v>31</v>
      </c>
      <c r="L145" t="str">
        <f>IF(AND(CallLog[[#This Row],[Answered (Y/N)]]="Y", CallLog[[#This Row],[Speed of answer in seconds]]&lt;=20),
    "Within",
    "Breach")</f>
        <v>Breach</v>
      </c>
      <c r="M145" s="1">
        <v>2.0254629629629629E-3</v>
      </c>
      <c r="N145">
        <v>5</v>
      </c>
    </row>
    <row r="146" spans="1:14" x14ac:dyDescent="0.3">
      <c r="A146" t="s">
        <v>172</v>
      </c>
      <c r="B146" t="s">
        <v>31</v>
      </c>
      <c r="C146" t="s">
        <v>146</v>
      </c>
      <c r="D146" s="1">
        <v>0.495</v>
      </c>
      <c r="E146" s="2">
        <f>CallLog[[#This Row],[Date]]+CallLog[[#This Row],[Time]]</f>
        <v>44199.495000000003</v>
      </c>
      <c r="F146" s="1" t="str">
        <f>TEXT(CallLog[[#This Row],[Date]],"dddd")</f>
        <v>Sunday</v>
      </c>
      <c r="G146" s="3">
        <f>HOUR(CallLog[[#This Row],[Time]])</f>
        <v>11</v>
      </c>
      <c r="H146" t="s">
        <v>13</v>
      </c>
      <c r="I146" t="s">
        <v>14</v>
      </c>
      <c r="J146" t="s">
        <v>14</v>
      </c>
      <c r="K146">
        <v>56</v>
      </c>
      <c r="L146" t="str">
        <f>IF(AND(CallLog[[#This Row],[Answered (Y/N)]]="Y", CallLog[[#This Row],[Speed of answer in seconds]]&lt;=20),
    "Within",
    "Breach")</f>
        <v>Breach</v>
      </c>
      <c r="M146" s="1">
        <v>2.8819444444444444E-3</v>
      </c>
      <c r="N146">
        <v>5</v>
      </c>
    </row>
    <row r="147" spans="1:14" x14ac:dyDescent="0.3">
      <c r="A147" t="s">
        <v>173</v>
      </c>
      <c r="B147" t="s">
        <v>34</v>
      </c>
      <c r="C147" t="s">
        <v>146</v>
      </c>
      <c r="D147" s="1">
        <v>0.495</v>
      </c>
      <c r="E147" s="2">
        <f>CallLog[[#This Row],[Date]]+CallLog[[#This Row],[Time]]</f>
        <v>44199.495000000003</v>
      </c>
      <c r="F147" s="1" t="str">
        <f>TEXT(CallLog[[#This Row],[Date]],"dddd")</f>
        <v>Sunday</v>
      </c>
      <c r="G147" s="3">
        <f>HOUR(CallLog[[#This Row],[Time]])</f>
        <v>11</v>
      </c>
      <c r="H147" t="s">
        <v>13</v>
      </c>
      <c r="I147" t="s">
        <v>18</v>
      </c>
      <c r="J147" t="s">
        <v>18</v>
      </c>
      <c r="L147" t="str">
        <f>IF(AND(CallLog[[#This Row],[Answered (Y/N)]]="Y", CallLog[[#This Row],[Speed of answer in seconds]]&lt;=20),
    "Within",
    "Breach")</f>
        <v>Breach</v>
      </c>
    </row>
    <row r="148" spans="1:14" x14ac:dyDescent="0.3">
      <c r="A148" t="s">
        <v>174</v>
      </c>
      <c r="B148" t="s">
        <v>34</v>
      </c>
      <c r="C148" t="s">
        <v>146</v>
      </c>
      <c r="D148" s="1">
        <v>0.49700231481481483</v>
      </c>
      <c r="E148" s="2">
        <f>CallLog[[#This Row],[Date]]+CallLog[[#This Row],[Time]]</f>
        <v>44199.497002314813</v>
      </c>
      <c r="F148" s="1" t="str">
        <f>TEXT(CallLog[[#This Row],[Date]],"dddd")</f>
        <v>Sunday</v>
      </c>
      <c r="G148" s="3">
        <f>HOUR(CallLog[[#This Row],[Time]])</f>
        <v>11</v>
      </c>
      <c r="H148" t="s">
        <v>24</v>
      </c>
      <c r="I148" t="s">
        <v>14</v>
      </c>
      <c r="J148" t="s">
        <v>14</v>
      </c>
      <c r="K148">
        <v>77</v>
      </c>
      <c r="L148" t="str">
        <f>IF(AND(CallLog[[#This Row],[Answered (Y/N)]]="Y", CallLog[[#This Row],[Speed of answer in seconds]]&lt;=20),
    "Within",
    "Breach")</f>
        <v>Breach</v>
      </c>
      <c r="M148" s="1">
        <v>1.0069444444444444E-3</v>
      </c>
      <c r="N148">
        <v>5</v>
      </c>
    </row>
    <row r="149" spans="1:14" x14ac:dyDescent="0.3">
      <c r="A149" t="s">
        <v>175</v>
      </c>
      <c r="B149" t="s">
        <v>31</v>
      </c>
      <c r="C149" t="s">
        <v>146</v>
      </c>
      <c r="D149" s="1">
        <v>0.49700231481481483</v>
      </c>
      <c r="E149" s="2">
        <f>CallLog[[#This Row],[Date]]+CallLog[[#This Row],[Time]]</f>
        <v>44199.497002314813</v>
      </c>
      <c r="F149" s="1" t="str">
        <f>TEXT(CallLog[[#This Row],[Date]],"dddd")</f>
        <v>Sunday</v>
      </c>
      <c r="G149" s="3">
        <f>HOUR(CallLog[[#This Row],[Time]])</f>
        <v>11</v>
      </c>
      <c r="H149" t="s">
        <v>24</v>
      </c>
      <c r="I149" t="s">
        <v>14</v>
      </c>
      <c r="J149" t="s">
        <v>14</v>
      </c>
      <c r="K149">
        <v>46</v>
      </c>
      <c r="L149" t="str">
        <f>IF(AND(CallLog[[#This Row],[Answered (Y/N)]]="Y", CallLog[[#This Row],[Speed of answer in seconds]]&lt;=20),
    "Within",
    "Breach")</f>
        <v>Breach</v>
      </c>
      <c r="M149" s="1">
        <v>5.7870370370370367E-4</v>
      </c>
      <c r="N149">
        <v>4</v>
      </c>
    </row>
    <row r="150" spans="1:14" x14ac:dyDescent="0.3">
      <c r="A150" t="s">
        <v>176</v>
      </c>
      <c r="B150" t="s">
        <v>20</v>
      </c>
      <c r="C150" t="s">
        <v>146</v>
      </c>
      <c r="D150" s="1">
        <v>0.4990046296296296</v>
      </c>
      <c r="E150" s="2">
        <f>CallLog[[#This Row],[Date]]+CallLog[[#This Row],[Time]]</f>
        <v>44199.49900462963</v>
      </c>
      <c r="F150" s="1" t="str">
        <f>TEXT(CallLog[[#This Row],[Date]],"dddd")</f>
        <v>Sunday</v>
      </c>
      <c r="G150" s="3">
        <f>HOUR(CallLog[[#This Row],[Time]])</f>
        <v>11</v>
      </c>
      <c r="H150" t="s">
        <v>29</v>
      </c>
      <c r="I150" t="s">
        <v>14</v>
      </c>
      <c r="J150" t="s">
        <v>14</v>
      </c>
      <c r="K150">
        <v>88</v>
      </c>
      <c r="L150" t="str">
        <f>IF(AND(CallLog[[#This Row],[Answered (Y/N)]]="Y", CallLog[[#This Row],[Speed of answer in seconds]]&lt;=20),
    "Within",
    "Breach")</f>
        <v>Breach</v>
      </c>
      <c r="M150" s="1">
        <v>3.0787037037037037E-3</v>
      </c>
      <c r="N150">
        <v>3</v>
      </c>
    </row>
    <row r="151" spans="1:14" x14ac:dyDescent="0.3">
      <c r="A151" t="s">
        <v>177</v>
      </c>
      <c r="B151" t="s">
        <v>11</v>
      </c>
      <c r="C151" t="s">
        <v>146</v>
      </c>
      <c r="D151" s="1">
        <v>0.4990046296296296</v>
      </c>
      <c r="E151" s="2">
        <f>CallLog[[#This Row],[Date]]+CallLog[[#This Row],[Time]]</f>
        <v>44199.49900462963</v>
      </c>
      <c r="F151" s="1" t="str">
        <f>TEXT(CallLog[[#This Row],[Date]],"dddd")</f>
        <v>Sunday</v>
      </c>
      <c r="G151" s="3">
        <f>HOUR(CallLog[[#This Row],[Time]])</f>
        <v>11</v>
      </c>
      <c r="H151" t="s">
        <v>24</v>
      </c>
      <c r="I151" t="s">
        <v>14</v>
      </c>
      <c r="J151" t="s">
        <v>14</v>
      </c>
      <c r="K151">
        <v>88</v>
      </c>
      <c r="L151" t="str">
        <f>IF(AND(CallLog[[#This Row],[Answered (Y/N)]]="Y", CallLog[[#This Row],[Speed of answer in seconds]]&lt;=20),
    "Within",
    "Breach")</f>
        <v>Breach</v>
      </c>
      <c r="M151" s="1">
        <v>6.7129629629629625E-4</v>
      </c>
      <c r="N151">
        <v>1</v>
      </c>
    </row>
    <row r="152" spans="1:14" x14ac:dyDescent="0.3">
      <c r="A152" t="s">
        <v>178</v>
      </c>
      <c r="B152" t="s">
        <v>34</v>
      </c>
      <c r="C152" t="s">
        <v>146</v>
      </c>
      <c r="D152" s="1">
        <v>0.52299768518518519</v>
      </c>
      <c r="E152" s="2">
        <f>CallLog[[#This Row],[Date]]+CallLog[[#This Row],[Time]]</f>
        <v>44199.522997685184</v>
      </c>
      <c r="F152" s="1" t="str">
        <f>TEXT(CallLog[[#This Row],[Date]],"dddd")</f>
        <v>Sunday</v>
      </c>
      <c r="G152" s="3">
        <f>HOUR(CallLog[[#This Row],[Time]])</f>
        <v>12</v>
      </c>
      <c r="H152" t="s">
        <v>17</v>
      </c>
      <c r="I152" t="s">
        <v>14</v>
      </c>
      <c r="J152" t="s">
        <v>14</v>
      </c>
      <c r="K152">
        <v>124</v>
      </c>
      <c r="L152" t="str">
        <f>IF(AND(CallLog[[#This Row],[Answered (Y/N)]]="Y", CallLog[[#This Row],[Speed of answer in seconds]]&lt;=20),
    "Within",
    "Breach")</f>
        <v>Breach</v>
      </c>
      <c r="M152" s="1">
        <v>4.2013888888888891E-3</v>
      </c>
      <c r="N152">
        <v>1</v>
      </c>
    </row>
    <row r="153" spans="1:14" x14ac:dyDescent="0.3">
      <c r="A153" t="s">
        <v>179</v>
      </c>
      <c r="B153" t="s">
        <v>20</v>
      </c>
      <c r="C153" t="s">
        <v>146</v>
      </c>
      <c r="D153" s="1">
        <v>0.52299768518518519</v>
      </c>
      <c r="E153" s="2">
        <f>CallLog[[#This Row],[Date]]+CallLog[[#This Row],[Time]]</f>
        <v>44199.522997685184</v>
      </c>
      <c r="F153" s="1" t="str">
        <f>TEXT(CallLog[[#This Row],[Date]],"dddd")</f>
        <v>Sunday</v>
      </c>
      <c r="G153" s="3">
        <f>HOUR(CallLog[[#This Row],[Time]])</f>
        <v>12</v>
      </c>
      <c r="H153" t="s">
        <v>13</v>
      </c>
      <c r="I153" t="s">
        <v>18</v>
      </c>
      <c r="J153" t="s">
        <v>18</v>
      </c>
      <c r="L153" t="str">
        <f>IF(AND(CallLog[[#This Row],[Answered (Y/N)]]="Y", CallLog[[#This Row],[Speed of answer in seconds]]&lt;=20),
    "Within",
    "Breach")</f>
        <v>Breach</v>
      </c>
    </row>
    <row r="154" spans="1:14" x14ac:dyDescent="0.3">
      <c r="A154" t="s">
        <v>180</v>
      </c>
      <c r="B154" t="s">
        <v>38</v>
      </c>
      <c r="C154" t="s">
        <v>146</v>
      </c>
      <c r="D154" s="1">
        <v>0.5379976851851852</v>
      </c>
      <c r="E154" s="2">
        <f>CallLog[[#This Row],[Date]]+CallLog[[#This Row],[Time]]</f>
        <v>44199.537997685184</v>
      </c>
      <c r="F154" s="1" t="str">
        <f>TEXT(CallLog[[#This Row],[Date]],"dddd")</f>
        <v>Sunday</v>
      </c>
      <c r="G154" s="3">
        <f>HOUR(CallLog[[#This Row],[Time]])</f>
        <v>12</v>
      </c>
      <c r="H154" t="s">
        <v>24</v>
      </c>
      <c r="I154" t="s">
        <v>14</v>
      </c>
      <c r="J154" t="s">
        <v>18</v>
      </c>
      <c r="K154">
        <v>52</v>
      </c>
      <c r="L154" t="str">
        <f>IF(AND(CallLog[[#This Row],[Answered (Y/N)]]="Y", CallLog[[#This Row],[Speed of answer in seconds]]&lt;=20),
    "Within",
    "Breach")</f>
        <v>Breach</v>
      </c>
      <c r="M154" s="1">
        <v>4.8495370370370368E-3</v>
      </c>
      <c r="N154">
        <v>4</v>
      </c>
    </row>
    <row r="155" spans="1:14" x14ac:dyDescent="0.3">
      <c r="A155" t="s">
        <v>181</v>
      </c>
      <c r="B155" t="s">
        <v>34</v>
      </c>
      <c r="C155" t="s">
        <v>146</v>
      </c>
      <c r="D155" s="1">
        <v>0.5379976851851852</v>
      </c>
      <c r="E155" s="2">
        <f>CallLog[[#This Row],[Date]]+CallLog[[#This Row],[Time]]</f>
        <v>44199.537997685184</v>
      </c>
      <c r="F155" s="1" t="str">
        <f>TEXT(CallLog[[#This Row],[Date]],"dddd")</f>
        <v>Sunday</v>
      </c>
      <c r="G155" s="3">
        <f>HOUR(CallLog[[#This Row],[Time]])</f>
        <v>12</v>
      </c>
      <c r="H155" t="s">
        <v>29</v>
      </c>
      <c r="I155" t="s">
        <v>14</v>
      </c>
      <c r="J155" t="s">
        <v>14</v>
      </c>
      <c r="K155">
        <v>67</v>
      </c>
      <c r="L155" t="str">
        <f>IF(AND(CallLog[[#This Row],[Answered (Y/N)]]="Y", CallLog[[#This Row],[Speed of answer in seconds]]&lt;=20),
    "Within",
    "Breach")</f>
        <v>Breach</v>
      </c>
      <c r="M155" s="1">
        <v>4.2824074074074075E-3</v>
      </c>
      <c r="N155">
        <v>5</v>
      </c>
    </row>
    <row r="156" spans="1:14" x14ac:dyDescent="0.3">
      <c r="A156" t="s">
        <v>182</v>
      </c>
      <c r="B156" t="s">
        <v>38</v>
      </c>
      <c r="C156" t="s">
        <v>146</v>
      </c>
      <c r="D156" s="1">
        <v>0.55000000000000004</v>
      </c>
      <c r="E156" s="2">
        <f>CallLog[[#This Row],[Date]]+CallLog[[#This Row],[Time]]</f>
        <v>44199.55</v>
      </c>
      <c r="F156" s="1" t="str">
        <f>TEXT(CallLog[[#This Row],[Date]],"dddd")</f>
        <v>Sunday</v>
      </c>
      <c r="G156" s="3">
        <f>HOUR(CallLog[[#This Row],[Time]])</f>
        <v>13</v>
      </c>
      <c r="H156" t="s">
        <v>24</v>
      </c>
      <c r="I156" t="s">
        <v>14</v>
      </c>
      <c r="J156" t="s">
        <v>14</v>
      </c>
      <c r="K156">
        <v>119</v>
      </c>
      <c r="L156" t="str">
        <f>IF(AND(CallLog[[#This Row],[Answered (Y/N)]]="Y", CallLog[[#This Row],[Speed of answer in seconds]]&lt;=20),
    "Within",
    "Breach")</f>
        <v>Breach</v>
      </c>
      <c r="M156" s="1">
        <v>2.9629629629629628E-3</v>
      </c>
      <c r="N156">
        <v>3</v>
      </c>
    </row>
    <row r="157" spans="1:14" x14ac:dyDescent="0.3">
      <c r="A157" t="s">
        <v>183</v>
      </c>
      <c r="B157" t="s">
        <v>47</v>
      </c>
      <c r="C157" t="s">
        <v>146</v>
      </c>
      <c r="D157" s="1">
        <v>0.55000000000000004</v>
      </c>
      <c r="E157" s="2">
        <f>CallLog[[#This Row],[Date]]+CallLog[[#This Row],[Time]]</f>
        <v>44199.55</v>
      </c>
      <c r="F157" s="1" t="str">
        <f>TEXT(CallLog[[#This Row],[Date]],"dddd")</f>
        <v>Sunday</v>
      </c>
      <c r="G157" s="3">
        <f>HOUR(CallLog[[#This Row],[Time]])</f>
        <v>13</v>
      </c>
      <c r="H157" t="s">
        <v>29</v>
      </c>
      <c r="I157" t="s">
        <v>14</v>
      </c>
      <c r="J157" t="s">
        <v>14</v>
      </c>
      <c r="K157">
        <v>98</v>
      </c>
      <c r="L157" t="str">
        <f>IF(AND(CallLog[[#This Row],[Answered (Y/N)]]="Y", CallLog[[#This Row],[Speed of answer in seconds]]&lt;=20),
    "Within",
    "Breach")</f>
        <v>Breach</v>
      </c>
      <c r="M157" s="1">
        <v>3.2060185185185186E-3</v>
      </c>
      <c r="N157">
        <v>2</v>
      </c>
    </row>
    <row r="158" spans="1:14" x14ac:dyDescent="0.3">
      <c r="A158" t="s">
        <v>184</v>
      </c>
      <c r="B158" t="s">
        <v>31</v>
      </c>
      <c r="C158" t="s">
        <v>146</v>
      </c>
      <c r="D158" s="1">
        <v>0.55200231481481477</v>
      </c>
      <c r="E158" s="2">
        <f>CallLog[[#This Row],[Date]]+CallLog[[#This Row],[Time]]</f>
        <v>44199.552002314813</v>
      </c>
      <c r="F158" s="1" t="str">
        <f>TEXT(CallLog[[#This Row],[Date]],"dddd")</f>
        <v>Sunday</v>
      </c>
      <c r="G158" s="3">
        <f>HOUR(CallLog[[#This Row],[Time]])</f>
        <v>13</v>
      </c>
      <c r="H158" t="s">
        <v>17</v>
      </c>
      <c r="I158" t="s">
        <v>18</v>
      </c>
      <c r="J158" t="s">
        <v>18</v>
      </c>
      <c r="L158" t="str">
        <f>IF(AND(CallLog[[#This Row],[Answered (Y/N)]]="Y", CallLog[[#This Row],[Speed of answer in seconds]]&lt;=20),
    "Within",
    "Breach")</f>
        <v>Breach</v>
      </c>
    </row>
    <row r="159" spans="1:14" x14ac:dyDescent="0.3">
      <c r="A159" t="s">
        <v>185</v>
      </c>
      <c r="B159" t="s">
        <v>34</v>
      </c>
      <c r="C159" t="s">
        <v>146</v>
      </c>
      <c r="D159" s="1">
        <v>0.55200231481481477</v>
      </c>
      <c r="E159" s="2">
        <f>CallLog[[#This Row],[Date]]+CallLog[[#This Row],[Time]]</f>
        <v>44199.552002314813</v>
      </c>
      <c r="F159" s="1" t="str">
        <f>TEXT(CallLog[[#This Row],[Date]],"dddd")</f>
        <v>Sunday</v>
      </c>
      <c r="G159" s="3">
        <f>HOUR(CallLog[[#This Row],[Time]])</f>
        <v>13</v>
      </c>
      <c r="H159" t="s">
        <v>17</v>
      </c>
      <c r="I159" t="s">
        <v>14</v>
      </c>
      <c r="J159" t="s">
        <v>14</v>
      </c>
      <c r="K159">
        <v>118</v>
      </c>
      <c r="L159" t="str">
        <f>IF(AND(CallLog[[#This Row],[Answered (Y/N)]]="Y", CallLog[[#This Row],[Speed of answer in seconds]]&lt;=20),
    "Within",
    "Breach")</f>
        <v>Breach</v>
      </c>
      <c r="M159" s="1">
        <v>2.9861111111111113E-3</v>
      </c>
      <c r="N159">
        <v>3</v>
      </c>
    </row>
    <row r="160" spans="1:14" x14ac:dyDescent="0.3">
      <c r="A160" t="s">
        <v>186</v>
      </c>
      <c r="B160" t="s">
        <v>16</v>
      </c>
      <c r="C160" t="s">
        <v>146</v>
      </c>
      <c r="D160" s="1">
        <v>0.56099537037037039</v>
      </c>
      <c r="E160" s="2">
        <f>CallLog[[#This Row],[Date]]+CallLog[[#This Row],[Time]]</f>
        <v>44199.560995370368</v>
      </c>
      <c r="F160" s="1" t="str">
        <f>TEXT(CallLog[[#This Row],[Date]],"dddd")</f>
        <v>Sunday</v>
      </c>
      <c r="G160" s="3">
        <f>HOUR(CallLog[[#This Row],[Time]])</f>
        <v>13</v>
      </c>
      <c r="H160" t="s">
        <v>29</v>
      </c>
      <c r="I160" t="s">
        <v>14</v>
      </c>
      <c r="J160" t="s">
        <v>14</v>
      </c>
      <c r="K160">
        <v>123</v>
      </c>
      <c r="L160" t="str">
        <f>IF(AND(CallLog[[#This Row],[Answered (Y/N)]]="Y", CallLog[[#This Row],[Speed of answer in seconds]]&lt;=20),
    "Within",
    "Breach")</f>
        <v>Breach</v>
      </c>
      <c r="M160" s="1">
        <v>8.6805555555555551E-4</v>
      </c>
      <c r="N160">
        <v>3</v>
      </c>
    </row>
    <row r="161" spans="1:14" x14ac:dyDescent="0.3">
      <c r="A161" t="s">
        <v>187</v>
      </c>
      <c r="B161" t="s">
        <v>16</v>
      </c>
      <c r="C161" t="s">
        <v>146</v>
      </c>
      <c r="D161" s="1">
        <v>0.56099537037037039</v>
      </c>
      <c r="E161" s="2">
        <f>CallLog[[#This Row],[Date]]+CallLog[[#This Row],[Time]]</f>
        <v>44199.560995370368</v>
      </c>
      <c r="F161" s="1" t="str">
        <f>TEXT(CallLog[[#This Row],[Date]],"dddd")</f>
        <v>Sunday</v>
      </c>
      <c r="G161" s="3">
        <f>HOUR(CallLog[[#This Row],[Time]])</f>
        <v>13</v>
      </c>
      <c r="H161" t="s">
        <v>32</v>
      </c>
      <c r="I161" t="s">
        <v>14</v>
      </c>
      <c r="J161" t="s">
        <v>18</v>
      </c>
      <c r="K161">
        <v>86</v>
      </c>
      <c r="L161" t="str">
        <f>IF(AND(CallLog[[#This Row],[Answered (Y/N)]]="Y", CallLog[[#This Row],[Speed of answer in seconds]]&lt;=20),
    "Within",
    "Breach")</f>
        <v>Breach</v>
      </c>
      <c r="M161" s="1">
        <v>3.9004629629629628E-3</v>
      </c>
      <c r="N161">
        <v>1</v>
      </c>
    </row>
    <row r="162" spans="1:14" x14ac:dyDescent="0.3">
      <c r="A162" t="s">
        <v>188</v>
      </c>
      <c r="B162" t="s">
        <v>22</v>
      </c>
      <c r="C162" t="s">
        <v>146</v>
      </c>
      <c r="D162" s="1">
        <v>0.5659953703703704</v>
      </c>
      <c r="E162" s="2">
        <f>CallLog[[#This Row],[Date]]+CallLog[[#This Row],[Time]]</f>
        <v>44199.565995370373</v>
      </c>
      <c r="F162" s="1" t="str">
        <f>TEXT(CallLog[[#This Row],[Date]],"dddd")</f>
        <v>Sunday</v>
      </c>
      <c r="G162" s="3">
        <f>HOUR(CallLog[[#This Row],[Time]])</f>
        <v>13</v>
      </c>
      <c r="H162" t="s">
        <v>29</v>
      </c>
      <c r="I162" t="s">
        <v>14</v>
      </c>
      <c r="J162" t="s">
        <v>14</v>
      </c>
      <c r="K162">
        <v>104</v>
      </c>
      <c r="L162" t="str">
        <f>IF(AND(CallLog[[#This Row],[Answered (Y/N)]]="Y", CallLog[[#This Row],[Speed of answer in seconds]]&lt;=20),
    "Within",
    "Breach")</f>
        <v>Breach</v>
      </c>
      <c r="M162" s="1">
        <v>1.4930555555555556E-3</v>
      </c>
      <c r="N162">
        <v>3</v>
      </c>
    </row>
    <row r="163" spans="1:14" x14ac:dyDescent="0.3">
      <c r="A163" t="s">
        <v>189</v>
      </c>
      <c r="B163" t="s">
        <v>22</v>
      </c>
      <c r="C163" t="s">
        <v>146</v>
      </c>
      <c r="D163" s="1">
        <v>0.5659953703703704</v>
      </c>
      <c r="E163" s="2">
        <f>CallLog[[#This Row],[Date]]+CallLog[[#This Row],[Time]]</f>
        <v>44199.565995370373</v>
      </c>
      <c r="F163" s="1" t="str">
        <f>TEXT(CallLog[[#This Row],[Date]],"dddd")</f>
        <v>Sunday</v>
      </c>
      <c r="G163" s="3">
        <f>HOUR(CallLog[[#This Row],[Time]])</f>
        <v>13</v>
      </c>
      <c r="H163" t="s">
        <v>24</v>
      </c>
      <c r="I163" t="s">
        <v>14</v>
      </c>
      <c r="J163" t="s">
        <v>14</v>
      </c>
      <c r="K163">
        <v>69</v>
      </c>
      <c r="L163" t="str">
        <f>IF(AND(CallLog[[#This Row],[Answered (Y/N)]]="Y", CallLog[[#This Row],[Speed of answer in seconds]]&lt;=20),
    "Within",
    "Breach")</f>
        <v>Breach</v>
      </c>
      <c r="M163" s="1">
        <v>1.0763888888888889E-3</v>
      </c>
      <c r="N163">
        <v>2</v>
      </c>
    </row>
    <row r="164" spans="1:14" x14ac:dyDescent="0.3">
      <c r="A164" t="s">
        <v>190</v>
      </c>
      <c r="B164" t="s">
        <v>47</v>
      </c>
      <c r="C164" t="s">
        <v>146</v>
      </c>
      <c r="D164" s="1">
        <v>0.58200231481481479</v>
      </c>
      <c r="E164" s="2">
        <f>CallLog[[#This Row],[Date]]+CallLog[[#This Row],[Time]]</f>
        <v>44199.582002314812</v>
      </c>
      <c r="F164" s="1" t="str">
        <f>TEXT(CallLog[[#This Row],[Date]],"dddd")</f>
        <v>Sunday</v>
      </c>
      <c r="G164" s="3">
        <f>HOUR(CallLog[[#This Row],[Time]])</f>
        <v>13</v>
      </c>
      <c r="H164" t="s">
        <v>13</v>
      </c>
      <c r="I164" t="s">
        <v>14</v>
      </c>
      <c r="J164" t="s">
        <v>14</v>
      </c>
      <c r="K164">
        <v>113</v>
      </c>
      <c r="L164" t="str">
        <f>IF(AND(CallLog[[#This Row],[Answered (Y/N)]]="Y", CallLog[[#This Row],[Speed of answer in seconds]]&lt;=20),
    "Within",
    "Breach")</f>
        <v>Breach</v>
      </c>
      <c r="M164" s="1">
        <v>1.8287037037037037E-3</v>
      </c>
      <c r="N164">
        <v>1</v>
      </c>
    </row>
    <row r="165" spans="1:14" x14ac:dyDescent="0.3">
      <c r="A165" t="s">
        <v>191</v>
      </c>
      <c r="B165" t="s">
        <v>34</v>
      </c>
      <c r="C165" t="s">
        <v>146</v>
      </c>
      <c r="D165" s="1">
        <v>0.58200231481481479</v>
      </c>
      <c r="E165" s="2">
        <f>CallLog[[#This Row],[Date]]+CallLog[[#This Row],[Time]]</f>
        <v>44199.582002314812</v>
      </c>
      <c r="F165" s="1" t="str">
        <f>TEXT(CallLog[[#This Row],[Date]],"dddd")</f>
        <v>Sunday</v>
      </c>
      <c r="G165" s="3">
        <f>HOUR(CallLog[[#This Row],[Time]])</f>
        <v>13</v>
      </c>
      <c r="H165" t="s">
        <v>32</v>
      </c>
      <c r="I165" t="s">
        <v>14</v>
      </c>
      <c r="J165" t="s">
        <v>14</v>
      </c>
      <c r="K165">
        <v>88</v>
      </c>
      <c r="L165" t="str">
        <f>IF(AND(CallLog[[#This Row],[Answered (Y/N)]]="Y", CallLog[[#This Row],[Speed of answer in seconds]]&lt;=20),
    "Within",
    "Breach")</f>
        <v>Breach</v>
      </c>
      <c r="M165" s="1">
        <v>2.3495370370370371E-3</v>
      </c>
      <c r="N165">
        <v>5</v>
      </c>
    </row>
    <row r="166" spans="1:14" x14ac:dyDescent="0.3">
      <c r="A166" t="s">
        <v>192</v>
      </c>
      <c r="B166" t="s">
        <v>34</v>
      </c>
      <c r="C166" t="s">
        <v>146</v>
      </c>
      <c r="D166" s="1">
        <v>0.58200231481481479</v>
      </c>
      <c r="E166" s="2">
        <f>CallLog[[#This Row],[Date]]+CallLog[[#This Row],[Time]]</f>
        <v>44199.582002314812</v>
      </c>
      <c r="F166" s="1" t="str">
        <f>TEXT(CallLog[[#This Row],[Date]],"dddd")</f>
        <v>Sunday</v>
      </c>
      <c r="G166" s="3">
        <f>HOUR(CallLog[[#This Row],[Time]])</f>
        <v>13</v>
      </c>
      <c r="H166" t="s">
        <v>32</v>
      </c>
      <c r="I166" t="s">
        <v>18</v>
      </c>
      <c r="J166" t="s">
        <v>18</v>
      </c>
      <c r="L166" t="str">
        <f>IF(AND(CallLog[[#This Row],[Answered (Y/N)]]="Y", CallLog[[#This Row],[Speed of answer in seconds]]&lt;=20),
    "Within",
    "Breach")</f>
        <v>Breach</v>
      </c>
    </row>
    <row r="167" spans="1:14" x14ac:dyDescent="0.3">
      <c r="A167" t="s">
        <v>193</v>
      </c>
      <c r="B167" t="s">
        <v>20</v>
      </c>
      <c r="C167" t="s">
        <v>146</v>
      </c>
      <c r="D167" s="1">
        <v>0.58200231481481479</v>
      </c>
      <c r="E167" s="2">
        <f>CallLog[[#This Row],[Date]]+CallLog[[#This Row],[Time]]</f>
        <v>44199.582002314812</v>
      </c>
      <c r="F167" s="1" t="str">
        <f>TEXT(CallLog[[#This Row],[Date]],"dddd")</f>
        <v>Sunday</v>
      </c>
      <c r="G167" s="3">
        <f>HOUR(CallLog[[#This Row],[Time]])</f>
        <v>13</v>
      </c>
      <c r="H167" t="s">
        <v>24</v>
      </c>
      <c r="I167" t="s">
        <v>18</v>
      </c>
      <c r="J167" t="s">
        <v>18</v>
      </c>
      <c r="L167" t="str">
        <f>IF(AND(CallLog[[#This Row],[Answered (Y/N)]]="Y", CallLog[[#This Row],[Speed of answer in seconds]]&lt;=20),
    "Within",
    "Breach")</f>
        <v>Breach</v>
      </c>
    </row>
    <row r="168" spans="1:14" x14ac:dyDescent="0.3">
      <c r="A168" t="s">
        <v>194</v>
      </c>
      <c r="B168" t="s">
        <v>34</v>
      </c>
      <c r="C168" t="s">
        <v>146</v>
      </c>
      <c r="D168" s="1">
        <v>0.58599537037037042</v>
      </c>
      <c r="E168" s="2">
        <f>CallLog[[#This Row],[Date]]+CallLog[[#This Row],[Time]]</f>
        <v>44199.585995370369</v>
      </c>
      <c r="F168" s="1" t="str">
        <f>TEXT(CallLog[[#This Row],[Date]],"dddd")</f>
        <v>Sunday</v>
      </c>
      <c r="G168" s="3">
        <f>HOUR(CallLog[[#This Row],[Time]])</f>
        <v>14</v>
      </c>
      <c r="H168" t="s">
        <v>24</v>
      </c>
      <c r="I168" t="s">
        <v>14</v>
      </c>
      <c r="J168" t="s">
        <v>14</v>
      </c>
      <c r="K168">
        <v>84</v>
      </c>
      <c r="L168" t="str">
        <f>IF(AND(CallLog[[#This Row],[Answered (Y/N)]]="Y", CallLog[[#This Row],[Speed of answer in seconds]]&lt;=20),
    "Within",
    "Breach")</f>
        <v>Breach</v>
      </c>
      <c r="M168" s="1">
        <v>6.7129629629629625E-4</v>
      </c>
      <c r="N168">
        <v>2</v>
      </c>
    </row>
    <row r="169" spans="1:14" x14ac:dyDescent="0.3">
      <c r="A169" t="s">
        <v>195</v>
      </c>
      <c r="B169" t="s">
        <v>11</v>
      </c>
      <c r="C169" t="s">
        <v>146</v>
      </c>
      <c r="D169" s="1">
        <v>0.58599537037037042</v>
      </c>
      <c r="E169" s="2">
        <f>CallLog[[#This Row],[Date]]+CallLog[[#This Row],[Time]]</f>
        <v>44199.585995370369</v>
      </c>
      <c r="F169" s="1" t="str">
        <f>TEXT(CallLog[[#This Row],[Date]],"dddd")</f>
        <v>Sunday</v>
      </c>
      <c r="G169" s="3">
        <f>HOUR(CallLog[[#This Row],[Time]])</f>
        <v>14</v>
      </c>
      <c r="H169" t="s">
        <v>32</v>
      </c>
      <c r="I169" t="s">
        <v>14</v>
      </c>
      <c r="J169" t="s">
        <v>14</v>
      </c>
      <c r="K169">
        <v>113</v>
      </c>
      <c r="L169" t="str">
        <f>IF(AND(CallLog[[#This Row],[Answered (Y/N)]]="Y", CallLog[[#This Row],[Speed of answer in seconds]]&lt;=20),
    "Within",
    "Breach")</f>
        <v>Breach</v>
      </c>
      <c r="M169" s="1">
        <v>9.4907407407407408E-4</v>
      </c>
      <c r="N169">
        <v>3</v>
      </c>
    </row>
    <row r="170" spans="1:14" x14ac:dyDescent="0.3">
      <c r="A170" t="s">
        <v>196</v>
      </c>
      <c r="B170" t="s">
        <v>34</v>
      </c>
      <c r="C170" t="s">
        <v>146</v>
      </c>
      <c r="D170" s="1">
        <v>0.61599537037037033</v>
      </c>
      <c r="E170" s="2">
        <f>CallLog[[#This Row],[Date]]+CallLog[[#This Row],[Time]]</f>
        <v>44199.615995370368</v>
      </c>
      <c r="F170" s="1" t="str">
        <f>TEXT(CallLog[[#This Row],[Date]],"dddd")</f>
        <v>Sunday</v>
      </c>
      <c r="G170" s="3">
        <f>HOUR(CallLog[[#This Row],[Time]])</f>
        <v>14</v>
      </c>
      <c r="H170" t="s">
        <v>32</v>
      </c>
      <c r="I170" t="s">
        <v>14</v>
      </c>
      <c r="J170" t="s">
        <v>14</v>
      </c>
      <c r="K170">
        <v>38</v>
      </c>
      <c r="L170" t="str">
        <f>IF(AND(CallLog[[#This Row],[Answered (Y/N)]]="Y", CallLog[[#This Row],[Speed of answer in seconds]]&lt;=20),
    "Within",
    "Breach")</f>
        <v>Breach</v>
      </c>
      <c r="M170" s="1">
        <v>3.8310185185185183E-3</v>
      </c>
      <c r="N170">
        <v>4</v>
      </c>
    </row>
    <row r="171" spans="1:14" x14ac:dyDescent="0.3">
      <c r="A171" t="s">
        <v>197</v>
      </c>
      <c r="B171" t="s">
        <v>47</v>
      </c>
      <c r="C171" t="s">
        <v>146</v>
      </c>
      <c r="D171" s="1">
        <v>0.61599537037037033</v>
      </c>
      <c r="E171" s="2">
        <f>CallLog[[#This Row],[Date]]+CallLog[[#This Row],[Time]]</f>
        <v>44199.615995370368</v>
      </c>
      <c r="F171" s="1" t="str">
        <f>TEXT(CallLog[[#This Row],[Date]],"dddd")</f>
        <v>Sunday</v>
      </c>
      <c r="G171" s="3">
        <f>HOUR(CallLog[[#This Row],[Time]])</f>
        <v>14</v>
      </c>
      <c r="H171" t="s">
        <v>32</v>
      </c>
      <c r="I171" t="s">
        <v>14</v>
      </c>
      <c r="J171" t="s">
        <v>14</v>
      </c>
      <c r="K171">
        <v>14</v>
      </c>
      <c r="L171" t="str">
        <f>IF(AND(CallLog[[#This Row],[Answered (Y/N)]]="Y", CallLog[[#This Row],[Speed of answer in seconds]]&lt;=20),
    "Within",
    "Breach")</f>
        <v>Within</v>
      </c>
      <c r="M171" s="1">
        <v>4.3287037037037035E-3</v>
      </c>
      <c r="N171">
        <v>4</v>
      </c>
    </row>
    <row r="172" spans="1:14" x14ac:dyDescent="0.3">
      <c r="A172" t="s">
        <v>198</v>
      </c>
      <c r="B172" t="s">
        <v>38</v>
      </c>
      <c r="C172" t="s">
        <v>146</v>
      </c>
      <c r="D172" s="1">
        <v>0.64900462962962968</v>
      </c>
      <c r="E172" s="2">
        <f>CallLog[[#This Row],[Date]]+CallLog[[#This Row],[Time]]</f>
        <v>44199.649004629631</v>
      </c>
      <c r="F172" s="1" t="str">
        <f>TEXT(CallLog[[#This Row],[Date]],"dddd")</f>
        <v>Sunday</v>
      </c>
      <c r="G172" s="3">
        <f>HOUR(CallLog[[#This Row],[Time]])</f>
        <v>15</v>
      </c>
      <c r="H172" t="s">
        <v>32</v>
      </c>
      <c r="I172" t="s">
        <v>14</v>
      </c>
      <c r="J172" t="s">
        <v>18</v>
      </c>
      <c r="K172">
        <v>25</v>
      </c>
      <c r="L172" t="str">
        <f>IF(AND(CallLog[[#This Row],[Answered (Y/N)]]="Y", CallLog[[#This Row],[Speed of answer in seconds]]&lt;=20),
    "Within",
    "Breach")</f>
        <v>Breach</v>
      </c>
      <c r="M172" s="1">
        <v>3.8425925925925928E-3</v>
      </c>
      <c r="N172">
        <v>4</v>
      </c>
    </row>
    <row r="173" spans="1:14" x14ac:dyDescent="0.3">
      <c r="A173" t="s">
        <v>199</v>
      </c>
      <c r="B173" t="s">
        <v>47</v>
      </c>
      <c r="C173" t="s">
        <v>146</v>
      </c>
      <c r="D173" s="1">
        <v>0.64900462962962968</v>
      </c>
      <c r="E173" s="2">
        <f>CallLog[[#This Row],[Date]]+CallLog[[#This Row],[Time]]</f>
        <v>44199.649004629631</v>
      </c>
      <c r="F173" s="1" t="str">
        <f>TEXT(CallLog[[#This Row],[Date]],"dddd")</f>
        <v>Sunday</v>
      </c>
      <c r="G173" s="3">
        <f>HOUR(CallLog[[#This Row],[Time]])</f>
        <v>15</v>
      </c>
      <c r="H173" t="s">
        <v>13</v>
      </c>
      <c r="I173" t="s">
        <v>18</v>
      </c>
      <c r="J173" t="s">
        <v>18</v>
      </c>
      <c r="L173" t="str">
        <f>IF(AND(CallLog[[#This Row],[Answered (Y/N)]]="Y", CallLog[[#This Row],[Speed of answer in seconds]]&lt;=20),
    "Within",
    "Breach")</f>
        <v>Breach</v>
      </c>
    </row>
    <row r="174" spans="1:14" x14ac:dyDescent="0.3">
      <c r="A174" t="s">
        <v>200</v>
      </c>
      <c r="B174" t="s">
        <v>11</v>
      </c>
      <c r="C174" t="s">
        <v>146</v>
      </c>
      <c r="D174" s="1">
        <v>0.68700231481481477</v>
      </c>
      <c r="E174" s="2">
        <f>CallLog[[#This Row],[Date]]+CallLog[[#This Row],[Time]]</f>
        <v>44199.687002314815</v>
      </c>
      <c r="F174" s="1" t="str">
        <f>TEXT(CallLog[[#This Row],[Date]],"dddd")</f>
        <v>Sunday</v>
      </c>
      <c r="G174" s="3">
        <f>HOUR(CallLog[[#This Row],[Time]])</f>
        <v>16</v>
      </c>
      <c r="H174" t="s">
        <v>17</v>
      </c>
      <c r="I174" t="s">
        <v>18</v>
      </c>
      <c r="J174" t="s">
        <v>18</v>
      </c>
      <c r="L174" t="str">
        <f>IF(AND(CallLog[[#This Row],[Answered (Y/N)]]="Y", CallLog[[#This Row],[Speed of answer in seconds]]&lt;=20),
    "Within",
    "Breach")</f>
        <v>Breach</v>
      </c>
    </row>
    <row r="175" spans="1:14" x14ac:dyDescent="0.3">
      <c r="A175" t="s">
        <v>201</v>
      </c>
      <c r="B175" t="s">
        <v>34</v>
      </c>
      <c r="C175" t="s">
        <v>146</v>
      </c>
      <c r="D175" s="1">
        <v>0.68700231481481477</v>
      </c>
      <c r="E175" s="2">
        <f>CallLog[[#This Row],[Date]]+CallLog[[#This Row],[Time]]</f>
        <v>44199.687002314815</v>
      </c>
      <c r="F175" s="1" t="str">
        <f>TEXT(CallLog[[#This Row],[Date]],"dddd")</f>
        <v>Sunday</v>
      </c>
      <c r="G175" s="3">
        <f>HOUR(CallLog[[#This Row],[Time]])</f>
        <v>16</v>
      </c>
      <c r="H175" t="s">
        <v>24</v>
      </c>
      <c r="I175" t="s">
        <v>14</v>
      </c>
      <c r="J175" t="s">
        <v>14</v>
      </c>
      <c r="K175">
        <v>117</v>
      </c>
      <c r="L175" t="str">
        <f>IF(AND(CallLog[[#This Row],[Answered (Y/N)]]="Y", CallLog[[#This Row],[Speed of answer in seconds]]&lt;=20),
    "Within",
    "Breach")</f>
        <v>Breach</v>
      </c>
      <c r="M175" s="1">
        <v>1.4699074074074074E-3</v>
      </c>
      <c r="N175">
        <v>4</v>
      </c>
    </row>
    <row r="176" spans="1:14" x14ac:dyDescent="0.3">
      <c r="A176" t="s">
        <v>202</v>
      </c>
      <c r="B176" t="s">
        <v>20</v>
      </c>
      <c r="C176" t="s">
        <v>146</v>
      </c>
      <c r="D176" s="1">
        <v>0.73</v>
      </c>
      <c r="E176" s="2">
        <f>CallLog[[#This Row],[Date]]+CallLog[[#This Row],[Time]]</f>
        <v>44199.73</v>
      </c>
      <c r="F176" s="1" t="str">
        <f>TEXT(CallLog[[#This Row],[Date]],"dddd")</f>
        <v>Sunday</v>
      </c>
      <c r="G176" s="3">
        <f>HOUR(CallLog[[#This Row],[Time]])</f>
        <v>17</v>
      </c>
      <c r="H176" t="s">
        <v>24</v>
      </c>
      <c r="I176" t="s">
        <v>14</v>
      </c>
      <c r="J176" t="s">
        <v>18</v>
      </c>
      <c r="K176">
        <v>57</v>
      </c>
      <c r="L176" t="str">
        <f>IF(AND(CallLog[[#This Row],[Answered (Y/N)]]="Y", CallLog[[#This Row],[Speed of answer in seconds]]&lt;=20),
    "Within",
    "Breach")</f>
        <v>Breach</v>
      </c>
      <c r="M176" s="1">
        <v>4.178240740740741E-3</v>
      </c>
      <c r="N176">
        <v>2</v>
      </c>
    </row>
    <row r="177" spans="1:14" x14ac:dyDescent="0.3">
      <c r="A177" t="s">
        <v>203</v>
      </c>
      <c r="B177" t="s">
        <v>38</v>
      </c>
      <c r="C177" t="s">
        <v>146</v>
      </c>
      <c r="D177" s="1">
        <v>0.73</v>
      </c>
      <c r="E177" s="2">
        <f>CallLog[[#This Row],[Date]]+CallLog[[#This Row],[Time]]</f>
        <v>44199.73</v>
      </c>
      <c r="F177" s="1" t="str">
        <f>TEXT(CallLog[[#This Row],[Date]],"dddd")</f>
        <v>Sunday</v>
      </c>
      <c r="G177" s="3">
        <f>HOUR(CallLog[[#This Row],[Time]])</f>
        <v>17</v>
      </c>
      <c r="H177" t="s">
        <v>17</v>
      </c>
      <c r="I177" t="s">
        <v>14</v>
      </c>
      <c r="J177" t="s">
        <v>14</v>
      </c>
      <c r="K177">
        <v>119</v>
      </c>
      <c r="L177" t="str">
        <f>IF(AND(CallLog[[#This Row],[Answered (Y/N)]]="Y", CallLog[[#This Row],[Speed of answer in seconds]]&lt;=20),
    "Within",
    "Breach")</f>
        <v>Breach</v>
      </c>
      <c r="M177" s="1">
        <v>3.6921296296296298E-3</v>
      </c>
      <c r="N177">
        <v>5</v>
      </c>
    </row>
    <row r="178" spans="1:14" x14ac:dyDescent="0.3">
      <c r="A178" t="s">
        <v>204</v>
      </c>
      <c r="B178" t="s">
        <v>38</v>
      </c>
      <c r="C178" t="s">
        <v>205</v>
      </c>
      <c r="D178" s="1">
        <v>0.3759953703703704</v>
      </c>
      <c r="E178" s="2">
        <f>CallLog[[#This Row],[Date]]+CallLog[[#This Row],[Time]]</f>
        <v>44200.37599537037</v>
      </c>
      <c r="F178" s="1" t="str">
        <f>TEXT(CallLog[[#This Row],[Date]],"dddd")</f>
        <v>Monday</v>
      </c>
      <c r="G178" s="3">
        <f>HOUR(CallLog[[#This Row],[Time]])</f>
        <v>9</v>
      </c>
      <c r="H178" t="s">
        <v>13</v>
      </c>
      <c r="I178" t="s">
        <v>18</v>
      </c>
      <c r="J178" t="s">
        <v>18</v>
      </c>
      <c r="L178" t="str">
        <f>IF(AND(CallLog[[#This Row],[Answered (Y/N)]]="Y", CallLog[[#This Row],[Speed of answer in seconds]]&lt;=20),
    "Within",
    "Breach")</f>
        <v>Breach</v>
      </c>
    </row>
    <row r="179" spans="1:14" x14ac:dyDescent="0.3">
      <c r="A179" t="s">
        <v>206</v>
      </c>
      <c r="B179" t="s">
        <v>11</v>
      </c>
      <c r="C179" t="s">
        <v>205</v>
      </c>
      <c r="D179" s="1">
        <v>0.3759953703703704</v>
      </c>
      <c r="E179" s="2">
        <f>CallLog[[#This Row],[Date]]+CallLog[[#This Row],[Time]]</f>
        <v>44200.37599537037</v>
      </c>
      <c r="F179" s="1" t="str">
        <f>TEXT(CallLog[[#This Row],[Date]],"dddd")</f>
        <v>Monday</v>
      </c>
      <c r="G179" s="3">
        <f>HOUR(CallLog[[#This Row],[Time]])</f>
        <v>9</v>
      </c>
      <c r="H179" t="s">
        <v>32</v>
      </c>
      <c r="I179" t="s">
        <v>14</v>
      </c>
      <c r="J179" t="s">
        <v>14</v>
      </c>
      <c r="K179">
        <v>93</v>
      </c>
      <c r="L179" t="str">
        <f>IF(AND(CallLog[[#This Row],[Answered (Y/N)]]="Y", CallLog[[#This Row],[Speed of answer in seconds]]&lt;=20),
    "Within",
    "Breach")</f>
        <v>Breach</v>
      </c>
      <c r="M179" s="1">
        <v>4.5370370370370373E-3</v>
      </c>
      <c r="N179">
        <v>5</v>
      </c>
    </row>
    <row r="180" spans="1:14" x14ac:dyDescent="0.3">
      <c r="A180" t="s">
        <v>207</v>
      </c>
      <c r="B180" t="s">
        <v>38</v>
      </c>
      <c r="C180" t="s">
        <v>205</v>
      </c>
      <c r="D180" s="1">
        <v>0.39700231481481479</v>
      </c>
      <c r="E180" s="2">
        <f>CallLog[[#This Row],[Date]]+CallLog[[#This Row],[Time]]</f>
        <v>44200.397002314814</v>
      </c>
      <c r="F180" s="1" t="str">
        <f>TEXT(CallLog[[#This Row],[Date]],"dddd")</f>
        <v>Monday</v>
      </c>
      <c r="G180" s="3">
        <f>HOUR(CallLog[[#This Row],[Time]])</f>
        <v>9</v>
      </c>
      <c r="H180" t="s">
        <v>24</v>
      </c>
      <c r="I180" t="s">
        <v>14</v>
      </c>
      <c r="J180" t="s">
        <v>14</v>
      </c>
      <c r="K180">
        <v>86</v>
      </c>
      <c r="L180" t="str">
        <f>IF(AND(CallLog[[#This Row],[Answered (Y/N)]]="Y", CallLog[[#This Row],[Speed of answer in seconds]]&lt;=20),
    "Within",
    "Breach")</f>
        <v>Breach</v>
      </c>
      <c r="M180" s="1">
        <v>7.407407407407407E-4</v>
      </c>
      <c r="N180">
        <v>4</v>
      </c>
    </row>
    <row r="181" spans="1:14" x14ac:dyDescent="0.3">
      <c r="A181" t="s">
        <v>208</v>
      </c>
      <c r="B181" t="s">
        <v>34</v>
      </c>
      <c r="C181" t="s">
        <v>205</v>
      </c>
      <c r="D181" s="1">
        <v>0.39700231481481479</v>
      </c>
      <c r="E181" s="2">
        <f>CallLog[[#This Row],[Date]]+CallLog[[#This Row],[Time]]</f>
        <v>44200.397002314814</v>
      </c>
      <c r="F181" s="1" t="str">
        <f>TEXT(CallLog[[#This Row],[Date]],"dddd")</f>
        <v>Monday</v>
      </c>
      <c r="G181" s="3">
        <f>HOUR(CallLog[[#This Row],[Time]])</f>
        <v>9</v>
      </c>
      <c r="H181" t="s">
        <v>32</v>
      </c>
      <c r="I181" t="s">
        <v>18</v>
      </c>
      <c r="J181" t="s">
        <v>18</v>
      </c>
      <c r="L181" t="str">
        <f>IF(AND(CallLog[[#This Row],[Answered (Y/N)]]="Y", CallLog[[#This Row],[Speed of answer in seconds]]&lt;=20),
    "Within",
    "Breach")</f>
        <v>Breach</v>
      </c>
    </row>
    <row r="182" spans="1:14" x14ac:dyDescent="0.3">
      <c r="A182" t="s">
        <v>209</v>
      </c>
      <c r="B182" t="s">
        <v>47</v>
      </c>
      <c r="C182" t="s">
        <v>205</v>
      </c>
      <c r="D182" s="1">
        <v>0.40500000000000003</v>
      </c>
      <c r="E182" s="2">
        <f>CallLog[[#This Row],[Date]]+CallLog[[#This Row],[Time]]</f>
        <v>44200.404999999999</v>
      </c>
      <c r="F182" s="1" t="str">
        <f>TEXT(CallLog[[#This Row],[Date]],"dddd")</f>
        <v>Monday</v>
      </c>
      <c r="G182" s="3">
        <f>HOUR(CallLog[[#This Row],[Time]])</f>
        <v>9</v>
      </c>
      <c r="H182" t="s">
        <v>13</v>
      </c>
      <c r="I182" t="s">
        <v>14</v>
      </c>
      <c r="J182" t="s">
        <v>14</v>
      </c>
      <c r="K182">
        <v>92</v>
      </c>
      <c r="L182" t="str">
        <f>IF(AND(CallLog[[#This Row],[Answered (Y/N)]]="Y", CallLog[[#This Row],[Speed of answer in seconds]]&lt;=20),
    "Within",
    "Breach")</f>
        <v>Breach</v>
      </c>
      <c r="M182" s="1">
        <v>2.0717592592592593E-3</v>
      </c>
      <c r="N182">
        <v>3</v>
      </c>
    </row>
    <row r="183" spans="1:14" x14ac:dyDescent="0.3">
      <c r="A183" t="s">
        <v>210</v>
      </c>
      <c r="B183" t="s">
        <v>22</v>
      </c>
      <c r="C183" t="s">
        <v>205</v>
      </c>
      <c r="D183" s="1">
        <v>0.40500000000000003</v>
      </c>
      <c r="E183" s="2">
        <f>CallLog[[#This Row],[Date]]+CallLog[[#This Row],[Time]]</f>
        <v>44200.404999999999</v>
      </c>
      <c r="F183" s="1" t="str">
        <f>TEXT(CallLog[[#This Row],[Date]],"dddd")</f>
        <v>Monday</v>
      </c>
      <c r="G183" s="3">
        <f>HOUR(CallLog[[#This Row],[Time]])</f>
        <v>9</v>
      </c>
      <c r="H183" t="s">
        <v>32</v>
      </c>
      <c r="I183" t="s">
        <v>18</v>
      </c>
      <c r="J183" t="s">
        <v>18</v>
      </c>
      <c r="L183" t="str">
        <f>IF(AND(CallLog[[#This Row],[Answered (Y/N)]]="Y", CallLog[[#This Row],[Speed of answer in seconds]]&lt;=20),
    "Within",
    "Breach")</f>
        <v>Breach</v>
      </c>
    </row>
    <row r="184" spans="1:14" x14ac:dyDescent="0.3">
      <c r="A184" t="s">
        <v>211</v>
      </c>
      <c r="B184" t="s">
        <v>38</v>
      </c>
      <c r="C184" t="s">
        <v>205</v>
      </c>
      <c r="D184" s="1">
        <v>0.41900462962962964</v>
      </c>
      <c r="E184" s="2">
        <f>CallLog[[#This Row],[Date]]+CallLog[[#This Row],[Time]]</f>
        <v>44200.419004629628</v>
      </c>
      <c r="F184" s="1" t="str">
        <f>TEXT(CallLog[[#This Row],[Date]],"dddd")</f>
        <v>Monday</v>
      </c>
      <c r="G184" s="3">
        <f>HOUR(CallLog[[#This Row],[Time]])</f>
        <v>10</v>
      </c>
      <c r="H184" t="s">
        <v>17</v>
      </c>
      <c r="I184" t="s">
        <v>14</v>
      </c>
      <c r="J184" t="s">
        <v>14</v>
      </c>
      <c r="K184">
        <v>106</v>
      </c>
      <c r="L184" t="str">
        <f>IF(AND(CallLog[[#This Row],[Answered (Y/N)]]="Y", CallLog[[#This Row],[Speed of answer in seconds]]&lt;=20),
    "Within",
    "Breach")</f>
        <v>Breach</v>
      </c>
      <c r="M184" s="1">
        <v>3.9583333333333337E-3</v>
      </c>
      <c r="N184">
        <v>3</v>
      </c>
    </row>
    <row r="185" spans="1:14" x14ac:dyDescent="0.3">
      <c r="A185" t="s">
        <v>212</v>
      </c>
      <c r="B185" t="s">
        <v>20</v>
      </c>
      <c r="C185" t="s">
        <v>205</v>
      </c>
      <c r="D185" s="1">
        <v>0.41900462962962964</v>
      </c>
      <c r="E185" s="2">
        <f>CallLog[[#This Row],[Date]]+CallLog[[#This Row],[Time]]</f>
        <v>44200.419004629628</v>
      </c>
      <c r="F185" s="1" t="str">
        <f>TEXT(CallLog[[#This Row],[Date]],"dddd")</f>
        <v>Monday</v>
      </c>
      <c r="G185" s="3">
        <f>HOUR(CallLog[[#This Row],[Time]])</f>
        <v>10</v>
      </c>
      <c r="H185" t="s">
        <v>17</v>
      </c>
      <c r="I185" t="s">
        <v>14</v>
      </c>
      <c r="J185" t="s">
        <v>14</v>
      </c>
      <c r="K185">
        <v>67</v>
      </c>
      <c r="L185" t="str">
        <f>IF(AND(CallLog[[#This Row],[Answered (Y/N)]]="Y", CallLog[[#This Row],[Speed of answer in seconds]]&lt;=20),
    "Within",
    "Breach")</f>
        <v>Breach</v>
      </c>
      <c r="M185" s="1">
        <v>1.8981481481481482E-3</v>
      </c>
      <c r="N185">
        <v>3</v>
      </c>
    </row>
    <row r="186" spans="1:14" x14ac:dyDescent="0.3">
      <c r="A186" t="s">
        <v>213</v>
      </c>
      <c r="B186" t="s">
        <v>31</v>
      </c>
      <c r="C186" t="s">
        <v>205</v>
      </c>
      <c r="D186" s="1">
        <v>0.43599537037037039</v>
      </c>
      <c r="E186" s="2">
        <f>CallLog[[#This Row],[Date]]+CallLog[[#This Row],[Time]]</f>
        <v>44200.435995370368</v>
      </c>
      <c r="F186" s="1" t="str">
        <f>TEXT(CallLog[[#This Row],[Date]],"dddd")</f>
        <v>Monday</v>
      </c>
      <c r="G186" s="3">
        <f>HOUR(CallLog[[#This Row],[Time]])</f>
        <v>10</v>
      </c>
      <c r="H186" t="s">
        <v>32</v>
      </c>
      <c r="I186" t="s">
        <v>14</v>
      </c>
      <c r="J186" t="s">
        <v>14</v>
      </c>
      <c r="K186">
        <v>90</v>
      </c>
      <c r="L186" t="str">
        <f>IF(AND(CallLog[[#This Row],[Answered (Y/N)]]="Y", CallLog[[#This Row],[Speed of answer in seconds]]&lt;=20),
    "Within",
    "Breach")</f>
        <v>Breach</v>
      </c>
      <c r="M186" s="1">
        <v>2.9745370370370373E-3</v>
      </c>
      <c r="N186">
        <v>3</v>
      </c>
    </row>
    <row r="187" spans="1:14" x14ac:dyDescent="0.3">
      <c r="A187" t="s">
        <v>214</v>
      </c>
      <c r="B187" t="s">
        <v>11</v>
      </c>
      <c r="C187" t="s">
        <v>205</v>
      </c>
      <c r="D187" s="1">
        <v>0.43599537037037039</v>
      </c>
      <c r="E187" s="2">
        <f>CallLog[[#This Row],[Date]]+CallLog[[#This Row],[Time]]</f>
        <v>44200.435995370368</v>
      </c>
      <c r="F187" s="1" t="str">
        <f>TEXT(CallLog[[#This Row],[Date]],"dddd")</f>
        <v>Monday</v>
      </c>
      <c r="G187" s="3">
        <f>HOUR(CallLog[[#This Row],[Time]])</f>
        <v>10</v>
      </c>
      <c r="H187" t="s">
        <v>17</v>
      </c>
      <c r="I187" t="s">
        <v>18</v>
      </c>
      <c r="J187" t="s">
        <v>18</v>
      </c>
      <c r="L187" t="str">
        <f>IF(AND(CallLog[[#This Row],[Answered (Y/N)]]="Y", CallLog[[#This Row],[Speed of answer in seconds]]&lt;=20),
    "Within",
    "Breach")</f>
        <v>Breach</v>
      </c>
    </row>
    <row r="188" spans="1:14" x14ac:dyDescent="0.3">
      <c r="A188" t="s">
        <v>215</v>
      </c>
      <c r="B188" t="s">
        <v>16</v>
      </c>
      <c r="C188" t="s">
        <v>205</v>
      </c>
      <c r="D188" s="1">
        <v>0.46500000000000002</v>
      </c>
      <c r="E188" s="2">
        <f>CallLog[[#This Row],[Date]]+CallLog[[#This Row],[Time]]</f>
        <v>44200.464999999997</v>
      </c>
      <c r="F188" s="1" t="str">
        <f>TEXT(CallLog[[#This Row],[Date]],"dddd")</f>
        <v>Monday</v>
      </c>
      <c r="G188" s="3">
        <f>HOUR(CallLog[[#This Row],[Time]])</f>
        <v>11</v>
      </c>
      <c r="H188" t="s">
        <v>32</v>
      </c>
      <c r="I188" t="s">
        <v>14</v>
      </c>
      <c r="J188" t="s">
        <v>18</v>
      </c>
      <c r="K188">
        <v>50</v>
      </c>
      <c r="L188" t="str">
        <f>IF(AND(CallLog[[#This Row],[Answered (Y/N)]]="Y", CallLog[[#This Row],[Speed of answer in seconds]]&lt;=20),
    "Within",
    "Breach")</f>
        <v>Breach</v>
      </c>
      <c r="M188" s="1">
        <v>2.650462962962963E-3</v>
      </c>
      <c r="N188">
        <v>4</v>
      </c>
    </row>
    <row r="189" spans="1:14" x14ac:dyDescent="0.3">
      <c r="A189" t="s">
        <v>216</v>
      </c>
      <c r="B189" t="s">
        <v>11</v>
      </c>
      <c r="C189" t="s">
        <v>205</v>
      </c>
      <c r="D189" s="1">
        <v>0.46500000000000002</v>
      </c>
      <c r="E189" s="2">
        <f>CallLog[[#This Row],[Date]]+CallLog[[#This Row],[Time]]</f>
        <v>44200.464999999997</v>
      </c>
      <c r="F189" s="1" t="str">
        <f>TEXT(CallLog[[#This Row],[Date]],"dddd")</f>
        <v>Monday</v>
      </c>
      <c r="G189" s="3">
        <f>HOUR(CallLog[[#This Row],[Time]])</f>
        <v>11</v>
      </c>
      <c r="H189" t="s">
        <v>29</v>
      </c>
      <c r="I189" t="s">
        <v>14</v>
      </c>
      <c r="J189" t="s">
        <v>18</v>
      </c>
      <c r="K189">
        <v>89</v>
      </c>
      <c r="L189" t="str">
        <f>IF(AND(CallLog[[#This Row],[Answered (Y/N)]]="Y", CallLog[[#This Row],[Speed of answer in seconds]]&lt;=20),
    "Within",
    "Breach")</f>
        <v>Breach</v>
      </c>
      <c r="M189" s="1">
        <v>2.9629629629629628E-3</v>
      </c>
      <c r="N189">
        <v>3</v>
      </c>
    </row>
    <row r="190" spans="1:14" x14ac:dyDescent="0.3">
      <c r="A190" t="s">
        <v>217</v>
      </c>
      <c r="B190" t="s">
        <v>31</v>
      </c>
      <c r="C190" t="s">
        <v>205</v>
      </c>
      <c r="D190" s="1">
        <v>0.4679976851851852</v>
      </c>
      <c r="E190" s="2">
        <f>CallLog[[#This Row],[Date]]+CallLog[[#This Row],[Time]]</f>
        <v>44200.467997685184</v>
      </c>
      <c r="F190" s="1" t="str">
        <f>TEXT(CallLog[[#This Row],[Date]],"dddd")</f>
        <v>Monday</v>
      </c>
      <c r="G190" s="3">
        <f>HOUR(CallLog[[#This Row],[Time]])</f>
        <v>11</v>
      </c>
      <c r="H190" t="s">
        <v>29</v>
      </c>
      <c r="I190" t="s">
        <v>14</v>
      </c>
      <c r="J190" t="s">
        <v>14</v>
      </c>
      <c r="K190">
        <v>74</v>
      </c>
      <c r="L190" t="str">
        <f>IF(AND(CallLog[[#This Row],[Answered (Y/N)]]="Y", CallLog[[#This Row],[Speed of answer in seconds]]&lt;=20),
    "Within",
    "Breach")</f>
        <v>Breach</v>
      </c>
      <c r="M190" s="1">
        <v>4.3750000000000004E-3</v>
      </c>
      <c r="N190">
        <v>3</v>
      </c>
    </row>
    <row r="191" spans="1:14" x14ac:dyDescent="0.3">
      <c r="A191" t="s">
        <v>218</v>
      </c>
      <c r="B191" t="s">
        <v>38</v>
      </c>
      <c r="C191" t="s">
        <v>205</v>
      </c>
      <c r="D191" s="1">
        <v>0.4679976851851852</v>
      </c>
      <c r="E191" s="2">
        <f>CallLog[[#This Row],[Date]]+CallLog[[#This Row],[Time]]</f>
        <v>44200.467997685184</v>
      </c>
      <c r="F191" s="1" t="str">
        <f>TEXT(CallLog[[#This Row],[Date]],"dddd")</f>
        <v>Monday</v>
      </c>
      <c r="G191" s="3">
        <f>HOUR(CallLog[[#This Row],[Time]])</f>
        <v>11</v>
      </c>
      <c r="H191" t="s">
        <v>24</v>
      </c>
      <c r="I191" t="s">
        <v>14</v>
      </c>
      <c r="J191" t="s">
        <v>14</v>
      </c>
      <c r="K191">
        <v>63</v>
      </c>
      <c r="L191" t="str">
        <f>IF(AND(CallLog[[#This Row],[Answered (Y/N)]]="Y", CallLog[[#This Row],[Speed of answer in seconds]]&lt;=20),
    "Within",
    "Breach")</f>
        <v>Breach</v>
      </c>
      <c r="M191" s="1">
        <v>1.6435185185185185E-3</v>
      </c>
      <c r="N191">
        <v>2</v>
      </c>
    </row>
    <row r="192" spans="1:14" x14ac:dyDescent="0.3">
      <c r="A192" t="s">
        <v>219</v>
      </c>
      <c r="B192" t="s">
        <v>16</v>
      </c>
      <c r="C192" t="s">
        <v>205</v>
      </c>
      <c r="D192" s="1">
        <v>0.47099537037037037</v>
      </c>
      <c r="E192" s="2">
        <f>CallLog[[#This Row],[Date]]+CallLog[[#This Row],[Time]]</f>
        <v>44200.470995370371</v>
      </c>
      <c r="F192" s="1" t="str">
        <f>TEXT(CallLog[[#This Row],[Date]],"dddd")</f>
        <v>Monday</v>
      </c>
      <c r="G192" s="3">
        <f>HOUR(CallLog[[#This Row],[Time]])</f>
        <v>11</v>
      </c>
      <c r="H192" t="s">
        <v>13</v>
      </c>
      <c r="I192" t="s">
        <v>14</v>
      </c>
      <c r="J192" t="s">
        <v>14</v>
      </c>
      <c r="K192">
        <v>45</v>
      </c>
      <c r="L192" t="str">
        <f>IF(AND(CallLog[[#This Row],[Answered (Y/N)]]="Y", CallLog[[#This Row],[Speed of answer in seconds]]&lt;=20),
    "Within",
    "Breach")</f>
        <v>Breach</v>
      </c>
      <c r="M192" s="1">
        <v>4.5254629629629629E-3</v>
      </c>
      <c r="N192">
        <v>5</v>
      </c>
    </row>
    <row r="193" spans="1:14" x14ac:dyDescent="0.3">
      <c r="A193" t="s">
        <v>220</v>
      </c>
      <c r="B193" t="s">
        <v>38</v>
      </c>
      <c r="C193" t="s">
        <v>205</v>
      </c>
      <c r="D193" s="1">
        <v>0.47099537037037037</v>
      </c>
      <c r="E193" s="2">
        <f>CallLog[[#This Row],[Date]]+CallLog[[#This Row],[Time]]</f>
        <v>44200.470995370371</v>
      </c>
      <c r="F193" s="1" t="str">
        <f>TEXT(CallLog[[#This Row],[Date]],"dddd")</f>
        <v>Monday</v>
      </c>
      <c r="G193" s="3">
        <f>HOUR(CallLog[[#This Row],[Time]])</f>
        <v>11</v>
      </c>
      <c r="H193" t="s">
        <v>17</v>
      </c>
      <c r="I193" t="s">
        <v>18</v>
      </c>
      <c r="J193" t="s">
        <v>18</v>
      </c>
      <c r="L193" t="str">
        <f>IF(AND(CallLog[[#This Row],[Answered (Y/N)]]="Y", CallLog[[#This Row],[Speed of answer in seconds]]&lt;=20),
    "Within",
    "Breach")</f>
        <v>Breach</v>
      </c>
    </row>
    <row r="194" spans="1:14" x14ac:dyDescent="0.3">
      <c r="A194" t="s">
        <v>221</v>
      </c>
      <c r="B194" t="s">
        <v>47</v>
      </c>
      <c r="C194" t="s">
        <v>205</v>
      </c>
      <c r="D194" s="1">
        <v>0.47400462962962964</v>
      </c>
      <c r="E194" s="2">
        <f>CallLog[[#This Row],[Date]]+CallLog[[#This Row],[Time]]</f>
        <v>44200.474004629628</v>
      </c>
      <c r="F194" s="1" t="str">
        <f>TEXT(CallLog[[#This Row],[Date]],"dddd")</f>
        <v>Monday</v>
      </c>
      <c r="G194" s="3">
        <f>HOUR(CallLog[[#This Row],[Time]])</f>
        <v>11</v>
      </c>
      <c r="H194" t="s">
        <v>24</v>
      </c>
      <c r="I194" t="s">
        <v>14</v>
      </c>
      <c r="J194" t="s">
        <v>14</v>
      </c>
      <c r="K194">
        <v>31</v>
      </c>
      <c r="L194" t="str">
        <f>IF(AND(CallLog[[#This Row],[Answered (Y/N)]]="Y", CallLog[[#This Row],[Speed of answer in seconds]]&lt;=20),
    "Within",
    "Breach")</f>
        <v>Breach</v>
      </c>
      <c r="M194" s="1">
        <v>4.6643518518518518E-3</v>
      </c>
      <c r="N194">
        <v>2</v>
      </c>
    </row>
    <row r="195" spans="1:14" x14ac:dyDescent="0.3">
      <c r="A195" t="s">
        <v>222</v>
      </c>
      <c r="B195" t="s">
        <v>34</v>
      </c>
      <c r="C195" t="s">
        <v>205</v>
      </c>
      <c r="D195" s="1">
        <v>0.47400462962962964</v>
      </c>
      <c r="E195" s="2">
        <f>CallLog[[#This Row],[Date]]+CallLog[[#This Row],[Time]]</f>
        <v>44200.474004629628</v>
      </c>
      <c r="F195" s="1" t="str">
        <f>TEXT(CallLog[[#This Row],[Date]],"dddd")</f>
        <v>Monday</v>
      </c>
      <c r="G195" s="3">
        <f>HOUR(CallLog[[#This Row],[Time]])</f>
        <v>11</v>
      </c>
      <c r="H195" t="s">
        <v>32</v>
      </c>
      <c r="I195" t="s">
        <v>18</v>
      </c>
      <c r="J195" t="s">
        <v>18</v>
      </c>
      <c r="L195" t="str">
        <f>IF(AND(CallLog[[#This Row],[Answered (Y/N)]]="Y", CallLog[[#This Row],[Speed of answer in seconds]]&lt;=20),
    "Within",
    "Breach")</f>
        <v>Breach</v>
      </c>
    </row>
    <row r="196" spans="1:14" x14ac:dyDescent="0.3">
      <c r="A196" t="s">
        <v>223</v>
      </c>
      <c r="B196" t="s">
        <v>34</v>
      </c>
      <c r="C196" t="s">
        <v>205</v>
      </c>
      <c r="D196" s="1">
        <v>0.48099537037037038</v>
      </c>
      <c r="E196" s="2">
        <f>CallLog[[#This Row],[Date]]+CallLog[[#This Row],[Time]]</f>
        <v>44200.480995370373</v>
      </c>
      <c r="F196" s="1" t="str">
        <f>TEXT(CallLog[[#This Row],[Date]],"dddd")</f>
        <v>Monday</v>
      </c>
      <c r="G196" s="3">
        <f>HOUR(CallLog[[#This Row],[Time]])</f>
        <v>11</v>
      </c>
      <c r="H196" t="s">
        <v>13</v>
      </c>
      <c r="I196" t="s">
        <v>14</v>
      </c>
      <c r="J196" t="s">
        <v>14</v>
      </c>
      <c r="K196">
        <v>43</v>
      </c>
      <c r="L196" t="str">
        <f>IF(AND(CallLog[[#This Row],[Answered (Y/N)]]="Y", CallLog[[#This Row],[Speed of answer in seconds]]&lt;=20),
    "Within",
    "Breach")</f>
        <v>Breach</v>
      </c>
      <c r="M196" s="1">
        <v>2.5925925925925925E-3</v>
      </c>
      <c r="N196">
        <v>5</v>
      </c>
    </row>
    <row r="197" spans="1:14" x14ac:dyDescent="0.3">
      <c r="A197" t="s">
        <v>224</v>
      </c>
      <c r="B197" t="s">
        <v>38</v>
      </c>
      <c r="C197" t="s">
        <v>205</v>
      </c>
      <c r="D197" s="1">
        <v>0.48099537037037038</v>
      </c>
      <c r="E197" s="2">
        <f>CallLog[[#This Row],[Date]]+CallLog[[#This Row],[Time]]</f>
        <v>44200.480995370373</v>
      </c>
      <c r="F197" s="1" t="str">
        <f>TEXT(CallLog[[#This Row],[Date]],"dddd")</f>
        <v>Monday</v>
      </c>
      <c r="G197" s="3">
        <f>HOUR(CallLog[[#This Row],[Time]])</f>
        <v>11</v>
      </c>
      <c r="H197" t="s">
        <v>32</v>
      </c>
      <c r="I197" t="s">
        <v>14</v>
      </c>
      <c r="J197" t="s">
        <v>14</v>
      </c>
      <c r="K197">
        <v>50</v>
      </c>
      <c r="L197" t="str">
        <f>IF(AND(CallLog[[#This Row],[Answered (Y/N)]]="Y", CallLog[[#This Row],[Speed of answer in seconds]]&lt;=20),
    "Within",
    "Breach")</f>
        <v>Breach</v>
      </c>
      <c r="M197" s="1">
        <v>3.9583333333333337E-3</v>
      </c>
      <c r="N197">
        <v>4</v>
      </c>
    </row>
    <row r="198" spans="1:14" x14ac:dyDescent="0.3">
      <c r="A198" t="s">
        <v>225</v>
      </c>
      <c r="B198" t="s">
        <v>47</v>
      </c>
      <c r="C198" t="s">
        <v>205</v>
      </c>
      <c r="D198" s="1">
        <v>0.50200231481481483</v>
      </c>
      <c r="E198" s="2">
        <f>CallLog[[#This Row],[Date]]+CallLog[[#This Row],[Time]]</f>
        <v>44200.502002314817</v>
      </c>
      <c r="F198" s="1" t="str">
        <f>TEXT(CallLog[[#This Row],[Date]],"dddd")</f>
        <v>Monday</v>
      </c>
      <c r="G198" s="3">
        <f>HOUR(CallLog[[#This Row],[Time]])</f>
        <v>12</v>
      </c>
      <c r="H198" t="s">
        <v>17</v>
      </c>
      <c r="I198" t="s">
        <v>14</v>
      </c>
      <c r="J198" t="s">
        <v>14</v>
      </c>
      <c r="K198">
        <v>48</v>
      </c>
      <c r="L198" t="str">
        <f>IF(AND(CallLog[[#This Row],[Answered (Y/N)]]="Y", CallLog[[#This Row],[Speed of answer in seconds]]&lt;=20),
    "Within",
    "Breach")</f>
        <v>Breach</v>
      </c>
      <c r="M198" s="1">
        <v>3.6111111111111109E-3</v>
      </c>
      <c r="N198">
        <v>4</v>
      </c>
    </row>
    <row r="199" spans="1:14" x14ac:dyDescent="0.3">
      <c r="A199" t="s">
        <v>226</v>
      </c>
      <c r="B199" t="s">
        <v>38</v>
      </c>
      <c r="C199" t="s">
        <v>205</v>
      </c>
      <c r="D199" s="1">
        <v>0.50200231481481483</v>
      </c>
      <c r="E199" s="2">
        <f>CallLog[[#This Row],[Date]]+CallLog[[#This Row],[Time]]</f>
        <v>44200.502002314817</v>
      </c>
      <c r="F199" s="1" t="str">
        <f>TEXT(CallLog[[#This Row],[Date]],"dddd")</f>
        <v>Monday</v>
      </c>
      <c r="G199" s="3">
        <f>HOUR(CallLog[[#This Row],[Time]])</f>
        <v>12</v>
      </c>
      <c r="H199" t="s">
        <v>29</v>
      </c>
      <c r="I199" t="s">
        <v>14</v>
      </c>
      <c r="J199" t="s">
        <v>14</v>
      </c>
      <c r="K199">
        <v>113</v>
      </c>
      <c r="L199" t="str">
        <f>IF(AND(CallLog[[#This Row],[Answered (Y/N)]]="Y", CallLog[[#This Row],[Speed of answer in seconds]]&lt;=20),
    "Within",
    "Breach")</f>
        <v>Breach</v>
      </c>
      <c r="M199" s="1">
        <v>1.8981481481481482E-3</v>
      </c>
      <c r="N199">
        <v>5</v>
      </c>
    </row>
    <row r="200" spans="1:14" x14ac:dyDescent="0.3">
      <c r="A200" t="s">
        <v>227</v>
      </c>
      <c r="B200" t="s">
        <v>31</v>
      </c>
      <c r="C200" t="s">
        <v>205</v>
      </c>
      <c r="D200" s="1">
        <v>0.51099537037037035</v>
      </c>
      <c r="E200" s="2">
        <f>CallLog[[#This Row],[Date]]+CallLog[[#This Row],[Time]]</f>
        <v>44200.510995370372</v>
      </c>
      <c r="F200" s="1" t="str">
        <f>TEXT(CallLog[[#This Row],[Date]],"dddd")</f>
        <v>Monday</v>
      </c>
      <c r="G200" s="3">
        <f>HOUR(CallLog[[#This Row],[Time]])</f>
        <v>12</v>
      </c>
      <c r="H200" t="s">
        <v>32</v>
      </c>
      <c r="I200" t="s">
        <v>18</v>
      </c>
      <c r="J200" t="s">
        <v>18</v>
      </c>
      <c r="L200" t="str">
        <f>IF(AND(CallLog[[#This Row],[Answered (Y/N)]]="Y", CallLog[[#This Row],[Speed of answer in seconds]]&lt;=20),
    "Within",
    "Breach")</f>
        <v>Breach</v>
      </c>
    </row>
    <row r="201" spans="1:14" x14ac:dyDescent="0.3">
      <c r="A201" t="s">
        <v>228</v>
      </c>
      <c r="B201" t="s">
        <v>34</v>
      </c>
      <c r="C201" t="s">
        <v>205</v>
      </c>
      <c r="D201" s="1">
        <v>0.51099537037037035</v>
      </c>
      <c r="E201" s="2">
        <f>CallLog[[#This Row],[Date]]+CallLog[[#This Row],[Time]]</f>
        <v>44200.510995370372</v>
      </c>
      <c r="F201" s="1" t="str">
        <f>TEXT(CallLog[[#This Row],[Date]],"dddd")</f>
        <v>Monday</v>
      </c>
      <c r="G201" s="3">
        <f>HOUR(CallLog[[#This Row],[Time]])</f>
        <v>12</v>
      </c>
      <c r="H201" t="s">
        <v>17</v>
      </c>
      <c r="I201" t="s">
        <v>14</v>
      </c>
      <c r="J201" t="s">
        <v>14</v>
      </c>
      <c r="K201">
        <v>103</v>
      </c>
      <c r="L201" t="str">
        <f>IF(AND(CallLog[[#This Row],[Answered (Y/N)]]="Y", CallLog[[#This Row],[Speed of answer in seconds]]&lt;=20),
    "Within",
    "Breach")</f>
        <v>Breach</v>
      </c>
      <c r="M201" s="1">
        <v>4.6296296296296294E-3</v>
      </c>
      <c r="N201">
        <v>5</v>
      </c>
    </row>
    <row r="202" spans="1:14" x14ac:dyDescent="0.3">
      <c r="A202" t="s">
        <v>229</v>
      </c>
      <c r="B202" t="s">
        <v>16</v>
      </c>
      <c r="C202" t="s">
        <v>205</v>
      </c>
      <c r="D202" s="1">
        <v>0.51099537037037035</v>
      </c>
      <c r="E202" s="2">
        <f>CallLog[[#This Row],[Date]]+CallLog[[#This Row],[Time]]</f>
        <v>44200.510995370372</v>
      </c>
      <c r="F202" s="1" t="str">
        <f>TEXT(CallLog[[#This Row],[Date]],"dddd")</f>
        <v>Monday</v>
      </c>
      <c r="G202" s="3">
        <f>HOUR(CallLog[[#This Row],[Time]])</f>
        <v>12</v>
      </c>
      <c r="H202" t="s">
        <v>17</v>
      </c>
      <c r="I202" t="s">
        <v>14</v>
      </c>
      <c r="J202" t="s">
        <v>18</v>
      </c>
      <c r="K202">
        <v>95</v>
      </c>
      <c r="L202" t="str">
        <f>IF(AND(CallLog[[#This Row],[Answered (Y/N)]]="Y", CallLog[[#This Row],[Speed of answer in seconds]]&lt;=20),
    "Within",
    "Breach")</f>
        <v>Breach</v>
      </c>
      <c r="M202" s="1">
        <v>3.0902777777777777E-3</v>
      </c>
      <c r="N202">
        <v>3</v>
      </c>
    </row>
    <row r="203" spans="1:14" x14ac:dyDescent="0.3">
      <c r="A203" t="s">
        <v>230</v>
      </c>
      <c r="B203" t="s">
        <v>34</v>
      </c>
      <c r="C203" t="s">
        <v>205</v>
      </c>
      <c r="D203" s="1">
        <v>0.51099537037037035</v>
      </c>
      <c r="E203" s="2">
        <f>CallLog[[#This Row],[Date]]+CallLog[[#This Row],[Time]]</f>
        <v>44200.510995370372</v>
      </c>
      <c r="F203" s="1" t="str">
        <f>TEXT(CallLog[[#This Row],[Date]],"dddd")</f>
        <v>Monday</v>
      </c>
      <c r="G203" s="3">
        <f>HOUR(CallLog[[#This Row],[Time]])</f>
        <v>12</v>
      </c>
      <c r="H203" t="s">
        <v>29</v>
      </c>
      <c r="I203" t="s">
        <v>14</v>
      </c>
      <c r="J203" t="s">
        <v>14</v>
      </c>
      <c r="K203">
        <v>30</v>
      </c>
      <c r="L203" t="str">
        <f>IF(AND(CallLog[[#This Row],[Answered (Y/N)]]="Y", CallLog[[#This Row],[Speed of answer in seconds]]&lt;=20),
    "Within",
    "Breach")</f>
        <v>Breach</v>
      </c>
      <c r="M203" s="1">
        <v>3.5185185185185185E-3</v>
      </c>
      <c r="N203">
        <v>1</v>
      </c>
    </row>
    <row r="204" spans="1:14" x14ac:dyDescent="0.3">
      <c r="A204" t="s">
        <v>231</v>
      </c>
      <c r="B204" t="s">
        <v>22</v>
      </c>
      <c r="C204" t="s">
        <v>205</v>
      </c>
      <c r="D204" s="1">
        <v>0.56400462962962961</v>
      </c>
      <c r="E204" s="2">
        <f>CallLog[[#This Row],[Date]]+CallLog[[#This Row],[Time]]</f>
        <v>44200.564004629632</v>
      </c>
      <c r="F204" s="1" t="str">
        <f>TEXT(CallLog[[#This Row],[Date]],"dddd")</f>
        <v>Monday</v>
      </c>
      <c r="G204" s="3">
        <f>HOUR(CallLog[[#This Row],[Time]])</f>
        <v>13</v>
      </c>
      <c r="H204" t="s">
        <v>29</v>
      </c>
      <c r="I204" t="s">
        <v>14</v>
      </c>
      <c r="J204" t="s">
        <v>14</v>
      </c>
      <c r="K204">
        <v>124</v>
      </c>
      <c r="L204" t="str">
        <f>IF(AND(CallLog[[#This Row],[Answered (Y/N)]]="Y", CallLog[[#This Row],[Speed of answer in seconds]]&lt;=20),
    "Within",
    "Breach")</f>
        <v>Breach</v>
      </c>
      <c r="M204" s="1">
        <v>2.3032407407407407E-3</v>
      </c>
      <c r="N204">
        <v>3</v>
      </c>
    </row>
    <row r="205" spans="1:14" x14ac:dyDescent="0.3">
      <c r="A205" t="s">
        <v>232</v>
      </c>
      <c r="B205" t="s">
        <v>11</v>
      </c>
      <c r="C205" t="s">
        <v>205</v>
      </c>
      <c r="D205" s="1">
        <v>0.56400462962962961</v>
      </c>
      <c r="E205" s="2">
        <f>CallLog[[#This Row],[Date]]+CallLog[[#This Row],[Time]]</f>
        <v>44200.564004629632</v>
      </c>
      <c r="F205" s="1" t="str">
        <f>TEXT(CallLog[[#This Row],[Date]],"dddd")</f>
        <v>Monday</v>
      </c>
      <c r="G205" s="3">
        <f>HOUR(CallLog[[#This Row],[Time]])</f>
        <v>13</v>
      </c>
      <c r="H205" t="s">
        <v>29</v>
      </c>
      <c r="I205" t="s">
        <v>14</v>
      </c>
      <c r="J205" t="s">
        <v>14</v>
      </c>
      <c r="K205">
        <v>17</v>
      </c>
      <c r="L205" t="str">
        <f>IF(AND(CallLog[[#This Row],[Answered (Y/N)]]="Y", CallLog[[#This Row],[Speed of answer in seconds]]&lt;=20),
    "Within",
    "Breach")</f>
        <v>Within</v>
      </c>
      <c r="M205" s="1">
        <v>1.4236111111111112E-3</v>
      </c>
      <c r="N205">
        <v>5</v>
      </c>
    </row>
    <row r="206" spans="1:14" x14ac:dyDescent="0.3">
      <c r="A206" t="s">
        <v>233</v>
      </c>
      <c r="B206" t="s">
        <v>20</v>
      </c>
      <c r="C206" t="s">
        <v>205</v>
      </c>
      <c r="D206" s="1">
        <v>0.57299768518518523</v>
      </c>
      <c r="E206" s="2">
        <f>CallLog[[#This Row],[Date]]+CallLog[[#This Row],[Time]]</f>
        <v>44200.572997685187</v>
      </c>
      <c r="F206" s="1" t="str">
        <f>TEXT(CallLog[[#This Row],[Date]],"dddd")</f>
        <v>Monday</v>
      </c>
      <c r="G206" s="3">
        <f>HOUR(CallLog[[#This Row],[Time]])</f>
        <v>13</v>
      </c>
      <c r="H206" t="s">
        <v>32</v>
      </c>
      <c r="I206" t="s">
        <v>14</v>
      </c>
      <c r="J206" t="s">
        <v>14</v>
      </c>
      <c r="K206">
        <v>113</v>
      </c>
      <c r="L206" t="str">
        <f>IF(AND(CallLog[[#This Row],[Answered (Y/N)]]="Y", CallLog[[#This Row],[Speed of answer in seconds]]&lt;=20),
    "Within",
    "Breach")</f>
        <v>Breach</v>
      </c>
      <c r="M206" s="1">
        <v>4.1666666666666666E-3</v>
      </c>
      <c r="N206">
        <v>3</v>
      </c>
    </row>
    <row r="207" spans="1:14" x14ac:dyDescent="0.3">
      <c r="A207" t="s">
        <v>234</v>
      </c>
      <c r="B207" t="s">
        <v>31</v>
      </c>
      <c r="C207" t="s">
        <v>205</v>
      </c>
      <c r="D207" s="1">
        <v>0.57299768518518523</v>
      </c>
      <c r="E207" s="2">
        <f>CallLog[[#This Row],[Date]]+CallLog[[#This Row],[Time]]</f>
        <v>44200.572997685187</v>
      </c>
      <c r="F207" s="1" t="str">
        <f>TEXT(CallLog[[#This Row],[Date]],"dddd")</f>
        <v>Monday</v>
      </c>
      <c r="G207" s="3">
        <f>HOUR(CallLog[[#This Row],[Time]])</f>
        <v>13</v>
      </c>
      <c r="H207" t="s">
        <v>17</v>
      </c>
      <c r="I207" t="s">
        <v>14</v>
      </c>
      <c r="J207" t="s">
        <v>14</v>
      </c>
      <c r="K207">
        <v>25</v>
      </c>
      <c r="L207" t="str">
        <f>IF(AND(CallLog[[#This Row],[Answered (Y/N)]]="Y", CallLog[[#This Row],[Speed of answer in seconds]]&lt;=20),
    "Within",
    "Breach")</f>
        <v>Breach</v>
      </c>
      <c r="M207" s="1">
        <v>1.7013888888888888E-3</v>
      </c>
      <c r="N207">
        <v>5</v>
      </c>
    </row>
    <row r="208" spans="1:14" x14ac:dyDescent="0.3">
      <c r="A208" t="s">
        <v>235</v>
      </c>
      <c r="B208" t="s">
        <v>31</v>
      </c>
      <c r="C208" t="s">
        <v>205</v>
      </c>
      <c r="D208" s="1">
        <v>0.58099537037037041</v>
      </c>
      <c r="E208" s="2">
        <f>CallLog[[#This Row],[Date]]+CallLog[[#This Row],[Time]]</f>
        <v>44200.580995370372</v>
      </c>
      <c r="F208" s="1" t="str">
        <f>TEXT(CallLog[[#This Row],[Date]],"dddd")</f>
        <v>Monday</v>
      </c>
      <c r="G208" s="3">
        <f>HOUR(CallLog[[#This Row],[Time]])</f>
        <v>13</v>
      </c>
      <c r="H208" t="s">
        <v>29</v>
      </c>
      <c r="I208" t="s">
        <v>14</v>
      </c>
      <c r="J208" t="s">
        <v>14</v>
      </c>
      <c r="K208">
        <v>52</v>
      </c>
      <c r="L208" t="str">
        <f>IF(AND(CallLog[[#This Row],[Answered (Y/N)]]="Y", CallLog[[#This Row],[Speed of answer in seconds]]&lt;=20),
    "Within",
    "Breach")</f>
        <v>Breach</v>
      </c>
      <c r="M208" s="1">
        <v>3.0324074074074073E-3</v>
      </c>
      <c r="N208">
        <v>5</v>
      </c>
    </row>
    <row r="209" spans="1:14" x14ac:dyDescent="0.3">
      <c r="A209" t="s">
        <v>236</v>
      </c>
      <c r="B209" t="s">
        <v>47</v>
      </c>
      <c r="C209" t="s">
        <v>205</v>
      </c>
      <c r="D209" s="1">
        <v>0.58099537037037041</v>
      </c>
      <c r="E209" s="2">
        <f>CallLog[[#This Row],[Date]]+CallLog[[#This Row],[Time]]</f>
        <v>44200.580995370372</v>
      </c>
      <c r="F209" s="1" t="str">
        <f>TEXT(CallLog[[#This Row],[Date]],"dddd")</f>
        <v>Monday</v>
      </c>
      <c r="G209" s="3">
        <f>HOUR(CallLog[[#This Row],[Time]])</f>
        <v>13</v>
      </c>
      <c r="H209" t="s">
        <v>29</v>
      </c>
      <c r="I209" t="s">
        <v>14</v>
      </c>
      <c r="J209" t="s">
        <v>14</v>
      </c>
      <c r="K209">
        <v>28</v>
      </c>
      <c r="L209" t="str">
        <f>IF(AND(CallLog[[#This Row],[Answered (Y/N)]]="Y", CallLog[[#This Row],[Speed of answer in seconds]]&lt;=20),
    "Within",
    "Breach")</f>
        <v>Breach</v>
      </c>
      <c r="M209" s="1">
        <v>1.8981481481481482E-3</v>
      </c>
      <c r="N209">
        <v>5</v>
      </c>
    </row>
    <row r="210" spans="1:14" x14ac:dyDescent="0.3">
      <c r="A210" t="s">
        <v>237</v>
      </c>
      <c r="B210" t="s">
        <v>22</v>
      </c>
      <c r="C210" t="s">
        <v>205</v>
      </c>
      <c r="D210" s="1">
        <v>0.60099537037037032</v>
      </c>
      <c r="E210" s="2">
        <f>CallLog[[#This Row],[Date]]+CallLog[[#This Row],[Time]]</f>
        <v>44200.600995370369</v>
      </c>
      <c r="F210" s="1" t="str">
        <f>TEXT(CallLog[[#This Row],[Date]],"dddd")</f>
        <v>Monday</v>
      </c>
      <c r="G210" s="3">
        <f>HOUR(CallLog[[#This Row],[Time]])</f>
        <v>14</v>
      </c>
      <c r="H210" t="s">
        <v>17</v>
      </c>
      <c r="I210" t="s">
        <v>14</v>
      </c>
      <c r="J210" t="s">
        <v>14</v>
      </c>
      <c r="K210">
        <v>69</v>
      </c>
      <c r="L210" t="str">
        <f>IF(AND(CallLog[[#This Row],[Answered (Y/N)]]="Y", CallLog[[#This Row],[Speed of answer in seconds]]&lt;=20),
    "Within",
    "Breach")</f>
        <v>Breach</v>
      </c>
      <c r="M210" s="1">
        <v>2.1412037037037038E-3</v>
      </c>
      <c r="N210">
        <v>3</v>
      </c>
    </row>
    <row r="211" spans="1:14" x14ac:dyDescent="0.3">
      <c r="A211" t="s">
        <v>238</v>
      </c>
      <c r="B211" t="s">
        <v>38</v>
      </c>
      <c r="C211" t="s">
        <v>205</v>
      </c>
      <c r="D211" s="1">
        <v>0.60099537037037032</v>
      </c>
      <c r="E211" s="2">
        <f>CallLog[[#This Row],[Date]]+CallLog[[#This Row],[Time]]</f>
        <v>44200.600995370369</v>
      </c>
      <c r="F211" s="1" t="str">
        <f>TEXT(CallLog[[#This Row],[Date]],"dddd")</f>
        <v>Monday</v>
      </c>
      <c r="G211" s="3">
        <f>HOUR(CallLog[[#This Row],[Time]])</f>
        <v>14</v>
      </c>
      <c r="H211" t="s">
        <v>32</v>
      </c>
      <c r="I211" t="s">
        <v>14</v>
      </c>
      <c r="J211" t="s">
        <v>14</v>
      </c>
      <c r="K211">
        <v>106</v>
      </c>
      <c r="L211" t="str">
        <f>IF(AND(CallLog[[#This Row],[Answered (Y/N)]]="Y", CallLog[[#This Row],[Speed of answer in seconds]]&lt;=20),
    "Within",
    "Breach")</f>
        <v>Breach</v>
      </c>
      <c r="M211" s="1">
        <v>2.685185185185185E-3</v>
      </c>
      <c r="N211">
        <v>3</v>
      </c>
    </row>
    <row r="212" spans="1:14" x14ac:dyDescent="0.3">
      <c r="A212" t="s">
        <v>239</v>
      </c>
      <c r="B212" t="s">
        <v>31</v>
      </c>
      <c r="C212" t="s">
        <v>205</v>
      </c>
      <c r="D212" s="1">
        <v>0.60299768518518515</v>
      </c>
      <c r="E212" s="2">
        <f>CallLog[[#This Row],[Date]]+CallLog[[#This Row],[Time]]</f>
        <v>44200.602997685186</v>
      </c>
      <c r="F212" s="1" t="str">
        <f>TEXT(CallLog[[#This Row],[Date]],"dddd")</f>
        <v>Monday</v>
      </c>
      <c r="G212" s="3">
        <f>HOUR(CallLog[[#This Row],[Time]])</f>
        <v>14</v>
      </c>
      <c r="H212" t="s">
        <v>17</v>
      </c>
      <c r="I212" t="s">
        <v>18</v>
      </c>
      <c r="J212" t="s">
        <v>18</v>
      </c>
      <c r="L212" t="str">
        <f>IF(AND(CallLog[[#This Row],[Answered (Y/N)]]="Y", CallLog[[#This Row],[Speed of answer in seconds]]&lt;=20),
    "Within",
    "Breach")</f>
        <v>Breach</v>
      </c>
    </row>
    <row r="213" spans="1:14" x14ac:dyDescent="0.3">
      <c r="A213" t="s">
        <v>240</v>
      </c>
      <c r="B213" t="s">
        <v>34</v>
      </c>
      <c r="C213" t="s">
        <v>205</v>
      </c>
      <c r="D213" s="1">
        <v>0.60299768518518515</v>
      </c>
      <c r="E213" s="2">
        <f>CallLog[[#This Row],[Date]]+CallLog[[#This Row],[Time]]</f>
        <v>44200.602997685186</v>
      </c>
      <c r="F213" s="1" t="str">
        <f>TEXT(CallLog[[#This Row],[Date]],"dddd")</f>
        <v>Monday</v>
      </c>
      <c r="G213" s="3">
        <f>HOUR(CallLog[[#This Row],[Time]])</f>
        <v>14</v>
      </c>
      <c r="H213" t="s">
        <v>24</v>
      </c>
      <c r="I213" t="s">
        <v>14</v>
      </c>
      <c r="J213" t="s">
        <v>14</v>
      </c>
      <c r="K213">
        <v>26</v>
      </c>
      <c r="L213" t="str">
        <f>IF(AND(CallLog[[#This Row],[Answered (Y/N)]]="Y", CallLog[[#This Row],[Speed of answer in seconds]]&lt;=20),
    "Within",
    "Breach")</f>
        <v>Breach</v>
      </c>
      <c r="M213" s="1">
        <v>3.460648148148148E-3</v>
      </c>
      <c r="N213">
        <v>3</v>
      </c>
    </row>
    <row r="214" spans="1:14" x14ac:dyDescent="0.3">
      <c r="A214" t="s">
        <v>241</v>
      </c>
      <c r="B214" t="s">
        <v>34</v>
      </c>
      <c r="C214" t="s">
        <v>205</v>
      </c>
      <c r="D214" s="1">
        <v>0.60499999999999998</v>
      </c>
      <c r="E214" s="2">
        <f>CallLog[[#This Row],[Date]]+CallLog[[#This Row],[Time]]</f>
        <v>44200.605000000003</v>
      </c>
      <c r="F214" s="1" t="str">
        <f>TEXT(CallLog[[#This Row],[Date]],"dddd")</f>
        <v>Monday</v>
      </c>
      <c r="G214" s="3">
        <f>HOUR(CallLog[[#This Row],[Time]])</f>
        <v>14</v>
      </c>
      <c r="H214" t="s">
        <v>24</v>
      </c>
      <c r="I214" t="s">
        <v>14</v>
      </c>
      <c r="J214" t="s">
        <v>14</v>
      </c>
      <c r="K214">
        <v>53</v>
      </c>
      <c r="L214" t="str">
        <f>IF(AND(CallLog[[#This Row],[Answered (Y/N)]]="Y", CallLog[[#This Row],[Speed of answer in seconds]]&lt;=20),
    "Within",
    "Breach")</f>
        <v>Breach</v>
      </c>
      <c r="M214" s="1">
        <v>4.1087962962962962E-3</v>
      </c>
      <c r="N214">
        <v>4</v>
      </c>
    </row>
    <row r="215" spans="1:14" x14ac:dyDescent="0.3">
      <c r="A215" t="s">
        <v>242</v>
      </c>
      <c r="B215" t="s">
        <v>38</v>
      </c>
      <c r="C215" t="s">
        <v>205</v>
      </c>
      <c r="D215" s="1">
        <v>0.60499999999999998</v>
      </c>
      <c r="E215" s="2">
        <f>CallLog[[#This Row],[Date]]+CallLog[[#This Row],[Time]]</f>
        <v>44200.605000000003</v>
      </c>
      <c r="F215" s="1" t="str">
        <f>TEXT(CallLog[[#This Row],[Date]],"dddd")</f>
        <v>Monday</v>
      </c>
      <c r="G215" s="3">
        <f>HOUR(CallLog[[#This Row],[Time]])</f>
        <v>14</v>
      </c>
      <c r="H215" t="s">
        <v>17</v>
      </c>
      <c r="I215" t="s">
        <v>14</v>
      </c>
      <c r="J215" t="s">
        <v>14</v>
      </c>
      <c r="K215">
        <v>77</v>
      </c>
      <c r="L215" t="str">
        <f>IF(AND(CallLog[[#This Row],[Answered (Y/N)]]="Y", CallLog[[#This Row],[Speed of answer in seconds]]&lt;=20),
    "Within",
    "Breach")</f>
        <v>Breach</v>
      </c>
      <c r="M215" s="1">
        <v>2.8935185185185184E-3</v>
      </c>
      <c r="N215">
        <v>2</v>
      </c>
    </row>
    <row r="216" spans="1:14" x14ac:dyDescent="0.3">
      <c r="A216" t="s">
        <v>243</v>
      </c>
      <c r="B216" t="s">
        <v>31</v>
      </c>
      <c r="C216" t="s">
        <v>205</v>
      </c>
      <c r="D216" s="1">
        <v>0.61799768518518516</v>
      </c>
      <c r="E216" s="2">
        <f>CallLog[[#This Row],[Date]]+CallLog[[#This Row],[Time]]</f>
        <v>44200.617997685185</v>
      </c>
      <c r="F216" s="1" t="str">
        <f>TEXT(CallLog[[#This Row],[Date]],"dddd")</f>
        <v>Monday</v>
      </c>
      <c r="G216" s="3">
        <f>HOUR(CallLog[[#This Row],[Time]])</f>
        <v>14</v>
      </c>
      <c r="H216" t="s">
        <v>13</v>
      </c>
      <c r="I216" t="s">
        <v>14</v>
      </c>
      <c r="J216" t="s">
        <v>14</v>
      </c>
      <c r="K216">
        <v>45</v>
      </c>
      <c r="L216" t="str">
        <f>IF(AND(CallLog[[#This Row],[Answered (Y/N)]]="Y", CallLog[[#This Row],[Speed of answer in seconds]]&lt;=20),
    "Within",
    "Breach")</f>
        <v>Breach</v>
      </c>
      <c r="M216" s="1">
        <v>2.1064814814814813E-3</v>
      </c>
      <c r="N216">
        <v>3</v>
      </c>
    </row>
    <row r="217" spans="1:14" x14ac:dyDescent="0.3">
      <c r="A217" t="s">
        <v>244</v>
      </c>
      <c r="B217" t="s">
        <v>16</v>
      </c>
      <c r="C217" t="s">
        <v>205</v>
      </c>
      <c r="D217" s="1">
        <v>0.61799768518518516</v>
      </c>
      <c r="E217" s="2">
        <f>CallLog[[#This Row],[Date]]+CallLog[[#This Row],[Time]]</f>
        <v>44200.617997685185</v>
      </c>
      <c r="F217" s="1" t="str">
        <f>TEXT(CallLog[[#This Row],[Date]],"dddd")</f>
        <v>Monday</v>
      </c>
      <c r="G217" s="3">
        <f>HOUR(CallLog[[#This Row],[Time]])</f>
        <v>14</v>
      </c>
      <c r="H217" t="s">
        <v>17</v>
      </c>
      <c r="I217" t="s">
        <v>18</v>
      </c>
      <c r="J217" t="s">
        <v>18</v>
      </c>
      <c r="L217" t="str">
        <f>IF(AND(CallLog[[#This Row],[Answered (Y/N)]]="Y", CallLog[[#This Row],[Speed of answer in seconds]]&lt;=20),
    "Within",
    "Breach")</f>
        <v>Breach</v>
      </c>
    </row>
    <row r="218" spans="1:14" x14ac:dyDescent="0.3">
      <c r="A218" t="s">
        <v>245</v>
      </c>
      <c r="B218" t="s">
        <v>22</v>
      </c>
      <c r="C218" t="s">
        <v>205</v>
      </c>
      <c r="D218" s="1">
        <v>0.64099537037037035</v>
      </c>
      <c r="E218" s="2">
        <f>CallLog[[#This Row],[Date]]+CallLog[[#This Row],[Time]]</f>
        <v>44200.64099537037</v>
      </c>
      <c r="F218" s="1" t="str">
        <f>TEXT(CallLog[[#This Row],[Date]],"dddd")</f>
        <v>Monday</v>
      </c>
      <c r="G218" s="3">
        <f>HOUR(CallLog[[#This Row],[Time]])</f>
        <v>15</v>
      </c>
      <c r="H218" t="s">
        <v>32</v>
      </c>
      <c r="I218" t="s">
        <v>14</v>
      </c>
      <c r="J218" t="s">
        <v>14</v>
      </c>
      <c r="K218">
        <v>56</v>
      </c>
      <c r="L218" t="str">
        <f>IF(AND(CallLog[[#This Row],[Answered (Y/N)]]="Y", CallLog[[#This Row],[Speed of answer in seconds]]&lt;=20),
    "Within",
    "Breach")</f>
        <v>Breach</v>
      </c>
      <c r="M218" s="1">
        <v>2.9629629629629628E-3</v>
      </c>
      <c r="N218">
        <v>4</v>
      </c>
    </row>
    <row r="219" spans="1:14" x14ac:dyDescent="0.3">
      <c r="A219" t="s">
        <v>246</v>
      </c>
      <c r="B219" t="s">
        <v>20</v>
      </c>
      <c r="C219" t="s">
        <v>205</v>
      </c>
      <c r="D219" s="1">
        <v>0.64099537037037035</v>
      </c>
      <c r="E219" s="2">
        <f>CallLog[[#This Row],[Date]]+CallLog[[#This Row],[Time]]</f>
        <v>44200.64099537037</v>
      </c>
      <c r="F219" s="1" t="str">
        <f>TEXT(CallLog[[#This Row],[Date]],"dddd")</f>
        <v>Monday</v>
      </c>
      <c r="G219" s="3">
        <f>HOUR(CallLog[[#This Row],[Time]])</f>
        <v>15</v>
      </c>
      <c r="H219" t="s">
        <v>29</v>
      </c>
      <c r="I219" t="s">
        <v>14</v>
      </c>
      <c r="J219" t="s">
        <v>14</v>
      </c>
      <c r="K219">
        <v>13</v>
      </c>
      <c r="L219" t="str">
        <f>IF(AND(CallLog[[#This Row],[Answered (Y/N)]]="Y", CallLog[[#This Row],[Speed of answer in seconds]]&lt;=20),
    "Within",
    "Breach")</f>
        <v>Within</v>
      </c>
      <c r="M219" s="1">
        <v>2.7314814814814814E-3</v>
      </c>
      <c r="N219">
        <v>2</v>
      </c>
    </row>
    <row r="220" spans="1:14" x14ac:dyDescent="0.3">
      <c r="A220" t="s">
        <v>247</v>
      </c>
      <c r="B220" t="s">
        <v>20</v>
      </c>
      <c r="C220" t="s">
        <v>205</v>
      </c>
      <c r="D220" s="1">
        <v>0.65900462962962958</v>
      </c>
      <c r="E220" s="2">
        <f>CallLog[[#This Row],[Date]]+CallLog[[#This Row],[Time]]</f>
        <v>44200.659004629626</v>
      </c>
      <c r="F220" s="1" t="str">
        <f>TEXT(CallLog[[#This Row],[Date]],"dddd")</f>
        <v>Monday</v>
      </c>
      <c r="G220" s="3">
        <f>HOUR(CallLog[[#This Row],[Time]])</f>
        <v>15</v>
      </c>
      <c r="H220" t="s">
        <v>29</v>
      </c>
      <c r="I220" t="s">
        <v>14</v>
      </c>
      <c r="J220" t="s">
        <v>14</v>
      </c>
      <c r="K220">
        <v>120</v>
      </c>
      <c r="L220" t="str">
        <f>IF(AND(CallLog[[#This Row],[Answered (Y/N)]]="Y", CallLog[[#This Row],[Speed of answer in seconds]]&lt;=20),
    "Within",
    "Breach")</f>
        <v>Breach</v>
      </c>
      <c r="M220" s="1">
        <v>4.7453703703703703E-3</v>
      </c>
      <c r="N220">
        <v>5</v>
      </c>
    </row>
    <row r="221" spans="1:14" x14ac:dyDescent="0.3">
      <c r="A221" t="s">
        <v>248</v>
      </c>
      <c r="B221" t="s">
        <v>11</v>
      </c>
      <c r="C221" t="s">
        <v>205</v>
      </c>
      <c r="D221" s="1">
        <v>0.65900462962962958</v>
      </c>
      <c r="E221" s="2">
        <f>CallLog[[#This Row],[Date]]+CallLog[[#This Row],[Time]]</f>
        <v>44200.659004629626</v>
      </c>
      <c r="F221" s="1" t="str">
        <f>TEXT(CallLog[[#This Row],[Date]],"dddd")</f>
        <v>Monday</v>
      </c>
      <c r="G221" s="3">
        <f>HOUR(CallLog[[#This Row],[Time]])</f>
        <v>15</v>
      </c>
      <c r="H221" t="s">
        <v>24</v>
      </c>
      <c r="I221" t="s">
        <v>14</v>
      </c>
      <c r="J221" t="s">
        <v>14</v>
      </c>
      <c r="K221">
        <v>22</v>
      </c>
      <c r="L221" t="str">
        <f>IF(AND(CallLog[[#This Row],[Answered (Y/N)]]="Y", CallLog[[#This Row],[Speed of answer in seconds]]&lt;=20),
    "Within",
    "Breach")</f>
        <v>Breach</v>
      </c>
      <c r="M221" s="1">
        <v>5.7870370370370367E-4</v>
      </c>
      <c r="N221">
        <v>1</v>
      </c>
    </row>
    <row r="222" spans="1:14" x14ac:dyDescent="0.3">
      <c r="A222" t="s">
        <v>249</v>
      </c>
      <c r="B222" t="s">
        <v>38</v>
      </c>
      <c r="C222" t="s">
        <v>205</v>
      </c>
      <c r="D222" s="1">
        <v>0.7</v>
      </c>
      <c r="E222" s="2">
        <f>CallLog[[#This Row],[Date]]+CallLog[[#This Row],[Time]]</f>
        <v>44200.7</v>
      </c>
      <c r="F222" s="1" t="str">
        <f>TEXT(CallLog[[#This Row],[Date]],"dddd")</f>
        <v>Monday</v>
      </c>
      <c r="G222" s="3">
        <f>HOUR(CallLog[[#This Row],[Time]])</f>
        <v>16</v>
      </c>
      <c r="H222" t="s">
        <v>24</v>
      </c>
      <c r="I222" t="s">
        <v>14</v>
      </c>
      <c r="J222" t="s">
        <v>14</v>
      </c>
      <c r="K222">
        <v>81</v>
      </c>
      <c r="L222" t="str">
        <f>IF(AND(CallLog[[#This Row],[Answered (Y/N)]]="Y", CallLog[[#This Row],[Speed of answer in seconds]]&lt;=20),
    "Within",
    "Breach")</f>
        <v>Breach</v>
      </c>
      <c r="M222" s="1">
        <v>2.3263888888888887E-3</v>
      </c>
      <c r="N222">
        <v>4</v>
      </c>
    </row>
    <row r="223" spans="1:14" x14ac:dyDescent="0.3">
      <c r="A223" t="s">
        <v>250</v>
      </c>
      <c r="B223" t="s">
        <v>31</v>
      </c>
      <c r="C223" t="s">
        <v>205</v>
      </c>
      <c r="D223" s="1">
        <v>0.7</v>
      </c>
      <c r="E223" s="2">
        <f>CallLog[[#This Row],[Date]]+CallLog[[#This Row],[Time]]</f>
        <v>44200.7</v>
      </c>
      <c r="F223" s="1" t="str">
        <f>TEXT(CallLog[[#This Row],[Date]],"dddd")</f>
        <v>Monday</v>
      </c>
      <c r="G223" s="3">
        <f>HOUR(CallLog[[#This Row],[Time]])</f>
        <v>16</v>
      </c>
      <c r="H223" t="s">
        <v>32</v>
      </c>
      <c r="I223" t="s">
        <v>18</v>
      </c>
      <c r="J223" t="s">
        <v>18</v>
      </c>
      <c r="L223" t="str">
        <f>IF(AND(CallLog[[#This Row],[Answered (Y/N)]]="Y", CallLog[[#This Row],[Speed of answer in seconds]]&lt;=20),
    "Within",
    "Breach")</f>
        <v>Breach</v>
      </c>
    </row>
    <row r="224" spans="1:14" x14ac:dyDescent="0.3">
      <c r="A224" t="s">
        <v>251</v>
      </c>
      <c r="B224" t="s">
        <v>38</v>
      </c>
      <c r="C224" t="s">
        <v>205</v>
      </c>
      <c r="D224" s="1">
        <v>0.70099537037037041</v>
      </c>
      <c r="E224" s="2">
        <f>CallLog[[#This Row],[Date]]+CallLog[[#This Row],[Time]]</f>
        <v>44200.700995370367</v>
      </c>
      <c r="F224" s="1" t="str">
        <f>TEXT(CallLog[[#This Row],[Date]],"dddd")</f>
        <v>Monday</v>
      </c>
      <c r="G224" s="3">
        <f>HOUR(CallLog[[#This Row],[Time]])</f>
        <v>16</v>
      </c>
      <c r="H224" t="s">
        <v>13</v>
      </c>
      <c r="I224" t="s">
        <v>14</v>
      </c>
      <c r="J224" t="s">
        <v>14</v>
      </c>
      <c r="K224">
        <v>71</v>
      </c>
      <c r="L224" t="str">
        <f>IF(AND(CallLog[[#This Row],[Answered (Y/N)]]="Y", CallLog[[#This Row],[Speed of answer in seconds]]&lt;=20),
    "Within",
    "Breach")</f>
        <v>Breach</v>
      </c>
      <c r="M224" s="1">
        <v>5.5555555555555556E-4</v>
      </c>
      <c r="N224">
        <v>2</v>
      </c>
    </row>
    <row r="225" spans="1:14" x14ac:dyDescent="0.3">
      <c r="A225" t="s">
        <v>252</v>
      </c>
      <c r="B225" t="s">
        <v>20</v>
      </c>
      <c r="C225" t="s">
        <v>205</v>
      </c>
      <c r="D225" s="1">
        <v>0.70099537037037041</v>
      </c>
      <c r="E225" s="2">
        <f>CallLog[[#This Row],[Date]]+CallLog[[#This Row],[Time]]</f>
        <v>44200.700995370367</v>
      </c>
      <c r="F225" s="1" t="str">
        <f>TEXT(CallLog[[#This Row],[Date]],"dddd")</f>
        <v>Monday</v>
      </c>
      <c r="G225" s="3">
        <f>HOUR(CallLog[[#This Row],[Time]])</f>
        <v>16</v>
      </c>
      <c r="H225" t="s">
        <v>24</v>
      </c>
      <c r="I225" t="s">
        <v>14</v>
      </c>
      <c r="J225" t="s">
        <v>14</v>
      </c>
      <c r="K225">
        <v>75</v>
      </c>
      <c r="L225" t="str">
        <f>IF(AND(CallLog[[#This Row],[Answered (Y/N)]]="Y", CallLog[[#This Row],[Speed of answer in seconds]]&lt;=20),
    "Within",
    "Breach")</f>
        <v>Breach</v>
      </c>
      <c r="M225" s="1">
        <v>1.0763888888888889E-3</v>
      </c>
      <c r="N225">
        <v>4</v>
      </c>
    </row>
    <row r="226" spans="1:14" x14ac:dyDescent="0.3">
      <c r="A226" t="s">
        <v>253</v>
      </c>
      <c r="B226" t="s">
        <v>38</v>
      </c>
      <c r="C226" t="s">
        <v>205</v>
      </c>
      <c r="D226" s="1">
        <v>0.70099537037037041</v>
      </c>
      <c r="E226" s="2">
        <f>CallLog[[#This Row],[Date]]+CallLog[[#This Row],[Time]]</f>
        <v>44200.700995370367</v>
      </c>
      <c r="F226" s="1" t="str">
        <f>TEXT(CallLog[[#This Row],[Date]],"dddd")</f>
        <v>Monday</v>
      </c>
      <c r="G226" s="3">
        <f>HOUR(CallLog[[#This Row],[Time]])</f>
        <v>16</v>
      </c>
      <c r="H226" t="s">
        <v>17</v>
      </c>
      <c r="I226" t="s">
        <v>14</v>
      </c>
      <c r="J226" t="s">
        <v>14</v>
      </c>
      <c r="K226">
        <v>77</v>
      </c>
      <c r="L226" t="str">
        <f>IF(AND(CallLog[[#This Row],[Answered (Y/N)]]="Y", CallLog[[#This Row],[Speed of answer in seconds]]&lt;=20),
    "Within",
    "Breach")</f>
        <v>Breach</v>
      </c>
      <c r="M226" s="1">
        <v>1.8749999999999999E-3</v>
      </c>
      <c r="N226">
        <v>4</v>
      </c>
    </row>
    <row r="227" spans="1:14" x14ac:dyDescent="0.3">
      <c r="A227" t="s">
        <v>254</v>
      </c>
      <c r="B227" t="s">
        <v>34</v>
      </c>
      <c r="C227" t="s">
        <v>205</v>
      </c>
      <c r="D227" s="1">
        <v>0.70099537037037041</v>
      </c>
      <c r="E227" s="2">
        <f>CallLog[[#This Row],[Date]]+CallLog[[#This Row],[Time]]</f>
        <v>44200.700995370367</v>
      </c>
      <c r="F227" s="1" t="str">
        <f>TEXT(CallLog[[#This Row],[Date]],"dddd")</f>
        <v>Monday</v>
      </c>
      <c r="G227" s="3">
        <f>HOUR(CallLog[[#This Row],[Time]])</f>
        <v>16</v>
      </c>
      <c r="H227" t="s">
        <v>32</v>
      </c>
      <c r="I227" t="s">
        <v>14</v>
      </c>
      <c r="J227" t="s">
        <v>14</v>
      </c>
      <c r="K227">
        <v>88</v>
      </c>
      <c r="L227" t="str">
        <f>IF(AND(CallLog[[#This Row],[Answered (Y/N)]]="Y", CallLog[[#This Row],[Speed of answer in seconds]]&lt;=20),
    "Within",
    "Breach")</f>
        <v>Breach</v>
      </c>
      <c r="M227" s="1">
        <v>4.4791666666666669E-3</v>
      </c>
      <c r="N227">
        <v>4</v>
      </c>
    </row>
    <row r="228" spans="1:14" x14ac:dyDescent="0.3">
      <c r="A228" t="s">
        <v>255</v>
      </c>
      <c r="B228" t="s">
        <v>20</v>
      </c>
      <c r="C228" t="s">
        <v>205</v>
      </c>
      <c r="D228" s="1">
        <v>0.73299768518518515</v>
      </c>
      <c r="E228" s="2">
        <f>CallLog[[#This Row],[Date]]+CallLog[[#This Row],[Time]]</f>
        <v>44200.732997685183</v>
      </c>
      <c r="F228" s="1" t="str">
        <f>TEXT(CallLog[[#This Row],[Date]],"dddd")</f>
        <v>Monday</v>
      </c>
      <c r="G228" s="3">
        <f>HOUR(CallLog[[#This Row],[Time]])</f>
        <v>17</v>
      </c>
      <c r="H228" t="s">
        <v>29</v>
      </c>
      <c r="I228" t="s">
        <v>14</v>
      </c>
      <c r="J228" t="s">
        <v>14</v>
      </c>
      <c r="K228">
        <v>82</v>
      </c>
      <c r="L228" t="str">
        <f>IF(AND(CallLog[[#This Row],[Answered (Y/N)]]="Y", CallLog[[#This Row],[Speed of answer in seconds]]&lt;=20),
    "Within",
    "Breach")</f>
        <v>Breach</v>
      </c>
      <c r="M228" s="1">
        <v>2.1412037037037038E-3</v>
      </c>
      <c r="N228">
        <v>2</v>
      </c>
    </row>
    <row r="229" spans="1:14" x14ac:dyDescent="0.3">
      <c r="A229" t="s">
        <v>256</v>
      </c>
      <c r="B229" t="s">
        <v>31</v>
      </c>
      <c r="C229" t="s">
        <v>205</v>
      </c>
      <c r="D229" s="1">
        <v>0.73299768518518515</v>
      </c>
      <c r="E229" s="2">
        <f>CallLog[[#This Row],[Date]]+CallLog[[#This Row],[Time]]</f>
        <v>44200.732997685183</v>
      </c>
      <c r="F229" s="1" t="str">
        <f>TEXT(CallLog[[#This Row],[Date]],"dddd")</f>
        <v>Monday</v>
      </c>
      <c r="G229" s="3">
        <f>HOUR(CallLog[[#This Row],[Time]])</f>
        <v>17</v>
      </c>
      <c r="H229" t="s">
        <v>17</v>
      </c>
      <c r="I229" t="s">
        <v>14</v>
      </c>
      <c r="J229" t="s">
        <v>14</v>
      </c>
      <c r="K229">
        <v>110</v>
      </c>
      <c r="L229" t="str">
        <f>IF(AND(CallLog[[#This Row],[Answered (Y/N)]]="Y", CallLog[[#This Row],[Speed of answer in seconds]]&lt;=20),
    "Within",
    "Breach")</f>
        <v>Breach</v>
      </c>
      <c r="M229" s="1">
        <v>4.5138888888888885E-3</v>
      </c>
      <c r="N229">
        <v>3</v>
      </c>
    </row>
    <row r="230" spans="1:14" x14ac:dyDescent="0.3">
      <c r="A230" t="s">
        <v>257</v>
      </c>
      <c r="B230" t="s">
        <v>38</v>
      </c>
      <c r="C230" t="s">
        <v>205</v>
      </c>
      <c r="D230" s="1">
        <v>0.73599537037037033</v>
      </c>
      <c r="E230" s="2">
        <f>CallLog[[#This Row],[Date]]+CallLog[[#This Row],[Time]]</f>
        <v>44200.735995370371</v>
      </c>
      <c r="F230" s="1" t="str">
        <f>TEXT(CallLog[[#This Row],[Date]],"dddd")</f>
        <v>Monday</v>
      </c>
      <c r="G230" s="3">
        <f>HOUR(CallLog[[#This Row],[Time]])</f>
        <v>17</v>
      </c>
      <c r="H230" t="s">
        <v>29</v>
      </c>
      <c r="I230" t="s">
        <v>14</v>
      </c>
      <c r="J230" t="s">
        <v>18</v>
      </c>
      <c r="K230">
        <v>70</v>
      </c>
      <c r="L230" t="str">
        <f>IF(AND(CallLog[[#This Row],[Answered (Y/N)]]="Y", CallLog[[#This Row],[Speed of answer in seconds]]&lt;=20),
    "Within",
    "Breach")</f>
        <v>Breach</v>
      </c>
      <c r="M230" s="1">
        <v>1.0648148148148149E-3</v>
      </c>
      <c r="N230">
        <v>3</v>
      </c>
    </row>
    <row r="231" spans="1:14" x14ac:dyDescent="0.3">
      <c r="A231" t="s">
        <v>258</v>
      </c>
      <c r="B231" t="s">
        <v>16</v>
      </c>
      <c r="C231" t="s">
        <v>205</v>
      </c>
      <c r="D231" s="1">
        <v>0.73599537037037033</v>
      </c>
      <c r="E231" s="2">
        <f>CallLog[[#This Row],[Date]]+CallLog[[#This Row],[Time]]</f>
        <v>44200.735995370371</v>
      </c>
      <c r="F231" s="1" t="str">
        <f>TEXT(CallLog[[#This Row],[Date]],"dddd")</f>
        <v>Monday</v>
      </c>
      <c r="G231" s="3">
        <f>HOUR(CallLog[[#This Row],[Time]])</f>
        <v>17</v>
      </c>
      <c r="H231" t="s">
        <v>29</v>
      </c>
      <c r="I231" t="s">
        <v>14</v>
      </c>
      <c r="J231" t="s">
        <v>14</v>
      </c>
      <c r="K231">
        <v>117</v>
      </c>
      <c r="L231" t="str">
        <f>IF(AND(CallLog[[#This Row],[Answered (Y/N)]]="Y", CallLog[[#This Row],[Speed of answer in seconds]]&lt;=20),
    "Within",
    "Breach")</f>
        <v>Breach</v>
      </c>
      <c r="M231" s="1">
        <v>2.5462962962962965E-3</v>
      </c>
      <c r="N231">
        <v>3</v>
      </c>
    </row>
    <row r="232" spans="1:14" x14ac:dyDescent="0.3">
      <c r="A232" t="s">
        <v>259</v>
      </c>
      <c r="B232" t="s">
        <v>34</v>
      </c>
      <c r="C232" t="s">
        <v>260</v>
      </c>
      <c r="D232" s="1">
        <v>0.38099537037037035</v>
      </c>
      <c r="E232" s="2">
        <f>CallLog[[#This Row],[Date]]+CallLog[[#This Row],[Time]]</f>
        <v>44201.380995370368</v>
      </c>
      <c r="F232" s="1" t="str">
        <f>TEXT(CallLog[[#This Row],[Date]],"dddd")</f>
        <v>Tuesday</v>
      </c>
      <c r="G232" s="3">
        <f>HOUR(CallLog[[#This Row],[Time]])</f>
        <v>9</v>
      </c>
      <c r="H232" t="s">
        <v>32</v>
      </c>
      <c r="I232" t="s">
        <v>14</v>
      </c>
      <c r="J232" t="s">
        <v>14</v>
      </c>
      <c r="K232">
        <v>18</v>
      </c>
      <c r="L232" t="str">
        <f>IF(AND(CallLog[[#This Row],[Answered (Y/N)]]="Y", CallLog[[#This Row],[Speed of answer in seconds]]&lt;=20),
    "Within",
    "Breach")</f>
        <v>Within</v>
      </c>
      <c r="M232" s="1">
        <v>5.7870370370370367E-4</v>
      </c>
      <c r="N232">
        <v>3</v>
      </c>
    </row>
    <row r="233" spans="1:14" x14ac:dyDescent="0.3">
      <c r="A233" t="s">
        <v>261</v>
      </c>
      <c r="B233" t="s">
        <v>34</v>
      </c>
      <c r="C233" t="s">
        <v>260</v>
      </c>
      <c r="D233" s="1">
        <v>0.38099537037037035</v>
      </c>
      <c r="E233" s="2">
        <f>CallLog[[#This Row],[Date]]+CallLog[[#This Row],[Time]]</f>
        <v>44201.380995370368</v>
      </c>
      <c r="F233" s="1" t="str">
        <f>TEXT(CallLog[[#This Row],[Date]],"dddd")</f>
        <v>Tuesday</v>
      </c>
      <c r="G233" s="3">
        <f>HOUR(CallLog[[#This Row],[Time]])</f>
        <v>9</v>
      </c>
      <c r="H233" t="s">
        <v>32</v>
      </c>
      <c r="I233" t="s">
        <v>14</v>
      </c>
      <c r="J233" t="s">
        <v>14</v>
      </c>
      <c r="K233">
        <v>113</v>
      </c>
      <c r="L233" t="str">
        <f>IF(AND(CallLog[[#This Row],[Answered (Y/N)]]="Y", CallLog[[#This Row],[Speed of answer in seconds]]&lt;=20),
    "Within",
    "Breach")</f>
        <v>Breach</v>
      </c>
      <c r="M233" s="1">
        <v>1.8055555555555555E-3</v>
      </c>
      <c r="N233">
        <v>4</v>
      </c>
    </row>
    <row r="234" spans="1:14" x14ac:dyDescent="0.3">
      <c r="A234" t="s">
        <v>262</v>
      </c>
      <c r="B234" t="s">
        <v>20</v>
      </c>
      <c r="C234" t="s">
        <v>260</v>
      </c>
      <c r="D234" s="1">
        <v>0.39299768518518519</v>
      </c>
      <c r="E234" s="2">
        <f>CallLog[[#This Row],[Date]]+CallLog[[#This Row],[Time]]</f>
        <v>44201.392997685187</v>
      </c>
      <c r="F234" s="1" t="str">
        <f>TEXT(CallLog[[#This Row],[Date]],"dddd")</f>
        <v>Tuesday</v>
      </c>
      <c r="G234" s="3">
        <f>HOUR(CallLog[[#This Row],[Time]])</f>
        <v>9</v>
      </c>
      <c r="H234" t="s">
        <v>13</v>
      </c>
      <c r="I234" t="s">
        <v>14</v>
      </c>
      <c r="J234" t="s">
        <v>18</v>
      </c>
      <c r="K234">
        <v>68</v>
      </c>
      <c r="L234" t="str">
        <f>IF(AND(CallLog[[#This Row],[Answered (Y/N)]]="Y", CallLog[[#This Row],[Speed of answer in seconds]]&lt;=20),
    "Within",
    "Breach")</f>
        <v>Breach</v>
      </c>
      <c r="M234" s="1">
        <v>2.4189814814814816E-3</v>
      </c>
      <c r="N234">
        <v>5</v>
      </c>
    </row>
    <row r="235" spans="1:14" x14ac:dyDescent="0.3">
      <c r="A235" t="s">
        <v>263</v>
      </c>
      <c r="B235" t="s">
        <v>22</v>
      </c>
      <c r="C235" t="s">
        <v>260</v>
      </c>
      <c r="D235" s="1">
        <v>0.39299768518518519</v>
      </c>
      <c r="E235" s="2">
        <f>CallLog[[#This Row],[Date]]+CallLog[[#This Row],[Time]]</f>
        <v>44201.392997685187</v>
      </c>
      <c r="F235" s="1" t="str">
        <f>TEXT(CallLog[[#This Row],[Date]],"dddd")</f>
        <v>Tuesday</v>
      </c>
      <c r="G235" s="3">
        <f>HOUR(CallLog[[#This Row],[Time]])</f>
        <v>9</v>
      </c>
      <c r="H235" t="s">
        <v>24</v>
      </c>
      <c r="I235" t="s">
        <v>14</v>
      </c>
      <c r="J235" t="s">
        <v>14</v>
      </c>
      <c r="K235">
        <v>67</v>
      </c>
      <c r="L235" t="str">
        <f>IF(AND(CallLog[[#This Row],[Answered (Y/N)]]="Y", CallLog[[#This Row],[Speed of answer in seconds]]&lt;=20),
    "Within",
    "Breach")</f>
        <v>Breach</v>
      </c>
      <c r="M235" s="1">
        <v>2.9398148148148148E-3</v>
      </c>
      <c r="N235">
        <v>5</v>
      </c>
    </row>
    <row r="236" spans="1:14" x14ac:dyDescent="0.3">
      <c r="A236" t="s">
        <v>264</v>
      </c>
      <c r="B236" t="s">
        <v>34</v>
      </c>
      <c r="C236" t="s">
        <v>260</v>
      </c>
      <c r="D236" s="1">
        <v>0.39799768518518519</v>
      </c>
      <c r="E236" s="2">
        <f>CallLog[[#This Row],[Date]]+CallLog[[#This Row],[Time]]</f>
        <v>44201.397997685184</v>
      </c>
      <c r="F236" s="1" t="str">
        <f>TEXT(CallLog[[#This Row],[Date]],"dddd")</f>
        <v>Tuesday</v>
      </c>
      <c r="G236" s="3">
        <f>HOUR(CallLog[[#This Row],[Time]])</f>
        <v>9</v>
      </c>
      <c r="H236" t="s">
        <v>17</v>
      </c>
      <c r="I236" t="s">
        <v>14</v>
      </c>
      <c r="J236" t="s">
        <v>14</v>
      </c>
      <c r="K236">
        <v>36</v>
      </c>
      <c r="L236" t="str">
        <f>IF(AND(CallLog[[#This Row],[Answered (Y/N)]]="Y", CallLog[[#This Row],[Speed of answer in seconds]]&lt;=20),
    "Within",
    "Breach")</f>
        <v>Breach</v>
      </c>
      <c r="M236" s="1">
        <v>7.7546296296296293E-4</v>
      </c>
      <c r="N236">
        <v>5</v>
      </c>
    </row>
    <row r="237" spans="1:14" x14ac:dyDescent="0.3">
      <c r="A237" t="s">
        <v>265</v>
      </c>
      <c r="B237" t="s">
        <v>20</v>
      </c>
      <c r="C237" t="s">
        <v>260</v>
      </c>
      <c r="D237" s="1">
        <v>0.39799768518518519</v>
      </c>
      <c r="E237" s="2">
        <f>CallLog[[#This Row],[Date]]+CallLog[[#This Row],[Time]]</f>
        <v>44201.397997685184</v>
      </c>
      <c r="F237" s="1" t="str">
        <f>TEXT(CallLog[[#This Row],[Date]],"dddd")</f>
        <v>Tuesday</v>
      </c>
      <c r="G237" s="3">
        <f>HOUR(CallLog[[#This Row],[Time]])</f>
        <v>9</v>
      </c>
      <c r="H237" t="s">
        <v>32</v>
      </c>
      <c r="I237" t="s">
        <v>18</v>
      </c>
      <c r="J237" t="s">
        <v>18</v>
      </c>
      <c r="L237" t="str">
        <f>IF(AND(CallLog[[#This Row],[Answered (Y/N)]]="Y", CallLog[[#This Row],[Speed of answer in seconds]]&lt;=20),
    "Within",
    "Breach")</f>
        <v>Breach</v>
      </c>
    </row>
    <row r="238" spans="1:14" x14ac:dyDescent="0.3">
      <c r="A238" t="s">
        <v>266</v>
      </c>
      <c r="B238" t="s">
        <v>16</v>
      </c>
      <c r="C238" t="s">
        <v>260</v>
      </c>
      <c r="D238" s="1">
        <v>0.41700231481481481</v>
      </c>
      <c r="E238" s="2">
        <f>CallLog[[#This Row],[Date]]+CallLog[[#This Row],[Time]]</f>
        <v>44201.417002314818</v>
      </c>
      <c r="F238" s="1" t="str">
        <f>TEXT(CallLog[[#This Row],[Date]],"dddd")</f>
        <v>Tuesday</v>
      </c>
      <c r="G238" s="3">
        <f>HOUR(CallLog[[#This Row],[Time]])</f>
        <v>10</v>
      </c>
      <c r="H238" t="s">
        <v>17</v>
      </c>
      <c r="I238" t="s">
        <v>14</v>
      </c>
      <c r="J238" t="s">
        <v>14</v>
      </c>
      <c r="K238">
        <v>33</v>
      </c>
      <c r="L238" t="str">
        <f>IF(AND(CallLog[[#This Row],[Answered (Y/N)]]="Y", CallLog[[#This Row],[Speed of answer in seconds]]&lt;=20),
    "Within",
    "Breach")</f>
        <v>Breach</v>
      </c>
      <c r="M238" s="1">
        <v>1.736111111111111E-3</v>
      </c>
      <c r="N238">
        <v>1</v>
      </c>
    </row>
    <row r="239" spans="1:14" x14ac:dyDescent="0.3">
      <c r="A239" t="s">
        <v>267</v>
      </c>
      <c r="B239" t="s">
        <v>47</v>
      </c>
      <c r="C239" t="s">
        <v>260</v>
      </c>
      <c r="D239" s="1">
        <v>0.41700231481481481</v>
      </c>
      <c r="E239" s="2">
        <f>CallLog[[#This Row],[Date]]+CallLog[[#This Row],[Time]]</f>
        <v>44201.417002314818</v>
      </c>
      <c r="F239" s="1" t="str">
        <f>TEXT(CallLog[[#This Row],[Date]],"dddd")</f>
        <v>Tuesday</v>
      </c>
      <c r="G239" s="3">
        <f>HOUR(CallLog[[#This Row],[Time]])</f>
        <v>10</v>
      </c>
      <c r="H239" t="s">
        <v>13</v>
      </c>
      <c r="I239" t="s">
        <v>14</v>
      </c>
      <c r="J239" t="s">
        <v>14</v>
      </c>
      <c r="K239">
        <v>113</v>
      </c>
      <c r="L239" t="str">
        <f>IF(AND(CallLog[[#This Row],[Answered (Y/N)]]="Y", CallLog[[#This Row],[Speed of answer in seconds]]&lt;=20),
    "Within",
    "Breach")</f>
        <v>Breach</v>
      </c>
      <c r="M239" s="1">
        <v>1.3773148148148147E-3</v>
      </c>
      <c r="N239">
        <v>5</v>
      </c>
    </row>
    <row r="240" spans="1:14" x14ac:dyDescent="0.3">
      <c r="A240" t="s">
        <v>268</v>
      </c>
      <c r="B240" t="s">
        <v>22</v>
      </c>
      <c r="C240" t="s">
        <v>260</v>
      </c>
      <c r="D240" s="1">
        <v>0.45099537037037035</v>
      </c>
      <c r="E240" s="2">
        <f>CallLog[[#This Row],[Date]]+CallLog[[#This Row],[Time]]</f>
        <v>44201.450995370367</v>
      </c>
      <c r="F240" s="1" t="str">
        <f>TEXT(CallLog[[#This Row],[Date]],"dddd")</f>
        <v>Tuesday</v>
      </c>
      <c r="G240" s="3">
        <f>HOUR(CallLog[[#This Row],[Time]])</f>
        <v>10</v>
      </c>
      <c r="H240" t="s">
        <v>13</v>
      </c>
      <c r="I240" t="s">
        <v>14</v>
      </c>
      <c r="J240" t="s">
        <v>14</v>
      </c>
      <c r="K240">
        <v>106</v>
      </c>
      <c r="L240" t="str">
        <f>IF(AND(CallLog[[#This Row],[Answered (Y/N)]]="Y", CallLog[[#This Row],[Speed of answer in seconds]]&lt;=20),
    "Within",
    "Breach")</f>
        <v>Breach</v>
      </c>
      <c r="M240" s="1">
        <v>4.386574074074074E-3</v>
      </c>
      <c r="N240">
        <v>3</v>
      </c>
    </row>
    <row r="241" spans="1:14" x14ac:dyDescent="0.3">
      <c r="A241" t="s">
        <v>269</v>
      </c>
      <c r="B241" t="s">
        <v>34</v>
      </c>
      <c r="C241" t="s">
        <v>260</v>
      </c>
      <c r="D241" s="1">
        <v>0.45099537037037035</v>
      </c>
      <c r="E241" s="2">
        <f>CallLog[[#This Row],[Date]]+CallLog[[#This Row],[Time]]</f>
        <v>44201.450995370367</v>
      </c>
      <c r="F241" s="1" t="str">
        <f>TEXT(CallLog[[#This Row],[Date]],"dddd")</f>
        <v>Tuesday</v>
      </c>
      <c r="G241" s="3">
        <f>HOUR(CallLog[[#This Row],[Time]])</f>
        <v>10</v>
      </c>
      <c r="H241" t="s">
        <v>32</v>
      </c>
      <c r="I241" t="s">
        <v>14</v>
      </c>
      <c r="J241" t="s">
        <v>14</v>
      </c>
      <c r="K241">
        <v>23</v>
      </c>
      <c r="L241" t="str">
        <f>IF(AND(CallLog[[#This Row],[Answered (Y/N)]]="Y", CallLog[[#This Row],[Speed of answer in seconds]]&lt;=20),
    "Within",
    "Breach")</f>
        <v>Breach</v>
      </c>
      <c r="M241" s="1">
        <v>3.460648148148148E-3</v>
      </c>
      <c r="N241">
        <v>3</v>
      </c>
    </row>
    <row r="242" spans="1:14" x14ac:dyDescent="0.3">
      <c r="A242" t="s">
        <v>270</v>
      </c>
      <c r="B242" t="s">
        <v>34</v>
      </c>
      <c r="C242" t="s">
        <v>260</v>
      </c>
      <c r="D242" s="1">
        <v>0.48</v>
      </c>
      <c r="E242" s="2">
        <f>CallLog[[#This Row],[Date]]+CallLog[[#This Row],[Time]]</f>
        <v>44201.48</v>
      </c>
      <c r="F242" s="1" t="str">
        <f>TEXT(CallLog[[#This Row],[Date]],"dddd")</f>
        <v>Tuesday</v>
      </c>
      <c r="G242" s="3">
        <f>HOUR(CallLog[[#This Row],[Time]])</f>
        <v>11</v>
      </c>
      <c r="H242" t="s">
        <v>32</v>
      </c>
      <c r="I242" t="s">
        <v>18</v>
      </c>
      <c r="J242" t="s">
        <v>18</v>
      </c>
      <c r="L242" t="str">
        <f>IF(AND(CallLog[[#This Row],[Answered (Y/N)]]="Y", CallLog[[#This Row],[Speed of answer in seconds]]&lt;=20),
    "Within",
    "Breach")</f>
        <v>Breach</v>
      </c>
    </row>
    <row r="243" spans="1:14" x14ac:dyDescent="0.3">
      <c r="A243" t="s">
        <v>271</v>
      </c>
      <c r="B243" t="s">
        <v>22</v>
      </c>
      <c r="C243" t="s">
        <v>260</v>
      </c>
      <c r="D243" s="1">
        <v>0.48</v>
      </c>
      <c r="E243" s="2">
        <f>CallLog[[#This Row],[Date]]+CallLog[[#This Row],[Time]]</f>
        <v>44201.48</v>
      </c>
      <c r="F243" s="1" t="str">
        <f>TEXT(CallLog[[#This Row],[Date]],"dddd")</f>
        <v>Tuesday</v>
      </c>
      <c r="G243" s="3">
        <f>HOUR(CallLog[[#This Row],[Time]])</f>
        <v>11</v>
      </c>
      <c r="H243" t="s">
        <v>24</v>
      </c>
      <c r="I243" t="s">
        <v>14</v>
      </c>
      <c r="J243" t="s">
        <v>14</v>
      </c>
      <c r="K243">
        <v>11</v>
      </c>
      <c r="L243" t="str">
        <f>IF(AND(CallLog[[#This Row],[Answered (Y/N)]]="Y", CallLog[[#This Row],[Speed of answer in seconds]]&lt;=20),
    "Within",
    "Breach")</f>
        <v>Within</v>
      </c>
      <c r="M243" s="1">
        <v>3.2638888888888891E-3</v>
      </c>
      <c r="N243">
        <v>1</v>
      </c>
    </row>
    <row r="244" spans="1:14" x14ac:dyDescent="0.3">
      <c r="A244" t="s">
        <v>272</v>
      </c>
      <c r="B244" t="s">
        <v>22</v>
      </c>
      <c r="C244" t="s">
        <v>260</v>
      </c>
      <c r="D244" s="1">
        <v>0.48700231481481482</v>
      </c>
      <c r="E244" s="2">
        <f>CallLog[[#This Row],[Date]]+CallLog[[#This Row],[Time]]</f>
        <v>44201.487002314818</v>
      </c>
      <c r="F244" s="1" t="str">
        <f>TEXT(CallLog[[#This Row],[Date]],"dddd")</f>
        <v>Tuesday</v>
      </c>
      <c r="G244" s="3">
        <f>HOUR(CallLog[[#This Row],[Time]])</f>
        <v>11</v>
      </c>
      <c r="H244" t="s">
        <v>13</v>
      </c>
      <c r="I244" t="s">
        <v>14</v>
      </c>
      <c r="J244" t="s">
        <v>14</v>
      </c>
      <c r="K244">
        <v>73</v>
      </c>
      <c r="L244" t="str">
        <f>IF(AND(CallLog[[#This Row],[Answered (Y/N)]]="Y", CallLog[[#This Row],[Speed of answer in seconds]]&lt;=20),
    "Within",
    "Breach")</f>
        <v>Breach</v>
      </c>
      <c r="M244" s="1">
        <v>3.2986111111111111E-3</v>
      </c>
      <c r="N244">
        <v>5</v>
      </c>
    </row>
    <row r="245" spans="1:14" x14ac:dyDescent="0.3">
      <c r="A245" t="s">
        <v>273</v>
      </c>
      <c r="B245" t="s">
        <v>47</v>
      </c>
      <c r="C245" t="s">
        <v>260</v>
      </c>
      <c r="D245" s="1">
        <v>0.48700231481481482</v>
      </c>
      <c r="E245" s="2">
        <f>CallLog[[#This Row],[Date]]+CallLog[[#This Row],[Time]]</f>
        <v>44201.487002314818</v>
      </c>
      <c r="F245" s="1" t="str">
        <f>TEXT(CallLog[[#This Row],[Date]],"dddd")</f>
        <v>Tuesday</v>
      </c>
      <c r="G245" s="3">
        <f>HOUR(CallLog[[#This Row],[Time]])</f>
        <v>11</v>
      </c>
      <c r="H245" t="s">
        <v>29</v>
      </c>
      <c r="I245" t="s">
        <v>14</v>
      </c>
      <c r="J245" t="s">
        <v>14</v>
      </c>
      <c r="K245">
        <v>109</v>
      </c>
      <c r="L245" t="str">
        <f>IF(AND(CallLog[[#This Row],[Answered (Y/N)]]="Y", CallLog[[#This Row],[Speed of answer in seconds]]&lt;=20),
    "Within",
    "Breach")</f>
        <v>Breach</v>
      </c>
      <c r="M245" s="1">
        <v>3.3449074074074076E-3</v>
      </c>
      <c r="N245">
        <v>5</v>
      </c>
    </row>
    <row r="246" spans="1:14" x14ac:dyDescent="0.3">
      <c r="A246" t="s">
        <v>274</v>
      </c>
      <c r="B246" t="s">
        <v>38</v>
      </c>
      <c r="C246" t="s">
        <v>260</v>
      </c>
      <c r="D246" s="1">
        <v>0.49299768518518516</v>
      </c>
      <c r="E246" s="2">
        <f>CallLog[[#This Row],[Date]]+CallLog[[#This Row],[Time]]</f>
        <v>44201.492997685185</v>
      </c>
      <c r="F246" s="1" t="str">
        <f>TEXT(CallLog[[#This Row],[Date]],"dddd")</f>
        <v>Tuesday</v>
      </c>
      <c r="G246" s="3">
        <f>HOUR(CallLog[[#This Row],[Time]])</f>
        <v>11</v>
      </c>
      <c r="H246" t="s">
        <v>24</v>
      </c>
      <c r="I246" t="s">
        <v>14</v>
      </c>
      <c r="J246" t="s">
        <v>14</v>
      </c>
      <c r="K246">
        <v>29</v>
      </c>
      <c r="L246" t="str">
        <f>IF(AND(CallLog[[#This Row],[Answered (Y/N)]]="Y", CallLog[[#This Row],[Speed of answer in seconds]]&lt;=20),
    "Within",
    "Breach")</f>
        <v>Breach</v>
      </c>
      <c r="M246" s="1">
        <v>2.9398148148148148E-3</v>
      </c>
      <c r="N246">
        <v>4</v>
      </c>
    </row>
    <row r="247" spans="1:14" x14ac:dyDescent="0.3">
      <c r="A247" t="s">
        <v>275</v>
      </c>
      <c r="B247" t="s">
        <v>47</v>
      </c>
      <c r="C247" t="s">
        <v>260</v>
      </c>
      <c r="D247" s="1">
        <v>0.49299768518518516</v>
      </c>
      <c r="E247" s="2">
        <f>CallLog[[#This Row],[Date]]+CallLog[[#This Row],[Time]]</f>
        <v>44201.492997685185</v>
      </c>
      <c r="F247" s="1" t="str">
        <f>TEXT(CallLog[[#This Row],[Date]],"dddd")</f>
        <v>Tuesday</v>
      </c>
      <c r="G247" s="3">
        <f>HOUR(CallLog[[#This Row],[Time]])</f>
        <v>11</v>
      </c>
      <c r="H247" t="s">
        <v>32</v>
      </c>
      <c r="I247" t="s">
        <v>18</v>
      </c>
      <c r="J247" t="s">
        <v>18</v>
      </c>
      <c r="L247" t="str">
        <f>IF(AND(CallLog[[#This Row],[Answered (Y/N)]]="Y", CallLog[[#This Row],[Speed of answer in seconds]]&lt;=20),
    "Within",
    "Breach")</f>
        <v>Breach</v>
      </c>
    </row>
    <row r="248" spans="1:14" x14ac:dyDescent="0.3">
      <c r="A248" t="s">
        <v>276</v>
      </c>
      <c r="B248" t="s">
        <v>16</v>
      </c>
      <c r="C248" t="s">
        <v>260</v>
      </c>
      <c r="D248" s="1">
        <v>0.49299768518518516</v>
      </c>
      <c r="E248" s="2">
        <f>CallLog[[#This Row],[Date]]+CallLog[[#This Row],[Time]]</f>
        <v>44201.492997685185</v>
      </c>
      <c r="F248" s="1" t="str">
        <f>TEXT(CallLog[[#This Row],[Date]],"dddd")</f>
        <v>Tuesday</v>
      </c>
      <c r="G248" s="3">
        <f>HOUR(CallLog[[#This Row],[Time]])</f>
        <v>11</v>
      </c>
      <c r="H248" t="s">
        <v>29</v>
      </c>
      <c r="I248" t="s">
        <v>14</v>
      </c>
      <c r="J248" t="s">
        <v>14</v>
      </c>
      <c r="K248">
        <v>81</v>
      </c>
      <c r="L248" t="str">
        <f>IF(AND(CallLog[[#This Row],[Answered (Y/N)]]="Y", CallLog[[#This Row],[Speed of answer in seconds]]&lt;=20),
    "Within",
    "Breach")</f>
        <v>Breach</v>
      </c>
      <c r="M248" s="1">
        <v>8.564814814814815E-4</v>
      </c>
      <c r="N248">
        <v>4</v>
      </c>
    </row>
    <row r="249" spans="1:14" x14ac:dyDescent="0.3">
      <c r="A249" t="s">
        <v>277</v>
      </c>
      <c r="B249" t="s">
        <v>22</v>
      </c>
      <c r="C249" t="s">
        <v>260</v>
      </c>
      <c r="D249" s="1">
        <v>0.49299768518518516</v>
      </c>
      <c r="E249" s="2">
        <f>CallLog[[#This Row],[Date]]+CallLog[[#This Row],[Time]]</f>
        <v>44201.492997685185</v>
      </c>
      <c r="F249" s="1" t="str">
        <f>TEXT(CallLog[[#This Row],[Date]],"dddd")</f>
        <v>Tuesday</v>
      </c>
      <c r="G249" s="3">
        <f>HOUR(CallLog[[#This Row],[Time]])</f>
        <v>11</v>
      </c>
      <c r="H249" t="s">
        <v>13</v>
      </c>
      <c r="I249" t="s">
        <v>14</v>
      </c>
      <c r="J249" t="s">
        <v>14</v>
      </c>
      <c r="K249">
        <v>59</v>
      </c>
      <c r="L249" t="str">
        <f>IF(AND(CallLog[[#This Row],[Answered (Y/N)]]="Y", CallLog[[#This Row],[Speed of answer in seconds]]&lt;=20),
    "Within",
    "Breach")</f>
        <v>Breach</v>
      </c>
      <c r="M249" s="1">
        <v>2.685185185185185E-3</v>
      </c>
      <c r="N249">
        <v>1</v>
      </c>
    </row>
    <row r="250" spans="1:14" x14ac:dyDescent="0.3">
      <c r="A250" t="s">
        <v>278</v>
      </c>
      <c r="B250" t="s">
        <v>16</v>
      </c>
      <c r="C250" t="s">
        <v>260</v>
      </c>
      <c r="D250" s="1">
        <v>0.5</v>
      </c>
      <c r="E250" s="2">
        <f>CallLog[[#This Row],[Date]]+CallLog[[#This Row],[Time]]</f>
        <v>44201.5</v>
      </c>
      <c r="F250" s="1" t="str">
        <f>TEXT(CallLog[[#This Row],[Date]],"dddd")</f>
        <v>Tuesday</v>
      </c>
      <c r="G250" s="3">
        <f>HOUR(CallLog[[#This Row],[Time]])</f>
        <v>12</v>
      </c>
      <c r="H250" t="s">
        <v>32</v>
      </c>
      <c r="I250" t="s">
        <v>14</v>
      </c>
      <c r="J250" t="s">
        <v>14</v>
      </c>
      <c r="K250">
        <v>32</v>
      </c>
      <c r="L250" t="str">
        <f>IF(AND(CallLog[[#This Row],[Answered (Y/N)]]="Y", CallLog[[#This Row],[Speed of answer in seconds]]&lt;=20),
    "Within",
    "Breach")</f>
        <v>Breach</v>
      </c>
      <c r="M250" s="1">
        <v>4.5023148148148149E-3</v>
      </c>
      <c r="N250">
        <v>4</v>
      </c>
    </row>
    <row r="251" spans="1:14" x14ac:dyDescent="0.3">
      <c r="A251" t="s">
        <v>279</v>
      </c>
      <c r="B251" t="s">
        <v>38</v>
      </c>
      <c r="C251" t="s">
        <v>260</v>
      </c>
      <c r="D251" s="1">
        <v>0.5</v>
      </c>
      <c r="E251" s="2">
        <f>CallLog[[#This Row],[Date]]+CallLog[[#This Row],[Time]]</f>
        <v>44201.5</v>
      </c>
      <c r="F251" s="1" t="str">
        <f>TEXT(CallLog[[#This Row],[Date]],"dddd")</f>
        <v>Tuesday</v>
      </c>
      <c r="G251" s="3">
        <f>HOUR(CallLog[[#This Row],[Time]])</f>
        <v>12</v>
      </c>
      <c r="H251" t="s">
        <v>29</v>
      </c>
      <c r="I251" t="s">
        <v>14</v>
      </c>
      <c r="J251" t="s">
        <v>14</v>
      </c>
      <c r="K251">
        <v>116</v>
      </c>
      <c r="L251" t="str">
        <f>IF(AND(CallLog[[#This Row],[Answered (Y/N)]]="Y", CallLog[[#This Row],[Speed of answer in seconds]]&lt;=20),
    "Within",
    "Breach")</f>
        <v>Breach</v>
      </c>
      <c r="M251" s="1">
        <v>4.861111111111111E-4</v>
      </c>
      <c r="N251">
        <v>4</v>
      </c>
    </row>
    <row r="252" spans="1:14" x14ac:dyDescent="0.3">
      <c r="A252" t="s">
        <v>280</v>
      </c>
      <c r="B252" t="s">
        <v>11</v>
      </c>
      <c r="C252" t="s">
        <v>260</v>
      </c>
      <c r="D252" s="1">
        <v>0.50900462962962967</v>
      </c>
      <c r="E252" s="2">
        <f>CallLog[[#This Row],[Date]]+CallLog[[#This Row],[Time]]</f>
        <v>44201.509004629632</v>
      </c>
      <c r="F252" s="1" t="str">
        <f>TEXT(CallLog[[#This Row],[Date]],"dddd")</f>
        <v>Tuesday</v>
      </c>
      <c r="G252" s="3">
        <f>HOUR(CallLog[[#This Row],[Time]])</f>
        <v>12</v>
      </c>
      <c r="H252" t="s">
        <v>24</v>
      </c>
      <c r="I252" t="s">
        <v>14</v>
      </c>
      <c r="J252" t="s">
        <v>14</v>
      </c>
      <c r="K252">
        <v>92</v>
      </c>
      <c r="L252" t="str">
        <f>IF(AND(CallLog[[#This Row],[Answered (Y/N)]]="Y", CallLog[[#This Row],[Speed of answer in seconds]]&lt;=20),
    "Within",
    "Breach")</f>
        <v>Breach</v>
      </c>
      <c r="M252" s="1">
        <v>1.3310185185185185E-3</v>
      </c>
      <c r="N252">
        <v>5</v>
      </c>
    </row>
    <row r="253" spans="1:14" x14ac:dyDescent="0.3">
      <c r="A253" t="s">
        <v>281</v>
      </c>
      <c r="B253" t="s">
        <v>22</v>
      </c>
      <c r="C253" t="s">
        <v>260</v>
      </c>
      <c r="D253" s="1">
        <v>0.50900462962962967</v>
      </c>
      <c r="E253" s="2">
        <f>CallLog[[#This Row],[Date]]+CallLog[[#This Row],[Time]]</f>
        <v>44201.509004629632</v>
      </c>
      <c r="F253" s="1" t="str">
        <f>TEXT(CallLog[[#This Row],[Date]],"dddd")</f>
        <v>Tuesday</v>
      </c>
      <c r="G253" s="3">
        <f>HOUR(CallLog[[#This Row],[Time]])</f>
        <v>12</v>
      </c>
      <c r="H253" t="s">
        <v>32</v>
      </c>
      <c r="I253" t="s">
        <v>14</v>
      </c>
      <c r="J253" t="s">
        <v>14</v>
      </c>
      <c r="K253">
        <v>62</v>
      </c>
      <c r="L253" t="str">
        <f>IF(AND(CallLog[[#This Row],[Answered (Y/N)]]="Y", CallLog[[#This Row],[Speed of answer in seconds]]&lt;=20),
    "Within",
    "Breach")</f>
        <v>Breach</v>
      </c>
      <c r="M253" s="1">
        <v>4.1898148148148146E-3</v>
      </c>
      <c r="N253">
        <v>5</v>
      </c>
    </row>
    <row r="254" spans="1:14" x14ac:dyDescent="0.3">
      <c r="A254" t="s">
        <v>282</v>
      </c>
      <c r="B254" t="s">
        <v>34</v>
      </c>
      <c r="C254" t="s">
        <v>260</v>
      </c>
      <c r="D254" s="1">
        <v>0.54500000000000004</v>
      </c>
      <c r="E254" s="2">
        <f>CallLog[[#This Row],[Date]]+CallLog[[#This Row],[Time]]</f>
        <v>44201.544999999998</v>
      </c>
      <c r="F254" s="1" t="str">
        <f>TEXT(CallLog[[#This Row],[Date]],"dddd")</f>
        <v>Tuesday</v>
      </c>
      <c r="G254" s="3">
        <f>HOUR(CallLog[[#This Row],[Time]])</f>
        <v>13</v>
      </c>
      <c r="H254" t="s">
        <v>24</v>
      </c>
      <c r="I254" t="s">
        <v>14</v>
      </c>
      <c r="J254" t="s">
        <v>14</v>
      </c>
      <c r="K254">
        <v>83</v>
      </c>
      <c r="L254" t="str">
        <f>IF(AND(CallLog[[#This Row],[Answered (Y/N)]]="Y", CallLog[[#This Row],[Speed of answer in seconds]]&lt;=20),
    "Within",
    "Breach")</f>
        <v>Breach</v>
      </c>
      <c r="M254" s="1">
        <v>1.3078703703703703E-3</v>
      </c>
      <c r="N254">
        <v>5</v>
      </c>
    </row>
    <row r="255" spans="1:14" x14ac:dyDescent="0.3">
      <c r="A255" t="s">
        <v>283</v>
      </c>
      <c r="B255" t="s">
        <v>34</v>
      </c>
      <c r="C255" t="s">
        <v>260</v>
      </c>
      <c r="D255" s="1">
        <v>0.54500000000000004</v>
      </c>
      <c r="E255" s="2">
        <f>CallLog[[#This Row],[Date]]+CallLog[[#This Row],[Time]]</f>
        <v>44201.544999999998</v>
      </c>
      <c r="F255" s="1" t="str">
        <f>TEXT(CallLog[[#This Row],[Date]],"dddd")</f>
        <v>Tuesday</v>
      </c>
      <c r="G255" s="3">
        <f>HOUR(CallLog[[#This Row],[Time]])</f>
        <v>13</v>
      </c>
      <c r="H255" t="s">
        <v>29</v>
      </c>
      <c r="I255" t="s">
        <v>14</v>
      </c>
      <c r="J255" t="s">
        <v>14</v>
      </c>
      <c r="K255">
        <v>71</v>
      </c>
      <c r="L255" t="str">
        <f>IF(AND(CallLog[[#This Row],[Answered (Y/N)]]="Y", CallLog[[#This Row],[Speed of answer in seconds]]&lt;=20),
    "Within",
    "Breach")</f>
        <v>Breach</v>
      </c>
      <c r="M255" s="1">
        <v>1.7476851851851852E-3</v>
      </c>
      <c r="N255">
        <v>3</v>
      </c>
    </row>
    <row r="256" spans="1:14" x14ac:dyDescent="0.3">
      <c r="A256" t="s">
        <v>284</v>
      </c>
      <c r="B256" t="s">
        <v>22</v>
      </c>
      <c r="C256" t="s">
        <v>260</v>
      </c>
      <c r="D256" s="1">
        <v>0.58299768518518513</v>
      </c>
      <c r="E256" s="2">
        <f>CallLog[[#This Row],[Date]]+CallLog[[#This Row],[Time]]</f>
        <v>44201.582997685182</v>
      </c>
      <c r="F256" s="1" t="str">
        <f>TEXT(CallLog[[#This Row],[Date]],"dddd")</f>
        <v>Tuesday</v>
      </c>
      <c r="G256" s="3">
        <f>HOUR(CallLog[[#This Row],[Time]])</f>
        <v>13</v>
      </c>
      <c r="H256" t="s">
        <v>29</v>
      </c>
      <c r="I256" t="s">
        <v>14</v>
      </c>
      <c r="J256" t="s">
        <v>18</v>
      </c>
      <c r="K256">
        <v>74</v>
      </c>
      <c r="L256" t="str">
        <f>IF(AND(CallLog[[#This Row],[Answered (Y/N)]]="Y", CallLog[[#This Row],[Speed of answer in seconds]]&lt;=20),
    "Within",
    "Breach")</f>
        <v>Breach</v>
      </c>
      <c r="M256" s="1">
        <v>3.1481481481481482E-3</v>
      </c>
      <c r="N256">
        <v>3</v>
      </c>
    </row>
    <row r="257" spans="1:14" x14ac:dyDescent="0.3">
      <c r="A257" t="s">
        <v>285</v>
      </c>
      <c r="B257" t="s">
        <v>34</v>
      </c>
      <c r="C257" t="s">
        <v>260</v>
      </c>
      <c r="D257" s="1">
        <v>0.58299768518518513</v>
      </c>
      <c r="E257" s="2">
        <f>CallLog[[#This Row],[Date]]+CallLog[[#This Row],[Time]]</f>
        <v>44201.582997685182</v>
      </c>
      <c r="F257" s="1" t="str">
        <f>TEXT(CallLog[[#This Row],[Date]],"dddd")</f>
        <v>Tuesday</v>
      </c>
      <c r="G257" s="3">
        <f>HOUR(CallLog[[#This Row],[Time]])</f>
        <v>13</v>
      </c>
      <c r="H257" t="s">
        <v>17</v>
      </c>
      <c r="I257" t="s">
        <v>14</v>
      </c>
      <c r="J257" t="s">
        <v>14</v>
      </c>
      <c r="K257">
        <v>96</v>
      </c>
      <c r="L257" t="str">
        <f>IF(AND(CallLog[[#This Row],[Answered (Y/N)]]="Y", CallLog[[#This Row],[Speed of answer in seconds]]&lt;=20),
    "Within",
    "Breach")</f>
        <v>Breach</v>
      </c>
      <c r="M257" s="1">
        <v>4.0046296296296297E-3</v>
      </c>
      <c r="N257">
        <v>4</v>
      </c>
    </row>
    <row r="258" spans="1:14" x14ac:dyDescent="0.3">
      <c r="A258" t="s">
        <v>286</v>
      </c>
      <c r="B258" t="s">
        <v>11</v>
      </c>
      <c r="C258" t="s">
        <v>260</v>
      </c>
      <c r="D258" s="1">
        <v>0.61299768518518516</v>
      </c>
      <c r="E258" s="2">
        <f>CallLog[[#This Row],[Date]]+CallLog[[#This Row],[Time]]</f>
        <v>44201.612997685188</v>
      </c>
      <c r="F258" s="1" t="str">
        <f>TEXT(CallLog[[#This Row],[Date]],"dddd")</f>
        <v>Tuesday</v>
      </c>
      <c r="G258" s="3">
        <f>HOUR(CallLog[[#This Row],[Time]])</f>
        <v>14</v>
      </c>
      <c r="H258" t="s">
        <v>29</v>
      </c>
      <c r="I258" t="s">
        <v>14</v>
      </c>
      <c r="J258" t="s">
        <v>14</v>
      </c>
      <c r="K258">
        <v>110</v>
      </c>
      <c r="L258" t="str">
        <f>IF(AND(CallLog[[#This Row],[Answered (Y/N)]]="Y", CallLog[[#This Row],[Speed of answer in seconds]]&lt;=20),
    "Within",
    "Breach")</f>
        <v>Breach</v>
      </c>
      <c r="M258" s="1">
        <v>1.1689814814814816E-3</v>
      </c>
      <c r="N258">
        <v>1</v>
      </c>
    </row>
    <row r="259" spans="1:14" x14ac:dyDescent="0.3">
      <c r="A259" t="s">
        <v>287</v>
      </c>
      <c r="B259" t="s">
        <v>31</v>
      </c>
      <c r="C259" t="s">
        <v>260</v>
      </c>
      <c r="D259" s="1">
        <v>0.61299768518518516</v>
      </c>
      <c r="E259" s="2">
        <f>CallLog[[#This Row],[Date]]+CallLog[[#This Row],[Time]]</f>
        <v>44201.612997685188</v>
      </c>
      <c r="F259" s="1" t="str">
        <f>TEXT(CallLog[[#This Row],[Date]],"dddd")</f>
        <v>Tuesday</v>
      </c>
      <c r="G259" s="3">
        <f>HOUR(CallLog[[#This Row],[Time]])</f>
        <v>14</v>
      </c>
      <c r="H259" t="s">
        <v>32</v>
      </c>
      <c r="I259" t="s">
        <v>14</v>
      </c>
      <c r="J259" t="s">
        <v>18</v>
      </c>
      <c r="K259">
        <v>110</v>
      </c>
      <c r="L259" t="str">
        <f>IF(AND(CallLog[[#This Row],[Answered (Y/N)]]="Y", CallLog[[#This Row],[Speed of answer in seconds]]&lt;=20),
    "Within",
    "Breach")</f>
        <v>Breach</v>
      </c>
      <c r="M259" s="1">
        <v>1.8287037037037037E-3</v>
      </c>
      <c r="N259">
        <v>3</v>
      </c>
    </row>
    <row r="260" spans="1:14" x14ac:dyDescent="0.3">
      <c r="A260" t="s">
        <v>288</v>
      </c>
      <c r="B260" t="s">
        <v>47</v>
      </c>
      <c r="C260" t="s">
        <v>260</v>
      </c>
      <c r="D260" s="1">
        <v>0.63799768518518518</v>
      </c>
      <c r="E260" s="2">
        <f>CallLog[[#This Row],[Date]]+CallLog[[#This Row],[Time]]</f>
        <v>44201.637997685182</v>
      </c>
      <c r="F260" s="1" t="str">
        <f>TEXT(CallLog[[#This Row],[Date]],"dddd")</f>
        <v>Tuesday</v>
      </c>
      <c r="G260" s="3">
        <f>HOUR(CallLog[[#This Row],[Time]])</f>
        <v>15</v>
      </c>
      <c r="H260" t="s">
        <v>17</v>
      </c>
      <c r="I260" t="s">
        <v>14</v>
      </c>
      <c r="J260" t="s">
        <v>14</v>
      </c>
      <c r="K260">
        <v>117</v>
      </c>
      <c r="L260" t="str">
        <f>IF(AND(CallLog[[#This Row],[Answered (Y/N)]]="Y", CallLog[[#This Row],[Speed of answer in seconds]]&lt;=20),
    "Within",
    "Breach")</f>
        <v>Breach</v>
      </c>
      <c r="M260" s="1">
        <v>2.1180555555555558E-3</v>
      </c>
      <c r="N260">
        <v>4</v>
      </c>
    </row>
    <row r="261" spans="1:14" x14ac:dyDescent="0.3">
      <c r="A261" t="s">
        <v>289</v>
      </c>
      <c r="B261" t="s">
        <v>16</v>
      </c>
      <c r="C261" t="s">
        <v>260</v>
      </c>
      <c r="D261" s="1">
        <v>0.63799768518518518</v>
      </c>
      <c r="E261" s="2">
        <f>CallLog[[#This Row],[Date]]+CallLog[[#This Row],[Time]]</f>
        <v>44201.637997685182</v>
      </c>
      <c r="F261" s="1" t="str">
        <f>TEXT(CallLog[[#This Row],[Date]],"dddd")</f>
        <v>Tuesday</v>
      </c>
      <c r="G261" s="3">
        <f>HOUR(CallLog[[#This Row],[Time]])</f>
        <v>15</v>
      </c>
      <c r="H261" t="s">
        <v>29</v>
      </c>
      <c r="I261" t="s">
        <v>14</v>
      </c>
      <c r="J261" t="s">
        <v>14</v>
      </c>
      <c r="K261">
        <v>44</v>
      </c>
      <c r="L261" t="str">
        <f>IF(AND(CallLog[[#This Row],[Answered (Y/N)]]="Y", CallLog[[#This Row],[Speed of answer in seconds]]&lt;=20),
    "Within",
    "Breach")</f>
        <v>Breach</v>
      </c>
      <c r="M261" s="1">
        <v>4.0856481481481481E-3</v>
      </c>
      <c r="N261">
        <v>3</v>
      </c>
    </row>
    <row r="262" spans="1:14" x14ac:dyDescent="0.3">
      <c r="A262" t="s">
        <v>290</v>
      </c>
      <c r="B262" t="s">
        <v>11</v>
      </c>
      <c r="C262" t="s">
        <v>260</v>
      </c>
      <c r="D262" s="1">
        <v>0.63900462962962967</v>
      </c>
      <c r="E262" s="2">
        <f>CallLog[[#This Row],[Date]]+CallLog[[#This Row],[Time]]</f>
        <v>44201.639004629629</v>
      </c>
      <c r="F262" s="1" t="str">
        <f>TEXT(CallLog[[#This Row],[Date]],"dddd")</f>
        <v>Tuesday</v>
      </c>
      <c r="G262" s="3">
        <f>HOUR(CallLog[[#This Row],[Time]])</f>
        <v>15</v>
      </c>
      <c r="H262" t="s">
        <v>13</v>
      </c>
      <c r="I262" t="s">
        <v>14</v>
      </c>
      <c r="J262" t="s">
        <v>14</v>
      </c>
      <c r="K262">
        <v>47</v>
      </c>
      <c r="L262" t="str">
        <f>IF(AND(CallLog[[#This Row],[Answered (Y/N)]]="Y", CallLog[[#This Row],[Speed of answer in seconds]]&lt;=20),
    "Within",
    "Breach")</f>
        <v>Breach</v>
      </c>
      <c r="M262" s="1">
        <v>4.1898148148148146E-3</v>
      </c>
      <c r="N262">
        <v>4</v>
      </c>
    </row>
    <row r="263" spans="1:14" x14ac:dyDescent="0.3">
      <c r="A263" t="s">
        <v>291</v>
      </c>
      <c r="B263" t="s">
        <v>22</v>
      </c>
      <c r="C263" t="s">
        <v>260</v>
      </c>
      <c r="D263" s="1">
        <v>0.63900462962962967</v>
      </c>
      <c r="E263" s="2">
        <f>CallLog[[#This Row],[Date]]+CallLog[[#This Row],[Time]]</f>
        <v>44201.639004629629</v>
      </c>
      <c r="F263" s="1" t="str">
        <f>TEXT(CallLog[[#This Row],[Date]],"dddd")</f>
        <v>Tuesday</v>
      </c>
      <c r="G263" s="3">
        <f>HOUR(CallLog[[#This Row],[Time]])</f>
        <v>15</v>
      </c>
      <c r="H263" t="s">
        <v>29</v>
      </c>
      <c r="I263" t="s">
        <v>14</v>
      </c>
      <c r="J263" t="s">
        <v>14</v>
      </c>
      <c r="K263">
        <v>97</v>
      </c>
      <c r="L263" t="str">
        <f>IF(AND(CallLog[[#This Row],[Answered (Y/N)]]="Y", CallLog[[#This Row],[Speed of answer in seconds]]&lt;=20),
    "Within",
    "Breach")</f>
        <v>Breach</v>
      </c>
      <c r="M263" s="1">
        <v>8.7962962962962962E-4</v>
      </c>
      <c r="N263">
        <v>3</v>
      </c>
    </row>
    <row r="264" spans="1:14" x14ac:dyDescent="0.3">
      <c r="A264" t="s">
        <v>292</v>
      </c>
      <c r="B264" t="s">
        <v>22</v>
      </c>
      <c r="C264" t="s">
        <v>260</v>
      </c>
      <c r="D264" s="1">
        <v>0.64700231481481485</v>
      </c>
      <c r="E264" s="2">
        <f>CallLog[[#This Row],[Date]]+CallLog[[#This Row],[Time]]</f>
        <v>44201.647002314814</v>
      </c>
      <c r="F264" s="1" t="str">
        <f>TEXT(CallLog[[#This Row],[Date]],"dddd")</f>
        <v>Tuesday</v>
      </c>
      <c r="G264" s="3">
        <f>HOUR(CallLog[[#This Row],[Time]])</f>
        <v>15</v>
      </c>
      <c r="H264" t="s">
        <v>32</v>
      </c>
      <c r="I264" t="s">
        <v>14</v>
      </c>
      <c r="J264" t="s">
        <v>14</v>
      </c>
      <c r="K264">
        <v>67</v>
      </c>
      <c r="L264" t="str">
        <f>IF(AND(CallLog[[#This Row],[Answered (Y/N)]]="Y", CallLog[[#This Row],[Speed of answer in seconds]]&lt;=20),
    "Within",
    "Breach")</f>
        <v>Breach</v>
      </c>
      <c r="M264" s="1">
        <v>1.8402777777777777E-3</v>
      </c>
      <c r="N264">
        <v>4</v>
      </c>
    </row>
    <row r="265" spans="1:14" x14ac:dyDescent="0.3">
      <c r="A265" t="s">
        <v>293</v>
      </c>
      <c r="B265" t="s">
        <v>11</v>
      </c>
      <c r="C265" t="s">
        <v>260</v>
      </c>
      <c r="D265" s="1">
        <v>0.64700231481481485</v>
      </c>
      <c r="E265" s="2">
        <f>CallLog[[#This Row],[Date]]+CallLog[[#This Row],[Time]]</f>
        <v>44201.647002314814</v>
      </c>
      <c r="F265" s="1" t="str">
        <f>TEXT(CallLog[[#This Row],[Date]],"dddd")</f>
        <v>Tuesday</v>
      </c>
      <c r="G265" s="3">
        <f>HOUR(CallLog[[#This Row],[Time]])</f>
        <v>15</v>
      </c>
      <c r="H265" t="s">
        <v>32</v>
      </c>
      <c r="I265" t="s">
        <v>14</v>
      </c>
      <c r="J265" t="s">
        <v>14</v>
      </c>
      <c r="K265">
        <v>72</v>
      </c>
      <c r="L265" t="str">
        <f>IF(AND(CallLog[[#This Row],[Answered (Y/N)]]="Y", CallLog[[#This Row],[Speed of answer in seconds]]&lt;=20),
    "Within",
    "Breach")</f>
        <v>Breach</v>
      </c>
      <c r="M265" s="1">
        <v>4.7222222222222223E-3</v>
      </c>
      <c r="N265">
        <v>3</v>
      </c>
    </row>
    <row r="266" spans="1:14" x14ac:dyDescent="0.3">
      <c r="A266" t="s">
        <v>294</v>
      </c>
      <c r="B266" t="s">
        <v>16</v>
      </c>
      <c r="C266" t="s">
        <v>260</v>
      </c>
      <c r="D266" s="1">
        <v>0.64700231481481485</v>
      </c>
      <c r="E266" s="2">
        <f>CallLog[[#This Row],[Date]]+CallLog[[#This Row],[Time]]</f>
        <v>44201.647002314814</v>
      </c>
      <c r="F266" s="1" t="str">
        <f>TEXT(CallLog[[#This Row],[Date]],"dddd")</f>
        <v>Tuesday</v>
      </c>
      <c r="G266" s="3">
        <f>HOUR(CallLog[[#This Row],[Time]])</f>
        <v>15</v>
      </c>
      <c r="H266" t="s">
        <v>13</v>
      </c>
      <c r="I266" t="s">
        <v>14</v>
      </c>
      <c r="J266" t="s">
        <v>14</v>
      </c>
      <c r="K266">
        <v>68</v>
      </c>
      <c r="L266" t="str">
        <f>IF(AND(CallLog[[#This Row],[Answered (Y/N)]]="Y", CallLog[[#This Row],[Speed of answer in seconds]]&lt;=20),
    "Within",
    "Breach")</f>
        <v>Breach</v>
      </c>
      <c r="M266" s="1">
        <v>3.0208333333333333E-3</v>
      </c>
      <c r="N266">
        <v>3</v>
      </c>
    </row>
    <row r="267" spans="1:14" x14ac:dyDescent="0.3">
      <c r="A267" t="s">
        <v>295</v>
      </c>
      <c r="B267" t="s">
        <v>34</v>
      </c>
      <c r="C267" t="s">
        <v>260</v>
      </c>
      <c r="D267" s="1">
        <v>0.64700231481481485</v>
      </c>
      <c r="E267" s="2">
        <f>CallLog[[#This Row],[Date]]+CallLog[[#This Row],[Time]]</f>
        <v>44201.647002314814</v>
      </c>
      <c r="F267" s="1" t="str">
        <f>TEXT(CallLog[[#This Row],[Date]],"dddd")</f>
        <v>Tuesday</v>
      </c>
      <c r="G267" s="3">
        <f>HOUR(CallLog[[#This Row],[Time]])</f>
        <v>15</v>
      </c>
      <c r="H267" t="s">
        <v>24</v>
      </c>
      <c r="I267" t="s">
        <v>14</v>
      </c>
      <c r="J267" t="s">
        <v>14</v>
      </c>
      <c r="K267">
        <v>98</v>
      </c>
      <c r="L267" t="str">
        <f>IF(AND(CallLog[[#This Row],[Answered (Y/N)]]="Y", CallLog[[#This Row],[Speed of answer in seconds]]&lt;=20),
    "Within",
    "Breach")</f>
        <v>Breach</v>
      </c>
      <c r="M267" s="1">
        <v>4.4212962962962964E-3</v>
      </c>
      <c r="N267">
        <v>5</v>
      </c>
    </row>
    <row r="268" spans="1:14" x14ac:dyDescent="0.3">
      <c r="A268" t="s">
        <v>296</v>
      </c>
      <c r="B268" t="s">
        <v>34</v>
      </c>
      <c r="C268" t="s">
        <v>260</v>
      </c>
      <c r="D268" s="1">
        <v>0.65099537037037036</v>
      </c>
      <c r="E268" s="2">
        <f>CallLog[[#This Row],[Date]]+CallLog[[#This Row],[Time]]</f>
        <v>44201.650995370372</v>
      </c>
      <c r="F268" s="1" t="str">
        <f>TEXT(CallLog[[#This Row],[Date]],"dddd")</f>
        <v>Tuesday</v>
      </c>
      <c r="G268" s="3">
        <f>HOUR(CallLog[[#This Row],[Time]])</f>
        <v>15</v>
      </c>
      <c r="H268" t="s">
        <v>32</v>
      </c>
      <c r="I268" t="s">
        <v>14</v>
      </c>
      <c r="J268" t="s">
        <v>14</v>
      </c>
      <c r="K268">
        <v>120</v>
      </c>
      <c r="L268" t="str">
        <f>IF(AND(CallLog[[#This Row],[Answered (Y/N)]]="Y", CallLog[[#This Row],[Speed of answer in seconds]]&lt;=20),
    "Within",
    "Breach")</f>
        <v>Breach</v>
      </c>
      <c r="M268" s="1">
        <v>6.4814814814814813E-4</v>
      </c>
      <c r="N268">
        <v>3</v>
      </c>
    </row>
    <row r="269" spans="1:14" x14ac:dyDescent="0.3">
      <c r="A269" t="s">
        <v>297</v>
      </c>
      <c r="B269" t="s">
        <v>47</v>
      </c>
      <c r="C269" t="s">
        <v>260</v>
      </c>
      <c r="D269" s="1">
        <v>0.65099537037037036</v>
      </c>
      <c r="E269" s="2">
        <f>CallLog[[#This Row],[Date]]+CallLog[[#This Row],[Time]]</f>
        <v>44201.650995370372</v>
      </c>
      <c r="F269" s="1" t="str">
        <f>TEXT(CallLog[[#This Row],[Date]],"dddd")</f>
        <v>Tuesday</v>
      </c>
      <c r="G269" s="3">
        <f>HOUR(CallLog[[#This Row],[Time]])</f>
        <v>15</v>
      </c>
      <c r="H269" t="s">
        <v>24</v>
      </c>
      <c r="I269" t="s">
        <v>14</v>
      </c>
      <c r="J269" t="s">
        <v>14</v>
      </c>
      <c r="K269">
        <v>13</v>
      </c>
      <c r="L269" t="str">
        <f>IF(AND(CallLog[[#This Row],[Answered (Y/N)]]="Y", CallLog[[#This Row],[Speed of answer in seconds]]&lt;=20),
    "Within",
    "Breach")</f>
        <v>Within</v>
      </c>
      <c r="M269" s="1">
        <v>1.7708333333333332E-3</v>
      </c>
      <c r="N269">
        <v>1</v>
      </c>
    </row>
    <row r="270" spans="1:14" x14ac:dyDescent="0.3">
      <c r="A270" t="s">
        <v>298</v>
      </c>
      <c r="B270" t="s">
        <v>31</v>
      </c>
      <c r="C270" t="s">
        <v>260</v>
      </c>
      <c r="D270" s="1">
        <v>0.65599537037037037</v>
      </c>
      <c r="E270" s="2">
        <f>CallLog[[#This Row],[Date]]+CallLog[[#This Row],[Time]]</f>
        <v>44201.655995370369</v>
      </c>
      <c r="F270" s="1" t="str">
        <f>TEXT(CallLog[[#This Row],[Date]],"dddd")</f>
        <v>Tuesday</v>
      </c>
      <c r="G270" s="3">
        <f>HOUR(CallLog[[#This Row],[Time]])</f>
        <v>15</v>
      </c>
      <c r="H270" t="s">
        <v>29</v>
      </c>
      <c r="I270" t="s">
        <v>14</v>
      </c>
      <c r="J270" t="s">
        <v>14</v>
      </c>
      <c r="K270">
        <v>95</v>
      </c>
      <c r="L270" t="str">
        <f>IF(AND(CallLog[[#This Row],[Answered (Y/N)]]="Y", CallLog[[#This Row],[Speed of answer in seconds]]&lt;=20),
    "Within",
    "Breach")</f>
        <v>Breach</v>
      </c>
      <c r="M270" s="1">
        <v>1.238425925925926E-3</v>
      </c>
      <c r="N270">
        <v>5</v>
      </c>
    </row>
    <row r="271" spans="1:14" x14ac:dyDescent="0.3">
      <c r="A271" t="s">
        <v>299</v>
      </c>
      <c r="B271" t="s">
        <v>38</v>
      </c>
      <c r="C271" t="s">
        <v>260</v>
      </c>
      <c r="D271" s="1">
        <v>0.65599537037037037</v>
      </c>
      <c r="E271" s="2">
        <f>CallLog[[#This Row],[Date]]+CallLog[[#This Row],[Time]]</f>
        <v>44201.655995370369</v>
      </c>
      <c r="F271" s="1" t="str">
        <f>TEXT(CallLog[[#This Row],[Date]],"dddd")</f>
        <v>Tuesday</v>
      </c>
      <c r="G271" s="3">
        <f>HOUR(CallLog[[#This Row],[Time]])</f>
        <v>15</v>
      </c>
      <c r="H271" t="s">
        <v>24</v>
      </c>
      <c r="I271" t="s">
        <v>14</v>
      </c>
      <c r="J271" t="s">
        <v>14</v>
      </c>
      <c r="K271">
        <v>31</v>
      </c>
      <c r="L271" t="str">
        <f>IF(AND(CallLog[[#This Row],[Answered (Y/N)]]="Y", CallLog[[#This Row],[Speed of answer in seconds]]&lt;=20),
    "Within",
    "Breach")</f>
        <v>Breach</v>
      </c>
      <c r="M271" s="1">
        <v>4.861111111111111E-4</v>
      </c>
      <c r="N271">
        <v>5</v>
      </c>
    </row>
    <row r="272" spans="1:14" x14ac:dyDescent="0.3">
      <c r="A272" t="s">
        <v>300</v>
      </c>
      <c r="B272" t="s">
        <v>47</v>
      </c>
      <c r="C272" t="s">
        <v>260</v>
      </c>
      <c r="D272" s="1">
        <v>0.67099537037037038</v>
      </c>
      <c r="E272" s="2">
        <f>CallLog[[#This Row],[Date]]+CallLog[[#This Row],[Time]]</f>
        <v>44201.670995370368</v>
      </c>
      <c r="F272" s="1" t="str">
        <f>TEXT(CallLog[[#This Row],[Date]],"dddd")</f>
        <v>Tuesday</v>
      </c>
      <c r="G272" s="3">
        <f>HOUR(CallLog[[#This Row],[Time]])</f>
        <v>16</v>
      </c>
      <c r="H272" t="s">
        <v>32</v>
      </c>
      <c r="I272" t="s">
        <v>14</v>
      </c>
      <c r="J272" t="s">
        <v>14</v>
      </c>
      <c r="K272">
        <v>113</v>
      </c>
      <c r="L272" t="str">
        <f>IF(AND(CallLog[[#This Row],[Answered (Y/N)]]="Y", CallLog[[#This Row],[Speed of answer in seconds]]&lt;=20),
    "Within",
    "Breach")</f>
        <v>Breach</v>
      </c>
      <c r="M272" s="1">
        <v>4.4212962962962964E-3</v>
      </c>
      <c r="N272">
        <v>3</v>
      </c>
    </row>
    <row r="273" spans="1:14" x14ac:dyDescent="0.3">
      <c r="A273" t="s">
        <v>301</v>
      </c>
      <c r="B273" t="s">
        <v>38</v>
      </c>
      <c r="C273" t="s">
        <v>260</v>
      </c>
      <c r="D273" s="1">
        <v>0.67099537037037038</v>
      </c>
      <c r="E273" s="2">
        <f>CallLog[[#This Row],[Date]]+CallLog[[#This Row],[Time]]</f>
        <v>44201.670995370368</v>
      </c>
      <c r="F273" s="1" t="str">
        <f>TEXT(CallLog[[#This Row],[Date]],"dddd")</f>
        <v>Tuesday</v>
      </c>
      <c r="G273" s="3">
        <f>HOUR(CallLog[[#This Row],[Time]])</f>
        <v>16</v>
      </c>
      <c r="H273" t="s">
        <v>17</v>
      </c>
      <c r="I273" t="s">
        <v>14</v>
      </c>
      <c r="J273" t="s">
        <v>14</v>
      </c>
      <c r="K273">
        <v>116</v>
      </c>
      <c r="L273" t="str">
        <f>IF(AND(CallLog[[#This Row],[Answered (Y/N)]]="Y", CallLog[[#This Row],[Speed of answer in seconds]]&lt;=20),
    "Within",
    "Breach")</f>
        <v>Breach</v>
      </c>
      <c r="M273" s="1">
        <v>3.2407407407407406E-3</v>
      </c>
      <c r="N273">
        <v>3</v>
      </c>
    </row>
    <row r="274" spans="1:14" x14ac:dyDescent="0.3">
      <c r="A274" t="s">
        <v>302</v>
      </c>
      <c r="B274" t="s">
        <v>38</v>
      </c>
      <c r="C274" t="s">
        <v>260</v>
      </c>
      <c r="D274" s="1">
        <v>0.67799768518518522</v>
      </c>
      <c r="E274" s="2">
        <f>CallLog[[#This Row],[Date]]+CallLog[[#This Row],[Time]]</f>
        <v>44201.677997685183</v>
      </c>
      <c r="F274" s="1" t="str">
        <f>TEXT(CallLog[[#This Row],[Date]],"dddd")</f>
        <v>Tuesday</v>
      </c>
      <c r="G274" s="3">
        <f>HOUR(CallLog[[#This Row],[Time]])</f>
        <v>16</v>
      </c>
      <c r="H274" t="s">
        <v>29</v>
      </c>
      <c r="I274" t="s">
        <v>14</v>
      </c>
      <c r="J274" t="s">
        <v>18</v>
      </c>
      <c r="K274">
        <v>94</v>
      </c>
      <c r="L274" t="str">
        <f>IF(AND(CallLog[[#This Row],[Answered (Y/N)]]="Y", CallLog[[#This Row],[Speed of answer in seconds]]&lt;=20),
    "Within",
    "Breach")</f>
        <v>Breach</v>
      </c>
      <c r="M274" s="1">
        <v>3.8078703703703703E-3</v>
      </c>
      <c r="N274">
        <v>5</v>
      </c>
    </row>
    <row r="275" spans="1:14" x14ac:dyDescent="0.3">
      <c r="A275" t="s">
        <v>303</v>
      </c>
      <c r="B275" t="s">
        <v>38</v>
      </c>
      <c r="C275" t="s">
        <v>260</v>
      </c>
      <c r="D275" s="1">
        <v>0.67799768518518522</v>
      </c>
      <c r="E275" s="2">
        <f>CallLog[[#This Row],[Date]]+CallLog[[#This Row],[Time]]</f>
        <v>44201.677997685183</v>
      </c>
      <c r="F275" s="1" t="str">
        <f>TEXT(CallLog[[#This Row],[Date]],"dddd")</f>
        <v>Tuesday</v>
      </c>
      <c r="G275" s="3">
        <f>HOUR(CallLog[[#This Row],[Time]])</f>
        <v>16</v>
      </c>
      <c r="H275" t="s">
        <v>29</v>
      </c>
      <c r="I275" t="s">
        <v>14</v>
      </c>
      <c r="J275" t="s">
        <v>18</v>
      </c>
      <c r="K275">
        <v>51</v>
      </c>
      <c r="L275" t="str">
        <f>IF(AND(CallLog[[#This Row],[Answered (Y/N)]]="Y", CallLog[[#This Row],[Speed of answer in seconds]]&lt;=20),
    "Within",
    "Breach")</f>
        <v>Breach</v>
      </c>
      <c r="M275" s="1">
        <v>3.2638888888888891E-3</v>
      </c>
      <c r="N275">
        <v>4</v>
      </c>
    </row>
    <row r="276" spans="1:14" x14ac:dyDescent="0.3">
      <c r="A276" t="s">
        <v>304</v>
      </c>
      <c r="B276" t="s">
        <v>11</v>
      </c>
      <c r="C276" t="s">
        <v>260</v>
      </c>
      <c r="D276" s="1">
        <v>0.68599537037037039</v>
      </c>
      <c r="E276" s="2">
        <f>CallLog[[#This Row],[Date]]+CallLog[[#This Row],[Time]]</f>
        <v>44201.685995370368</v>
      </c>
      <c r="F276" s="1" t="str">
        <f>TEXT(CallLog[[#This Row],[Date]],"dddd")</f>
        <v>Tuesday</v>
      </c>
      <c r="G276" s="3">
        <f>HOUR(CallLog[[#This Row],[Time]])</f>
        <v>16</v>
      </c>
      <c r="H276" t="s">
        <v>17</v>
      </c>
      <c r="I276" t="s">
        <v>14</v>
      </c>
      <c r="J276" t="s">
        <v>14</v>
      </c>
      <c r="K276">
        <v>60</v>
      </c>
      <c r="L276" t="str">
        <f>IF(AND(CallLog[[#This Row],[Answered (Y/N)]]="Y", CallLog[[#This Row],[Speed of answer in seconds]]&lt;=20),
    "Within",
    "Breach")</f>
        <v>Breach</v>
      </c>
      <c r="M276" s="1">
        <v>2.8587962962962963E-3</v>
      </c>
      <c r="N276">
        <v>4</v>
      </c>
    </row>
    <row r="277" spans="1:14" x14ac:dyDescent="0.3">
      <c r="A277" t="s">
        <v>305</v>
      </c>
      <c r="B277" t="s">
        <v>11</v>
      </c>
      <c r="C277" t="s">
        <v>260</v>
      </c>
      <c r="D277" s="1">
        <v>0.68599537037037039</v>
      </c>
      <c r="E277" s="2">
        <f>CallLog[[#This Row],[Date]]+CallLog[[#This Row],[Time]]</f>
        <v>44201.685995370368</v>
      </c>
      <c r="F277" s="1" t="str">
        <f>TEXT(CallLog[[#This Row],[Date]],"dddd")</f>
        <v>Tuesday</v>
      </c>
      <c r="G277" s="3">
        <f>HOUR(CallLog[[#This Row],[Time]])</f>
        <v>16</v>
      </c>
      <c r="H277" t="s">
        <v>13</v>
      </c>
      <c r="I277" t="s">
        <v>14</v>
      </c>
      <c r="J277" t="s">
        <v>14</v>
      </c>
      <c r="K277">
        <v>59</v>
      </c>
      <c r="L277" t="str">
        <f>IF(AND(CallLog[[#This Row],[Answered (Y/N)]]="Y", CallLog[[#This Row],[Speed of answer in seconds]]&lt;=20),
    "Within",
    "Breach")</f>
        <v>Breach</v>
      </c>
      <c r="M277" s="1">
        <v>4.2129629629629626E-3</v>
      </c>
      <c r="N277">
        <v>2</v>
      </c>
    </row>
    <row r="278" spans="1:14" x14ac:dyDescent="0.3">
      <c r="A278" t="s">
        <v>306</v>
      </c>
      <c r="B278" t="s">
        <v>20</v>
      </c>
      <c r="C278" t="s">
        <v>260</v>
      </c>
      <c r="D278" s="1">
        <v>0.72599537037037032</v>
      </c>
      <c r="E278" s="2">
        <f>CallLog[[#This Row],[Date]]+CallLog[[#This Row],[Time]]</f>
        <v>44201.725995370369</v>
      </c>
      <c r="F278" s="1" t="str">
        <f>TEXT(CallLog[[#This Row],[Date]],"dddd")</f>
        <v>Tuesday</v>
      </c>
      <c r="G278" s="3">
        <f>HOUR(CallLog[[#This Row],[Time]])</f>
        <v>17</v>
      </c>
      <c r="H278" t="s">
        <v>17</v>
      </c>
      <c r="I278" t="s">
        <v>18</v>
      </c>
      <c r="J278" t="s">
        <v>18</v>
      </c>
      <c r="L278" t="str">
        <f>IF(AND(CallLog[[#This Row],[Answered (Y/N)]]="Y", CallLog[[#This Row],[Speed of answer in seconds]]&lt;=20),
    "Within",
    "Breach")</f>
        <v>Breach</v>
      </c>
    </row>
    <row r="279" spans="1:14" x14ac:dyDescent="0.3">
      <c r="A279" t="s">
        <v>307</v>
      </c>
      <c r="B279" t="s">
        <v>22</v>
      </c>
      <c r="C279" t="s">
        <v>260</v>
      </c>
      <c r="D279" s="1">
        <v>0.72599537037037032</v>
      </c>
      <c r="E279" s="2">
        <f>CallLog[[#This Row],[Date]]+CallLog[[#This Row],[Time]]</f>
        <v>44201.725995370369</v>
      </c>
      <c r="F279" s="1" t="str">
        <f>TEXT(CallLog[[#This Row],[Date]],"dddd")</f>
        <v>Tuesday</v>
      </c>
      <c r="G279" s="3">
        <f>HOUR(CallLog[[#This Row],[Time]])</f>
        <v>17</v>
      </c>
      <c r="H279" t="s">
        <v>24</v>
      </c>
      <c r="I279" t="s">
        <v>18</v>
      </c>
      <c r="J279" t="s">
        <v>18</v>
      </c>
      <c r="L279" t="str">
        <f>IF(AND(CallLog[[#This Row],[Answered (Y/N)]]="Y", CallLog[[#This Row],[Speed of answer in seconds]]&lt;=20),
    "Within",
    "Breach")</f>
        <v>Breach</v>
      </c>
    </row>
    <row r="280" spans="1:14" x14ac:dyDescent="0.3">
      <c r="A280" t="s">
        <v>308</v>
      </c>
      <c r="B280" t="s">
        <v>34</v>
      </c>
      <c r="C280" t="s">
        <v>260</v>
      </c>
      <c r="D280" s="1">
        <v>0.72900462962962964</v>
      </c>
      <c r="E280" s="2">
        <f>CallLog[[#This Row],[Date]]+CallLog[[#This Row],[Time]]</f>
        <v>44201.729004629633</v>
      </c>
      <c r="F280" s="1" t="str">
        <f>TEXT(CallLog[[#This Row],[Date]],"dddd")</f>
        <v>Tuesday</v>
      </c>
      <c r="G280" s="3">
        <f>HOUR(CallLog[[#This Row],[Time]])</f>
        <v>17</v>
      </c>
      <c r="H280" t="s">
        <v>17</v>
      </c>
      <c r="I280" t="s">
        <v>18</v>
      </c>
      <c r="J280" t="s">
        <v>18</v>
      </c>
      <c r="L280" t="str">
        <f>IF(AND(CallLog[[#This Row],[Answered (Y/N)]]="Y", CallLog[[#This Row],[Speed of answer in seconds]]&lt;=20),
    "Within",
    "Breach")</f>
        <v>Breach</v>
      </c>
    </row>
    <row r="281" spans="1:14" x14ac:dyDescent="0.3">
      <c r="A281" t="s">
        <v>309</v>
      </c>
      <c r="B281" t="s">
        <v>47</v>
      </c>
      <c r="C281" t="s">
        <v>260</v>
      </c>
      <c r="D281" s="1">
        <v>0.72900462962962964</v>
      </c>
      <c r="E281" s="2">
        <f>CallLog[[#This Row],[Date]]+CallLog[[#This Row],[Time]]</f>
        <v>44201.729004629633</v>
      </c>
      <c r="F281" s="1" t="str">
        <f>TEXT(CallLog[[#This Row],[Date]],"dddd")</f>
        <v>Tuesday</v>
      </c>
      <c r="G281" s="3">
        <f>HOUR(CallLog[[#This Row],[Time]])</f>
        <v>17</v>
      </c>
      <c r="H281" t="s">
        <v>13</v>
      </c>
      <c r="I281" t="s">
        <v>14</v>
      </c>
      <c r="J281" t="s">
        <v>14</v>
      </c>
      <c r="K281">
        <v>16</v>
      </c>
      <c r="L281" t="str">
        <f>IF(AND(CallLog[[#This Row],[Answered (Y/N)]]="Y", CallLog[[#This Row],[Speed of answer in seconds]]&lt;=20),
    "Within",
    "Breach")</f>
        <v>Within</v>
      </c>
      <c r="M281" s="1">
        <v>2.4652777777777776E-3</v>
      </c>
      <c r="N281">
        <v>4</v>
      </c>
    </row>
    <row r="282" spans="1:14" x14ac:dyDescent="0.3">
      <c r="A282" t="s">
        <v>310</v>
      </c>
      <c r="B282" t="s">
        <v>11</v>
      </c>
      <c r="C282" t="s">
        <v>260</v>
      </c>
      <c r="D282" s="1">
        <v>0.73499999999999999</v>
      </c>
      <c r="E282" s="2">
        <f>CallLog[[#This Row],[Date]]+CallLog[[#This Row],[Time]]</f>
        <v>44201.735000000001</v>
      </c>
      <c r="F282" s="1" t="str">
        <f>TEXT(CallLog[[#This Row],[Date]],"dddd")</f>
        <v>Tuesday</v>
      </c>
      <c r="G282" s="3">
        <f>HOUR(CallLog[[#This Row],[Time]])</f>
        <v>17</v>
      </c>
      <c r="H282" t="s">
        <v>17</v>
      </c>
      <c r="I282" t="s">
        <v>14</v>
      </c>
      <c r="J282" t="s">
        <v>14</v>
      </c>
      <c r="K282">
        <v>81</v>
      </c>
      <c r="L282" t="str">
        <f>IF(AND(CallLog[[#This Row],[Answered (Y/N)]]="Y", CallLog[[#This Row],[Speed of answer in seconds]]&lt;=20),
    "Within",
    "Breach")</f>
        <v>Breach</v>
      </c>
      <c r="M282" s="1">
        <v>1.2847222222222223E-3</v>
      </c>
      <c r="N282">
        <v>3</v>
      </c>
    </row>
    <row r="283" spans="1:14" x14ac:dyDescent="0.3">
      <c r="A283" t="s">
        <v>311</v>
      </c>
      <c r="B283" t="s">
        <v>34</v>
      </c>
      <c r="C283" t="s">
        <v>260</v>
      </c>
      <c r="D283" s="1">
        <v>0.73499999999999999</v>
      </c>
      <c r="E283" s="2">
        <f>CallLog[[#This Row],[Date]]+CallLog[[#This Row],[Time]]</f>
        <v>44201.735000000001</v>
      </c>
      <c r="F283" s="1" t="str">
        <f>TEXT(CallLog[[#This Row],[Date]],"dddd")</f>
        <v>Tuesday</v>
      </c>
      <c r="G283" s="3">
        <f>HOUR(CallLog[[#This Row],[Time]])</f>
        <v>17</v>
      </c>
      <c r="H283" t="s">
        <v>32</v>
      </c>
      <c r="I283" t="s">
        <v>14</v>
      </c>
      <c r="J283" t="s">
        <v>14</v>
      </c>
      <c r="K283">
        <v>65</v>
      </c>
      <c r="L283" t="str">
        <f>IF(AND(CallLog[[#This Row],[Answered (Y/N)]]="Y", CallLog[[#This Row],[Speed of answer in seconds]]&lt;=20),
    "Within",
    "Breach")</f>
        <v>Breach</v>
      </c>
      <c r="M283" s="1">
        <v>4.6990740740740743E-3</v>
      </c>
      <c r="N283">
        <v>1</v>
      </c>
    </row>
    <row r="284" spans="1:14" x14ac:dyDescent="0.3">
      <c r="A284" t="s">
        <v>312</v>
      </c>
      <c r="B284" t="s">
        <v>38</v>
      </c>
      <c r="C284" t="s">
        <v>260</v>
      </c>
      <c r="D284" s="1">
        <v>0.73900462962962965</v>
      </c>
      <c r="E284" s="2">
        <f>CallLog[[#This Row],[Date]]+CallLog[[#This Row],[Time]]</f>
        <v>44201.739004629628</v>
      </c>
      <c r="F284" s="1" t="str">
        <f>TEXT(CallLog[[#This Row],[Date]],"dddd")</f>
        <v>Tuesday</v>
      </c>
      <c r="G284" s="3">
        <f>HOUR(CallLog[[#This Row],[Time]])</f>
        <v>17</v>
      </c>
      <c r="H284" t="s">
        <v>32</v>
      </c>
      <c r="I284" t="s">
        <v>14</v>
      </c>
      <c r="J284" t="s">
        <v>14</v>
      </c>
      <c r="K284">
        <v>55</v>
      </c>
      <c r="L284" t="str">
        <f>IF(AND(CallLog[[#This Row],[Answered (Y/N)]]="Y", CallLog[[#This Row],[Speed of answer in seconds]]&lt;=20),
    "Within",
    "Breach")</f>
        <v>Breach</v>
      </c>
      <c r="M284" s="1">
        <v>2.1296296296296298E-3</v>
      </c>
      <c r="N284">
        <v>2</v>
      </c>
    </row>
    <row r="285" spans="1:14" x14ac:dyDescent="0.3">
      <c r="A285" t="s">
        <v>313</v>
      </c>
      <c r="B285" t="s">
        <v>38</v>
      </c>
      <c r="C285" t="s">
        <v>260</v>
      </c>
      <c r="D285" s="1">
        <v>0.73900462962962965</v>
      </c>
      <c r="E285" s="2">
        <f>CallLog[[#This Row],[Date]]+CallLog[[#This Row],[Time]]</f>
        <v>44201.739004629628</v>
      </c>
      <c r="F285" s="1" t="str">
        <f>TEXT(CallLog[[#This Row],[Date]],"dddd")</f>
        <v>Tuesday</v>
      </c>
      <c r="G285" s="3">
        <f>HOUR(CallLog[[#This Row],[Time]])</f>
        <v>17</v>
      </c>
      <c r="H285" t="s">
        <v>17</v>
      </c>
      <c r="I285" t="s">
        <v>18</v>
      </c>
      <c r="J285" t="s">
        <v>18</v>
      </c>
      <c r="L285" t="str">
        <f>IF(AND(CallLog[[#This Row],[Answered (Y/N)]]="Y", CallLog[[#This Row],[Speed of answer in seconds]]&lt;=20),
    "Within",
    "Breach")</f>
        <v>Breach</v>
      </c>
    </row>
    <row r="286" spans="1:14" x14ac:dyDescent="0.3">
      <c r="A286" t="s">
        <v>314</v>
      </c>
      <c r="B286" t="s">
        <v>38</v>
      </c>
      <c r="C286" t="s">
        <v>260</v>
      </c>
      <c r="D286" s="1">
        <v>0.74799768518518517</v>
      </c>
      <c r="E286" s="2">
        <f>CallLog[[#This Row],[Date]]+CallLog[[#This Row],[Time]]</f>
        <v>44201.747997685183</v>
      </c>
      <c r="F286" s="1" t="str">
        <f>TEXT(CallLog[[#This Row],[Date]],"dddd")</f>
        <v>Tuesday</v>
      </c>
      <c r="G286" s="3">
        <f>HOUR(CallLog[[#This Row],[Time]])</f>
        <v>17</v>
      </c>
      <c r="H286" t="s">
        <v>17</v>
      </c>
      <c r="I286" t="s">
        <v>14</v>
      </c>
      <c r="J286" t="s">
        <v>14</v>
      </c>
      <c r="K286">
        <v>31</v>
      </c>
      <c r="L286" t="str">
        <f>IF(AND(CallLog[[#This Row],[Answered (Y/N)]]="Y", CallLog[[#This Row],[Speed of answer in seconds]]&lt;=20),
    "Within",
    "Breach")</f>
        <v>Breach</v>
      </c>
      <c r="M286" s="1">
        <v>1.6782407407407408E-3</v>
      </c>
      <c r="N286">
        <v>4</v>
      </c>
    </row>
    <row r="287" spans="1:14" x14ac:dyDescent="0.3">
      <c r="A287" t="s">
        <v>315</v>
      </c>
      <c r="B287" t="s">
        <v>11</v>
      </c>
      <c r="C287" t="s">
        <v>260</v>
      </c>
      <c r="D287" s="1">
        <v>0.74799768518518517</v>
      </c>
      <c r="E287" s="2">
        <f>CallLog[[#This Row],[Date]]+CallLog[[#This Row],[Time]]</f>
        <v>44201.747997685183</v>
      </c>
      <c r="F287" s="1" t="str">
        <f>TEXT(CallLog[[#This Row],[Date]],"dddd")</f>
        <v>Tuesday</v>
      </c>
      <c r="G287" s="3">
        <f>HOUR(CallLog[[#This Row],[Time]])</f>
        <v>17</v>
      </c>
      <c r="H287" t="s">
        <v>32</v>
      </c>
      <c r="I287" t="s">
        <v>14</v>
      </c>
      <c r="J287" t="s">
        <v>14</v>
      </c>
      <c r="K287">
        <v>45</v>
      </c>
      <c r="L287" t="str">
        <f>IF(AND(CallLog[[#This Row],[Answered (Y/N)]]="Y", CallLog[[#This Row],[Speed of answer in seconds]]&lt;=20),
    "Within",
    "Breach")</f>
        <v>Breach</v>
      </c>
      <c r="M287" s="1">
        <v>3.6226851851851854E-3</v>
      </c>
      <c r="N287">
        <v>2</v>
      </c>
    </row>
    <row r="288" spans="1:14" x14ac:dyDescent="0.3">
      <c r="A288" t="s">
        <v>316</v>
      </c>
      <c r="B288" t="s">
        <v>22</v>
      </c>
      <c r="C288" t="s">
        <v>317</v>
      </c>
      <c r="D288" s="1">
        <v>0.38099537037037035</v>
      </c>
      <c r="E288" s="2">
        <f>CallLog[[#This Row],[Date]]+CallLog[[#This Row],[Time]]</f>
        <v>44202.380995370368</v>
      </c>
      <c r="F288" s="1" t="str">
        <f>TEXT(CallLog[[#This Row],[Date]],"dddd")</f>
        <v>Wednesday</v>
      </c>
      <c r="G288" s="3">
        <f>HOUR(CallLog[[#This Row],[Time]])</f>
        <v>9</v>
      </c>
      <c r="H288" t="s">
        <v>17</v>
      </c>
      <c r="I288" t="s">
        <v>18</v>
      </c>
      <c r="J288" t="s">
        <v>18</v>
      </c>
      <c r="L288" t="str">
        <f>IF(AND(CallLog[[#This Row],[Answered (Y/N)]]="Y", CallLog[[#This Row],[Speed of answer in seconds]]&lt;=20),
    "Within",
    "Breach")</f>
        <v>Breach</v>
      </c>
    </row>
    <row r="289" spans="1:14" x14ac:dyDescent="0.3">
      <c r="A289" t="s">
        <v>318</v>
      </c>
      <c r="B289" t="s">
        <v>20</v>
      </c>
      <c r="C289" t="s">
        <v>317</v>
      </c>
      <c r="D289" s="1">
        <v>0.38099537037037035</v>
      </c>
      <c r="E289" s="2">
        <f>CallLog[[#This Row],[Date]]+CallLog[[#This Row],[Time]]</f>
        <v>44202.380995370368</v>
      </c>
      <c r="F289" s="1" t="str">
        <f>TEXT(CallLog[[#This Row],[Date]],"dddd")</f>
        <v>Wednesday</v>
      </c>
      <c r="G289" s="3">
        <f>HOUR(CallLog[[#This Row],[Time]])</f>
        <v>9</v>
      </c>
      <c r="H289" t="s">
        <v>24</v>
      </c>
      <c r="I289" t="s">
        <v>14</v>
      </c>
      <c r="J289" t="s">
        <v>14</v>
      </c>
      <c r="K289">
        <v>43</v>
      </c>
      <c r="L289" t="str">
        <f>IF(AND(CallLog[[#This Row],[Answered (Y/N)]]="Y", CallLog[[#This Row],[Speed of answer in seconds]]&lt;=20),
    "Within",
    "Breach")</f>
        <v>Breach</v>
      </c>
      <c r="M289" s="1">
        <v>1.4930555555555556E-3</v>
      </c>
      <c r="N289">
        <v>5</v>
      </c>
    </row>
    <row r="290" spans="1:14" x14ac:dyDescent="0.3">
      <c r="A290" t="s">
        <v>319</v>
      </c>
      <c r="B290" t="s">
        <v>20</v>
      </c>
      <c r="C290" t="s">
        <v>317</v>
      </c>
      <c r="D290" s="1">
        <v>0.42099537037037038</v>
      </c>
      <c r="E290" s="2">
        <f>CallLog[[#This Row],[Date]]+CallLog[[#This Row],[Time]]</f>
        <v>44202.420995370368</v>
      </c>
      <c r="F290" s="1" t="str">
        <f>TEXT(CallLog[[#This Row],[Date]],"dddd")</f>
        <v>Wednesday</v>
      </c>
      <c r="G290" s="3">
        <f>HOUR(CallLog[[#This Row],[Time]])</f>
        <v>10</v>
      </c>
      <c r="H290" t="s">
        <v>17</v>
      </c>
      <c r="I290" t="s">
        <v>14</v>
      </c>
      <c r="J290" t="s">
        <v>14</v>
      </c>
      <c r="K290">
        <v>55</v>
      </c>
      <c r="L290" t="str">
        <f>IF(AND(CallLog[[#This Row],[Answered (Y/N)]]="Y", CallLog[[#This Row],[Speed of answer in seconds]]&lt;=20),
    "Within",
    "Breach")</f>
        <v>Breach</v>
      </c>
      <c r="M290" s="1">
        <v>4.1203703703703706E-3</v>
      </c>
      <c r="N290">
        <v>4</v>
      </c>
    </row>
    <row r="291" spans="1:14" x14ac:dyDescent="0.3">
      <c r="A291" t="s">
        <v>320</v>
      </c>
      <c r="B291" t="s">
        <v>20</v>
      </c>
      <c r="C291" t="s">
        <v>317</v>
      </c>
      <c r="D291" s="1">
        <v>0.42099537037037038</v>
      </c>
      <c r="E291" s="2">
        <f>CallLog[[#This Row],[Date]]+CallLog[[#This Row],[Time]]</f>
        <v>44202.420995370368</v>
      </c>
      <c r="F291" s="1" t="str">
        <f>TEXT(CallLog[[#This Row],[Date]],"dddd")</f>
        <v>Wednesday</v>
      </c>
      <c r="G291" s="3">
        <f>HOUR(CallLog[[#This Row],[Time]])</f>
        <v>10</v>
      </c>
      <c r="H291" t="s">
        <v>13</v>
      </c>
      <c r="I291" t="s">
        <v>14</v>
      </c>
      <c r="J291" t="s">
        <v>14</v>
      </c>
      <c r="K291">
        <v>63</v>
      </c>
      <c r="L291" t="str">
        <f>IF(AND(CallLog[[#This Row],[Answered (Y/N)]]="Y", CallLog[[#This Row],[Speed of answer in seconds]]&lt;=20),
    "Within",
    "Breach")</f>
        <v>Breach</v>
      </c>
      <c r="M291" s="1">
        <v>1.6087962962962963E-3</v>
      </c>
      <c r="N291">
        <v>3</v>
      </c>
    </row>
    <row r="292" spans="1:14" x14ac:dyDescent="0.3">
      <c r="A292" t="s">
        <v>321</v>
      </c>
      <c r="B292" t="s">
        <v>34</v>
      </c>
      <c r="C292" t="s">
        <v>317</v>
      </c>
      <c r="D292" s="1">
        <v>0.42200231481481482</v>
      </c>
      <c r="E292" s="2">
        <f>CallLog[[#This Row],[Date]]+CallLog[[#This Row],[Time]]</f>
        <v>44202.422002314815</v>
      </c>
      <c r="F292" s="1" t="str">
        <f>TEXT(CallLog[[#This Row],[Date]],"dddd")</f>
        <v>Wednesday</v>
      </c>
      <c r="G292" s="3">
        <f>HOUR(CallLog[[#This Row],[Time]])</f>
        <v>10</v>
      </c>
      <c r="H292" t="s">
        <v>24</v>
      </c>
      <c r="I292" t="s">
        <v>18</v>
      </c>
      <c r="J292" t="s">
        <v>18</v>
      </c>
      <c r="L292" t="str">
        <f>IF(AND(CallLog[[#This Row],[Answered (Y/N)]]="Y", CallLog[[#This Row],[Speed of answer in seconds]]&lt;=20),
    "Within",
    "Breach")</f>
        <v>Breach</v>
      </c>
    </row>
    <row r="293" spans="1:14" x14ac:dyDescent="0.3">
      <c r="A293" t="s">
        <v>322</v>
      </c>
      <c r="B293" t="s">
        <v>31</v>
      </c>
      <c r="C293" t="s">
        <v>317</v>
      </c>
      <c r="D293" s="1">
        <v>0.42200231481481482</v>
      </c>
      <c r="E293" s="2">
        <f>CallLog[[#This Row],[Date]]+CallLog[[#This Row],[Time]]</f>
        <v>44202.422002314815</v>
      </c>
      <c r="F293" s="1" t="str">
        <f>TEXT(CallLog[[#This Row],[Date]],"dddd")</f>
        <v>Wednesday</v>
      </c>
      <c r="G293" s="3">
        <f>HOUR(CallLog[[#This Row],[Time]])</f>
        <v>10</v>
      </c>
      <c r="H293" t="s">
        <v>13</v>
      </c>
      <c r="I293" t="s">
        <v>14</v>
      </c>
      <c r="J293" t="s">
        <v>14</v>
      </c>
      <c r="K293">
        <v>122</v>
      </c>
      <c r="L293" t="str">
        <f>IF(AND(CallLog[[#This Row],[Answered (Y/N)]]="Y", CallLog[[#This Row],[Speed of answer in seconds]]&lt;=20),
    "Within",
    "Breach")</f>
        <v>Breach</v>
      </c>
      <c r="M293" s="1">
        <v>4.0740740740740737E-3</v>
      </c>
      <c r="N293">
        <v>1</v>
      </c>
    </row>
    <row r="294" spans="1:14" x14ac:dyDescent="0.3">
      <c r="A294" t="s">
        <v>323</v>
      </c>
      <c r="B294" t="s">
        <v>20</v>
      </c>
      <c r="C294" t="s">
        <v>317</v>
      </c>
      <c r="D294" s="1">
        <v>0.43900462962962961</v>
      </c>
      <c r="E294" s="2">
        <f>CallLog[[#This Row],[Date]]+CallLog[[#This Row],[Time]]</f>
        <v>44202.439004629632</v>
      </c>
      <c r="F294" s="1" t="str">
        <f>TEXT(CallLog[[#This Row],[Date]],"dddd")</f>
        <v>Wednesday</v>
      </c>
      <c r="G294" s="3">
        <f>HOUR(CallLog[[#This Row],[Time]])</f>
        <v>10</v>
      </c>
      <c r="H294" t="s">
        <v>13</v>
      </c>
      <c r="I294" t="s">
        <v>14</v>
      </c>
      <c r="J294" t="s">
        <v>14</v>
      </c>
      <c r="K294">
        <v>71</v>
      </c>
      <c r="L294" t="str">
        <f>IF(AND(CallLog[[#This Row],[Answered (Y/N)]]="Y", CallLog[[#This Row],[Speed of answer in seconds]]&lt;=20),
    "Within",
    "Breach")</f>
        <v>Breach</v>
      </c>
      <c r="M294" s="1">
        <v>1.8402777777777777E-3</v>
      </c>
      <c r="N294">
        <v>4</v>
      </c>
    </row>
    <row r="295" spans="1:14" x14ac:dyDescent="0.3">
      <c r="A295" t="s">
        <v>324</v>
      </c>
      <c r="B295" t="s">
        <v>31</v>
      </c>
      <c r="C295" t="s">
        <v>317</v>
      </c>
      <c r="D295" s="1">
        <v>0.43900462962962961</v>
      </c>
      <c r="E295" s="2">
        <f>CallLog[[#This Row],[Date]]+CallLog[[#This Row],[Time]]</f>
        <v>44202.439004629632</v>
      </c>
      <c r="F295" s="1" t="str">
        <f>TEXT(CallLog[[#This Row],[Date]],"dddd")</f>
        <v>Wednesday</v>
      </c>
      <c r="G295" s="3">
        <f>HOUR(CallLog[[#This Row],[Time]])</f>
        <v>10</v>
      </c>
      <c r="H295" t="s">
        <v>17</v>
      </c>
      <c r="I295" t="s">
        <v>14</v>
      </c>
      <c r="J295" t="s">
        <v>14</v>
      </c>
      <c r="K295">
        <v>54</v>
      </c>
      <c r="L295" t="str">
        <f>IF(AND(CallLog[[#This Row],[Answered (Y/N)]]="Y", CallLog[[#This Row],[Speed of answer in seconds]]&lt;=20),
    "Within",
    "Breach")</f>
        <v>Breach</v>
      </c>
      <c r="M295" s="1">
        <v>3.4375E-3</v>
      </c>
      <c r="N295">
        <v>4</v>
      </c>
    </row>
    <row r="296" spans="1:14" x14ac:dyDescent="0.3">
      <c r="A296" t="s">
        <v>325</v>
      </c>
      <c r="B296" t="s">
        <v>20</v>
      </c>
      <c r="C296" t="s">
        <v>317</v>
      </c>
      <c r="D296" s="1">
        <v>0.44599537037037035</v>
      </c>
      <c r="E296" s="2">
        <f>CallLog[[#This Row],[Date]]+CallLog[[#This Row],[Time]]</f>
        <v>44202.44599537037</v>
      </c>
      <c r="F296" s="1" t="str">
        <f>TEXT(CallLog[[#This Row],[Date]],"dddd")</f>
        <v>Wednesday</v>
      </c>
      <c r="G296" s="3">
        <f>HOUR(CallLog[[#This Row],[Time]])</f>
        <v>10</v>
      </c>
      <c r="H296" t="s">
        <v>32</v>
      </c>
      <c r="I296" t="s">
        <v>14</v>
      </c>
      <c r="J296" t="s">
        <v>14</v>
      </c>
      <c r="K296">
        <v>74</v>
      </c>
      <c r="L296" t="str">
        <f>IF(AND(CallLog[[#This Row],[Answered (Y/N)]]="Y", CallLog[[#This Row],[Speed of answer in seconds]]&lt;=20),
    "Within",
    "Breach")</f>
        <v>Breach</v>
      </c>
      <c r="M296" s="1">
        <v>2.3379629629629631E-3</v>
      </c>
      <c r="N296">
        <v>4</v>
      </c>
    </row>
    <row r="297" spans="1:14" x14ac:dyDescent="0.3">
      <c r="A297" t="s">
        <v>326</v>
      </c>
      <c r="B297" t="s">
        <v>20</v>
      </c>
      <c r="C297" t="s">
        <v>317</v>
      </c>
      <c r="D297" s="1">
        <v>0.44599537037037035</v>
      </c>
      <c r="E297" s="2">
        <f>CallLog[[#This Row],[Date]]+CallLog[[#This Row],[Time]]</f>
        <v>44202.44599537037</v>
      </c>
      <c r="F297" s="1" t="str">
        <f>TEXT(CallLog[[#This Row],[Date]],"dddd")</f>
        <v>Wednesday</v>
      </c>
      <c r="G297" s="3">
        <f>HOUR(CallLog[[#This Row],[Time]])</f>
        <v>10</v>
      </c>
      <c r="H297" t="s">
        <v>29</v>
      </c>
      <c r="I297" t="s">
        <v>14</v>
      </c>
      <c r="J297" t="s">
        <v>14</v>
      </c>
      <c r="K297">
        <v>125</v>
      </c>
      <c r="L297" t="str">
        <f>IF(AND(CallLog[[#This Row],[Answered (Y/N)]]="Y", CallLog[[#This Row],[Speed of answer in seconds]]&lt;=20),
    "Within",
    "Breach")</f>
        <v>Breach</v>
      </c>
      <c r="M297" s="1">
        <v>3.3217592592592591E-3</v>
      </c>
      <c r="N297">
        <v>4</v>
      </c>
    </row>
    <row r="298" spans="1:14" x14ac:dyDescent="0.3">
      <c r="A298" t="s">
        <v>327</v>
      </c>
      <c r="B298" t="s">
        <v>47</v>
      </c>
      <c r="C298" t="s">
        <v>317</v>
      </c>
      <c r="D298" s="1">
        <v>0.4670023148148148</v>
      </c>
      <c r="E298" s="2">
        <f>CallLog[[#This Row],[Date]]+CallLog[[#This Row],[Time]]</f>
        <v>44202.467002314814</v>
      </c>
      <c r="F298" s="1" t="str">
        <f>TEXT(CallLog[[#This Row],[Date]],"dddd")</f>
        <v>Wednesday</v>
      </c>
      <c r="G298" s="3">
        <f>HOUR(CallLog[[#This Row],[Time]])</f>
        <v>11</v>
      </c>
      <c r="H298" t="s">
        <v>24</v>
      </c>
      <c r="I298" t="s">
        <v>14</v>
      </c>
      <c r="J298" t="s">
        <v>14</v>
      </c>
      <c r="K298">
        <v>110</v>
      </c>
      <c r="L298" t="str">
        <f>IF(AND(CallLog[[#This Row],[Answered (Y/N)]]="Y", CallLog[[#This Row],[Speed of answer in seconds]]&lt;=20),
    "Within",
    "Breach")</f>
        <v>Breach</v>
      </c>
      <c r="M298" s="1">
        <v>2.5810185185185185E-3</v>
      </c>
      <c r="N298">
        <v>3</v>
      </c>
    </row>
    <row r="299" spans="1:14" x14ac:dyDescent="0.3">
      <c r="A299" t="s">
        <v>328</v>
      </c>
      <c r="B299" t="s">
        <v>16</v>
      </c>
      <c r="C299" t="s">
        <v>317</v>
      </c>
      <c r="D299" s="1">
        <v>0.4670023148148148</v>
      </c>
      <c r="E299" s="2">
        <f>CallLog[[#This Row],[Date]]+CallLog[[#This Row],[Time]]</f>
        <v>44202.467002314814</v>
      </c>
      <c r="F299" s="1" t="str">
        <f>TEXT(CallLog[[#This Row],[Date]],"dddd")</f>
        <v>Wednesday</v>
      </c>
      <c r="G299" s="3">
        <f>HOUR(CallLog[[#This Row],[Time]])</f>
        <v>11</v>
      </c>
      <c r="H299" t="s">
        <v>32</v>
      </c>
      <c r="I299" t="s">
        <v>18</v>
      </c>
      <c r="J299" t="s">
        <v>18</v>
      </c>
      <c r="L299" t="str">
        <f>IF(AND(CallLog[[#This Row],[Answered (Y/N)]]="Y", CallLog[[#This Row],[Speed of answer in seconds]]&lt;=20),
    "Within",
    "Breach")</f>
        <v>Breach</v>
      </c>
    </row>
    <row r="300" spans="1:14" x14ac:dyDescent="0.3">
      <c r="A300" t="s">
        <v>329</v>
      </c>
      <c r="B300" t="s">
        <v>38</v>
      </c>
      <c r="C300" t="s">
        <v>317</v>
      </c>
      <c r="D300" s="1">
        <v>0.47900462962962964</v>
      </c>
      <c r="E300" s="2">
        <f>CallLog[[#This Row],[Date]]+CallLog[[#This Row],[Time]]</f>
        <v>44202.479004629633</v>
      </c>
      <c r="F300" s="1" t="str">
        <f>TEXT(CallLog[[#This Row],[Date]],"dddd")</f>
        <v>Wednesday</v>
      </c>
      <c r="G300" s="3">
        <f>HOUR(CallLog[[#This Row],[Time]])</f>
        <v>11</v>
      </c>
      <c r="H300" t="s">
        <v>17</v>
      </c>
      <c r="I300" t="s">
        <v>14</v>
      </c>
      <c r="J300" t="s">
        <v>14</v>
      </c>
      <c r="K300">
        <v>74</v>
      </c>
      <c r="L300" t="str">
        <f>IF(AND(CallLog[[#This Row],[Answered (Y/N)]]="Y", CallLog[[#This Row],[Speed of answer in seconds]]&lt;=20),
    "Within",
    "Breach")</f>
        <v>Breach</v>
      </c>
      <c r="M300" s="1">
        <v>1.0532407407407407E-3</v>
      </c>
      <c r="N300">
        <v>5</v>
      </c>
    </row>
    <row r="301" spans="1:14" x14ac:dyDescent="0.3">
      <c r="A301" t="s">
        <v>330</v>
      </c>
      <c r="B301" t="s">
        <v>11</v>
      </c>
      <c r="C301" t="s">
        <v>317</v>
      </c>
      <c r="D301" s="1">
        <v>0.47900462962962964</v>
      </c>
      <c r="E301" s="2">
        <f>CallLog[[#This Row],[Date]]+CallLog[[#This Row],[Time]]</f>
        <v>44202.479004629633</v>
      </c>
      <c r="F301" s="1" t="str">
        <f>TEXT(CallLog[[#This Row],[Date]],"dddd")</f>
        <v>Wednesday</v>
      </c>
      <c r="G301" s="3">
        <f>HOUR(CallLog[[#This Row],[Time]])</f>
        <v>11</v>
      </c>
      <c r="H301" t="s">
        <v>24</v>
      </c>
      <c r="I301" t="s">
        <v>14</v>
      </c>
      <c r="J301" t="s">
        <v>14</v>
      </c>
      <c r="K301">
        <v>80</v>
      </c>
      <c r="L301" t="str">
        <f>IF(AND(CallLog[[#This Row],[Answered (Y/N)]]="Y", CallLog[[#This Row],[Speed of answer in seconds]]&lt;=20),
    "Within",
    "Breach")</f>
        <v>Breach</v>
      </c>
      <c r="M301" s="1">
        <v>3.0902777777777777E-3</v>
      </c>
      <c r="N301">
        <v>4</v>
      </c>
    </row>
    <row r="302" spans="1:14" x14ac:dyDescent="0.3">
      <c r="A302" t="s">
        <v>331</v>
      </c>
      <c r="B302" t="s">
        <v>47</v>
      </c>
      <c r="C302" t="s">
        <v>317</v>
      </c>
      <c r="D302" s="1">
        <v>0.48499999999999999</v>
      </c>
      <c r="E302" s="2">
        <f>CallLog[[#This Row],[Date]]+CallLog[[#This Row],[Time]]</f>
        <v>44202.485000000001</v>
      </c>
      <c r="F302" s="1" t="str">
        <f>TEXT(CallLog[[#This Row],[Date]],"dddd")</f>
        <v>Wednesday</v>
      </c>
      <c r="G302" s="3">
        <f>HOUR(CallLog[[#This Row],[Time]])</f>
        <v>11</v>
      </c>
      <c r="H302" t="s">
        <v>24</v>
      </c>
      <c r="I302" t="s">
        <v>18</v>
      </c>
      <c r="J302" t="s">
        <v>18</v>
      </c>
      <c r="L302" t="str">
        <f>IF(AND(CallLog[[#This Row],[Answered (Y/N)]]="Y", CallLog[[#This Row],[Speed of answer in seconds]]&lt;=20),
    "Within",
    "Breach")</f>
        <v>Breach</v>
      </c>
    </row>
    <row r="303" spans="1:14" x14ac:dyDescent="0.3">
      <c r="A303" t="s">
        <v>332</v>
      </c>
      <c r="B303" t="s">
        <v>34</v>
      </c>
      <c r="C303" t="s">
        <v>317</v>
      </c>
      <c r="D303" s="1">
        <v>0.48499999999999999</v>
      </c>
      <c r="E303" s="2">
        <f>CallLog[[#This Row],[Date]]+CallLog[[#This Row],[Time]]</f>
        <v>44202.485000000001</v>
      </c>
      <c r="F303" s="1" t="str">
        <f>TEXT(CallLog[[#This Row],[Date]],"dddd")</f>
        <v>Wednesday</v>
      </c>
      <c r="G303" s="3">
        <f>HOUR(CallLog[[#This Row],[Time]])</f>
        <v>11</v>
      </c>
      <c r="H303" t="s">
        <v>13</v>
      </c>
      <c r="I303" t="s">
        <v>14</v>
      </c>
      <c r="J303" t="s">
        <v>14</v>
      </c>
      <c r="K303">
        <v>110</v>
      </c>
      <c r="L303" t="str">
        <f>IF(AND(CallLog[[#This Row],[Answered (Y/N)]]="Y", CallLog[[#This Row],[Speed of answer in seconds]]&lt;=20),
    "Within",
    "Breach")</f>
        <v>Breach</v>
      </c>
      <c r="M303" s="1">
        <v>2.7083333333333334E-3</v>
      </c>
      <c r="N303">
        <v>2</v>
      </c>
    </row>
    <row r="304" spans="1:14" x14ac:dyDescent="0.3">
      <c r="A304" t="s">
        <v>333</v>
      </c>
      <c r="B304" t="s">
        <v>20</v>
      </c>
      <c r="C304" t="s">
        <v>317</v>
      </c>
      <c r="D304" s="1">
        <v>0.49</v>
      </c>
      <c r="E304" s="2">
        <f>CallLog[[#This Row],[Date]]+CallLog[[#This Row],[Time]]</f>
        <v>44202.49</v>
      </c>
      <c r="F304" s="1" t="str">
        <f>TEXT(CallLog[[#This Row],[Date]],"dddd")</f>
        <v>Wednesday</v>
      </c>
      <c r="G304" s="3">
        <f>HOUR(CallLog[[#This Row],[Time]])</f>
        <v>11</v>
      </c>
      <c r="H304" t="s">
        <v>24</v>
      </c>
      <c r="I304" t="s">
        <v>14</v>
      </c>
      <c r="J304" t="s">
        <v>14</v>
      </c>
      <c r="K304">
        <v>26</v>
      </c>
      <c r="L304" t="str">
        <f>IF(AND(CallLog[[#This Row],[Answered (Y/N)]]="Y", CallLog[[#This Row],[Speed of answer in seconds]]&lt;=20),
    "Within",
    "Breach")</f>
        <v>Breach</v>
      </c>
      <c r="M304" s="1">
        <v>2.1759259259259258E-3</v>
      </c>
      <c r="N304">
        <v>3</v>
      </c>
    </row>
    <row r="305" spans="1:14" x14ac:dyDescent="0.3">
      <c r="A305" t="s">
        <v>334</v>
      </c>
      <c r="B305" t="s">
        <v>22</v>
      </c>
      <c r="C305" t="s">
        <v>317</v>
      </c>
      <c r="D305" s="1">
        <v>0.49</v>
      </c>
      <c r="E305" s="2">
        <f>CallLog[[#This Row],[Date]]+CallLog[[#This Row],[Time]]</f>
        <v>44202.49</v>
      </c>
      <c r="F305" s="1" t="str">
        <f>TEXT(CallLog[[#This Row],[Date]],"dddd")</f>
        <v>Wednesday</v>
      </c>
      <c r="G305" s="3">
        <f>HOUR(CallLog[[#This Row],[Time]])</f>
        <v>11</v>
      </c>
      <c r="H305" t="s">
        <v>17</v>
      </c>
      <c r="I305" t="s">
        <v>18</v>
      </c>
      <c r="J305" t="s">
        <v>18</v>
      </c>
      <c r="L305" t="str">
        <f>IF(AND(CallLog[[#This Row],[Answered (Y/N)]]="Y", CallLog[[#This Row],[Speed of answer in seconds]]&lt;=20),
    "Within",
    "Breach")</f>
        <v>Breach</v>
      </c>
    </row>
    <row r="306" spans="1:14" x14ac:dyDescent="0.3">
      <c r="A306" t="s">
        <v>335</v>
      </c>
      <c r="B306" t="s">
        <v>34</v>
      </c>
      <c r="C306" t="s">
        <v>317</v>
      </c>
      <c r="D306" s="1">
        <v>0.50400462962962966</v>
      </c>
      <c r="E306" s="2">
        <f>CallLog[[#This Row],[Date]]+CallLog[[#This Row],[Time]]</f>
        <v>44202.504004629627</v>
      </c>
      <c r="F306" s="1" t="str">
        <f>TEXT(CallLog[[#This Row],[Date]],"dddd")</f>
        <v>Wednesday</v>
      </c>
      <c r="G306" s="3">
        <f>HOUR(CallLog[[#This Row],[Time]])</f>
        <v>12</v>
      </c>
      <c r="H306" t="s">
        <v>29</v>
      </c>
      <c r="I306" t="s">
        <v>14</v>
      </c>
      <c r="J306" t="s">
        <v>14</v>
      </c>
      <c r="K306">
        <v>97</v>
      </c>
      <c r="L306" t="str">
        <f>IF(AND(CallLog[[#This Row],[Answered (Y/N)]]="Y", CallLog[[#This Row],[Speed of answer in seconds]]&lt;=20),
    "Within",
    "Breach")</f>
        <v>Breach</v>
      </c>
      <c r="M306" s="1">
        <v>1.238425925925926E-3</v>
      </c>
      <c r="N306">
        <v>3</v>
      </c>
    </row>
    <row r="307" spans="1:14" x14ac:dyDescent="0.3">
      <c r="A307" t="s">
        <v>336</v>
      </c>
      <c r="B307" t="s">
        <v>47</v>
      </c>
      <c r="C307" t="s">
        <v>317</v>
      </c>
      <c r="D307" s="1">
        <v>0.50400462962962966</v>
      </c>
      <c r="E307" s="2">
        <f>CallLog[[#This Row],[Date]]+CallLog[[#This Row],[Time]]</f>
        <v>44202.504004629627</v>
      </c>
      <c r="F307" s="1" t="str">
        <f>TEXT(CallLog[[#This Row],[Date]],"dddd")</f>
        <v>Wednesday</v>
      </c>
      <c r="G307" s="3">
        <f>HOUR(CallLog[[#This Row],[Time]])</f>
        <v>12</v>
      </c>
      <c r="H307" t="s">
        <v>29</v>
      </c>
      <c r="I307" t="s">
        <v>14</v>
      </c>
      <c r="J307" t="s">
        <v>18</v>
      </c>
      <c r="K307">
        <v>82</v>
      </c>
      <c r="L307" t="str">
        <f>IF(AND(CallLog[[#This Row],[Answered (Y/N)]]="Y", CallLog[[#This Row],[Speed of answer in seconds]]&lt;=20),
    "Within",
    "Breach")</f>
        <v>Breach</v>
      </c>
      <c r="M307" s="1">
        <v>3.9351851851851848E-3</v>
      </c>
      <c r="N307">
        <v>3</v>
      </c>
    </row>
    <row r="308" spans="1:14" x14ac:dyDescent="0.3">
      <c r="A308" t="s">
        <v>337</v>
      </c>
      <c r="B308" t="s">
        <v>16</v>
      </c>
      <c r="C308" t="s">
        <v>317</v>
      </c>
      <c r="D308" s="1">
        <v>0.505</v>
      </c>
      <c r="E308" s="2">
        <f>CallLog[[#This Row],[Date]]+CallLog[[#This Row],[Time]]</f>
        <v>44202.504999999997</v>
      </c>
      <c r="F308" s="1" t="str">
        <f>TEXT(CallLog[[#This Row],[Date]],"dddd")</f>
        <v>Wednesday</v>
      </c>
      <c r="G308" s="3">
        <f>HOUR(CallLog[[#This Row],[Time]])</f>
        <v>12</v>
      </c>
      <c r="H308" t="s">
        <v>32</v>
      </c>
      <c r="I308" t="s">
        <v>14</v>
      </c>
      <c r="J308" t="s">
        <v>18</v>
      </c>
      <c r="K308">
        <v>102</v>
      </c>
      <c r="L308" t="str">
        <f>IF(AND(CallLog[[#This Row],[Answered (Y/N)]]="Y", CallLog[[#This Row],[Speed of answer in seconds]]&lt;=20),
    "Within",
    "Breach")</f>
        <v>Breach</v>
      </c>
      <c r="M308" s="1">
        <v>4.0856481481481481E-3</v>
      </c>
      <c r="N308">
        <v>5</v>
      </c>
    </row>
    <row r="309" spans="1:14" x14ac:dyDescent="0.3">
      <c r="A309" t="s">
        <v>338</v>
      </c>
      <c r="B309" t="s">
        <v>31</v>
      </c>
      <c r="C309" t="s">
        <v>317</v>
      </c>
      <c r="D309" s="1">
        <v>0.505</v>
      </c>
      <c r="E309" s="2">
        <f>CallLog[[#This Row],[Date]]+CallLog[[#This Row],[Time]]</f>
        <v>44202.504999999997</v>
      </c>
      <c r="F309" s="1" t="str">
        <f>TEXT(CallLog[[#This Row],[Date]],"dddd")</f>
        <v>Wednesday</v>
      </c>
      <c r="G309" s="3">
        <f>HOUR(CallLog[[#This Row],[Time]])</f>
        <v>12</v>
      </c>
      <c r="H309" t="s">
        <v>29</v>
      </c>
      <c r="I309" t="s">
        <v>14</v>
      </c>
      <c r="J309" t="s">
        <v>14</v>
      </c>
      <c r="K309">
        <v>120</v>
      </c>
      <c r="L309" t="str">
        <f>IF(AND(CallLog[[#This Row],[Answered (Y/N)]]="Y", CallLog[[#This Row],[Speed of answer in seconds]]&lt;=20),
    "Within",
    "Breach")</f>
        <v>Breach</v>
      </c>
      <c r="M309" s="1">
        <v>6.018518518518519E-4</v>
      </c>
      <c r="N309">
        <v>5</v>
      </c>
    </row>
    <row r="310" spans="1:14" x14ac:dyDescent="0.3">
      <c r="A310" t="s">
        <v>339</v>
      </c>
      <c r="B310" t="s">
        <v>22</v>
      </c>
      <c r="C310" t="s">
        <v>317</v>
      </c>
      <c r="D310" s="1">
        <v>0.56299768518518523</v>
      </c>
      <c r="E310" s="2">
        <f>CallLog[[#This Row],[Date]]+CallLog[[#This Row],[Time]]</f>
        <v>44202.562997685185</v>
      </c>
      <c r="F310" s="1" t="str">
        <f>TEXT(CallLog[[#This Row],[Date]],"dddd")</f>
        <v>Wednesday</v>
      </c>
      <c r="G310" s="3">
        <f>HOUR(CallLog[[#This Row],[Time]])</f>
        <v>13</v>
      </c>
      <c r="H310" t="s">
        <v>32</v>
      </c>
      <c r="I310" t="s">
        <v>14</v>
      </c>
      <c r="J310" t="s">
        <v>14</v>
      </c>
      <c r="K310">
        <v>70</v>
      </c>
      <c r="L310" t="str">
        <f>IF(AND(CallLog[[#This Row],[Answered (Y/N)]]="Y", CallLog[[#This Row],[Speed of answer in seconds]]&lt;=20),
    "Within",
    "Breach")</f>
        <v>Breach</v>
      </c>
      <c r="M310" s="1">
        <v>3.6921296296296298E-3</v>
      </c>
      <c r="N310">
        <v>3</v>
      </c>
    </row>
    <row r="311" spans="1:14" x14ac:dyDescent="0.3">
      <c r="A311" t="s">
        <v>340</v>
      </c>
      <c r="B311" t="s">
        <v>11</v>
      </c>
      <c r="C311" t="s">
        <v>317</v>
      </c>
      <c r="D311" s="1">
        <v>0.56299768518518523</v>
      </c>
      <c r="E311" s="2">
        <f>CallLog[[#This Row],[Date]]+CallLog[[#This Row],[Time]]</f>
        <v>44202.562997685185</v>
      </c>
      <c r="F311" s="1" t="str">
        <f>TEXT(CallLog[[#This Row],[Date]],"dddd")</f>
        <v>Wednesday</v>
      </c>
      <c r="G311" s="3">
        <f>HOUR(CallLog[[#This Row],[Time]])</f>
        <v>13</v>
      </c>
      <c r="H311" t="s">
        <v>29</v>
      </c>
      <c r="I311" t="s">
        <v>18</v>
      </c>
      <c r="J311" t="s">
        <v>18</v>
      </c>
      <c r="L311" t="str">
        <f>IF(AND(CallLog[[#This Row],[Answered (Y/N)]]="Y", CallLog[[#This Row],[Speed of answer in seconds]]&lt;=20),
    "Within",
    "Breach")</f>
        <v>Breach</v>
      </c>
    </row>
    <row r="312" spans="1:14" x14ac:dyDescent="0.3">
      <c r="A312" t="s">
        <v>341</v>
      </c>
      <c r="B312" t="s">
        <v>20</v>
      </c>
      <c r="C312" t="s">
        <v>317</v>
      </c>
      <c r="D312" s="1">
        <v>0.58200231481481479</v>
      </c>
      <c r="E312" s="2">
        <f>CallLog[[#This Row],[Date]]+CallLog[[#This Row],[Time]]</f>
        <v>44202.582002314812</v>
      </c>
      <c r="F312" s="1" t="str">
        <f>TEXT(CallLog[[#This Row],[Date]],"dddd")</f>
        <v>Wednesday</v>
      </c>
      <c r="G312" s="3">
        <f>HOUR(CallLog[[#This Row],[Time]])</f>
        <v>13</v>
      </c>
      <c r="H312" t="s">
        <v>24</v>
      </c>
      <c r="I312" t="s">
        <v>14</v>
      </c>
      <c r="J312" t="s">
        <v>14</v>
      </c>
      <c r="K312">
        <v>122</v>
      </c>
      <c r="L312" t="str">
        <f>IF(AND(CallLog[[#This Row],[Answered (Y/N)]]="Y", CallLog[[#This Row],[Speed of answer in seconds]]&lt;=20),
    "Within",
    "Breach")</f>
        <v>Breach</v>
      </c>
      <c r="M312" s="1">
        <v>2.0370370370370369E-3</v>
      </c>
      <c r="N312">
        <v>3</v>
      </c>
    </row>
    <row r="313" spans="1:14" x14ac:dyDescent="0.3">
      <c r="A313" t="s">
        <v>342</v>
      </c>
      <c r="B313" t="s">
        <v>38</v>
      </c>
      <c r="C313" t="s">
        <v>317</v>
      </c>
      <c r="D313" s="1">
        <v>0.58200231481481479</v>
      </c>
      <c r="E313" s="2">
        <f>CallLog[[#This Row],[Date]]+CallLog[[#This Row],[Time]]</f>
        <v>44202.582002314812</v>
      </c>
      <c r="F313" s="1" t="str">
        <f>TEXT(CallLog[[#This Row],[Date]],"dddd")</f>
        <v>Wednesday</v>
      </c>
      <c r="G313" s="3">
        <f>HOUR(CallLog[[#This Row],[Time]])</f>
        <v>13</v>
      </c>
      <c r="H313" t="s">
        <v>32</v>
      </c>
      <c r="I313" t="s">
        <v>18</v>
      </c>
      <c r="J313" t="s">
        <v>18</v>
      </c>
      <c r="L313" t="str">
        <f>IF(AND(CallLog[[#This Row],[Answered (Y/N)]]="Y", CallLog[[#This Row],[Speed of answer in seconds]]&lt;=20),
    "Within",
    "Breach")</f>
        <v>Breach</v>
      </c>
    </row>
    <row r="314" spans="1:14" x14ac:dyDescent="0.3">
      <c r="A314" t="s">
        <v>343</v>
      </c>
      <c r="B314" t="s">
        <v>34</v>
      </c>
      <c r="C314" t="s">
        <v>317</v>
      </c>
      <c r="D314" s="1">
        <v>0.58599537037037042</v>
      </c>
      <c r="E314" s="2">
        <f>CallLog[[#This Row],[Date]]+CallLog[[#This Row],[Time]]</f>
        <v>44202.585995370369</v>
      </c>
      <c r="F314" s="1" t="str">
        <f>TEXT(CallLog[[#This Row],[Date]],"dddd")</f>
        <v>Wednesday</v>
      </c>
      <c r="G314" s="3">
        <f>HOUR(CallLog[[#This Row],[Time]])</f>
        <v>14</v>
      </c>
      <c r="H314" t="s">
        <v>24</v>
      </c>
      <c r="I314" t="s">
        <v>14</v>
      </c>
      <c r="J314" t="s">
        <v>14</v>
      </c>
      <c r="K314">
        <v>19</v>
      </c>
      <c r="L314" t="str">
        <f>IF(AND(CallLog[[#This Row],[Answered (Y/N)]]="Y", CallLog[[#This Row],[Speed of answer in seconds]]&lt;=20),
    "Within",
    "Breach")</f>
        <v>Within</v>
      </c>
      <c r="M314" s="1">
        <v>6.3657407407407413E-4</v>
      </c>
      <c r="N314">
        <v>1</v>
      </c>
    </row>
    <row r="315" spans="1:14" x14ac:dyDescent="0.3">
      <c r="A315" t="s">
        <v>344</v>
      </c>
      <c r="B315" t="s">
        <v>22</v>
      </c>
      <c r="C315" t="s">
        <v>317</v>
      </c>
      <c r="D315" s="1">
        <v>0.58599537037037042</v>
      </c>
      <c r="E315" s="2">
        <f>CallLog[[#This Row],[Date]]+CallLog[[#This Row],[Time]]</f>
        <v>44202.585995370369</v>
      </c>
      <c r="F315" s="1" t="str">
        <f>TEXT(CallLog[[#This Row],[Date]],"dddd")</f>
        <v>Wednesday</v>
      </c>
      <c r="G315" s="3">
        <f>HOUR(CallLog[[#This Row],[Time]])</f>
        <v>14</v>
      </c>
      <c r="H315" t="s">
        <v>24</v>
      </c>
      <c r="I315" t="s">
        <v>14</v>
      </c>
      <c r="J315" t="s">
        <v>14</v>
      </c>
      <c r="K315">
        <v>71</v>
      </c>
      <c r="L315" t="str">
        <f>IF(AND(CallLog[[#This Row],[Answered (Y/N)]]="Y", CallLog[[#This Row],[Speed of answer in seconds]]&lt;=20),
    "Within",
    "Breach")</f>
        <v>Breach</v>
      </c>
      <c r="M315" s="1">
        <v>1.8171296296296297E-3</v>
      </c>
      <c r="N315">
        <v>4</v>
      </c>
    </row>
    <row r="316" spans="1:14" x14ac:dyDescent="0.3">
      <c r="A316" t="s">
        <v>345</v>
      </c>
      <c r="B316" t="s">
        <v>34</v>
      </c>
      <c r="C316" t="s">
        <v>317</v>
      </c>
      <c r="D316" s="1">
        <v>0.59299768518518514</v>
      </c>
      <c r="E316" s="2">
        <f>CallLog[[#This Row],[Date]]+CallLog[[#This Row],[Time]]</f>
        <v>44202.592997685184</v>
      </c>
      <c r="F316" s="1" t="str">
        <f>TEXT(CallLog[[#This Row],[Date]],"dddd")</f>
        <v>Wednesday</v>
      </c>
      <c r="G316" s="3">
        <f>HOUR(CallLog[[#This Row],[Time]])</f>
        <v>14</v>
      </c>
      <c r="H316" t="s">
        <v>17</v>
      </c>
      <c r="I316" t="s">
        <v>14</v>
      </c>
      <c r="J316" t="s">
        <v>14</v>
      </c>
      <c r="K316">
        <v>24</v>
      </c>
      <c r="L316" t="str">
        <f>IF(AND(CallLog[[#This Row],[Answered (Y/N)]]="Y", CallLog[[#This Row],[Speed of answer in seconds]]&lt;=20),
    "Within",
    "Breach")</f>
        <v>Breach</v>
      </c>
      <c r="M316" s="1">
        <v>3.460648148148148E-3</v>
      </c>
      <c r="N316">
        <v>1</v>
      </c>
    </row>
    <row r="317" spans="1:14" x14ac:dyDescent="0.3">
      <c r="A317" t="s">
        <v>346</v>
      </c>
      <c r="B317" t="s">
        <v>38</v>
      </c>
      <c r="C317" t="s">
        <v>317</v>
      </c>
      <c r="D317" s="1">
        <v>0.59299768518518514</v>
      </c>
      <c r="E317" s="2">
        <f>CallLog[[#This Row],[Date]]+CallLog[[#This Row],[Time]]</f>
        <v>44202.592997685184</v>
      </c>
      <c r="F317" s="1" t="str">
        <f>TEXT(CallLog[[#This Row],[Date]],"dddd")</f>
        <v>Wednesday</v>
      </c>
      <c r="G317" s="3">
        <f>HOUR(CallLog[[#This Row],[Time]])</f>
        <v>14</v>
      </c>
      <c r="H317" t="s">
        <v>17</v>
      </c>
      <c r="I317" t="s">
        <v>14</v>
      </c>
      <c r="J317" t="s">
        <v>14</v>
      </c>
      <c r="K317">
        <v>67</v>
      </c>
      <c r="L317" t="str">
        <f>IF(AND(CallLog[[#This Row],[Answered (Y/N)]]="Y", CallLog[[#This Row],[Speed of answer in seconds]]&lt;=20),
    "Within",
    "Breach")</f>
        <v>Breach</v>
      </c>
      <c r="M317" s="1">
        <v>3.8888888888888888E-3</v>
      </c>
      <c r="N317">
        <v>1</v>
      </c>
    </row>
    <row r="318" spans="1:14" x14ac:dyDescent="0.3">
      <c r="A318" t="s">
        <v>347</v>
      </c>
      <c r="B318" t="s">
        <v>38</v>
      </c>
      <c r="C318" t="s">
        <v>317</v>
      </c>
      <c r="D318" s="1">
        <v>0.60599537037037032</v>
      </c>
      <c r="E318" s="2">
        <f>CallLog[[#This Row],[Date]]+CallLog[[#This Row],[Time]]</f>
        <v>44202.605995370373</v>
      </c>
      <c r="F318" s="1" t="str">
        <f>TEXT(CallLog[[#This Row],[Date]],"dddd")</f>
        <v>Wednesday</v>
      </c>
      <c r="G318" s="3">
        <f>HOUR(CallLog[[#This Row],[Time]])</f>
        <v>14</v>
      </c>
      <c r="H318" t="s">
        <v>32</v>
      </c>
      <c r="I318" t="s">
        <v>14</v>
      </c>
      <c r="J318" t="s">
        <v>18</v>
      </c>
      <c r="K318">
        <v>57</v>
      </c>
      <c r="L318" t="str">
        <f>IF(AND(CallLog[[#This Row],[Answered (Y/N)]]="Y", CallLog[[#This Row],[Speed of answer in seconds]]&lt;=20),
    "Within",
    "Breach")</f>
        <v>Breach</v>
      </c>
      <c r="M318" s="1">
        <v>2.9398148148148148E-3</v>
      </c>
      <c r="N318">
        <v>3</v>
      </c>
    </row>
    <row r="319" spans="1:14" x14ac:dyDescent="0.3">
      <c r="A319" t="s">
        <v>348</v>
      </c>
      <c r="B319" t="s">
        <v>11</v>
      </c>
      <c r="C319" t="s">
        <v>317</v>
      </c>
      <c r="D319" s="1">
        <v>0.60599537037037032</v>
      </c>
      <c r="E319" s="2">
        <f>CallLog[[#This Row],[Date]]+CallLog[[#This Row],[Time]]</f>
        <v>44202.605995370373</v>
      </c>
      <c r="F319" s="1" t="str">
        <f>TEXT(CallLog[[#This Row],[Date]],"dddd")</f>
        <v>Wednesday</v>
      </c>
      <c r="G319" s="3">
        <f>HOUR(CallLog[[#This Row],[Time]])</f>
        <v>14</v>
      </c>
      <c r="H319" t="s">
        <v>32</v>
      </c>
      <c r="I319" t="s">
        <v>14</v>
      </c>
      <c r="J319" t="s">
        <v>14</v>
      </c>
      <c r="K319">
        <v>108</v>
      </c>
      <c r="L319" t="str">
        <f>IF(AND(CallLog[[#This Row],[Answered (Y/N)]]="Y", CallLog[[#This Row],[Speed of answer in seconds]]&lt;=20),
    "Within",
    "Breach")</f>
        <v>Breach</v>
      </c>
      <c r="M319" s="1">
        <v>3.5069444444444445E-3</v>
      </c>
      <c r="N319">
        <v>4</v>
      </c>
    </row>
    <row r="320" spans="1:14" x14ac:dyDescent="0.3">
      <c r="A320" t="s">
        <v>349</v>
      </c>
      <c r="B320" t="s">
        <v>20</v>
      </c>
      <c r="C320" t="s">
        <v>317</v>
      </c>
      <c r="D320" s="1">
        <v>0.62299768518518517</v>
      </c>
      <c r="E320" s="2">
        <f>CallLog[[#This Row],[Date]]+CallLog[[#This Row],[Time]]</f>
        <v>44202.622997685183</v>
      </c>
      <c r="F320" s="1" t="str">
        <f>TEXT(CallLog[[#This Row],[Date]],"dddd")</f>
        <v>Wednesday</v>
      </c>
      <c r="G320" s="3">
        <f>HOUR(CallLog[[#This Row],[Time]])</f>
        <v>14</v>
      </c>
      <c r="H320" t="s">
        <v>24</v>
      </c>
      <c r="I320" t="s">
        <v>14</v>
      </c>
      <c r="J320" t="s">
        <v>14</v>
      </c>
      <c r="K320">
        <v>99</v>
      </c>
      <c r="L320" t="str">
        <f>IF(AND(CallLog[[#This Row],[Answered (Y/N)]]="Y", CallLog[[#This Row],[Speed of answer in seconds]]&lt;=20),
    "Within",
    "Breach")</f>
        <v>Breach</v>
      </c>
      <c r="M320" s="1">
        <v>2.8703703703703703E-3</v>
      </c>
      <c r="N320">
        <v>4</v>
      </c>
    </row>
    <row r="321" spans="1:14" x14ac:dyDescent="0.3">
      <c r="A321" t="s">
        <v>350</v>
      </c>
      <c r="B321" t="s">
        <v>20</v>
      </c>
      <c r="C321" t="s">
        <v>317</v>
      </c>
      <c r="D321" s="1">
        <v>0.62299768518518517</v>
      </c>
      <c r="E321" s="2">
        <f>CallLog[[#This Row],[Date]]+CallLog[[#This Row],[Time]]</f>
        <v>44202.622997685183</v>
      </c>
      <c r="F321" s="1" t="str">
        <f>TEXT(CallLog[[#This Row],[Date]],"dddd")</f>
        <v>Wednesday</v>
      </c>
      <c r="G321" s="3">
        <f>HOUR(CallLog[[#This Row],[Time]])</f>
        <v>14</v>
      </c>
      <c r="H321" t="s">
        <v>24</v>
      </c>
      <c r="I321" t="s">
        <v>14</v>
      </c>
      <c r="J321" t="s">
        <v>14</v>
      </c>
      <c r="K321">
        <v>56</v>
      </c>
      <c r="L321" t="str">
        <f>IF(AND(CallLog[[#This Row],[Answered (Y/N)]]="Y", CallLog[[#This Row],[Speed of answer in seconds]]&lt;=20),
    "Within",
    "Breach")</f>
        <v>Breach</v>
      </c>
      <c r="M321" s="1">
        <v>3.3796296296296296E-3</v>
      </c>
      <c r="N321">
        <v>1</v>
      </c>
    </row>
    <row r="322" spans="1:14" x14ac:dyDescent="0.3">
      <c r="A322" t="s">
        <v>351</v>
      </c>
      <c r="B322" t="s">
        <v>20</v>
      </c>
      <c r="C322" t="s">
        <v>317</v>
      </c>
      <c r="D322" s="1">
        <v>0.62700231481481483</v>
      </c>
      <c r="E322" s="2">
        <f>CallLog[[#This Row],[Date]]+CallLog[[#This Row],[Time]]</f>
        <v>44202.627002314817</v>
      </c>
      <c r="F322" s="1" t="str">
        <f>TEXT(CallLog[[#This Row],[Date]],"dddd")</f>
        <v>Wednesday</v>
      </c>
      <c r="G322" s="3">
        <f>HOUR(CallLog[[#This Row],[Time]])</f>
        <v>15</v>
      </c>
      <c r="H322" t="s">
        <v>24</v>
      </c>
      <c r="I322" t="s">
        <v>14</v>
      </c>
      <c r="J322" t="s">
        <v>14</v>
      </c>
      <c r="K322">
        <v>121</v>
      </c>
      <c r="L322" t="str">
        <f>IF(AND(CallLog[[#This Row],[Answered (Y/N)]]="Y", CallLog[[#This Row],[Speed of answer in seconds]]&lt;=20),
    "Within",
    "Breach")</f>
        <v>Breach</v>
      </c>
      <c r="M322" s="1">
        <v>2.7430555555555554E-3</v>
      </c>
      <c r="N322">
        <v>3</v>
      </c>
    </row>
    <row r="323" spans="1:14" x14ac:dyDescent="0.3">
      <c r="A323" t="s">
        <v>352</v>
      </c>
      <c r="B323" t="s">
        <v>22</v>
      </c>
      <c r="C323" t="s">
        <v>317</v>
      </c>
      <c r="D323" s="1">
        <v>0.62700231481481483</v>
      </c>
      <c r="E323" s="2">
        <f>CallLog[[#This Row],[Date]]+CallLog[[#This Row],[Time]]</f>
        <v>44202.627002314817</v>
      </c>
      <c r="F323" s="1" t="str">
        <f>TEXT(CallLog[[#This Row],[Date]],"dddd")</f>
        <v>Wednesday</v>
      </c>
      <c r="G323" s="3">
        <f>HOUR(CallLog[[#This Row],[Time]])</f>
        <v>15</v>
      </c>
      <c r="H323" t="s">
        <v>29</v>
      </c>
      <c r="I323" t="s">
        <v>18</v>
      </c>
      <c r="J323" t="s">
        <v>18</v>
      </c>
      <c r="L323" t="str">
        <f>IF(AND(CallLog[[#This Row],[Answered (Y/N)]]="Y", CallLog[[#This Row],[Speed of answer in seconds]]&lt;=20),
    "Within",
    "Breach")</f>
        <v>Breach</v>
      </c>
    </row>
    <row r="324" spans="1:14" x14ac:dyDescent="0.3">
      <c r="A324" t="s">
        <v>353</v>
      </c>
      <c r="B324" t="s">
        <v>34</v>
      </c>
      <c r="C324" t="s">
        <v>317</v>
      </c>
      <c r="D324" s="1">
        <v>0.63400462962962967</v>
      </c>
      <c r="E324" s="2">
        <f>CallLog[[#This Row],[Date]]+CallLog[[#This Row],[Time]]</f>
        <v>44202.634004629632</v>
      </c>
      <c r="F324" s="1" t="str">
        <f>TEXT(CallLog[[#This Row],[Date]],"dddd")</f>
        <v>Wednesday</v>
      </c>
      <c r="G324" s="3">
        <f>HOUR(CallLog[[#This Row],[Time]])</f>
        <v>15</v>
      </c>
      <c r="H324" t="s">
        <v>13</v>
      </c>
      <c r="I324" t="s">
        <v>14</v>
      </c>
      <c r="J324" t="s">
        <v>14</v>
      </c>
      <c r="K324">
        <v>72</v>
      </c>
      <c r="L324" t="str">
        <f>IF(AND(CallLog[[#This Row],[Answered (Y/N)]]="Y", CallLog[[#This Row],[Speed of answer in seconds]]&lt;=20),
    "Within",
    "Breach")</f>
        <v>Breach</v>
      </c>
      <c r="M324" s="1">
        <v>4.1666666666666666E-3</v>
      </c>
      <c r="N324">
        <v>1</v>
      </c>
    </row>
    <row r="325" spans="1:14" x14ac:dyDescent="0.3">
      <c r="A325" t="s">
        <v>354</v>
      </c>
      <c r="B325" t="s">
        <v>22</v>
      </c>
      <c r="C325" t="s">
        <v>317</v>
      </c>
      <c r="D325" s="1">
        <v>0.63400462962962967</v>
      </c>
      <c r="E325" s="2">
        <f>CallLog[[#This Row],[Date]]+CallLog[[#This Row],[Time]]</f>
        <v>44202.634004629632</v>
      </c>
      <c r="F325" s="1" t="str">
        <f>TEXT(CallLog[[#This Row],[Date]],"dddd")</f>
        <v>Wednesday</v>
      </c>
      <c r="G325" s="3">
        <f>HOUR(CallLog[[#This Row],[Time]])</f>
        <v>15</v>
      </c>
      <c r="H325" t="s">
        <v>13</v>
      </c>
      <c r="I325" t="s">
        <v>14</v>
      </c>
      <c r="J325" t="s">
        <v>14</v>
      </c>
      <c r="K325">
        <v>54</v>
      </c>
      <c r="L325" t="str">
        <f>IF(AND(CallLog[[#This Row],[Answered (Y/N)]]="Y", CallLog[[#This Row],[Speed of answer in seconds]]&lt;=20),
    "Within",
    "Breach")</f>
        <v>Breach</v>
      </c>
      <c r="M325" s="1">
        <v>4.340277777777778E-3</v>
      </c>
      <c r="N325">
        <v>4</v>
      </c>
    </row>
    <row r="326" spans="1:14" x14ac:dyDescent="0.3">
      <c r="A326" t="s">
        <v>355</v>
      </c>
      <c r="B326" t="s">
        <v>38</v>
      </c>
      <c r="C326" t="s">
        <v>317</v>
      </c>
      <c r="D326" s="1">
        <v>0.6790046296296296</v>
      </c>
      <c r="E326" s="2">
        <f>CallLog[[#This Row],[Date]]+CallLog[[#This Row],[Time]]</f>
        <v>44202.67900462963</v>
      </c>
      <c r="F326" s="1" t="str">
        <f>TEXT(CallLog[[#This Row],[Date]],"dddd")</f>
        <v>Wednesday</v>
      </c>
      <c r="G326" s="3">
        <f>HOUR(CallLog[[#This Row],[Time]])</f>
        <v>16</v>
      </c>
      <c r="H326" t="s">
        <v>29</v>
      </c>
      <c r="I326" t="s">
        <v>14</v>
      </c>
      <c r="J326" t="s">
        <v>14</v>
      </c>
      <c r="K326">
        <v>30</v>
      </c>
      <c r="L326" t="str">
        <f>IF(AND(CallLog[[#This Row],[Answered (Y/N)]]="Y", CallLog[[#This Row],[Speed of answer in seconds]]&lt;=20),
    "Within",
    "Breach")</f>
        <v>Breach</v>
      </c>
      <c r="M326" s="1">
        <v>3.1944444444444446E-3</v>
      </c>
      <c r="N326">
        <v>3</v>
      </c>
    </row>
    <row r="327" spans="1:14" x14ac:dyDescent="0.3">
      <c r="A327" t="s">
        <v>356</v>
      </c>
      <c r="B327" t="s">
        <v>31</v>
      </c>
      <c r="C327" t="s">
        <v>317</v>
      </c>
      <c r="D327" s="1">
        <v>0.6790046296296296</v>
      </c>
      <c r="E327" s="2">
        <f>CallLog[[#This Row],[Date]]+CallLog[[#This Row],[Time]]</f>
        <v>44202.67900462963</v>
      </c>
      <c r="F327" s="1" t="str">
        <f>TEXT(CallLog[[#This Row],[Date]],"dddd")</f>
        <v>Wednesday</v>
      </c>
      <c r="G327" s="3">
        <f>HOUR(CallLog[[#This Row],[Time]])</f>
        <v>16</v>
      </c>
      <c r="H327" t="s">
        <v>24</v>
      </c>
      <c r="I327" t="s">
        <v>14</v>
      </c>
      <c r="J327" t="s">
        <v>14</v>
      </c>
      <c r="K327">
        <v>44</v>
      </c>
      <c r="L327" t="str">
        <f>IF(AND(CallLog[[#This Row],[Answered (Y/N)]]="Y", CallLog[[#This Row],[Speed of answer in seconds]]&lt;=20),
    "Within",
    "Breach")</f>
        <v>Breach</v>
      </c>
      <c r="M327" s="1">
        <v>7.407407407407407E-4</v>
      </c>
      <c r="N327">
        <v>2</v>
      </c>
    </row>
    <row r="328" spans="1:14" x14ac:dyDescent="0.3">
      <c r="A328" t="s">
        <v>357</v>
      </c>
      <c r="B328" t="s">
        <v>22</v>
      </c>
      <c r="C328" t="s">
        <v>317</v>
      </c>
      <c r="D328" s="1">
        <v>0.68200231481481477</v>
      </c>
      <c r="E328" s="2">
        <f>CallLog[[#This Row],[Date]]+CallLog[[#This Row],[Time]]</f>
        <v>44202.682002314818</v>
      </c>
      <c r="F328" s="1" t="str">
        <f>TEXT(CallLog[[#This Row],[Date]],"dddd")</f>
        <v>Wednesday</v>
      </c>
      <c r="G328" s="3">
        <f>HOUR(CallLog[[#This Row],[Time]])</f>
        <v>16</v>
      </c>
      <c r="H328" t="s">
        <v>24</v>
      </c>
      <c r="I328" t="s">
        <v>14</v>
      </c>
      <c r="J328" t="s">
        <v>18</v>
      </c>
      <c r="K328">
        <v>97</v>
      </c>
      <c r="L328" t="str">
        <f>IF(AND(CallLog[[#This Row],[Answered (Y/N)]]="Y", CallLog[[#This Row],[Speed of answer in seconds]]&lt;=20),
    "Within",
    "Breach")</f>
        <v>Breach</v>
      </c>
      <c r="M328" s="1">
        <v>1.3657407407407407E-3</v>
      </c>
      <c r="N328">
        <v>4</v>
      </c>
    </row>
    <row r="329" spans="1:14" x14ac:dyDescent="0.3">
      <c r="A329" t="s">
        <v>358</v>
      </c>
      <c r="B329" t="s">
        <v>31</v>
      </c>
      <c r="C329" t="s">
        <v>317</v>
      </c>
      <c r="D329" s="1">
        <v>0.68200231481481477</v>
      </c>
      <c r="E329" s="2">
        <f>CallLog[[#This Row],[Date]]+CallLog[[#This Row],[Time]]</f>
        <v>44202.682002314818</v>
      </c>
      <c r="F329" s="1" t="str">
        <f>TEXT(CallLog[[#This Row],[Date]],"dddd")</f>
        <v>Wednesday</v>
      </c>
      <c r="G329" s="3">
        <f>HOUR(CallLog[[#This Row],[Time]])</f>
        <v>16</v>
      </c>
      <c r="H329" t="s">
        <v>32</v>
      </c>
      <c r="I329" t="s">
        <v>14</v>
      </c>
      <c r="J329" t="s">
        <v>14</v>
      </c>
      <c r="K329">
        <v>47</v>
      </c>
      <c r="L329" t="str">
        <f>IF(AND(CallLog[[#This Row],[Answered (Y/N)]]="Y", CallLog[[#This Row],[Speed of answer in seconds]]&lt;=20),
    "Within",
    "Breach")</f>
        <v>Breach</v>
      </c>
      <c r="M329" s="1">
        <v>1.261574074074074E-3</v>
      </c>
      <c r="N329">
        <v>3</v>
      </c>
    </row>
    <row r="330" spans="1:14" x14ac:dyDescent="0.3">
      <c r="A330" t="s">
        <v>359</v>
      </c>
      <c r="B330" t="s">
        <v>47</v>
      </c>
      <c r="C330" t="s">
        <v>317</v>
      </c>
      <c r="D330" s="1">
        <v>0.68599537037037039</v>
      </c>
      <c r="E330" s="2">
        <f>CallLog[[#This Row],[Date]]+CallLog[[#This Row],[Time]]</f>
        <v>44202.685995370368</v>
      </c>
      <c r="F330" s="1" t="str">
        <f>TEXT(CallLog[[#This Row],[Date]],"dddd")</f>
        <v>Wednesday</v>
      </c>
      <c r="G330" s="3">
        <f>HOUR(CallLog[[#This Row],[Time]])</f>
        <v>16</v>
      </c>
      <c r="H330" t="s">
        <v>32</v>
      </c>
      <c r="I330" t="s">
        <v>14</v>
      </c>
      <c r="J330" t="s">
        <v>14</v>
      </c>
      <c r="K330">
        <v>53</v>
      </c>
      <c r="L330" t="str">
        <f>IF(AND(CallLog[[#This Row],[Answered (Y/N)]]="Y", CallLog[[#This Row],[Speed of answer in seconds]]&lt;=20),
    "Within",
    "Breach")</f>
        <v>Breach</v>
      </c>
      <c r="M330" s="1">
        <v>1.1921296296296296E-3</v>
      </c>
      <c r="N330">
        <v>3</v>
      </c>
    </row>
    <row r="331" spans="1:14" x14ac:dyDescent="0.3">
      <c r="A331" t="s">
        <v>360</v>
      </c>
      <c r="B331" t="s">
        <v>47</v>
      </c>
      <c r="C331" t="s">
        <v>317</v>
      </c>
      <c r="D331" s="1">
        <v>0.68599537037037039</v>
      </c>
      <c r="E331" s="2">
        <f>CallLog[[#This Row],[Date]]+CallLog[[#This Row],[Time]]</f>
        <v>44202.685995370368</v>
      </c>
      <c r="F331" s="1" t="str">
        <f>TEXT(CallLog[[#This Row],[Date]],"dddd")</f>
        <v>Wednesday</v>
      </c>
      <c r="G331" s="3">
        <f>HOUR(CallLog[[#This Row],[Time]])</f>
        <v>16</v>
      </c>
      <c r="H331" t="s">
        <v>13</v>
      </c>
      <c r="I331" t="s">
        <v>18</v>
      </c>
      <c r="J331" t="s">
        <v>18</v>
      </c>
      <c r="L331" t="str">
        <f>IF(AND(CallLog[[#This Row],[Answered (Y/N)]]="Y", CallLog[[#This Row],[Speed of answer in seconds]]&lt;=20),
    "Within",
    "Breach")</f>
        <v>Breach</v>
      </c>
    </row>
    <row r="332" spans="1:14" x14ac:dyDescent="0.3">
      <c r="A332" t="s">
        <v>361</v>
      </c>
      <c r="B332" t="s">
        <v>38</v>
      </c>
      <c r="C332" t="s">
        <v>317</v>
      </c>
      <c r="D332" s="1">
        <v>0.6909953703703704</v>
      </c>
      <c r="E332" s="2">
        <f>CallLog[[#This Row],[Date]]+CallLog[[#This Row],[Time]]</f>
        <v>44202.690995370373</v>
      </c>
      <c r="F332" s="1" t="str">
        <f>TEXT(CallLog[[#This Row],[Date]],"dddd")</f>
        <v>Wednesday</v>
      </c>
      <c r="G332" s="3">
        <f>HOUR(CallLog[[#This Row],[Time]])</f>
        <v>16</v>
      </c>
      <c r="H332" t="s">
        <v>24</v>
      </c>
      <c r="I332" t="s">
        <v>18</v>
      </c>
      <c r="J332" t="s">
        <v>18</v>
      </c>
      <c r="L332" t="str">
        <f>IF(AND(CallLog[[#This Row],[Answered (Y/N)]]="Y", CallLog[[#This Row],[Speed of answer in seconds]]&lt;=20),
    "Within",
    "Breach")</f>
        <v>Breach</v>
      </c>
    </row>
    <row r="333" spans="1:14" x14ac:dyDescent="0.3">
      <c r="A333" t="s">
        <v>362</v>
      </c>
      <c r="B333" t="s">
        <v>31</v>
      </c>
      <c r="C333" t="s">
        <v>317</v>
      </c>
      <c r="D333" s="1">
        <v>0.6909953703703704</v>
      </c>
      <c r="E333" s="2">
        <f>CallLog[[#This Row],[Date]]+CallLog[[#This Row],[Time]]</f>
        <v>44202.690995370373</v>
      </c>
      <c r="F333" s="1" t="str">
        <f>TEXT(CallLog[[#This Row],[Date]],"dddd")</f>
        <v>Wednesday</v>
      </c>
      <c r="G333" s="3">
        <f>HOUR(CallLog[[#This Row],[Time]])</f>
        <v>16</v>
      </c>
      <c r="H333" t="s">
        <v>32</v>
      </c>
      <c r="I333" t="s">
        <v>18</v>
      </c>
      <c r="J333" t="s">
        <v>18</v>
      </c>
      <c r="L333" t="str">
        <f>IF(AND(CallLog[[#This Row],[Answered (Y/N)]]="Y", CallLog[[#This Row],[Speed of answer in seconds]]&lt;=20),
    "Within",
    "Breach")</f>
        <v>Breach</v>
      </c>
    </row>
    <row r="334" spans="1:14" x14ac:dyDescent="0.3">
      <c r="A334" t="s">
        <v>363</v>
      </c>
      <c r="B334" t="s">
        <v>20</v>
      </c>
      <c r="C334" t="s">
        <v>317</v>
      </c>
      <c r="D334" s="1">
        <v>0.69400462962962961</v>
      </c>
      <c r="E334" s="2">
        <f>CallLog[[#This Row],[Date]]+CallLog[[#This Row],[Time]]</f>
        <v>44202.694004629629</v>
      </c>
      <c r="F334" s="1" t="str">
        <f>TEXT(CallLog[[#This Row],[Date]],"dddd")</f>
        <v>Wednesday</v>
      </c>
      <c r="G334" s="3">
        <f>HOUR(CallLog[[#This Row],[Time]])</f>
        <v>16</v>
      </c>
      <c r="H334" t="s">
        <v>29</v>
      </c>
      <c r="I334" t="s">
        <v>14</v>
      </c>
      <c r="J334" t="s">
        <v>14</v>
      </c>
      <c r="K334">
        <v>81</v>
      </c>
      <c r="L334" t="str">
        <f>IF(AND(CallLog[[#This Row],[Answered (Y/N)]]="Y", CallLog[[#This Row],[Speed of answer in seconds]]&lt;=20),
    "Within",
    "Breach")</f>
        <v>Breach</v>
      </c>
      <c r="M334" s="1">
        <v>2.6041666666666665E-3</v>
      </c>
      <c r="N334">
        <v>3</v>
      </c>
    </row>
    <row r="335" spans="1:14" x14ac:dyDescent="0.3">
      <c r="A335" t="s">
        <v>364</v>
      </c>
      <c r="B335" t="s">
        <v>11</v>
      </c>
      <c r="C335" t="s">
        <v>317</v>
      </c>
      <c r="D335" s="1">
        <v>0.69400462962962961</v>
      </c>
      <c r="E335" s="2">
        <f>CallLog[[#This Row],[Date]]+CallLog[[#This Row],[Time]]</f>
        <v>44202.694004629629</v>
      </c>
      <c r="F335" s="1" t="str">
        <f>TEXT(CallLog[[#This Row],[Date]],"dddd")</f>
        <v>Wednesday</v>
      </c>
      <c r="G335" s="3">
        <f>HOUR(CallLog[[#This Row],[Time]])</f>
        <v>16</v>
      </c>
      <c r="H335" t="s">
        <v>13</v>
      </c>
      <c r="I335" t="s">
        <v>14</v>
      </c>
      <c r="J335" t="s">
        <v>14</v>
      </c>
      <c r="K335">
        <v>11</v>
      </c>
      <c r="L335" t="str">
        <f>IF(AND(CallLog[[#This Row],[Answered (Y/N)]]="Y", CallLog[[#This Row],[Speed of answer in seconds]]&lt;=20),
    "Within",
    "Breach")</f>
        <v>Within</v>
      </c>
      <c r="M335" s="1">
        <v>3.9351851851851852E-4</v>
      </c>
      <c r="N335">
        <v>4</v>
      </c>
    </row>
    <row r="336" spans="1:14" x14ac:dyDescent="0.3">
      <c r="A336" t="s">
        <v>365</v>
      </c>
      <c r="B336" t="s">
        <v>38</v>
      </c>
      <c r="C336" t="s">
        <v>317</v>
      </c>
      <c r="D336" s="1">
        <v>0.70900462962962962</v>
      </c>
      <c r="E336" s="2">
        <f>CallLog[[#This Row],[Date]]+CallLog[[#This Row],[Time]]</f>
        <v>44202.709004629629</v>
      </c>
      <c r="F336" s="1" t="str">
        <f>TEXT(CallLog[[#This Row],[Date]],"dddd")</f>
        <v>Wednesday</v>
      </c>
      <c r="G336" s="3">
        <f>HOUR(CallLog[[#This Row],[Time]])</f>
        <v>17</v>
      </c>
      <c r="H336" t="s">
        <v>24</v>
      </c>
      <c r="I336" t="s">
        <v>14</v>
      </c>
      <c r="J336" t="s">
        <v>14</v>
      </c>
      <c r="K336">
        <v>48</v>
      </c>
      <c r="L336" t="str">
        <f>IF(AND(CallLog[[#This Row],[Answered (Y/N)]]="Y", CallLog[[#This Row],[Speed of answer in seconds]]&lt;=20),
    "Within",
    "Breach")</f>
        <v>Breach</v>
      </c>
      <c r="M336" s="1">
        <v>6.134259259259259E-4</v>
      </c>
      <c r="N336">
        <v>5</v>
      </c>
    </row>
    <row r="337" spans="1:14" x14ac:dyDescent="0.3">
      <c r="A337" t="s">
        <v>366</v>
      </c>
      <c r="B337" t="s">
        <v>20</v>
      </c>
      <c r="C337" t="s">
        <v>317</v>
      </c>
      <c r="D337" s="1">
        <v>0.70900462962962962</v>
      </c>
      <c r="E337" s="2">
        <f>CallLog[[#This Row],[Date]]+CallLog[[#This Row],[Time]]</f>
        <v>44202.709004629629</v>
      </c>
      <c r="F337" s="1" t="str">
        <f>TEXT(CallLog[[#This Row],[Date]],"dddd")</f>
        <v>Wednesday</v>
      </c>
      <c r="G337" s="3">
        <f>HOUR(CallLog[[#This Row],[Time]])</f>
        <v>17</v>
      </c>
      <c r="H337" t="s">
        <v>13</v>
      </c>
      <c r="I337" t="s">
        <v>14</v>
      </c>
      <c r="J337" t="s">
        <v>14</v>
      </c>
      <c r="K337">
        <v>37</v>
      </c>
      <c r="L337" t="str">
        <f>IF(AND(CallLog[[#This Row],[Answered (Y/N)]]="Y", CallLog[[#This Row],[Speed of answer in seconds]]&lt;=20),
    "Within",
    "Breach")</f>
        <v>Breach</v>
      </c>
      <c r="M337" s="1">
        <v>4.7916666666666663E-3</v>
      </c>
      <c r="N337">
        <v>5</v>
      </c>
    </row>
    <row r="338" spans="1:14" x14ac:dyDescent="0.3">
      <c r="A338" t="s">
        <v>367</v>
      </c>
      <c r="B338" t="s">
        <v>38</v>
      </c>
      <c r="C338" t="s">
        <v>317</v>
      </c>
      <c r="D338" s="1">
        <v>0.72200231481481481</v>
      </c>
      <c r="E338" s="2">
        <f>CallLog[[#This Row],[Date]]+CallLog[[#This Row],[Time]]</f>
        <v>44202.722002314818</v>
      </c>
      <c r="F338" s="1" t="str">
        <f>TEXT(CallLog[[#This Row],[Date]],"dddd")</f>
        <v>Wednesday</v>
      </c>
      <c r="G338" s="3">
        <f>HOUR(CallLog[[#This Row],[Time]])</f>
        <v>17</v>
      </c>
      <c r="H338" t="s">
        <v>17</v>
      </c>
      <c r="I338" t="s">
        <v>14</v>
      </c>
      <c r="J338" t="s">
        <v>14</v>
      </c>
      <c r="K338">
        <v>115</v>
      </c>
      <c r="L338" t="str">
        <f>IF(AND(CallLog[[#This Row],[Answered (Y/N)]]="Y", CallLog[[#This Row],[Speed of answer in seconds]]&lt;=20),
    "Within",
    "Breach")</f>
        <v>Breach</v>
      </c>
      <c r="M338" s="1">
        <v>1.7824074074074075E-3</v>
      </c>
      <c r="N338">
        <v>4</v>
      </c>
    </row>
    <row r="339" spans="1:14" x14ac:dyDescent="0.3">
      <c r="A339" t="s">
        <v>368</v>
      </c>
      <c r="B339" t="s">
        <v>22</v>
      </c>
      <c r="C339" t="s">
        <v>317</v>
      </c>
      <c r="D339" s="1">
        <v>0.72200231481481481</v>
      </c>
      <c r="E339" s="2">
        <f>CallLog[[#This Row],[Date]]+CallLog[[#This Row],[Time]]</f>
        <v>44202.722002314818</v>
      </c>
      <c r="F339" s="1" t="str">
        <f>TEXT(CallLog[[#This Row],[Date]],"dddd")</f>
        <v>Wednesday</v>
      </c>
      <c r="G339" s="3">
        <f>HOUR(CallLog[[#This Row],[Time]])</f>
        <v>17</v>
      </c>
      <c r="H339" t="s">
        <v>24</v>
      </c>
      <c r="I339" t="s">
        <v>14</v>
      </c>
      <c r="J339" t="s">
        <v>14</v>
      </c>
      <c r="K339">
        <v>81</v>
      </c>
      <c r="L339" t="str">
        <f>IF(AND(CallLog[[#This Row],[Answered (Y/N)]]="Y", CallLog[[#This Row],[Speed of answer in seconds]]&lt;=20),
    "Within",
    "Breach")</f>
        <v>Breach</v>
      </c>
      <c r="M339" s="1">
        <v>6.134259259259259E-4</v>
      </c>
      <c r="N339">
        <v>4</v>
      </c>
    </row>
    <row r="340" spans="1:14" x14ac:dyDescent="0.3">
      <c r="A340" t="s">
        <v>369</v>
      </c>
      <c r="B340" t="s">
        <v>16</v>
      </c>
      <c r="C340" t="s">
        <v>317</v>
      </c>
      <c r="D340" s="1">
        <v>0.72299768518518515</v>
      </c>
      <c r="E340" s="2">
        <f>CallLog[[#This Row],[Date]]+CallLog[[#This Row],[Time]]</f>
        <v>44202.722997685189</v>
      </c>
      <c r="F340" s="1" t="str">
        <f>TEXT(CallLog[[#This Row],[Date]],"dddd")</f>
        <v>Wednesday</v>
      </c>
      <c r="G340" s="3">
        <f>HOUR(CallLog[[#This Row],[Time]])</f>
        <v>17</v>
      </c>
      <c r="H340" t="s">
        <v>13</v>
      </c>
      <c r="I340" t="s">
        <v>18</v>
      </c>
      <c r="J340" t="s">
        <v>18</v>
      </c>
      <c r="L340" t="str">
        <f>IF(AND(CallLog[[#This Row],[Answered (Y/N)]]="Y", CallLog[[#This Row],[Speed of answer in seconds]]&lt;=20),
    "Within",
    "Breach")</f>
        <v>Breach</v>
      </c>
    </row>
    <row r="341" spans="1:14" x14ac:dyDescent="0.3">
      <c r="A341" t="s">
        <v>370</v>
      </c>
      <c r="B341" t="s">
        <v>31</v>
      </c>
      <c r="C341" t="s">
        <v>317</v>
      </c>
      <c r="D341" s="1">
        <v>0.72299768518518515</v>
      </c>
      <c r="E341" s="2">
        <f>CallLog[[#This Row],[Date]]+CallLog[[#This Row],[Time]]</f>
        <v>44202.722997685189</v>
      </c>
      <c r="F341" s="1" t="str">
        <f>TEXT(CallLog[[#This Row],[Date]],"dddd")</f>
        <v>Wednesday</v>
      </c>
      <c r="G341" s="3">
        <f>HOUR(CallLog[[#This Row],[Time]])</f>
        <v>17</v>
      </c>
      <c r="H341" t="s">
        <v>29</v>
      </c>
      <c r="I341" t="s">
        <v>14</v>
      </c>
      <c r="J341" t="s">
        <v>14</v>
      </c>
      <c r="K341">
        <v>12</v>
      </c>
      <c r="L341" t="str">
        <f>IF(AND(CallLog[[#This Row],[Answered (Y/N)]]="Y", CallLog[[#This Row],[Speed of answer in seconds]]&lt;=20),
    "Within",
    "Breach")</f>
        <v>Within</v>
      </c>
      <c r="M341" s="1">
        <v>2.2222222222222222E-3</v>
      </c>
      <c r="N341">
        <v>5</v>
      </c>
    </row>
    <row r="342" spans="1:14" x14ac:dyDescent="0.3">
      <c r="A342" t="s">
        <v>371</v>
      </c>
      <c r="B342" t="s">
        <v>20</v>
      </c>
      <c r="C342" t="s">
        <v>317</v>
      </c>
      <c r="D342" s="1">
        <v>0.72400462962962964</v>
      </c>
      <c r="E342" s="2">
        <f>CallLog[[#This Row],[Date]]+CallLog[[#This Row],[Time]]</f>
        <v>44202.724004629628</v>
      </c>
      <c r="F342" s="1" t="str">
        <f>TEXT(CallLog[[#This Row],[Date]],"dddd")</f>
        <v>Wednesday</v>
      </c>
      <c r="G342" s="3">
        <f>HOUR(CallLog[[#This Row],[Time]])</f>
        <v>17</v>
      </c>
      <c r="H342" t="s">
        <v>29</v>
      </c>
      <c r="I342" t="s">
        <v>14</v>
      </c>
      <c r="J342" t="s">
        <v>14</v>
      </c>
      <c r="K342">
        <v>75</v>
      </c>
      <c r="L342" t="str">
        <f>IF(AND(CallLog[[#This Row],[Answered (Y/N)]]="Y", CallLog[[#This Row],[Speed of answer in seconds]]&lt;=20),
    "Within",
    "Breach")</f>
        <v>Breach</v>
      </c>
      <c r="M342" s="1">
        <v>1.9791666666666668E-3</v>
      </c>
      <c r="N342">
        <v>3</v>
      </c>
    </row>
    <row r="343" spans="1:14" x14ac:dyDescent="0.3">
      <c r="A343" t="s">
        <v>372</v>
      </c>
      <c r="B343" t="s">
        <v>31</v>
      </c>
      <c r="C343" t="s">
        <v>317</v>
      </c>
      <c r="D343" s="1">
        <v>0.72400462962962964</v>
      </c>
      <c r="E343" s="2">
        <f>CallLog[[#This Row],[Date]]+CallLog[[#This Row],[Time]]</f>
        <v>44202.724004629628</v>
      </c>
      <c r="F343" s="1" t="str">
        <f>TEXT(CallLog[[#This Row],[Date]],"dddd")</f>
        <v>Wednesday</v>
      </c>
      <c r="G343" s="3">
        <f>HOUR(CallLog[[#This Row],[Time]])</f>
        <v>17</v>
      </c>
      <c r="H343" t="s">
        <v>13</v>
      </c>
      <c r="I343" t="s">
        <v>14</v>
      </c>
      <c r="J343" t="s">
        <v>14</v>
      </c>
      <c r="K343">
        <v>42</v>
      </c>
      <c r="L343" t="str">
        <f>IF(AND(CallLog[[#This Row],[Answered (Y/N)]]="Y", CallLog[[#This Row],[Speed of answer in seconds]]&lt;=20),
    "Within",
    "Breach")</f>
        <v>Breach</v>
      </c>
      <c r="M343" s="1">
        <v>8.9120370370370373E-4</v>
      </c>
      <c r="N343">
        <v>4</v>
      </c>
    </row>
    <row r="344" spans="1:14" x14ac:dyDescent="0.3">
      <c r="A344" t="s">
        <v>373</v>
      </c>
      <c r="B344" t="s">
        <v>22</v>
      </c>
      <c r="C344" t="s">
        <v>317</v>
      </c>
      <c r="D344" s="1">
        <v>0.72499999999999998</v>
      </c>
      <c r="E344" s="2">
        <f>CallLog[[#This Row],[Date]]+CallLog[[#This Row],[Time]]</f>
        <v>44202.724999999999</v>
      </c>
      <c r="F344" s="1" t="str">
        <f>TEXT(CallLog[[#This Row],[Date]],"dddd")</f>
        <v>Wednesday</v>
      </c>
      <c r="G344" s="3">
        <f>HOUR(CallLog[[#This Row],[Time]])</f>
        <v>17</v>
      </c>
      <c r="H344" t="s">
        <v>29</v>
      </c>
      <c r="I344" t="s">
        <v>14</v>
      </c>
      <c r="J344" t="s">
        <v>14</v>
      </c>
      <c r="K344">
        <v>96</v>
      </c>
      <c r="L344" t="str">
        <f>IF(AND(CallLog[[#This Row],[Answered (Y/N)]]="Y", CallLog[[#This Row],[Speed of answer in seconds]]&lt;=20),
    "Within",
    "Breach")</f>
        <v>Breach</v>
      </c>
      <c r="M344" s="1">
        <v>1.2152777777777778E-3</v>
      </c>
      <c r="N344">
        <v>5</v>
      </c>
    </row>
    <row r="345" spans="1:14" x14ac:dyDescent="0.3">
      <c r="A345" t="s">
        <v>374</v>
      </c>
      <c r="B345" t="s">
        <v>20</v>
      </c>
      <c r="C345" t="s">
        <v>317</v>
      </c>
      <c r="D345" s="1">
        <v>0.72499999999999998</v>
      </c>
      <c r="E345" s="2">
        <f>CallLog[[#This Row],[Date]]+CallLog[[#This Row],[Time]]</f>
        <v>44202.724999999999</v>
      </c>
      <c r="F345" s="1" t="str">
        <f>TEXT(CallLog[[#This Row],[Date]],"dddd")</f>
        <v>Wednesday</v>
      </c>
      <c r="G345" s="3">
        <f>HOUR(CallLog[[#This Row],[Time]])</f>
        <v>17</v>
      </c>
      <c r="H345" t="s">
        <v>24</v>
      </c>
      <c r="I345" t="s">
        <v>14</v>
      </c>
      <c r="J345" t="s">
        <v>14</v>
      </c>
      <c r="K345">
        <v>58</v>
      </c>
      <c r="L345" t="str">
        <f>IF(AND(CallLog[[#This Row],[Answered (Y/N)]]="Y", CallLog[[#This Row],[Speed of answer in seconds]]&lt;=20),
    "Within",
    "Breach")</f>
        <v>Breach</v>
      </c>
      <c r="M345" s="1">
        <v>1.2847222222222223E-3</v>
      </c>
      <c r="N345">
        <v>5</v>
      </c>
    </row>
    <row r="346" spans="1:14" x14ac:dyDescent="0.3">
      <c r="A346" t="s">
        <v>375</v>
      </c>
      <c r="B346" t="s">
        <v>47</v>
      </c>
      <c r="C346" t="s">
        <v>376</v>
      </c>
      <c r="D346" s="1">
        <v>0.37799768518518517</v>
      </c>
      <c r="E346" s="2">
        <f>CallLog[[#This Row],[Date]]+CallLog[[#This Row],[Time]]</f>
        <v>44203.377997685187</v>
      </c>
      <c r="F346" s="1" t="str">
        <f>TEXT(CallLog[[#This Row],[Date]],"dddd")</f>
        <v>Thursday</v>
      </c>
      <c r="G346" s="3">
        <f>HOUR(CallLog[[#This Row],[Time]])</f>
        <v>9</v>
      </c>
      <c r="H346" t="s">
        <v>13</v>
      </c>
      <c r="I346" t="s">
        <v>14</v>
      </c>
      <c r="J346" t="s">
        <v>14</v>
      </c>
      <c r="K346">
        <v>62</v>
      </c>
      <c r="L346" t="str">
        <f>IF(AND(CallLog[[#This Row],[Answered (Y/N)]]="Y", CallLog[[#This Row],[Speed of answer in seconds]]&lt;=20),
    "Within",
    "Breach")</f>
        <v>Breach</v>
      </c>
      <c r="M346" s="1">
        <v>3.6574074074074074E-3</v>
      </c>
      <c r="N346">
        <v>5</v>
      </c>
    </row>
    <row r="347" spans="1:14" x14ac:dyDescent="0.3">
      <c r="A347" t="s">
        <v>377</v>
      </c>
      <c r="B347" t="s">
        <v>22</v>
      </c>
      <c r="C347" t="s">
        <v>376</v>
      </c>
      <c r="D347" s="1">
        <v>0.37799768518518517</v>
      </c>
      <c r="E347" s="2">
        <f>CallLog[[#This Row],[Date]]+CallLog[[#This Row],[Time]]</f>
        <v>44203.377997685187</v>
      </c>
      <c r="F347" s="1" t="str">
        <f>TEXT(CallLog[[#This Row],[Date]],"dddd")</f>
        <v>Thursday</v>
      </c>
      <c r="G347" s="3">
        <f>HOUR(CallLog[[#This Row],[Time]])</f>
        <v>9</v>
      </c>
      <c r="H347" t="s">
        <v>24</v>
      </c>
      <c r="I347" t="s">
        <v>14</v>
      </c>
      <c r="J347" t="s">
        <v>14</v>
      </c>
      <c r="K347">
        <v>74</v>
      </c>
      <c r="L347" t="str">
        <f>IF(AND(CallLog[[#This Row],[Answered (Y/N)]]="Y", CallLog[[#This Row],[Speed of answer in seconds]]&lt;=20),
    "Within",
    "Breach")</f>
        <v>Breach</v>
      </c>
      <c r="M347" s="1">
        <v>1.5046296296296296E-3</v>
      </c>
      <c r="N347">
        <v>5</v>
      </c>
    </row>
    <row r="348" spans="1:14" x14ac:dyDescent="0.3">
      <c r="A348" t="s">
        <v>378</v>
      </c>
      <c r="B348" t="s">
        <v>16</v>
      </c>
      <c r="C348" t="s">
        <v>376</v>
      </c>
      <c r="D348" s="1">
        <v>0.38</v>
      </c>
      <c r="E348" s="2">
        <f>CallLog[[#This Row],[Date]]+CallLog[[#This Row],[Time]]</f>
        <v>44203.38</v>
      </c>
      <c r="F348" s="1" t="str">
        <f>TEXT(CallLog[[#This Row],[Date]],"dddd")</f>
        <v>Thursday</v>
      </c>
      <c r="G348" s="3">
        <f>HOUR(CallLog[[#This Row],[Time]])</f>
        <v>9</v>
      </c>
      <c r="H348" t="s">
        <v>17</v>
      </c>
      <c r="I348" t="s">
        <v>14</v>
      </c>
      <c r="J348" t="s">
        <v>14</v>
      </c>
      <c r="K348">
        <v>26</v>
      </c>
      <c r="L348" t="str">
        <f>IF(AND(CallLog[[#This Row],[Answered (Y/N)]]="Y", CallLog[[#This Row],[Speed of answer in seconds]]&lt;=20),
    "Within",
    "Breach")</f>
        <v>Breach</v>
      </c>
      <c r="M348" s="1">
        <v>8.1018518518518516E-4</v>
      </c>
      <c r="N348">
        <v>3</v>
      </c>
    </row>
    <row r="349" spans="1:14" x14ac:dyDescent="0.3">
      <c r="A349" t="s">
        <v>379</v>
      </c>
      <c r="B349" t="s">
        <v>11</v>
      </c>
      <c r="C349" t="s">
        <v>376</v>
      </c>
      <c r="D349" s="1">
        <v>0.38</v>
      </c>
      <c r="E349" s="2">
        <f>CallLog[[#This Row],[Date]]+CallLog[[#This Row],[Time]]</f>
        <v>44203.38</v>
      </c>
      <c r="F349" s="1" t="str">
        <f>TEXT(CallLog[[#This Row],[Date]],"dddd")</f>
        <v>Thursday</v>
      </c>
      <c r="G349" s="3">
        <f>HOUR(CallLog[[#This Row],[Time]])</f>
        <v>9</v>
      </c>
      <c r="H349" t="s">
        <v>17</v>
      </c>
      <c r="I349" t="s">
        <v>18</v>
      </c>
      <c r="J349" t="s">
        <v>18</v>
      </c>
      <c r="L349" t="str">
        <f>IF(AND(CallLog[[#This Row],[Answered (Y/N)]]="Y", CallLog[[#This Row],[Speed of answer in seconds]]&lt;=20),
    "Within",
    "Breach")</f>
        <v>Breach</v>
      </c>
    </row>
    <row r="350" spans="1:14" x14ac:dyDescent="0.3">
      <c r="A350" t="s">
        <v>380</v>
      </c>
      <c r="B350" t="s">
        <v>34</v>
      </c>
      <c r="C350" t="s">
        <v>376</v>
      </c>
      <c r="D350" s="1">
        <v>0.38900462962962962</v>
      </c>
      <c r="E350" s="2">
        <f>CallLog[[#This Row],[Date]]+CallLog[[#This Row],[Time]]</f>
        <v>44203.389004629629</v>
      </c>
      <c r="F350" s="1" t="str">
        <f>TEXT(CallLog[[#This Row],[Date]],"dddd")</f>
        <v>Thursday</v>
      </c>
      <c r="G350" s="3">
        <f>HOUR(CallLog[[#This Row],[Time]])</f>
        <v>9</v>
      </c>
      <c r="H350" t="s">
        <v>17</v>
      </c>
      <c r="I350" t="s">
        <v>14</v>
      </c>
      <c r="J350" t="s">
        <v>14</v>
      </c>
      <c r="K350">
        <v>40</v>
      </c>
      <c r="L350" t="str">
        <f>IF(AND(CallLog[[#This Row],[Answered (Y/N)]]="Y", CallLog[[#This Row],[Speed of answer in seconds]]&lt;=20),
    "Within",
    "Breach")</f>
        <v>Breach</v>
      </c>
      <c r="M350" s="1">
        <v>3.5648148148148149E-3</v>
      </c>
      <c r="N350">
        <v>2</v>
      </c>
    </row>
    <row r="351" spans="1:14" x14ac:dyDescent="0.3">
      <c r="A351" t="s">
        <v>381</v>
      </c>
      <c r="B351" t="s">
        <v>34</v>
      </c>
      <c r="C351" t="s">
        <v>376</v>
      </c>
      <c r="D351" s="1">
        <v>0.38900462962962962</v>
      </c>
      <c r="E351" s="2">
        <f>CallLog[[#This Row],[Date]]+CallLog[[#This Row],[Time]]</f>
        <v>44203.389004629629</v>
      </c>
      <c r="F351" s="1" t="str">
        <f>TEXT(CallLog[[#This Row],[Date]],"dddd")</f>
        <v>Thursday</v>
      </c>
      <c r="G351" s="3">
        <f>HOUR(CallLog[[#This Row],[Time]])</f>
        <v>9</v>
      </c>
      <c r="H351" t="s">
        <v>32</v>
      </c>
      <c r="I351" t="s">
        <v>14</v>
      </c>
      <c r="J351" t="s">
        <v>14</v>
      </c>
      <c r="K351">
        <v>12</v>
      </c>
      <c r="L351" t="str">
        <f>IF(AND(CallLog[[#This Row],[Answered (Y/N)]]="Y", CallLog[[#This Row],[Speed of answer in seconds]]&lt;=20),
    "Within",
    "Breach")</f>
        <v>Within</v>
      </c>
      <c r="M351" s="1">
        <v>3.4027777777777776E-3</v>
      </c>
      <c r="N351">
        <v>3</v>
      </c>
    </row>
    <row r="352" spans="1:14" x14ac:dyDescent="0.3">
      <c r="A352" t="s">
        <v>382</v>
      </c>
      <c r="B352" t="s">
        <v>34</v>
      </c>
      <c r="C352" t="s">
        <v>376</v>
      </c>
      <c r="D352" s="1">
        <v>0.42700231481481482</v>
      </c>
      <c r="E352" s="2">
        <f>CallLog[[#This Row],[Date]]+CallLog[[#This Row],[Time]]</f>
        <v>44203.427002314813</v>
      </c>
      <c r="F352" s="1" t="str">
        <f>TEXT(CallLog[[#This Row],[Date]],"dddd")</f>
        <v>Thursday</v>
      </c>
      <c r="G352" s="3">
        <f>HOUR(CallLog[[#This Row],[Time]])</f>
        <v>10</v>
      </c>
      <c r="H352" t="s">
        <v>13</v>
      </c>
      <c r="I352" t="s">
        <v>14</v>
      </c>
      <c r="J352" t="s">
        <v>14</v>
      </c>
      <c r="K352">
        <v>114</v>
      </c>
      <c r="L352" t="str">
        <f>IF(AND(CallLog[[#This Row],[Answered (Y/N)]]="Y", CallLog[[#This Row],[Speed of answer in seconds]]&lt;=20),
    "Within",
    "Breach")</f>
        <v>Breach</v>
      </c>
      <c r="M352" s="1">
        <v>2.5578703703703705E-3</v>
      </c>
      <c r="N352">
        <v>5</v>
      </c>
    </row>
    <row r="353" spans="1:14" x14ac:dyDescent="0.3">
      <c r="A353" t="s">
        <v>383</v>
      </c>
      <c r="B353" t="s">
        <v>16</v>
      </c>
      <c r="C353" t="s">
        <v>376</v>
      </c>
      <c r="D353" s="1">
        <v>0.42700231481481482</v>
      </c>
      <c r="E353" s="2">
        <f>CallLog[[#This Row],[Date]]+CallLog[[#This Row],[Time]]</f>
        <v>44203.427002314813</v>
      </c>
      <c r="F353" s="1" t="str">
        <f>TEXT(CallLog[[#This Row],[Date]],"dddd")</f>
        <v>Thursday</v>
      </c>
      <c r="G353" s="3">
        <f>HOUR(CallLog[[#This Row],[Time]])</f>
        <v>10</v>
      </c>
      <c r="H353" t="s">
        <v>13</v>
      </c>
      <c r="I353" t="s">
        <v>14</v>
      </c>
      <c r="J353" t="s">
        <v>14</v>
      </c>
      <c r="K353">
        <v>85</v>
      </c>
      <c r="L353" t="str">
        <f>IF(AND(CallLog[[#This Row],[Answered (Y/N)]]="Y", CallLog[[#This Row],[Speed of answer in seconds]]&lt;=20),
    "Within",
    "Breach")</f>
        <v>Breach</v>
      </c>
      <c r="M353" s="1">
        <v>2.4189814814814816E-3</v>
      </c>
      <c r="N353">
        <v>4</v>
      </c>
    </row>
    <row r="354" spans="1:14" x14ac:dyDescent="0.3">
      <c r="A354" t="s">
        <v>384</v>
      </c>
      <c r="B354" t="s">
        <v>11</v>
      </c>
      <c r="C354" t="s">
        <v>376</v>
      </c>
      <c r="D354" s="1">
        <v>0.43299768518518517</v>
      </c>
      <c r="E354" s="2">
        <f>CallLog[[#This Row],[Date]]+CallLog[[#This Row],[Time]]</f>
        <v>44203.432997685188</v>
      </c>
      <c r="F354" s="1" t="str">
        <f>TEXT(CallLog[[#This Row],[Date]],"dddd")</f>
        <v>Thursday</v>
      </c>
      <c r="G354" s="3">
        <f>HOUR(CallLog[[#This Row],[Time]])</f>
        <v>10</v>
      </c>
      <c r="H354" t="s">
        <v>29</v>
      </c>
      <c r="I354" t="s">
        <v>14</v>
      </c>
      <c r="J354" t="s">
        <v>14</v>
      </c>
      <c r="K354">
        <v>52</v>
      </c>
      <c r="L354" t="str">
        <f>IF(AND(CallLog[[#This Row],[Answered (Y/N)]]="Y", CallLog[[#This Row],[Speed of answer in seconds]]&lt;=20),
    "Within",
    "Breach")</f>
        <v>Breach</v>
      </c>
      <c r="M354" s="1">
        <v>1.3310185185185185E-3</v>
      </c>
      <c r="N354">
        <v>5</v>
      </c>
    </row>
    <row r="355" spans="1:14" x14ac:dyDescent="0.3">
      <c r="A355" t="s">
        <v>385</v>
      </c>
      <c r="B355" t="s">
        <v>22</v>
      </c>
      <c r="C355" t="s">
        <v>376</v>
      </c>
      <c r="D355" s="1">
        <v>0.43299768518518517</v>
      </c>
      <c r="E355" s="2">
        <f>CallLog[[#This Row],[Date]]+CallLog[[#This Row],[Time]]</f>
        <v>44203.432997685188</v>
      </c>
      <c r="F355" s="1" t="str">
        <f>TEXT(CallLog[[#This Row],[Date]],"dddd")</f>
        <v>Thursday</v>
      </c>
      <c r="G355" s="3">
        <f>HOUR(CallLog[[#This Row],[Time]])</f>
        <v>10</v>
      </c>
      <c r="H355" t="s">
        <v>32</v>
      </c>
      <c r="I355" t="s">
        <v>14</v>
      </c>
      <c r="J355" t="s">
        <v>14</v>
      </c>
      <c r="K355">
        <v>60</v>
      </c>
      <c r="L355" t="str">
        <f>IF(AND(CallLog[[#This Row],[Answered (Y/N)]]="Y", CallLog[[#This Row],[Speed of answer in seconds]]&lt;=20),
    "Within",
    "Breach")</f>
        <v>Breach</v>
      </c>
      <c r="M355" s="1">
        <v>2.9861111111111113E-3</v>
      </c>
      <c r="N355">
        <v>3</v>
      </c>
    </row>
    <row r="356" spans="1:14" x14ac:dyDescent="0.3">
      <c r="A356" t="s">
        <v>386</v>
      </c>
      <c r="B356" t="s">
        <v>34</v>
      </c>
      <c r="C356" t="s">
        <v>376</v>
      </c>
      <c r="D356" s="1">
        <v>0.44</v>
      </c>
      <c r="E356" s="2">
        <f>CallLog[[#This Row],[Date]]+CallLog[[#This Row],[Time]]</f>
        <v>44203.44</v>
      </c>
      <c r="F356" s="1" t="str">
        <f>TEXT(CallLog[[#This Row],[Date]],"dddd")</f>
        <v>Thursday</v>
      </c>
      <c r="G356" s="3">
        <f>HOUR(CallLog[[#This Row],[Time]])</f>
        <v>10</v>
      </c>
      <c r="H356" t="s">
        <v>29</v>
      </c>
      <c r="I356" t="s">
        <v>14</v>
      </c>
      <c r="J356" t="s">
        <v>14</v>
      </c>
      <c r="K356">
        <v>76</v>
      </c>
      <c r="L356" t="str">
        <f>IF(AND(CallLog[[#This Row],[Answered (Y/N)]]="Y", CallLog[[#This Row],[Speed of answer in seconds]]&lt;=20),
    "Within",
    "Breach")</f>
        <v>Breach</v>
      </c>
      <c r="M356" s="1">
        <v>3.5532407407407409E-3</v>
      </c>
      <c r="N356">
        <v>4</v>
      </c>
    </row>
    <row r="357" spans="1:14" x14ac:dyDescent="0.3">
      <c r="A357" t="s">
        <v>387</v>
      </c>
      <c r="B357" t="s">
        <v>20</v>
      </c>
      <c r="C357" t="s">
        <v>376</v>
      </c>
      <c r="D357" s="1">
        <v>0.44</v>
      </c>
      <c r="E357" s="2">
        <f>CallLog[[#This Row],[Date]]+CallLog[[#This Row],[Time]]</f>
        <v>44203.44</v>
      </c>
      <c r="F357" s="1" t="str">
        <f>TEXT(CallLog[[#This Row],[Date]],"dddd")</f>
        <v>Thursday</v>
      </c>
      <c r="G357" s="3">
        <f>HOUR(CallLog[[#This Row],[Time]])</f>
        <v>10</v>
      </c>
      <c r="H357" t="s">
        <v>13</v>
      </c>
      <c r="I357" t="s">
        <v>18</v>
      </c>
      <c r="J357" t="s">
        <v>18</v>
      </c>
      <c r="L357" t="str">
        <f>IF(AND(CallLog[[#This Row],[Answered (Y/N)]]="Y", CallLog[[#This Row],[Speed of answer in seconds]]&lt;=20),
    "Within",
    "Breach")</f>
        <v>Breach</v>
      </c>
    </row>
    <row r="358" spans="1:14" x14ac:dyDescent="0.3">
      <c r="A358" t="s">
        <v>388</v>
      </c>
      <c r="B358" t="s">
        <v>16</v>
      </c>
      <c r="C358" t="s">
        <v>376</v>
      </c>
      <c r="D358" s="1">
        <v>0.45</v>
      </c>
      <c r="E358" s="2">
        <f>CallLog[[#This Row],[Date]]+CallLog[[#This Row],[Time]]</f>
        <v>44203.45</v>
      </c>
      <c r="F358" s="1" t="str">
        <f>TEXT(CallLog[[#This Row],[Date]],"dddd")</f>
        <v>Thursday</v>
      </c>
      <c r="G358" s="3">
        <f>HOUR(CallLog[[#This Row],[Time]])</f>
        <v>10</v>
      </c>
      <c r="H358" t="s">
        <v>32</v>
      </c>
      <c r="I358" t="s">
        <v>18</v>
      </c>
      <c r="J358" t="s">
        <v>18</v>
      </c>
      <c r="L358" t="str">
        <f>IF(AND(CallLog[[#This Row],[Answered (Y/N)]]="Y", CallLog[[#This Row],[Speed of answer in seconds]]&lt;=20),
    "Within",
    "Breach")</f>
        <v>Breach</v>
      </c>
    </row>
    <row r="359" spans="1:14" x14ac:dyDescent="0.3">
      <c r="A359" t="s">
        <v>389</v>
      </c>
      <c r="B359" t="s">
        <v>34</v>
      </c>
      <c r="C359" t="s">
        <v>376</v>
      </c>
      <c r="D359" s="1">
        <v>0.45</v>
      </c>
      <c r="E359" s="2">
        <f>CallLog[[#This Row],[Date]]+CallLog[[#This Row],[Time]]</f>
        <v>44203.45</v>
      </c>
      <c r="F359" s="1" t="str">
        <f>TEXT(CallLog[[#This Row],[Date]],"dddd")</f>
        <v>Thursday</v>
      </c>
      <c r="G359" s="3">
        <f>HOUR(CallLog[[#This Row],[Time]])</f>
        <v>10</v>
      </c>
      <c r="H359" t="s">
        <v>32</v>
      </c>
      <c r="I359" t="s">
        <v>14</v>
      </c>
      <c r="J359" t="s">
        <v>14</v>
      </c>
      <c r="K359">
        <v>25</v>
      </c>
      <c r="L359" t="str">
        <f>IF(AND(CallLog[[#This Row],[Answered (Y/N)]]="Y", CallLog[[#This Row],[Speed of answer in seconds]]&lt;=20),
    "Within",
    "Breach")</f>
        <v>Breach</v>
      </c>
      <c r="M359" s="1">
        <v>9.2592592592592596E-4</v>
      </c>
      <c r="N359">
        <v>5</v>
      </c>
    </row>
    <row r="360" spans="1:14" x14ac:dyDescent="0.3">
      <c r="A360" t="s">
        <v>390</v>
      </c>
      <c r="B360" t="s">
        <v>22</v>
      </c>
      <c r="C360" t="s">
        <v>376</v>
      </c>
      <c r="D360" s="1">
        <v>0.48400462962962965</v>
      </c>
      <c r="E360" s="2">
        <f>CallLog[[#This Row],[Date]]+CallLog[[#This Row],[Time]]</f>
        <v>44203.48400462963</v>
      </c>
      <c r="F360" s="1" t="str">
        <f>TEXT(CallLog[[#This Row],[Date]],"dddd")</f>
        <v>Thursday</v>
      </c>
      <c r="G360" s="3">
        <f>HOUR(CallLog[[#This Row],[Time]])</f>
        <v>11</v>
      </c>
      <c r="H360" t="s">
        <v>32</v>
      </c>
      <c r="I360" t="s">
        <v>14</v>
      </c>
      <c r="J360" t="s">
        <v>14</v>
      </c>
      <c r="K360">
        <v>37</v>
      </c>
      <c r="L360" t="str">
        <f>IF(AND(CallLog[[#This Row],[Answered (Y/N)]]="Y", CallLog[[#This Row],[Speed of answer in seconds]]&lt;=20),
    "Within",
    "Breach")</f>
        <v>Breach</v>
      </c>
      <c r="M360" s="1">
        <v>1.7592592592592592E-3</v>
      </c>
      <c r="N360">
        <v>3</v>
      </c>
    </row>
    <row r="361" spans="1:14" x14ac:dyDescent="0.3">
      <c r="A361" t="s">
        <v>391</v>
      </c>
      <c r="B361" t="s">
        <v>47</v>
      </c>
      <c r="C361" t="s">
        <v>376</v>
      </c>
      <c r="D361" s="1">
        <v>0.48400462962962965</v>
      </c>
      <c r="E361" s="2">
        <f>CallLog[[#This Row],[Date]]+CallLog[[#This Row],[Time]]</f>
        <v>44203.48400462963</v>
      </c>
      <c r="F361" s="1" t="str">
        <f>TEXT(CallLog[[#This Row],[Date]],"dddd")</f>
        <v>Thursday</v>
      </c>
      <c r="G361" s="3">
        <f>HOUR(CallLog[[#This Row],[Time]])</f>
        <v>11</v>
      </c>
      <c r="H361" t="s">
        <v>29</v>
      </c>
      <c r="I361" t="s">
        <v>14</v>
      </c>
      <c r="J361" t="s">
        <v>14</v>
      </c>
      <c r="K361">
        <v>71</v>
      </c>
      <c r="L361" t="str">
        <f>IF(AND(CallLog[[#This Row],[Answered (Y/N)]]="Y", CallLog[[#This Row],[Speed of answer in seconds]]&lt;=20),
    "Within",
    "Breach")</f>
        <v>Breach</v>
      </c>
      <c r="M361" s="1">
        <v>3.9467592592592592E-3</v>
      </c>
      <c r="N361">
        <v>3</v>
      </c>
    </row>
    <row r="362" spans="1:14" x14ac:dyDescent="0.3">
      <c r="A362" t="s">
        <v>392</v>
      </c>
      <c r="B362" t="s">
        <v>31</v>
      </c>
      <c r="C362" t="s">
        <v>376</v>
      </c>
      <c r="D362" s="1">
        <v>0.48799768518518516</v>
      </c>
      <c r="E362" s="2">
        <f>CallLog[[#This Row],[Date]]+CallLog[[#This Row],[Time]]</f>
        <v>44203.487997685188</v>
      </c>
      <c r="F362" s="1" t="str">
        <f>TEXT(CallLog[[#This Row],[Date]],"dddd")</f>
        <v>Thursday</v>
      </c>
      <c r="G362" s="3">
        <f>HOUR(CallLog[[#This Row],[Time]])</f>
        <v>11</v>
      </c>
      <c r="H362" t="s">
        <v>29</v>
      </c>
      <c r="I362" t="s">
        <v>14</v>
      </c>
      <c r="J362" t="s">
        <v>14</v>
      </c>
      <c r="K362">
        <v>76</v>
      </c>
      <c r="L362" t="str">
        <f>IF(AND(CallLog[[#This Row],[Answered (Y/N)]]="Y", CallLog[[#This Row],[Speed of answer in seconds]]&lt;=20),
    "Within",
    "Breach")</f>
        <v>Breach</v>
      </c>
      <c r="M362" s="1">
        <v>3.2060185185185186E-3</v>
      </c>
      <c r="N362">
        <v>1</v>
      </c>
    </row>
    <row r="363" spans="1:14" x14ac:dyDescent="0.3">
      <c r="A363" t="s">
        <v>393</v>
      </c>
      <c r="B363" t="s">
        <v>20</v>
      </c>
      <c r="C363" t="s">
        <v>376</v>
      </c>
      <c r="D363" s="1">
        <v>0.48799768518518516</v>
      </c>
      <c r="E363" s="2">
        <f>CallLog[[#This Row],[Date]]+CallLog[[#This Row],[Time]]</f>
        <v>44203.487997685188</v>
      </c>
      <c r="F363" s="1" t="str">
        <f>TEXT(CallLog[[#This Row],[Date]],"dddd")</f>
        <v>Thursday</v>
      </c>
      <c r="G363" s="3">
        <f>HOUR(CallLog[[#This Row],[Time]])</f>
        <v>11</v>
      </c>
      <c r="H363" t="s">
        <v>17</v>
      </c>
      <c r="I363" t="s">
        <v>14</v>
      </c>
      <c r="J363" t="s">
        <v>14</v>
      </c>
      <c r="K363">
        <v>66</v>
      </c>
      <c r="L363" t="str">
        <f>IF(AND(CallLog[[#This Row],[Answered (Y/N)]]="Y", CallLog[[#This Row],[Speed of answer in seconds]]&lt;=20),
    "Within",
    "Breach")</f>
        <v>Breach</v>
      </c>
      <c r="M363" s="1">
        <v>4.7453703703703703E-3</v>
      </c>
      <c r="N363">
        <v>3</v>
      </c>
    </row>
    <row r="364" spans="1:14" x14ac:dyDescent="0.3">
      <c r="A364" t="s">
        <v>394</v>
      </c>
      <c r="B364" t="s">
        <v>11</v>
      </c>
      <c r="C364" t="s">
        <v>376</v>
      </c>
      <c r="D364" s="1">
        <v>0.49099537037037039</v>
      </c>
      <c r="E364" s="2">
        <f>CallLog[[#This Row],[Date]]+CallLog[[#This Row],[Time]]</f>
        <v>44203.490995370368</v>
      </c>
      <c r="F364" s="1" t="str">
        <f>TEXT(CallLog[[#This Row],[Date]],"dddd")</f>
        <v>Thursday</v>
      </c>
      <c r="G364" s="3">
        <f>HOUR(CallLog[[#This Row],[Time]])</f>
        <v>11</v>
      </c>
      <c r="H364" t="s">
        <v>29</v>
      </c>
      <c r="I364" t="s">
        <v>14</v>
      </c>
      <c r="J364" t="s">
        <v>14</v>
      </c>
      <c r="K364">
        <v>72</v>
      </c>
      <c r="L364" t="str">
        <f>IF(AND(CallLog[[#This Row],[Answered (Y/N)]]="Y", CallLog[[#This Row],[Speed of answer in seconds]]&lt;=20),
    "Within",
    "Breach")</f>
        <v>Breach</v>
      </c>
      <c r="M364" s="1">
        <v>2.3726851851851851E-3</v>
      </c>
      <c r="N364">
        <v>3</v>
      </c>
    </row>
    <row r="365" spans="1:14" x14ac:dyDescent="0.3">
      <c r="A365" t="s">
        <v>395</v>
      </c>
      <c r="B365" t="s">
        <v>31</v>
      </c>
      <c r="C365" t="s">
        <v>376</v>
      </c>
      <c r="D365" s="1">
        <v>0.49099537037037039</v>
      </c>
      <c r="E365" s="2">
        <f>CallLog[[#This Row],[Date]]+CallLog[[#This Row],[Time]]</f>
        <v>44203.490995370368</v>
      </c>
      <c r="F365" s="1" t="str">
        <f>TEXT(CallLog[[#This Row],[Date]],"dddd")</f>
        <v>Thursday</v>
      </c>
      <c r="G365" s="3">
        <f>HOUR(CallLog[[#This Row],[Time]])</f>
        <v>11</v>
      </c>
      <c r="H365" t="s">
        <v>29</v>
      </c>
      <c r="I365" t="s">
        <v>14</v>
      </c>
      <c r="J365" t="s">
        <v>14</v>
      </c>
      <c r="K365">
        <v>47</v>
      </c>
      <c r="L365" t="str">
        <f>IF(AND(CallLog[[#This Row],[Answered (Y/N)]]="Y", CallLog[[#This Row],[Speed of answer in seconds]]&lt;=20),
    "Within",
    "Breach")</f>
        <v>Breach</v>
      </c>
      <c r="M365" s="1">
        <v>4.5949074074074078E-3</v>
      </c>
      <c r="N365">
        <v>5</v>
      </c>
    </row>
    <row r="366" spans="1:14" x14ac:dyDescent="0.3">
      <c r="A366" t="s">
        <v>396</v>
      </c>
      <c r="B366" t="s">
        <v>31</v>
      </c>
      <c r="C366" t="s">
        <v>376</v>
      </c>
      <c r="D366" s="1">
        <v>0.50599537037037035</v>
      </c>
      <c r="E366" s="2">
        <f>CallLog[[#This Row],[Date]]+CallLog[[#This Row],[Time]]</f>
        <v>44203.505995370368</v>
      </c>
      <c r="F366" s="1" t="str">
        <f>TEXT(CallLog[[#This Row],[Date]],"dddd")</f>
        <v>Thursday</v>
      </c>
      <c r="G366" s="3">
        <f>HOUR(CallLog[[#This Row],[Time]])</f>
        <v>12</v>
      </c>
      <c r="H366" t="s">
        <v>24</v>
      </c>
      <c r="I366" t="s">
        <v>18</v>
      </c>
      <c r="J366" t="s">
        <v>18</v>
      </c>
      <c r="L366" t="str">
        <f>IF(AND(CallLog[[#This Row],[Answered (Y/N)]]="Y", CallLog[[#This Row],[Speed of answer in seconds]]&lt;=20),
    "Within",
    "Breach")</f>
        <v>Breach</v>
      </c>
    </row>
    <row r="367" spans="1:14" x14ac:dyDescent="0.3">
      <c r="A367" t="s">
        <v>397</v>
      </c>
      <c r="B367" t="s">
        <v>22</v>
      </c>
      <c r="C367" t="s">
        <v>376</v>
      </c>
      <c r="D367" s="1">
        <v>0.50599537037037035</v>
      </c>
      <c r="E367" s="2">
        <f>CallLog[[#This Row],[Date]]+CallLog[[#This Row],[Time]]</f>
        <v>44203.505995370368</v>
      </c>
      <c r="F367" s="1" t="str">
        <f>TEXT(CallLog[[#This Row],[Date]],"dddd")</f>
        <v>Thursday</v>
      </c>
      <c r="G367" s="3">
        <f>HOUR(CallLog[[#This Row],[Time]])</f>
        <v>12</v>
      </c>
      <c r="H367" t="s">
        <v>24</v>
      </c>
      <c r="I367" t="s">
        <v>14</v>
      </c>
      <c r="J367" t="s">
        <v>14</v>
      </c>
      <c r="K367">
        <v>29</v>
      </c>
      <c r="L367" t="str">
        <f>IF(AND(CallLog[[#This Row],[Answered (Y/N)]]="Y", CallLog[[#This Row],[Speed of answer in seconds]]&lt;=20),
    "Within",
    "Breach")</f>
        <v>Breach</v>
      </c>
      <c r="M367" s="1">
        <v>1.9791666666666668E-3</v>
      </c>
      <c r="N367">
        <v>5</v>
      </c>
    </row>
    <row r="368" spans="1:14" x14ac:dyDescent="0.3">
      <c r="A368" t="s">
        <v>398</v>
      </c>
      <c r="B368" t="s">
        <v>47</v>
      </c>
      <c r="C368" t="s">
        <v>376</v>
      </c>
      <c r="D368" s="1">
        <v>0.52500000000000002</v>
      </c>
      <c r="E368" s="2">
        <f>CallLog[[#This Row],[Date]]+CallLog[[#This Row],[Time]]</f>
        <v>44203.525000000001</v>
      </c>
      <c r="F368" s="1" t="str">
        <f>TEXT(CallLog[[#This Row],[Date]],"dddd")</f>
        <v>Thursday</v>
      </c>
      <c r="G368" s="3">
        <f>HOUR(CallLog[[#This Row],[Time]])</f>
        <v>12</v>
      </c>
      <c r="H368" t="s">
        <v>32</v>
      </c>
      <c r="I368" t="s">
        <v>18</v>
      </c>
      <c r="J368" t="s">
        <v>18</v>
      </c>
      <c r="L368" t="str">
        <f>IF(AND(CallLog[[#This Row],[Answered (Y/N)]]="Y", CallLog[[#This Row],[Speed of answer in seconds]]&lt;=20),
    "Within",
    "Breach")</f>
        <v>Breach</v>
      </c>
    </row>
    <row r="369" spans="1:14" x14ac:dyDescent="0.3">
      <c r="A369" t="s">
        <v>399</v>
      </c>
      <c r="B369" t="s">
        <v>16</v>
      </c>
      <c r="C369" t="s">
        <v>376</v>
      </c>
      <c r="D369" s="1">
        <v>0.52500000000000002</v>
      </c>
      <c r="E369" s="2">
        <f>CallLog[[#This Row],[Date]]+CallLog[[#This Row],[Time]]</f>
        <v>44203.525000000001</v>
      </c>
      <c r="F369" s="1" t="str">
        <f>TEXT(CallLog[[#This Row],[Date]],"dddd")</f>
        <v>Thursday</v>
      </c>
      <c r="G369" s="3">
        <f>HOUR(CallLog[[#This Row],[Time]])</f>
        <v>12</v>
      </c>
      <c r="H369" t="s">
        <v>13</v>
      </c>
      <c r="I369" t="s">
        <v>14</v>
      </c>
      <c r="J369" t="s">
        <v>14</v>
      </c>
      <c r="K369">
        <v>122</v>
      </c>
      <c r="L369" t="str">
        <f>IF(AND(CallLog[[#This Row],[Answered (Y/N)]]="Y", CallLog[[#This Row],[Speed of answer in seconds]]&lt;=20),
    "Within",
    "Breach")</f>
        <v>Breach</v>
      </c>
      <c r="M369" s="1">
        <v>1.1574074074074073E-3</v>
      </c>
      <c r="N369">
        <v>4</v>
      </c>
    </row>
    <row r="370" spans="1:14" x14ac:dyDescent="0.3">
      <c r="A370" t="s">
        <v>400</v>
      </c>
      <c r="B370" t="s">
        <v>22</v>
      </c>
      <c r="C370" t="s">
        <v>376</v>
      </c>
      <c r="D370" s="1">
        <v>0.53400462962962958</v>
      </c>
      <c r="E370" s="2">
        <f>CallLog[[#This Row],[Date]]+CallLog[[#This Row],[Time]]</f>
        <v>44203.534004629626</v>
      </c>
      <c r="F370" s="1" t="str">
        <f>TEXT(CallLog[[#This Row],[Date]],"dddd")</f>
        <v>Thursday</v>
      </c>
      <c r="G370" s="3">
        <f>HOUR(CallLog[[#This Row],[Time]])</f>
        <v>12</v>
      </c>
      <c r="H370" t="s">
        <v>17</v>
      </c>
      <c r="I370" t="s">
        <v>14</v>
      </c>
      <c r="J370" t="s">
        <v>14</v>
      </c>
      <c r="K370">
        <v>52</v>
      </c>
      <c r="L370" t="str">
        <f>IF(AND(CallLog[[#This Row],[Answered (Y/N)]]="Y", CallLog[[#This Row],[Speed of answer in seconds]]&lt;=20),
    "Within",
    "Breach")</f>
        <v>Breach</v>
      </c>
      <c r="M370" s="1">
        <v>2.8472222222222223E-3</v>
      </c>
      <c r="N370">
        <v>5</v>
      </c>
    </row>
    <row r="371" spans="1:14" x14ac:dyDescent="0.3">
      <c r="A371" t="s">
        <v>401</v>
      </c>
      <c r="B371" t="s">
        <v>38</v>
      </c>
      <c r="C371" t="s">
        <v>376</v>
      </c>
      <c r="D371" s="1">
        <v>0.53400462962962958</v>
      </c>
      <c r="E371" s="2">
        <f>CallLog[[#This Row],[Date]]+CallLog[[#This Row],[Time]]</f>
        <v>44203.534004629626</v>
      </c>
      <c r="F371" s="1" t="str">
        <f>TEXT(CallLog[[#This Row],[Date]],"dddd")</f>
        <v>Thursday</v>
      </c>
      <c r="G371" s="3">
        <f>HOUR(CallLog[[#This Row],[Time]])</f>
        <v>12</v>
      </c>
      <c r="H371" t="s">
        <v>29</v>
      </c>
      <c r="I371" t="s">
        <v>14</v>
      </c>
      <c r="J371" t="s">
        <v>14</v>
      </c>
      <c r="K371">
        <v>33</v>
      </c>
      <c r="L371" t="str">
        <f>IF(AND(CallLog[[#This Row],[Answered (Y/N)]]="Y", CallLog[[#This Row],[Speed of answer in seconds]]&lt;=20),
    "Within",
    "Breach")</f>
        <v>Breach</v>
      </c>
      <c r="M371" s="1">
        <v>3.0787037037037037E-3</v>
      </c>
      <c r="N371">
        <v>4</v>
      </c>
    </row>
    <row r="372" spans="1:14" x14ac:dyDescent="0.3">
      <c r="A372" t="s">
        <v>402</v>
      </c>
      <c r="B372" t="s">
        <v>34</v>
      </c>
      <c r="C372" t="s">
        <v>376</v>
      </c>
      <c r="D372" s="1">
        <v>0.56000000000000005</v>
      </c>
      <c r="E372" s="2">
        <f>CallLog[[#This Row],[Date]]+CallLog[[#This Row],[Time]]</f>
        <v>44203.56</v>
      </c>
      <c r="F372" s="1" t="str">
        <f>TEXT(CallLog[[#This Row],[Date]],"dddd")</f>
        <v>Thursday</v>
      </c>
      <c r="G372" s="3">
        <f>HOUR(CallLog[[#This Row],[Time]])</f>
        <v>13</v>
      </c>
      <c r="H372" t="s">
        <v>24</v>
      </c>
      <c r="I372" t="s">
        <v>14</v>
      </c>
      <c r="J372" t="s">
        <v>14</v>
      </c>
      <c r="K372">
        <v>123</v>
      </c>
      <c r="L372" t="str">
        <f>IF(AND(CallLog[[#This Row],[Answered (Y/N)]]="Y", CallLog[[#This Row],[Speed of answer in seconds]]&lt;=20),
    "Within",
    "Breach")</f>
        <v>Breach</v>
      </c>
      <c r="M372" s="1">
        <v>1.6666666666666668E-3</v>
      </c>
      <c r="N372">
        <v>3</v>
      </c>
    </row>
    <row r="373" spans="1:14" x14ac:dyDescent="0.3">
      <c r="A373" t="s">
        <v>403</v>
      </c>
      <c r="B373" t="s">
        <v>22</v>
      </c>
      <c r="C373" t="s">
        <v>376</v>
      </c>
      <c r="D373" s="1">
        <v>0.56000000000000005</v>
      </c>
      <c r="E373" s="2">
        <f>CallLog[[#This Row],[Date]]+CallLog[[#This Row],[Time]]</f>
        <v>44203.56</v>
      </c>
      <c r="F373" s="1" t="str">
        <f>TEXT(CallLog[[#This Row],[Date]],"dddd")</f>
        <v>Thursday</v>
      </c>
      <c r="G373" s="3">
        <f>HOUR(CallLog[[#This Row],[Time]])</f>
        <v>13</v>
      </c>
      <c r="H373" t="s">
        <v>17</v>
      </c>
      <c r="I373" t="s">
        <v>14</v>
      </c>
      <c r="J373" t="s">
        <v>14</v>
      </c>
      <c r="K373">
        <v>23</v>
      </c>
      <c r="L373" t="str">
        <f>IF(AND(CallLog[[#This Row],[Answered (Y/N)]]="Y", CallLog[[#This Row],[Speed of answer in seconds]]&lt;=20),
    "Within",
    "Breach")</f>
        <v>Breach</v>
      </c>
      <c r="M373" s="1">
        <v>1.4236111111111112E-3</v>
      </c>
      <c r="N373">
        <v>4</v>
      </c>
    </row>
    <row r="374" spans="1:14" x14ac:dyDescent="0.3">
      <c r="A374" t="s">
        <v>404</v>
      </c>
      <c r="B374" t="s">
        <v>16</v>
      </c>
      <c r="C374" t="s">
        <v>376</v>
      </c>
      <c r="D374" s="1">
        <v>0.56299768518518523</v>
      </c>
      <c r="E374" s="2">
        <f>CallLog[[#This Row],[Date]]+CallLog[[#This Row],[Time]]</f>
        <v>44203.562997685185</v>
      </c>
      <c r="F374" s="1" t="str">
        <f>TEXT(CallLog[[#This Row],[Date]],"dddd")</f>
        <v>Thursday</v>
      </c>
      <c r="G374" s="3">
        <f>HOUR(CallLog[[#This Row],[Time]])</f>
        <v>13</v>
      </c>
      <c r="H374" t="s">
        <v>32</v>
      </c>
      <c r="I374" t="s">
        <v>18</v>
      </c>
      <c r="J374" t="s">
        <v>18</v>
      </c>
      <c r="L374" t="str">
        <f>IF(AND(CallLog[[#This Row],[Answered (Y/N)]]="Y", CallLog[[#This Row],[Speed of answer in seconds]]&lt;=20),
    "Within",
    "Breach")</f>
        <v>Breach</v>
      </c>
    </row>
    <row r="375" spans="1:14" x14ac:dyDescent="0.3">
      <c r="A375" t="s">
        <v>405</v>
      </c>
      <c r="B375" t="s">
        <v>20</v>
      </c>
      <c r="C375" t="s">
        <v>376</v>
      </c>
      <c r="D375" s="1">
        <v>0.56299768518518523</v>
      </c>
      <c r="E375" s="2">
        <f>CallLog[[#This Row],[Date]]+CallLog[[#This Row],[Time]]</f>
        <v>44203.562997685185</v>
      </c>
      <c r="F375" s="1" t="str">
        <f>TEXT(CallLog[[#This Row],[Date]],"dddd")</f>
        <v>Thursday</v>
      </c>
      <c r="G375" s="3">
        <f>HOUR(CallLog[[#This Row],[Time]])</f>
        <v>13</v>
      </c>
      <c r="H375" t="s">
        <v>29</v>
      </c>
      <c r="I375" t="s">
        <v>14</v>
      </c>
      <c r="J375" t="s">
        <v>18</v>
      </c>
      <c r="K375">
        <v>29</v>
      </c>
      <c r="L375" t="str">
        <f>IF(AND(CallLog[[#This Row],[Answered (Y/N)]]="Y", CallLog[[#This Row],[Speed of answer in seconds]]&lt;=20),
    "Within",
    "Breach")</f>
        <v>Breach</v>
      </c>
      <c r="M375" s="1">
        <v>2.3726851851851851E-3</v>
      </c>
      <c r="N375">
        <v>5</v>
      </c>
    </row>
    <row r="376" spans="1:14" x14ac:dyDescent="0.3">
      <c r="A376" t="s">
        <v>406</v>
      </c>
      <c r="B376" t="s">
        <v>22</v>
      </c>
      <c r="C376" t="s">
        <v>376</v>
      </c>
      <c r="D376" s="1">
        <v>0.5709953703703704</v>
      </c>
      <c r="E376" s="2">
        <f>CallLog[[#This Row],[Date]]+CallLog[[#This Row],[Time]]</f>
        <v>44203.57099537037</v>
      </c>
      <c r="F376" s="1" t="str">
        <f>TEXT(CallLog[[#This Row],[Date]],"dddd")</f>
        <v>Thursday</v>
      </c>
      <c r="G376" s="3">
        <f>HOUR(CallLog[[#This Row],[Time]])</f>
        <v>13</v>
      </c>
      <c r="H376" t="s">
        <v>13</v>
      </c>
      <c r="I376" t="s">
        <v>18</v>
      </c>
      <c r="J376" t="s">
        <v>18</v>
      </c>
      <c r="L376" t="str">
        <f>IF(AND(CallLog[[#This Row],[Answered (Y/N)]]="Y", CallLog[[#This Row],[Speed of answer in seconds]]&lt;=20),
    "Within",
    "Breach")</f>
        <v>Breach</v>
      </c>
    </row>
    <row r="377" spans="1:14" x14ac:dyDescent="0.3">
      <c r="A377" t="s">
        <v>407</v>
      </c>
      <c r="B377" t="s">
        <v>16</v>
      </c>
      <c r="C377" t="s">
        <v>376</v>
      </c>
      <c r="D377" s="1">
        <v>0.5709953703703704</v>
      </c>
      <c r="E377" s="2">
        <f>CallLog[[#This Row],[Date]]+CallLog[[#This Row],[Time]]</f>
        <v>44203.57099537037</v>
      </c>
      <c r="F377" s="1" t="str">
        <f>TEXT(CallLog[[#This Row],[Date]],"dddd")</f>
        <v>Thursday</v>
      </c>
      <c r="G377" s="3">
        <f>HOUR(CallLog[[#This Row],[Time]])</f>
        <v>13</v>
      </c>
      <c r="H377" t="s">
        <v>32</v>
      </c>
      <c r="I377" t="s">
        <v>14</v>
      </c>
      <c r="J377" t="s">
        <v>14</v>
      </c>
      <c r="K377">
        <v>54</v>
      </c>
      <c r="L377" t="str">
        <f>IF(AND(CallLog[[#This Row],[Answered (Y/N)]]="Y", CallLog[[#This Row],[Speed of answer in seconds]]&lt;=20),
    "Within",
    "Breach")</f>
        <v>Breach</v>
      </c>
      <c r="M377" s="1">
        <v>2.638888888888889E-3</v>
      </c>
      <c r="N377">
        <v>5</v>
      </c>
    </row>
    <row r="378" spans="1:14" x14ac:dyDescent="0.3">
      <c r="A378" t="s">
        <v>408</v>
      </c>
      <c r="B378" t="s">
        <v>47</v>
      </c>
      <c r="C378" t="s">
        <v>376</v>
      </c>
      <c r="D378" s="1">
        <v>0.57299768518518523</v>
      </c>
      <c r="E378" s="2">
        <f>CallLog[[#This Row],[Date]]+CallLog[[#This Row],[Time]]</f>
        <v>44203.572997685187</v>
      </c>
      <c r="F378" s="1" t="str">
        <f>TEXT(CallLog[[#This Row],[Date]],"dddd")</f>
        <v>Thursday</v>
      </c>
      <c r="G378" s="3">
        <f>HOUR(CallLog[[#This Row],[Time]])</f>
        <v>13</v>
      </c>
      <c r="H378" t="s">
        <v>32</v>
      </c>
      <c r="I378" t="s">
        <v>14</v>
      </c>
      <c r="J378" t="s">
        <v>14</v>
      </c>
      <c r="K378">
        <v>14</v>
      </c>
      <c r="L378" t="str">
        <f>IF(AND(CallLog[[#This Row],[Answered (Y/N)]]="Y", CallLog[[#This Row],[Speed of answer in seconds]]&lt;=20),
    "Within",
    "Breach")</f>
        <v>Within</v>
      </c>
      <c r="M378" s="1">
        <v>3.2754629629629631E-3</v>
      </c>
      <c r="N378">
        <v>4</v>
      </c>
    </row>
    <row r="379" spans="1:14" x14ac:dyDescent="0.3">
      <c r="A379" t="s">
        <v>409</v>
      </c>
      <c r="B379" t="s">
        <v>47</v>
      </c>
      <c r="C379" t="s">
        <v>376</v>
      </c>
      <c r="D379" s="1">
        <v>0.57299768518518523</v>
      </c>
      <c r="E379" s="2">
        <f>CallLog[[#This Row],[Date]]+CallLog[[#This Row],[Time]]</f>
        <v>44203.572997685187</v>
      </c>
      <c r="F379" s="1" t="str">
        <f>TEXT(CallLog[[#This Row],[Date]],"dddd")</f>
        <v>Thursday</v>
      </c>
      <c r="G379" s="3">
        <f>HOUR(CallLog[[#This Row],[Time]])</f>
        <v>13</v>
      </c>
      <c r="H379" t="s">
        <v>24</v>
      </c>
      <c r="I379" t="s">
        <v>14</v>
      </c>
      <c r="J379" t="s">
        <v>14</v>
      </c>
      <c r="K379">
        <v>11</v>
      </c>
      <c r="L379" t="str">
        <f>IF(AND(CallLog[[#This Row],[Answered (Y/N)]]="Y", CallLog[[#This Row],[Speed of answer in seconds]]&lt;=20),
    "Within",
    "Breach")</f>
        <v>Within</v>
      </c>
      <c r="M379" s="1">
        <v>3.0671296296296297E-3</v>
      </c>
      <c r="N379">
        <v>3</v>
      </c>
    </row>
    <row r="380" spans="1:14" x14ac:dyDescent="0.3">
      <c r="A380" t="s">
        <v>410</v>
      </c>
      <c r="B380" t="s">
        <v>34</v>
      </c>
      <c r="C380" t="s">
        <v>376</v>
      </c>
      <c r="D380" s="1">
        <v>0.60499999999999998</v>
      </c>
      <c r="E380" s="2">
        <f>CallLog[[#This Row],[Date]]+CallLog[[#This Row],[Time]]</f>
        <v>44203.605000000003</v>
      </c>
      <c r="F380" s="1" t="str">
        <f>TEXT(CallLog[[#This Row],[Date]],"dddd")</f>
        <v>Thursday</v>
      </c>
      <c r="G380" s="3">
        <f>HOUR(CallLog[[#This Row],[Time]])</f>
        <v>14</v>
      </c>
      <c r="H380" t="s">
        <v>24</v>
      </c>
      <c r="I380" t="s">
        <v>14</v>
      </c>
      <c r="J380" t="s">
        <v>14</v>
      </c>
      <c r="K380">
        <v>84</v>
      </c>
      <c r="L380" t="str">
        <f>IF(AND(CallLog[[#This Row],[Answered (Y/N)]]="Y", CallLog[[#This Row],[Speed of answer in seconds]]&lt;=20),
    "Within",
    "Breach")</f>
        <v>Breach</v>
      </c>
      <c r="M380" s="1">
        <v>3.460648148148148E-3</v>
      </c>
      <c r="N380">
        <v>1</v>
      </c>
    </row>
    <row r="381" spans="1:14" x14ac:dyDescent="0.3">
      <c r="A381" t="s">
        <v>411</v>
      </c>
      <c r="B381" t="s">
        <v>38</v>
      </c>
      <c r="C381" t="s">
        <v>376</v>
      </c>
      <c r="D381" s="1">
        <v>0.60499999999999998</v>
      </c>
      <c r="E381" s="2">
        <f>CallLog[[#This Row],[Date]]+CallLog[[#This Row],[Time]]</f>
        <v>44203.605000000003</v>
      </c>
      <c r="F381" s="1" t="str">
        <f>TEXT(CallLog[[#This Row],[Date]],"dddd")</f>
        <v>Thursday</v>
      </c>
      <c r="G381" s="3">
        <f>HOUR(CallLog[[#This Row],[Time]])</f>
        <v>14</v>
      </c>
      <c r="H381" t="s">
        <v>24</v>
      </c>
      <c r="I381" t="s">
        <v>14</v>
      </c>
      <c r="J381" t="s">
        <v>14</v>
      </c>
      <c r="K381">
        <v>21</v>
      </c>
      <c r="L381" t="str">
        <f>IF(AND(CallLog[[#This Row],[Answered (Y/N)]]="Y", CallLog[[#This Row],[Speed of answer in seconds]]&lt;=20),
    "Within",
    "Breach")</f>
        <v>Breach</v>
      </c>
      <c r="M381" s="1">
        <v>1.9791666666666668E-3</v>
      </c>
      <c r="N381">
        <v>4</v>
      </c>
    </row>
    <row r="382" spans="1:14" x14ac:dyDescent="0.3">
      <c r="A382" t="s">
        <v>412</v>
      </c>
      <c r="B382" t="s">
        <v>38</v>
      </c>
      <c r="C382" t="s">
        <v>376</v>
      </c>
      <c r="D382" s="1">
        <v>0.66200231481481486</v>
      </c>
      <c r="E382" s="2">
        <f>CallLog[[#This Row],[Date]]+CallLog[[#This Row],[Time]]</f>
        <v>44203.662002314813</v>
      </c>
      <c r="F382" s="1" t="str">
        <f>TEXT(CallLog[[#This Row],[Date]],"dddd")</f>
        <v>Thursday</v>
      </c>
      <c r="G382" s="3">
        <f>HOUR(CallLog[[#This Row],[Time]])</f>
        <v>15</v>
      </c>
      <c r="H382" t="s">
        <v>17</v>
      </c>
      <c r="I382" t="s">
        <v>14</v>
      </c>
      <c r="J382" t="s">
        <v>18</v>
      </c>
      <c r="K382">
        <v>81</v>
      </c>
      <c r="L382" t="str">
        <f>IF(AND(CallLog[[#This Row],[Answered (Y/N)]]="Y", CallLog[[#This Row],[Speed of answer in seconds]]&lt;=20),
    "Within",
    "Breach")</f>
        <v>Breach</v>
      </c>
      <c r="M382" s="1">
        <v>3.5879629629629629E-3</v>
      </c>
      <c r="N382">
        <v>3</v>
      </c>
    </row>
    <row r="383" spans="1:14" x14ac:dyDescent="0.3">
      <c r="A383" t="s">
        <v>413</v>
      </c>
      <c r="B383" t="s">
        <v>47</v>
      </c>
      <c r="C383" t="s">
        <v>376</v>
      </c>
      <c r="D383" s="1">
        <v>0.66200231481481486</v>
      </c>
      <c r="E383" s="2">
        <f>CallLog[[#This Row],[Date]]+CallLog[[#This Row],[Time]]</f>
        <v>44203.662002314813</v>
      </c>
      <c r="F383" s="1" t="str">
        <f>TEXT(CallLog[[#This Row],[Date]],"dddd")</f>
        <v>Thursday</v>
      </c>
      <c r="G383" s="3">
        <f>HOUR(CallLog[[#This Row],[Time]])</f>
        <v>15</v>
      </c>
      <c r="H383" t="s">
        <v>24</v>
      </c>
      <c r="I383" t="s">
        <v>18</v>
      </c>
      <c r="J383" t="s">
        <v>18</v>
      </c>
      <c r="L383" t="str">
        <f>IF(AND(CallLog[[#This Row],[Answered (Y/N)]]="Y", CallLog[[#This Row],[Speed of answer in seconds]]&lt;=20),
    "Within",
    "Breach")</f>
        <v>Breach</v>
      </c>
    </row>
    <row r="384" spans="1:14" x14ac:dyDescent="0.3">
      <c r="A384" t="s">
        <v>414</v>
      </c>
      <c r="B384" t="s">
        <v>11</v>
      </c>
      <c r="C384" t="s">
        <v>376</v>
      </c>
      <c r="D384" s="1">
        <v>0.67200231481481476</v>
      </c>
      <c r="E384" s="2">
        <f>CallLog[[#This Row],[Date]]+CallLog[[#This Row],[Time]]</f>
        <v>44203.672002314815</v>
      </c>
      <c r="F384" s="1" t="str">
        <f>TEXT(CallLog[[#This Row],[Date]],"dddd")</f>
        <v>Thursday</v>
      </c>
      <c r="G384" s="3">
        <f>HOUR(CallLog[[#This Row],[Time]])</f>
        <v>16</v>
      </c>
      <c r="H384" t="s">
        <v>29</v>
      </c>
      <c r="I384" t="s">
        <v>18</v>
      </c>
      <c r="J384" t="s">
        <v>18</v>
      </c>
      <c r="L384" t="str">
        <f>IF(AND(CallLog[[#This Row],[Answered (Y/N)]]="Y", CallLog[[#This Row],[Speed of answer in seconds]]&lt;=20),
    "Within",
    "Breach")</f>
        <v>Breach</v>
      </c>
    </row>
    <row r="385" spans="1:14" x14ac:dyDescent="0.3">
      <c r="A385" t="s">
        <v>415</v>
      </c>
      <c r="B385" t="s">
        <v>20</v>
      </c>
      <c r="C385" t="s">
        <v>376</v>
      </c>
      <c r="D385" s="1">
        <v>0.67200231481481476</v>
      </c>
      <c r="E385" s="2">
        <f>CallLog[[#This Row],[Date]]+CallLog[[#This Row],[Time]]</f>
        <v>44203.672002314815</v>
      </c>
      <c r="F385" s="1" t="str">
        <f>TEXT(CallLog[[#This Row],[Date]],"dddd")</f>
        <v>Thursday</v>
      </c>
      <c r="G385" s="3">
        <f>HOUR(CallLog[[#This Row],[Time]])</f>
        <v>16</v>
      </c>
      <c r="H385" t="s">
        <v>17</v>
      </c>
      <c r="I385" t="s">
        <v>14</v>
      </c>
      <c r="J385" t="s">
        <v>14</v>
      </c>
      <c r="K385">
        <v>84</v>
      </c>
      <c r="L385" t="str">
        <f>IF(AND(CallLog[[#This Row],[Answered (Y/N)]]="Y", CallLog[[#This Row],[Speed of answer in seconds]]&lt;=20),
    "Within",
    "Breach")</f>
        <v>Breach</v>
      </c>
      <c r="M385" s="1">
        <v>4.4212962962962964E-3</v>
      </c>
      <c r="N385">
        <v>4</v>
      </c>
    </row>
    <row r="386" spans="1:14" x14ac:dyDescent="0.3">
      <c r="A386" t="s">
        <v>416</v>
      </c>
      <c r="B386" t="s">
        <v>38</v>
      </c>
      <c r="C386" t="s">
        <v>376</v>
      </c>
      <c r="D386" s="1">
        <v>0.68700231481481477</v>
      </c>
      <c r="E386" s="2">
        <f>CallLog[[#This Row],[Date]]+CallLog[[#This Row],[Time]]</f>
        <v>44203.687002314815</v>
      </c>
      <c r="F386" s="1" t="str">
        <f>TEXT(CallLog[[#This Row],[Date]],"dddd")</f>
        <v>Thursday</v>
      </c>
      <c r="G386" s="3">
        <f>HOUR(CallLog[[#This Row],[Time]])</f>
        <v>16</v>
      </c>
      <c r="H386" t="s">
        <v>32</v>
      </c>
      <c r="I386" t="s">
        <v>14</v>
      </c>
      <c r="J386" t="s">
        <v>14</v>
      </c>
      <c r="K386">
        <v>118</v>
      </c>
      <c r="L386" t="str">
        <f>IF(AND(CallLog[[#This Row],[Answered (Y/N)]]="Y", CallLog[[#This Row],[Speed of answer in seconds]]&lt;=20),
    "Within",
    "Breach")</f>
        <v>Breach</v>
      </c>
      <c r="M386" s="1">
        <v>2.488425925925926E-3</v>
      </c>
      <c r="N386">
        <v>2</v>
      </c>
    </row>
    <row r="387" spans="1:14" x14ac:dyDescent="0.3">
      <c r="A387" t="s">
        <v>417</v>
      </c>
      <c r="B387" t="s">
        <v>16</v>
      </c>
      <c r="C387" t="s">
        <v>376</v>
      </c>
      <c r="D387" s="1">
        <v>0.68700231481481477</v>
      </c>
      <c r="E387" s="2">
        <f>CallLog[[#This Row],[Date]]+CallLog[[#This Row],[Time]]</f>
        <v>44203.687002314815</v>
      </c>
      <c r="F387" s="1" t="str">
        <f>TEXT(CallLog[[#This Row],[Date]],"dddd")</f>
        <v>Thursday</v>
      </c>
      <c r="G387" s="3">
        <f>HOUR(CallLog[[#This Row],[Time]])</f>
        <v>16</v>
      </c>
      <c r="H387" t="s">
        <v>17</v>
      </c>
      <c r="I387" t="s">
        <v>14</v>
      </c>
      <c r="J387" t="s">
        <v>14</v>
      </c>
      <c r="K387">
        <v>35</v>
      </c>
      <c r="L387" t="str">
        <f>IF(AND(CallLog[[#This Row],[Answered (Y/N)]]="Y", CallLog[[#This Row],[Speed of answer in seconds]]&lt;=20),
    "Within",
    "Breach")</f>
        <v>Breach</v>
      </c>
      <c r="M387" s="1">
        <v>4.340277777777778E-3</v>
      </c>
      <c r="N387">
        <v>2</v>
      </c>
    </row>
    <row r="388" spans="1:14" x14ac:dyDescent="0.3">
      <c r="A388" t="s">
        <v>418</v>
      </c>
      <c r="B388" t="s">
        <v>47</v>
      </c>
      <c r="C388" t="s">
        <v>376</v>
      </c>
      <c r="D388" s="1">
        <v>0.69499999999999995</v>
      </c>
      <c r="E388" s="2">
        <f>CallLog[[#This Row],[Date]]+CallLog[[#This Row],[Time]]</f>
        <v>44203.695</v>
      </c>
      <c r="F388" s="1" t="str">
        <f>TEXT(CallLog[[#This Row],[Date]],"dddd")</f>
        <v>Thursday</v>
      </c>
      <c r="G388" s="3">
        <f>HOUR(CallLog[[#This Row],[Time]])</f>
        <v>16</v>
      </c>
      <c r="H388" t="s">
        <v>24</v>
      </c>
      <c r="I388" t="s">
        <v>14</v>
      </c>
      <c r="J388" t="s">
        <v>14</v>
      </c>
      <c r="K388">
        <v>82</v>
      </c>
      <c r="L388" t="str">
        <f>IF(AND(CallLog[[#This Row],[Answered (Y/N)]]="Y", CallLog[[#This Row],[Speed of answer in seconds]]&lt;=20),
    "Within",
    "Breach")</f>
        <v>Breach</v>
      </c>
      <c r="M388" s="1">
        <v>1.5393518518518519E-3</v>
      </c>
      <c r="N388">
        <v>3</v>
      </c>
    </row>
    <row r="389" spans="1:14" x14ac:dyDescent="0.3">
      <c r="A389" t="s">
        <v>419</v>
      </c>
      <c r="B389" t="s">
        <v>31</v>
      </c>
      <c r="C389" t="s">
        <v>376</v>
      </c>
      <c r="D389" s="1">
        <v>0.69499999999999995</v>
      </c>
      <c r="E389" s="2">
        <f>CallLog[[#This Row],[Date]]+CallLog[[#This Row],[Time]]</f>
        <v>44203.695</v>
      </c>
      <c r="F389" s="1" t="str">
        <f>TEXT(CallLog[[#This Row],[Date]],"dddd")</f>
        <v>Thursday</v>
      </c>
      <c r="G389" s="3">
        <f>HOUR(CallLog[[#This Row],[Time]])</f>
        <v>16</v>
      </c>
      <c r="H389" t="s">
        <v>32</v>
      </c>
      <c r="I389" t="s">
        <v>14</v>
      </c>
      <c r="J389" t="s">
        <v>14</v>
      </c>
      <c r="K389">
        <v>119</v>
      </c>
      <c r="L389" t="str">
        <f>IF(AND(CallLog[[#This Row],[Answered (Y/N)]]="Y", CallLog[[#This Row],[Speed of answer in seconds]]&lt;=20),
    "Within",
    "Breach")</f>
        <v>Breach</v>
      </c>
      <c r="M389" s="1">
        <v>2.1180555555555558E-3</v>
      </c>
      <c r="N389">
        <v>4</v>
      </c>
    </row>
    <row r="390" spans="1:14" x14ac:dyDescent="0.3">
      <c r="A390" t="s">
        <v>420</v>
      </c>
      <c r="B390" t="s">
        <v>31</v>
      </c>
      <c r="C390" t="s">
        <v>376</v>
      </c>
      <c r="D390" s="1">
        <v>0.71099537037037042</v>
      </c>
      <c r="E390" s="2">
        <f>CallLog[[#This Row],[Date]]+CallLog[[#This Row],[Time]]</f>
        <v>44203.710995370369</v>
      </c>
      <c r="F390" s="1" t="str">
        <f>TEXT(CallLog[[#This Row],[Date]],"dddd")</f>
        <v>Thursday</v>
      </c>
      <c r="G390" s="3">
        <f>HOUR(CallLog[[#This Row],[Time]])</f>
        <v>17</v>
      </c>
      <c r="H390" t="s">
        <v>13</v>
      </c>
      <c r="I390" t="s">
        <v>14</v>
      </c>
      <c r="J390" t="s">
        <v>14</v>
      </c>
      <c r="K390">
        <v>107</v>
      </c>
      <c r="L390" t="str">
        <f>IF(AND(CallLog[[#This Row],[Answered (Y/N)]]="Y", CallLog[[#This Row],[Speed of answer in seconds]]&lt;=20),
    "Within",
    "Breach")</f>
        <v>Breach</v>
      </c>
      <c r="M390" s="1">
        <v>4.6990740740740743E-3</v>
      </c>
      <c r="N390">
        <v>2</v>
      </c>
    </row>
    <row r="391" spans="1:14" x14ac:dyDescent="0.3">
      <c r="A391" t="s">
        <v>421</v>
      </c>
      <c r="B391" t="s">
        <v>34</v>
      </c>
      <c r="C391" t="s">
        <v>376</v>
      </c>
      <c r="D391" s="1">
        <v>0.71099537037037042</v>
      </c>
      <c r="E391" s="2">
        <f>CallLog[[#This Row],[Date]]+CallLog[[#This Row],[Time]]</f>
        <v>44203.710995370369</v>
      </c>
      <c r="F391" s="1" t="str">
        <f>TEXT(CallLog[[#This Row],[Date]],"dddd")</f>
        <v>Thursday</v>
      </c>
      <c r="G391" s="3">
        <f>HOUR(CallLog[[#This Row],[Time]])</f>
        <v>17</v>
      </c>
      <c r="H391" t="s">
        <v>13</v>
      </c>
      <c r="I391" t="s">
        <v>14</v>
      </c>
      <c r="J391" t="s">
        <v>14</v>
      </c>
      <c r="K391">
        <v>86</v>
      </c>
      <c r="L391" t="str">
        <f>IF(AND(CallLog[[#This Row],[Answered (Y/N)]]="Y", CallLog[[#This Row],[Speed of answer in seconds]]&lt;=20),
    "Within",
    "Breach")</f>
        <v>Breach</v>
      </c>
      <c r="M391" s="1">
        <v>4.861111111111111E-4</v>
      </c>
      <c r="N391">
        <v>4</v>
      </c>
    </row>
    <row r="392" spans="1:14" x14ac:dyDescent="0.3">
      <c r="A392" t="s">
        <v>422</v>
      </c>
      <c r="B392" t="s">
        <v>11</v>
      </c>
      <c r="C392" t="s">
        <v>376</v>
      </c>
      <c r="D392" s="1">
        <v>0.73599537037037033</v>
      </c>
      <c r="E392" s="2">
        <f>CallLog[[#This Row],[Date]]+CallLog[[#This Row],[Time]]</f>
        <v>44203.735995370371</v>
      </c>
      <c r="F392" s="1" t="str">
        <f>TEXT(CallLog[[#This Row],[Date]],"dddd")</f>
        <v>Thursday</v>
      </c>
      <c r="G392" s="3">
        <f>HOUR(CallLog[[#This Row],[Time]])</f>
        <v>17</v>
      </c>
      <c r="H392" t="s">
        <v>32</v>
      </c>
      <c r="I392" t="s">
        <v>14</v>
      </c>
      <c r="J392" t="s">
        <v>14</v>
      </c>
      <c r="K392">
        <v>76</v>
      </c>
      <c r="L392" t="str">
        <f>IF(AND(CallLog[[#This Row],[Answered (Y/N)]]="Y", CallLog[[#This Row],[Speed of answer in seconds]]&lt;=20),
    "Within",
    "Breach")</f>
        <v>Breach</v>
      </c>
      <c r="M392" s="1">
        <v>9.6064814814814819E-4</v>
      </c>
      <c r="N392">
        <v>4</v>
      </c>
    </row>
    <row r="393" spans="1:14" x14ac:dyDescent="0.3">
      <c r="A393" t="s">
        <v>423</v>
      </c>
      <c r="B393" t="s">
        <v>20</v>
      </c>
      <c r="C393" t="s">
        <v>376</v>
      </c>
      <c r="D393" s="1">
        <v>0.73599537037037033</v>
      </c>
      <c r="E393" s="2">
        <f>CallLog[[#This Row],[Date]]+CallLog[[#This Row],[Time]]</f>
        <v>44203.735995370371</v>
      </c>
      <c r="F393" s="1" t="str">
        <f>TEXT(CallLog[[#This Row],[Date]],"dddd")</f>
        <v>Thursday</v>
      </c>
      <c r="G393" s="3">
        <f>HOUR(CallLog[[#This Row],[Time]])</f>
        <v>17</v>
      </c>
      <c r="H393" t="s">
        <v>32</v>
      </c>
      <c r="I393" t="s">
        <v>14</v>
      </c>
      <c r="J393" t="s">
        <v>18</v>
      </c>
      <c r="K393">
        <v>78</v>
      </c>
      <c r="L393" t="str">
        <f>IF(AND(CallLog[[#This Row],[Answered (Y/N)]]="Y", CallLog[[#This Row],[Speed of answer in seconds]]&lt;=20),
    "Within",
    "Breach")</f>
        <v>Breach</v>
      </c>
      <c r="M393" s="1">
        <v>2.1643518518518518E-3</v>
      </c>
      <c r="N393">
        <v>3</v>
      </c>
    </row>
    <row r="394" spans="1:14" x14ac:dyDescent="0.3">
      <c r="A394" t="s">
        <v>424</v>
      </c>
      <c r="B394" t="s">
        <v>31</v>
      </c>
      <c r="C394" t="s">
        <v>376</v>
      </c>
      <c r="D394" s="1">
        <v>0.74099537037037033</v>
      </c>
      <c r="E394" s="2">
        <f>CallLog[[#This Row],[Date]]+CallLog[[#This Row],[Time]]</f>
        <v>44203.740995370368</v>
      </c>
      <c r="F394" s="1" t="str">
        <f>TEXT(CallLog[[#This Row],[Date]],"dddd")</f>
        <v>Thursday</v>
      </c>
      <c r="G394" s="3">
        <f>HOUR(CallLog[[#This Row],[Time]])</f>
        <v>17</v>
      </c>
      <c r="H394" t="s">
        <v>29</v>
      </c>
      <c r="I394" t="s">
        <v>14</v>
      </c>
      <c r="J394" t="s">
        <v>14</v>
      </c>
      <c r="K394">
        <v>118</v>
      </c>
      <c r="L394" t="str">
        <f>IF(AND(CallLog[[#This Row],[Answered (Y/N)]]="Y", CallLog[[#This Row],[Speed of answer in seconds]]&lt;=20),
    "Within",
    "Breach")</f>
        <v>Breach</v>
      </c>
      <c r="M394" s="1">
        <v>3.8194444444444452E-4</v>
      </c>
      <c r="N394">
        <v>3</v>
      </c>
    </row>
    <row r="395" spans="1:14" x14ac:dyDescent="0.3">
      <c r="A395" t="s">
        <v>425</v>
      </c>
      <c r="B395" t="s">
        <v>11</v>
      </c>
      <c r="C395" t="s">
        <v>376</v>
      </c>
      <c r="D395" s="1">
        <v>0.74099537037037033</v>
      </c>
      <c r="E395" s="2">
        <f>CallLog[[#This Row],[Date]]+CallLog[[#This Row],[Time]]</f>
        <v>44203.740995370368</v>
      </c>
      <c r="F395" s="1" t="str">
        <f>TEXT(CallLog[[#This Row],[Date]],"dddd")</f>
        <v>Thursday</v>
      </c>
      <c r="G395" s="3">
        <f>HOUR(CallLog[[#This Row],[Time]])</f>
        <v>17</v>
      </c>
      <c r="H395" t="s">
        <v>17</v>
      </c>
      <c r="I395" t="s">
        <v>18</v>
      </c>
      <c r="J395" t="s">
        <v>18</v>
      </c>
      <c r="L395" t="str">
        <f>IF(AND(CallLog[[#This Row],[Answered (Y/N)]]="Y", CallLog[[#This Row],[Speed of answer in seconds]]&lt;=20),
    "Within",
    "Breach")</f>
        <v>Breach</v>
      </c>
    </row>
    <row r="396" spans="1:14" x14ac:dyDescent="0.3">
      <c r="A396" t="s">
        <v>426</v>
      </c>
      <c r="B396" t="s">
        <v>34</v>
      </c>
      <c r="C396" t="s">
        <v>376</v>
      </c>
      <c r="D396" s="1">
        <v>0.74200231481481482</v>
      </c>
      <c r="E396" s="2">
        <f>CallLog[[#This Row],[Date]]+CallLog[[#This Row],[Time]]</f>
        <v>44203.742002314815</v>
      </c>
      <c r="F396" s="1" t="str">
        <f>TEXT(CallLog[[#This Row],[Date]],"dddd")</f>
        <v>Thursday</v>
      </c>
      <c r="G396" s="3">
        <f>HOUR(CallLog[[#This Row],[Time]])</f>
        <v>17</v>
      </c>
      <c r="H396" t="s">
        <v>29</v>
      </c>
      <c r="I396" t="s">
        <v>14</v>
      </c>
      <c r="J396" t="s">
        <v>14</v>
      </c>
      <c r="K396">
        <v>47</v>
      </c>
      <c r="L396" t="str">
        <f>IF(AND(CallLog[[#This Row],[Answered (Y/N)]]="Y", CallLog[[#This Row],[Speed of answer in seconds]]&lt;=20),
    "Within",
    "Breach")</f>
        <v>Breach</v>
      </c>
      <c r="M396" s="1">
        <v>1.4120370370370369E-3</v>
      </c>
      <c r="N396">
        <v>5</v>
      </c>
    </row>
    <row r="397" spans="1:14" x14ac:dyDescent="0.3">
      <c r="A397" t="s">
        <v>427</v>
      </c>
      <c r="B397" t="s">
        <v>11</v>
      </c>
      <c r="C397" t="s">
        <v>376</v>
      </c>
      <c r="D397" s="1">
        <v>0.74200231481481482</v>
      </c>
      <c r="E397" s="2">
        <f>CallLog[[#This Row],[Date]]+CallLog[[#This Row],[Time]]</f>
        <v>44203.742002314815</v>
      </c>
      <c r="F397" s="1" t="str">
        <f>TEXT(CallLog[[#This Row],[Date]],"dddd")</f>
        <v>Thursday</v>
      </c>
      <c r="G397" s="3">
        <f>HOUR(CallLog[[#This Row],[Time]])</f>
        <v>17</v>
      </c>
      <c r="H397" t="s">
        <v>29</v>
      </c>
      <c r="I397" t="s">
        <v>14</v>
      </c>
      <c r="J397" t="s">
        <v>14</v>
      </c>
      <c r="K397">
        <v>86</v>
      </c>
      <c r="L397" t="str">
        <f>IF(AND(CallLog[[#This Row],[Answered (Y/N)]]="Y", CallLog[[#This Row],[Speed of answer in seconds]]&lt;=20),
    "Within",
    "Breach")</f>
        <v>Breach</v>
      </c>
      <c r="M397" s="1">
        <v>2.0601851851851853E-3</v>
      </c>
      <c r="N397">
        <v>2</v>
      </c>
    </row>
    <row r="398" spans="1:14" x14ac:dyDescent="0.3">
      <c r="A398" t="s">
        <v>428</v>
      </c>
      <c r="B398" t="s">
        <v>22</v>
      </c>
      <c r="C398" t="s">
        <v>376</v>
      </c>
      <c r="D398" s="1">
        <v>0.74700231481481483</v>
      </c>
      <c r="E398" s="2">
        <f>CallLog[[#This Row],[Date]]+CallLog[[#This Row],[Time]]</f>
        <v>44203.747002314813</v>
      </c>
      <c r="F398" s="1" t="str">
        <f>TEXT(CallLog[[#This Row],[Date]],"dddd")</f>
        <v>Thursday</v>
      </c>
      <c r="G398" s="3">
        <f>HOUR(CallLog[[#This Row],[Time]])</f>
        <v>17</v>
      </c>
      <c r="H398" t="s">
        <v>17</v>
      </c>
      <c r="I398" t="s">
        <v>14</v>
      </c>
      <c r="J398" t="s">
        <v>14</v>
      </c>
      <c r="K398">
        <v>76</v>
      </c>
      <c r="L398" t="str">
        <f>IF(AND(CallLog[[#This Row],[Answered (Y/N)]]="Y", CallLog[[#This Row],[Speed of answer in seconds]]&lt;=20),
    "Within",
    "Breach")</f>
        <v>Breach</v>
      </c>
      <c r="M398" s="1">
        <v>4.0740740740740737E-3</v>
      </c>
      <c r="N398">
        <v>3</v>
      </c>
    </row>
    <row r="399" spans="1:14" x14ac:dyDescent="0.3">
      <c r="A399" t="s">
        <v>429</v>
      </c>
      <c r="B399" t="s">
        <v>31</v>
      </c>
      <c r="C399" t="s">
        <v>376</v>
      </c>
      <c r="D399" s="1">
        <v>0.74700231481481483</v>
      </c>
      <c r="E399" s="2">
        <f>CallLog[[#This Row],[Date]]+CallLog[[#This Row],[Time]]</f>
        <v>44203.747002314813</v>
      </c>
      <c r="F399" s="1" t="str">
        <f>TEXT(CallLog[[#This Row],[Date]],"dddd")</f>
        <v>Thursday</v>
      </c>
      <c r="G399" s="3">
        <f>HOUR(CallLog[[#This Row],[Time]])</f>
        <v>17</v>
      </c>
      <c r="H399" t="s">
        <v>24</v>
      </c>
      <c r="I399" t="s">
        <v>14</v>
      </c>
      <c r="J399" t="s">
        <v>14</v>
      </c>
      <c r="K399">
        <v>32</v>
      </c>
      <c r="L399" t="str">
        <f>IF(AND(CallLog[[#This Row],[Answered (Y/N)]]="Y", CallLog[[#This Row],[Speed of answer in seconds]]&lt;=20),
    "Within",
    "Breach")</f>
        <v>Breach</v>
      </c>
      <c r="M399" s="1">
        <v>2.3495370370370371E-3</v>
      </c>
      <c r="N399">
        <v>4</v>
      </c>
    </row>
    <row r="400" spans="1:14" x14ac:dyDescent="0.3">
      <c r="A400" t="s">
        <v>430</v>
      </c>
      <c r="B400" t="s">
        <v>34</v>
      </c>
      <c r="C400" t="s">
        <v>431</v>
      </c>
      <c r="D400" s="1">
        <v>0.375</v>
      </c>
      <c r="E400" s="2">
        <f>CallLog[[#This Row],[Date]]+CallLog[[#This Row],[Time]]</f>
        <v>44204.375</v>
      </c>
      <c r="F400" s="1" t="str">
        <f>TEXT(CallLog[[#This Row],[Date]],"dddd")</f>
        <v>Friday</v>
      </c>
      <c r="G400" s="3">
        <f>HOUR(CallLog[[#This Row],[Time]])</f>
        <v>9</v>
      </c>
      <c r="H400" t="s">
        <v>29</v>
      </c>
      <c r="I400" t="s">
        <v>14</v>
      </c>
      <c r="J400" t="s">
        <v>14</v>
      </c>
      <c r="K400">
        <v>98</v>
      </c>
      <c r="L400" t="str">
        <f>IF(AND(CallLog[[#This Row],[Answered (Y/N)]]="Y", CallLog[[#This Row],[Speed of answer in seconds]]&lt;=20),
    "Within",
    "Breach")</f>
        <v>Breach</v>
      </c>
      <c r="M400" s="1">
        <v>2.4652777777777776E-3</v>
      </c>
      <c r="N400">
        <v>5</v>
      </c>
    </row>
    <row r="401" spans="1:14" x14ac:dyDescent="0.3">
      <c r="A401" t="s">
        <v>432</v>
      </c>
      <c r="B401" t="s">
        <v>31</v>
      </c>
      <c r="C401" t="s">
        <v>431</v>
      </c>
      <c r="D401" s="1">
        <v>0.375</v>
      </c>
      <c r="E401" s="2">
        <f>CallLog[[#This Row],[Date]]+CallLog[[#This Row],[Time]]</f>
        <v>44204.375</v>
      </c>
      <c r="F401" s="1" t="str">
        <f>TEXT(CallLog[[#This Row],[Date]],"dddd")</f>
        <v>Friday</v>
      </c>
      <c r="G401" s="3">
        <f>HOUR(CallLog[[#This Row],[Time]])</f>
        <v>9</v>
      </c>
      <c r="H401" t="s">
        <v>17</v>
      </c>
      <c r="I401" t="s">
        <v>14</v>
      </c>
      <c r="J401" t="s">
        <v>14</v>
      </c>
      <c r="K401">
        <v>86</v>
      </c>
      <c r="L401" t="str">
        <f>IF(AND(CallLog[[#This Row],[Answered (Y/N)]]="Y", CallLog[[#This Row],[Speed of answer in seconds]]&lt;=20),
    "Within",
    "Breach")</f>
        <v>Breach</v>
      </c>
      <c r="M401" s="1">
        <v>4.2824074074074081E-4</v>
      </c>
      <c r="N401">
        <v>4</v>
      </c>
    </row>
    <row r="402" spans="1:14" x14ac:dyDescent="0.3">
      <c r="A402" t="s">
        <v>433</v>
      </c>
      <c r="B402" t="s">
        <v>11</v>
      </c>
      <c r="C402" t="s">
        <v>431</v>
      </c>
      <c r="D402" s="1">
        <v>0.39200231481481479</v>
      </c>
      <c r="E402" s="2">
        <f>CallLog[[#This Row],[Date]]+CallLog[[#This Row],[Time]]</f>
        <v>44204.392002314817</v>
      </c>
      <c r="F402" s="1" t="str">
        <f>TEXT(CallLog[[#This Row],[Date]],"dddd")</f>
        <v>Friday</v>
      </c>
      <c r="G402" s="3">
        <f>HOUR(CallLog[[#This Row],[Time]])</f>
        <v>9</v>
      </c>
      <c r="H402" t="s">
        <v>17</v>
      </c>
      <c r="I402" t="s">
        <v>14</v>
      </c>
      <c r="J402" t="s">
        <v>14</v>
      </c>
      <c r="K402">
        <v>37</v>
      </c>
      <c r="L402" t="str">
        <f>IF(AND(CallLog[[#This Row],[Answered (Y/N)]]="Y", CallLog[[#This Row],[Speed of answer in seconds]]&lt;=20),
    "Within",
    "Breach")</f>
        <v>Breach</v>
      </c>
      <c r="M402" s="1">
        <v>7.5231481481481482E-4</v>
      </c>
      <c r="N402">
        <v>3</v>
      </c>
    </row>
    <row r="403" spans="1:14" x14ac:dyDescent="0.3">
      <c r="A403" t="s">
        <v>434</v>
      </c>
      <c r="B403" t="s">
        <v>22</v>
      </c>
      <c r="C403" t="s">
        <v>431</v>
      </c>
      <c r="D403" s="1">
        <v>0.39200231481481479</v>
      </c>
      <c r="E403" s="2">
        <f>CallLog[[#This Row],[Date]]+CallLog[[#This Row],[Time]]</f>
        <v>44204.392002314817</v>
      </c>
      <c r="F403" s="1" t="str">
        <f>TEXT(CallLog[[#This Row],[Date]],"dddd")</f>
        <v>Friday</v>
      </c>
      <c r="G403" s="3">
        <f>HOUR(CallLog[[#This Row],[Time]])</f>
        <v>9</v>
      </c>
      <c r="H403" t="s">
        <v>29</v>
      </c>
      <c r="I403" t="s">
        <v>14</v>
      </c>
      <c r="J403" t="s">
        <v>14</v>
      </c>
      <c r="K403">
        <v>15</v>
      </c>
      <c r="L403" t="str">
        <f>IF(AND(CallLog[[#This Row],[Answered (Y/N)]]="Y", CallLog[[#This Row],[Speed of answer in seconds]]&lt;=20),
    "Within",
    "Breach")</f>
        <v>Within</v>
      </c>
      <c r="M403" s="1">
        <v>3.0902777777777777E-3</v>
      </c>
      <c r="N403">
        <v>5</v>
      </c>
    </row>
    <row r="404" spans="1:14" x14ac:dyDescent="0.3">
      <c r="A404" t="s">
        <v>435</v>
      </c>
      <c r="B404" t="s">
        <v>11</v>
      </c>
      <c r="C404" t="s">
        <v>431</v>
      </c>
      <c r="D404" s="1">
        <v>0.4079976851851852</v>
      </c>
      <c r="E404" s="2">
        <f>CallLog[[#This Row],[Date]]+CallLog[[#This Row],[Time]]</f>
        <v>44204.407997685186</v>
      </c>
      <c r="F404" s="1" t="str">
        <f>TEXT(CallLog[[#This Row],[Date]],"dddd")</f>
        <v>Friday</v>
      </c>
      <c r="G404" s="3">
        <f>HOUR(CallLog[[#This Row],[Time]])</f>
        <v>9</v>
      </c>
      <c r="H404" t="s">
        <v>13</v>
      </c>
      <c r="I404" t="s">
        <v>14</v>
      </c>
      <c r="J404" t="s">
        <v>14</v>
      </c>
      <c r="K404">
        <v>114</v>
      </c>
      <c r="L404" t="str">
        <f>IF(AND(CallLog[[#This Row],[Answered (Y/N)]]="Y", CallLog[[#This Row],[Speed of answer in seconds]]&lt;=20),
    "Within",
    "Breach")</f>
        <v>Breach</v>
      </c>
      <c r="M404" s="1">
        <v>2.9282407407407408E-3</v>
      </c>
      <c r="N404">
        <v>5</v>
      </c>
    </row>
    <row r="405" spans="1:14" x14ac:dyDescent="0.3">
      <c r="A405" t="s">
        <v>436</v>
      </c>
      <c r="B405" t="s">
        <v>20</v>
      </c>
      <c r="C405" t="s">
        <v>431</v>
      </c>
      <c r="D405" s="1">
        <v>0.4079976851851852</v>
      </c>
      <c r="E405" s="2">
        <f>CallLog[[#This Row],[Date]]+CallLog[[#This Row],[Time]]</f>
        <v>44204.407997685186</v>
      </c>
      <c r="F405" s="1" t="str">
        <f>TEXT(CallLog[[#This Row],[Date]],"dddd")</f>
        <v>Friday</v>
      </c>
      <c r="G405" s="3">
        <f>HOUR(CallLog[[#This Row],[Time]])</f>
        <v>9</v>
      </c>
      <c r="H405" t="s">
        <v>24</v>
      </c>
      <c r="I405" t="s">
        <v>18</v>
      </c>
      <c r="J405" t="s">
        <v>18</v>
      </c>
      <c r="L405" t="str">
        <f>IF(AND(CallLog[[#This Row],[Answered (Y/N)]]="Y", CallLog[[#This Row],[Speed of answer in seconds]]&lt;=20),
    "Within",
    "Breach")</f>
        <v>Breach</v>
      </c>
    </row>
    <row r="406" spans="1:14" x14ac:dyDescent="0.3">
      <c r="A406" t="s">
        <v>437</v>
      </c>
      <c r="B406" t="s">
        <v>31</v>
      </c>
      <c r="C406" t="s">
        <v>431</v>
      </c>
      <c r="D406" s="1">
        <v>0.41599537037037038</v>
      </c>
      <c r="E406" s="2">
        <f>CallLog[[#This Row],[Date]]+CallLog[[#This Row],[Time]]</f>
        <v>44204.415995370371</v>
      </c>
      <c r="F406" s="1" t="str">
        <f>TEXT(CallLog[[#This Row],[Date]],"dddd")</f>
        <v>Friday</v>
      </c>
      <c r="G406" s="3">
        <f>HOUR(CallLog[[#This Row],[Time]])</f>
        <v>9</v>
      </c>
      <c r="H406" t="s">
        <v>17</v>
      </c>
      <c r="I406" t="s">
        <v>18</v>
      </c>
      <c r="J406" t="s">
        <v>18</v>
      </c>
      <c r="L406" t="str">
        <f>IF(AND(CallLog[[#This Row],[Answered (Y/N)]]="Y", CallLog[[#This Row],[Speed of answer in seconds]]&lt;=20),
    "Within",
    "Breach")</f>
        <v>Breach</v>
      </c>
    </row>
    <row r="407" spans="1:14" x14ac:dyDescent="0.3">
      <c r="A407" t="s">
        <v>438</v>
      </c>
      <c r="B407" t="s">
        <v>38</v>
      </c>
      <c r="C407" t="s">
        <v>431</v>
      </c>
      <c r="D407" s="1">
        <v>0.41599537037037038</v>
      </c>
      <c r="E407" s="2">
        <f>CallLog[[#This Row],[Date]]+CallLog[[#This Row],[Time]]</f>
        <v>44204.415995370371</v>
      </c>
      <c r="F407" s="1" t="str">
        <f>TEXT(CallLog[[#This Row],[Date]],"dddd")</f>
        <v>Friday</v>
      </c>
      <c r="G407" s="3">
        <f>HOUR(CallLog[[#This Row],[Time]])</f>
        <v>9</v>
      </c>
      <c r="H407" t="s">
        <v>32</v>
      </c>
      <c r="I407" t="s">
        <v>18</v>
      </c>
      <c r="J407" t="s">
        <v>18</v>
      </c>
      <c r="L407" t="str">
        <f>IF(AND(CallLog[[#This Row],[Answered (Y/N)]]="Y", CallLog[[#This Row],[Speed of answer in seconds]]&lt;=20),
    "Within",
    "Breach")</f>
        <v>Breach</v>
      </c>
    </row>
    <row r="408" spans="1:14" x14ac:dyDescent="0.3">
      <c r="A408" t="s">
        <v>439</v>
      </c>
      <c r="B408" t="s">
        <v>38</v>
      </c>
      <c r="C408" t="s">
        <v>431</v>
      </c>
      <c r="D408" s="1">
        <v>0.44599537037037035</v>
      </c>
      <c r="E408" s="2">
        <f>CallLog[[#This Row],[Date]]+CallLog[[#This Row],[Time]]</f>
        <v>44204.44599537037</v>
      </c>
      <c r="F408" s="1" t="str">
        <f>TEXT(CallLog[[#This Row],[Date]],"dddd")</f>
        <v>Friday</v>
      </c>
      <c r="G408" s="3">
        <f>HOUR(CallLog[[#This Row],[Time]])</f>
        <v>10</v>
      </c>
      <c r="H408" t="s">
        <v>32</v>
      </c>
      <c r="I408" t="s">
        <v>14</v>
      </c>
      <c r="J408" t="s">
        <v>18</v>
      </c>
      <c r="K408">
        <v>23</v>
      </c>
      <c r="L408" t="str">
        <f>IF(AND(CallLog[[#This Row],[Answered (Y/N)]]="Y", CallLog[[#This Row],[Speed of answer in seconds]]&lt;=20),
    "Within",
    "Breach")</f>
        <v>Breach</v>
      </c>
      <c r="M408" s="1">
        <v>1.5740740740740741E-3</v>
      </c>
      <c r="N408">
        <v>3</v>
      </c>
    </row>
    <row r="409" spans="1:14" x14ac:dyDescent="0.3">
      <c r="A409" t="s">
        <v>440</v>
      </c>
      <c r="B409" t="s">
        <v>47</v>
      </c>
      <c r="C409" t="s">
        <v>431</v>
      </c>
      <c r="D409" s="1">
        <v>0.44599537037037035</v>
      </c>
      <c r="E409" s="2">
        <f>CallLog[[#This Row],[Date]]+CallLog[[#This Row],[Time]]</f>
        <v>44204.44599537037</v>
      </c>
      <c r="F409" s="1" t="str">
        <f>TEXT(CallLog[[#This Row],[Date]],"dddd")</f>
        <v>Friday</v>
      </c>
      <c r="G409" s="3">
        <f>HOUR(CallLog[[#This Row],[Time]])</f>
        <v>10</v>
      </c>
      <c r="H409" t="s">
        <v>24</v>
      </c>
      <c r="I409" t="s">
        <v>18</v>
      </c>
      <c r="J409" t="s">
        <v>18</v>
      </c>
      <c r="L409" t="str">
        <f>IF(AND(CallLog[[#This Row],[Answered (Y/N)]]="Y", CallLog[[#This Row],[Speed of answer in seconds]]&lt;=20),
    "Within",
    "Breach")</f>
        <v>Breach</v>
      </c>
    </row>
    <row r="410" spans="1:14" x14ac:dyDescent="0.3">
      <c r="A410" t="s">
        <v>441</v>
      </c>
      <c r="B410" t="s">
        <v>34</v>
      </c>
      <c r="C410" t="s">
        <v>431</v>
      </c>
      <c r="D410" s="1">
        <v>0.45099537037037035</v>
      </c>
      <c r="E410" s="2">
        <f>CallLog[[#This Row],[Date]]+CallLog[[#This Row],[Time]]</f>
        <v>44204.450995370367</v>
      </c>
      <c r="F410" s="1" t="str">
        <f>TEXT(CallLog[[#This Row],[Date]],"dddd")</f>
        <v>Friday</v>
      </c>
      <c r="G410" s="3">
        <f>HOUR(CallLog[[#This Row],[Time]])</f>
        <v>10</v>
      </c>
      <c r="H410" t="s">
        <v>29</v>
      </c>
      <c r="I410" t="s">
        <v>14</v>
      </c>
      <c r="J410" t="s">
        <v>14</v>
      </c>
      <c r="K410">
        <v>69</v>
      </c>
      <c r="L410" t="str">
        <f>IF(AND(CallLog[[#This Row],[Answered (Y/N)]]="Y", CallLog[[#This Row],[Speed of answer in seconds]]&lt;=20),
    "Within",
    "Breach")</f>
        <v>Breach</v>
      </c>
      <c r="M410" s="1">
        <v>3.9467592592592592E-3</v>
      </c>
      <c r="N410">
        <v>3</v>
      </c>
    </row>
    <row r="411" spans="1:14" x14ac:dyDescent="0.3">
      <c r="A411" t="s">
        <v>442</v>
      </c>
      <c r="B411" t="s">
        <v>20</v>
      </c>
      <c r="C411" t="s">
        <v>431</v>
      </c>
      <c r="D411" s="1">
        <v>0.45099537037037035</v>
      </c>
      <c r="E411" s="2">
        <f>CallLog[[#This Row],[Date]]+CallLog[[#This Row],[Time]]</f>
        <v>44204.450995370367</v>
      </c>
      <c r="F411" s="1" t="str">
        <f>TEXT(CallLog[[#This Row],[Date]],"dddd")</f>
        <v>Friday</v>
      </c>
      <c r="G411" s="3">
        <f>HOUR(CallLog[[#This Row],[Time]])</f>
        <v>10</v>
      </c>
      <c r="H411" t="s">
        <v>13</v>
      </c>
      <c r="I411" t="s">
        <v>14</v>
      </c>
      <c r="J411" t="s">
        <v>14</v>
      </c>
      <c r="K411">
        <v>15</v>
      </c>
      <c r="L411" t="str">
        <f>IF(AND(CallLog[[#This Row],[Answered (Y/N)]]="Y", CallLog[[#This Row],[Speed of answer in seconds]]&lt;=20),
    "Within",
    "Breach")</f>
        <v>Within</v>
      </c>
      <c r="M411" s="1">
        <v>4.2824074074074075E-3</v>
      </c>
      <c r="N411">
        <v>4</v>
      </c>
    </row>
    <row r="412" spans="1:14" x14ac:dyDescent="0.3">
      <c r="A412" t="s">
        <v>443</v>
      </c>
      <c r="B412" t="s">
        <v>16</v>
      </c>
      <c r="C412" t="s">
        <v>431</v>
      </c>
      <c r="D412" s="1">
        <v>0.45099537037037035</v>
      </c>
      <c r="E412" s="2">
        <f>CallLog[[#This Row],[Date]]+CallLog[[#This Row],[Time]]</f>
        <v>44204.450995370367</v>
      </c>
      <c r="F412" s="1" t="str">
        <f>TEXT(CallLog[[#This Row],[Date]],"dddd")</f>
        <v>Friday</v>
      </c>
      <c r="G412" s="3">
        <f>HOUR(CallLog[[#This Row],[Time]])</f>
        <v>10</v>
      </c>
      <c r="H412" t="s">
        <v>17</v>
      </c>
      <c r="I412" t="s">
        <v>14</v>
      </c>
      <c r="J412" t="s">
        <v>14</v>
      </c>
      <c r="K412">
        <v>119</v>
      </c>
      <c r="L412" t="str">
        <f>IF(AND(CallLog[[#This Row],[Answered (Y/N)]]="Y", CallLog[[#This Row],[Speed of answer in seconds]]&lt;=20),
    "Within",
    "Breach")</f>
        <v>Breach</v>
      </c>
      <c r="M412" s="1">
        <v>3.7962962962962963E-3</v>
      </c>
      <c r="N412">
        <v>3</v>
      </c>
    </row>
    <row r="413" spans="1:14" x14ac:dyDescent="0.3">
      <c r="A413" t="s">
        <v>444</v>
      </c>
      <c r="B413" t="s">
        <v>16</v>
      </c>
      <c r="C413" t="s">
        <v>431</v>
      </c>
      <c r="D413" s="1">
        <v>0.45099537037037035</v>
      </c>
      <c r="E413" s="2">
        <f>CallLog[[#This Row],[Date]]+CallLog[[#This Row],[Time]]</f>
        <v>44204.450995370367</v>
      </c>
      <c r="F413" s="1" t="str">
        <f>TEXT(CallLog[[#This Row],[Date]],"dddd")</f>
        <v>Friday</v>
      </c>
      <c r="G413" s="3">
        <f>HOUR(CallLog[[#This Row],[Time]])</f>
        <v>10</v>
      </c>
      <c r="H413" t="s">
        <v>32</v>
      </c>
      <c r="I413" t="s">
        <v>14</v>
      </c>
      <c r="J413" t="s">
        <v>14</v>
      </c>
      <c r="K413">
        <v>68</v>
      </c>
      <c r="L413" t="str">
        <f>IF(AND(CallLog[[#This Row],[Answered (Y/N)]]="Y", CallLog[[#This Row],[Speed of answer in seconds]]&lt;=20),
    "Within",
    "Breach")</f>
        <v>Breach</v>
      </c>
      <c r="M413" s="1">
        <v>3.6689814814814814E-3</v>
      </c>
      <c r="N413">
        <v>1</v>
      </c>
    </row>
    <row r="414" spans="1:14" x14ac:dyDescent="0.3">
      <c r="A414" t="s">
        <v>445</v>
      </c>
      <c r="B414" t="s">
        <v>11</v>
      </c>
      <c r="C414" t="s">
        <v>431</v>
      </c>
      <c r="D414" s="1">
        <v>0.45900462962962962</v>
      </c>
      <c r="E414" s="2">
        <f>CallLog[[#This Row],[Date]]+CallLog[[#This Row],[Time]]</f>
        <v>44204.459004629629</v>
      </c>
      <c r="F414" s="1" t="str">
        <f>TEXT(CallLog[[#This Row],[Date]],"dddd")</f>
        <v>Friday</v>
      </c>
      <c r="G414" s="3">
        <f>HOUR(CallLog[[#This Row],[Time]])</f>
        <v>11</v>
      </c>
      <c r="H414" t="s">
        <v>13</v>
      </c>
      <c r="I414" t="s">
        <v>14</v>
      </c>
      <c r="J414" t="s">
        <v>14</v>
      </c>
      <c r="K414">
        <v>115</v>
      </c>
      <c r="L414" t="str">
        <f>IF(AND(CallLog[[#This Row],[Answered (Y/N)]]="Y", CallLog[[#This Row],[Speed of answer in seconds]]&lt;=20),
    "Within",
    "Breach")</f>
        <v>Breach</v>
      </c>
      <c r="M414" s="1">
        <v>4.2824074074074075E-3</v>
      </c>
      <c r="N414">
        <v>3</v>
      </c>
    </row>
    <row r="415" spans="1:14" x14ac:dyDescent="0.3">
      <c r="A415" t="s">
        <v>446</v>
      </c>
      <c r="B415" t="s">
        <v>34</v>
      </c>
      <c r="C415" t="s">
        <v>431</v>
      </c>
      <c r="D415" s="1">
        <v>0.45900462962962962</v>
      </c>
      <c r="E415" s="2">
        <f>CallLog[[#This Row],[Date]]+CallLog[[#This Row],[Time]]</f>
        <v>44204.459004629629</v>
      </c>
      <c r="F415" s="1" t="str">
        <f>TEXT(CallLog[[#This Row],[Date]],"dddd")</f>
        <v>Friday</v>
      </c>
      <c r="G415" s="3">
        <f>HOUR(CallLog[[#This Row],[Time]])</f>
        <v>11</v>
      </c>
      <c r="H415" t="s">
        <v>13</v>
      </c>
      <c r="I415" t="s">
        <v>14</v>
      </c>
      <c r="J415" t="s">
        <v>14</v>
      </c>
      <c r="K415">
        <v>84</v>
      </c>
      <c r="L415" t="str">
        <f>IF(AND(CallLog[[#This Row],[Answered (Y/N)]]="Y", CallLog[[#This Row],[Speed of answer in seconds]]&lt;=20),
    "Within",
    "Breach")</f>
        <v>Breach</v>
      </c>
      <c r="M415" s="1">
        <v>8.2175925925925927E-4</v>
      </c>
      <c r="N415">
        <v>5</v>
      </c>
    </row>
    <row r="416" spans="1:14" x14ac:dyDescent="0.3">
      <c r="A416" t="s">
        <v>447</v>
      </c>
      <c r="B416" t="s">
        <v>47</v>
      </c>
      <c r="C416" t="s">
        <v>431</v>
      </c>
      <c r="D416" s="1">
        <v>0.47</v>
      </c>
      <c r="E416" s="2">
        <f>CallLog[[#This Row],[Date]]+CallLog[[#This Row],[Time]]</f>
        <v>44204.47</v>
      </c>
      <c r="F416" s="1" t="str">
        <f>TEXT(CallLog[[#This Row],[Date]],"dddd")</f>
        <v>Friday</v>
      </c>
      <c r="G416" s="3">
        <f>HOUR(CallLog[[#This Row],[Time]])</f>
        <v>11</v>
      </c>
      <c r="H416" t="s">
        <v>13</v>
      </c>
      <c r="I416" t="s">
        <v>14</v>
      </c>
      <c r="J416" t="s">
        <v>18</v>
      </c>
      <c r="K416">
        <v>59</v>
      </c>
      <c r="L416" t="str">
        <f>IF(AND(CallLog[[#This Row],[Answered (Y/N)]]="Y", CallLog[[#This Row],[Speed of answer in seconds]]&lt;=20),
    "Within",
    "Breach")</f>
        <v>Breach</v>
      </c>
      <c r="M416" s="1">
        <v>8.9120370370370373E-4</v>
      </c>
      <c r="N416">
        <v>4</v>
      </c>
    </row>
    <row r="417" spans="1:14" x14ac:dyDescent="0.3">
      <c r="A417" t="s">
        <v>448</v>
      </c>
      <c r="B417" t="s">
        <v>11</v>
      </c>
      <c r="C417" t="s">
        <v>431</v>
      </c>
      <c r="D417" s="1">
        <v>0.47</v>
      </c>
      <c r="E417" s="2">
        <f>CallLog[[#This Row],[Date]]+CallLog[[#This Row],[Time]]</f>
        <v>44204.47</v>
      </c>
      <c r="F417" s="1" t="str">
        <f>TEXT(CallLog[[#This Row],[Date]],"dddd")</f>
        <v>Friday</v>
      </c>
      <c r="G417" s="3">
        <f>HOUR(CallLog[[#This Row],[Time]])</f>
        <v>11</v>
      </c>
      <c r="H417" t="s">
        <v>17</v>
      </c>
      <c r="I417" t="s">
        <v>14</v>
      </c>
      <c r="J417" t="s">
        <v>18</v>
      </c>
      <c r="K417">
        <v>112</v>
      </c>
      <c r="L417" t="str">
        <f>IF(AND(CallLog[[#This Row],[Answered (Y/N)]]="Y", CallLog[[#This Row],[Speed of answer in seconds]]&lt;=20),
    "Within",
    "Breach")</f>
        <v>Breach</v>
      </c>
      <c r="M417" s="1">
        <v>2.476851851851852E-3</v>
      </c>
      <c r="N417">
        <v>4</v>
      </c>
    </row>
    <row r="418" spans="1:14" x14ac:dyDescent="0.3">
      <c r="A418" t="s">
        <v>449</v>
      </c>
      <c r="B418" t="s">
        <v>47</v>
      </c>
      <c r="C418" t="s">
        <v>431</v>
      </c>
      <c r="D418" s="1">
        <v>0.47</v>
      </c>
      <c r="E418" s="2">
        <f>CallLog[[#This Row],[Date]]+CallLog[[#This Row],[Time]]</f>
        <v>44204.47</v>
      </c>
      <c r="F418" s="1" t="str">
        <f>TEXT(CallLog[[#This Row],[Date]],"dddd")</f>
        <v>Friday</v>
      </c>
      <c r="G418" s="3">
        <f>HOUR(CallLog[[#This Row],[Time]])</f>
        <v>11</v>
      </c>
      <c r="H418" t="s">
        <v>13</v>
      </c>
      <c r="I418" t="s">
        <v>18</v>
      </c>
      <c r="J418" t="s">
        <v>18</v>
      </c>
      <c r="L418" t="str">
        <f>IF(AND(CallLog[[#This Row],[Answered (Y/N)]]="Y", CallLog[[#This Row],[Speed of answer in seconds]]&lt;=20),
    "Within",
    "Breach")</f>
        <v>Breach</v>
      </c>
    </row>
    <row r="419" spans="1:14" x14ac:dyDescent="0.3">
      <c r="A419" t="s">
        <v>450</v>
      </c>
      <c r="B419" t="s">
        <v>47</v>
      </c>
      <c r="C419" t="s">
        <v>431</v>
      </c>
      <c r="D419" s="1">
        <v>0.47</v>
      </c>
      <c r="E419" s="2">
        <f>CallLog[[#This Row],[Date]]+CallLog[[#This Row],[Time]]</f>
        <v>44204.47</v>
      </c>
      <c r="F419" s="1" t="str">
        <f>TEXT(CallLog[[#This Row],[Date]],"dddd")</f>
        <v>Friday</v>
      </c>
      <c r="G419" s="3">
        <f>HOUR(CallLog[[#This Row],[Time]])</f>
        <v>11</v>
      </c>
      <c r="H419" t="s">
        <v>29</v>
      </c>
      <c r="I419" t="s">
        <v>14</v>
      </c>
      <c r="J419" t="s">
        <v>14</v>
      </c>
      <c r="K419">
        <v>39</v>
      </c>
      <c r="L419" t="str">
        <f>IF(AND(CallLog[[#This Row],[Answered (Y/N)]]="Y", CallLog[[#This Row],[Speed of answer in seconds]]&lt;=20),
    "Within",
    "Breach")</f>
        <v>Breach</v>
      </c>
      <c r="M419" s="1">
        <v>3.3680555555555556E-3</v>
      </c>
      <c r="N419">
        <v>3</v>
      </c>
    </row>
    <row r="420" spans="1:14" x14ac:dyDescent="0.3">
      <c r="A420" t="s">
        <v>451</v>
      </c>
      <c r="B420" t="s">
        <v>31</v>
      </c>
      <c r="C420" t="s">
        <v>431</v>
      </c>
      <c r="D420" s="1">
        <v>0.50900462962962967</v>
      </c>
      <c r="E420" s="2">
        <f>CallLog[[#This Row],[Date]]+CallLog[[#This Row],[Time]]</f>
        <v>44204.509004629632</v>
      </c>
      <c r="F420" s="1" t="str">
        <f>TEXT(CallLog[[#This Row],[Date]],"dddd")</f>
        <v>Friday</v>
      </c>
      <c r="G420" s="3">
        <f>HOUR(CallLog[[#This Row],[Time]])</f>
        <v>12</v>
      </c>
      <c r="H420" t="s">
        <v>32</v>
      </c>
      <c r="I420" t="s">
        <v>14</v>
      </c>
      <c r="J420" t="s">
        <v>14</v>
      </c>
      <c r="K420">
        <v>31</v>
      </c>
      <c r="L420" t="str">
        <f>IF(AND(CallLog[[#This Row],[Answered (Y/N)]]="Y", CallLog[[#This Row],[Speed of answer in seconds]]&lt;=20),
    "Within",
    "Breach")</f>
        <v>Breach</v>
      </c>
      <c r="M420" s="1">
        <v>4.5717592592592589E-3</v>
      </c>
      <c r="N420">
        <v>5</v>
      </c>
    </row>
    <row r="421" spans="1:14" x14ac:dyDescent="0.3">
      <c r="A421" t="s">
        <v>452</v>
      </c>
      <c r="B421" t="s">
        <v>47</v>
      </c>
      <c r="C421" t="s">
        <v>431</v>
      </c>
      <c r="D421" s="1">
        <v>0.50900462962962967</v>
      </c>
      <c r="E421" s="2">
        <f>CallLog[[#This Row],[Date]]+CallLog[[#This Row],[Time]]</f>
        <v>44204.509004629632</v>
      </c>
      <c r="F421" s="1" t="str">
        <f>TEXT(CallLog[[#This Row],[Date]],"dddd")</f>
        <v>Friday</v>
      </c>
      <c r="G421" s="3">
        <f>HOUR(CallLog[[#This Row],[Time]])</f>
        <v>12</v>
      </c>
      <c r="H421" t="s">
        <v>32</v>
      </c>
      <c r="I421" t="s">
        <v>14</v>
      </c>
      <c r="J421" t="s">
        <v>14</v>
      </c>
      <c r="K421">
        <v>112</v>
      </c>
      <c r="L421" t="str">
        <f>IF(AND(CallLog[[#This Row],[Answered (Y/N)]]="Y", CallLog[[#This Row],[Speed of answer in seconds]]&lt;=20),
    "Within",
    "Breach")</f>
        <v>Breach</v>
      </c>
      <c r="M421" s="1">
        <v>2.5578703703703705E-3</v>
      </c>
      <c r="N421">
        <v>2</v>
      </c>
    </row>
    <row r="422" spans="1:14" x14ac:dyDescent="0.3">
      <c r="A422" t="s">
        <v>453</v>
      </c>
      <c r="B422" t="s">
        <v>22</v>
      </c>
      <c r="C422" t="s">
        <v>431</v>
      </c>
      <c r="D422" s="1">
        <v>0.51</v>
      </c>
      <c r="E422" s="2">
        <f>CallLog[[#This Row],[Date]]+CallLog[[#This Row],[Time]]</f>
        <v>44204.51</v>
      </c>
      <c r="F422" s="1" t="str">
        <f>TEXT(CallLog[[#This Row],[Date]],"dddd")</f>
        <v>Friday</v>
      </c>
      <c r="G422" s="3">
        <f>HOUR(CallLog[[#This Row],[Time]])</f>
        <v>12</v>
      </c>
      <c r="H422" t="s">
        <v>32</v>
      </c>
      <c r="I422" t="s">
        <v>14</v>
      </c>
      <c r="J422" t="s">
        <v>14</v>
      </c>
      <c r="K422">
        <v>49</v>
      </c>
      <c r="L422" t="str">
        <f>IF(AND(CallLog[[#This Row],[Answered (Y/N)]]="Y", CallLog[[#This Row],[Speed of answer in seconds]]&lt;=20),
    "Within",
    "Breach")</f>
        <v>Breach</v>
      </c>
      <c r="M422" s="1">
        <v>1.6782407407407408E-3</v>
      </c>
      <c r="N422">
        <v>4</v>
      </c>
    </row>
    <row r="423" spans="1:14" x14ac:dyDescent="0.3">
      <c r="A423" t="s">
        <v>454</v>
      </c>
      <c r="B423" t="s">
        <v>22</v>
      </c>
      <c r="C423" t="s">
        <v>431</v>
      </c>
      <c r="D423" s="1">
        <v>0.51</v>
      </c>
      <c r="E423" s="2">
        <f>CallLog[[#This Row],[Date]]+CallLog[[#This Row],[Time]]</f>
        <v>44204.51</v>
      </c>
      <c r="F423" s="1" t="str">
        <f>TEXT(CallLog[[#This Row],[Date]],"dddd")</f>
        <v>Friday</v>
      </c>
      <c r="G423" s="3">
        <f>HOUR(CallLog[[#This Row],[Time]])</f>
        <v>12</v>
      </c>
      <c r="H423" t="s">
        <v>17</v>
      </c>
      <c r="I423" t="s">
        <v>14</v>
      </c>
      <c r="J423" t="s">
        <v>14</v>
      </c>
      <c r="K423">
        <v>18</v>
      </c>
      <c r="L423" t="str">
        <f>IF(AND(CallLog[[#This Row],[Answered (Y/N)]]="Y", CallLog[[#This Row],[Speed of answer in seconds]]&lt;=20),
    "Within",
    "Breach")</f>
        <v>Within</v>
      </c>
      <c r="M423" s="1">
        <v>4.6064814814814814E-3</v>
      </c>
      <c r="N423">
        <v>3</v>
      </c>
    </row>
    <row r="424" spans="1:14" x14ac:dyDescent="0.3">
      <c r="A424" t="s">
        <v>455</v>
      </c>
      <c r="B424" t="s">
        <v>20</v>
      </c>
      <c r="C424" t="s">
        <v>431</v>
      </c>
      <c r="D424" s="1">
        <v>0.52700231481481485</v>
      </c>
      <c r="E424" s="2">
        <f>CallLog[[#This Row],[Date]]+CallLog[[#This Row],[Time]]</f>
        <v>44204.527002314811</v>
      </c>
      <c r="F424" s="1" t="str">
        <f>TEXT(CallLog[[#This Row],[Date]],"dddd")</f>
        <v>Friday</v>
      </c>
      <c r="G424" s="3">
        <f>HOUR(CallLog[[#This Row],[Time]])</f>
        <v>12</v>
      </c>
      <c r="H424" t="s">
        <v>17</v>
      </c>
      <c r="I424" t="s">
        <v>14</v>
      </c>
      <c r="J424" t="s">
        <v>14</v>
      </c>
      <c r="K424">
        <v>80</v>
      </c>
      <c r="L424" t="str">
        <f>IF(AND(CallLog[[#This Row],[Answered (Y/N)]]="Y", CallLog[[#This Row],[Speed of answer in seconds]]&lt;=20),
    "Within",
    "Breach")</f>
        <v>Breach</v>
      </c>
      <c r="M424" s="1">
        <v>1.8865740740740742E-3</v>
      </c>
      <c r="N424">
        <v>4</v>
      </c>
    </row>
    <row r="425" spans="1:14" x14ac:dyDescent="0.3">
      <c r="A425" t="s">
        <v>456</v>
      </c>
      <c r="B425" t="s">
        <v>47</v>
      </c>
      <c r="C425" t="s">
        <v>431</v>
      </c>
      <c r="D425" s="1">
        <v>0.52700231481481485</v>
      </c>
      <c r="E425" s="2">
        <f>CallLog[[#This Row],[Date]]+CallLog[[#This Row],[Time]]</f>
        <v>44204.527002314811</v>
      </c>
      <c r="F425" s="1" t="str">
        <f>TEXT(CallLog[[#This Row],[Date]],"dddd")</f>
        <v>Friday</v>
      </c>
      <c r="G425" s="3">
        <f>HOUR(CallLog[[#This Row],[Time]])</f>
        <v>12</v>
      </c>
      <c r="H425" t="s">
        <v>29</v>
      </c>
      <c r="I425" t="s">
        <v>14</v>
      </c>
      <c r="J425" t="s">
        <v>14</v>
      </c>
      <c r="K425">
        <v>57</v>
      </c>
      <c r="L425" t="str">
        <f>IF(AND(CallLog[[#This Row],[Answered (Y/N)]]="Y", CallLog[[#This Row],[Speed of answer in seconds]]&lt;=20),
    "Within",
    "Breach")</f>
        <v>Breach</v>
      </c>
      <c r="M425" s="1">
        <v>1.7708333333333332E-3</v>
      </c>
      <c r="N425">
        <v>3</v>
      </c>
    </row>
    <row r="426" spans="1:14" x14ac:dyDescent="0.3">
      <c r="A426" t="s">
        <v>457</v>
      </c>
      <c r="B426" t="s">
        <v>20</v>
      </c>
      <c r="C426" t="s">
        <v>431</v>
      </c>
      <c r="D426" s="1">
        <v>0.53400462962962958</v>
      </c>
      <c r="E426" s="2">
        <f>CallLog[[#This Row],[Date]]+CallLog[[#This Row],[Time]]</f>
        <v>44204.534004629626</v>
      </c>
      <c r="F426" s="1" t="str">
        <f>TEXT(CallLog[[#This Row],[Date]],"dddd")</f>
        <v>Friday</v>
      </c>
      <c r="G426" s="3">
        <f>HOUR(CallLog[[#This Row],[Time]])</f>
        <v>12</v>
      </c>
      <c r="H426" t="s">
        <v>13</v>
      </c>
      <c r="I426" t="s">
        <v>18</v>
      </c>
      <c r="J426" t="s">
        <v>18</v>
      </c>
      <c r="L426" t="str">
        <f>IF(AND(CallLog[[#This Row],[Answered (Y/N)]]="Y", CallLog[[#This Row],[Speed of answer in seconds]]&lt;=20),
    "Within",
    "Breach")</f>
        <v>Breach</v>
      </c>
    </row>
    <row r="427" spans="1:14" x14ac:dyDescent="0.3">
      <c r="A427" t="s">
        <v>458</v>
      </c>
      <c r="B427" t="s">
        <v>11</v>
      </c>
      <c r="C427" t="s">
        <v>431</v>
      </c>
      <c r="D427" s="1">
        <v>0.53400462962962958</v>
      </c>
      <c r="E427" s="2">
        <f>CallLog[[#This Row],[Date]]+CallLog[[#This Row],[Time]]</f>
        <v>44204.534004629626</v>
      </c>
      <c r="F427" s="1" t="str">
        <f>TEXT(CallLog[[#This Row],[Date]],"dddd")</f>
        <v>Friday</v>
      </c>
      <c r="G427" s="3">
        <f>HOUR(CallLog[[#This Row],[Time]])</f>
        <v>12</v>
      </c>
      <c r="H427" t="s">
        <v>13</v>
      </c>
      <c r="I427" t="s">
        <v>14</v>
      </c>
      <c r="J427" t="s">
        <v>18</v>
      </c>
      <c r="K427">
        <v>87</v>
      </c>
      <c r="L427" t="str">
        <f>IF(AND(CallLog[[#This Row],[Answered (Y/N)]]="Y", CallLog[[#This Row],[Speed of answer in seconds]]&lt;=20),
    "Within",
    "Breach")</f>
        <v>Breach</v>
      </c>
      <c r="M427" s="1">
        <v>4.3750000000000004E-3</v>
      </c>
      <c r="N427">
        <v>4</v>
      </c>
    </row>
    <row r="428" spans="1:14" x14ac:dyDescent="0.3">
      <c r="A428" t="s">
        <v>459</v>
      </c>
      <c r="B428" t="s">
        <v>11</v>
      </c>
      <c r="C428" t="s">
        <v>431</v>
      </c>
      <c r="D428" s="1">
        <v>0.54900462962962959</v>
      </c>
      <c r="E428" s="2">
        <f>CallLog[[#This Row],[Date]]+CallLog[[#This Row],[Time]]</f>
        <v>44204.549004629633</v>
      </c>
      <c r="F428" s="1" t="str">
        <f>TEXT(CallLog[[#This Row],[Date]],"dddd")</f>
        <v>Friday</v>
      </c>
      <c r="G428" s="3">
        <f>HOUR(CallLog[[#This Row],[Time]])</f>
        <v>13</v>
      </c>
      <c r="H428" t="s">
        <v>24</v>
      </c>
      <c r="I428" t="s">
        <v>18</v>
      </c>
      <c r="J428" t="s">
        <v>18</v>
      </c>
      <c r="L428" t="str">
        <f>IF(AND(CallLog[[#This Row],[Answered (Y/N)]]="Y", CallLog[[#This Row],[Speed of answer in seconds]]&lt;=20),
    "Within",
    "Breach")</f>
        <v>Breach</v>
      </c>
    </row>
    <row r="429" spans="1:14" x14ac:dyDescent="0.3">
      <c r="A429" t="s">
        <v>460</v>
      </c>
      <c r="B429" t="s">
        <v>22</v>
      </c>
      <c r="C429" t="s">
        <v>431</v>
      </c>
      <c r="D429" s="1">
        <v>0.54900462962962959</v>
      </c>
      <c r="E429" s="2">
        <f>CallLog[[#This Row],[Date]]+CallLog[[#This Row],[Time]]</f>
        <v>44204.549004629633</v>
      </c>
      <c r="F429" s="1" t="str">
        <f>TEXT(CallLog[[#This Row],[Date]],"dddd")</f>
        <v>Friday</v>
      </c>
      <c r="G429" s="3">
        <f>HOUR(CallLog[[#This Row],[Time]])</f>
        <v>13</v>
      </c>
      <c r="H429" t="s">
        <v>32</v>
      </c>
      <c r="I429" t="s">
        <v>14</v>
      </c>
      <c r="J429" t="s">
        <v>14</v>
      </c>
      <c r="K429">
        <v>81</v>
      </c>
      <c r="L429" t="str">
        <f>IF(AND(CallLog[[#This Row],[Answered (Y/N)]]="Y", CallLog[[#This Row],[Speed of answer in seconds]]&lt;=20),
    "Within",
    "Breach")</f>
        <v>Breach</v>
      </c>
      <c r="M429" s="1">
        <v>4.1203703703703706E-3</v>
      </c>
      <c r="N429">
        <v>3</v>
      </c>
    </row>
    <row r="430" spans="1:14" x14ac:dyDescent="0.3">
      <c r="A430" t="s">
        <v>461</v>
      </c>
      <c r="B430" t="s">
        <v>34</v>
      </c>
      <c r="C430" t="s">
        <v>431</v>
      </c>
      <c r="D430" s="1">
        <v>0.54900462962962959</v>
      </c>
      <c r="E430" s="2">
        <f>CallLog[[#This Row],[Date]]+CallLog[[#This Row],[Time]]</f>
        <v>44204.549004629633</v>
      </c>
      <c r="F430" s="1" t="str">
        <f>TEXT(CallLog[[#This Row],[Date]],"dddd")</f>
        <v>Friday</v>
      </c>
      <c r="G430" s="3">
        <f>HOUR(CallLog[[#This Row],[Time]])</f>
        <v>13</v>
      </c>
      <c r="H430" t="s">
        <v>17</v>
      </c>
      <c r="I430" t="s">
        <v>18</v>
      </c>
      <c r="J430" t="s">
        <v>18</v>
      </c>
      <c r="L430" t="str">
        <f>IF(AND(CallLog[[#This Row],[Answered (Y/N)]]="Y", CallLog[[#This Row],[Speed of answer in seconds]]&lt;=20),
    "Within",
    "Breach")</f>
        <v>Breach</v>
      </c>
    </row>
    <row r="431" spans="1:14" x14ac:dyDescent="0.3">
      <c r="A431" t="s">
        <v>462</v>
      </c>
      <c r="B431" t="s">
        <v>31</v>
      </c>
      <c r="C431" t="s">
        <v>431</v>
      </c>
      <c r="D431" s="1">
        <v>0.54900462962962959</v>
      </c>
      <c r="E431" s="2">
        <f>CallLog[[#This Row],[Date]]+CallLog[[#This Row],[Time]]</f>
        <v>44204.549004629633</v>
      </c>
      <c r="F431" s="1" t="str">
        <f>TEXT(CallLog[[#This Row],[Date]],"dddd")</f>
        <v>Friday</v>
      </c>
      <c r="G431" s="3">
        <f>HOUR(CallLog[[#This Row],[Time]])</f>
        <v>13</v>
      </c>
      <c r="H431" t="s">
        <v>32</v>
      </c>
      <c r="I431" t="s">
        <v>14</v>
      </c>
      <c r="J431" t="s">
        <v>14</v>
      </c>
      <c r="K431">
        <v>47</v>
      </c>
      <c r="L431" t="str">
        <f>IF(AND(CallLog[[#This Row],[Answered (Y/N)]]="Y", CallLog[[#This Row],[Speed of answer in seconds]]&lt;=20),
    "Within",
    "Breach")</f>
        <v>Breach</v>
      </c>
      <c r="M431" s="1">
        <v>1.5162037037037036E-3</v>
      </c>
      <c r="N431">
        <v>5</v>
      </c>
    </row>
    <row r="432" spans="1:14" x14ac:dyDescent="0.3">
      <c r="A432" t="s">
        <v>463</v>
      </c>
      <c r="B432" t="s">
        <v>34</v>
      </c>
      <c r="C432" t="s">
        <v>431</v>
      </c>
      <c r="D432" s="1">
        <v>0.5540046296296296</v>
      </c>
      <c r="E432" s="2">
        <f>CallLog[[#This Row],[Date]]+CallLog[[#This Row],[Time]]</f>
        <v>44204.55400462963</v>
      </c>
      <c r="F432" s="1" t="str">
        <f>TEXT(CallLog[[#This Row],[Date]],"dddd")</f>
        <v>Friday</v>
      </c>
      <c r="G432" s="3">
        <f>HOUR(CallLog[[#This Row],[Time]])</f>
        <v>13</v>
      </c>
      <c r="H432" t="s">
        <v>32</v>
      </c>
      <c r="I432" t="s">
        <v>14</v>
      </c>
      <c r="J432" t="s">
        <v>14</v>
      </c>
      <c r="K432">
        <v>57</v>
      </c>
      <c r="L432" t="str">
        <f>IF(AND(CallLog[[#This Row],[Answered (Y/N)]]="Y", CallLog[[#This Row],[Speed of answer in seconds]]&lt;=20),
    "Within",
    "Breach")</f>
        <v>Breach</v>
      </c>
      <c r="M432" s="1">
        <v>4.340277777777778E-3</v>
      </c>
      <c r="N432">
        <v>4</v>
      </c>
    </row>
    <row r="433" spans="1:14" x14ac:dyDescent="0.3">
      <c r="A433" t="s">
        <v>464</v>
      </c>
      <c r="B433" t="s">
        <v>16</v>
      </c>
      <c r="C433" t="s">
        <v>431</v>
      </c>
      <c r="D433" s="1">
        <v>0.5540046296296296</v>
      </c>
      <c r="E433" s="2">
        <f>CallLog[[#This Row],[Date]]+CallLog[[#This Row],[Time]]</f>
        <v>44204.55400462963</v>
      </c>
      <c r="F433" s="1" t="str">
        <f>TEXT(CallLog[[#This Row],[Date]],"dddd")</f>
        <v>Friday</v>
      </c>
      <c r="G433" s="3">
        <f>HOUR(CallLog[[#This Row],[Time]])</f>
        <v>13</v>
      </c>
      <c r="H433" t="s">
        <v>24</v>
      </c>
      <c r="I433" t="s">
        <v>18</v>
      </c>
      <c r="J433" t="s">
        <v>18</v>
      </c>
      <c r="L433" t="str">
        <f>IF(AND(CallLog[[#This Row],[Answered (Y/N)]]="Y", CallLog[[#This Row],[Speed of answer in seconds]]&lt;=20),
    "Within",
    "Breach")</f>
        <v>Breach</v>
      </c>
    </row>
    <row r="434" spans="1:14" x14ac:dyDescent="0.3">
      <c r="A434" t="s">
        <v>465</v>
      </c>
      <c r="B434" t="s">
        <v>34</v>
      </c>
      <c r="C434" t="s">
        <v>431</v>
      </c>
      <c r="D434" s="1">
        <v>0.57200231481481478</v>
      </c>
      <c r="E434" s="2">
        <f>CallLog[[#This Row],[Date]]+CallLog[[#This Row],[Time]]</f>
        <v>44204.572002314817</v>
      </c>
      <c r="F434" s="1" t="str">
        <f>TEXT(CallLog[[#This Row],[Date]],"dddd")</f>
        <v>Friday</v>
      </c>
      <c r="G434" s="3">
        <f>HOUR(CallLog[[#This Row],[Time]])</f>
        <v>13</v>
      </c>
      <c r="H434" t="s">
        <v>13</v>
      </c>
      <c r="I434" t="s">
        <v>14</v>
      </c>
      <c r="J434" t="s">
        <v>14</v>
      </c>
      <c r="K434">
        <v>104</v>
      </c>
      <c r="L434" t="str">
        <f>IF(AND(CallLog[[#This Row],[Answered (Y/N)]]="Y", CallLog[[#This Row],[Speed of answer in seconds]]&lt;=20),
    "Within",
    "Breach")</f>
        <v>Breach</v>
      </c>
      <c r="M434" s="1">
        <v>2.7199074074074074E-3</v>
      </c>
      <c r="N434">
        <v>4</v>
      </c>
    </row>
    <row r="435" spans="1:14" x14ac:dyDescent="0.3">
      <c r="A435" t="s">
        <v>466</v>
      </c>
      <c r="B435" t="s">
        <v>16</v>
      </c>
      <c r="C435" t="s">
        <v>431</v>
      </c>
      <c r="D435" s="1">
        <v>0.57200231481481478</v>
      </c>
      <c r="E435" s="2">
        <f>CallLog[[#This Row],[Date]]+CallLog[[#This Row],[Time]]</f>
        <v>44204.572002314817</v>
      </c>
      <c r="F435" s="1" t="str">
        <f>TEXT(CallLog[[#This Row],[Date]],"dddd")</f>
        <v>Friday</v>
      </c>
      <c r="G435" s="3">
        <f>HOUR(CallLog[[#This Row],[Time]])</f>
        <v>13</v>
      </c>
      <c r="H435" t="s">
        <v>29</v>
      </c>
      <c r="I435" t="s">
        <v>14</v>
      </c>
      <c r="J435" t="s">
        <v>14</v>
      </c>
      <c r="K435">
        <v>16</v>
      </c>
      <c r="L435" t="str">
        <f>IF(AND(CallLog[[#This Row],[Answered (Y/N)]]="Y", CallLog[[#This Row],[Speed of answer in seconds]]&lt;=20),
    "Within",
    "Breach")</f>
        <v>Within</v>
      </c>
      <c r="M435" s="1">
        <v>4.0046296296296297E-3</v>
      </c>
      <c r="N435">
        <v>3</v>
      </c>
    </row>
    <row r="436" spans="1:14" x14ac:dyDescent="0.3">
      <c r="A436" t="s">
        <v>467</v>
      </c>
      <c r="B436" t="s">
        <v>22</v>
      </c>
      <c r="C436" t="s">
        <v>431</v>
      </c>
      <c r="D436" s="1">
        <v>0.65099537037037036</v>
      </c>
      <c r="E436" s="2">
        <f>CallLog[[#This Row],[Date]]+CallLog[[#This Row],[Time]]</f>
        <v>44204.650995370372</v>
      </c>
      <c r="F436" s="1" t="str">
        <f>TEXT(CallLog[[#This Row],[Date]],"dddd")</f>
        <v>Friday</v>
      </c>
      <c r="G436" s="3">
        <f>HOUR(CallLog[[#This Row],[Time]])</f>
        <v>15</v>
      </c>
      <c r="H436" t="s">
        <v>32</v>
      </c>
      <c r="I436" t="s">
        <v>14</v>
      </c>
      <c r="J436" t="s">
        <v>14</v>
      </c>
      <c r="K436">
        <v>37</v>
      </c>
      <c r="L436" t="str">
        <f>IF(AND(CallLog[[#This Row],[Answered (Y/N)]]="Y", CallLog[[#This Row],[Speed of answer in seconds]]&lt;=20),
    "Within",
    "Breach")</f>
        <v>Breach</v>
      </c>
      <c r="M436" s="1">
        <v>2.9282407407407408E-3</v>
      </c>
      <c r="N436">
        <v>4</v>
      </c>
    </row>
    <row r="437" spans="1:14" x14ac:dyDescent="0.3">
      <c r="A437" t="s">
        <v>468</v>
      </c>
      <c r="B437" t="s">
        <v>11</v>
      </c>
      <c r="C437" t="s">
        <v>431</v>
      </c>
      <c r="D437" s="1">
        <v>0.65099537037037036</v>
      </c>
      <c r="E437" s="2">
        <f>CallLog[[#This Row],[Date]]+CallLog[[#This Row],[Time]]</f>
        <v>44204.650995370372</v>
      </c>
      <c r="F437" s="1" t="str">
        <f>TEXT(CallLog[[#This Row],[Date]],"dddd")</f>
        <v>Friday</v>
      </c>
      <c r="G437" s="3">
        <f>HOUR(CallLog[[#This Row],[Time]])</f>
        <v>15</v>
      </c>
      <c r="H437" t="s">
        <v>29</v>
      </c>
      <c r="I437" t="s">
        <v>18</v>
      </c>
      <c r="J437" t="s">
        <v>18</v>
      </c>
      <c r="L437" t="str">
        <f>IF(AND(CallLog[[#This Row],[Answered (Y/N)]]="Y", CallLog[[#This Row],[Speed of answer in seconds]]&lt;=20),
    "Within",
    "Breach")</f>
        <v>Breach</v>
      </c>
    </row>
    <row r="438" spans="1:14" x14ac:dyDescent="0.3">
      <c r="A438" t="s">
        <v>469</v>
      </c>
      <c r="B438" t="s">
        <v>20</v>
      </c>
      <c r="C438" t="s">
        <v>431</v>
      </c>
      <c r="D438" s="1">
        <v>0.65500000000000003</v>
      </c>
      <c r="E438" s="2">
        <f>CallLog[[#This Row],[Date]]+CallLog[[#This Row],[Time]]</f>
        <v>44204.654999999999</v>
      </c>
      <c r="F438" s="1" t="str">
        <f>TEXT(CallLog[[#This Row],[Date]],"dddd")</f>
        <v>Friday</v>
      </c>
      <c r="G438" s="3">
        <f>HOUR(CallLog[[#This Row],[Time]])</f>
        <v>15</v>
      </c>
      <c r="H438" t="s">
        <v>17</v>
      </c>
      <c r="I438" t="s">
        <v>14</v>
      </c>
      <c r="J438" t="s">
        <v>14</v>
      </c>
      <c r="K438">
        <v>61</v>
      </c>
      <c r="L438" t="str">
        <f>IF(AND(CallLog[[#This Row],[Answered (Y/N)]]="Y", CallLog[[#This Row],[Speed of answer in seconds]]&lt;=20),
    "Within",
    "Breach")</f>
        <v>Breach</v>
      </c>
      <c r="M438" s="1">
        <v>1.4583333333333334E-3</v>
      </c>
      <c r="N438">
        <v>4</v>
      </c>
    </row>
    <row r="439" spans="1:14" x14ac:dyDescent="0.3">
      <c r="A439" t="s">
        <v>470</v>
      </c>
      <c r="B439" t="s">
        <v>20</v>
      </c>
      <c r="C439" t="s">
        <v>431</v>
      </c>
      <c r="D439" s="1">
        <v>0.65500000000000003</v>
      </c>
      <c r="E439" s="2">
        <f>CallLog[[#This Row],[Date]]+CallLog[[#This Row],[Time]]</f>
        <v>44204.654999999999</v>
      </c>
      <c r="F439" s="1" t="str">
        <f>TEXT(CallLog[[#This Row],[Date]],"dddd")</f>
        <v>Friday</v>
      </c>
      <c r="G439" s="3">
        <f>HOUR(CallLog[[#This Row],[Time]])</f>
        <v>15</v>
      </c>
      <c r="H439" t="s">
        <v>29</v>
      </c>
      <c r="I439" t="s">
        <v>14</v>
      </c>
      <c r="J439" t="s">
        <v>18</v>
      </c>
      <c r="K439">
        <v>41</v>
      </c>
      <c r="L439" t="str">
        <f>IF(AND(CallLog[[#This Row],[Answered (Y/N)]]="Y", CallLog[[#This Row],[Speed of answer in seconds]]&lt;=20),
    "Within",
    "Breach")</f>
        <v>Breach</v>
      </c>
      <c r="M439" s="1">
        <v>2.1990740740740742E-3</v>
      </c>
      <c r="N439">
        <v>4</v>
      </c>
    </row>
    <row r="440" spans="1:14" x14ac:dyDescent="0.3">
      <c r="A440" t="s">
        <v>471</v>
      </c>
      <c r="B440" t="s">
        <v>11</v>
      </c>
      <c r="C440" t="s">
        <v>431</v>
      </c>
      <c r="D440" s="1">
        <v>0.66200231481481486</v>
      </c>
      <c r="E440" s="2">
        <f>CallLog[[#This Row],[Date]]+CallLog[[#This Row],[Time]]</f>
        <v>44204.662002314813</v>
      </c>
      <c r="F440" s="1" t="str">
        <f>TEXT(CallLog[[#This Row],[Date]],"dddd")</f>
        <v>Friday</v>
      </c>
      <c r="G440" s="3">
        <f>HOUR(CallLog[[#This Row],[Time]])</f>
        <v>15</v>
      </c>
      <c r="H440" t="s">
        <v>32</v>
      </c>
      <c r="I440" t="s">
        <v>14</v>
      </c>
      <c r="J440" t="s">
        <v>14</v>
      </c>
      <c r="K440">
        <v>40</v>
      </c>
      <c r="L440" t="str">
        <f>IF(AND(CallLog[[#This Row],[Answered (Y/N)]]="Y", CallLog[[#This Row],[Speed of answer in seconds]]&lt;=20),
    "Within",
    "Breach")</f>
        <v>Breach</v>
      </c>
      <c r="M440" s="1">
        <v>9.3749999999999997E-4</v>
      </c>
      <c r="N440">
        <v>4</v>
      </c>
    </row>
    <row r="441" spans="1:14" x14ac:dyDescent="0.3">
      <c r="A441" t="s">
        <v>472</v>
      </c>
      <c r="B441" t="s">
        <v>11</v>
      </c>
      <c r="C441" t="s">
        <v>431</v>
      </c>
      <c r="D441" s="1">
        <v>0.66200231481481486</v>
      </c>
      <c r="E441" s="2">
        <f>CallLog[[#This Row],[Date]]+CallLog[[#This Row],[Time]]</f>
        <v>44204.662002314813</v>
      </c>
      <c r="F441" s="1" t="str">
        <f>TEXT(CallLog[[#This Row],[Date]],"dddd")</f>
        <v>Friday</v>
      </c>
      <c r="G441" s="3">
        <f>HOUR(CallLog[[#This Row],[Time]])</f>
        <v>15</v>
      </c>
      <c r="H441" t="s">
        <v>29</v>
      </c>
      <c r="I441" t="s">
        <v>14</v>
      </c>
      <c r="J441" t="s">
        <v>14</v>
      </c>
      <c r="K441">
        <v>55</v>
      </c>
      <c r="L441" t="str">
        <f>IF(AND(CallLog[[#This Row],[Answered (Y/N)]]="Y", CallLog[[#This Row],[Speed of answer in seconds]]&lt;=20),
    "Within",
    "Breach")</f>
        <v>Breach</v>
      </c>
      <c r="M441" s="1">
        <v>3.7152777777777778E-3</v>
      </c>
      <c r="N441">
        <v>2</v>
      </c>
    </row>
    <row r="442" spans="1:14" x14ac:dyDescent="0.3">
      <c r="A442" t="s">
        <v>473</v>
      </c>
      <c r="B442" t="s">
        <v>22</v>
      </c>
      <c r="C442" t="s">
        <v>431</v>
      </c>
      <c r="D442" s="1">
        <v>0.6629976851851852</v>
      </c>
      <c r="E442" s="2">
        <f>CallLog[[#This Row],[Date]]+CallLog[[#This Row],[Time]]</f>
        <v>44204.662997685184</v>
      </c>
      <c r="F442" s="1" t="str">
        <f>TEXT(CallLog[[#This Row],[Date]],"dddd")</f>
        <v>Friday</v>
      </c>
      <c r="G442" s="3">
        <f>HOUR(CallLog[[#This Row],[Time]])</f>
        <v>15</v>
      </c>
      <c r="H442" t="s">
        <v>29</v>
      </c>
      <c r="I442" t="s">
        <v>14</v>
      </c>
      <c r="J442" t="s">
        <v>14</v>
      </c>
      <c r="K442">
        <v>92</v>
      </c>
      <c r="L442" t="str">
        <f>IF(AND(CallLog[[#This Row],[Answered (Y/N)]]="Y", CallLog[[#This Row],[Speed of answer in seconds]]&lt;=20),
    "Within",
    "Breach")</f>
        <v>Breach</v>
      </c>
      <c r="M442" s="1">
        <v>6.134259259259259E-4</v>
      </c>
      <c r="N442">
        <v>3</v>
      </c>
    </row>
    <row r="443" spans="1:14" x14ac:dyDescent="0.3">
      <c r="A443" t="s">
        <v>474</v>
      </c>
      <c r="B443" t="s">
        <v>47</v>
      </c>
      <c r="C443" t="s">
        <v>431</v>
      </c>
      <c r="D443" s="1">
        <v>0.6629976851851852</v>
      </c>
      <c r="E443" s="2">
        <f>CallLog[[#This Row],[Date]]+CallLog[[#This Row],[Time]]</f>
        <v>44204.662997685184</v>
      </c>
      <c r="F443" s="1" t="str">
        <f>TEXT(CallLog[[#This Row],[Date]],"dddd")</f>
        <v>Friday</v>
      </c>
      <c r="G443" s="3">
        <f>HOUR(CallLog[[#This Row],[Time]])</f>
        <v>15</v>
      </c>
      <c r="H443" t="s">
        <v>13</v>
      </c>
      <c r="I443" t="s">
        <v>14</v>
      </c>
      <c r="J443" t="s">
        <v>14</v>
      </c>
      <c r="K443">
        <v>118</v>
      </c>
      <c r="L443" t="str">
        <f>IF(AND(CallLog[[#This Row],[Answered (Y/N)]]="Y", CallLog[[#This Row],[Speed of answer in seconds]]&lt;=20),
    "Within",
    "Breach")</f>
        <v>Breach</v>
      </c>
      <c r="M443" s="1">
        <v>1.1342592592592593E-3</v>
      </c>
      <c r="N443">
        <v>5</v>
      </c>
    </row>
    <row r="444" spans="1:14" x14ac:dyDescent="0.3">
      <c r="A444" t="s">
        <v>475</v>
      </c>
      <c r="B444" t="s">
        <v>47</v>
      </c>
      <c r="C444" t="s">
        <v>431</v>
      </c>
      <c r="D444" s="1">
        <v>0.69299768518518523</v>
      </c>
      <c r="E444" s="2">
        <f>CallLog[[#This Row],[Date]]+CallLog[[#This Row],[Time]]</f>
        <v>44204.692997685182</v>
      </c>
      <c r="F444" s="1" t="str">
        <f>TEXT(CallLog[[#This Row],[Date]],"dddd")</f>
        <v>Friday</v>
      </c>
      <c r="G444" s="3">
        <f>HOUR(CallLog[[#This Row],[Time]])</f>
        <v>16</v>
      </c>
      <c r="H444" t="s">
        <v>32</v>
      </c>
      <c r="I444" t="s">
        <v>14</v>
      </c>
      <c r="J444" t="s">
        <v>14</v>
      </c>
      <c r="K444">
        <v>82</v>
      </c>
      <c r="L444" t="str">
        <f>IF(AND(CallLog[[#This Row],[Answered (Y/N)]]="Y", CallLog[[#This Row],[Speed of answer in seconds]]&lt;=20),
    "Within",
    "Breach")</f>
        <v>Breach</v>
      </c>
      <c r="M444" s="1">
        <v>3.9699074074074072E-3</v>
      </c>
      <c r="N444">
        <v>3</v>
      </c>
    </row>
    <row r="445" spans="1:14" x14ac:dyDescent="0.3">
      <c r="A445" t="s">
        <v>476</v>
      </c>
      <c r="B445" t="s">
        <v>47</v>
      </c>
      <c r="C445" t="s">
        <v>431</v>
      </c>
      <c r="D445" s="1">
        <v>0.69299768518518523</v>
      </c>
      <c r="E445" s="2">
        <f>CallLog[[#This Row],[Date]]+CallLog[[#This Row],[Time]]</f>
        <v>44204.692997685182</v>
      </c>
      <c r="F445" s="1" t="str">
        <f>TEXT(CallLog[[#This Row],[Date]],"dddd")</f>
        <v>Friday</v>
      </c>
      <c r="G445" s="3">
        <f>HOUR(CallLog[[#This Row],[Time]])</f>
        <v>16</v>
      </c>
      <c r="H445" t="s">
        <v>32</v>
      </c>
      <c r="I445" t="s">
        <v>14</v>
      </c>
      <c r="J445" t="s">
        <v>14</v>
      </c>
      <c r="K445">
        <v>83</v>
      </c>
      <c r="L445" t="str">
        <f>IF(AND(CallLog[[#This Row],[Answered (Y/N)]]="Y", CallLog[[#This Row],[Speed of answer in seconds]]&lt;=20),
    "Within",
    "Breach")</f>
        <v>Breach</v>
      </c>
      <c r="M445" s="1">
        <v>9.2592592592592596E-4</v>
      </c>
      <c r="N445">
        <v>3</v>
      </c>
    </row>
    <row r="446" spans="1:14" x14ac:dyDescent="0.3">
      <c r="A446" t="s">
        <v>477</v>
      </c>
      <c r="B446" t="s">
        <v>31</v>
      </c>
      <c r="C446" t="s">
        <v>431</v>
      </c>
      <c r="D446" s="1">
        <v>0.75</v>
      </c>
      <c r="E446" s="2">
        <f>CallLog[[#This Row],[Date]]+CallLog[[#This Row],[Time]]</f>
        <v>44204.75</v>
      </c>
      <c r="F446" s="1" t="str">
        <f>TEXT(CallLog[[#This Row],[Date]],"dddd")</f>
        <v>Friday</v>
      </c>
      <c r="G446" s="3">
        <f>HOUR(CallLog[[#This Row],[Time]])</f>
        <v>18</v>
      </c>
      <c r="H446" t="s">
        <v>24</v>
      </c>
      <c r="I446" t="s">
        <v>14</v>
      </c>
      <c r="J446" t="s">
        <v>14</v>
      </c>
      <c r="K446">
        <v>78</v>
      </c>
      <c r="L446" t="str">
        <f>IF(AND(CallLog[[#This Row],[Answered (Y/N)]]="Y", CallLog[[#This Row],[Speed of answer in seconds]]&lt;=20),
    "Within",
    "Breach")</f>
        <v>Breach</v>
      </c>
      <c r="M446" s="1">
        <v>3.6226851851851854E-3</v>
      </c>
      <c r="N446">
        <v>2</v>
      </c>
    </row>
    <row r="447" spans="1:14" x14ac:dyDescent="0.3">
      <c r="A447" t="s">
        <v>478</v>
      </c>
      <c r="B447" t="s">
        <v>11</v>
      </c>
      <c r="C447" t="s">
        <v>431</v>
      </c>
      <c r="D447" s="1">
        <v>0.75</v>
      </c>
      <c r="E447" s="2">
        <f>CallLog[[#This Row],[Date]]+CallLog[[#This Row],[Time]]</f>
        <v>44204.75</v>
      </c>
      <c r="F447" s="1" t="str">
        <f>TEXT(CallLog[[#This Row],[Date]],"dddd")</f>
        <v>Friday</v>
      </c>
      <c r="G447" s="3">
        <f>HOUR(CallLog[[#This Row],[Time]])</f>
        <v>18</v>
      </c>
      <c r="H447" t="s">
        <v>24</v>
      </c>
      <c r="I447" t="s">
        <v>14</v>
      </c>
      <c r="J447" t="s">
        <v>18</v>
      </c>
      <c r="K447">
        <v>111</v>
      </c>
      <c r="L447" t="str">
        <f>IF(AND(CallLog[[#This Row],[Answered (Y/N)]]="Y", CallLog[[#This Row],[Speed of answer in seconds]]&lt;=20),
    "Within",
    "Breach")</f>
        <v>Breach</v>
      </c>
      <c r="M447" s="1">
        <v>3.6342592592592594E-3</v>
      </c>
      <c r="N447">
        <v>5</v>
      </c>
    </row>
    <row r="448" spans="1:14" x14ac:dyDescent="0.3">
      <c r="A448" t="s">
        <v>479</v>
      </c>
      <c r="B448" t="s">
        <v>31</v>
      </c>
      <c r="C448" t="s">
        <v>480</v>
      </c>
      <c r="D448" s="1">
        <v>0.38</v>
      </c>
      <c r="E448" s="2">
        <f>CallLog[[#This Row],[Date]]+CallLog[[#This Row],[Time]]</f>
        <v>44205.38</v>
      </c>
      <c r="F448" s="1" t="str">
        <f>TEXT(CallLog[[#This Row],[Date]],"dddd")</f>
        <v>Saturday</v>
      </c>
      <c r="G448" s="3">
        <f>HOUR(CallLog[[#This Row],[Time]])</f>
        <v>9</v>
      </c>
      <c r="H448" t="s">
        <v>13</v>
      </c>
      <c r="I448" t="s">
        <v>14</v>
      </c>
      <c r="J448" t="s">
        <v>14</v>
      </c>
      <c r="K448">
        <v>107</v>
      </c>
      <c r="L448" t="str">
        <f>IF(AND(CallLog[[#This Row],[Answered (Y/N)]]="Y", CallLog[[#This Row],[Speed of answer in seconds]]&lt;=20),
    "Within",
    "Breach")</f>
        <v>Breach</v>
      </c>
      <c r="M448" s="1">
        <v>3.7268518518518519E-3</v>
      </c>
      <c r="N448">
        <v>4</v>
      </c>
    </row>
    <row r="449" spans="1:14" x14ac:dyDescent="0.3">
      <c r="A449" t="s">
        <v>481</v>
      </c>
      <c r="B449" t="s">
        <v>38</v>
      </c>
      <c r="C449" t="s">
        <v>480</v>
      </c>
      <c r="D449" s="1">
        <v>0.38</v>
      </c>
      <c r="E449" s="2">
        <f>CallLog[[#This Row],[Date]]+CallLog[[#This Row],[Time]]</f>
        <v>44205.38</v>
      </c>
      <c r="F449" s="1" t="str">
        <f>TEXT(CallLog[[#This Row],[Date]],"dddd")</f>
        <v>Saturday</v>
      </c>
      <c r="G449" s="3">
        <f>HOUR(CallLog[[#This Row],[Time]])</f>
        <v>9</v>
      </c>
      <c r="H449" t="s">
        <v>32</v>
      </c>
      <c r="I449" t="s">
        <v>14</v>
      </c>
      <c r="J449" t="s">
        <v>14</v>
      </c>
      <c r="K449">
        <v>108</v>
      </c>
      <c r="L449" t="str">
        <f>IF(AND(CallLog[[#This Row],[Answered (Y/N)]]="Y", CallLog[[#This Row],[Speed of answer in seconds]]&lt;=20),
    "Within",
    "Breach")</f>
        <v>Breach</v>
      </c>
      <c r="M449" s="1">
        <v>2.8124999999999999E-3</v>
      </c>
      <c r="N449">
        <v>2</v>
      </c>
    </row>
    <row r="450" spans="1:14" x14ac:dyDescent="0.3">
      <c r="A450" t="s">
        <v>482</v>
      </c>
      <c r="B450" t="s">
        <v>22</v>
      </c>
      <c r="C450" t="s">
        <v>480</v>
      </c>
      <c r="D450" s="1">
        <v>0.39200231481481479</v>
      </c>
      <c r="E450" s="2">
        <f>CallLog[[#This Row],[Date]]+CallLog[[#This Row],[Time]]</f>
        <v>44205.392002314817</v>
      </c>
      <c r="F450" s="1" t="str">
        <f>TEXT(CallLog[[#This Row],[Date]],"dddd")</f>
        <v>Saturday</v>
      </c>
      <c r="G450" s="3">
        <f>HOUR(CallLog[[#This Row],[Time]])</f>
        <v>9</v>
      </c>
      <c r="H450" t="s">
        <v>24</v>
      </c>
      <c r="I450" t="s">
        <v>14</v>
      </c>
      <c r="J450" t="s">
        <v>14</v>
      </c>
      <c r="K450">
        <v>97</v>
      </c>
      <c r="L450" t="str">
        <f>IF(AND(CallLog[[#This Row],[Answered (Y/N)]]="Y", CallLog[[#This Row],[Speed of answer in seconds]]&lt;=20),
    "Within",
    "Breach")</f>
        <v>Breach</v>
      </c>
      <c r="M450" s="1">
        <v>1.8402777777777777E-3</v>
      </c>
      <c r="N450">
        <v>5</v>
      </c>
    </row>
    <row r="451" spans="1:14" x14ac:dyDescent="0.3">
      <c r="A451" t="s">
        <v>483</v>
      </c>
      <c r="B451" t="s">
        <v>47</v>
      </c>
      <c r="C451" t="s">
        <v>480</v>
      </c>
      <c r="D451" s="1">
        <v>0.39200231481481479</v>
      </c>
      <c r="E451" s="2">
        <f>CallLog[[#This Row],[Date]]+CallLog[[#This Row],[Time]]</f>
        <v>44205.392002314817</v>
      </c>
      <c r="F451" s="1" t="str">
        <f>TEXT(CallLog[[#This Row],[Date]],"dddd")</f>
        <v>Saturday</v>
      </c>
      <c r="G451" s="3">
        <f>HOUR(CallLog[[#This Row],[Time]])</f>
        <v>9</v>
      </c>
      <c r="H451" t="s">
        <v>32</v>
      </c>
      <c r="I451" t="s">
        <v>14</v>
      </c>
      <c r="J451" t="s">
        <v>14</v>
      </c>
      <c r="K451">
        <v>31</v>
      </c>
      <c r="L451" t="str">
        <f>IF(AND(CallLog[[#This Row],[Answered (Y/N)]]="Y", CallLog[[#This Row],[Speed of answer in seconds]]&lt;=20),
    "Within",
    "Breach")</f>
        <v>Breach</v>
      </c>
      <c r="M451" s="1">
        <v>4.3981481481481484E-3</v>
      </c>
      <c r="N451">
        <v>5</v>
      </c>
    </row>
    <row r="452" spans="1:14" x14ac:dyDescent="0.3">
      <c r="A452" t="s">
        <v>484</v>
      </c>
      <c r="B452" t="s">
        <v>38</v>
      </c>
      <c r="C452" t="s">
        <v>480</v>
      </c>
      <c r="D452" s="1">
        <v>0.39900462962962963</v>
      </c>
      <c r="E452" s="2">
        <f>CallLog[[#This Row],[Date]]+CallLog[[#This Row],[Time]]</f>
        <v>44205.399004629631</v>
      </c>
      <c r="F452" s="1" t="str">
        <f>TEXT(CallLog[[#This Row],[Date]],"dddd")</f>
        <v>Saturday</v>
      </c>
      <c r="G452" s="3">
        <f>HOUR(CallLog[[#This Row],[Time]])</f>
        <v>9</v>
      </c>
      <c r="H452" t="s">
        <v>24</v>
      </c>
      <c r="I452" t="s">
        <v>14</v>
      </c>
      <c r="J452" t="s">
        <v>14</v>
      </c>
      <c r="K452">
        <v>20</v>
      </c>
      <c r="L452" t="str">
        <f>IF(AND(CallLog[[#This Row],[Answered (Y/N)]]="Y", CallLog[[#This Row],[Speed of answer in seconds]]&lt;=20),
    "Within",
    "Breach")</f>
        <v>Within</v>
      </c>
      <c r="M452" s="1">
        <v>1.261574074074074E-3</v>
      </c>
      <c r="N452">
        <v>4</v>
      </c>
    </row>
    <row r="453" spans="1:14" x14ac:dyDescent="0.3">
      <c r="A453" t="s">
        <v>485</v>
      </c>
      <c r="B453" t="s">
        <v>31</v>
      </c>
      <c r="C453" t="s">
        <v>480</v>
      </c>
      <c r="D453" s="1">
        <v>0.39900462962962963</v>
      </c>
      <c r="E453" s="2">
        <f>CallLog[[#This Row],[Date]]+CallLog[[#This Row],[Time]]</f>
        <v>44205.399004629631</v>
      </c>
      <c r="F453" s="1" t="str">
        <f>TEXT(CallLog[[#This Row],[Date]],"dddd")</f>
        <v>Saturday</v>
      </c>
      <c r="G453" s="3">
        <f>HOUR(CallLog[[#This Row],[Time]])</f>
        <v>9</v>
      </c>
      <c r="H453" t="s">
        <v>29</v>
      </c>
      <c r="I453" t="s">
        <v>14</v>
      </c>
      <c r="J453" t="s">
        <v>14</v>
      </c>
      <c r="K453">
        <v>110</v>
      </c>
      <c r="L453" t="str">
        <f>IF(AND(CallLog[[#This Row],[Answered (Y/N)]]="Y", CallLog[[#This Row],[Speed of answer in seconds]]&lt;=20),
    "Within",
    "Breach")</f>
        <v>Breach</v>
      </c>
      <c r="M453" s="1">
        <v>4.7800925925925927E-3</v>
      </c>
      <c r="N453">
        <v>3</v>
      </c>
    </row>
    <row r="454" spans="1:14" x14ac:dyDescent="0.3">
      <c r="A454" t="s">
        <v>486</v>
      </c>
      <c r="B454" t="s">
        <v>47</v>
      </c>
      <c r="C454" t="s">
        <v>480</v>
      </c>
      <c r="D454" s="1">
        <v>0.43200231481481483</v>
      </c>
      <c r="E454" s="2">
        <f>CallLog[[#This Row],[Date]]+CallLog[[#This Row],[Time]]</f>
        <v>44205.432002314818</v>
      </c>
      <c r="F454" s="1" t="str">
        <f>TEXT(CallLog[[#This Row],[Date]],"dddd")</f>
        <v>Saturday</v>
      </c>
      <c r="G454" s="3">
        <f>HOUR(CallLog[[#This Row],[Time]])</f>
        <v>10</v>
      </c>
      <c r="H454" t="s">
        <v>17</v>
      </c>
      <c r="I454" t="s">
        <v>14</v>
      </c>
      <c r="J454" t="s">
        <v>14</v>
      </c>
      <c r="K454">
        <v>86</v>
      </c>
      <c r="L454" t="str">
        <f>IF(AND(CallLog[[#This Row],[Answered (Y/N)]]="Y", CallLog[[#This Row],[Speed of answer in seconds]]&lt;=20),
    "Within",
    "Breach")</f>
        <v>Breach</v>
      </c>
      <c r="M454" s="1">
        <v>3.4953703703703705E-3</v>
      </c>
      <c r="N454">
        <v>5</v>
      </c>
    </row>
    <row r="455" spans="1:14" x14ac:dyDescent="0.3">
      <c r="A455" t="s">
        <v>487</v>
      </c>
      <c r="B455" t="s">
        <v>16</v>
      </c>
      <c r="C455" t="s">
        <v>480</v>
      </c>
      <c r="D455" s="1">
        <v>0.43200231481481483</v>
      </c>
      <c r="E455" s="2">
        <f>CallLog[[#This Row],[Date]]+CallLog[[#This Row],[Time]]</f>
        <v>44205.432002314818</v>
      </c>
      <c r="F455" s="1" t="str">
        <f>TEXT(CallLog[[#This Row],[Date]],"dddd")</f>
        <v>Saturday</v>
      </c>
      <c r="G455" s="3">
        <f>HOUR(CallLog[[#This Row],[Time]])</f>
        <v>10</v>
      </c>
      <c r="H455" t="s">
        <v>32</v>
      </c>
      <c r="I455" t="s">
        <v>14</v>
      </c>
      <c r="J455" t="s">
        <v>14</v>
      </c>
      <c r="K455">
        <v>77</v>
      </c>
      <c r="L455" t="str">
        <f>IF(AND(CallLog[[#This Row],[Answered (Y/N)]]="Y", CallLog[[#This Row],[Speed of answer in seconds]]&lt;=20),
    "Within",
    "Breach")</f>
        <v>Breach</v>
      </c>
      <c r="M455" s="1">
        <v>1.5162037037037036E-3</v>
      </c>
      <c r="N455">
        <v>4</v>
      </c>
    </row>
    <row r="456" spans="1:14" x14ac:dyDescent="0.3">
      <c r="A456" t="s">
        <v>488</v>
      </c>
      <c r="B456" t="s">
        <v>11</v>
      </c>
      <c r="C456" t="s">
        <v>480</v>
      </c>
      <c r="D456" s="1">
        <v>0.43700231481481483</v>
      </c>
      <c r="E456" s="2">
        <f>CallLog[[#This Row],[Date]]+CallLog[[#This Row],[Time]]</f>
        <v>44205.437002314815</v>
      </c>
      <c r="F456" s="1" t="str">
        <f>TEXT(CallLog[[#This Row],[Date]],"dddd")</f>
        <v>Saturday</v>
      </c>
      <c r="G456" s="3">
        <f>HOUR(CallLog[[#This Row],[Time]])</f>
        <v>10</v>
      </c>
      <c r="H456" t="s">
        <v>32</v>
      </c>
      <c r="I456" t="s">
        <v>14</v>
      </c>
      <c r="J456" t="s">
        <v>14</v>
      </c>
      <c r="K456">
        <v>119</v>
      </c>
      <c r="L456" t="str">
        <f>IF(AND(CallLog[[#This Row],[Answered (Y/N)]]="Y", CallLog[[#This Row],[Speed of answer in seconds]]&lt;=20),
    "Within",
    "Breach")</f>
        <v>Breach</v>
      </c>
      <c r="M456" s="1">
        <v>4.7106481481481478E-3</v>
      </c>
      <c r="N456">
        <v>3</v>
      </c>
    </row>
    <row r="457" spans="1:14" x14ac:dyDescent="0.3">
      <c r="A457" t="s">
        <v>489</v>
      </c>
      <c r="B457" t="s">
        <v>38</v>
      </c>
      <c r="C457" t="s">
        <v>480</v>
      </c>
      <c r="D457" s="1">
        <v>0.43700231481481483</v>
      </c>
      <c r="E457" s="2">
        <f>CallLog[[#This Row],[Date]]+CallLog[[#This Row],[Time]]</f>
        <v>44205.437002314815</v>
      </c>
      <c r="F457" s="1" t="str">
        <f>TEXT(CallLog[[#This Row],[Date]],"dddd")</f>
        <v>Saturday</v>
      </c>
      <c r="G457" s="3">
        <f>HOUR(CallLog[[#This Row],[Time]])</f>
        <v>10</v>
      </c>
      <c r="H457" t="s">
        <v>29</v>
      </c>
      <c r="I457" t="s">
        <v>18</v>
      </c>
      <c r="J457" t="s">
        <v>18</v>
      </c>
      <c r="L457" t="str">
        <f>IF(AND(CallLog[[#This Row],[Answered (Y/N)]]="Y", CallLog[[#This Row],[Speed of answer in seconds]]&lt;=20),
    "Within",
    "Breach")</f>
        <v>Breach</v>
      </c>
    </row>
    <row r="458" spans="1:14" x14ac:dyDescent="0.3">
      <c r="A458" t="s">
        <v>490</v>
      </c>
      <c r="B458" t="s">
        <v>31</v>
      </c>
      <c r="C458" t="s">
        <v>480</v>
      </c>
      <c r="D458" s="1">
        <v>0.43900462962962961</v>
      </c>
      <c r="E458" s="2">
        <f>CallLog[[#This Row],[Date]]+CallLog[[#This Row],[Time]]</f>
        <v>44205.439004629632</v>
      </c>
      <c r="F458" s="1" t="str">
        <f>TEXT(CallLog[[#This Row],[Date]],"dddd")</f>
        <v>Saturday</v>
      </c>
      <c r="G458" s="3">
        <f>HOUR(CallLog[[#This Row],[Time]])</f>
        <v>10</v>
      </c>
      <c r="H458" t="s">
        <v>17</v>
      </c>
      <c r="I458" t="s">
        <v>14</v>
      </c>
      <c r="J458" t="s">
        <v>14</v>
      </c>
      <c r="K458">
        <v>13</v>
      </c>
      <c r="L458" t="str">
        <f>IF(AND(CallLog[[#This Row],[Answered (Y/N)]]="Y", CallLog[[#This Row],[Speed of answer in seconds]]&lt;=20),
    "Within",
    "Breach")</f>
        <v>Within</v>
      </c>
      <c r="M458" s="1">
        <v>2.1527777777777778E-3</v>
      </c>
      <c r="N458">
        <v>3</v>
      </c>
    </row>
    <row r="459" spans="1:14" x14ac:dyDescent="0.3">
      <c r="A459" t="s">
        <v>491</v>
      </c>
      <c r="B459" t="s">
        <v>20</v>
      </c>
      <c r="C459" t="s">
        <v>480</v>
      </c>
      <c r="D459" s="1">
        <v>0.43900462962962961</v>
      </c>
      <c r="E459" s="2">
        <f>CallLog[[#This Row],[Date]]+CallLog[[#This Row],[Time]]</f>
        <v>44205.439004629632</v>
      </c>
      <c r="F459" s="1" t="str">
        <f>TEXT(CallLog[[#This Row],[Date]],"dddd")</f>
        <v>Saturday</v>
      </c>
      <c r="G459" s="3">
        <f>HOUR(CallLog[[#This Row],[Time]])</f>
        <v>10</v>
      </c>
      <c r="H459" t="s">
        <v>24</v>
      </c>
      <c r="I459" t="s">
        <v>14</v>
      </c>
      <c r="J459" t="s">
        <v>14</v>
      </c>
      <c r="K459">
        <v>106</v>
      </c>
      <c r="L459" t="str">
        <f>IF(AND(CallLog[[#This Row],[Answered (Y/N)]]="Y", CallLog[[#This Row],[Speed of answer in seconds]]&lt;=20),
    "Within",
    "Breach")</f>
        <v>Breach</v>
      </c>
      <c r="M459" s="1">
        <v>1.7013888888888888E-3</v>
      </c>
      <c r="N459">
        <v>5</v>
      </c>
    </row>
    <row r="460" spans="1:14" x14ac:dyDescent="0.3">
      <c r="A460" t="s">
        <v>492</v>
      </c>
      <c r="B460" t="s">
        <v>34</v>
      </c>
      <c r="C460" t="s">
        <v>480</v>
      </c>
      <c r="D460" s="1">
        <v>0.45700231481481479</v>
      </c>
      <c r="E460" s="2">
        <f>CallLog[[#This Row],[Date]]+CallLog[[#This Row],[Time]]</f>
        <v>44205.457002314812</v>
      </c>
      <c r="F460" s="1" t="str">
        <f>TEXT(CallLog[[#This Row],[Date]],"dddd")</f>
        <v>Saturday</v>
      </c>
      <c r="G460" s="3">
        <f>HOUR(CallLog[[#This Row],[Time]])</f>
        <v>10</v>
      </c>
      <c r="H460" t="s">
        <v>24</v>
      </c>
      <c r="I460" t="s">
        <v>14</v>
      </c>
      <c r="J460" t="s">
        <v>14</v>
      </c>
      <c r="K460">
        <v>35</v>
      </c>
      <c r="L460" t="str">
        <f>IF(AND(CallLog[[#This Row],[Answered (Y/N)]]="Y", CallLog[[#This Row],[Speed of answer in seconds]]&lt;=20),
    "Within",
    "Breach")</f>
        <v>Breach</v>
      </c>
      <c r="M460" s="1">
        <v>3.7615740740740739E-3</v>
      </c>
      <c r="N460">
        <v>3</v>
      </c>
    </row>
    <row r="461" spans="1:14" x14ac:dyDescent="0.3">
      <c r="A461" t="s">
        <v>493</v>
      </c>
      <c r="B461" t="s">
        <v>38</v>
      </c>
      <c r="C461" t="s">
        <v>480</v>
      </c>
      <c r="D461" s="1">
        <v>0.45700231481481479</v>
      </c>
      <c r="E461" s="2">
        <f>CallLog[[#This Row],[Date]]+CallLog[[#This Row],[Time]]</f>
        <v>44205.457002314812</v>
      </c>
      <c r="F461" s="1" t="str">
        <f>TEXT(CallLog[[#This Row],[Date]],"dddd")</f>
        <v>Saturday</v>
      </c>
      <c r="G461" s="3">
        <f>HOUR(CallLog[[#This Row],[Time]])</f>
        <v>10</v>
      </c>
      <c r="H461" t="s">
        <v>13</v>
      </c>
      <c r="I461" t="s">
        <v>14</v>
      </c>
      <c r="J461" t="s">
        <v>18</v>
      </c>
      <c r="K461">
        <v>46</v>
      </c>
      <c r="L461" t="str">
        <f>IF(AND(CallLog[[#This Row],[Answered (Y/N)]]="Y", CallLog[[#This Row],[Speed of answer in seconds]]&lt;=20),
    "Within",
    "Breach")</f>
        <v>Breach</v>
      </c>
      <c r="M461" s="1">
        <v>3.7384259259259259E-3</v>
      </c>
      <c r="N461">
        <v>3</v>
      </c>
    </row>
    <row r="462" spans="1:14" x14ac:dyDescent="0.3">
      <c r="A462" t="s">
        <v>494</v>
      </c>
      <c r="B462" t="s">
        <v>20</v>
      </c>
      <c r="C462" t="s">
        <v>480</v>
      </c>
      <c r="D462" s="1">
        <v>0.4620023148148148</v>
      </c>
      <c r="E462" s="2">
        <f>CallLog[[#This Row],[Date]]+CallLog[[#This Row],[Time]]</f>
        <v>44205.462002314816</v>
      </c>
      <c r="F462" s="1" t="str">
        <f>TEXT(CallLog[[#This Row],[Date]],"dddd")</f>
        <v>Saturday</v>
      </c>
      <c r="G462" s="3">
        <f>HOUR(CallLog[[#This Row],[Time]])</f>
        <v>11</v>
      </c>
      <c r="H462" t="s">
        <v>29</v>
      </c>
      <c r="I462" t="s">
        <v>14</v>
      </c>
      <c r="J462" t="s">
        <v>18</v>
      </c>
      <c r="K462">
        <v>24</v>
      </c>
      <c r="L462" t="str">
        <f>IF(AND(CallLog[[#This Row],[Answered (Y/N)]]="Y", CallLog[[#This Row],[Speed of answer in seconds]]&lt;=20),
    "Within",
    "Breach")</f>
        <v>Breach</v>
      </c>
      <c r="M462" s="1">
        <v>4.340277777777778E-3</v>
      </c>
      <c r="N462">
        <v>3</v>
      </c>
    </row>
    <row r="463" spans="1:14" x14ac:dyDescent="0.3">
      <c r="A463" t="s">
        <v>495</v>
      </c>
      <c r="B463" t="s">
        <v>20</v>
      </c>
      <c r="C463" t="s">
        <v>480</v>
      </c>
      <c r="D463" s="1">
        <v>0.4620023148148148</v>
      </c>
      <c r="E463" s="2">
        <f>CallLog[[#This Row],[Date]]+CallLog[[#This Row],[Time]]</f>
        <v>44205.462002314816</v>
      </c>
      <c r="F463" s="1" t="str">
        <f>TEXT(CallLog[[#This Row],[Date]],"dddd")</f>
        <v>Saturday</v>
      </c>
      <c r="G463" s="3">
        <f>HOUR(CallLog[[#This Row],[Time]])</f>
        <v>11</v>
      </c>
      <c r="H463" t="s">
        <v>32</v>
      </c>
      <c r="I463" t="s">
        <v>14</v>
      </c>
      <c r="J463" t="s">
        <v>14</v>
      </c>
      <c r="K463">
        <v>88</v>
      </c>
      <c r="L463" t="str">
        <f>IF(AND(CallLog[[#This Row],[Answered (Y/N)]]="Y", CallLog[[#This Row],[Speed of answer in seconds]]&lt;=20),
    "Within",
    "Breach")</f>
        <v>Breach</v>
      </c>
      <c r="M463" s="1">
        <v>4.5486111111111109E-3</v>
      </c>
      <c r="N463">
        <v>5</v>
      </c>
    </row>
    <row r="464" spans="1:14" x14ac:dyDescent="0.3">
      <c r="A464" t="s">
        <v>496</v>
      </c>
      <c r="B464" t="s">
        <v>34</v>
      </c>
      <c r="C464" t="s">
        <v>480</v>
      </c>
      <c r="D464" s="1">
        <v>0.46599537037037037</v>
      </c>
      <c r="E464" s="2">
        <f>CallLog[[#This Row],[Date]]+CallLog[[#This Row],[Time]]</f>
        <v>44205.465995370374</v>
      </c>
      <c r="F464" s="1" t="str">
        <f>TEXT(CallLog[[#This Row],[Date]],"dddd")</f>
        <v>Saturday</v>
      </c>
      <c r="G464" s="3">
        <f>HOUR(CallLog[[#This Row],[Time]])</f>
        <v>11</v>
      </c>
      <c r="H464" t="s">
        <v>29</v>
      </c>
      <c r="I464" t="s">
        <v>14</v>
      </c>
      <c r="J464" t="s">
        <v>14</v>
      </c>
      <c r="K464">
        <v>81</v>
      </c>
      <c r="L464" t="str">
        <f>IF(AND(CallLog[[#This Row],[Answered (Y/N)]]="Y", CallLog[[#This Row],[Speed of answer in seconds]]&lt;=20),
    "Within",
    "Breach")</f>
        <v>Breach</v>
      </c>
      <c r="M464" s="1">
        <v>1.8749999999999999E-3</v>
      </c>
      <c r="N464">
        <v>3</v>
      </c>
    </row>
    <row r="465" spans="1:14" x14ac:dyDescent="0.3">
      <c r="A465" t="s">
        <v>497</v>
      </c>
      <c r="B465" t="s">
        <v>31</v>
      </c>
      <c r="C465" t="s">
        <v>480</v>
      </c>
      <c r="D465" s="1">
        <v>0.46599537037037037</v>
      </c>
      <c r="E465" s="2">
        <f>CallLog[[#This Row],[Date]]+CallLog[[#This Row],[Time]]</f>
        <v>44205.465995370374</v>
      </c>
      <c r="F465" s="1" t="str">
        <f>TEXT(CallLog[[#This Row],[Date]],"dddd")</f>
        <v>Saturday</v>
      </c>
      <c r="G465" s="3">
        <f>HOUR(CallLog[[#This Row],[Time]])</f>
        <v>11</v>
      </c>
      <c r="H465" t="s">
        <v>24</v>
      </c>
      <c r="I465" t="s">
        <v>14</v>
      </c>
      <c r="J465" t="s">
        <v>14</v>
      </c>
      <c r="K465">
        <v>96</v>
      </c>
      <c r="L465" t="str">
        <f>IF(AND(CallLog[[#This Row],[Answered (Y/N)]]="Y", CallLog[[#This Row],[Speed of answer in seconds]]&lt;=20),
    "Within",
    "Breach")</f>
        <v>Breach</v>
      </c>
      <c r="M465" s="1">
        <v>3.1597222222222222E-3</v>
      </c>
      <c r="N465">
        <v>3</v>
      </c>
    </row>
    <row r="466" spans="1:14" x14ac:dyDescent="0.3">
      <c r="A466" t="s">
        <v>498</v>
      </c>
      <c r="B466" t="s">
        <v>16</v>
      </c>
      <c r="C466" t="s">
        <v>480</v>
      </c>
      <c r="D466" s="1">
        <v>0.47</v>
      </c>
      <c r="E466" s="2">
        <f>CallLog[[#This Row],[Date]]+CallLog[[#This Row],[Time]]</f>
        <v>44205.47</v>
      </c>
      <c r="F466" s="1" t="str">
        <f>TEXT(CallLog[[#This Row],[Date]],"dddd")</f>
        <v>Saturday</v>
      </c>
      <c r="G466" s="3">
        <f>HOUR(CallLog[[#This Row],[Time]])</f>
        <v>11</v>
      </c>
      <c r="H466" t="s">
        <v>29</v>
      </c>
      <c r="I466" t="s">
        <v>14</v>
      </c>
      <c r="J466" t="s">
        <v>14</v>
      </c>
      <c r="K466">
        <v>46</v>
      </c>
      <c r="L466" t="str">
        <f>IF(AND(CallLog[[#This Row],[Answered (Y/N)]]="Y", CallLog[[#This Row],[Speed of answer in seconds]]&lt;=20),
    "Within",
    "Breach")</f>
        <v>Breach</v>
      </c>
      <c r="M466" s="1">
        <v>4.2245370370370371E-3</v>
      </c>
      <c r="N466">
        <v>3</v>
      </c>
    </row>
    <row r="467" spans="1:14" x14ac:dyDescent="0.3">
      <c r="A467" t="s">
        <v>499</v>
      </c>
      <c r="B467" t="s">
        <v>47</v>
      </c>
      <c r="C467" t="s">
        <v>480</v>
      </c>
      <c r="D467" s="1">
        <v>0.47</v>
      </c>
      <c r="E467" s="2">
        <f>CallLog[[#This Row],[Date]]+CallLog[[#This Row],[Time]]</f>
        <v>44205.47</v>
      </c>
      <c r="F467" s="1" t="str">
        <f>TEXT(CallLog[[#This Row],[Date]],"dddd")</f>
        <v>Saturday</v>
      </c>
      <c r="G467" s="3">
        <f>HOUR(CallLog[[#This Row],[Time]])</f>
        <v>11</v>
      </c>
      <c r="H467" t="s">
        <v>13</v>
      </c>
      <c r="I467" t="s">
        <v>14</v>
      </c>
      <c r="J467" t="s">
        <v>14</v>
      </c>
      <c r="K467">
        <v>25</v>
      </c>
      <c r="L467" t="str">
        <f>IF(AND(CallLog[[#This Row],[Answered (Y/N)]]="Y", CallLog[[#This Row],[Speed of answer in seconds]]&lt;=20),
    "Within",
    "Breach")</f>
        <v>Breach</v>
      </c>
      <c r="M467" s="1">
        <v>1.1574074074074073E-3</v>
      </c>
      <c r="N467">
        <v>4</v>
      </c>
    </row>
    <row r="468" spans="1:14" x14ac:dyDescent="0.3">
      <c r="A468" t="s">
        <v>500</v>
      </c>
      <c r="B468" t="s">
        <v>20</v>
      </c>
      <c r="C468" t="s">
        <v>480</v>
      </c>
      <c r="D468" s="1">
        <v>0.47599537037037037</v>
      </c>
      <c r="E468" s="2">
        <f>CallLog[[#This Row],[Date]]+CallLog[[#This Row],[Time]]</f>
        <v>44205.475995370369</v>
      </c>
      <c r="F468" s="1" t="str">
        <f>TEXT(CallLog[[#This Row],[Date]],"dddd")</f>
        <v>Saturday</v>
      </c>
      <c r="G468" s="3">
        <f>HOUR(CallLog[[#This Row],[Time]])</f>
        <v>11</v>
      </c>
      <c r="H468" t="s">
        <v>29</v>
      </c>
      <c r="I468" t="s">
        <v>14</v>
      </c>
      <c r="J468" t="s">
        <v>14</v>
      </c>
      <c r="K468">
        <v>81</v>
      </c>
      <c r="L468" t="str">
        <f>IF(AND(CallLog[[#This Row],[Answered (Y/N)]]="Y", CallLog[[#This Row],[Speed of answer in seconds]]&lt;=20),
    "Within",
    "Breach")</f>
        <v>Breach</v>
      </c>
      <c r="M468" s="1">
        <v>1.4699074074074074E-3</v>
      </c>
      <c r="N468">
        <v>4</v>
      </c>
    </row>
    <row r="469" spans="1:14" x14ac:dyDescent="0.3">
      <c r="A469" t="s">
        <v>501</v>
      </c>
      <c r="B469" t="s">
        <v>47</v>
      </c>
      <c r="C469" t="s">
        <v>480</v>
      </c>
      <c r="D469" s="1">
        <v>0.47599537037037037</v>
      </c>
      <c r="E469" s="2">
        <f>CallLog[[#This Row],[Date]]+CallLog[[#This Row],[Time]]</f>
        <v>44205.475995370369</v>
      </c>
      <c r="F469" s="1" t="str">
        <f>TEXT(CallLog[[#This Row],[Date]],"dddd")</f>
        <v>Saturday</v>
      </c>
      <c r="G469" s="3">
        <f>HOUR(CallLog[[#This Row],[Time]])</f>
        <v>11</v>
      </c>
      <c r="H469" t="s">
        <v>24</v>
      </c>
      <c r="I469" t="s">
        <v>18</v>
      </c>
      <c r="J469" t="s">
        <v>18</v>
      </c>
      <c r="L469" t="str">
        <f>IF(AND(CallLog[[#This Row],[Answered (Y/N)]]="Y", CallLog[[#This Row],[Speed of answer in seconds]]&lt;=20),
    "Within",
    "Breach")</f>
        <v>Breach</v>
      </c>
    </row>
    <row r="470" spans="1:14" x14ac:dyDescent="0.3">
      <c r="A470" t="s">
        <v>502</v>
      </c>
      <c r="B470" t="s">
        <v>47</v>
      </c>
      <c r="C470" t="s">
        <v>480</v>
      </c>
      <c r="D470" s="1">
        <v>0.49200231481481482</v>
      </c>
      <c r="E470" s="2">
        <f>CallLog[[#This Row],[Date]]+CallLog[[#This Row],[Time]]</f>
        <v>44205.492002314815</v>
      </c>
      <c r="F470" s="1" t="str">
        <f>TEXT(CallLog[[#This Row],[Date]],"dddd")</f>
        <v>Saturday</v>
      </c>
      <c r="G470" s="3">
        <f>HOUR(CallLog[[#This Row],[Time]])</f>
        <v>11</v>
      </c>
      <c r="H470" t="s">
        <v>17</v>
      </c>
      <c r="I470" t="s">
        <v>14</v>
      </c>
      <c r="J470" t="s">
        <v>14</v>
      </c>
      <c r="K470">
        <v>97</v>
      </c>
      <c r="L470" t="str">
        <f>IF(AND(CallLog[[#This Row],[Answered (Y/N)]]="Y", CallLog[[#This Row],[Speed of answer in seconds]]&lt;=20),
    "Within",
    "Breach")</f>
        <v>Breach</v>
      </c>
      <c r="M470" s="1">
        <v>4.7453703703703703E-3</v>
      </c>
      <c r="N470">
        <v>1</v>
      </c>
    </row>
    <row r="471" spans="1:14" x14ac:dyDescent="0.3">
      <c r="A471" t="s">
        <v>503</v>
      </c>
      <c r="B471" t="s">
        <v>38</v>
      </c>
      <c r="C471" t="s">
        <v>480</v>
      </c>
      <c r="D471" s="1">
        <v>0.49200231481481482</v>
      </c>
      <c r="E471" s="2">
        <f>CallLog[[#This Row],[Date]]+CallLog[[#This Row],[Time]]</f>
        <v>44205.492002314815</v>
      </c>
      <c r="F471" s="1" t="str">
        <f>TEXT(CallLog[[#This Row],[Date]],"dddd")</f>
        <v>Saturday</v>
      </c>
      <c r="G471" s="3">
        <f>HOUR(CallLog[[#This Row],[Time]])</f>
        <v>11</v>
      </c>
      <c r="H471" t="s">
        <v>17</v>
      </c>
      <c r="I471" t="s">
        <v>14</v>
      </c>
      <c r="J471" t="s">
        <v>14</v>
      </c>
      <c r="K471">
        <v>116</v>
      </c>
      <c r="L471" t="str">
        <f>IF(AND(CallLog[[#This Row],[Answered (Y/N)]]="Y", CallLog[[#This Row],[Speed of answer in seconds]]&lt;=20),
    "Within",
    "Breach")</f>
        <v>Breach</v>
      </c>
      <c r="M471" s="1">
        <v>2.2685185185185187E-3</v>
      </c>
      <c r="N471">
        <v>5</v>
      </c>
    </row>
    <row r="472" spans="1:14" x14ac:dyDescent="0.3">
      <c r="A472" t="s">
        <v>504</v>
      </c>
      <c r="B472" t="s">
        <v>34</v>
      </c>
      <c r="C472" t="s">
        <v>480</v>
      </c>
      <c r="D472" s="1">
        <v>0.49200231481481482</v>
      </c>
      <c r="E472" s="2">
        <f>CallLog[[#This Row],[Date]]+CallLog[[#This Row],[Time]]</f>
        <v>44205.492002314815</v>
      </c>
      <c r="F472" s="1" t="str">
        <f>TEXT(CallLog[[#This Row],[Date]],"dddd")</f>
        <v>Saturday</v>
      </c>
      <c r="G472" s="3">
        <f>HOUR(CallLog[[#This Row],[Time]])</f>
        <v>11</v>
      </c>
      <c r="H472" t="s">
        <v>24</v>
      </c>
      <c r="I472" t="s">
        <v>18</v>
      </c>
      <c r="J472" t="s">
        <v>18</v>
      </c>
      <c r="L472" t="str">
        <f>IF(AND(CallLog[[#This Row],[Answered (Y/N)]]="Y", CallLog[[#This Row],[Speed of answer in seconds]]&lt;=20),
    "Within",
    "Breach")</f>
        <v>Breach</v>
      </c>
    </row>
    <row r="473" spans="1:14" x14ac:dyDescent="0.3">
      <c r="A473" t="s">
        <v>505</v>
      </c>
      <c r="B473" t="s">
        <v>47</v>
      </c>
      <c r="C473" t="s">
        <v>480</v>
      </c>
      <c r="D473" s="1">
        <v>0.49200231481481482</v>
      </c>
      <c r="E473" s="2">
        <f>CallLog[[#This Row],[Date]]+CallLog[[#This Row],[Time]]</f>
        <v>44205.492002314815</v>
      </c>
      <c r="F473" s="1" t="str">
        <f>TEXT(CallLog[[#This Row],[Date]],"dddd")</f>
        <v>Saturday</v>
      </c>
      <c r="G473" s="3">
        <f>HOUR(CallLog[[#This Row],[Time]])</f>
        <v>11</v>
      </c>
      <c r="H473" t="s">
        <v>29</v>
      </c>
      <c r="I473" t="s">
        <v>18</v>
      </c>
      <c r="J473" t="s">
        <v>18</v>
      </c>
      <c r="L473" t="str">
        <f>IF(AND(CallLog[[#This Row],[Answered (Y/N)]]="Y", CallLog[[#This Row],[Speed of answer in seconds]]&lt;=20),
    "Within",
    "Breach")</f>
        <v>Breach</v>
      </c>
    </row>
    <row r="474" spans="1:14" x14ac:dyDescent="0.3">
      <c r="A474" t="s">
        <v>506</v>
      </c>
      <c r="B474" t="s">
        <v>16</v>
      </c>
      <c r="C474" t="s">
        <v>480</v>
      </c>
      <c r="D474" s="1">
        <v>0.49200231481481482</v>
      </c>
      <c r="E474" s="2">
        <f>CallLog[[#This Row],[Date]]+CallLog[[#This Row],[Time]]</f>
        <v>44205.492002314815</v>
      </c>
      <c r="F474" s="1" t="str">
        <f>TEXT(CallLog[[#This Row],[Date]],"dddd")</f>
        <v>Saturday</v>
      </c>
      <c r="G474" s="3">
        <f>HOUR(CallLog[[#This Row],[Time]])</f>
        <v>11</v>
      </c>
      <c r="H474" t="s">
        <v>24</v>
      </c>
      <c r="I474" t="s">
        <v>14</v>
      </c>
      <c r="J474" t="s">
        <v>14</v>
      </c>
      <c r="K474">
        <v>87</v>
      </c>
      <c r="L474" t="str">
        <f>IF(AND(CallLog[[#This Row],[Answered (Y/N)]]="Y", CallLog[[#This Row],[Speed of answer in seconds]]&lt;=20),
    "Within",
    "Breach")</f>
        <v>Breach</v>
      </c>
      <c r="M474" s="1">
        <v>3.9930555555555552E-3</v>
      </c>
      <c r="N474">
        <v>5</v>
      </c>
    </row>
    <row r="475" spans="1:14" x14ac:dyDescent="0.3">
      <c r="A475" t="s">
        <v>507</v>
      </c>
      <c r="B475" t="s">
        <v>47</v>
      </c>
      <c r="C475" t="s">
        <v>480</v>
      </c>
      <c r="D475" s="1">
        <v>0.49200231481481482</v>
      </c>
      <c r="E475" s="2">
        <f>CallLog[[#This Row],[Date]]+CallLog[[#This Row],[Time]]</f>
        <v>44205.492002314815</v>
      </c>
      <c r="F475" s="1" t="str">
        <f>TEXT(CallLog[[#This Row],[Date]],"dddd")</f>
        <v>Saturday</v>
      </c>
      <c r="G475" s="3">
        <f>HOUR(CallLog[[#This Row],[Time]])</f>
        <v>11</v>
      </c>
      <c r="H475" t="s">
        <v>17</v>
      </c>
      <c r="I475" t="s">
        <v>14</v>
      </c>
      <c r="J475" t="s">
        <v>14</v>
      </c>
      <c r="K475">
        <v>43</v>
      </c>
      <c r="L475" t="str">
        <f>IF(AND(CallLog[[#This Row],[Answered (Y/N)]]="Y", CallLog[[#This Row],[Speed of answer in seconds]]&lt;=20),
    "Within",
    "Breach")</f>
        <v>Breach</v>
      </c>
      <c r="M475" s="1">
        <v>4.0509259259259258E-4</v>
      </c>
      <c r="N475">
        <v>4</v>
      </c>
    </row>
    <row r="476" spans="1:14" x14ac:dyDescent="0.3">
      <c r="A476" t="s">
        <v>508</v>
      </c>
      <c r="B476" t="s">
        <v>22</v>
      </c>
      <c r="C476" t="s">
        <v>480</v>
      </c>
      <c r="D476" s="1">
        <v>0.49700231481481483</v>
      </c>
      <c r="E476" s="2">
        <f>CallLog[[#This Row],[Date]]+CallLog[[#This Row],[Time]]</f>
        <v>44205.497002314813</v>
      </c>
      <c r="F476" s="1" t="str">
        <f>TEXT(CallLog[[#This Row],[Date]],"dddd")</f>
        <v>Saturday</v>
      </c>
      <c r="G476" s="3">
        <f>HOUR(CallLog[[#This Row],[Time]])</f>
        <v>11</v>
      </c>
      <c r="H476" t="s">
        <v>13</v>
      </c>
      <c r="I476" t="s">
        <v>14</v>
      </c>
      <c r="J476" t="s">
        <v>14</v>
      </c>
      <c r="K476">
        <v>102</v>
      </c>
      <c r="L476" t="str">
        <f>IF(AND(CallLog[[#This Row],[Answered (Y/N)]]="Y", CallLog[[#This Row],[Speed of answer in seconds]]&lt;=20),
    "Within",
    "Breach")</f>
        <v>Breach</v>
      </c>
      <c r="M476" s="1">
        <v>3.3333333333333335E-3</v>
      </c>
      <c r="N476">
        <v>3</v>
      </c>
    </row>
    <row r="477" spans="1:14" x14ac:dyDescent="0.3">
      <c r="A477" t="s">
        <v>509</v>
      </c>
      <c r="B477" t="s">
        <v>47</v>
      </c>
      <c r="C477" t="s">
        <v>480</v>
      </c>
      <c r="D477" s="1">
        <v>0.49700231481481483</v>
      </c>
      <c r="E477" s="2">
        <f>CallLog[[#This Row],[Date]]+CallLog[[#This Row],[Time]]</f>
        <v>44205.497002314813</v>
      </c>
      <c r="F477" s="1" t="str">
        <f>TEXT(CallLog[[#This Row],[Date]],"dddd")</f>
        <v>Saturday</v>
      </c>
      <c r="G477" s="3">
        <f>HOUR(CallLog[[#This Row],[Time]])</f>
        <v>11</v>
      </c>
      <c r="H477" t="s">
        <v>24</v>
      </c>
      <c r="I477" t="s">
        <v>14</v>
      </c>
      <c r="J477" t="s">
        <v>14</v>
      </c>
      <c r="K477">
        <v>95</v>
      </c>
      <c r="L477" t="str">
        <f>IF(AND(CallLog[[#This Row],[Answered (Y/N)]]="Y", CallLog[[#This Row],[Speed of answer in seconds]]&lt;=20),
    "Within",
    "Breach")</f>
        <v>Breach</v>
      </c>
      <c r="M477" s="1">
        <v>4.0393518518518521E-3</v>
      </c>
      <c r="N477">
        <v>5</v>
      </c>
    </row>
    <row r="478" spans="1:14" x14ac:dyDescent="0.3">
      <c r="A478" t="s">
        <v>510</v>
      </c>
      <c r="B478" t="s">
        <v>47</v>
      </c>
      <c r="C478" t="s">
        <v>480</v>
      </c>
      <c r="D478" s="1">
        <v>0.52200231481481485</v>
      </c>
      <c r="E478" s="2">
        <f>CallLog[[#This Row],[Date]]+CallLog[[#This Row],[Time]]</f>
        <v>44205.522002314814</v>
      </c>
      <c r="F478" s="1" t="str">
        <f>TEXT(CallLog[[#This Row],[Date]],"dddd")</f>
        <v>Saturday</v>
      </c>
      <c r="G478" s="3">
        <f>HOUR(CallLog[[#This Row],[Time]])</f>
        <v>12</v>
      </c>
      <c r="H478" t="s">
        <v>17</v>
      </c>
      <c r="I478" t="s">
        <v>14</v>
      </c>
      <c r="J478" t="s">
        <v>14</v>
      </c>
      <c r="K478">
        <v>108</v>
      </c>
      <c r="L478" t="str">
        <f>IF(AND(CallLog[[#This Row],[Answered (Y/N)]]="Y", CallLog[[#This Row],[Speed of answer in seconds]]&lt;=20),
    "Within",
    "Breach")</f>
        <v>Breach</v>
      </c>
      <c r="M478" s="1">
        <v>3.2986111111111111E-3</v>
      </c>
      <c r="N478">
        <v>3</v>
      </c>
    </row>
    <row r="479" spans="1:14" x14ac:dyDescent="0.3">
      <c r="A479" t="s">
        <v>511</v>
      </c>
      <c r="B479" t="s">
        <v>47</v>
      </c>
      <c r="C479" t="s">
        <v>480</v>
      </c>
      <c r="D479" s="1">
        <v>0.52200231481481485</v>
      </c>
      <c r="E479" s="2">
        <f>CallLog[[#This Row],[Date]]+CallLog[[#This Row],[Time]]</f>
        <v>44205.522002314814</v>
      </c>
      <c r="F479" s="1" t="str">
        <f>TEXT(CallLog[[#This Row],[Date]],"dddd")</f>
        <v>Saturday</v>
      </c>
      <c r="G479" s="3">
        <f>HOUR(CallLog[[#This Row],[Time]])</f>
        <v>12</v>
      </c>
      <c r="H479" t="s">
        <v>29</v>
      </c>
      <c r="I479" t="s">
        <v>14</v>
      </c>
      <c r="J479" t="s">
        <v>14</v>
      </c>
      <c r="K479">
        <v>80</v>
      </c>
      <c r="L479" t="str">
        <f>IF(AND(CallLog[[#This Row],[Answered (Y/N)]]="Y", CallLog[[#This Row],[Speed of answer in seconds]]&lt;=20),
    "Within",
    "Breach")</f>
        <v>Breach</v>
      </c>
      <c r="M479" s="1">
        <v>1.5162037037037036E-3</v>
      </c>
      <c r="N479">
        <v>4</v>
      </c>
    </row>
    <row r="480" spans="1:14" x14ac:dyDescent="0.3">
      <c r="A480" t="s">
        <v>512</v>
      </c>
      <c r="B480" t="s">
        <v>11</v>
      </c>
      <c r="C480" t="s">
        <v>480</v>
      </c>
      <c r="D480" s="1">
        <v>0.52299768518518519</v>
      </c>
      <c r="E480" s="2">
        <f>CallLog[[#This Row],[Date]]+CallLog[[#This Row],[Time]]</f>
        <v>44205.522997685184</v>
      </c>
      <c r="F480" s="1" t="str">
        <f>TEXT(CallLog[[#This Row],[Date]],"dddd")</f>
        <v>Saturday</v>
      </c>
      <c r="G480" s="3">
        <f>HOUR(CallLog[[#This Row],[Time]])</f>
        <v>12</v>
      </c>
      <c r="H480" t="s">
        <v>24</v>
      </c>
      <c r="I480" t="s">
        <v>14</v>
      </c>
      <c r="J480" t="s">
        <v>14</v>
      </c>
      <c r="K480">
        <v>61</v>
      </c>
      <c r="L480" t="str">
        <f>IF(AND(CallLog[[#This Row],[Answered (Y/N)]]="Y", CallLog[[#This Row],[Speed of answer in seconds]]&lt;=20),
    "Within",
    "Breach")</f>
        <v>Breach</v>
      </c>
      <c r="M480" s="1">
        <v>4.1666666666666669E-4</v>
      </c>
      <c r="N480">
        <v>5</v>
      </c>
    </row>
    <row r="481" spans="1:14" x14ac:dyDescent="0.3">
      <c r="A481" t="s">
        <v>513</v>
      </c>
      <c r="B481" t="s">
        <v>22</v>
      </c>
      <c r="C481" t="s">
        <v>480</v>
      </c>
      <c r="D481" s="1">
        <v>0.52299768518518519</v>
      </c>
      <c r="E481" s="2">
        <f>CallLog[[#This Row],[Date]]+CallLog[[#This Row],[Time]]</f>
        <v>44205.522997685184</v>
      </c>
      <c r="F481" s="1" t="str">
        <f>TEXT(CallLog[[#This Row],[Date]],"dddd")</f>
        <v>Saturday</v>
      </c>
      <c r="G481" s="3">
        <f>HOUR(CallLog[[#This Row],[Time]])</f>
        <v>12</v>
      </c>
      <c r="H481" t="s">
        <v>13</v>
      </c>
      <c r="I481" t="s">
        <v>14</v>
      </c>
      <c r="J481" t="s">
        <v>14</v>
      </c>
      <c r="K481">
        <v>18</v>
      </c>
      <c r="L481" t="str">
        <f>IF(AND(CallLog[[#This Row],[Answered (Y/N)]]="Y", CallLog[[#This Row],[Speed of answer in seconds]]&lt;=20),
    "Within",
    "Breach")</f>
        <v>Within</v>
      </c>
      <c r="M481" s="1">
        <v>3.5300925925925925E-3</v>
      </c>
      <c r="N481">
        <v>5</v>
      </c>
    </row>
    <row r="482" spans="1:14" x14ac:dyDescent="0.3">
      <c r="A482" t="s">
        <v>514</v>
      </c>
      <c r="B482" t="s">
        <v>34</v>
      </c>
      <c r="C482" t="s">
        <v>480</v>
      </c>
      <c r="D482" s="1">
        <v>0.52799768518518519</v>
      </c>
      <c r="E482" s="2">
        <f>CallLog[[#This Row],[Date]]+CallLog[[#This Row],[Time]]</f>
        <v>44205.527997685182</v>
      </c>
      <c r="F482" s="1" t="str">
        <f>TEXT(CallLog[[#This Row],[Date]],"dddd")</f>
        <v>Saturday</v>
      </c>
      <c r="G482" s="3">
        <f>HOUR(CallLog[[#This Row],[Time]])</f>
        <v>12</v>
      </c>
      <c r="H482" t="s">
        <v>24</v>
      </c>
      <c r="I482" t="s">
        <v>18</v>
      </c>
      <c r="J482" t="s">
        <v>18</v>
      </c>
      <c r="L482" t="str">
        <f>IF(AND(CallLog[[#This Row],[Answered (Y/N)]]="Y", CallLog[[#This Row],[Speed of answer in seconds]]&lt;=20),
    "Within",
    "Breach")</f>
        <v>Breach</v>
      </c>
    </row>
    <row r="483" spans="1:14" x14ac:dyDescent="0.3">
      <c r="A483" t="s">
        <v>515</v>
      </c>
      <c r="B483" t="s">
        <v>16</v>
      </c>
      <c r="C483" t="s">
        <v>480</v>
      </c>
      <c r="D483" s="1">
        <v>0.52799768518518519</v>
      </c>
      <c r="E483" s="2">
        <f>CallLog[[#This Row],[Date]]+CallLog[[#This Row],[Time]]</f>
        <v>44205.527997685182</v>
      </c>
      <c r="F483" s="1" t="str">
        <f>TEXT(CallLog[[#This Row],[Date]],"dddd")</f>
        <v>Saturday</v>
      </c>
      <c r="G483" s="3">
        <f>HOUR(CallLog[[#This Row],[Time]])</f>
        <v>12</v>
      </c>
      <c r="H483" t="s">
        <v>29</v>
      </c>
      <c r="I483" t="s">
        <v>14</v>
      </c>
      <c r="J483" t="s">
        <v>18</v>
      </c>
      <c r="K483">
        <v>10</v>
      </c>
      <c r="L483" t="str">
        <f>IF(AND(CallLog[[#This Row],[Answered (Y/N)]]="Y", CallLog[[#This Row],[Speed of answer in seconds]]&lt;=20),
    "Within",
    "Breach")</f>
        <v>Within</v>
      </c>
      <c r="M483" s="1">
        <v>6.2500000000000001E-4</v>
      </c>
      <c r="N483">
        <v>4</v>
      </c>
    </row>
    <row r="484" spans="1:14" x14ac:dyDescent="0.3">
      <c r="A484" t="s">
        <v>516</v>
      </c>
      <c r="B484" t="s">
        <v>11</v>
      </c>
      <c r="C484" t="s">
        <v>480</v>
      </c>
      <c r="D484" s="1">
        <v>0.53500000000000003</v>
      </c>
      <c r="E484" s="2">
        <f>CallLog[[#This Row],[Date]]+CallLog[[#This Row],[Time]]</f>
        <v>44205.535000000003</v>
      </c>
      <c r="F484" s="1" t="str">
        <f>TEXT(CallLog[[#This Row],[Date]],"dddd")</f>
        <v>Saturday</v>
      </c>
      <c r="G484" s="3">
        <f>HOUR(CallLog[[#This Row],[Time]])</f>
        <v>12</v>
      </c>
      <c r="H484" t="s">
        <v>24</v>
      </c>
      <c r="I484" t="s">
        <v>14</v>
      </c>
      <c r="J484" t="s">
        <v>14</v>
      </c>
      <c r="K484">
        <v>92</v>
      </c>
      <c r="L484" t="str">
        <f>IF(AND(CallLog[[#This Row],[Answered (Y/N)]]="Y", CallLog[[#This Row],[Speed of answer in seconds]]&lt;=20),
    "Within",
    "Breach")</f>
        <v>Breach</v>
      </c>
      <c r="M484" s="1">
        <v>1.6782407407407408E-3</v>
      </c>
      <c r="N484">
        <v>3</v>
      </c>
    </row>
    <row r="485" spans="1:14" x14ac:dyDescent="0.3">
      <c r="A485" t="s">
        <v>517</v>
      </c>
      <c r="B485" t="s">
        <v>31</v>
      </c>
      <c r="C485" t="s">
        <v>480</v>
      </c>
      <c r="D485" s="1">
        <v>0.53500000000000003</v>
      </c>
      <c r="E485" s="2">
        <f>CallLog[[#This Row],[Date]]+CallLog[[#This Row],[Time]]</f>
        <v>44205.535000000003</v>
      </c>
      <c r="F485" s="1" t="str">
        <f>TEXT(CallLog[[#This Row],[Date]],"dddd")</f>
        <v>Saturday</v>
      </c>
      <c r="G485" s="3">
        <f>HOUR(CallLog[[#This Row],[Time]])</f>
        <v>12</v>
      </c>
      <c r="H485" t="s">
        <v>17</v>
      </c>
      <c r="I485" t="s">
        <v>18</v>
      </c>
      <c r="J485" t="s">
        <v>18</v>
      </c>
      <c r="L485" t="str">
        <f>IF(AND(CallLog[[#This Row],[Answered (Y/N)]]="Y", CallLog[[#This Row],[Speed of answer in seconds]]&lt;=20),
    "Within",
    "Breach")</f>
        <v>Breach</v>
      </c>
    </row>
    <row r="486" spans="1:14" x14ac:dyDescent="0.3">
      <c r="A486" t="s">
        <v>518</v>
      </c>
      <c r="B486" t="s">
        <v>16</v>
      </c>
      <c r="C486" t="s">
        <v>480</v>
      </c>
      <c r="D486" s="1">
        <v>0.54400462962962959</v>
      </c>
      <c r="E486" s="2">
        <f>CallLog[[#This Row],[Date]]+CallLog[[#This Row],[Time]]</f>
        <v>44205.544004629628</v>
      </c>
      <c r="F486" s="1" t="str">
        <f>TEXT(CallLog[[#This Row],[Date]],"dddd")</f>
        <v>Saturday</v>
      </c>
      <c r="G486" s="3">
        <f>HOUR(CallLog[[#This Row],[Time]])</f>
        <v>13</v>
      </c>
      <c r="H486" t="s">
        <v>13</v>
      </c>
      <c r="I486" t="s">
        <v>14</v>
      </c>
      <c r="J486" t="s">
        <v>14</v>
      </c>
      <c r="K486">
        <v>120</v>
      </c>
      <c r="L486" t="str">
        <f>IF(AND(CallLog[[#This Row],[Answered (Y/N)]]="Y", CallLog[[#This Row],[Speed of answer in seconds]]&lt;=20),
    "Within",
    "Breach")</f>
        <v>Breach</v>
      </c>
      <c r="M486" s="1">
        <v>3.1018518518518517E-3</v>
      </c>
      <c r="N486">
        <v>1</v>
      </c>
    </row>
    <row r="487" spans="1:14" x14ac:dyDescent="0.3">
      <c r="A487" t="s">
        <v>519</v>
      </c>
      <c r="B487" t="s">
        <v>47</v>
      </c>
      <c r="C487" t="s">
        <v>480</v>
      </c>
      <c r="D487" s="1">
        <v>0.54400462962962959</v>
      </c>
      <c r="E487" s="2">
        <f>CallLog[[#This Row],[Date]]+CallLog[[#This Row],[Time]]</f>
        <v>44205.544004629628</v>
      </c>
      <c r="F487" s="1" t="str">
        <f>TEXT(CallLog[[#This Row],[Date]],"dddd")</f>
        <v>Saturday</v>
      </c>
      <c r="G487" s="3">
        <f>HOUR(CallLog[[#This Row],[Time]])</f>
        <v>13</v>
      </c>
      <c r="H487" t="s">
        <v>17</v>
      </c>
      <c r="I487" t="s">
        <v>14</v>
      </c>
      <c r="J487" t="s">
        <v>14</v>
      </c>
      <c r="K487">
        <v>63</v>
      </c>
      <c r="L487" t="str">
        <f>IF(AND(CallLog[[#This Row],[Answered (Y/N)]]="Y", CallLog[[#This Row],[Speed of answer in seconds]]&lt;=20),
    "Within",
    "Breach")</f>
        <v>Breach</v>
      </c>
      <c r="M487" s="1">
        <v>3.460648148148148E-3</v>
      </c>
      <c r="N487">
        <v>3</v>
      </c>
    </row>
    <row r="488" spans="1:14" x14ac:dyDescent="0.3">
      <c r="A488" t="s">
        <v>520</v>
      </c>
      <c r="B488" t="s">
        <v>16</v>
      </c>
      <c r="C488" t="s">
        <v>480</v>
      </c>
      <c r="D488" s="1">
        <v>0.56900462962962961</v>
      </c>
      <c r="E488" s="2">
        <f>CallLog[[#This Row],[Date]]+CallLog[[#This Row],[Time]]</f>
        <v>44205.569004629629</v>
      </c>
      <c r="F488" s="1" t="str">
        <f>TEXT(CallLog[[#This Row],[Date]],"dddd")</f>
        <v>Saturday</v>
      </c>
      <c r="G488" s="3">
        <f>HOUR(CallLog[[#This Row],[Time]])</f>
        <v>13</v>
      </c>
      <c r="H488" t="s">
        <v>32</v>
      </c>
      <c r="I488" t="s">
        <v>18</v>
      </c>
      <c r="J488" t="s">
        <v>18</v>
      </c>
      <c r="L488" t="str">
        <f>IF(AND(CallLog[[#This Row],[Answered (Y/N)]]="Y", CallLog[[#This Row],[Speed of answer in seconds]]&lt;=20),
    "Within",
    "Breach")</f>
        <v>Breach</v>
      </c>
    </row>
    <row r="489" spans="1:14" x14ac:dyDescent="0.3">
      <c r="A489" t="s">
        <v>521</v>
      </c>
      <c r="B489" t="s">
        <v>34</v>
      </c>
      <c r="C489" t="s">
        <v>480</v>
      </c>
      <c r="D489" s="1">
        <v>0.56900462962962961</v>
      </c>
      <c r="E489" s="2">
        <f>CallLog[[#This Row],[Date]]+CallLog[[#This Row],[Time]]</f>
        <v>44205.569004629629</v>
      </c>
      <c r="F489" s="1" t="str">
        <f>TEXT(CallLog[[#This Row],[Date]],"dddd")</f>
        <v>Saturday</v>
      </c>
      <c r="G489" s="3">
        <f>HOUR(CallLog[[#This Row],[Time]])</f>
        <v>13</v>
      </c>
      <c r="H489" t="s">
        <v>32</v>
      </c>
      <c r="I489" t="s">
        <v>14</v>
      </c>
      <c r="J489" t="s">
        <v>14</v>
      </c>
      <c r="K489">
        <v>101</v>
      </c>
      <c r="L489" t="str">
        <f>IF(AND(CallLog[[#This Row],[Answered (Y/N)]]="Y", CallLog[[#This Row],[Speed of answer in seconds]]&lt;=20),
    "Within",
    "Breach")</f>
        <v>Breach</v>
      </c>
      <c r="M489" s="1">
        <v>3.8194444444444443E-3</v>
      </c>
      <c r="N489">
        <v>3</v>
      </c>
    </row>
    <row r="490" spans="1:14" x14ac:dyDescent="0.3">
      <c r="A490" t="s">
        <v>522</v>
      </c>
      <c r="B490" t="s">
        <v>34</v>
      </c>
      <c r="C490" t="s">
        <v>480</v>
      </c>
      <c r="D490" s="1">
        <v>0.58299768518518513</v>
      </c>
      <c r="E490" s="2">
        <f>CallLog[[#This Row],[Date]]+CallLog[[#This Row],[Time]]</f>
        <v>44205.582997685182</v>
      </c>
      <c r="F490" s="1" t="str">
        <f>TEXT(CallLog[[#This Row],[Date]],"dddd")</f>
        <v>Saturday</v>
      </c>
      <c r="G490" s="3">
        <f>HOUR(CallLog[[#This Row],[Time]])</f>
        <v>13</v>
      </c>
      <c r="H490" t="s">
        <v>24</v>
      </c>
      <c r="I490" t="s">
        <v>14</v>
      </c>
      <c r="J490" t="s">
        <v>14</v>
      </c>
      <c r="K490">
        <v>105</v>
      </c>
      <c r="L490" t="str">
        <f>IF(AND(CallLog[[#This Row],[Answered (Y/N)]]="Y", CallLog[[#This Row],[Speed of answer in seconds]]&lt;=20),
    "Within",
    "Breach")</f>
        <v>Breach</v>
      </c>
      <c r="M490" s="1">
        <v>9.2592592592592596E-4</v>
      </c>
      <c r="N490">
        <v>1</v>
      </c>
    </row>
    <row r="491" spans="1:14" x14ac:dyDescent="0.3">
      <c r="A491" t="s">
        <v>523</v>
      </c>
      <c r="B491" t="s">
        <v>34</v>
      </c>
      <c r="C491" t="s">
        <v>480</v>
      </c>
      <c r="D491" s="1">
        <v>0.58299768518518513</v>
      </c>
      <c r="E491" s="2">
        <f>CallLog[[#This Row],[Date]]+CallLog[[#This Row],[Time]]</f>
        <v>44205.582997685182</v>
      </c>
      <c r="F491" s="1" t="str">
        <f>TEXT(CallLog[[#This Row],[Date]],"dddd")</f>
        <v>Saturday</v>
      </c>
      <c r="G491" s="3">
        <f>HOUR(CallLog[[#This Row],[Time]])</f>
        <v>13</v>
      </c>
      <c r="H491" t="s">
        <v>13</v>
      </c>
      <c r="I491" t="s">
        <v>14</v>
      </c>
      <c r="J491" t="s">
        <v>14</v>
      </c>
      <c r="K491">
        <v>21</v>
      </c>
      <c r="L491" t="str">
        <f>IF(AND(CallLog[[#This Row],[Answered (Y/N)]]="Y", CallLog[[#This Row],[Speed of answer in seconds]]&lt;=20),
    "Within",
    "Breach")</f>
        <v>Breach</v>
      </c>
      <c r="M491" s="1">
        <v>1.1342592592592593E-3</v>
      </c>
      <c r="N491">
        <v>4</v>
      </c>
    </row>
    <row r="492" spans="1:14" x14ac:dyDescent="0.3">
      <c r="A492" t="s">
        <v>524</v>
      </c>
      <c r="B492" t="s">
        <v>34</v>
      </c>
      <c r="C492" t="s">
        <v>480</v>
      </c>
      <c r="D492" s="1">
        <v>0.5920023148148148</v>
      </c>
      <c r="E492" s="2">
        <f>CallLog[[#This Row],[Date]]+CallLog[[#This Row],[Time]]</f>
        <v>44205.592002314814</v>
      </c>
      <c r="F492" s="1" t="str">
        <f>TEXT(CallLog[[#This Row],[Date]],"dddd")</f>
        <v>Saturday</v>
      </c>
      <c r="G492" s="3">
        <f>HOUR(CallLog[[#This Row],[Time]])</f>
        <v>14</v>
      </c>
      <c r="H492" t="s">
        <v>24</v>
      </c>
      <c r="I492" t="s">
        <v>14</v>
      </c>
      <c r="J492" t="s">
        <v>14</v>
      </c>
      <c r="K492">
        <v>34</v>
      </c>
      <c r="L492" t="str">
        <f>IF(AND(CallLog[[#This Row],[Answered (Y/N)]]="Y", CallLog[[#This Row],[Speed of answer in seconds]]&lt;=20),
    "Within",
    "Breach")</f>
        <v>Breach</v>
      </c>
      <c r="M492" s="1">
        <v>3.5879629629629629E-3</v>
      </c>
      <c r="N492">
        <v>4</v>
      </c>
    </row>
    <row r="493" spans="1:14" x14ac:dyDescent="0.3">
      <c r="A493" t="s">
        <v>525</v>
      </c>
      <c r="B493" t="s">
        <v>20</v>
      </c>
      <c r="C493" t="s">
        <v>480</v>
      </c>
      <c r="D493" s="1">
        <v>0.5920023148148148</v>
      </c>
      <c r="E493" s="2">
        <f>CallLog[[#This Row],[Date]]+CallLog[[#This Row],[Time]]</f>
        <v>44205.592002314814</v>
      </c>
      <c r="F493" s="1" t="str">
        <f>TEXT(CallLog[[#This Row],[Date]],"dddd")</f>
        <v>Saturday</v>
      </c>
      <c r="G493" s="3">
        <f>HOUR(CallLog[[#This Row],[Time]])</f>
        <v>14</v>
      </c>
      <c r="H493" t="s">
        <v>17</v>
      </c>
      <c r="I493" t="s">
        <v>14</v>
      </c>
      <c r="J493" t="s">
        <v>14</v>
      </c>
      <c r="K493">
        <v>78</v>
      </c>
      <c r="L493" t="str">
        <f>IF(AND(CallLog[[#This Row],[Answered (Y/N)]]="Y", CallLog[[#This Row],[Speed of answer in seconds]]&lt;=20),
    "Within",
    "Breach")</f>
        <v>Breach</v>
      </c>
      <c r="M493" s="1">
        <v>2.3726851851851851E-3</v>
      </c>
      <c r="N493">
        <v>1</v>
      </c>
    </row>
    <row r="494" spans="1:14" x14ac:dyDescent="0.3">
      <c r="A494" t="s">
        <v>526</v>
      </c>
      <c r="B494" t="s">
        <v>11</v>
      </c>
      <c r="C494" t="s">
        <v>480</v>
      </c>
      <c r="D494" s="1">
        <v>0.59700231481481481</v>
      </c>
      <c r="E494" s="2">
        <f>CallLog[[#This Row],[Date]]+CallLog[[#This Row],[Time]]</f>
        <v>44205.597002314818</v>
      </c>
      <c r="F494" s="1" t="str">
        <f>TEXT(CallLog[[#This Row],[Date]],"dddd")</f>
        <v>Saturday</v>
      </c>
      <c r="G494" s="3">
        <f>HOUR(CallLog[[#This Row],[Time]])</f>
        <v>14</v>
      </c>
      <c r="H494" t="s">
        <v>32</v>
      </c>
      <c r="I494" t="s">
        <v>14</v>
      </c>
      <c r="J494" t="s">
        <v>14</v>
      </c>
      <c r="K494">
        <v>44</v>
      </c>
      <c r="L494" t="str">
        <f>IF(AND(CallLog[[#This Row],[Answered (Y/N)]]="Y", CallLog[[#This Row],[Speed of answer in seconds]]&lt;=20),
    "Within",
    "Breach")</f>
        <v>Breach</v>
      </c>
      <c r="M494" s="1">
        <v>2.0138888888888888E-3</v>
      </c>
      <c r="N494">
        <v>3</v>
      </c>
    </row>
    <row r="495" spans="1:14" x14ac:dyDescent="0.3">
      <c r="A495" t="s">
        <v>527</v>
      </c>
      <c r="B495" t="s">
        <v>34</v>
      </c>
      <c r="C495" t="s">
        <v>480</v>
      </c>
      <c r="D495" s="1">
        <v>0.59700231481481481</v>
      </c>
      <c r="E495" s="2">
        <f>CallLog[[#This Row],[Date]]+CallLog[[#This Row],[Time]]</f>
        <v>44205.597002314818</v>
      </c>
      <c r="F495" s="1" t="str">
        <f>TEXT(CallLog[[#This Row],[Date]],"dddd")</f>
        <v>Saturday</v>
      </c>
      <c r="G495" s="3">
        <f>HOUR(CallLog[[#This Row],[Time]])</f>
        <v>14</v>
      </c>
      <c r="H495" t="s">
        <v>29</v>
      </c>
      <c r="I495" t="s">
        <v>14</v>
      </c>
      <c r="J495" t="s">
        <v>14</v>
      </c>
      <c r="K495">
        <v>98</v>
      </c>
      <c r="L495" t="str">
        <f>IF(AND(CallLog[[#This Row],[Answered (Y/N)]]="Y", CallLog[[#This Row],[Speed of answer in seconds]]&lt;=20),
    "Within",
    "Breach")</f>
        <v>Breach</v>
      </c>
      <c r="M495" s="1">
        <v>1.1921296296296296E-3</v>
      </c>
      <c r="N495">
        <v>1</v>
      </c>
    </row>
    <row r="496" spans="1:14" x14ac:dyDescent="0.3">
      <c r="A496" t="s">
        <v>528</v>
      </c>
      <c r="B496" t="s">
        <v>38</v>
      </c>
      <c r="C496" t="s">
        <v>480</v>
      </c>
      <c r="D496" s="1">
        <v>0.61900462962962965</v>
      </c>
      <c r="E496" s="2">
        <f>CallLog[[#This Row],[Date]]+CallLog[[#This Row],[Time]]</f>
        <v>44205.619004629632</v>
      </c>
      <c r="F496" s="1" t="str">
        <f>TEXT(CallLog[[#This Row],[Date]],"dddd")</f>
        <v>Saturday</v>
      </c>
      <c r="G496" s="3">
        <f>HOUR(CallLog[[#This Row],[Time]])</f>
        <v>14</v>
      </c>
      <c r="H496" t="s">
        <v>24</v>
      </c>
      <c r="I496" t="s">
        <v>14</v>
      </c>
      <c r="J496" t="s">
        <v>14</v>
      </c>
      <c r="K496">
        <v>23</v>
      </c>
      <c r="L496" t="str">
        <f>IF(AND(CallLog[[#This Row],[Answered (Y/N)]]="Y", CallLog[[#This Row],[Speed of answer in seconds]]&lt;=20),
    "Within",
    "Breach")</f>
        <v>Breach</v>
      </c>
      <c r="M496" s="1">
        <v>2.3495370370370371E-3</v>
      </c>
      <c r="N496">
        <v>1</v>
      </c>
    </row>
    <row r="497" spans="1:14" x14ac:dyDescent="0.3">
      <c r="A497" t="s">
        <v>529</v>
      </c>
      <c r="B497" t="s">
        <v>20</v>
      </c>
      <c r="C497" t="s">
        <v>480</v>
      </c>
      <c r="D497" s="1">
        <v>0.61900462962962965</v>
      </c>
      <c r="E497" s="2">
        <f>CallLog[[#This Row],[Date]]+CallLog[[#This Row],[Time]]</f>
        <v>44205.619004629632</v>
      </c>
      <c r="F497" s="1" t="str">
        <f>TEXT(CallLog[[#This Row],[Date]],"dddd")</f>
        <v>Saturday</v>
      </c>
      <c r="G497" s="3">
        <f>HOUR(CallLog[[#This Row],[Time]])</f>
        <v>14</v>
      </c>
      <c r="H497" t="s">
        <v>29</v>
      </c>
      <c r="I497" t="s">
        <v>14</v>
      </c>
      <c r="J497" t="s">
        <v>14</v>
      </c>
      <c r="K497">
        <v>28</v>
      </c>
      <c r="L497" t="str">
        <f>IF(AND(CallLog[[#This Row],[Answered (Y/N)]]="Y", CallLog[[#This Row],[Speed of answer in seconds]]&lt;=20),
    "Within",
    "Breach")</f>
        <v>Breach</v>
      </c>
      <c r="M497" s="1">
        <v>4.3981481481481484E-3</v>
      </c>
      <c r="N497">
        <v>3</v>
      </c>
    </row>
    <row r="498" spans="1:14" x14ac:dyDescent="0.3">
      <c r="A498" t="s">
        <v>530</v>
      </c>
      <c r="B498" t="s">
        <v>34</v>
      </c>
      <c r="C498" t="s">
        <v>480</v>
      </c>
      <c r="D498" s="1">
        <v>0.65500000000000003</v>
      </c>
      <c r="E498" s="2">
        <f>CallLog[[#This Row],[Date]]+CallLog[[#This Row],[Time]]</f>
        <v>44205.654999999999</v>
      </c>
      <c r="F498" s="1" t="str">
        <f>TEXT(CallLog[[#This Row],[Date]],"dddd")</f>
        <v>Saturday</v>
      </c>
      <c r="G498" s="3">
        <f>HOUR(CallLog[[#This Row],[Time]])</f>
        <v>15</v>
      </c>
      <c r="H498" t="s">
        <v>17</v>
      </c>
      <c r="I498" t="s">
        <v>18</v>
      </c>
      <c r="J498" t="s">
        <v>18</v>
      </c>
      <c r="L498" t="str">
        <f>IF(AND(CallLog[[#This Row],[Answered (Y/N)]]="Y", CallLog[[#This Row],[Speed of answer in seconds]]&lt;=20),
    "Within",
    "Breach")</f>
        <v>Breach</v>
      </c>
    </row>
    <row r="499" spans="1:14" x14ac:dyDescent="0.3">
      <c r="A499" t="s">
        <v>531</v>
      </c>
      <c r="B499" t="s">
        <v>38</v>
      </c>
      <c r="C499" t="s">
        <v>480</v>
      </c>
      <c r="D499" s="1">
        <v>0.65500000000000003</v>
      </c>
      <c r="E499" s="2">
        <f>CallLog[[#This Row],[Date]]+CallLog[[#This Row],[Time]]</f>
        <v>44205.654999999999</v>
      </c>
      <c r="F499" s="1" t="str">
        <f>TEXT(CallLog[[#This Row],[Date]],"dddd")</f>
        <v>Saturday</v>
      </c>
      <c r="G499" s="3">
        <f>HOUR(CallLog[[#This Row],[Time]])</f>
        <v>15</v>
      </c>
      <c r="H499" t="s">
        <v>29</v>
      </c>
      <c r="I499" t="s">
        <v>14</v>
      </c>
      <c r="J499" t="s">
        <v>14</v>
      </c>
      <c r="K499">
        <v>43</v>
      </c>
      <c r="L499" t="str">
        <f>IF(AND(CallLog[[#This Row],[Answered (Y/N)]]="Y", CallLog[[#This Row],[Speed of answer in seconds]]&lt;=20),
    "Within",
    "Breach")</f>
        <v>Breach</v>
      </c>
      <c r="M499" s="1">
        <v>7.291666666666667E-4</v>
      </c>
      <c r="N499">
        <v>5</v>
      </c>
    </row>
    <row r="500" spans="1:14" x14ac:dyDescent="0.3">
      <c r="A500" t="s">
        <v>532</v>
      </c>
      <c r="B500" t="s">
        <v>20</v>
      </c>
      <c r="C500" t="s">
        <v>480</v>
      </c>
      <c r="D500" s="1">
        <v>0.70700231481481479</v>
      </c>
      <c r="E500" s="2">
        <f>CallLog[[#This Row],[Date]]+CallLog[[#This Row],[Time]]</f>
        <v>44205.707002314812</v>
      </c>
      <c r="F500" s="1" t="str">
        <f>TEXT(CallLog[[#This Row],[Date]],"dddd")</f>
        <v>Saturday</v>
      </c>
      <c r="G500" s="3">
        <f>HOUR(CallLog[[#This Row],[Time]])</f>
        <v>16</v>
      </c>
      <c r="H500" t="s">
        <v>32</v>
      </c>
      <c r="I500" t="s">
        <v>18</v>
      </c>
      <c r="J500" t="s">
        <v>18</v>
      </c>
      <c r="L500" t="str">
        <f>IF(AND(CallLog[[#This Row],[Answered (Y/N)]]="Y", CallLog[[#This Row],[Speed of answer in seconds]]&lt;=20),
    "Within",
    "Breach")</f>
        <v>Breach</v>
      </c>
    </row>
    <row r="501" spans="1:14" x14ac:dyDescent="0.3">
      <c r="A501" t="s">
        <v>533</v>
      </c>
      <c r="B501" t="s">
        <v>38</v>
      </c>
      <c r="C501" t="s">
        <v>480</v>
      </c>
      <c r="D501" s="1">
        <v>0.70700231481481479</v>
      </c>
      <c r="E501" s="2">
        <f>CallLog[[#This Row],[Date]]+CallLog[[#This Row],[Time]]</f>
        <v>44205.707002314812</v>
      </c>
      <c r="F501" s="1" t="str">
        <f>TEXT(CallLog[[#This Row],[Date]],"dddd")</f>
        <v>Saturday</v>
      </c>
      <c r="G501" s="3">
        <f>HOUR(CallLog[[#This Row],[Time]])</f>
        <v>16</v>
      </c>
      <c r="H501" t="s">
        <v>13</v>
      </c>
      <c r="I501" t="s">
        <v>18</v>
      </c>
      <c r="J501" t="s">
        <v>18</v>
      </c>
      <c r="L501" t="str">
        <f>IF(AND(CallLog[[#This Row],[Answered (Y/N)]]="Y", CallLog[[#This Row],[Speed of answer in seconds]]&lt;=20),
    "Within",
    "Breach")</f>
        <v>Breach</v>
      </c>
    </row>
    <row r="502" spans="1:14" x14ac:dyDescent="0.3">
      <c r="A502" t="s">
        <v>534</v>
      </c>
      <c r="B502" t="s">
        <v>11</v>
      </c>
      <c r="C502" t="s">
        <v>480</v>
      </c>
      <c r="D502" s="1">
        <v>0.7120023148148148</v>
      </c>
      <c r="E502" s="2">
        <f>CallLog[[#This Row],[Date]]+CallLog[[#This Row],[Time]]</f>
        <v>44205.712002314816</v>
      </c>
      <c r="F502" s="1" t="str">
        <f>TEXT(CallLog[[#This Row],[Date]],"dddd")</f>
        <v>Saturday</v>
      </c>
      <c r="G502" s="3">
        <f>HOUR(CallLog[[#This Row],[Time]])</f>
        <v>17</v>
      </c>
      <c r="H502" t="s">
        <v>24</v>
      </c>
      <c r="I502" t="s">
        <v>14</v>
      </c>
      <c r="J502" t="s">
        <v>14</v>
      </c>
      <c r="K502">
        <v>119</v>
      </c>
      <c r="L502" t="str">
        <f>IF(AND(CallLog[[#This Row],[Answered (Y/N)]]="Y", CallLog[[#This Row],[Speed of answer in seconds]]&lt;=20),
    "Within",
    "Breach")</f>
        <v>Breach</v>
      </c>
      <c r="M502" s="1">
        <v>5.7870370370370367E-4</v>
      </c>
      <c r="N502">
        <v>4</v>
      </c>
    </row>
    <row r="503" spans="1:14" x14ac:dyDescent="0.3">
      <c r="A503" t="s">
        <v>535</v>
      </c>
      <c r="B503" t="s">
        <v>47</v>
      </c>
      <c r="C503" t="s">
        <v>480</v>
      </c>
      <c r="D503" s="1">
        <v>0.7120023148148148</v>
      </c>
      <c r="E503" s="2">
        <f>CallLog[[#This Row],[Date]]+CallLog[[#This Row],[Time]]</f>
        <v>44205.712002314816</v>
      </c>
      <c r="F503" s="1" t="str">
        <f>TEXT(CallLog[[#This Row],[Date]],"dddd")</f>
        <v>Saturday</v>
      </c>
      <c r="G503" s="3">
        <f>HOUR(CallLog[[#This Row],[Time]])</f>
        <v>17</v>
      </c>
      <c r="H503" t="s">
        <v>24</v>
      </c>
      <c r="I503" t="s">
        <v>14</v>
      </c>
      <c r="J503" t="s">
        <v>14</v>
      </c>
      <c r="K503">
        <v>32</v>
      </c>
      <c r="L503" t="str">
        <f>IF(AND(CallLog[[#This Row],[Answered (Y/N)]]="Y", CallLog[[#This Row],[Speed of answer in seconds]]&lt;=20),
    "Within",
    "Breach")</f>
        <v>Breach</v>
      </c>
      <c r="M503" s="1">
        <v>2.0138888888888888E-3</v>
      </c>
      <c r="N503">
        <v>5</v>
      </c>
    </row>
    <row r="504" spans="1:14" x14ac:dyDescent="0.3">
      <c r="A504" t="s">
        <v>536</v>
      </c>
      <c r="B504" t="s">
        <v>22</v>
      </c>
      <c r="C504" t="s">
        <v>480</v>
      </c>
      <c r="D504" s="1">
        <v>0.72299768518518515</v>
      </c>
      <c r="E504" s="2">
        <f>CallLog[[#This Row],[Date]]+CallLog[[#This Row],[Time]]</f>
        <v>44205.722997685189</v>
      </c>
      <c r="F504" s="1" t="str">
        <f>TEXT(CallLog[[#This Row],[Date]],"dddd")</f>
        <v>Saturday</v>
      </c>
      <c r="G504" s="3">
        <f>HOUR(CallLog[[#This Row],[Time]])</f>
        <v>17</v>
      </c>
      <c r="H504" t="s">
        <v>32</v>
      </c>
      <c r="I504" t="s">
        <v>14</v>
      </c>
      <c r="J504" t="s">
        <v>18</v>
      </c>
      <c r="K504">
        <v>50</v>
      </c>
      <c r="L504" t="str">
        <f>IF(AND(CallLog[[#This Row],[Answered (Y/N)]]="Y", CallLog[[#This Row],[Speed of answer in seconds]]&lt;=20),
    "Within",
    "Breach")</f>
        <v>Breach</v>
      </c>
      <c r="M504" s="1">
        <v>2.9745370370370373E-3</v>
      </c>
      <c r="N504">
        <v>3</v>
      </c>
    </row>
    <row r="505" spans="1:14" x14ac:dyDescent="0.3">
      <c r="A505" t="s">
        <v>537</v>
      </c>
      <c r="B505" t="s">
        <v>31</v>
      </c>
      <c r="C505" t="s">
        <v>480</v>
      </c>
      <c r="D505" s="1">
        <v>0.72299768518518515</v>
      </c>
      <c r="E505" s="2">
        <f>CallLog[[#This Row],[Date]]+CallLog[[#This Row],[Time]]</f>
        <v>44205.722997685189</v>
      </c>
      <c r="F505" s="1" t="str">
        <f>TEXT(CallLog[[#This Row],[Date]],"dddd")</f>
        <v>Saturday</v>
      </c>
      <c r="G505" s="3">
        <f>HOUR(CallLog[[#This Row],[Time]])</f>
        <v>17</v>
      </c>
      <c r="H505" t="s">
        <v>29</v>
      </c>
      <c r="I505" t="s">
        <v>18</v>
      </c>
      <c r="J505" t="s">
        <v>18</v>
      </c>
      <c r="L505" t="str">
        <f>IF(AND(CallLog[[#This Row],[Answered (Y/N)]]="Y", CallLog[[#This Row],[Speed of answer in seconds]]&lt;=20),
    "Within",
    "Breach")</f>
        <v>Breach</v>
      </c>
    </row>
    <row r="506" spans="1:14" x14ac:dyDescent="0.3">
      <c r="A506" t="s">
        <v>538</v>
      </c>
      <c r="B506" t="s">
        <v>34</v>
      </c>
      <c r="C506" t="s">
        <v>480</v>
      </c>
      <c r="D506" s="1">
        <v>0.72400462962962964</v>
      </c>
      <c r="E506" s="2">
        <f>CallLog[[#This Row],[Date]]+CallLog[[#This Row],[Time]]</f>
        <v>44205.724004629628</v>
      </c>
      <c r="F506" s="1" t="str">
        <f>TEXT(CallLog[[#This Row],[Date]],"dddd")</f>
        <v>Saturday</v>
      </c>
      <c r="G506" s="3">
        <f>HOUR(CallLog[[#This Row],[Time]])</f>
        <v>17</v>
      </c>
      <c r="H506" t="s">
        <v>24</v>
      </c>
      <c r="I506" t="s">
        <v>14</v>
      </c>
      <c r="J506" t="s">
        <v>14</v>
      </c>
      <c r="K506">
        <v>35</v>
      </c>
      <c r="L506" t="str">
        <f>IF(AND(CallLog[[#This Row],[Answered (Y/N)]]="Y", CallLog[[#This Row],[Speed of answer in seconds]]&lt;=20),
    "Within",
    "Breach")</f>
        <v>Breach</v>
      </c>
      <c r="M506" s="1">
        <v>3.3101851851851851E-3</v>
      </c>
      <c r="N506">
        <v>4</v>
      </c>
    </row>
    <row r="507" spans="1:14" x14ac:dyDescent="0.3">
      <c r="A507" t="s">
        <v>539</v>
      </c>
      <c r="B507" t="s">
        <v>31</v>
      </c>
      <c r="C507" t="s">
        <v>480</v>
      </c>
      <c r="D507" s="1">
        <v>0.72400462962962964</v>
      </c>
      <c r="E507" s="2">
        <f>CallLog[[#This Row],[Date]]+CallLog[[#This Row],[Time]]</f>
        <v>44205.724004629628</v>
      </c>
      <c r="F507" s="1" t="str">
        <f>TEXT(CallLog[[#This Row],[Date]],"dddd")</f>
        <v>Saturday</v>
      </c>
      <c r="G507" s="3">
        <f>HOUR(CallLog[[#This Row],[Time]])</f>
        <v>17</v>
      </c>
      <c r="H507" t="s">
        <v>13</v>
      </c>
      <c r="I507" t="s">
        <v>14</v>
      </c>
      <c r="J507" t="s">
        <v>14</v>
      </c>
      <c r="K507">
        <v>27</v>
      </c>
      <c r="L507" t="str">
        <f>IF(AND(CallLog[[#This Row],[Answered (Y/N)]]="Y", CallLog[[#This Row],[Speed of answer in seconds]]&lt;=20),
    "Within",
    "Breach")</f>
        <v>Breach</v>
      </c>
      <c r="M507" s="1">
        <v>1.8865740740740742E-3</v>
      </c>
      <c r="N507">
        <v>3</v>
      </c>
    </row>
    <row r="508" spans="1:14" x14ac:dyDescent="0.3">
      <c r="A508" t="s">
        <v>540</v>
      </c>
      <c r="B508" t="s">
        <v>20</v>
      </c>
      <c r="C508" t="s">
        <v>480</v>
      </c>
      <c r="D508" s="1">
        <v>0.72499999999999998</v>
      </c>
      <c r="E508" s="2">
        <f>CallLog[[#This Row],[Date]]+CallLog[[#This Row],[Time]]</f>
        <v>44205.724999999999</v>
      </c>
      <c r="F508" s="1" t="str">
        <f>TEXT(CallLog[[#This Row],[Date]],"dddd")</f>
        <v>Saturday</v>
      </c>
      <c r="G508" s="3">
        <f>HOUR(CallLog[[#This Row],[Time]])</f>
        <v>17</v>
      </c>
      <c r="H508" t="s">
        <v>32</v>
      </c>
      <c r="I508" t="s">
        <v>14</v>
      </c>
      <c r="J508" t="s">
        <v>14</v>
      </c>
      <c r="K508">
        <v>121</v>
      </c>
      <c r="L508" t="str">
        <f>IF(AND(CallLog[[#This Row],[Answered (Y/N)]]="Y", CallLog[[#This Row],[Speed of answer in seconds]]&lt;=20),
    "Within",
    "Breach")</f>
        <v>Breach</v>
      </c>
      <c r="M508" s="1">
        <v>2.3148148148148147E-3</v>
      </c>
      <c r="N508">
        <v>4</v>
      </c>
    </row>
    <row r="509" spans="1:14" x14ac:dyDescent="0.3">
      <c r="A509" t="s">
        <v>541</v>
      </c>
      <c r="B509" t="s">
        <v>16</v>
      </c>
      <c r="C509" t="s">
        <v>480</v>
      </c>
      <c r="D509" s="1">
        <v>0.72499999999999998</v>
      </c>
      <c r="E509" s="2">
        <f>CallLog[[#This Row],[Date]]+CallLog[[#This Row],[Time]]</f>
        <v>44205.724999999999</v>
      </c>
      <c r="F509" s="1" t="str">
        <f>TEXT(CallLog[[#This Row],[Date]],"dddd")</f>
        <v>Saturday</v>
      </c>
      <c r="G509" s="3">
        <f>HOUR(CallLog[[#This Row],[Time]])</f>
        <v>17</v>
      </c>
      <c r="H509" t="s">
        <v>32</v>
      </c>
      <c r="I509" t="s">
        <v>14</v>
      </c>
      <c r="J509" t="s">
        <v>14</v>
      </c>
      <c r="K509">
        <v>42</v>
      </c>
      <c r="L509" t="str">
        <f>IF(AND(CallLog[[#This Row],[Answered (Y/N)]]="Y", CallLog[[#This Row],[Speed of answer in seconds]]&lt;=20),
    "Within",
    "Breach")</f>
        <v>Breach</v>
      </c>
      <c r="M509" s="1">
        <v>4.8379629629629632E-3</v>
      </c>
      <c r="N509">
        <v>2</v>
      </c>
    </row>
    <row r="510" spans="1:14" x14ac:dyDescent="0.3">
      <c r="A510" t="s">
        <v>542</v>
      </c>
      <c r="B510" t="s">
        <v>22</v>
      </c>
      <c r="C510" t="s">
        <v>480</v>
      </c>
      <c r="D510" s="1">
        <v>0.72799768518518515</v>
      </c>
      <c r="E510" s="2">
        <f>CallLog[[#This Row],[Date]]+CallLog[[#This Row],[Time]]</f>
        <v>44205.727997685186</v>
      </c>
      <c r="F510" s="1" t="str">
        <f>TEXT(CallLog[[#This Row],[Date]],"dddd")</f>
        <v>Saturday</v>
      </c>
      <c r="G510" s="3">
        <f>HOUR(CallLog[[#This Row],[Time]])</f>
        <v>17</v>
      </c>
      <c r="H510" t="s">
        <v>17</v>
      </c>
      <c r="I510" t="s">
        <v>18</v>
      </c>
      <c r="J510" t="s">
        <v>18</v>
      </c>
      <c r="L510" t="str">
        <f>IF(AND(CallLog[[#This Row],[Answered (Y/N)]]="Y", CallLog[[#This Row],[Speed of answer in seconds]]&lt;=20),
    "Within",
    "Breach")</f>
        <v>Breach</v>
      </c>
    </row>
    <row r="511" spans="1:14" x14ac:dyDescent="0.3">
      <c r="A511" t="s">
        <v>543</v>
      </c>
      <c r="B511" t="s">
        <v>47</v>
      </c>
      <c r="C511" t="s">
        <v>480</v>
      </c>
      <c r="D511" s="1">
        <v>0.72799768518518515</v>
      </c>
      <c r="E511" s="2">
        <f>CallLog[[#This Row],[Date]]+CallLog[[#This Row],[Time]]</f>
        <v>44205.727997685186</v>
      </c>
      <c r="F511" s="1" t="str">
        <f>TEXT(CallLog[[#This Row],[Date]],"dddd")</f>
        <v>Saturday</v>
      </c>
      <c r="G511" s="3">
        <f>HOUR(CallLog[[#This Row],[Time]])</f>
        <v>17</v>
      </c>
      <c r="H511" t="s">
        <v>17</v>
      </c>
      <c r="I511" t="s">
        <v>18</v>
      </c>
      <c r="J511" t="s">
        <v>18</v>
      </c>
      <c r="L511" t="str">
        <f>IF(AND(CallLog[[#This Row],[Answered (Y/N)]]="Y", CallLog[[#This Row],[Speed of answer in seconds]]&lt;=20),
    "Within",
    "Breach")</f>
        <v>Breach</v>
      </c>
    </row>
    <row r="512" spans="1:14" x14ac:dyDescent="0.3">
      <c r="A512" t="s">
        <v>544</v>
      </c>
      <c r="B512" t="s">
        <v>22</v>
      </c>
      <c r="C512" t="s">
        <v>480</v>
      </c>
      <c r="D512" s="1">
        <v>0.73099537037037032</v>
      </c>
      <c r="E512" s="2">
        <f>CallLog[[#This Row],[Date]]+CallLog[[#This Row],[Time]]</f>
        <v>44205.730995370373</v>
      </c>
      <c r="F512" s="1" t="str">
        <f>TEXT(CallLog[[#This Row],[Date]],"dddd")</f>
        <v>Saturday</v>
      </c>
      <c r="G512" s="3">
        <f>HOUR(CallLog[[#This Row],[Time]])</f>
        <v>17</v>
      </c>
      <c r="H512" t="s">
        <v>24</v>
      </c>
      <c r="I512" t="s">
        <v>14</v>
      </c>
      <c r="J512" t="s">
        <v>14</v>
      </c>
      <c r="K512">
        <v>107</v>
      </c>
      <c r="L512" t="str">
        <f>IF(AND(CallLog[[#This Row],[Answered (Y/N)]]="Y", CallLog[[#This Row],[Speed of answer in seconds]]&lt;=20),
    "Within",
    "Breach")</f>
        <v>Breach</v>
      </c>
      <c r="M512" s="1">
        <v>7.5231481481481482E-4</v>
      </c>
      <c r="N512">
        <v>5</v>
      </c>
    </row>
    <row r="513" spans="1:14" x14ac:dyDescent="0.3">
      <c r="A513" t="s">
        <v>545</v>
      </c>
      <c r="B513" t="s">
        <v>38</v>
      </c>
      <c r="C513" t="s">
        <v>480</v>
      </c>
      <c r="D513" s="1">
        <v>0.73099537037037032</v>
      </c>
      <c r="E513" s="2">
        <f>CallLog[[#This Row],[Date]]+CallLog[[#This Row],[Time]]</f>
        <v>44205.730995370373</v>
      </c>
      <c r="F513" s="1" t="str">
        <f>TEXT(CallLog[[#This Row],[Date]],"dddd")</f>
        <v>Saturday</v>
      </c>
      <c r="G513" s="3">
        <f>HOUR(CallLog[[#This Row],[Time]])</f>
        <v>17</v>
      </c>
      <c r="H513" t="s">
        <v>32</v>
      </c>
      <c r="I513" t="s">
        <v>14</v>
      </c>
      <c r="J513" t="s">
        <v>14</v>
      </c>
      <c r="K513">
        <v>116</v>
      </c>
      <c r="L513" t="str">
        <f>IF(AND(CallLog[[#This Row],[Answered (Y/N)]]="Y", CallLog[[#This Row],[Speed of answer in seconds]]&lt;=20),
    "Within",
    "Breach")</f>
        <v>Breach</v>
      </c>
      <c r="M513" s="1">
        <v>2.4421296296296296E-3</v>
      </c>
      <c r="N513">
        <v>4</v>
      </c>
    </row>
    <row r="514" spans="1:14" x14ac:dyDescent="0.3">
      <c r="A514" t="s">
        <v>546</v>
      </c>
      <c r="B514" t="s">
        <v>47</v>
      </c>
      <c r="C514" t="s">
        <v>480</v>
      </c>
      <c r="D514" s="1">
        <v>0.73799768518518516</v>
      </c>
      <c r="E514" s="2">
        <f>CallLog[[#This Row],[Date]]+CallLog[[#This Row],[Time]]</f>
        <v>44205.737997685188</v>
      </c>
      <c r="F514" s="1" t="str">
        <f>TEXT(CallLog[[#This Row],[Date]],"dddd")</f>
        <v>Saturday</v>
      </c>
      <c r="G514" s="3">
        <f>HOUR(CallLog[[#This Row],[Time]])</f>
        <v>17</v>
      </c>
      <c r="H514" t="s">
        <v>17</v>
      </c>
      <c r="I514" t="s">
        <v>14</v>
      </c>
      <c r="J514" t="s">
        <v>18</v>
      </c>
      <c r="K514">
        <v>60</v>
      </c>
      <c r="L514" t="str">
        <f>IF(AND(CallLog[[#This Row],[Answered (Y/N)]]="Y", CallLog[[#This Row],[Speed of answer in seconds]]&lt;=20),
    "Within",
    "Breach")</f>
        <v>Breach</v>
      </c>
      <c r="M514" s="1">
        <v>1.4583333333333334E-3</v>
      </c>
      <c r="N514">
        <v>3</v>
      </c>
    </row>
    <row r="515" spans="1:14" x14ac:dyDescent="0.3">
      <c r="A515" t="s">
        <v>547</v>
      </c>
      <c r="B515" t="s">
        <v>31</v>
      </c>
      <c r="C515" t="s">
        <v>480</v>
      </c>
      <c r="D515" s="1">
        <v>0.73799768518518516</v>
      </c>
      <c r="E515" s="2">
        <f>CallLog[[#This Row],[Date]]+CallLog[[#This Row],[Time]]</f>
        <v>44205.737997685188</v>
      </c>
      <c r="F515" s="1" t="str">
        <f>TEXT(CallLog[[#This Row],[Date]],"dddd")</f>
        <v>Saturday</v>
      </c>
      <c r="G515" s="3">
        <f>HOUR(CallLog[[#This Row],[Time]])</f>
        <v>17</v>
      </c>
      <c r="H515" t="s">
        <v>24</v>
      </c>
      <c r="I515" t="s">
        <v>14</v>
      </c>
      <c r="J515" t="s">
        <v>14</v>
      </c>
      <c r="K515">
        <v>116</v>
      </c>
      <c r="L515" t="str">
        <f>IF(AND(CallLog[[#This Row],[Answered (Y/N)]]="Y", CallLog[[#This Row],[Speed of answer in seconds]]&lt;=20),
    "Within",
    "Breach")</f>
        <v>Breach</v>
      </c>
      <c r="M515" s="1">
        <v>3.2175925925925926E-3</v>
      </c>
      <c r="N515">
        <v>4</v>
      </c>
    </row>
    <row r="516" spans="1:14" x14ac:dyDescent="0.3">
      <c r="A516" t="s">
        <v>548</v>
      </c>
      <c r="B516" t="s">
        <v>20</v>
      </c>
      <c r="C516" t="s">
        <v>549</v>
      </c>
      <c r="D516" s="1">
        <v>0.375</v>
      </c>
      <c r="E516" s="2">
        <f>CallLog[[#This Row],[Date]]+CallLog[[#This Row],[Time]]</f>
        <v>44206.375</v>
      </c>
      <c r="F516" s="1" t="str">
        <f>TEXT(CallLog[[#This Row],[Date]],"dddd")</f>
        <v>Sunday</v>
      </c>
      <c r="G516" s="3">
        <f>HOUR(CallLog[[#This Row],[Time]])</f>
        <v>9</v>
      </c>
      <c r="H516" t="s">
        <v>24</v>
      </c>
      <c r="I516" t="s">
        <v>14</v>
      </c>
      <c r="J516" t="s">
        <v>14</v>
      </c>
      <c r="K516">
        <v>19</v>
      </c>
      <c r="L516" t="str">
        <f>IF(AND(CallLog[[#This Row],[Answered (Y/N)]]="Y", CallLog[[#This Row],[Speed of answer in seconds]]&lt;=20),
    "Within",
    "Breach")</f>
        <v>Within</v>
      </c>
      <c r="M516" s="1">
        <v>4.2939814814814811E-3</v>
      </c>
      <c r="N516">
        <v>5</v>
      </c>
    </row>
    <row r="517" spans="1:14" x14ac:dyDescent="0.3">
      <c r="A517" t="s">
        <v>550</v>
      </c>
      <c r="B517" t="s">
        <v>38</v>
      </c>
      <c r="C517" t="s">
        <v>549</v>
      </c>
      <c r="D517" s="1">
        <v>0.375</v>
      </c>
      <c r="E517" s="2">
        <f>CallLog[[#This Row],[Date]]+CallLog[[#This Row],[Time]]</f>
        <v>44206.375</v>
      </c>
      <c r="F517" s="1" t="str">
        <f>TEXT(CallLog[[#This Row],[Date]],"dddd")</f>
        <v>Sunday</v>
      </c>
      <c r="G517" s="3">
        <f>HOUR(CallLog[[#This Row],[Time]])</f>
        <v>9</v>
      </c>
      <c r="H517" t="s">
        <v>13</v>
      </c>
      <c r="I517" t="s">
        <v>14</v>
      </c>
      <c r="J517" t="s">
        <v>14</v>
      </c>
      <c r="K517">
        <v>75</v>
      </c>
      <c r="L517" t="str">
        <f>IF(AND(CallLog[[#This Row],[Answered (Y/N)]]="Y", CallLog[[#This Row],[Speed of answer in seconds]]&lt;=20),
    "Within",
    "Breach")</f>
        <v>Breach</v>
      </c>
      <c r="M517" s="1">
        <v>4.0509259259259257E-3</v>
      </c>
      <c r="N517">
        <v>3</v>
      </c>
    </row>
    <row r="518" spans="1:14" x14ac:dyDescent="0.3">
      <c r="A518" t="s">
        <v>551</v>
      </c>
      <c r="B518" t="s">
        <v>16</v>
      </c>
      <c r="C518" t="s">
        <v>549</v>
      </c>
      <c r="D518" s="1">
        <v>0.38099537037037035</v>
      </c>
      <c r="E518" s="2">
        <f>CallLog[[#This Row],[Date]]+CallLog[[#This Row],[Time]]</f>
        <v>44206.380995370368</v>
      </c>
      <c r="F518" s="1" t="str">
        <f>TEXT(CallLog[[#This Row],[Date]],"dddd")</f>
        <v>Sunday</v>
      </c>
      <c r="G518" s="3">
        <f>HOUR(CallLog[[#This Row],[Time]])</f>
        <v>9</v>
      </c>
      <c r="H518" t="s">
        <v>29</v>
      </c>
      <c r="I518" t="s">
        <v>14</v>
      </c>
      <c r="J518" t="s">
        <v>14</v>
      </c>
      <c r="K518">
        <v>23</v>
      </c>
      <c r="L518" t="str">
        <f>IF(AND(CallLog[[#This Row],[Answered (Y/N)]]="Y", CallLog[[#This Row],[Speed of answer in seconds]]&lt;=20),
    "Within",
    "Breach")</f>
        <v>Breach</v>
      </c>
      <c r="M518" s="1">
        <v>5.5555555555555556E-4</v>
      </c>
      <c r="N518">
        <v>3</v>
      </c>
    </row>
    <row r="519" spans="1:14" x14ac:dyDescent="0.3">
      <c r="A519" t="s">
        <v>552</v>
      </c>
      <c r="B519" t="s">
        <v>11</v>
      </c>
      <c r="C519" t="s">
        <v>549</v>
      </c>
      <c r="D519" s="1">
        <v>0.38099537037037035</v>
      </c>
      <c r="E519" s="2">
        <f>CallLog[[#This Row],[Date]]+CallLog[[#This Row],[Time]]</f>
        <v>44206.380995370368</v>
      </c>
      <c r="F519" s="1" t="str">
        <f>TEXT(CallLog[[#This Row],[Date]],"dddd")</f>
        <v>Sunday</v>
      </c>
      <c r="G519" s="3">
        <f>HOUR(CallLog[[#This Row],[Time]])</f>
        <v>9</v>
      </c>
      <c r="H519" t="s">
        <v>17</v>
      </c>
      <c r="I519" t="s">
        <v>14</v>
      </c>
      <c r="J519" t="s">
        <v>14</v>
      </c>
      <c r="K519">
        <v>69</v>
      </c>
      <c r="L519" t="str">
        <f>IF(AND(CallLog[[#This Row],[Answered (Y/N)]]="Y", CallLog[[#This Row],[Speed of answer in seconds]]&lt;=20),
    "Within",
    "Breach")</f>
        <v>Breach</v>
      </c>
      <c r="M519" s="1">
        <v>2.6967592592592594E-3</v>
      </c>
      <c r="N519">
        <v>3</v>
      </c>
    </row>
    <row r="520" spans="1:14" x14ac:dyDescent="0.3">
      <c r="A520" t="s">
        <v>553</v>
      </c>
      <c r="B520" t="s">
        <v>31</v>
      </c>
      <c r="C520" t="s">
        <v>549</v>
      </c>
      <c r="D520" s="1">
        <v>0.42099537037037038</v>
      </c>
      <c r="E520" s="2">
        <f>CallLog[[#This Row],[Date]]+CallLog[[#This Row],[Time]]</f>
        <v>44206.420995370368</v>
      </c>
      <c r="F520" s="1" t="str">
        <f>TEXT(CallLog[[#This Row],[Date]],"dddd")</f>
        <v>Sunday</v>
      </c>
      <c r="G520" s="3">
        <f>HOUR(CallLog[[#This Row],[Time]])</f>
        <v>10</v>
      </c>
      <c r="H520" t="s">
        <v>32</v>
      </c>
      <c r="I520" t="s">
        <v>14</v>
      </c>
      <c r="J520" t="s">
        <v>14</v>
      </c>
      <c r="K520">
        <v>64</v>
      </c>
      <c r="L520" t="str">
        <f>IF(AND(CallLog[[#This Row],[Answered (Y/N)]]="Y", CallLog[[#This Row],[Speed of answer in seconds]]&lt;=20),
    "Within",
    "Breach")</f>
        <v>Breach</v>
      </c>
      <c r="M520" s="1">
        <v>3.0439814814814813E-3</v>
      </c>
      <c r="N520">
        <v>5</v>
      </c>
    </row>
    <row r="521" spans="1:14" x14ac:dyDescent="0.3">
      <c r="A521" t="s">
        <v>554</v>
      </c>
      <c r="B521" t="s">
        <v>38</v>
      </c>
      <c r="C521" t="s">
        <v>549</v>
      </c>
      <c r="D521" s="1">
        <v>0.42099537037037038</v>
      </c>
      <c r="E521" s="2">
        <f>CallLog[[#This Row],[Date]]+CallLog[[#This Row],[Time]]</f>
        <v>44206.420995370368</v>
      </c>
      <c r="F521" s="1" t="str">
        <f>TEXT(CallLog[[#This Row],[Date]],"dddd")</f>
        <v>Sunday</v>
      </c>
      <c r="G521" s="3">
        <f>HOUR(CallLog[[#This Row],[Time]])</f>
        <v>10</v>
      </c>
      <c r="H521" t="s">
        <v>32</v>
      </c>
      <c r="I521" t="s">
        <v>14</v>
      </c>
      <c r="J521" t="s">
        <v>14</v>
      </c>
      <c r="K521">
        <v>117</v>
      </c>
      <c r="L521" t="str">
        <f>IF(AND(CallLog[[#This Row],[Answered (Y/N)]]="Y", CallLog[[#This Row],[Speed of answer in seconds]]&lt;=20),
    "Within",
    "Breach")</f>
        <v>Breach</v>
      </c>
      <c r="M521" s="1">
        <v>2.3495370370370371E-3</v>
      </c>
      <c r="N521">
        <v>3</v>
      </c>
    </row>
    <row r="522" spans="1:14" x14ac:dyDescent="0.3">
      <c r="A522" t="s">
        <v>555</v>
      </c>
      <c r="B522" t="s">
        <v>31</v>
      </c>
      <c r="C522" t="s">
        <v>549</v>
      </c>
      <c r="D522" s="1">
        <v>0.44099537037037034</v>
      </c>
      <c r="E522" s="2">
        <f>CallLog[[#This Row],[Date]]+CallLog[[#This Row],[Time]]</f>
        <v>44206.440995370373</v>
      </c>
      <c r="F522" s="1" t="str">
        <f>TEXT(CallLog[[#This Row],[Date]],"dddd")</f>
        <v>Sunday</v>
      </c>
      <c r="G522" s="3">
        <f>HOUR(CallLog[[#This Row],[Time]])</f>
        <v>10</v>
      </c>
      <c r="H522" t="s">
        <v>32</v>
      </c>
      <c r="I522" t="s">
        <v>14</v>
      </c>
      <c r="J522" t="s">
        <v>14</v>
      </c>
      <c r="K522">
        <v>12</v>
      </c>
      <c r="L522" t="str">
        <f>IF(AND(CallLog[[#This Row],[Answered (Y/N)]]="Y", CallLog[[#This Row],[Speed of answer in seconds]]&lt;=20),
    "Within",
    "Breach")</f>
        <v>Within</v>
      </c>
      <c r="M522" s="1">
        <v>4.5601851851851853E-3</v>
      </c>
      <c r="N522">
        <v>4</v>
      </c>
    </row>
    <row r="523" spans="1:14" x14ac:dyDescent="0.3">
      <c r="A523" t="s">
        <v>556</v>
      </c>
      <c r="B523" t="s">
        <v>11</v>
      </c>
      <c r="C523" t="s">
        <v>549</v>
      </c>
      <c r="D523" s="1">
        <v>0.44099537037037034</v>
      </c>
      <c r="E523" s="2">
        <f>CallLog[[#This Row],[Date]]+CallLog[[#This Row],[Time]]</f>
        <v>44206.440995370373</v>
      </c>
      <c r="F523" s="1" t="str">
        <f>TEXT(CallLog[[#This Row],[Date]],"dddd")</f>
        <v>Sunday</v>
      </c>
      <c r="G523" s="3">
        <f>HOUR(CallLog[[#This Row],[Time]])</f>
        <v>10</v>
      </c>
      <c r="H523" t="s">
        <v>29</v>
      </c>
      <c r="I523" t="s">
        <v>14</v>
      </c>
      <c r="J523" t="s">
        <v>14</v>
      </c>
      <c r="K523">
        <v>102</v>
      </c>
      <c r="L523" t="str">
        <f>IF(AND(CallLog[[#This Row],[Answered (Y/N)]]="Y", CallLog[[#This Row],[Speed of answer in seconds]]&lt;=20),
    "Within",
    "Breach")</f>
        <v>Breach</v>
      </c>
      <c r="M523" s="1">
        <v>1.8287037037037037E-3</v>
      </c>
      <c r="N523">
        <v>4</v>
      </c>
    </row>
    <row r="524" spans="1:14" x14ac:dyDescent="0.3">
      <c r="A524" t="s">
        <v>557</v>
      </c>
      <c r="B524" t="s">
        <v>47</v>
      </c>
      <c r="C524" t="s">
        <v>549</v>
      </c>
      <c r="D524" s="1">
        <v>0.46599537037037037</v>
      </c>
      <c r="E524" s="2">
        <f>CallLog[[#This Row],[Date]]+CallLog[[#This Row],[Time]]</f>
        <v>44206.465995370374</v>
      </c>
      <c r="F524" s="1" t="str">
        <f>TEXT(CallLog[[#This Row],[Date]],"dddd")</f>
        <v>Sunday</v>
      </c>
      <c r="G524" s="3">
        <f>HOUR(CallLog[[#This Row],[Time]])</f>
        <v>11</v>
      </c>
      <c r="H524" t="s">
        <v>17</v>
      </c>
      <c r="I524" t="s">
        <v>14</v>
      </c>
      <c r="J524" t="s">
        <v>14</v>
      </c>
      <c r="K524">
        <v>46</v>
      </c>
      <c r="L524" t="str">
        <f>IF(AND(CallLog[[#This Row],[Answered (Y/N)]]="Y", CallLog[[#This Row],[Speed of answer in seconds]]&lt;=20),
    "Within",
    "Breach")</f>
        <v>Breach</v>
      </c>
      <c r="M524" s="1">
        <v>4.5370370370370373E-3</v>
      </c>
      <c r="N524">
        <v>4</v>
      </c>
    </row>
    <row r="525" spans="1:14" x14ac:dyDescent="0.3">
      <c r="A525" t="s">
        <v>558</v>
      </c>
      <c r="B525" t="s">
        <v>38</v>
      </c>
      <c r="C525" t="s">
        <v>549</v>
      </c>
      <c r="D525" s="1">
        <v>0.46599537037037037</v>
      </c>
      <c r="E525" s="2">
        <f>CallLog[[#This Row],[Date]]+CallLog[[#This Row],[Time]]</f>
        <v>44206.465995370374</v>
      </c>
      <c r="F525" s="1" t="str">
        <f>TEXT(CallLog[[#This Row],[Date]],"dddd")</f>
        <v>Sunday</v>
      </c>
      <c r="G525" s="3">
        <f>HOUR(CallLog[[#This Row],[Time]])</f>
        <v>11</v>
      </c>
      <c r="H525" t="s">
        <v>32</v>
      </c>
      <c r="I525" t="s">
        <v>14</v>
      </c>
      <c r="J525" t="s">
        <v>18</v>
      </c>
      <c r="K525">
        <v>47</v>
      </c>
      <c r="L525" t="str">
        <f>IF(AND(CallLog[[#This Row],[Answered (Y/N)]]="Y", CallLog[[#This Row],[Speed of answer in seconds]]&lt;=20),
    "Within",
    "Breach")</f>
        <v>Breach</v>
      </c>
      <c r="M525" s="1">
        <v>1.0069444444444444E-3</v>
      </c>
      <c r="N525">
        <v>4</v>
      </c>
    </row>
    <row r="526" spans="1:14" x14ac:dyDescent="0.3">
      <c r="A526" t="s">
        <v>559</v>
      </c>
      <c r="B526" t="s">
        <v>47</v>
      </c>
      <c r="C526" t="s">
        <v>549</v>
      </c>
      <c r="D526" s="1">
        <v>0.47099537037037037</v>
      </c>
      <c r="E526" s="2">
        <f>CallLog[[#This Row],[Date]]+CallLog[[#This Row],[Time]]</f>
        <v>44206.470995370371</v>
      </c>
      <c r="F526" s="1" t="str">
        <f>TEXT(CallLog[[#This Row],[Date]],"dddd")</f>
        <v>Sunday</v>
      </c>
      <c r="G526" s="3">
        <f>HOUR(CallLog[[#This Row],[Time]])</f>
        <v>11</v>
      </c>
      <c r="H526" t="s">
        <v>32</v>
      </c>
      <c r="I526" t="s">
        <v>14</v>
      </c>
      <c r="J526" t="s">
        <v>14</v>
      </c>
      <c r="K526">
        <v>98</v>
      </c>
      <c r="L526" t="str">
        <f>IF(AND(CallLog[[#This Row],[Answered (Y/N)]]="Y", CallLog[[#This Row],[Speed of answer in seconds]]&lt;=20),
    "Within",
    "Breach")</f>
        <v>Breach</v>
      </c>
      <c r="M526" s="1">
        <v>1.6550925925925926E-3</v>
      </c>
      <c r="N526">
        <v>4</v>
      </c>
    </row>
    <row r="527" spans="1:14" x14ac:dyDescent="0.3">
      <c r="A527" t="s">
        <v>560</v>
      </c>
      <c r="B527" t="s">
        <v>31</v>
      </c>
      <c r="C527" t="s">
        <v>549</v>
      </c>
      <c r="D527" s="1">
        <v>0.47099537037037037</v>
      </c>
      <c r="E527" s="2">
        <f>CallLog[[#This Row],[Date]]+CallLog[[#This Row],[Time]]</f>
        <v>44206.470995370371</v>
      </c>
      <c r="F527" s="1" t="str">
        <f>TEXT(CallLog[[#This Row],[Date]],"dddd")</f>
        <v>Sunday</v>
      </c>
      <c r="G527" s="3">
        <f>HOUR(CallLog[[#This Row],[Time]])</f>
        <v>11</v>
      </c>
      <c r="H527" t="s">
        <v>13</v>
      </c>
      <c r="I527" t="s">
        <v>14</v>
      </c>
      <c r="J527" t="s">
        <v>14</v>
      </c>
      <c r="K527">
        <v>84</v>
      </c>
      <c r="L527" t="str">
        <f>IF(AND(CallLog[[#This Row],[Answered (Y/N)]]="Y", CallLog[[#This Row],[Speed of answer in seconds]]&lt;=20),
    "Within",
    "Breach")</f>
        <v>Breach</v>
      </c>
      <c r="M527" s="1">
        <v>2.9745370370370373E-3</v>
      </c>
      <c r="N527">
        <v>4</v>
      </c>
    </row>
    <row r="528" spans="1:14" x14ac:dyDescent="0.3">
      <c r="A528" t="s">
        <v>561</v>
      </c>
      <c r="B528" t="s">
        <v>22</v>
      </c>
      <c r="C528" t="s">
        <v>549</v>
      </c>
      <c r="D528" s="1">
        <v>0.47900462962962964</v>
      </c>
      <c r="E528" s="2">
        <f>CallLog[[#This Row],[Date]]+CallLog[[#This Row],[Time]]</f>
        <v>44206.479004629633</v>
      </c>
      <c r="F528" s="1" t="str">
        <f>TEXT(CallLog[[#This Row],[Date]],"dddd")</f>
        <v>Sunday</v>
      </c>
      <c r="G528" s="3">
        <f>HOUR(CallLog[[#This Row],[Time]])</f>
        <v>11</v>
      </c>
      <c r="H528" t="s">
        <v>32</v>
      </c>
      <c r="I528" t="s">
        <v>14</v>
      </c>
      <c r="J528" t="s">
        <v>14</v>
      </c>
      <c r="K528">
        <v>12</v>
      </c>
      <c r="L528" t="str">
        <f>IF(AND(CallLog[[#This Row],[Answered (Y/N)]]="Y", CallLog[[#This Row],[Speed of answer in seconds]]&lt;=20),
    "Within",
    "Breach")</f>
        <v>Within</v>
      </c>
      <c r="M528" s="1">
        <v>1.5393518518518519E-3</v>
      </c>
      <c r="N528">
        <v>3</v>
      </c>
    </row>
    <row r="529" spans="1:14" x14ac:dyDescent="0.3">
      <c r="A529" t="s">
        <v>562</v>
      </c>
      <c r="B529" t="s">
        <v>22</v>
      </c>
      <c r="C529" t="s">
        <v>549</v>
      </c>
      <c r="D529" s="1">
        <v>0.47900462962962964</v>
      </c>
      <c r="E529" s="2">
        <f>CallLog[[#This Row],[Date]]+CallLog[[#This Row],[Time]]</f>
        <v>44206.479004629633</v>
      </c>
      <c r="F529" s="1" t="str">
        <f>TEXT(CallLog[[#This Row],[Date]],"dddd")</f>
        <v>Sunday</v>
      </c>
      <c r="G529" s="3">
        <f>HOUR(CallLog[[#This Row],[Time]])</f>
        <v>11</v>
      </c>
      <c r="H529" t="s">
        <v>24</v>
      </c>
      <c r="I529" t="s">
        <v>14</v>
      </c>
      <c r="J529" t="s">
        <v>14</v>
      </c>
      <c r="K529">
        <v>88</v>
      </c>
      <c r="L529" t="str">
        <f>IF(AND(CallLog[[#This Row],[Answered (Y/N)]]="Y", CallLog[[#This Row],[Speed of answer in seconds]]&lt;=20),
    "Within",
    "Breach")</f>
        <v>Breach</v>
      </c>
      <c r="M529" s="1">
        <v>2.3842592592592591E-3</v>
      </c>
      <c r="N529">
        <v>4</v>
      </c>
    </row>
    <row r="530" spans="1:14" x14ac:dyDescent="0.3">
      <c r="A530" t="s">
        <v>563</v>
      </c>
      <c r="B530" t="s">
        <v>20</v>
      </c>
      <c r="C530" t="s">
        <v>549</v>
      </c>
      <c r="D530" s="1">
        <v>0.48</v>
      </c>
      <c r="E530" s="2">
        <f>CallLog[[#This Row],[Date]]+CallLog[[#This Row],[Time]]</f>
        <v>44206.48</v>
      </c>
      <c r="F530" s="1" t="str">
        <f>TEXT(CallLog[[#This Row],[Date]],"dddd")</f>
        <v>Sunday</v>
      </c>
      <c r="G530" s="3">
        <f>HOUR(CallLog[[#This Row],[Time]])</f>
        <v>11</v>
      </c>
      <c r="H530" t="s">
        <v>13</v>
      </c>
      <c r="I530" t="s">
        <v>14</v>
      </c>
      <c r="J530" t="s">
        <v>14</v>
      </c>
      <c r="K530">
        <v>97</v>
      </c>
      <c r="L530" t="str">
        <f>IF(AND(CallLog[[#This Row],[Answered (Y/N)]]="Y", CallLog[[#This Row],[Speed of answer in seconds]]&lt;=20),
    "Within",
    "Breach")</f>
        <v>Breach</v>
      </c>
      <c r="M530" s="1">
        <v>4.0856481481481481E-3</v>
      </c>
      <c r="N530">
        <v>1</v>
      </c>
    </row>
    <row r="531" spans="1:14" x14ac:dyDescent="0.3">
      <c r="A531" t="s">
        <v>564</v>
      </c>
      <c r="B531" t="s">
        <v>34</v>
      </c>
      <c r="C531" t="s">
        <v>549</v>
      </c>
      <c r="D531" s="1">
        <v>0.48</v>
      </c>
      <c r="E531" s="2">
        <f>CallLog[[#This Row],[Date]]+CallLog[[#This Row],[Time]]</f>
        <v>44206.48</v>
      </c>
      <c r="F531" s="1" t="str">
        <f>TEXT(CallLog[[#This Row],[Date]],"dddd")</f>
        <v>Sunday</v>
      </c>
      <c r="G531" s="3">
        <f>HOUR(CallLog[[#This Row],[Time]])</f>
        <v>11</v>
      </c>
      <c r="H531" t="s">
        <v>29</v>
      </c>
      <c r="I531" t="s">
        <v>14</v>
      </c>
      <c r="J531" t="s">
        <v>14</v>
      </c>
      <c r="K531">
        <v>51</v>
      </c>
      <c r="L531" t="str">
        <f>IF(AND(CallLog[[#This Row],[Answered (Y/N)]]="Y", CallLog[[#This Row],[Speed of answer in seconds]]&lt;=20),
    "Within",
    "Breach")</f>
        <v>Breach</v>
      </c>
      <c r="M531" s="1">
        <v>4.1203703703703706E-3</v>
      </c>
      <c r="N531">
        <v>3</v>
      </c>
    </row>
    <row r="532" spans="1:14" x14ac:dyDescent="0.3">
      <c r="A532" t="s">
        <v>565</v>
      </c>
      <c r="B532" t="s">
        <v>16</v>
      </c>
      <c r="C532" t="s">
        <v>549</v>
      </c>
      <c r="D532" s="1">
        <v>0.49099537037037039</v>
      </c>
      <c r="E532" s="2">
        <f>CallLog[[#This Row],[Date]]+CallLog[[#This Row],[Time]]</f>
        <v>44206.490995370368</v>
      </c>
      <c r="F532" s="1" t="str">
        <f>TEXT(CallLog[[#This Row],[Date]],"dddd")</f>
        <v>Sunday</v>
      </c>
      <c r="G532" s="3">
        <f>HOUR(CallLog[[#This Row],[Time]])</f>
        <v>11</v>
      </c>
      <c r="H532" t="s">
        <v>29</v>
      </c>
      <c r="I532" t="s">
        <v>18</v>
      </c>
      <c r="J532" t="s">
        <v>18</v>
      </c>
      <c r="L532" t="str">
        <f>IF(AND(CallLog[[#This Row],[Answered (Y/N)]]="Y", CallLog[[#This Row],[Speed of answer in seconds]]&lt;=20),
    "Within",
    "Breach")</f>
        <v>Breach</v>
      </c>
    </row>
    <row r="533" spans="1:14" x14ac:dyDescent="0.3">
      <c r="A533" t="s">
        <v>566</v>
      </c>
      <c r="B533" t="s">
        <v>47</v>
      </c>
      <c r="C533" t="s">
        <v>549</v>
      </c>
      <c r="D533" s="1">
        <v>0.49099537037037039</v>
      </c>
      <c r="E533" s="2">
        <f>CallLog[[#This Row],[Date]]+CallLog[[#This Row],[Time]]</f>
        <v>44206.490995370368</v>
      </c>
      <c r="F533" s="1" t="str">
        <f>TEXT(CallLog[[#This Row],[Date]],"dddd")</f>
        <v>Sunday</v>
      </c>
      <c r="G533" s="3">
        <f>HOUR(CallLog[[#This Row],[Time]])</f>
        <v>11</v>
      </c>
      <c r="H533" t="s">
        <v>32</v>
      </c>
      <c r="I533" t="s">
        <v>14</v>
      </c>
      <c r="J533" t="s">
        <v>14</v>
      </c>
      <c r="K533">
        <v>106</v>
      </c>
      <c r="L533" t="str">
        <f>IF(AND(CallLog[[#This Row],[Answered (Y/N)]]="Y", CallLog[[#This Row],[Speed of answer in seconds]]&lt;=20),
    "Within",
    "Breach")</f>
        <v>Breach</v>
      </c>
      <c r="M533" s="1">
        <v>1.8171296296296297E-3</v>
      </c>
      <c r="N533">
        <v>4</v>
      </c>
    </row>
    <row r="534" spans="1:14" x14ac:dyDescent="0.3">
      <c r="A534" t="s">
        <v>567</v>
      </c>
      <c r="B534" t="s">
        <v>11</v>
      </c>
      <c r="C534" t="s">
        <v>549</v>
      </c>
      <c r="D534" s="1">
        <v>0.51900462962962968</v>
      </c>
      <c r="E534" s="2">
        <f>CallLog[[#This Row],[Date]]+CallLog[[#This Row],[Time]]</f>
        <v>44206.519004629627</v>
      </c>
      <c r="F534" s="1" t="str">
        <f>TEXT(CallLog[[#This Row],[Date]],"dddd")</f>
        <v>Sunday</v>
      </c>
      <c r="G534" s="3">
        <f>HOUR(CallLog[[#This Row],[Time]])</f>
        <v>12</v>
      </c>
      <c r="H534" t="s">
        <v>29</v>
      </c>
      <c r="I534" t="s">
        <v>14</v>
      </c>
      <c r="J534" t="s">
        <v>14</v>
      </c>
      <c r="K534">
        <v>34</v>
      </c>
      <c r="L534" t="str">
        <f>IF(AND(CallLog[[#This Row],[Answered (Y/N)]]="Y", CallLog[[#This Row],[Speed of answer in seconds]]&lt;=20),
    "Within",
    "Breach")</f>
        <v>Breach</v>
      </c>
      <c r="M534" s="1">
        <v>2.685185185185185E-3</v>
      </c>
      <c r="N534">
        <v>4</v>
      </c>
    </row>
    <row r="535" spans="1:14" x14ac:dyDescent="0.3">
      <c r="A535" t="s">
        <v>568</v>
      </c>
      <c r="B535" t="s">
        <v>20</v>
      </c>
      <c r="C535" t="s">
        <v>549</v>
      </c>
      <c r="D535" s="1">
        <v>0.51900462962962968</v>
      </c>
      <c r="E535" s="2">
        <f>CallLog[[#This Row],[Date]]+CallLog[[#This Row],[Time]]</f>
        <v>44206.519004629627</v>
      </c>
      <c r="F535" s="1" t="str">
        <f>TEXT(CallLog[[#This Row],[Date]],"dddd")</f>
        <v>Sunday</v>
      </c>
      <c r="G535" s="3">
        <f>HOUR(CallLog[[#This Row],[Time]])</f>
        <v>12</v>
      </c>
      <c r="H535" t="s">
        <v>32</v>
      </c>
      <c r="I535" t="s">
        <v>18</v>
      </c>
      <c r="J535" t="s">
        <v>18</v>
      </c>
      <c r="L535" t="str">
        <f>IF(AND(CallLog[[#This Row],[Answered (Y/N)]]="Y", CallLog[[#This Row],[Speed of answer in seconds]]&lt;=20),
    "Within",
    "Breach")</f>
        <v>Breach</v>
      </c>
    </row>
    <row r="536" spans="1:14" x14ac:dyDescent="0.3">
      <c r="A536" t="s">
        <v>569</v>
      </c>
      <c r="B536" t="s">
        <v>47</v>
      </c>
      <c r="C536" t="s">
        <v>549</v>
      </c>
      <c r="D536" s="1">
        <v>0.52299768518518519</v>
      </c>
      <c r="E536" s="2">
        <f>CallLog[[#This Row],[Date]]+CallLog[[#This Row],[Time]]</f>
        <v>44206.522997685184</v>
      </c>
      <c r="F536" s="1" t="str">
        <f>TEXT(CallLog[[#This Row],[Date]],"dddd")</f>
        <v>Sunday</v>
      </c>
      <c r="G536" s="3">
        <f>HOUR(CallLog[[#This Row],[Time]])</f>
        <v>12</v>
      </c>
      <c r="H536" t="s">
        <v>17</v>
      </c>
      <c r="I536" t="s">
        <v>14</v>
      </c>
      <c r="J536" t="s">
        <v>14</v>
      </c>
      <c r="K536">
        <v>51</v>
      </c>
      <c r="L536" t="str">
        <f>IF(AND(CallLog[[#This Row],[Answered (Y/N)]]="Y", CallLog[[#This Row],[Speed of answer in seconds]]&lt;=20),
    "Within",
    "Breach")</f>
        <v>Breach</v>
      </c>
      <c r="M536" s="1">
        <v>3.8541666666666668E-3</v>
      </c>
      <c r="N536">
        <v>3</v>
      </c>
    </row>
    <row r="537" spans="1:14" x14ac:dyDescent="0.3">
      <c r="A537" t="s">
        <v>570</v>
      </c>
      <c r="B537" t="s">
        <v>22</v>
      </c>
      <c r="C537" t="s">
        <v>549</v>
      </c>
      <c r="D537" s="1">
        <v>0.52299768518518519</v>
      </c>
      <c r="E537" s="2">
        <f>CallLog[[#This Row],[Date]]+CallLog[[#This Row],[Time]]</f>
        <v>44206.522997685184</v>
      </c>
      <c r="F537" s="1" t="str">
        <f>TEXT(CallLog[[#This Row],[Date]],"dddd")</f>
        <v>Sunday</v>
      </c>
      <c r="G537" s="3">
        <f>HOUR(CallLog[[#This Row],[Time]])</f>
        <v>12</v>
      </c>
      <c r="H537" t="s">
        <v>17</v>
      </c>
      <c r="I537" t="s">
        <v>14</v>
      </c>
      <c r="J537" t="s">
        <v>14</v>
      </c>
      <c r="K537">
        <v>74</v>
      </c>
      <c r="L537" t="str">
        <f>IF(AND(CallLog[[#This Row],[Answered (Y/N)]]="Y", CallLog[[#This Row],[Speed of answer in seconds]]&lt;=20),
    "Within",
    "Breach")</f>
        <v>Breach</v>
      </c>
      <c r="M537" s="1">
        <v>3.4027777777777776E-3</v>
      </c>
      <c r="N537">
        <v>4</v>
      </c>
    </row>
    <row r="538" spans="1:14" x14ac:dyDescent="0.3">
      <c r="A538" t="s">
        <v>571</v>
      </c>
      <c r="B538" t="s">
        <v>22</v>
      </c>
      <c r="C538" t="s">
        <v>549</v>
      </c>
      <c r="D538" s="1">
        <v>0.53900462962962958</v>
      </c>
      <c r="E538" s="2">
        <f>CallLog[[#This Row],[Date]]+CallLog[[#This Row],[Time]]</f>
        <v>44206.539004629631</v>
      </c>
      <c r="F538" s="1" t="str">
        <f>TEXT(CallLog[[#This Row],[Date]],"dddd")</f>
        <v>Sunday</v>
      </c>
      <c r="G538" s="3">
        <f>HOUR(CallLog[[#This Row],[Time]])</f>
        <v>12</v>
      </c>
      <c r="H538" t="s">
        <v>13</v>
      </c>
      <c r="I538" t="s">
        <v>14</v>
      </c>
      <c r="J538" t="s">
        <v>14</v>
      </c>
      <c r="K538">
        <v>29</v>
      </c>
      <c r="L538" t="str">
        <f>IF(AND(CallLog[[#This Row],[Answered (Y/N)]]="Y", CallLog[[#This Row],[Speed of answer in seconds]]&lt;=20),
    "Within",
    "Breach")</f>
        <v>Breach</v>
      </c>
      <c r="M538" s="1">
        <v>8.7962962962962962E-4</v>
      </c>
      <c r="N538">
        <v>3</v>
      </c>
    </row>
    <row r="539" spans="1:14" x14ac:dyDescent="0.3">
      <c r="A539" t="s">
        <v>572</v>
      </c>
      <c r="B539" t="s">
        <v>38</v>
      </c>
      <c r="C539" t="s">
        <v>549</v>
      </c>
      <c r="D539" s="1">
        <v>0.53900462962962958</v>
      </c>
      <c r="E539" s="2">
        <f>CallLog[[#This Row],[Date]]+CallLog[[#This Row],[Time]]</f>
        <v>44206.539004629631</v>
      </c>
      <c r="F539" s="1" t="str">
        <f>TEXT(CallLog[[#This Row],[Date]],"dddd")</f>
        <v>Sunday</v>
      </c>
      <c r="G539" s="3">
        <f>HOUR(CallLog[[#This Row],[Time]])</f>
        <v>12</v>
      </c>
      <c r="H539" t="s">
        <v>29</v>
      </c>
      <c r="I539" t="s">
        <v>14</v>
      </c>
      <c r="J539" t="s">
        <v>14</v>
      </c>
      <c r="K539">
        <v>123</v>
      </c>
      <c r="L539" t="str">
        <f>IF(AND(CallLog[[#This Row],[Answered (Y/N)]]="Y", CallLog[[#This Row],[Speed of answer in seconds]]&lt;=20),
    "Within",
    "Breach")</f>
        <v>Breach</v>
      </c>
      <c r="M539" s="1">
        <v>4.340277777777778E-3</v>
      </c>
      <c r="N539">
        <v>3</v>
      </c>
    </row>
    <row r="540" spans="1:14" x14ac:dyDescent="0.3">
      <c r="A540" t="s">
        <v>573</v>
      </c>
      <c r="B540" t="s">
        <v>16</v>
      </c>
      <c r="C540" t="s">
        <v>549</v>
      </c>
      <c r="D540" s="1">
        <v>0.55099537037037039</v>
      </c>
      <c r="E540" s="2">
        <f>CallLog[[#This Row],[Date]]+CallLog[[#This Row],[Time]]</f>
        <v>44206.550995370373</v>
      </c>
      <c r="F540" s="1" t="str">
        <f>TEXT(CallLog[[#This Row],[Date]],"dddd")</f>
        <v>Sunday</v>
      </c>
      <c r="G540" s="3">
        <f>HOUR(CallLog[[#This Row],[Time]])</f>
        <v>13</v>
      </c>
      <c r="H540" t="s">
        <v>13</v>
      </c>
      <c r="I540" t="s">
        <v>14</v>
      </c>
      <c r="J540" t="s">
        <v>14</v>
      </c>
      <c r="K540">
        <v>100</v>
      </c>
      <c r="L540" t="str">
        <f>IF(AND(CallLog[[#This Row],[Answered (Y/N)]]="Y", CallLog[[#This Row],[Speed of answer in seconds]]&lt;=20),
    "Within",
    "Breach")</f>
        <v>Breach</v>
      </c>
      <c r="M540" s="1">
        <v>4.7453703703703698E-4</v>
      </c>
      <c r="N540">
        <v>4</v>
      </c>
    </row>
    <row r="541" spans="1:14" x14ac:dyDescent="0.3">
      <c r="A541" t="s">
        <v>574</v>
      </c>
      <c r="B541" t="s">
        <v>47</v>
      </c>
      <c r="C541" t="s">
        <v>549</v>
      </c>
      <c r="D541" s="1">
        <v>0.55099537037037039</v>
      </c>
      <c r="E541" s="2">
        <f>CallLog[[#This Row],[Date]]+CallLog[[#This Row],[Time]]</f>
        <v>44206.550995370373</v>
      </c>
      <c r="F541" s="1" t="str">
        <f>TEXT(CallLog[[#This Row],[Date]],"dddd")</f>
        <v>Sunday</v>
      </c>
      <c r="G541" s="3">
        <f>HOUR(CallLog[[#This Row],[Time]])</f>
        <v>13</v>
      </c>
      <c r="H541" t="s">
        <v>32</v>
      </c>
      <c r="I541" t="s">
        <v>14</v>
      </c>
      <c r="J541" t="s">
        <v>14</v>
      </c>
      <c r="K541">
        <v>43</v>
      </c>
      <c r="L541" t="str">
        <f>IF(AND(CallLog[[#This Row],[Answered (Y/N)]]="Y", CallLog[[#This Row],[Speed of answer in seconds]]&lt;=20),
    "Within",
    "Breach")</f>
        <v>Breach</v>
      </c>
      <c r="M541" s="1">
        <v>4.7800925925925927E-3</v>
      </c>
      <c r="N541">
        <v>3</v>
      </c>
    </row>
    <row r="542" spans="1:14" x14ac:dyDescent="0.3">
      <c r="A542" t="s">
        <v>575</v>
      </c>
      <c r="B542" t="s">
        <v>16</v>
      </c>
      <c r="C542" t="s">
        <v>549</v>
      </c>
      <c r="D542" s="1">
        <v>0.57499999999999996</v>
      </c>
      <c r="E542" s="2">
        <f>CallLog[[#This Row],[Date]]+CallLog[[#This Row],[Time]]</f>
        <v>44206.574999999997</v>
      </c>
      <c r="F542" s="1" t="str">
        <f>TEXT(CallLog[[#This Row],[Date]],"dddd")</f>
        <v>Sunday</v>
      </c>
      <c r="G542" s="3">
        <f>HOUR(CallLog[[#This Row],[Time]])</f>
        <v>13</v>
      </c>
      <c r="H542" t="s">
        <v>17</v>
      </c>
      <c r="I542" t="s">
        <v>14</v>
      </c>
      <c r="J542" t="s">
        <v>14</v>
      </c>
      <c r="K542">
        <v>24</v>
      </c>
      <c r="L542" t="str">
        <f>IF(AND(CallLog[[#This Row],[Answered (Y/N)]]="Y", CallLog[[#This Row],[Speed of answer in seconds]]&lt;=20),
    "Within",
    "Breach")</f>
        <v>Breach</v>
      </c>
      <c r="M542" s="1">
        <v>3.1134259259259257E-3</v>
      </c>
      <c r="N542">
        <v>4</v>
      </c>
    </row>
    <row r="543" spans="1:14" x14ac:dyDescent="0.3">
      <c r="A543" t="s">
        <v>576</v>
      </c>
      <c r="B543" t="s">
        <v>31</v>
      </c>
      <c r="C543" t="s">
        <v>549</v>
      </c>
      <c r="D543" s="1">
        <v>0.57499999999999996</v>
      </c>
      <c r="E543" s="2">
        <f>CallLog[[#This Row],[Date]]+CallLog[[#This Row],[Time]]</f>
        <v>44206.574999999997</v>
      </c>
      <c r="F543" s="1" t="str">
        <f>TEXT(CallLog[[#This Row],[Date]],"dddd")</f>
        <v>Sunday</v>
      </c>
      <c r="G543" s="3">
        <f>HOUR(CallLog[[#This Row],[Time]])</f>
        <v>13</v>
      </c>
      <c r="H543" t="s">
        <v>32</v>
      </c>
      <c r="I543" t="s">
        <v>14</v>
      </c>
      <c r="J543" t="s">
        <v>14</v>
      </c>
      <c r="K543">
        <v>78</v>
      </c>
      <c r="L543" t="str">
        <f>IF(AND(CallLog[[#This Row],[Answered (Y/N)]]="Y", CallLog[[#This Row],[Speed of answer in seconds]]&lt;=20),
    "Within",
    "Breach")</f>
        <v>Breach</v>
      </c>
      <c r="M543" s="1">
        <v>4.3287037037037035E-3</v>
      </c>
      <c r="N543">
        <v>4</v>
      </c>
    </row>
    <row r="544" spans="1:14" x14ac:dyDescent="0.3">
      <c r="A544" t="s">
        <v>577</v>
      </c>
      <c r="B544" t="s">
        <v>34</v>
      </c>
      <c r="C544" t="s">
        <v>549</v>
      </c>
      <c r="D544" s="1">
        <v>0.57799768518518524</v>
      </c>
      <c r="E544" s="2">
        <f>CallLog[[#This Row],[Date]]+CallLog[[#This Row],[Time]]</f>
        <v>44206.577997685185</v>
      </c>
      <c r="F544" s="1" t="str">
        <f>TEXT(CallLog[[#This Row],[Date]],"dddd")</f>
        <v>Sunday</v>
      </c>
      <c r="G544" s="3">
        <f>HOUR(CallLog[[#This Row],[Time]])</f>
        <v>13</v>
      </c>
      <c r="H544" t="s">
        <v>24</v>
      </c>
      <c r="I544" t="s">
        <v>14</v>
      </c>
      <c r="J544" t="s">
        <v>14</v>
      </c>
      <c r="K544">
        <v>28</v>
      </c>
      <c r="L544" t="str">
        <f>IF(AND(CallLog[[#This Row],[Answered (Y/N)]]="Y", CallLog[[#This Row],[Speed of answer in seconds]]&lt;=20),
    "Within",
    "Breach")</f>
        <v>Breach</v>
      </c>
      <c r="M544" s="1">
        <v>4.2476851851851851E-3</v>
      </c>
      <c r="N544">
        <v>5</v>
      </c>
    </row>
    <row r="545" spans="1:14" x14ac:dyDescent="0.3">
      <c r="A545" t="s">
        <v>578</v>
      </c>
      <c r="B545" t="s">
        <v>34</v>
      </c>
      <c r="C545" t="s">
        <v>549</v>
      </c>
      <c r="D545" s="1">
        <v>0.57799768518518524</v>
      </c>
      <c r="E545" s="2">
        <f>CallLog[[#This Row],[Date]]+CallLog[[#This Row],[Time]]</f>
        <v>44206.577997685185</v>
      </c>
      <c r="F545" s="1" t="str">
        <f>TEXT(CallLog[[#This Row],[Date]],"dddd")</f>
        <v>Sunday</v>
      </c>
      <c r="G545" s="3">
        <f>HOUR(CallLog[[#This Row],[Time]])</f>
        <v>13</v>
      </c>
      <c r="H545" t="s">
        <v>29</v>
      </c>
      <c r="I545" t="s">
        <v>14</v>
      </c>
      <c r="J545" t="s">
        <v>14</v>
      </c>
      <c r="K545">
        <v>36</v>
      </c>
      <c r="L545" t="str">
        <f>IF(AND(CallLog[[#This Row],[Answered (Y/N)]]="Y", CallLog[[#This Row],[Speed of answer in seconds]]&lt;=20),
    "Within",
    "Breach")</f>
        <v>Breach</v>
      </c>
      <c r="M545" s="1">
        <v>1.0185185185185184E-3</v>
      </c>
      <c r="N545">
        <v>3</v>
      </c>
    </row>
    <row r="546" spans="1:14" x14ac:dyDescent="0.3">
      <c r="A546" t="s">
        <v>579</v>
      </c>
      <c r="B546" t="s">
        <v>34</v>
      </c>
      <c r="C546" t="s">
        <v>549</v>
      </c>
      <c r="D546" s="1">
        <v>0.59</v>
      </c>
      <c r="E546" s="2">
        <f>CallLog[[#This Row],[Date]]+CallLog[[#This Row],[Time]]</f>
        <v>44206.59</v>
      </c>
      <c r="F546" s="1" t="str">
        <f>TEXT(CallLog[[#This Row],[Date]],"dddd")</f>
        <v>Sunday</v>
      </c>
      <c r="G546" s="3">
        <f>HOUR(CallLog[[#This Row],[Time]])</f>
        <v>14</v>
      </c>
      <c r="H546" t="s">
        <v>24</v>
      </c>
      <c r="I546" t="s">
        <v>18</v>
      </c>
      <c r="J546" t="s">
        <v>18</v>
      </c>
      <c r="L546" t="str">
        <f>IF(AND(CallLog[[#This Row],[Answered (Y/N)]]="Y", CallLog[[#This Row],[Speed of answer in seconds]]&lt;=20),
    "Within",
    "Breach")</f>
        <v>Breach</v>
      </c>
    </row>
    <row r="547" spans="1:14" x14ac:dyDescent="0.3">
      <c r="A547" t="s">
        <v>580</v>
      </c>
      <c r="B547" t="s">
        <v>31</v>
      </c>
      <c r="C547" t="s">
        <v>549</v>
      </c>
      <c r="D547" s="1">
        <v>0.59</v>
      </c>
      <c r="E547" s="2">
        <f>CallLog[[#This Row],[Date]]+CallLog[[#This Row],[Time]]</f>
        <v>44206.59</v>
      </c>
      <c r="F547" s="1" t="str">
        <f>TEXT(CallLog[[#This Row],[Date]],"dddd")</f>
        <v>Sunday</v>
      </c>
      <c r="G547" s="3">
        <f>HOUR(CallLog[[#This Row],[Time]])</f>
        <v>14</v>
      </c>
      <c r="H547" t="s">
        <v>24</v>
      </c>
      <c r="I547" t="s">
        <v>14</v>
      </c>
      <c r="J547" t="s">
        <v>14</v>
      </c>
      <c r="K547">
        <v>10</v>
      </c>
      <c r="L547" t="str">
        <f>IF(AND(CallLog[[#This Row],[Answered (Y/N)]]="Y", CallLog[[#This Row],[Speed of answer in seconds]]&lt;=20),
    "Within",
    "Breach")</f>
        <v>Within</v>
      </c>
      <c r="M547" s="1">
        <v>3.1481481481481482E-3</v>
      </c>
      <c r="N547">
        <v>2</v>
      </c>
    </row>
    <row r="548" spans="1:14" x14ac:dyDescent="0.3">
      <c r="A548" t="s">
        <v>581</v>
      </c>
      <c r="B548" t="s">
        <v>47</v>
      </c>
      <c r="C548" t="s">
        <v>549</v>
      </c>
      <c r="D548" s="1">
        <v>0.59499999999999997</v>
      </c>
      <c r="E548" s="2">
        <f>CallLog[[#This Row],[Date]]+CallLog[[#This Row],[Time]]</f>
        <v>44206.595000000001</v>
      </c>
      <c r="F548" s="1" t="str">
        <f>TEXT(CallLog[[#This Row],[Date]],"dddd")</f>
        <v>Sunday</v>
      </c>
      <c r="G548" s="3">
        <f>HOUR(CallLog[[#This Row],[Time]])</f>
        <v>14</v>
      </c>
      <c r="H548" t="s">
        <v>32</v>
      </c>
      <c r="I548" t="s">
        <v>14</v>
      </c>
      <c r="J548" t="s">
        <v>14</v>
      </c>
      <c r="K548">
        <v>43</v>
      </c>
      <c r="L548" t="str">
        <f>IF(AND(CallLog[[#This Row],[Answered (Y/N)]]="Y", CallLog[[#This Row],[Speed of answer in seconds]]&lt;=20),
    "Within",
    "Breach")</f>
        <v>Breach</v>
      </c>
      <c r="M548" s="1">
        <v>4.6527777777777774E-3</v>
      </c>
      <c r="N548">
        <v>3</v>
      </c>
    </row>
    <row r="549" spans="1:14" x14ac:dyDescent="0.3">
      <c r="A549" t="s">
        <v>582</v>
      </c>
      <c r="B549" t="s">
        <v>20</v>
      </c>
      <c r="C549" t="s">
        <v>549</v>
      </c>
      <c r="D549" s="1">
        <v>0.59499999999999997</v>
      </c>
      <c r="E549" s="2">
        <f>CallLog[[#This Row],[Date]]+CallLog[[#This Row],[Time]]</f>
        <v>44206.595000000001</v>
      </c>
      <c r="F549" s="1" t="str">
        <f>TEXT(CallLog[[#This Row],[Date]],"dddd")</f>
        <v>Sunday</v>
      </c>
      <c r="G549" s="3">
        <f>HOUR(CallLog[[#This Row],[Time]])</f>
        <v>14</v>
      </c>
      <c r="H549" t="s">
        <v>17</v>
      </c>
      <c r="I549" t="s">
        <v>14</v>
      </c>
      <c r="J549" t="s">
        <v>14</v>
      </c>
      <c r="K549">
        <v>19</v>
      </c>
      <c r="L549" t="str">
        <f>IF(AND(CallLog[[#This Row],[Answered (Y/N)]]="Y", CallLog[[#This Row],[Speed of answer in seconds]]&lt;=20),
    "Within",
    "Breach")</f>
        <v>Within</v>
      </c>
      <c r="M549" s="1">
        <v>4.3981481481481481E-4</v>
      </c>
      <c r="N549">
        <v>3</v>
      </c>
    </row>
    <row r="550" spans="1:14" x14ac:dyDescent="0.3">
      <c r="A550" t="s">
        <v>583</v>
      </c>
      <c r="B550" t="s">
        <v>11</v>
      </c>
      <c r="C550" t="s">
        <v>549</v>
      </c>
      <c r="D550" s="1">
        <v>0.60099537037037032</v>
      </c>
      <c r="E550" s="2">
        <f>CallLog[[#This Row],[Date]]+CallLog[[#This Row],[Time]]</f>
        <v>44206.600995370369</v>
      </c>
      <c r="F550" s="1" t="str">
        <f>TEXT(CallLog[[#This Row],[Date]],"dddd")</f>
        <v>Sunday</v>
      </c>
      <c r="G550" s="3">
        <f>HOUR(CallLog[[#This Row],[Time]])</f>
        <v>14</v>
      </c>
      <c r="H550" t="s">
        <v>29</v>
      </c>
      <c r="I550" t="s">
        <v>14</v>
      </c>
      <c r="J550" t="s">
        <v>14</v>
      </c>
      <c r="K550">
        <v>74</v>
      </c>
      <c r="L550" t="str">
        <f>IF(AND(CallLog[[#This Row],[Answered (Y/N)]]="Y", CallLog[[#This Row],[Speed of answer in seconds]]&lt;=20),
    "Within",
    "Breach")</f>
        <v>Breach</v>
      </c>
      <c r="M550" s="1">
        <v>4.5601851851851853E-3</v>
      </c>
      <c r="N550">
        <v>3</v>
      </c>
    </row>
    <row r="551" spans="1:14" x14ac:dyDescent="0.3">
      <c r="A551" t="s">
        <v>584</v>
      </c>
      <c r="B551" t="s">
        <v>31</v>
      </c>
      <c r="C551" t="s">
        <v>549</v>
      </c>
      <c r="D551" s="1">
        <v>0.60099537037037032</v>
      </c>
      <c r="E551" s="2">
        <f>CallLog[[#This Row],[Date]]+CallLog[[#This Row],[Time]]</f>
        <v>44206.600995370369</v>
      </c>
      <c r="F551" s="1" t="str">
        <f>TEXT(CallLog[[#This Row],[Date]],"dddd")</f>
        <v>Sunday</v>
      </c>
      <c r="G551" s="3">
        <f>HOUR(CallLog[[#This Row],[Time]])</f>
        <v>14</v>
      </c>
      <c r="H551" t="s">
        <v>32</v>
      </c>
      <c r="I551" t="s">
        <v>14</v>
      </c>
      <c r="J551" t="s">
        <v>14</v>
      </c>
      <c r="K551">
        <v>71</v>
      </c>
      <c r="L551" t="str">
        <f>IF(AND(CallLog[[#This Row],[Answered (Y/N)]]="Y", CallLog[[#This Row],[Speed of answer in seconds]]&lt;=20),
    "Within",
    "Breach")</f>
        <v>Breach</v>
      </c>
      <c r="M551" s="1">
        <v>2.8356481481481483E-3</v>
      </c>
      <c r="N551">
        <v>1</v>
      </c>
    </row>
    <row r="552" spans="1:14" x14ac:dyDescent="0.3">
      <c r="A552" t="s">
        <v>585</v>
      </c>
      <c r="B552" t="s">
        <v>34</v>
      </c>
      <c r="C552" t="s">
        <v>549</v>
      </c>
      <c r="D552" s="1">
        <v>0.60599537037037032</v>
      </c>
      <c r="E552" s="2">
        <f>CallLog[[#This Row],[Date]]+CallLog[[#This Row],[Time]]</f>
        <v>44206.605995370373</v>
      </c>
      <c r="F552" s="1" t="str">
        <f>TEXT(CallLog[[#This Row],[Date]],"dddd")</f>
        <v>Sunday</v>
      </c>
      <c r="G552" s="3">
        <f>HOUR(CallLog[[#This Row],[Time]])</f>
        <v>14</v>
      </c>
      <c r="H552" t="s">
        <v>29</v>
      </c>
      <c r="I552" t="s">
        <v>14</v>
      </c>
      <c r="J552" t="s">
        <v>14</v>
      </c>
      <c r="K552">
        <v>117</v>
      </c>
      <c r="L552" t="str">
        <f>IF(AND(CallLog[[#This Row],[Answered (Y/N)]]="Y", CallLog[[#This Row],[Speed of answer in seconds]]&lt;=20),
    "Within",
    "Breach")</f>
        <v>Breach</v>
      </c>
      <c r="M552" s="1">
        <v>4.3518518518518515E-3</v>
      </c>
      <c r="N552">
        <v>5</v>
      </c>
    </row>
    <row r="553" spans="1:14" x14ac:dyDescent="0.3">
      <c r="A553" t="s">
        <v>586</v>
      </c>
      <c r="B553" t="s">
        <v>34</v>
      </c>
      <c r="C553" t="s">
        <v>549</v>
      </c>
      <c r="D553" s="1">
        <v>0.60599537037037032</v>
      </c>
      <c r="E553" s="2">
        <f>CallLog[[#This Row],[Date]]+CallLog[[#This Row],[Time]]</f>
        <v>44206.605995370373</v>
      </c>
      <c r="F553" s="1" t="str">
        <f>TEXT(CallLog[[#This Row],[Date]],"dddd")</f>
        <v>Sunday</v>
      </c>
      <c r="G553" s="3">
        <f>HOUR(CallLog[[#This Row],[Time]])</f>
        <v>14</v>
      </c>
      <c r="H553" t="s">
        <v>13</v>
      </c>
      <c r="I553" t="s">
        <v>14</v>
      </c>
      <c r="J553" t="s">
        <v>14</v>
      </c>
      <c r="K553">
        <v>61</v>
      </c>
      <c r="L553" t="str">
        <f>IF(AND(CallLog[[#This Row],[Answered (Y/N)]]="Y", CallLog[[#This Row],[Speed of answer in seconds]]&lt;=20),
    "Within",
    "Breach")</f>
        <v>Breach</v>
      </c>
      <c r="M553" s="1">
        <v>3.4837962962962965E-3</v>
      </c>
      <c r="N553">
        <v>3</v>
      </c>
    </row>
    <row r="554" spans="1:14" x14ac:dyDescent="0.3">
      <c r="A554" t="s">
        <v>587</v>
      </c>
      <c r="B554" t="s">
        <v>34</v>
      </c>
      <c r="C554" t="s">
        <v>549</v>
      </c>
      <c r="D554" s="1">
        <v>0.62400462962962966</v>
      </c>
      <c r="E554" s="2">
        <f>CallLog[[#This Row],[Date]]+CallLog[[#This Row],[Time]]</f>
        <v>44206.62400462963</v>
      </c>
      <c r="F554" s="1" t="str">
        <f>TEXT(CallLog[[#This Row],[Date]],"dddd")</f>
        <v>Sunday</v>
      </c>
      <c r="G554" s="3">
        <f>HOUR(CallLog[[#This Row],[Time]])</f>
        <v>14</v>
      </c>
      <c r="H554" t="s">
        <v>13</v>
      </c>
      <c r="I554" t="s">
        <v>14</v>
      </c>
      <c r="J554" t="s">
        <v>14</v>
      </c>
      <c r="K554">
        <v>118</v>
      </c>
      <c r="L554" t="str">
        <f>IF(AND(CallLog[[#This Row],[Answered (Y/N)]]="Y", CallLog[[#This Row],[Speed of answer in seconds]]&lt;=20),
    "Within",
    "Breach")</f>
        <v>Breach</v>
      </c>
      <c r="M554" s="1">
        <v>2.3148148148148147E-3</v>
      </c>
      <c r="N554">
        <v>3</v>
      </c>
    </row>
    <row r="555" spans="1:14" x14ac:dyDescent="0.3">
      <c r="A555" t="s">
        <v>588</v>
      </c>
      <c r="B555" t="s">
        <v>38</v>
      </c>
      <c r="C555" t="s">
        <v>549</v>
      </c>
      <c r="D555" s="1">
        <v>0.62400462962962966</v>
      </c>
      <c r="E555" s="2">
        <f>CallLog[[#This Row],[Date]]+CallLog[[#This Row],[Time]]</f>
        <v>44206.62400462963</v>
      </c>
      <c r="F555" s="1" t="str">
        <f>TEXT(CallLog[[#This Row],[Date]],"dddd")</f>
        <v>Sunday</v>
      </c>
      <c r="G555" s="3">
        <f>HOUR(CallLog[[#This Row],[Time]])</f>
        <v>14</v>
      </c>
      <c r="H555" t="s">
        <v>29</v>
      </c>
      <c r="I555" t="s">
        <v>14</v>
      </c>
      <c r="J555" t="s">
        <v>14</v>
      </c>
      <c r="K555">
        <v>87</v>
      </c>
      <c r="L555" t="str">
        <f>IF(AND(CallLog[[#This Row],[Answered (Y/N)]]="Y", CallLog[[#This Row],[Speed of answer in seconds]]&lt;=20),
    "Within",
    "Breach")</f>
        <v>Breach</v>
      </c>
      <c r="M555" s="1">
        <v>2.9861111111111113E-3</v>
      </c>
      <c r="N555">
        <v>4</v>
      </c>
    </row>
    <row r="556" spans="1:14" x14ac:dyDescent="0.3">
      <c r="A556" t="s">
        <v>589</v>
      </c>
      <c r="B556" t="s">
        <v>11</v>
      </c>
      <c r="C556" t="s">
        <v>549</v>
      </c>
      <c r="D556" s="1">
        <v>0.66400462962962958</v>
      </c>
      <c r="E556" s="2">
        <f>CallLog[[#This Row],[Date]]+CallLog[[#This Row],[Time]]</f>
        <v>44206.664004629631</v>
      </c>
      <c r="F556" s="1" t="str">
        <f>TEXT(CallLog[[#This Row],[Date]],"dddd")</f>
        <v>Sunday</v>
      </c>
      <c r="G556" s="3">
        <f>HOUR(CallLog[[#This Row],[Time]])</f>
        <v>15</v>
      </c>
      <c r="H556" t="s">
        <v>24</v>
      </c>
      <c r="I556" t="s">
        <v>14</v>
      </c>
      <c r="J556" t="s">
        <v>14</v>
      </c>
      <c r="K556">
        <v>48</v>
      </c>
      <c r="L556" t="str">
        <f>IF(AND(CallLog[[#This Row],[Answered (Y/N)]]="Y", CallLog[[#This Row],[Speed of answer in seconds]]&lt;=20),
    "Within",
    "Breach")</f>
        <v>Breach</v>
      </c>
      <c r="M556" s="1">
        <v>7.6388888888888893E-4</v>
      </c>
      <c r="N556">
        <v>4</v>
      </c>
    </row>
    <row r="557" spans="1:14" x14ac:dyDescent="0.3">
      <c r="A557" t="s">
        <v>590</v>
      </c>
      <c r="B557" t="s">
        <v>34</v>
      </c>
      <c r="C557" t="s">
        <v>549</v>
      </c>
      <c r="D557" s="1">
        <v>0.66400462962962958</v>
      </c>
      <c r="E557" s="2">
        <f>CallLog[[#This Row],[Date]]+CallLog[[#This Row],[Time]]</f>
        <v>44206.664004629631</v>
      </c>
      <c r="F557" s="1" t="str">
        <f>TEXT(CallLog[[#This Row],[Date]],"dddd")</f>
        <v>Sunday</v>
      </c>
      <c r="G557" s="3">
        <f>HOUR(CallLog[[#This Row],[Time]])</f>
        <v>15</v>
      </c>
      <c r="H557" t="s">
        <v>13</v>
      </c>
      <c r="I557" t="s">
        <v>14</v>
      </c>
      <c r="J557" t="s">
        <v>14</v>
      </c>
      <c r="K557">
        <v>112</v>
      </c>
      <c r="L557" t="str">
        <f>IF(AND(CallLog[[#This Row],[Answered (Y/N)]]="Y", CallLog[[#This Row],[Speed of answer in seconds]]&lt;=20),
    "Within",
    "Breach")</f>
        <v>Breach</v>
      </c>
      <c r="M557" s="1">
        <v>1.5509259259259259E-3</v>
      </c>
      <c r="N557">
        <v>1</v>
      </c>
    </row>
    <row r="558" spans="1:14" x14ac:dyDescent="0.3">
      <c r="A558" t="s">
        <v>591</v>
      </c>
      <c r="B558" t="s">
        <v>20</v>
      </c>
      <c r="C558" t="s">
        <v>549</v>
      </c>
      <c r="D558" s="1">
        <v>0.66700231481481487</v>
      </c>
      <c r="E558" s="2">
        <f>CallLog[[#This Row],[Date]]+CallLog[[#This Row],[Time]]</f>
        <v>44206.667002314818</v>
      </c>
      <c r="F558" s="1" t="str">
        <f>TEXT(CallLog[[#This Row],[Date]],"dddd")</f>
        <v>Sunday</v>
      </c>
      <c r="G558" s="3">
        <f>HOUR(CallLog[[#This Row],[Time]])</f>
        <v>16</v>
      </c>
      <c r="H558" t="s">
        <v>13</v>
      </c>
      <c r="I558" t="s">
        <v>14</v>
      </c>
      <c r="J558" t="s">
        <v>14</v>
      </c>
      <c r="K558">
        <v>99</v>
      </c>
      <c r="L558" t="str">
        <f>IF(AND(CallLog[[#This Row],[Answered (Y/N)]]="Y", CallLog[[#This Row],[Speed of answer in seconds]]&lt;=20),
    "Within",
    "Breach")</f>
        <v>Breach</v>
      </c>
      <c r="M558" s="1">
        <v>1.8981481481481482E-3</v>
      </c>
      <c r="N558">
        <v>5</v>
      </c>
    </row>
    <row r="559" spans="1:14" x14ac:dyDescent="0.3">
      <c r="A559" t="s">
        <v>592</v>
      </c>
      <c r="B559" t="s">
        <v>16</v>
      </c>
      <c r="C559" t="s">
        <v>549</v>
      </c>
      <c r="D559" s="1">
        <v>0.66700231481481487</v>
      </c>
      <c r="E559" s="2">
        <f>CallLog[[#This Row],[Date]]+CallLog[[#This Row],[Time]]</f>
        <v>44206.667002314818</v>
      </c>
      <c r="F559" s="1" t="str">
        <f>TEXT(CallLog[[#This Row],[Date]],"dddd")</f>
        <v>Sunday</v>
      </c>
      <c r="G559" s="3">
        <f>HOUR(CallLog[[#This Row],[Time]])</f>
        <v>16</v>
      </c>
      <c r="H559" t="s">
        <v>17</v>
      </c>
      <c r="I559" t="s">
        <v>14</v>
      </c>
      <c r="J559" t="s">
        <v>14</v>
      </c>
      <c r="K559">
        <v>103</v>
      </c>
      <c r="L559" t="str">
        <f>IF(AND(CallLog[[#This Row],[Answered (Y/N)]]="Y", CallLog[[#This Row],[Speed of answer in seconds]]&lt;=20),
    "Within",
    "Breach")</f>
        <v>Breach</v>
      </c>
      <c r="M559" s="1">
        <v>2.0370370370370369E-3</v>
      </c>
      <c r="N559">
        <v>4</v>
      </c>
    </row>
    <row r="560" spans="1:14" x14ac:dyDescent="0.3">
      <c r="A560" t="s">
        <v>593</v>
      </c>
      <c r="B560" t="s">
        <v>34</v>
      </c>
      <c r="C560" t="s">
        <v>549</v>
      </c>
      <c r="D560" s="1">
        <v>0.69299768518518523</v>
      </c>
      <c r="E560" s="2">
        <f>CallLog[[#This Row],[Date]]+CallLog[[#This Row],[Time]]</f>
        <v>44206.692997685182</v>
      </c>
      <c r="F560" s="1" t="str">
        <f>TEXT(CallLog[[#This Row],[Date]],"dddd")</f>
        <v>Sunday</v>
      </c>
      <c r="G560" s="3">
        <f>HOUR(CallLog[[#This Row],[Time]])</f>
        <v>16</v>
      </c>
      <c r="H560" t="s">
        <v>24</v>
      </c>
      <c r="I560" t="s">
        <v>14</v>
      </c>
      <c r="J560" t="s">
        <v>14</v>
      </c>
      <c r="K560">
        <v>102</v>
      </c>
      <c r="L560" t="str">
        <f>IF(AND(CallLog[[#This Row],[Answered (Y/N)]]="Y", CallLog[[#This Row],[Speed of answer in seconds]]&lt;=20),
    "Within",
    "Breach")</f>
        <v>Breach</v>
      </c>
      <c r="M560" s="1">
        <v>4.3981481481481481E-4</v>
      </c>
      <c r="N560">
        <v>5</v>
      </c>
    </row>
    <row r="561" spans="1:14" x14ac:dyDescent="0.3">
      <c r="A561" t="s">
        <v>594</v>
      </c>
      <c r="B561" t="s">
        <v>34</v>
      </c>
      <c r="C561" t="s">
        <v>549</v>
      </c>
      <c r="D561" s="1">
        <v>0.69299768518518523</v>
      </c>
      <c r="E561" s="2">
        <f>CallLog[[#This Row],[Date]]+CallLog[[#This Row],[Time]]</f>
        <v>44206.692997685182</v>
      </c>
      <c r="F561" s="1" t="str">
        <f>TEXT(CallLog[[#This Row],[Date]],"dddd")</f>
        <v>Sunday</v>
      </c>
      <c r="G561" s="3">
        <f>HOUR(CallLog[[#This Row],[Time]])</f>
        <v>16</v>
      </c>
      <c r="H561" t="s">
        <v>24</v>
      </c>
      <c r="I561" t="s">
        <v>14</v>
      </c>
      <c r="J561" t="s">
        <v>14</v>
      </c>
      <c r="K561">
        <v>74</v>
      </c>
      <c r="L561" t="str">
        <f>IF(AND(CallLog[[#This Row],[Answered (Y/N)]]="Y", CallLog[[#This Row],[Speed of answer in seconds]]&lt;=20),
    "Within",
    "Breach")</f>
        <v>Breach</v>
      </c>
      <c r="M561" s="1">
        <v>4.8148148148148152E-3</v>
      </c>
      <c r="N561">
        <v>5</v>
      </c>
    </row>
    <row r="562" spans="1:14" x14ac:dyDescent="0.3">
      <c r="A562" t="s">
        <v>595</v>
      </c>
      <c r="B562" t="s">
        <v>22</v>
      </c>
      <c r="C562" t="s">
        <v>549</v>
      </c>
      <c r="D562" s="1">
        <v>0.69299768518518523</v>
      </c>
      <c r="E562" s="2">
        <f>CallLog[[#This Row],[Date]]+CallLog[[#This Row],[Time]]</f>
        <v>44206.692997685182</v>
      </c>
      <c r="F562" s="1" t="str">
        <f>TEXT(CallLog[[#This Row],[Date]],"dddd")</f>
        <v>Sunday</v>
      </c>
      <c r="G562" s="3">
        <f>HOUR(CallLog[[#This Row],[Time]])</f>
        <v>16</v>
      </c>
      <c r="H562" t="s">
        <v>24</v>
      </c>
      <c r="I562" t="s">
        <v>14</v>
      </c>
      <c r="J562" t="s">
        <v>14</v>
      </c>
      <c r="K562">
        <v>28</v>
      </c>
      <c r="L562" t="str">
        <f>IF(AND(CallLog[[#This Row],[Answered (Y/N)]]="Y", CallLog[[#This Row],[Speed of answer in seconds]]&lt;=20),
    "Within",
    "Breach")</f>
        <v>Breach</v>
      </c>
      <c r="M562" s="1">
        <v>1.0300925925925926E-3</v>
      </c>
      <c r="N562">
        <v>1</v>
      </c>
    </row>
    <row r="563" spans="1:14" x14ac:dyDescent="0.3">
      <c r="A563" t="s">
        <v>596</v>
      </c>
      <c r="B563" t="s">
        <v>34</v>
      </c>
      <c r="C563" t="s">
        <v>549</v>
      </c>
      <c r="D563" s="1">
        <v>0.69299768518518523</v>
      </c>
      <c r="E563" s="2">
        <f>CallLog[[#This Row],[Date]]+CallLog[[#This Row],[Time]]</f>
        <v>44206.692997685182</v>
      </c>
      <c r="F563" s="1" t="str">
        <f>TEXT(CallLog[[#This Row],[Date]],"dddd")</f>
        <v>Sunday</v>
      </c>
      <c r="G563" s="3">
        <f>HOUR(CallLog[[#This Row],[Time]])</f>
        <v>16</v>
      </c>
      <c r="H563" t="s">
        <v>13</v>
      </c>
      <c r="I563" t="s">
        <v>14</v>
      </c>
      <c r="J563" t="s">
        <v>14</v>
      </c>
      <c r="K563">
        <v>64</v>
      </c>
      <c r="L563" t="str">
        <f>IF(AND(CallLog[[#This Row],[Answered (Y/N)]]="Y", CallLog[[#This Row],[Speed of answer in seconds]]&lt;=20),
    "Within",
    "Breach")</f>
        <v>Breach</v>
      </c>
      <c r="M563" s="1">
        <v>1.7708333333333332E-3</v>
      </c>
      <c r="N563">
        <v>4</v>
      </c>
    </row>
    <row r="564" spans="1:14" x14ac:dyDescent="0.3">
      <c r="A564" t="s">
        <v>597</v>
      </c>
      <c r="B564" t="s">
        <v>11</v>
      </c>
      <c r="C564" t="s">
        <v>549</v>
      </c>
      <c r="D564" s="1">
        <v>0.6959953703703704</v>
      </c>
      <c r="E564" s="2">
        <f>CallLog[[#This Row],[Date]]+CallLog[[#This Row],[Time]]</f>
        <v>44206.69599537037</v>
      </c>
      <c r="F564" s="1" t="str">
        <f>TEXT(CallLog[[#This Row],[Date]],"dddd")</f>
        <v>Sunday</v>
      </c>
      <c r="G564" s="3">
        <f>HOUR(CallLog[[#This Row],[Time]])</f>
        <v>16</v>
      </c>
      <c r="H564" t="s">
        <v>13</v>
      </c>
      <c r="I564" t="s">
        <v>18</v>
      </c>
      <c r="J564" t="s">
        <v>18</v>
      </c>
      <c r="L564" t="str">
        <f>IF(AND(CallLog[[#This Row],[Answered (Y/N)]]="Y", CallLog[[#This Row],[Speed of answer in seconds]]&lt;=20),
    "Within",
    "Breach")</f>
        <v>Breach</v>
      </c>
    </row>
    <row r="565" spans="1:14" x14ac:dyDescent="0.3">
      <c r="A565" t="s">
        <v>598</v>
      </c>
      <c r="B565" t="s">
        <v>16</v>
      </c>
      <c r="C565" t="s">
        <v>549</v>
      </c>
      <c r="D565" s="1">
        <v>0.6959953703703704</v>
      </c>
      <c r="E565" s="2">
        <f>CallLog[[#This Row],[Date]]+CallLog[[#This Row],[Time]]</f>
        <v>44206.69599537037</v>
      </c>
      <c r="F565" s="1" t="str">
        <f>TEXT(CallLog[[#This Row],[Date]],"dddd")</f>
        <v>Sunday</v>
      </c>
      <c r="G565" s="3">
        <f>HOUR(CallLog[[#This Row],[Time]])</f>
        <v>16</v>
      </c>
      <c r="H565" t="s">
        <v>24</v>
      </c>
      <c r="I565" t="s">
        <v>14</v>
      </c>
      <c r="J565" t="s">
        <v>14</v>
      </c>
      <c r="K565">
        <v>81</v>
      </c>
      <c r="L565" t="str">
        <f>IF(AND(CallLog[[#This Row],[Answered (Y/N)]]="Y", CallLog[[#This Row],[Speed of answer in seconds]]&lt;=20),
    "Within",
    "Breach")</f>
        <v>Breach</v>
      </c>
      <c r="M565" s="1">
        <v>4.5833333333333334E-3</v>
      </c>
      <c r="N565">
        <v>4</v>
      </c>
    </row>
    <row r="566" spans="1:14" x14ac:dyDescent="0.3">
      <c r="A566" t="s">
        <v>599</v>
      </c>
      <c r="B566" t="s">
        <v>16</v>
      </c>
      <c r="C566" t="s">
        <v>549</v>
      </c>
      <c r="D566" s="1">
        <v>0.70700231481481479</v>
      </c>
      <c r="E566" s="2">
        <f>CallLog[[#This Row],[Date]]+CallLog[[#This Row],[Time]]</f>
        <v>44206.707002314812</v>
      </c>
      <c r="F566" s="1" t="str">
        <f>TEXT(CallLog[[#This Row],[Date]],"dddd")</f>
        <v>Sunday</v>
      </c>
      <c r="G566" s="3">
        <f>HOUR(CallLog[[#This Row],[Time]])</f>
        <v>16</v>
      </c>
      <c r="H566" t="s">
        <v>32</v>
      </c>
      <c r="I566" t="s">
        <v>14</v>
      </c>
      <c r="J566" t="s">
        <v>14</v>
      </c>
      <c r="K566">
        <v>121</v>
      </c>
      <c r="L566" t="str">
        <f>IF(AND(CallLog[[#This Row],[Answered (Y/N)]]="Y", CallLog[[#This Row],[Speed of answer in seconds]]&lt;=20),
    "Within",
    "Breach")</f>
        <v>Breach</v>
      </c>
      <c r="M566" s="1">
        <v>7.407407407407407E-4</v>
      </c>
      <c r="N566">
        <v>3</v>
      </c>
    </row>
    <row r="567" spans="1:14" x14ac:dyDescent="0.3">
      <c r="A567" t="s">
        <v>600</v>
      </c>
      <c r="B567" t="s">
        <v>34</v>
      </c>
      <c r="C567" t="s">
        <v>549</v>
      </c>
      <c r="D567" s="1">
        <v>0.70700231481481479</v>
      </c>
      <c r="E567" s="2">
        <f>CallLog[[#This Row],[Date]]+CallLog[[#This Row],[Time]]</f>
        <v>44206.707002314812</v>
      </c>
      <c r="F567" s="1" t="str">
        <f>TEXT(CallLog[[#This Row],[Date]],"dddd")</f>
        <v>Sunday</v>
      </c>
      <c r="G567" s="3">
        <f>HOUR(CallLog[[#This Row],[Time]])</f>
        <v>16</v>
      </c>
      <c r="H567" t="s">
        <v>17</v>
      </c>
      <c r="I567" t="s">
        <v>14</v>
      </c>
      <c r="J567" t="s">
        <v>14</v>
      </c>
      <c r="K567">
        <v>117</v>
      </c>
      <c r="L567" t="str">
        <f>IF(AND(CallLog[[#This Row],[Answered (Y/N)]]="Y", CallLog[[#This Row],[Speed of answer in seconds]]&lt;=20),
    "Within",
    "Breach")</f>
        <v>Breach</v>
      </c>
      <c r="M567" s="1">
        <v>1.9791666666666668E-3</v>
      </c>
      <c r="N567">
        <v>4</v>
      </c>
    </row>
    <row r="568" spans="1:14" x14ac:dyDescent="0.3">
      <c r="A568" t="s">
        <v>601</v>
      </c>
      <c r="B568" t="s">
        <v>11</v>
      </c>
      <c r="C568" t="s">
        <v>549</v>
      </c>
      <c r="D568" s="1">
        <v>0.72499999999999998</v>
      </c>
      <c r="E568" s="2">
        <f>CallLog[[#This Row],[Date]]+CallLog[[#This Row],[Time]]</f>
        <v>44206.724999999999</v>
      </c>
      <c r="F568" s="1" t="str">
        <f>TEXT(CallLog[[#This Row],[Date]],"dddd")</f>
        <v>Sunday</v>
      </c>
      <c r="G568" s="3">
        <f>HOUR(CallLog[[#This Row],[Time]])</f>
        <v>17</v>
      </c>
      <c r="H568" t="s">
        <v>24</v>
      </c>
      <c r="I568" t="s">
        <v>14</v>
      </c>
      <c r="J568" t="s">
        <v>14</v>
      </c>
      <c r="K568">
        <v>55</v>
      </c>
      <c r="L568" t="str">
        <f>IF(AND(CallLog[[#This Row],[Answered (Y/N)]]="Y", CallLog[[#This Row],[Speed of answer in seconds]]&lt;=20),
    "Within",
    "Breach")</f>
        <v>Breach</v>
      </c>
      <c r="M568" s="1">
        <v>2.9398148148148148E-3</v>
      </c>
      <c r="N568">
        <v>4</v>
      </c>
    </row>
    <row r="569" spans="1:14" x14ac:dyDescent="0.3">
      <c r="A569" t="s">
        <v>602</v>
      </c>
      <c r="B569" t="s">
        <v>20</v>
      </c>
      <c r="C569" t="s">
        <v>549</v>
      </c>
      <c r="D569" s="1">
        <v>0.72499999999999998</v>
      </c>
      <c r="E569" s="2">
        <f>CallLog[[#This Row],[Date]]+CallLog[[#This Row],[Time]]</f>
        <v>44206.724999999999</v>
      </c>
      <c r="F569" s="1" t="str">
        <f>TEXT(CallLog[[#This Row],[Date]],"dddd")</f>
        <v>Sunday</v>
      </c>
      <c r="G569" s="3">
        <f>HOUR(CallLog[[#This Row],[Time]])</f>
        <v>17</v>
      </c>
      <c r="H569" t="s">
        <v>17</v>
      </c>
      <c r="I569" t="s">
        <v>18</v>
      </c>
      <c r="J569" t="s">
        <v>18</v>
      </c>
      <c r="L569" t="str">
        <f>IF(AND(CallLog[[#This Row],[Answered (Y/N)]]="Y", CallLog[[#This Row],[Speed of answer in seconds]]&lt;=20),
    "Within",
    "Breach")</f>
        <v>Breach</v>
      </c>
    </row>
    <row r="570" spans="1:14" x14ac:dyDescent="0.3">
      <c r="A570" t="s">
        <v>603</v>
      </c>
      <c r="B570" t="s">
        <v>16</v>
      </c>
      <c r="C570" t="s">
        <v>549</v>
      </c>
      <c r="D570" s="1">
        <v>0.72599537037037032</v>
      </c>
      <c r="E570" s="2">
        <f>CallLog[[#This Row],[Date]]+CallLog[[#This Row],[Time]]</f>
        <v>44206.725995370369</v>
      </c>
      <c r="F570" s="1" t="str">
        <f>TEXT(CallLog[[#This Row],[Date]],"dddd")</f>
        <v>Sunday</v>
      </c>
      <c r="G570" s="3">
        <f>HOUR(CallLog[[#This Row],[Time]])</f>
        <v>17</v>
      </c>
      <c r="H570" t="s">
        <v>32</v>
      </c>
      <c r="I570" t="s">
        <v>14</v>
      </c>
      <c r="J570" t="s">
        <v>14</v>
      </c>
      <c r="K570">
        <v>79</v>
      </c>
      <c r="L570" t="str">
        <f>IF(AND(CallLog[[#This Row],[Answered (Y/N)]]="Y", CallLog[[#This Row],[Speed of answer in seconds]]&lt;=20),
    "Within",
    "Breach")</f>
        <v>Breach</v>
      </c>
      <c r="M570" s="1">
        <v>1.736111111111111E-3</v>
      </c>
      <c r="N570">
        <v>3</v>
      </c>
    </row>
    <row r="571" spans="1:14" x14ac:dyDescent="0.3">
      <c r="A571" t="s">
        <v>604</v>
      </c>
      <c r="B571" t="s">
        <v>38</v>
      </c>
      <c r="C571" t="s">
        <v>549</v>
      </c>
      <c r="D571" s="1">
        <v>0.72599537037037032</v>
      </c>
      <c r="E571" s="2">
        <f>CallLog[[#This Row],[Date]]+CallLog[[#This Row],[Time]]</f>
        <v>44206.725995370369</v>
      </c>
      <c r="F571" s="1" t="str">
        <f>TEXT(CallLog[[#This Row],[Date]],"dddd")</f>
        <v>Sunday</v>
      </c>
      <c r="G571" s="3">
        <f>HOUR(CallLog[[#This Row],[Time]])</f>
        <v>17</v>
      </c>
      <c r="H571" t="s">
        <v>17</v>
      </c>
      <c r="I571" t="s">
        <v>14</v>
      </c>
      <c r="J571" t="s">
        <v>14</v>
      </c>
      <c r="K571">
        <v>120</v>
      </c>
      <c r="L571" t="str">
        <f>IF(AND(CallLog[[#This Row],[Answered (Y/N)]]="Y", CallLog[[#This Row],[Speed of answer in seconds]]&lt;=20),
    "Within",
    "Breach")</f>
        <v>Breach</v>
      </c>
      <c r="M571" s="1">
        <v>1.4930555555555556E-3</v>
      </c>
      <c r="N571">
        <v>1</v>
      </c>
    </row>
    <row r="572" spans="1:14" x14ac:dyDescent="0.3">
      <c r="A572" t="s">
        <v>605</v>
      </c>
      <c r="B572" t="s">
        <v>20</v>
      </c>
      <c r="C572" t="s">
        <v>549</v>
      </c>
      <c r="D572" s="1">
        <v>0.73</v>
      </c>
      <c r="E572" s="2">
        <f>CallLog[[#This Row],[Date]]+CallLog[[#This Row],[Time]]</f>
        <v>44206.73</v>
      </c>
      <c r="F572" s="1" t="str">
        <f>TEXT(CallLog[[#This Row],[Date]],"dddd")</f>
        <v>Sunday</v>
      </c>
      <c r="G572" s="3">
        <f>HOUR(CallLog[[#This Row],[Time]])</f>
        <v>17</v>
      </c>
      <c r="H572" t="s">
        <v>13</v>
      </c>
      <c r="I572" t="s">
        <v>14</v>
      </c>
      <c r="J572" t="s">
        <v>14</v>
      </c>
      <c r="K572">
        <v>50</v>
      </c>
      <c r="L572" t="str">
        <f>IF(AND(CallLog[[#This Row],[Answered (Y/N)]]="Y", CallLog[[#This Row],[Speed of answer in seconds]]&lt;=20),
    "Within",
    "Breach")</f>
        <v>Breach</v>
      </c>
      <c r="M572" s="1">
        <v>1.8634259259259259E-3</v>
      </c>
      <c r="N572">
        <v>2</v>
      </c>
    </row>
    <row r="573" spans="1:14" x14ac:dyDescent="0.3">
      <c r="A573" t="s">
        <v>606</v>
      </c>
      <c r="B573" t="s">
        <v>38</v>
      </c>
      <c r="C573" t="s">
        <v>549</v>
      </c>
      <c r="D573" s="1">
        <v>0.73</v>
      </c>
      <c r="E573" s="2">
        <f>CallLog[[#This Row],[Date]]+CallLog[[#This Row],[Time]]</f>
        <v>44206.73</v>
      </c>
      <c r="F573" s="1" t="str">
        <f>TEXT(CallLog[[#This Row],[Date]],"dddd")</f>
        <v>Sunday</v>
      </c>
      <c r="G573" s="3">
        <f>HOUR(CallLog[[#This Row],[Time]])</f>
        <v>17</v>
      </c>
      <c r="H573" t="s">
        <v>29</v>
      </c>
      <c r="I573" t="s">
        <v>14</v>
      </c>
      <c r="J573" t="s">
        <v>18</v>
      </c>
      <c r="K573">
        <v>15</v>
      </c>
      <c r="L573" t="str">
        <f>IF(AND(CallLog[[#This Row],[Answered (Y/N)]]="Y", CallLog[[#This Row],[Speed of answer in seconds]]&lt;=20),
    "Within",
    "Breach")</f>
        <v>Within</v>
      </c>
      <c r="M573" s="1">
        <v>2.1180555555555558E-3</v>
      </c>
      <c r="N573">
        <v>1</v>
      </c>
    </row>
    <row r="574" spans="1:14" x14ac:dyDescent="0.3">
      <c r="A574" t="s">
        <v>607</v>
      </c>
      <c r="B574" t="s">
        <v>47</v>
      </c>
      <c r="C574" t="s">
        <v>549</v>
      </c>
      <c r="D574" s="1">
        <v>0.73299768518518515</v>
      </c>
      <c r="E574" s="2">
        <f>CallLog[[#This Row],[Date]]+CallLog[[#This Row],[Time]]</f>
        <v>44206.732997685183</v>
      </c>
      <c r="F574" s="1" t="str">
        <f>TEXT(CallLog[[#This Row],[Date]],"dddd")</f>
        <v>Sunday</v>
      </c>
      <c r="G574" s="3">
        <f>HOUR(CallLog[[#This Row],[Time]])</f>
        <v>17</v>
      </c>
      <c r="H574" t="s">
        <v>32</v>
      </c>
      <c r="I574" t="s">
        <v>14</v>
      </c>
      <c r="J574" t="s">
        <v>14</v>
      </c>
      <c r="K574">
        <v>10</v>
      </c>
      <c r="L574" t="str">
        <f>IF(AND(CallLog[[#This Row],[Answered (Y/N)]]="Y", CallLog[[#This Row],[Speed of answer in seconds]]&lt;=20),
    "Within",
    "Breach")</f>
        <v>Within</v>
      </c>
      <c r="M574" s="1">
        <v>3.449074074074074E-3</v>
      </c>
      <c r="N574">
        <v>3</v>
      </c>
    </row>
    <row r="575" spans="1:14" x14ac:dyDescent="0.3">
      <c r="A575" t="s">
        <v>608</v>
      </c>
      <c r="B575" t="s">
        <v>22</v>
      </c>
      <c r="C575" t="s">
        <v>549</v>
      </c>
      <c r="D575" s="1">
        <v>0.73299768518518515</v>
      </c>
      <c r="E575" s="2">
        <f>CallLog[[#This Row],[Date]]+CallLog[[#This Row],[Time]]</f>
        <v>44206.732997685183</v>
      </c>
      <c r="F575" s="1" t="str">
        <f>TEXT(CallLog[[#This Row],[Date]],"dddd")</f>
        <v>Sunday</v>
      </c>
      <c r="G575" s="3">
        <f>HOUR(CallLog[[#This Row],[Time]])</f>
        <v>17</v>
      </c>
      <c r="H575" t="s">
        <v>17</v>
      </c>
      <c r="I575" t="s">
        <v>14</v>
      </c>
      <c r="J575" t="s">
        <v>14</v>
      </c>
      <c r="K575">
        <v>110</v>
      </c>
      <c r="L575" t="str">
        <f>IF(AND(CallLog[[#This Row],[Answered (Y/N)]]="Y", CallLog[[#This Row],[Speed of answer in seconds]]&lt;=20),
    "Within",
    "Breach")</f>
        <v>Breach</v>
      </c>
      <c r="M575" s="1">
        <v>2.9398148148148148E-3</v>
      </c>
      <c r="N575">
        <v>3</v>
      </c>
    </row>
    <row r="576" spans="1:14" x14ac:dyDescent="0.3">
      <c r="A576" t="s">
        <v>609</v>
      </c>
      <c r="B576" t="s">
        <v>22</v>
      </c>
      <c r="C576" t="s">
        <v>549</v>
      </c>
      <c r="D576" s="1">
        <v>0.73599537037037033</v>
      </c>
      <c r="E576" s="2">
        <f>CallLog[[#This Row],[Date]]+CallLog[[#This Row],[Time]]</f>
        <v>44206.735995370371</v>
      </c>
      <c r="F576" s="1" t="str">
        <f>TEXT(CallLog[[#This Row],[Date]],"dddd")</f>
        <v>Sunday</v>
      </c>
      <c r="G576" s="3">
        <f>HOUR(CallLog[[#This Row],[Time]])</f>
        <v>17</v>
      </c>
      <c r="H576" t="s">
        <v>24</v>
      </c>
      <c r="I576" t="s">
        <v>14</v>
      </c>
      <c r="J576" t="s">
        <v>14</v>
      </c>
      <c r="K576">
        <v>69</v>
      </c>
      <c r="L576" t="str">
        <f>IF(AND(CallLog[[#This Row],[Answered (Y/N)]]="Y", CallLog[[#This Row],[Speed of answer in seconds]]&lt;=20),
    "Within",
    "Breach")</f>
        <v>Breach</v>
      </c>
      <c r="M576" s="1">
        <v>5.4398148148148144E-4</v>
      </c>
      <c r="N576">
        <v>3</v>
      </c>
    </row>
    <row r="577" spans="1:14" x14ac:dyDescent="0.3">
      <c r="A577" t="s">
        <v>610</v>
      </c>
      <c r="B577" t="s">
        <v>31</v>
      </c>
      <c r="C577" t="s">
        <v>549</v>
      </c>
      <c r="D577" s="1">
        <v>0.73599537037037033</v>
      </c>
      <c r="E577" s="2">
        <f>CallLog[[#This Row],[Date]]+CallLog[[#This Row],[Time]]</f>
        <v>44206.735995370371</v>
      </c>
      <c r="F577" s="1" t="str">
        <f>TEXT(CallLog[[#This Row],[Date]],"dddd")</f>
        <v>Sunday</v>
      </c>
      <c r="G577" s="3">
        <f>HOUR(CallLog[[#This Row],[Time]])</f>
        <v>17</v>
      </c>
      <c r="H577" t="s">
        <v>13</v>
      </c>
      <c r="I577" t="s">
        <v>14</v>
      </c>
      <c r="J577" t="s">
        <v>18</v>
      </c>
      <c r="K577">
        <v>122</v>
      </c>
      <c r="L577" t="str">
        <f>IF(AND(CallLog[[#This Row],[Answered (Y/N)]]="Y", CallLog[[#This Row],[Speed of answer in seconds]]&lt;=20),
    "Within",
    "Breach")</f>
        <v>Breach</v>
      </c>
      <c r="M577" s="1">
        <v>1.9444444444444444E-3</v>
      </c>
      <c r="N577">
        <v>1</v>
      </c>
    </row>
    <row r="578" spans="1:14" x14ac:dyDescent="0.3">
      <c r="A578" t="s">
        <v>611</v>
      </c>
      <c r="B578" t="s">
        <v>11</v>
      </c>
      <c r="C578" t="s">
        <v>549</v>
      </c>
      <c r="D578" s="1">
        <v>0.74200231481481482</v>
      </c>
      <c r="E578" s="2">
        <f>CallLog[[#This Row],[Date]]+CallLog[[#This Row],[Time]]</f>
        <v>44206.742002314815</v>
      </c>
      <c r="F578" s="1" t="str">
        <f>TEXT(CallLog[[#This Row],[Date]],"dddd")</f>
        <v>Sunday</v>
      </c>
      <c r="G578" s="3">
        <f>HOUR(CallLog[[#This Row],[Time]])</f>
        <v>17</v>
      </c>
      <c r="H578" t="s">
        <v>13</v>
      </c>
      <c r="I578" t="s">
        <v>14</v>
      </c>
      <c r="J578" t="s">
        <v>14</v>
      </c>
      <c r="K578">
        <v>47</v>
      </c>
      <c r="L578" t="str">
        <f>IF(AND(CallLog[[#This Row],[Answered (Y/N)]]="Y", CallLog[[#This Row],[Speed of answer in seconds]]&lt;=20),
    "Within",
    "Breach")</f>
        <v>Breach</v>
      </c>
      <c r="M578" s="1">
        <v>6.7129629629629625E-4</v>
      </c>
      <c r="N578">
        <v>3</v>
      </c>
    </row>
    <row r="579" spans="1:14" x14ac:dyDescent="0.3">
      <c r="A579" t="s">
        <v>612</v>
      </c>
      <c r="B579" t="s">
        <v>22</v>
      </c>
      <c r="C579" t="s">
        <v>549</v>
      </c>
      <c r="D579" s="1">
        <v>0.74200231481481482</v>
      </c>
      <c r="E579" s="2">
        <f>CallLog[[#This Row],[Date]]+CallLog[[#This Row],[Time]]</f>
        <v>44206.742002314815</v>
      </c>
      <c r="F579" s="1" t="str">
        <f>TEXT(CallLog[[#This Row],[Date]],"dddd")</f>
        <v>Sunday</v>
      </c>
      <c r="G579" s="3">
        <f>HOUR(CallLog[[#This Row],[Time]])</f>
        <v>17</v>
      </c>
      <c r="H579" t="s">
        <v>17</v>
      </c>
      <c r="I579" t="s">
        <v>14</v>
      </c>
      <c r="J579" t="s">
        <v>18</v>
      </c>
      <c r="K579">
        <v>124</v>
      </c>
      <c r="L579" t="str">
        <f>IF(AND(CallLog[[#This Row],[Answered (Y/N)]]="Y", CallLog[[#This Row],[Speed of answer in seconds]]&lt;=20),
    "Within",
    "Breach")</f>
        <v>Breach</v>
      </c>
      <c r="M579" s="1">
        <v>4.6990740740740743E-3</v>
      </c>
      <c r="N579">
        <v>5</v>
      </c>
    </row>
    <row r="580" spans="1:14" x14ac:dyDescent="0.3">
      <c r="A580" t="s">
        <v>613</v>
      </c>
      <c r="B580" t="s">
        <v>38</v>
      </c>
      <c r="C580" t="s">
        <v>614</v>
      </c>
      <c r="D580" s="1">
        <v>0.39599537037037036</v>
      </c>
      <c r="E580" s="2">
        <f>CallLog[[#This Row],[Date]]+CallLog[[#This Row],[Time]]</f>
        <v>44207.395995370367</v>
      </c>
      <c r="F580" s="1" t="str">
        <f>TEXT(CallLog[[#This Row],[Date]],"dddd")</f>
        <v>Monday</v>
      </c>
      <c r="G580" s="3">
        <f>HOUR(CallLog[[#This Row],[Time]])</f>
        <v>9</v>
      </c>
      <c r="H580" t="s">
        <v>32</v>
      </c>
      <c r="I580" t="s">
        <v>14</v>
      </c>
      <c r="J580" t="s">
        <v>14</v>
      </c>
      <c r="K580">
        <v>92</v>
      </c>
      <c r="L580" t="str">
        <f>IF(AND(CallLog[[#This Row],[Answered (Y/N)]]="Y", CallLog[[#This Row],[Speed of answer in seconds]]&lt;=20),
    "Within",
    "Breach")</f>
        <v>Breach</v>
      </c>
      <c r="M580" s="1">
        <v>1.4004629629629629E-3</v>
      </c>
      <c r="N580">
        <v>3</v>
      </c>
    </row>
    <row r="581" spans="1:14" x14ac:dyDescent="0.3">
      <c r="A581" t="s">
        <v>615</v>
      </c>
      <c r="B581" t="s">
        <v>16</v>
      </c>
      <c r="C581" t="s">
        <v>614</v>
      </c>
      <c r="D581" s="1">
        <v>0.39599537037037036</v>
      </c>
      <c r="E581" s="2">
        <f>CallLog[[#This Row],[Date]]+CallLog[[#This Row],[Time]]</f>
        <v>44207.395995370367</v>
      </c>
      <c r="F581" s="1" t="str">
        <f>TEXT(CallLog[[#This Row],[Date]],"dddd")</f>
        <v>Monday</v>
      </c>
      <c r="G581" s="3">
        <f>HOUR(CallLog[[#This Row],[Time]])</f>
        <v>9</v>
      </c>
      <c r="H581" t="s">
        <v>24</v>
      </c>
      <c r="I581" t="s">
        <v>14</v>
      </c>
      <c r="J581" t="s">
        <v>14</v>
      </c>
      <c r="K581">
        <v>110</v>
      </c>
      <c r="L581" t="str">
        <f>IF(AND(CallLog[[#This Row],[Answered (Y/N)]]="Y", CallLog[[#This Row],[Speed of answer in seconds]]&lt;=20),
    "Within",
    "Breach")</f>
        <v>Breach</v>
      </c>
      <c r="M581" s="1">
        <v>3.8425925925925928E-3</v>
      </c>
      <c r="N581">
        <v>2</v>
      </c>
    </row>
    <row r="582" spans="1:14" x14ac:dyDescent="0.3">
      <c r="A582" t="s">
        <v>616</v>
      </c>
      <c r="B582" t="s">
        <v>20</v>
      </c>
      <c r="C582" t="s">
        <v>614</v>
      </c>
      <c r="D582" s="1">
        <v>0.40099537037037036</v>
      </c>
      <c r="E582" s="2">
        <f>CallLog[[#This Row],[Date]]+CallLog[[#This Row],[Time]]</f>
        <v>44207.400995370372</v>
      </c>
      <c r="F582" s="1" t="str">
        <f>TEXT(CallLog[[#This Row],[Date]],"dddd")</f>
        <v>Monday</v>
      </c>
      <c r="G582" s="3">
        <f>HOUR(CallLog[[#This Row],[Time]])</f>
        <v>9</v>
      </c>
      <c r="H582" t="s">
        <v>32</v>
      </c>
      <c r="I582" t="s">
        <v>14</v>
      </c>
      <c r="J582" t="s">
        <v>14</v>
      </c>
      <c r="K582">
        <v>84</v>
      </c>
      <c r="L582" t="str">
        <f>IF(AND(CallLog[[#This Row],[Answered (Y/N)]]="Y", CallLog[[#This Row],[Speed of answer in seconds]]&lt;=20),
    "Within",
    "Breach")</f>
        <v>Breach</v>
      </c>
      <c r="M582" s="1">
        <v>1.6782407407407408E-3</v>
      </c>
      <c r="N582">
        <v>4</v>
      </c>
    </row>
    <row r="583" spans="1:14" x14ac:dyDescent="0.3">
      <c r="A583" t="s">
        <v>617</v>
      </c>
      <c r="B583" t="s">
        <v>20</v>
      </c>
      <c r="C583" t="s">
        <v>614</v>
      </c>
      <c r="D583" s="1">
        <v>0.40099537037037036</v>
      </c>
      <c r="E583" s="2">
        <f>CallLog[[#This Row],[Date]]+CallLog[[#This Row],[Time]]</f>
        <v>44207.400995370372</v>
      </c>
      <c r="F583" s="1" t="str">
        <f>TEXT(CallLog[[#This Row],[Date]],"dddd")</f>
        <v>Monday</v>
      </c>
      <c r="G583" s="3">
        <f>HOUR(CallLog[[#This Row],[Time]])</f>
        <v>9</v>
      </c>
      <c r="H583" t="s">
        <v>29</v>
      </c>
      <c r="I583" t="s">
        <v>18</v>
      </c>
      <c r="J583" t="s">
        <v>18</v>
      </c>
      <c r="L583" t="str">
        <f>IF(AND(CallLog[[#This Row],[Answered (Y/N)]]="Y", CallLog[[#This Row],[Speed of answer in seconds]]&lt;=20),
    "Within",
    "Breach")</f>
        <v>Breach</v>
      </c>
    </row>
    <row r="584" spans="1:14" x14ac:dyDescent="0.3">
      <c r="A584" t="s">
        <v>618</v>
      </c>
      <c r="B584" t="s">
        <v>11</v>
      </c>
      <c r="C584" t="s">
        <v>614</v>
      </c>
      <c r="D584" s="1">
        <v>0.4020023148148148</v>
      </c>
      <c r="E584" s="2">
        <f>CallLog[[#This Row],[Date]]+CallLog[[#This Row],[Time]]</f>
        <v>44207.402002314811</v>
      </c>
      <c r="F584" s="1" t="str">
        <f>TEXT(CallLog[[#This Row],[Date]],"dddd")</f>
        <v>Monday</v>
      </c>
      <c r="G584" s="3">
        <f>HOUR(CallLog[[#This Row],[Time]])</f>
        <v>9</v>
      </c>
      <c r="H584" t="s">
        <v>29</v>
      </c>
      <c r="I584" t="s">
        <v>14</v>
      </c>
      <c r="J584" t="s">
        <v>14</v>
      </c>
      <c r="K584">
        <v>81</v>
      </c>
      <c r="L584" t="str">
        <f>IF(AND(CallLog[[#This Row],[Answered (Y/N)]]="Y", CallLog[[#This Row],[Speed of answer in seconds]]&lt;=20),
    "Within",
    "Breach")</f>
        <v>Breach</v>
      </c>
      <c r="M584" s="1">
        <v>3.0208333333333333E-3</v>
      </c>
      <c r="N584">
        <v>5</v>
      </c>
    </row>
    <row r="585" spans="1:14" x14ac:dyDescent="0.3">
      <c r="A585" t="s">
        <v>619</v>
      </c>
      <c r="B585" t="s">
        <v>22</v>
      </c>
      <c r="C585" t="s">
        <v>614</v>
      </c>
      <c r="D585" s="1">
        <v>0.4020023148148148</v>
      </c>
      <c r="E585" s="2">
        <f>CallLog[[#This Row],[Date]]+CallLog[[#This Row],[Time]]</f>
        <v>44207.402002314811</v>
      </c>
      <c r="F585" s="1" t="str">
        <f>TEXT(CallLog[[#This Row],[Date]],"dddd")</f>
        <v>Monday</v>
      </c>
      <c r="G585" s="3">
        <f>HOUR(CallLog[[#This Row],[Time]])</f>
        <v>9</v>
      </c>
      <c r="H585" t="s">
        <v>24</v>
      </c>
      <c r="I585" t="s">
        <v>14</v>
      </c>
      <c r="J585" t="s">
        <v>14</v>
      </c>
      <c r="K585">
        <v>116</v>
      </c>
      <c r="L585" t="str">
        <f>IF(AND(CallLog[[#This Row],[Answered (Y/N)]]="Y", CallLog[[#This Row],[Speed of answer in seconds]]&lt;=20),
    "Within",
    "Breach")</f>
        <v>Breach</v>
      </c>
      <c r="M585" s="1">
        <v>1.4930555555555556E-3</v>
      </c>
      <c r="N585">
        <v>4</v>
      </c>
    </row>
    <row r="586" spans="1:14" x14ac:dyDescent="0.3">
      <c r="A586" t="s">
        <v>620</v>
      </c>
      <c r="B586" t="s">
        <v>11</v>
      </c>
      <c r="C586" t="s">
        <v>614</v>
      </c>
      <c r="D586" s="1">
        <v>0.4020023148148148</v>
      </c>
      <c r="E586" s="2">
        <f>CallLog[[#This Row],[Date]]+CallLog[[#This Row],[Time]]</f>
        <v>44207.402002314811</v>
      </c>
      <c r="F586" s="1" t="str">
        <f>TEXT(CallLog[[#This Row],[Date]],"dddd")</f>
        <v>Monday</v>
      </c>
      <c r="G586" s="3">
        <f>HOUR(CallLog[[#This Row],[Time]])</f>
        <v>9</v>
      </c>
      <c r="H586" t="s">
        <v>24</v>
      </c>
      <c r="I586" t="s">
        <v>18</v>
      </c>
      <c r="J586" t="s">
        <v>18</v>
      </c>
      <c r="L586" t="str">
        <f>IF(AND(CallLog[[#This Row],[Answered (Y/N)]]="Y", CallLog[[#This Row],[Speed of answer in seconds]]&lt;=20),
    "Within",
    "Breach")</f>
        <v>Breach</v>
      </c>
    </row>
    <row r="587" spans="1:14" x14ac:dyDescent="0.3">
      <c r="A587" t="s">
        <v>621</v>
      </c>
      <c r="B587" t="s">
        <v>34</v>
      </c>
      <c r="C587" t="s">
        <v>614</v>
      </c>
      <c r="D587" s="1">
        <v>0.4020023148148148</v>
      </c>
      <c r="E587" s="2">
        <f>CallLog[[#This Row],[Date]]+CallLog[[#This Row],[Time]]</f>
        <v>44207.402002314811</v>
      </c>
      <c r="F587" s="1" t="str">
        <f>TEXT(CallLog[[#This Row],[Date]],"dddd")</f>
        <v>Monday</v>
      </c>
      <c r="G587" s="3">
        <f>HOUR(CallLog[[#This Row],[Time]])</f>
        <v>9</v>
      </c>
      <c r="H587" t="s">
        <v>32</v>
      </c>
      <c r="I587" t="s">
        <v>14</v>
      </c>
      <c r="J587" t="s">
        <v>14</v>
      </c>
      <c r="K587">
        <v>63</v>
      </c>
      <c r="L587" t="str">
        <f>IF(AND(CallLog[[#This Row],[Answered (Y/N)]]="Y", CallLog[[#This Row],[Speed of answer in seconds]]&lt;=20),
    "Within",
    "Breach")</f>
        <v>Breach</v>
      </c>
      <c r="M587" s="1">
        <v>2.8819444444444444E-3</v>
      </c>
      <c r="N587">
        <v>3</v>
      </c>
    </row>
    <row r="588" spans="1:14" x14ac:dyDescent="0.3">
      <c r="A588" t="s">
        <v>622</v>
      </c>
      <c r="B588" t="s">
        <v>47</v>
      </c>
      <c r="C588" t="s">
        <v>614</v>
      </c>
      <c r="D588" s="1">
        <v>0.40900462962962963</v>
      </c>
      <c r="E588" s="2">
        <f>CallLog[[#This Row],[Date]]+CallLog[[#This Row],[Time]]</f>
        <v>44207.409004629626</v>
      </c>
      <c r="F588" s="1" t="str">
        <f>TEXT(CallLog[[#This Row],[Date]],"dddd")</f>
        <v>Monday</v>
      </c>
      <c r="G588" s="3">
        <f>HOUR(CallLog[[#This Row],[Time]])</f>
        <v>9</v>
      </c>
      <c r="H588" t="s">
        <v>32</v>
      </c>
      <c r="I588" t="s">
        <v>18</v>
      </c>
      <c r="J588" t="s">
        <v>18</v>
      </c>
      <c r="L588" t="str">
        <f>IF(AND(CallLog[[#This Row],[Answered (Y/N)]]="Y", CallLog[[#This Row],[Speed of answer in seconds]]&lt;=20),
    "Within",
    "Breach")</f>
        <v>Breach</v>
      </c>
    </row>
    <row r="589" spans="1:14" x14ac:dyDescent="0.3">
      <c r="A589" t="s">
        <v>623</v>
      </c>
      <c r="B589" t="s">
        <v>34</v>
      </c>
      <c r="C589" t="s">
        <v>614</v>
      </c>
      <c r="D589" s="1">
        <v>0.40900462962962963</v>
      </c>
      <c r="E589" s="2">
        <f>CallLog[[#This Row],[Date]]+CallLog[[#This Row],[Time]]</f>
        <v>44207.409004629626</v>
      </c>
      <c r="F589" s="1" t="str">
        <f>TEXT(CallLog[[#This Row],[Date]],"dddd")</f>
        <v>Monday</v>
      </c>
      <c r="G589" s="3">
        <f>HOUR(CallLog[[#This Row],[Time]])</f>
        <v>9</v>
      </c>
      <c r="H589" t="s">
        <v>32</v>
      </c>
      <c r="I589" t="s">
        <v>14</v>
      </c>
      <c r="J589" t="s">
        <v>14</v>
      </c>
      <c r="K589">
        <v>30</v>
      </c>
      <c r="L589" t="str">
        <f>IF(AND(CallLog[[#This Row],[Answered (Y/N)]]="Y", CallLog[[#This Row],[Speed of answer in seconds]]&lt;=20),
    "Within",
    "Breach")</f>
        <v>Breach</v>
      </c>
      <c r="M589" s="1">
        <v>3.1365740740740742E-3</v>
      </c>
      <c r="N589">
        <v>3</v>
      </c>
    </row>
    <row r="590" spans="1:14" x14ac:dyDescent="0.3">
      <c r="A590" t="s">
        <v>624</v>
      </c>
      <c r="B590" t="s">
        <v>11</v>
      </c>
      <c r="C590" t="s">
        <v>614</v>
      </c>
      <c r="D590" s="1">
        <v>0.42</v>
      </c>
      <c r="E590" s="2">
        <f>CallLog[[#This Row],[Date]]+CallLog[[#This Row],[Time]]</f>
        <v>44207.42</v>
      </c>
      <c r="F590" s="1" t="str">
        <f>TEXT(CallLog[[#This Row],[Date]],"dddd")</f>
        <v>Monday</v>
      </c>
      <c r="G590" s="3">
        <f>HOUR(CallLog[[#This Row],[Time]])</f>
        <v>10</v>
      </c>
      <c r="H590" t="s">
        <v>29</v>
      </c>
      <c r="I590" t="s">
        <v>14</v>
      </c>
      <c r="J590" t="s">
        <v>14</v>
      </c>
      <c r="K590">
        <v>22</v>
      </c>
      <c r="L590" t="str">
        <f>IF(AND(CallLog[[#This Row],[Answered (Y/N)]]="Y", CallLog[[#This Row],[Speed of answer in seconds]]&lt;=20),
    "Within",
    "Breach")</f>
        <v>Breach</v>
      </c>
      <c r="M590" s="1">
        <v>3.9583333333333337E-3</v>
      </c>
      <c r="N590">
        <v>3</v>
      </c>
    </row>
    <row r="591" spans="1:14" x14ac:dyDescent="0.3">
      <c r="A591" t="s">
        <v>625</v>
      </c>
      <c r="B591" t="s">
        <v>20</v>
      </c>
      <c r="C591" t="s">
        <v>614</v>
      </c>
      <c r="D591" s="1">
        <v>0.42</v>
      </c>
      <c r="E591" s="2">
        <f>CallLog[[#This Row],[Date]]+CallLog[[#This Row],[Time]]</f>
        <v>44207.42</v>
      </c>
      <c r="F591" s="1" t="str">
        <f>TEXT(CallLog[[#This Row],[Date]],"dddd")</f>
        <v>Monday</v>
      </c>
      <c r="G591" s="3">
        <f>HOUR(CallLog[[#This Row],[Time]])</f>
        <v>10</v>
      </c>
      <c r="H591" t="s">
        <v>17</v>
      </c>
      <c r="I591" t="s">
        <v>14</v>
      </c>
      <c r="J591" t="s">
        <v>14</v>
      </c>
      <c r="K591">
        <v>31</v>
      </c>
      <c r="L591" t="str">
        <f>IF(AND(CallLog[[#This Row],[Answered (Y/N)]]="Y", CallLog[[#This Row],[Speed of answer in seconds]]&lt;=20),
    "Within",
    "Breach")</f>
        <v>Breach</v>
      </c>
      <c r="M591" s="1">
        <v>3.7037037037037038E-3</v>
      </c>
      <c r="N591">
        <v>3</v>
      </c>
    </row>
    <row r="592" spans="1:14" x14ac:dyDescent="0.3">
      <c r="A592" t="s">
        <v>626</v>
      </c>
      <c r="B592" t="s">
        <v>11</v>
      </c>
      <c r="C592" t="s">
        <v>614</v>
      </c>
      <c r="D592" s="1">
        <v>0.42599537037037039</v>
      </c>
      <c r="E592" s="2">
        <f>CallLog[[#This Row],[Date]]+CallLog[[#This Row],[Time]]</f>
        <v>44207.425995370373</v>
      </c>
      <c r="F592" s="1" t="str">
        <f>TEXT(CallLog[[#This Row],[Date]],"dddd")</f>
        <v>Monday</v>
      </c>
      <c r="G592" s="3">
        <f>HOUR(CallLog[[#This Row],[Time]])</f>
        <v>10</v>
      </c>
      <c r="H592" t="s">
        <v>24</v>
      </c>
      <c r="I592" t="s">
        <v>14</v>
      </c>
      <c r="J592" t="s">
        <v>14</v>
      </c>
      <c r="K592">
        <v>47</v>
      </c>
      <c r="L592" t="str">
        <f>IF(AND(CallLog[[#This Row],[Answered (Y/N)]]="Y", CallLog[[#This Row],[Speed of answer in seconds]]&lt;=20),
    "Within",
    "Breach")</f>
        <v>Breach</v>
      </c>
      <c r="M592" s="1">
        <v>1.7592592592592592E-3</v>
      </c>
      <c r="N592">
        <v>3</v>
      </c>
    </row>
    <row r="593" spans="1:14" x14ac:dyDescent="0.3">
      <c r="A593" t="s">
        <v>627</v>
      </c>
      <c r="B593" t="s">
        <v>47</v>
      </c>
      <c r="C593" t="s">
        <v>614</v>
      </c>
      <c r="D593" s="1">
        <v>0.42599537037037039</v>
      </c>
      <c r="E593" s="2">
        <f>CallLog[[#This Row],[Date]]+CallLog[[#This Row],[Time]]</f>
        <v>44207.425995370373</v>
      </c>
      <c r="F593" s="1" t="str">
        <f>TEXT(CallLog[[#This Row],[Date]],"dddd")</f>
        <v>Monday</v>
      </c>
      <c r="G593" s="3">
        <f>HOUR(CallLog[[#This Row],[Time]])</f>
        <v>10</v>
      </c>
      <c r="H593" t="s">
        <v>17</v>
      </c>
      <c r="I593" t="s">
        <v>14</v>
      </c>
      <c r="J593" t="s">
        <v>14</v>
      </c>
      <c r="K593">
        <v>88</v>
      </c>
      <c r="L593" t="str">
        <f>IF(AND(CallLog[[#This Row],[Answered (Y/N)]]="Y", CallLog[[#This Row],[Speed of answer in seconds]]&lt;=20),
    "Within",
    "Breach")</f>
        <v>Breach</v>
      </c>
      <c r="M593" s="1">
        <v>3.1712962962962962E-3</v>
      </c>
      <c r="N593">
        <v>3</v>
      </c>
    </row>
    <row r="594" spans="1:14" x14ac:dyDescent="0.3">
      <c r="A594" t="s">
        <v>628</v>
      </c>
      <c r="B594" t="s">
        <v>38</v>
      </c>
      <c r="C594" t="s">
        <v>614</v>
      </c>
      <c r="D594" s="1">
        <v>0.43099537037037039</v>
      </c>
      <c r="E594" s="2">
        <f>CallLog[[#This Row],[Date]]+CallLog[[#This Row],[Time]]</f>
        <v>44207.430995370371</v>
      </c>
      <c r="F594" s="1" t="str">
        <f>TEXT(CallLog[[#This Row],[Date]],"dddd")</f>
        <v>Monday</v>
      </c>
      <c r="G594" s="3">
        <f>HOUR(CallLog[[#This Row],[Time]])</f>
        <v>10</v>
      </c>
      <c r="H594" t="s">
        <v>32</v>
      </c>
      <c r="I594" t="s">
        <v>14</v>
      </c>
      <c r="J594" t="s">
        <v>14</v>
      </c>
      <c r="K594">
        <v>106</v>
      </c>
      <c r="L594" t="str">
        <f>IF(AND(CallLog[[#This Row],[Answered (Y/N)]]="Y", CallLog[[#This Row],[Speed of answer in seconds]]&lt;=20),
    "Within",
    "Breach")</f>
        <v>Breach</v>
      </c>
      <c r="M594" s="1">
        <v>2.5347222222222221E-3</v>
      </c>
      <c r="N594">
        <v>4</v>
      </c>
    </row>
    <row r="595" spans="1:14" x14ac:dyDescent="0.3">
      <c r="A595" t="s">
        <v>629</v>
      </c>
      <c r="B595" t="s">
        <v>11</v>
      </c>
      <c r="C595" t="s">
        <v>614</v>
      </c>
      <c r="D595" s="1">
        <v>0.43099537037037039</v>
      </c>
      <c r="E595" s="2">
        <f>CallLog[[#This Row],[Date]]+CallLog[[#This Row],[Time]]</f>
        <v>44207.430995370371</v>
      </c>
      <c r="F595" s="1" t="str">
        <f>TEXT(CallLog[[#This Row],[Date]],"dddd")</f>
        <v>Monday</v>
      </c>
      <c r="G595" s="3">
        <f>HOUR(CallLog[[#This Row],[Time]])</f>
        <v>10</v>
      </c>
      <c r="H595" t="s">
        <v>24</v>
      </c>
      <c r="I595" t="s">
        <v>14</v>
      </c>
      <c r="J595" t="s">
        <v>14</v>
      </c>
      <c r="K595">
        <v>70</v>
      </c>
      <c r="L595" t="str">
        <f>IF(AND(CallLog[[#This Row],[Answered (Y/N)]]="Y", CallLog[[#This Row],[Speed of answer in seconds]]&lt;=20),
    "Within",
    "Breach")</f>
        <v>Breach</v>
      </c>
      <c r="M595" s="1">
        <v>1.0069444444444444E-3</v>
      </c>
      <c r="N595">
        <v>5</v>
      </c>
    </row>
    <row r="596" spans="1:14" x14ac:dyDescent="0.3">
      <c r="A596" t="s">
        <v>630</v>
      </c>
      <c r="B596" t="s">
        <v>38</v>
      </c>
      <c r="C596" t="s">
        <v>614</v>
      </c>
      <c r="D596" s="1">
        <v>0.435</v>
      </c>
      <c r="E596" s="2">
        <f>CallLog[[#This Row],[Date]]+CallLog[[#This Row],[Time]]</f>
        <v>44207.434999999998</v>
      </c>
      <c r="F596" s="1" t="str">
        <f>TEXT(CallLog[[#This Row],[Date]],"dddd")</f>
        <v>Monday</v>
      </c>
      <c r="G596" s="3">
        <f>HOUR(CallLog[[#This Row],[Time]])</f>
        <v>10</v>
      </c>
      <c r="H596" t="s">
        <v>24</v>
      </c>
      <c r="I596" t="s">
        <v>14</v>
      </c>
      <c r="J596" t="s">
        <v>14</v>
      </c>
      <c r="K596">
        <v>77</v>
      </c>
      <c r="L596" t="str">
        <f>IF(AND(CallLog[[#This Row],[Answered (Y/N)]]="Y", CallLog[[#This Row],[Speed of answer in seconds]]&lt;=20),
    "Within",
    "Breach")</f>
        <v>Breach</v>
      </c>
      <c r="M596" s="1">
        <v>3.9004629629629628E-3</v>
      </c>
      <c r="N596">
        <v>3</v>
      </c>
    </row>
    <row r="597" spans="1:14" x14ac:dyDescent="0.3">
      <c r="A597" t="s">
        <v>631</v>
      </c>
      <c r="B597" t="s">
        <v>34</v>
      </c>
      <c r="C597" t="s">
        <v>614</v>
      </c>
      <c r="D597" s="1">
        <v>0.435</v>
      </c>
      <c r="E597" s="2">
        <f>CallLog[[#This Row],[Date]]+CallLog[[#This Row],[Time]]</f>
        <v>44207.434999999998</v>
      </c>
      <c r="F597" s="1" t="str">
        <f>TEXT(CallLog[[#This Row],[Date]],"dddd")</f>
        <v>Monday</v>
      </c>
      <c r="G597" s="3">
        <f>HOUR(CallLog[[#This Row],[Time]])</f>
        <v>10</v>
      </c>
      <c r="H597" t="s">
        <v>32</v>
      </c>
      <c r="I597" t="s">
        <v>14</v>
      </c>
      <c r="J597" t="s">
        <v>14</v>
      </c>
      <c r="K597">
        <v>82</v>
      </c>
      <c r="L597" t="str">
        <f>IF(AND(CallLog[[#This Row],[Answered (Y/N)]]="Y", CallLog[[#This Row],[Speed of answer in seconds]]&lt;=20),
    "Within",
    "Breach")</f>
        <v>Breach</v>
      </c>
      <c r="M597" s="1">
        <v>4.6412037037037038E-3</v>
      </c>
      <c r="N597">
        <v>3</v>
      </c>
    </row>
    <row r="598" spans="1:14" x14ac:dyDescent="0.3">
      <c r="A598" t="s">
        <v>632</v>
      </c>
      <c r="B598" t="s">
        <v>22</v>
      </c>
      <c r="C598" t="s">
        <v>614</v>
      </c>
      <c r="D598" s="1">
        <v>0.43900462962962961</v>
      </c>
      <c r="E598" s="2">
        <f>CallLog[[#This Row],[Date]]+CallLog[[#This Row],[Time]]</f>
        <v>44207.439004629632</v>
      </c>
      <c r="F598" s="1" t="str">
        <f>TEXT(CallLog[[#This Row],[Date]],"dddd")</f>
        <v>Monday</v>
      </c>
      <c r="G598" s="3">
        <f>HOUR(CallLog[[#This Row],[Time]])</f>
        <v>10</v>
      </c>
      <c r="H598" t="s">
        <v>13</v>
      </c>
      <c r="I598" t="s">
        <v>14</v>
      </c>
      <c r="J598" t="s">
        <v>14</v>
      </c>
      <c r="K598">
        <v>84</v>
      </c>
      <c r="L598" t="str">
        <f>IF(AND(CallLog[[#This Row],[Answered (Y/N)]]="Y", CallLog[[#This Row],[Speed of answer in seconds]]&lt;=20),
    "Within",
    "Breach")</f>
        <v>Breach</v>
      </c>
      <c r="M598" s="1">
        <v>3.2986111111111111E-3</v>
      </c>
      <c r="N598">
        <v>3</v>
      </c>
    </row>
    <row r="599" spans="1:14" x14ac:dyDescent="0.3">
      <c r="A599" t="s">
        <v>633</v>
      </c>
      <c r="B599" t="s">
        <v>38</v>
      </c>
      <c r="C599" t="s">
        <v>614</v>
      </c>
      <c r="D599" s="1">
        <v>0.43900462962962961</v>
      </c>
      <c r="E599" s="2">
        <f>CallLog[[#This Row],[Date]]+CallLog[[#This Row],[Time]]</f>
        <v>44207.439004629632</v>
      </c>
      <c r="F599" s="1" t="str">
        <f>TEXT(CallLog[[#This Row],[Date]],"dddd")</f>
        <v>Monday</v>
      </c>
      <c r="G599" s="3">
        <f>HOUR(CallLog[[#This Row],[Time]])</f>
        <v>10</v>
      </c>
      <c r="H599" t="s">
        <v>17</v>
      </c>
      <c r="I599" t="s">
        <v>14</v>
      </c>
      <c r="J599" t="s">
        <v>14</v>
      </c>
      <c r="K599">
        <v>50</v>
      </c>
      <c r="L599" t="str">
        <f>IF(AND(CallLog[[#This Row],[Answered (Y/N)]]="Y", CallLog[[#This Row],[Speed of answer in seconds]]&lt;=20),
    "Within",
    "Breach")</f>
        <v>Breach</v>
      </c>
      <c r="M599" s="1">
        <v>4.2361111111111115E-3</v>
      </c>
      <c r="N599">
        <v>4</v>
      </c>
    </row>
    <row r="600" spans="1:14" x14ac:dyDescent="0.3">
      <c r="A600" t="s">
        <v>634</v>
      </c>
      <c r="B600" t="s">
        <v>38</v>
      </c>
      <c r="C600" t="s">
        <v>614</v>
      </c>
      <c r="D600" s="1">
        <v>0.4620023148148148</v>
      </c>
      <c r="E600" s="2">
        <f>CallLog[[#This Row],[Date]]+CallLog[[#This Row],[Time]]</f>
        <v>44207.462002314816</v>
      </c>
      <c r="F600" s="1" t="str">
        <f>TEXT(CallLog[[#This Row],[Date]],"dddd")</f>
        <v>Monday</v>
      </c>
      <c r="G600" s="3">
        <f>HOUR(CallLog[[#This Row],[Time]])</f>
        <v>11</v>
      </c>
      <c r="H600" t="s">
        <v>29</v>
      </c>
      <c r="I600" t="s">
        <v>18</v>
      </c>
      <c r="J600" t="s">
        <v>18</v>
      </c>
      <c r="L600" t="str">
        <f>IF(AND(CallLog[[#This Row],[Answered (Y/N)]]="Y", CallLog[[#This Row],[Speed of answer in seconds]]&lt;=20),
    "Within",
    "Breach")</f>
        <v>Breach</v>
      </c>
    </row>
    <row r="601" spans="1:14" x14ac:dyDescent="0.3">
      <c r="A601" t="s">
        <v>635</v>
      </c>
      <c r="B601" t="s">
        <v>16</v>
      </c>
      <c r="C601" t="s">
        <v>614</v>
      </c>
      <c r="D601" s="1">
        <v>0.4620023148148148</v>
      </c>
      <c r="E601" s="2">
        <f>CallLog[[#This Row],[Date]]+CallLog[[#This Row],[Time]]</f>
        <v>44207.462002314816</v>
      </c>
      <c r="F601" s="1" t="str">
        <f>TEXT(CallLog[[#This Row],[Date]],"dddd")</f>
        <v>Monday</v>
      </c>
      <c r="G601" s="3">
        <f>HOUR(CallLog[[#This Row],[Time]])</f>
        <v>11</v>
      </c>
      <c r="H601" t="s">
        <v>13</v>
      </c>
      <c r="I601" t="s">
        <v>14</v>
      </c>
      <c r="J601" t="s">
        <v>14</v>
      </c>
      <c r="K601">
        <v>73</v>
      </c>
      <c r="L601" t="str">
        <f>IF(AND(CallLog[[#This Row],[Answered (Y/N)]]="Y", CallLog[[#This Row],[Speed of answer in seconds]]&lt;=20),
    "Within",
    "Breach")</f>
        <v>Breach</v>
      </c>
      <c r="M601" s="1">
        <v>5.2083333333333333E-4</v>
      </c>
      <c r="N601">
        <v>3</v>
      </c>
    </row>
    <row r="602" spans="1:14" x14ac:dyDescent="0.3">
      <c r="A602" t="s">
        <v>636</v>
      </c>
      <c r="B602" t="s">
        <v>22</v>
      </c>
      <c r="C602" t="s">
        <v>614</v>
      </c>
      <c r="D602" s="1">
        <v>0.47799768518518521</v>
      </c>
      <c r="E602" s="2">
        <f>CallLog[[#This Row],[Date]]+CallLog[[#This Row],[Time]]</f>
        <v>44207.477997685186</v>
      </c>
      <c r="F602" s="1" t="str">
        <f>TEXT(CallLog[[#This Row],[Date]],"dddd")</f>
        <v>Monday</v>
      </c>
      <c r="G602" s="3">
        <f>HOUR(CallLog[[#This Row],[Time]])</f>
        <v>11</v>
      </c>
      <c r="H602" t="s">
        <v>13</v>
      </c>
      <c r="I602" t="s">
        <v>14</v>
      </c>
      <c r="J602" t="s">
        <v>14</v>
      </c>
      <c r="K602">
        <v>79</v>
      </c>
      <c r="L602" t="str">
        <f>IF(AND(CallLog[[#This Row],[Answered (Y/N)]]="Y", CallLog[[#This Row],[Speed of answer in seconds]]&lt;=20),
    "Within",
    "Breach")</f>
        <v>Breach</v>
      </c>
      <c r="M602" s="1">
        <v>3.7499999999999999E-3</v>
      </c>
      <c r="N602">
        <v>3</v>
      </c>
    </row>
    <row r="603" spans="1:14" x14ac:dyDescent="0.3">
      <c r="A603" t="s">
        <v>637</v>
      </c>
      <c r="B603" t="s">
        <v>47</v>
      </c>
      <c r="C603" t="s">
        <v>614</v>
      </c>
      <c r="D603" s="1">
        <v>0.47799768518518521</v>
      </c>
      <c r="E603" s="2">
        <f>CallLog[[#This Row],[Date]]+CallLog[[#This Row],[Time]]</f>
        <v>44207.477997685186</v>
      </c>
      <c r="F603" s="1" t="str">
        <f>TEXT(CallLog[[#This Row],[Date]],"dddd")</f>
        <v>Monday</v>
      </c>
      <c r="G603" s="3">
        <f>HOUR(CallLog[[#This Row],[Time]])</f>
        <v>11</v>
      </c>
      <c r="H603" t="s">
        <v>13</v>
      </c>
      <c r="I603" t="s">
        <v>14</v>
      </c>
      <c r="J603" t="s">
        <v>14</v>
      </c>
      <c r="K603">
        <v>124</v>
      </c>
      <c r="L603" t="str">
        <f>IF(AND(CallLog[[#This Row],[Answered (Y/N)]]="Y", CallLog[[#This Row],[Speed of answer in seconds]]&lt;=20),
    "Within",
    "Breach")</f>
        <v>Breach</v>
      </c>
      <c r="M603" s="1">
        <v>2.7546296296296294E-3</v>
      </c>
      <c r="N603">
        <v>5</v>
      </c>
    </row>
    <row r="604" spans="1:14" x14ac:dyDescent="0.3">
      <c r="A604" t="s">
        <v>638</v>
      </c>
      <c r="B604" t="s">
        <v>20</v>
      </c>
      <c r="C604" t="s">
        <v>614</v>
      </c>
      <c r="D604" s="1">
        <v>0.47900462962962964</v>
      </c>
      <c r="E604" s="2">
        <f>CallLog[[#This Row],[Date]]+CallLog[[#This Row],[Time]]</f>
        <v>44207.479004629633</v>
      </c>
      <c r="F604" s="1" t="str">
        <f>TEXT(CallLog[[#This Row],[Date]],"dddd")</f>
        <v>Monday</v>
      </c>
      <c r="G604" s="3">
        <f>HOUR(CallLog[[#This Row],[Time]])</f>
        <v>11</v>
      </c>
      <c r="H604" t="s">
        <v>29</v>
      </c>
      <c r="I604" t="s">
        <v>18</v>
      </c>
      <c r="J604" t="s">
        <v>18</v>
      </c>
      <c r="L604" t="str">
        <f>IF(AND(CallLog[[#This Row],[Answered (Y/N)]]="Y", CallLog[[#This Row],[Speed of answer in seconds]]&lt;=20),
    "Within",
    "Breach")</f>
        <v>Breach</v>
      </c>
    </row>
    <row r="605" spans="1:14" x14ac:dyDescent="0.3">
      <c r="A605" t="s">
        <v>639</v>
      </c>
      <c r="B605" t="s">
        <v>16</v>
      </c>
      <c r="C605" t="s">
        <v>614</v>
      </c>
      <c r="D605" s="1">
        <v>0.47900462962962964</v>
      </c>
      <c r="E605" s="2">
        <f>CallLog[[#This Row],[Date]]+CallLog[[#This Row],[Time]]</f>
        <v>44207.479004629633</v>
      </c>
      <c r="F605" s="1" t="str">
        <f>TEXT(CallLog[[#This Row],[Date]],"dddd")</f>
        <v>Monday</v>
      </c>
      <c r="G605" s="3">
        <f>HOUR(CallLog[[#This Row],[Time]])</f>
        <v>11</v>
      </c>
      <c r="H605" t="s">
        <v>17</v>
      </c>
      <c r="I605" t="s">
        <v>14</v>
      </c>
      <c r="J605" t="s">
        <v>18</v>
      </c>
      <c r="K605">
        <v>75</v>
      </c>
      <c r="L605" t="str">
        <f>IF(AND(CallLog[[#This Row],[Answered (Y/N)]]="Y", CallLog[[#This Row],[Speed of answer in seconds]]&lt;=20),
    "Within",
    "Breach")</f>
        <v>Breach</v>
      </c>
      <c r="M605" s="1">
        <v>2.4652777777777776E-3</v>
      </c>
      <c r="N605">
        <v>4</v>
      </c>
    </row>
    <row r="606" spans="1:14" x14ac:dyDescent="0.3">
      <c r="A606" t="s">
        <v>640</v>
      </c>
      <c r="B606" t="s">
        <v>16</v>
      </c>
      <c r="C606" t="s">
        <v>614</v>
      </c>
      <c r="D606" s="1">
        <v>0.48400462962962965</v>
      </c>
      <c r="E606" s="2">
        <f>CallLog[[#This Row],[Date]]+CallLog[[#This Row],[Time]]</f>
        <v>44207.48400462963</v>
      </c>
      <c r="F606" s="1" t="str">
        <f>TEXT(CallLog[[#This Row],[Date]],"dddd")</f>
        <v>Monday</v>
      </c>
      <c r="G606" s="3">
        <f>HOUR(CallLog[[#This Row],[Time]])</f>
        <v>11</v>
      </c>
      <c r="H606" t="s">
        <v>17</v>
      </c>
      <c r="I606" t="s">
        <v>14</v>
      </c>
      <c r="J606" t="s">
        <v>14</v>
      </c>
      <c r="K606">
        <v>34</v>
      </c>
      <c r="L606" t="str">
        <f>IF(AND(CallLog[[#This Row],[Answered (Y/N)]]="Y", CallLog[[#This Row],[Speed of answer in seconds]]&lt;=20),
    "Within",
    "Breach")</f>
        <v>Breach</v>
      </c>
      <c r="M606" s="1">
        <v>3.1365740740740742E-3</v>
      </c>
      <c r="N606">
        <v>3</v>
      </c>
    </row>
    <row r="607" spans="1:14" x14ac:dyDescent="0.3">
      <c r="A607" t="s">
        <v>641</v>
      </c>
      <c r="B607" t="s">
        <v>20</v>
      </c>
      <c r="C607" t="s">
        <v>614</v>
      </c>
      <c r="D607" s="1">
        <v>0.48400462962962965</v>
      </c>
      <c r="E607" s="2">
        <f>CallLog[[#This Row],[Date]]+CallLog[[#This Row],[Time]]</f>
        <v>44207.48400462963</v>
      </c>
      <c r="F607" s="1" t="str">
        <f>TEXT(CallLog[[#This Row],[Date]],"dddd")</f>
        <v>Monday</v>
      </c>
      <c r="G607" s="3">
        <f>HOUR(CallLog[[#This Row],[Time]])</f>
        <v>11</v>
      </c>
      <c r="H607" t="s">
        <v>24</v>
      </c>
      <c r="I607" t="s">
        <v>18</v>
      </c>
      <c r="J607" t="s">
        <v>18</v>
      </c>
      <c r="L607" t="str">
        <f>IF(AND(CallLog[[#This Row],[Answered (Y/N)]]="Y", CallLog[[#This Row],[Speed of answer in seconds]]&lt;=20),
    "Within",
    "Breach")</f>
        <v>Breach</v>
      </c>
    </row>
    <row r="608" spans="1:14" x14ac:dyDescent="0.3">
      <c r="A608" t="s">
        <v>642</v>
      </c>
      <c r="B608" t="s">
        <v>20</v>
      </c>
      <c r="C608" t="s">
        <v>614</v>
      </c>
      <c r="D608" s="1">
        <v>0.49099537037037039</v>
      </c>
      <c r="E608" s="2">
        <f>CallLog[[#This Row],[Date]]+CallLog[[#This Row],[Time]]</f>
        <v>44207.490995370368</v>
      </c>
      <c r="F608" s="1" t="str">
        <f>TEXT(CallLog[[#This Row],[Date]],"dddd")</f>
        <v>Monday</v>
      </c>
      <c r="G608" s="3">
        <f>HOUR(CallLog[[#This Row],[Time]])</f>
        <v>11</v>
      </c>
      <c r="H608" t="s">
        <v>32</v>
      </c>
      <c r="I608" t="s">
        <v>14</v>
      </c>
      <c r="J608" t="s">
        <v>14</v>
      </c>
      <c r="K608">
        <v>116</v>
      </c>
      <c r="L608" t="str">
        <f>IF(AND(CallLog[[#This Row],[Answered (Y/N)]]="Y", CallLog[[#This Row],[Speed of answer in seconds]]&lt;=20),
    "Within",
    "Breach")</f>
        <v>Breach</v>
      </c>
      <c r="M608" s="1">
        <v>2.7314814814814814E-3</v>
      </c>
      <c r="N608">
        <v>3</v>
      </c>
    </row>
    <row r="609" spans="1:14" x14ac:dyDescent="0.3">
      <c r="A609" t="s">
        <v>643</v>
      </c>
      <c r="B609" t="s">
        <v>47</v>
      </c>
      <c r="C609" t="s">
        <v>614</v>
      </c>
      <c r="D609" s="1">
        <v>0.49099537037037039</v>
      </c>
      <c r="E609" s="2">
        <f>CallLog[[#This Row],[Date]]+CallLog[[#This Row],[Time]]</f>
        <v>44207.490995370368</v>
      </c>
      <c r="F609" s="1" t="str">
        <f>TEXT(CallLog[[#This Row],[Date]],"dddd")</f>
        <v>Monday</v>
      </c>
      <c r="G609" s="3">
        <f>HOUR(CallLog[[#This Row],[Time]])</f>
        <v>11</v>
      </c>
      <c r="H609" t="s">
        <v>24</v>
      </c>
      <c r="I609" t="s">
        <v>14</v>
      </c>
      <c r="J609" t="s">
        <v>14</v>
      </c>
      <c r="K609">
        <v>20</v>
      </c>
      <c r="L609" t="str">
        <f>IF(AND(CallLog[[#This Row],[Answered (Y/N)]]="Y", CallLog[[#This Row],[Speed of answer in seconds]]&lt;=20),
    "Within",
    "Breach")</f>
        <v>Within</v>
      </c>
      <c r="M609" s="1">
        <v>3.8194444444444452E-4</v>
      </c>
      <c r="N609">
        <v>3</v>
      </c>
    </row>
    <row r="610" spans="1:14" x14ac:dyDescent="0.3">
      <c r="A610" t="s">
        <v>644</v>
      </c>
      <c r="B610" t="s">
        <v>31</v>
      </c>
      <c r="C610" t="s">
        <v>614</v>
      </c>
      <c r="D610" s="1">
        <v>0.50700231481481484</v>
      </c>
      <c r="E610" s="2">
        <f>CallLog[[#This Row],[Date]]+CallLog[[#This Row],[Time]]</f>
        <v>44207.507002314815</v>
      </c>
      <c r="F610" s="1" t="str">
        <f>TEXT(CallLog[[#This Row],[Date]],"dddd")</f>
        <v>Monday</v>
      </c>
      <c r="G610" s="3">
        <f>HOUR(CallLog[[#This Row],[Time]])</f>
        <v>12</v>
      </c>
      <c r="H610" t="s">
        <v>32</v>
      </c>
      <c r="I610" t="s">
        <v>14</v>
      </c>
      <c r="J610" t="s">
        <v>14</v>
      </c>
      <c r="K610">
        <v>105</v>
      </c>
      <c r="L610" t="str">
        <f>IF(AND(CallLog[[#This Row],[Answered (Y/N)]]="Y", CallLog[[#This Row],[Speed of answer in seconds]]&lt;=20),
    "Within",
    "Breach")</f>
        <v>Breach</v>
      </c>
      <c r="M610" s="1">
        <v>4.6064814814814814E-3</v>
      </c>
      <c r="N610">
        <v>1</v>
      </c>
    </row>
    <row r="611" spans="1:14" x14ac:dyDescent="0.3">
      <c r="A611" t="s">
        <v>645</v>
      </c>
      <c r="B611" t="s">
        <v>11</v>
      </c>
      <c r="C611" t="s">
        <v>614</v>
      </c>
      <c r="D611" s="1">
        <v>0.50700231481481484</v>
      </c>
      <c r="E611" s="2">
        <f>CallLog[[#This Row],[Date]]+CallLog[[#This Row],[Time]]</f>
        <v>44207.507002314815</v>
      </c>
      <c r="F611" s="1" t="str">
        <f>TEXT(CallLog[[#This Row],[Date]],"dddd")</f>
        <v>Monday</v>
      </c>
      <c r="G611" s="3">
        <f>HOUR(CallLog[[#This Row],[Time]])</f>
        <v>12</v>
      </c>
      <c r="H611" t="s">
        <v>24</v>
      </c>
      <c r="I611" t="s">
        <v>14</v>
      </c>
      <c r="J611" t="s">
        <v>14</v>
      </c>
      <c r="K611">
        <v>25</v>
      </c>
      <c r="L611" t="str">
        <f>IF(AND(CallLog[[#This Row],[Answered (Y/N)]]="Y", CallLog[[#This Row],[Speed of answer in seconds]]&lt;=20),
    "Within",
    "Breach")</f>
        <v>Breach</v>
      </c>
      <c r="M611" s="1">
        <v>6.134259259259259E-4</v>
      </c>
      <c r="N611">
        <v>3</v>
      </c>
    </row>
    <row r="612" spans="1:14" x14ac:dyDescent="0.3">
      <c r="A612" t="s">
        <v>646</v>
      </c>
      <c r="B612" t="s">
        <v>11</v>
      </c>
      <c r="C612" t="s">
        <v>614</v>
      </c>
      <c r="D612" s="1">
        <v>0.51400462962962967</v>
      </c>
      <c r="E612" s="2">
        <f>CallLog[[#This Row],[Date]]+CallLog[[#This Row],[Time]]</f>
        <v>44207.514004629629</v>
      </c>
      <c r="F612" s="1" t="str">
        <f>TEXT(CallLog[[#This Row],[Date]],"dddd")</f>
        <v>Monday</v>
      </c>
      <c r="G612" s="3">
        <f>HOUR(CallLog[[#This Row],[Time]])</f>
        <v>12</v>
      </c>
      <c r="H612" t="s">
        <v>24</v>
      </c>
      <c r="I612" t="s">
        <v>14</v>
      </c>
      <c r="J612" t="s">
        <v>14</v>
      </c>
      <c r="K612">
        <v>16</v>
      </c>
      <c r="L612" t="str">
        <f>IF(AND(CallLog[[#This Row],[Answered (Y/N)]]="Y", CallLog[[#This Row],[Speed of answer in seconds]]&lt;=20),
    "Within",
    "Breach")</f>
        <v>Within</v>
      </c>
      <c r="M612" s="1">
        <v>4.4212962962962964E-3</v>
      </c>
      <c r="N612">
        <v>4</v>
      </c>
    </row>
    <row r="613" spans="1:14" x14ac:dyDescent="0.3">
      <c r="A613" t="s">
        <v>647</v>
      </c>
      <c r="B613" t="s">
        <v>38</v>
      </c>
      <c r="C613" t="s">
        <v>614</v>
      </c>
      <c r="D613" s="1">
        <v>0.51400462962962967</v>
      </c>
      <c r="E613" s="2">
        <f>CallLog[[#This Row],[Date]]+CallLog[[#This Row],[Time]]</f>
        <v>44207.514004629629</v>
      </c>
      <c r="F613" s="1" t="str">
        <f>TEXT(CallLog[[#This Row],[Date]],"dddd")</f>
        <v>Monday</v>
      </c>
      <c r="G613" s="3">
        <f>HOUR(CallLog[[#This Row],[Time]])</f>
        <v>12</v>
      </c>
      <c r="H613" t="s">
        <v>13</v>
      </c>
      <c r="I613" t="s">
        <v>14</v>
      </c>
      <c r="J613" t="s">
        <v>14</v>
      </c>
      <c r="K613">
        <v>64</v>
      </c>
      <c r="L613" t="str">
        <f>IF(AND(CallLog[[#This Row],[Answered (Y/N)]]="Y", CallLog[[#This Row],[Speed of answer in seconds]]&lt;=20),
    "Within",
    "Breach")</f>
        <v>Breach</v>
      </c>
      <c r="M613" s="1">
        <v>1.8518518518518519E-3</v>
      </c>
      <c r="N613">
        <v>4</v>
      </c>
    </row>
    <row r="614" spans="1:14" x14ac:dyDescent="0.3">
      <c r="A614" t="s">
        <v>648</v>
      </c>
      <c r="B614" t="s">
        <v>20</v>
      </c>
      <c r="C614" t="s">
        <v>614</v>
      </c>
      <c r="D614" s="1">
        <v>0.51700231481481485</v>
      </c>
      <c r="E614" s="2">
        <f>CallLog[[#This Row],[Date]]+CallLog[[#This Row],[Time]]</f>
        <v>44207.517002314817</v>
      </c>
      <c r="F614" s="1" t="str">
        <f>TEXT(CallLog[[#This Row],[Date]],"dddd")</f>
        <v>Monday</v>
      </c>
      <c r="G614" s="3">
        <f>HOUR(CallLog[[#This Row],[Time]])</f>
        <v>12</v>
      </c>
      <c r="H614" t="s">
        <v>29</v>
      </c>
      <c r="I614" t="s">
        <v>14</v>
      </c>
      <c r="J614" t="s">
        <v>14</v>
      </c>
      <c r="K614">
        <v>82</v>
      </c>
      <c r="L614" t="str">
        <f>IF(AND(CallLog[[#This Row],[Answered (Y/N)]]="Y", CallLog[[#This Row],[Speed of answer in seconds]]&lt;=20),
    "Within",
    "Breach")</f>
        <v>Breach</v>
      </c>
      <c r="M614" s="1">
        <v>4.7569444444444447E-3</v>
      </c>
      <c r="N614">
        <v>3</v>
      </c>
    </row>
    <row r="615" spans="1:14" x14ac:dyDescent="0.3">
      <c r="A615" t="s">
        <v>649</v>
      </c>
      <c r="B615" t="s">
        <v>47</v>
      </c>
      <c r="C615" t="s">
        <v>614</v>
      </c>
      <c r="D615" s="1">
        <v>0.51700231481481485</v>
      </c>
      <c r="E615" s="2">
        <f>CallLog[[#This Row],[Date]]+CallLog[[#This Row],[Time]]</f>
        <v>44207.517002314817</v>
      </c>
      <c r="F615" s="1" t="str">
        <f>TEXT(CallLog[[#This Row],[Date]],"dddd")</f>
        <v>Monday</v>
      </c>
      <c r="G615" s="3">
        <f>HOUR(CallLog[[#This Row],[Time]])</f>
        <v>12</v>
      </c>
      <c r="H615" t="s">
        <v>32</v>
      </c>
      <c r="I615" t="s">
        <v>14</v>
      </c>
      <c r="J615" t="s">
        <v>14</v>
      </c>
      <c r="K615">
        <v>13</v>
      </c>
      <c r="L615" t="str">
        <f>IF(AND(CallLog[[#This Row],[Answered (Y/N)]]="Y", CallLog[[#This Row],[Speed of answer in seconds]]&lt;=20),
    "Within",
    "Breach")</f>
        <v>Within</v>
      </c>
      <c r="M615" s="1">
        <v>1.4930555555555556E-3</v>
      </c>
      <c r="N615">
        <v>5</v>
      </c>
    </row>
    <row r="616" spans="1:14" x14ac:dyDescent="0.3">
      <c r="A616" t="s">
        <v>650</v>
      </c>
      <c r="B616" t="s">
        <v>31</v>
      </c>
      <c r="C616" t="s">
        <v>614</v>
      </c>
      <c r="D616" s="1">
        <v>0.53</v>
      </c>
      <c r="E616" s="2">
        <f>CallLog[[#This Row],[Date]]+CallLog[[#This Row],[Time]]</f>
        <v>44207.53</v>
      </c>
      <c r="F616" s="1" t="str">
        <f>TEXT(CallLog[[#This Row],[Date]],"dddd")</f>
        <v>Monday</v>
      </c>
      <c r="G616" s="3">
        <f>HOUR(CallLog[[#This Row],[Time]])</f>
        <v>12</v>
      </c>
      <c r="H616" t="s">
        <v>13</v>
      </c>
      <c r="I616" t="s">
        <v>14</v>
      </c>
      <c r="J616" t="s">
        <v>14</v>
      </c>
      <c r="K616">
        <v>15</v>
      </c>
      <c r="L616" t="str">
        <f>IF(AND(CallLog[[#This Row],[Answered (Y/N)]]="Y", CallLog[[#This Row],[Speed of answer in seconds]]&lt;=20),
    "Within",
    "Breach")</f>
        <v>Within</v>
      </c>
      <c r="M616" s="1">
        <v>5.2083333333333333E-4</v>
      </c>
      <c r="N616">
        <v>5</v>
      </c>
    </row>
    <row r="617" spans="1:14" x14ac:dyDescent="0.3">
      <c r="A617" t="s">
        <v>651</v>
      </c>
      <c r="B617" t="s">
        <v>22</v>
      </c>
      <c r="C617" t="s">
        <v>614</v>
      </c>
      <c r="D617" s="1">
        <v>0.53</v>
      </c>
      <c r="E617" s="2">
        <f>CallLog[[#This Row],[Date]]+CallLog[[#This Row],[Time]]</f>
        <v>44207.53</v>
      </c>
      <c r="F617" s="1" t="str">
        <f>TEXT(CallLog[[#This Row],[Date]],"dddd")</f>
        <v>Monday</v>
      </c>
      <c r="G617" s="3">
        <f>HOUR(CallLog[[#This Row],[Time]])</f>
        <v>12</v>
      </c>
      <c r="H617" t="s">
        <v>13</v>
      </c>
      <c r="I617" t="s">
        <v>14</v>
      </c>
      <c r="J617" t="s">
        <v>14</v>
      </c>
      <c r="K617">
        <v>42</v>
      </c>
      <c r="L617" t="str">
        <f>IF(AND(CallLog[[#This Row],[Answered (Y/N)]]="Y", CallLog[[#This Row],[Speed of answer in seconds]]&lt;=20),
    "Within",
    "Breach")</f>
        <v>Breach</v>
      </c>
      <c r="M617" s="1">
        <v>4.2592592592592595E-3</v>
      </c>
      <c r="N617">
        <v>2</v>
      </c>
    </row>
    <row r="618" spans="1:14" x14ac:dyDescent="0.3">
      <c r="A618" t="s">
        <v>652</v>
      </c>
      <c r="B618" t="s">
        <v>31</v>
      </c>
      <c r="C618" t="s">
        <v>614</v>
      </c>
      <c r="D618" s="1">
        <v>0.53</v>
      </c>
      <c r="E618" s="2">
        <f>CallLog[[#This Row],[Date]]+CallLog[[#This Row],[Time]]</f>
        <v>44207.53</v>
      </c>
      <c r="F618" s="1" t="str">
        <f>TEXT(CallLog[[#This Row],[Date]],"dddd")</f>
        <v>Monday</v>
      </c>
      <c r="G618" s="3">
        <f>HOUR(CallLog[[#This Row],[Time]])</f>
        <v>12</v>
      </c>
      <c r="H618" t="s">
        <v>24</v>
      </c>
      <c r="I618" t="s">
        <v>18</v>
      </c>
      <c r="J618" t="s">
        <v>18</v>
      </c>
      <c r="L618" t="str">
        <f>IF(AND(CallLog[[#This Row],[Answered (Y/N)]]="Y", CallLog[[#This Row],[Speed of answer in seconds]]&lt;=20),
    "Within",
    "Breach")</f>
        <v>Breach</v>
      </c>
    </row>
    <row r="619" spans="1:14" x14ac:dyDescent="0.3">
      <c r="A619" t="s">
        <v>653</v>
      </c>
      <c r="B619" t="s">
        <v>38</v>
      </c>
      <c r="C619" t="s">
        <v>614</v>
      </c>
      <c r="D619" s="1">
        <v>0.53</v>
      </c>
      <c r="E619" s="2">
        <f>CallLog[[#This Row],[Date]]+CallLog[[#This Row],[Time]]</f>
        <v>44207.53</v>
      </c>
      <c r="F619" s="1" t="str">
        <f>TEXT(CallLog[[#This Row],[Date]],"dddd")</f>
        <v>Monday</v>
      </c>
      <c r="G619" s="3">
        <f>HOUR(CallLog[[#This Row],[Time]])</f>
        <v>12</v>
      </c>
      <c r="H619" t="s">
        <v>24</v>
      </c>
      <c r="I619" t="s">
        <v>14</v>
      </c>
      <c r="J619" t="s">
        <v>14</v>
      </c>
      <c r="K619">
        <v>32</v>
      </c>
      <c r="L619" t="str">
        <f>IF(AND(CallLog[[#This Row],[Answered (Y/N)]]="Y", CallLog[[#This Row],[Speed of answer in seconds]]&lt;=20),
    "Within",
    "Breach")</f>
        <v>Breach</v>
      </c>
      <c r="M619" s="1">
        <v>3.9467592592592592E-3</v>
      </c>
      <c r="N619">
        <v>3</v>
      </c>
    </row>
    <row r="620" spans="1:14" x14ac:dyDescent="0.3">
      <c r="A620" t="s">
        <v>654</v>
      </c>
      <c r="B620" t="s">
        <v>47</v>
      </c>
      <c r="C620" t="s">
        <v>614</v>
      </c>
      <c r="D620" s="1">
        <v>0.54</v>
      </c>
      <c r="E620" s="2">
        <f>CallLog[[#This Row],[Date]]+CallLog[[#This Row],[Time]]</f>
        <v>44207.54</v>
      </c>
      <c r="F620" s="1" t="str">
        <f>TEXT(CallLog[[#This Row],[Date]],"dddd")</f>
        <v>Monday</v>
      </c>
      <c r="G620" s="3">
        <f>HOUR(CallLog[[#This Row],[Time]])</f>
        <v>12</v>
      </c>
      <c r="H620" t="s">
        <v>24</v>
      </c>
      <c r="I620" t="s">
        <v>14</v>
      </c>
      <c r="J620" t="s">
        <v>14</v>
      </c>
      <c r="K620">
        <v>75</v>
      </c>
      <c r="L620" t="str">
        <f>IF(AND(CallLog[[#This Row],[Answered (Y/N)]]="Y", CallLog[[#This Row],[Speed of answer in seconds]]&lt;=20),
    "Within",
    "Breach")</f>
        <v>Breach</v>
      </c>
      <c r="M620" s="1">
        <v>2.8935185185185184E-3</v>
      </c>
      <c r="N620">
        <v>3</v>
      </c>
    </row>
    <row r="621" spans="1:14" x14ac:dyDescent="0.3">
      <c r="A621" t="s">
        <v>655</v>
      </c>
      <c r="B621" t="s">
        <v>20</v>
      </c>
      <c r="C621" t="s">
        <v>614</v>
      </c>
      <c r="D621" s="1">
        <v>0.54</v>
      </c>
      <c r="E621" s="2">
        <f>CallLog[[#This Row],[Date]]+CallLog[[#This Row],[Time]]</f>
        <v>44207.54</v>
      </c>
      <c r="F621" s="1" t="str">
        <f>TEXT(CallLog[[#This Row],[Date]],"dddd")</f>
        <v>Monday</v>
      </c>
      <c r="G621" s="3">
        <f>HOUR(CallLog[[#This Row],[Time]])</f>
        <v>12</v>
      </c>
      <c r="H621" t="s">
        <v>13</v>
      </c>
      <c r="I621" t="s">
        <v>14</v>
      </c>
      <c r="J621" t="s">
        <v>18</v>
      </c>
      <c r="K621">
        <v>123</v>
      </c>
      <c r="L621" t="str">
        <f>IF(AND(CallLog[[#This Row],[Answered (Y/N)]]="Y", CallLog[[#This Row],[Speed of answer in seconds]]&lt;=20),
    "Within",
    "Breach")</f>
        <v>Breach</v>
      </c>
      <c r="M621" s="1">
        <v>1.9675925925925924E-3</v>
      </c>
      <c r="N621">
        <v>3</v>
      </c>
    </row>
    <row r="622" spans="1:14" x14ac:dyDescent="0.3">
      <c r="A622" t="s">
        <v>656</v>
      </c>
      <c r="B622" t="s">
        <v>20</v>
      </c>
      <c r="C622" t="s">
        <v>614</v>
      </c>
      <c r="D622" s="1">
        <v>0.55500000000000005</v>
      </c>
      <c r="E622" s="2">
        <f>CallLog[[#This Row],[Date]]+CallLog[[#This Row],[Time]]</f>
        <v>44207.555</v>
      </c>
      <c r="F622" s="1" t="str">
        <f>TEXT(CallLog[[#This Row],[Date]],"dddd")</f>
        <v>Monday</v>
      </c>
      <c r="G622" s="3">
        <f>HOUR(CallLog[[#This Row],[Time]])</f>
        <v>13</v>
      </c>
      <c r="H622" t="s">
        <v>32</v>
      </c>
      <c r="I622" t="s">
        <v>14</v>
      </c>
      <c r="J622" t="s">
        <v>14</v>
      </c>
      <c r="K622">
        <v>22</v>
      </c>
      <c r="L622" t="str">
        <f>IF(AND(CallLog[[#This Row],[Answered (Y/N)]]="Y", CallLog[[#This Row],[Speed of answer in seconds]]&lt;=20),
    "Within",
    "Breach")</f>
        <v>Breach</v>
      </c>
      <c r="M622" s="1">
        <v>3.7847222222222223E-3</v>
      </c>
      <c r="N622">
        <v>5</v>
      </c>
    </row>
    <row r="623" spans="1:14" x14ac:dyDescent="0.3">
      <c r="A623" t="s">
        <v>657</v>
      </c>
      <c r="B623" t="s">
        <v>22</v>
      </c>
      <c r="C623" t="s">
        <v>614</v>
      </c>
      <c r="D623" s="1">
        <v>0.55500000000000005</v>
      </c>
      <c r="E623" s="2">
        <f>CallLog[[#This Row],[Date]]+CallLog[[#This Row],[Time]]</f>
        <v>44207.555</v>
      </c>
      <c r="F623" s="1" t="str">
        <f>TEXT(CallLog[[#This Row],[Date]],"dddd")</f>
        <v>Monday</v>
      </c>
      <c r="G623" s="3">
        <f>HOUR(CallLog[[#This Row],[Time]])</f>
        <v>13</v>
      </c>
      <c r="H623" t="s">
        <v>17</v>
      </c>
      <c r="I623" t="s">
        <v>14</v>
      </c>
      <c r="J623" t="s">
        <v>14</v>
      </c>
      <c r="K623">
        <v>21</v>
      </c>
      <c r="L623" t="str">
        <f>IF(AND(CallLog[[#This Row],[Answered (Y/N)]]="Y", CallLog[[#This Row],[Speed of answer in seconds]]&lt;=20),
    "Within",
    "Breach")</f>
        <v>Breach</v>
      </c>
      <c r="M623" s="1">
        <v>1.3657407407407407E-3</v>
      </c>
      <c r="N623">
        <v>2</v>
      </c>
    </row>
    <row r="624" spans="1:14" x14ac:dyDescent="0.3">
      <c r="A624" t="s">
        <v>658</v>
      </c>
      <c r="B624" t="s">
        <v>22</v>
      </c>
      <c r="C624" t="s">
        <v>614</v>
      </c>
      <c r="D624" s="1">
        <v>0.57999999999999996</v>
      </c>
      <c r="E624" s="2">
        <f>CallLog[[#This Row],[Date]]+CallLog[[#This Row],[Time]]</f>
        <v>44207.58</v>
      </c>
      <c r="F624" s="1" t="str">
        <f>TEXT(CallLog[[#This Row],[Date]],"dddd")</f>
        <v>Monday</v>
      </c>
      <c r="G624" s="3">
        <f>HOUR(CallLog[[#This Row],[Time]])</f>
        <v>13</v>
      </c>
      <c r="H624" t="s">
        <v>32</v>
      </c>
      <c r="I624" t="s">
        <v>14</v>
      </c>
      <c r="J624" t="s">
        <v>14</v>
      </c>
      <c r="K624">
        <v>15</v>
      </c>
      <c r="L624" t="str">
        <f>IF(AND(CallLog[[#This Row],[Answered (Y/N)]]="Y", CallLog[[#This Row],[Speed of answer in seconds]]&lt;=20),
    "Within",
    "Breach")</f>
        <v>Within</v>
      </c>
      <c r="M624" s="1">
        <v>4.2824074074074075E-3</v>
      </c>
      <c r="N624">
        <v>4</v>
      </c>
    </row>
    <row r="625" spans="1:14" x14ac:dyDescent="0.3">
      <c r="A625" t="s">
        <v>659</v>
      </c>
      <c r="B625" t="s">
        <v>11</v>
      </c>
      <c r="C625" t="s">
        <v>614</v>
      </c>
      <c r="D625" s="1">
        <v>0.57999999999999996</v>
      </c>
      <c r="E625" s="2">
        <f>CallLog[[#This Row],[Date]]+CallLog[[#This Row],[Time]]</f>
        <v>44207.58</v>
      </c>
      <c r="F625" s="1" t="str">
        <f>TEXT(CallLog[[#This Row],[Date]],"dddd")</f>
        <v>Monday</v>
      </c>
      <c r="G625" s="3">
        <f>HOUR(CallLog[[#This Row],[Time]])</f>
        <v>13</v>
      </c>
      <c r="H625" t="s">
        <v>32</v>
      </c>
      <c r="I625" t="s">
        <v>14</v>
      </c>
      <c r="J625" t="s">
        <v>14</v>
      </c>
      <c r="K625">
        <v>76</v>
      </c>
      <c r="L625" t="str">
        <f>IF(AND(CallLog[[#This Row],[Answered (Y/N)]]="Y", CallLog[[#This Row],[Speed of answer in seconds]]&lt;=20),
    "Within",
    "Breach")</f>
        <v>Breach</v>
      </c>
      <c r="M625" s="1">
        <v>2.7199074074074074E-3</v>
      </c>
      <c r="N625">
        <v>4</v>
      </c>
    </row>
    <row r="626" spans="1:14" x14ac:dyDescent="0.3">
      <c r="A626" t="s">
        <v>660</v>
      </c>
      <c r="B626" t="s">
        <v>34</v>
      </c>
      <c r="C626" t="s">
        <v>614</v>
      </c>
      <c r="D626" s="1">
        <v>0.59</v>
      </c>
      <c r="E626" s="2">
        <f>CallLog[[#This Row],[Date]]+CallLog[[#This Row],[Time]]</f>
        <v>44207.59</v>
      </c>
      <c r="F626" s="1" t="str">
        <f>TEXT(CallLog[[#This Row],[Date]],"dddd")</f>
        <v>Monday</v>
      </c>
      <c r="G626" s="3">
        <f>HOUR(CallLog[[#This Row],[Time]])</f>
        <v>14</v>
      </c>
      <c r="H626" t="s">
        <v>29</v>
      </c>
      <c r="I626" t="s">
        <v>14</v>
      </c>
      <c r="J626" t="s">
        <v>14</v>
      </c>
      <c r="K626">
        <v>92</v>
      </c>
      <c r="L626" t="str">
        <f>IF(AND(CallLog[[#This Row],[Answered (Y/N)]]="Y", CallLog[[#This Row],[Speed of answer in seconds]]&lt;=20),
    "Within",
    "Breach")</f>
        <v>Breach</v>
      </c>
      <c r="M626" s="1">
        <v>3.6921296296296298E-3</v>
      </c>
      <c r="N626">
        <v>3</v>
      </c>
    </row>
    <row r="627" spans="1:14" x14ac:dyDescent="0.3">
      <c r="A627" t="s">
        <v>661</v>
      </c>
      <c r="B627" t="s">
        <v>22</v>
      </c>
      <c r="C627" t="s">
        <v>614</v>
      </c>
      <c r="D627" s="1">
        <v>0.59</v>
      </c>
      <c r="E627" s="2">
        <f>CallLog[[#This Row],[Date]]+CallLog[[#This Row],[Time]]</f>
        <v>44207.59</v>
      </c>
      <c r="F627" s="1" t="str">
        <f>TEXT(CallLog[[#This Row],[Date]],"dddd")</f>
        <v>Monday</v>
      </c>
      <c r="G627" s="3">
        <f>HOUR(CallLog[[#This Row],[Time]])</f>
        <v>14</v>
      </c>
      <c r="H627" t="s">
        <v>17</v>
      </c>
      <c r="I627" t="s">
        <v>18</v>
      </c>
      <c r="J627" t="s">
        <v>18</v>
      </c>
      <c r="L627" t="str">
        <f>IF(AND(CallLog[[#This Row],[Answered (Y/N)]]="Y", CallLog[[#This Row],[Speed of answer in seconds]]&lt;=20),
    "Within",
    "Breach")</f>
        <v>Breach</v>
      </c>
    </row>
    <row r="628" spans="1:14" x14ac:dyDescent="0.3">
      <c r="A628" t="s">
        <v>662</v>
      </c>
      <c r="B628" t="s">
        <v>38</v>
      </c>
      <c r="C628" t="s">
        <v>614</v>
      </c>
      <c r="D628" s="1">
        <v>0.59299768518518514</v>
      </c>
      <c r="E628" s="2">
        <f>CallLog[[#This Row],[Date]]+CallLog[[#This Row],[Time]]</f>
        <v>44207.592997685184</v>
      </c>
      <c r="F628" s="1" t="str">
        <f>TEXT(CallLog[[#This Row],[Date]],"dddd")</f>
        <v>Monday</v>
      </c>
      <c r="G628" s="3">
        <f>HOUR(CallLog[[#This Row],[Time]])</f>
        <v>14</v>
      </c>
      <c r="H628" t="s">
        <v>17</v>
      </c>
      <c r="I628" t="s">
        <v>18</v>
      </c>
      <c r="J628" t="s">
        <v>18</v>
      </c>
      <c r="L628" t="str">
        <f>IF(AND(CallLog[[#This Row],[Answered (Y/N)]]="Y", CallLog[[#This Row],[Speed of answer in seconds]]&lt;=20),
    "Within",
    "Breach")</f>
        <v>Breach</v>
      </c>
    </row>
    <row r="629" spans="1:14" x14ac:dyDescent="0.3">
      <c r="A629" t="s">
        <v>663</v>
      </c>
      <c r="B629" t="s">
        <v>16</v>
      </c>
      <c r="C629" t="s">
        <v>614</v>
      </c>
      <c r="D629" s="1">
        <v>0.59299768518518514</v>
      </c>
      <c r="E629" s="2">
        <f>CallLog[[#This Row],[Date]]+CallLog[[#This Row],[Time]]</f>
        <v>44207.592997685184</v>
      </c>
      <c r="F629" s="1" t="str">
        <f>TEXT(CallLog[[#This Row],[Date]],"dddd")</f>
        <v>Monday</v>
      </c>
      <c r="G629" s="3">
        <f>HOUR(CallLog[[#This Row],[Time]])</f>
        <v>14</v>
      </c>
      <c r="H629" t="s">
        <v>24</v>
      </c>
      <c r="I629" t="s">
        <v>14</v>
      </c>
      <c r="J629" t="s">
        <v>18</v>
      </c>
      <c r="K629">
        <v>62</v>
      </c>
      <c r="L629" t="str">
        <f>IF(AND(CallLog[[#This Row],[Answered (Y/N)]]="Y", CallLog[[#This Row],[Speed of answer in seconds]]&lt;=20),
    "Within",
    "Breach")</f>
        <v>Breach</v>
      </c>
      <c r="M629" s="1">
        <v>2.7662037037037039E-3</v>
      </c>
      <c r="N629">
        <v>4</v>
      </c>
    </row>
    <row r="630" spans="1:14" x14ac:dyDescent="0.3">
      <c r="A630" t="s">
        <v>664</v>
      </c>
      <c r="B630" t="s">
        <v>34</v>
      </c>
      <c r="C630" t="s">
        <v>614</v>
      </c>
      <c r="D630" s="1">
        <v>0.59700231481481481</v>
      </c>
      <c r="E630" s="2">
        <f>CallLog[[#This Row],[Date]]+CallLog[[#This Row],[Time]]</f>
        <v>44207.597002314818</v>
      </c>
      <c r="F630" s="1" t="str">
        <f>TEXT(CallLog[[#This Row],[Date]],"dddd")</f>
        <v>Monday</v>
      </c>
      <c r="G630" s="3">
        <f>HOUR(CallLog[[#This Row],[Time]])</f>
        <v>14</v>
      </c>
      <c r="H630" t="s">
        <v>29</v>
      </c>
      <c r="I630" t="s">
        <v>14</v>
      </c>
      <c r="J630" t="s">
        <v>14</v>
      </c>
      <c r="K630">
        <v>33</v>
      </c>
      <c r="L630" t="str">
        <f>IF(AND(CallLog[[#This Row],[Answered (Y/N)]]="Y", CallLog[[#This Row],[Speed of answer in seconds]]&lt;=20),
    "Within",
    "Breach")</f>
        <v>Breach</v>
      </c>
      <c r="M630" s="1">
        <v>3.449074074074074E-3</v>
      </c>
      <c r="N630">
        <v>3</v>
      </c>
    </row>
    <row r="631" spans="1:14" x14ac:dyDescent="0.3">
      <c r="A631" t="s">
        <v>665</v>
      </c>
      <c r="B631" t="s">
        <v>20</v>
      </c>
      <c r="C631" t="s">
        <v>614</v>
      </c>
      <c r="D631" s="1">
        <v>0.59700231481481481</v>
      </c>
      <c r="E631" s="2">
        <f>CallLog[[#This Row],[Date]]+CallLog[[#This Row],[Time]]</f>
        <v>44207.597002314818</v>
      </c>
      <c r="F631" s="1" t="str">
        <f>TEXT(CallLog[[#This Row],[Date]],"dddd")</f>
        <v>Monday</v>
      </c>
      <c r="G631" s="3">
        <f>HOUR(CallLog[[#This Row],[Time]])</f>
        <v>14</v>
      </c>
      <c r="H631" t="s">
        <v>29</v>
      </c>
      <c r="I631" t="s">
        <v>14</v>
      </c>
      <c r="J631" t="s">
        <v>14</v>
      </c>
      <c r="K631">
        <v>122</v>
      </c>
      <c r="L631" t="str">
        <f>IF(AND(CallLog[[#This Row],[Answered (Y/N)]]="Y", CallLog[[#This Row],[Speed of answer in seconds]]&lt;=20),
    "Within",
    "Breach")</f>
        <v>Breach</v>
      </c>
      <c r="M631" s="1">
        <v>1.3773148148148147E-3</v>
      </c>
      <c r="N631">
        <v>1</v>
      </c>
    </row>
    <row r="632" spans="1:14" x14ac:dyDescent="0.3">
      <c r="A632" t="s">
        <v>666</v>
      </c>
      <c r="B632" t="s">
        <v>20</v>
      </c>
      <c r="C632" t="s">
        <v>614</v>
      </c>
      <c r="D632" s="1">
        <v>0.6</v>
      </c>
      <c r="E632" s="2">
        <f>CallLog[[#This Row],[Date]]+CallLog[[#This Row],[Time]]</f>
        <v>44207.6</v>
      </c>
      <c r="F632" s="1" t="str">
        <f>TEXT(CallLog[[#This Row],[Date]],"dddd")</f>
        <v>Monday</v>
      </c>
      <c r="G632" s="3">
        <f>HOUR(CallLog[[#This Row],[Time]])</f>
        <v>14</v>
      </c>
      <c r="H632" t="s">
        <v>32</v>
      </c>
      <c r="I632" t="s">
        <v>14</v>
      </c>
      <c r="J632" t="s">
        <v>18</v>
      </c>
      <c r="K632">
        <v>47</v>
      </c>
      <c r="L632" t="str">
        <f>IF(AND(CallLog[[#This Row],[Answered (Y/N)]]="Y", CallLog[[#This Row],[Speed of answer in seconds]]&lt;=20),
    "Within",
    "Breach")</f>
        <v>Breach</v>
      </c>
      <c r="M632" s="1">
        <v>3.1828703703703702E-3</v>
      </c>
      <c r="N632">
        <v>1</v>
      </c>
    </row>
    <row r="633" spans="1:14" x14ac:dyDescent="0.3">
      <c r="A633" t="s">
        <v>667</v>
      </c>
      <c r="B633" t="s">
        <v>11</v>
      </c>
      <c r="C633" t="s">
        <v>614</v>
      </c>
      <c r="D633" s="1">
        <v>0.6</v>
      </c>
      <c r="E633" s="2">
        <f>CallLog[[#This Row],[Date]]+CallLog[[#This Row],[Time]]</f>
        <v>44207.6</v>
      </c>
      <c r="F633" s="1" t="str">
        <f>TEXT(CallLog[[#This Row],[Date]],"dddd")</f>
        <v>Monday</v>
      </c>
      <c r="G633" s="3">
        <f>HOUR(CallLog[[#This Row],[Time]])</f>
        <v>14</v>
      </c>
      <c r="H633" t="s">
        <v>29</v>
      </c>
      <c r="I633" t="s">
        <v>18</v>
      </c>
      <c r="J633" t="s">
        <v>18</v>
      </c>
      <c r="L633" t="str">
        <f>IF(AND(CallLog[[#This Row],[Answered (Y/N)]]="Y", CallLog[[#This Row],[Speed of answer in seconds]]&lt;=20),
    "Within",
    "Breach")</f>
        <v>Breach</v>
      </c>
    </row>
    <row r="634" spans="1:14" x14ac:dyDescent="0.3">
      <c r="A634" t="s">
        <v>668</v>
      </c>
      <c r="B634" t="s">
        <v>38</v>
      </c>
      <c r="C634" t="s">
        <v>614</v>
      </c>
      <c r="D634" s="1">
        <v>0.60200231481481481</v>
      </c>
      <c r="E634" s="2">
        <f>CallLog[[#This Row],[Date]]+CallLog[[#This Row],[Time]]</f>
        <v>44207.602002314816</v>
      </c>
      <c r="F634" s="1" t="str">
        <f>TEXT(CallLog[[#This Row],[Date]],"dddd")</f>
        <v>Monday</v>
      </c>
      <c r="G634" s="3">
        <f>HOUR(CallLog[[#This Row],[Time]])</f>
        <v>14</v>
      </c>
      <c r="H634" t="s">
        <v>17</v>
      </c>
      <c r="I634" t="s">
        <v>18</v>
      </c>
      <c r="J634" t="s">
        <v>18</v>
      </c>
      <c r="L634" t="str">
        <f>IF(AND(CallLog[[#This Row],[Answered (Y/N)]]="Y", CallLog[[#This Row],[Speed of answer in seconds]]&lt;=20),
    "Within",
    "Breach")</f>
        <v>Breach</v>
      </c>
    </row>
    <row r="635" spans="1:14" x14ac:dyDescent="0.3">
      <c r="A635" t="s">
        <v>669</v>
      </c>
      <c r="B635" t="s">
        <v>34</v>
      </c>
      <c r="C635" t="s">
        <v>614</v>
      </c>
      <c r="D635" s="1">
        <v>0.60200231481481481</v>
      </c>
      <c r="E635" s="2">
        <f>CallLog[[#This Row],[Date]]+CallLog[[#This Row],[Time]]</f>
        <v>44207.602002314816</v>
      </c>
      <c r="F635" s="1" t="str">
        <f>TEXT(CallLog[[#This Row],[Date]],"dddd")</f>
        <v>Monday</v>
      </c>
      <c r="G635" s="3">
        <f>HOUR(CallLog[[#This Row],[Time]])</f>
        <v>14</v>
      </c>
      <c r="H635" t="s">
        <v>13</v>
      </c>
      <c r="I635" t="s">
        <v>18</v>
      </c>
      <c r="J635" t="s">
        <v>18</v>
      </c>
      <c r="L635" t="str">
        <f>IF(AND(CallLog[[#This Row],[Answered (Y/N)]]="Y", CallLog[[#This Row],[Speed of answer in seconds]]&lt;=20),
    "Within",
    "Breach")</f>
        <v>Breach</v>
      </c>
    </row>
    <row r="636" spans="1:14" x14ac:dyDescent="0.3">
      <c r="A636" t="s">
        <v>670</v>
      </c>
      <c r="B636" t="s">
        <v>20</v>
      </c>
      <c r="C636" t="s">
        <v>614</v>
      </c>
      <c r="D636" s="1">
        <v>0.60299768518518515</v>
      </c>
      <c r="E636" s="2">
        <f>CallLog[[#This Row],[Date]]+CallLog[[#This Row],[Time]]</f>
        <v>44207.602997685186</v>
      </c>
      <c r="F636" s="1" t="str">
        <f>TEXT(CallLog[[#This Row],[Date]],"dddd")</f>
        <v>Monday</v>
      </c>
      <c r="G636" s="3">
        <f>HOUR(CallLog[[#This Row],[Time]])</f>
        <v>14</v>
      </c>
      <c r="H636" t="s">
        <v>32</v>
      </c>
      <c r="I636" t="s">
        <v>14</v>
      </c>
      <c r="J636" t="s">
        <v>14</v>
      </c>
      <c r="K636">
        <v>44</v>
      </c>
      <c r="L636" t="str">
        <f>IF(AND(CallLog[[#This Row],[Answered (Y/N)]]="Y", CallLog[[#This Row],[Speed of answer in seconds]]&lt;=20),
    "Within",
    "Breach")</f>
        <v>Breach</v>
      </c>
      <c r="M636" s="1">
        <v>4.5138888888888892E-4</v>
      </c>
      <c r="N636">
        <v>4</v>
      </c>
    </row>
    <row r="637" spans="1:14" x14ac:dyDescent="0.3">
      <c r="A637" t="s">
        <v>671</v>
      </c>
      <c r="B637" t="s">
        <v>38</v>
      </c>
      <c r="C637" t="s">
        <v>614</v>
      </c>
      <c r="D637" s="1">
        <v>0.60299768518518515</v>
      </c>
      <c r="E637" s="2">
        <f>CallLog[[#This Row],[Date]]+CallLog[[#This Row],[Time]]</f>
        <v>44207.602997685186</v>
      </c>
      <c r="F637" s="1" t="str">
        <f>TEXT(CallLog[[#This Row],[Date]],"dddd")</f>
        <v>Monday</v>
      </c>
      <c r="G637" s="3">
        <f>HOUR(CallLog[[#This Row],[Time]])</f>
        <v>14</v>
      </c>
      <c r="H637" t="s">
        <v>13</v>
      </c>
      <c r="I637" t="s">
        <v>14</v>
      </c>
      <c r="J637" t="s">
        <v>14</v>
      </c>
      <c r="K637">
        <v>48</v>
      </c>
      <c r="L637" t="str">
        <f>IF(AND(CallLog[[#This Row],[Answered (Y/N)]]="Y", CallLog[[#This Row],[Speed of answer in seconds]]&lt;=20),
    "Within",
    "Breach")</f>
        <v>Breach</v>
      </c>
      <c r="M637" s="1">
        <v>3.2523148148148147E-3</v>
      </c>
      <c r="N637">
        <v>3</v>
      </c>
    </row>
    <row r="638" spans="1:14" x14ac:dyDescent="0.3">
      <c r="A638" t="s">
        <v>672</v>
      </c>
      <c r="B638" t="s">
        <v>38</v>
      </c>
      <c r="C638" t="s">
        <v>614</v>
      </c>
      <c r="D638" s="1">
        <v>0.60599537037037032</v>
      </c>
      <c r="E638" s="2">
        <f>CallLog[[#This Row],[Date]]+CallLog[[#This Row],[Time]]</f>
        <v>44207.605995370373</v>
      </c>
      <c r="F638" s="1" t="str">
        <f>TEXT(CallLog[[#This Row],[Date]],"dddd")</f>
        <v>Monday</v>
      </c>
      <c r="G638" s="3">
        <f>HOUR(CallLog[[#This Row],[Time]])</f>
        <v>14</v>
      </c>
      <c r="H638" t="s">
        <v>29</v>
      </c>
      <c r="I638" t="s">
        <v>14</v>
      </c>
      <c r="J638" t="s">
        <v>14</v>
      </c>
      <c r="K638">
        <v>60</v>
      </c>
      <c r="L638" t="str">
        <f>IF(AND(CallLog[[#This Row],[Answered (Y/N)]]="Y", CallLog[[#This Row],[Speed of answer in seconds]]&lt;=20),
    "Within",
    "Breach")</f>
        <v>Breach</v>
      </c>
      <c r="M638" s="1">
        <v>6.8287037037037036E-4</v>
      </c>
      <c r="N638">
        <v>3</v>
      </c>
    </row>
    <row r="639" spans="1:14" x14ac:dyDescent="0.3">
      <c r="A639" t="s">
        <v>673</v>
      </c>
      <c r="B639" t="s">
        <v>11</v>
      </c>
      <c r="C639" t="s">
        <v>614</v>
      </c>
      <c r="D639" s="1">
        <v>0.60599537037037032</v>
      </c>
      <c r="E639" s="2">
        <f>CallLog[[#This Row],[Date]]+CallLog[[#This Row],[Time]]</f>
        <v>44207.605995370373</v>
      </c>
      <c r="F639" s="1" t="str">
        <f>TEXT(CallLog[[#This Row],[Date]],"dddd")</f>
        <v>Monday</v>
      </c>
      <c r="G639" s="3">
        <f>HOUR(CallLog[[#This Row],[Time]])</f>
        <v>14</v>
      </c>
      <c r="H639" t="s">
        <v>32</v>
      </c>
      <c r="I639" t="s">
        <v>18</v>
      </c>
      <c r="J639" t="s">
        <v>18</v>
      </c>
      <c r="L639" t="str">
        <f>IF(AND(CallLog[[#This Row],[Answered (Y/N)]]="Y", CallLog[[#This Row],[Speed of answer in seconds]]&lt;=20),
    "Within",
    "Breach")</f>
        <v>Breach</v>
      </c>
    </row>
    <row r="640" spans="1:14" x14ac:dyDescent="0.3">
      <c r="A640" t="s">
        <v>674</v>
      </c>
      <c r="B640" t="s">
        <v>31</v>
      </c>
      <c r="C640" t="s">
        <v>614</v>
      </c>
      <c r="D640" s="1">
        <v>0.62299768518518517</v>
      </c>
      <c r="E640" s="2">
        <f>CallLog[[#This Row],[Date]]+CallLog[[#This Row],[Time]]</f>
        <v>44207.622997685183</v>
      </c>
      <c r="F640" s="1" t="str">
        <f>TEXT(CallLog[[#This Row],[Date]],"dddd")</f>
        <v>Monday</v>
      </c>
      <c r="G640" s="3">
        <f>HOUR(CallLog[[#This Row],[Time]])</f>
        <v>14</v>
      </c>
      <c r="H640" t="s">
        <v>17</v>
      </c>
      <c r="I640" t="s">
        <v>14</v>
      </c>
      <c r="J640" t="s">
        <v>14</v>
      </c>
      <c r="K640">
        <v>120</v>
      </c>
      <c r="L640" t="str">
        <f>IF(AND(CallLog[[#This Row],[Answered (Y/N)]]="Y", CallLog[[#This Row],[Speed of answer in seconds]]&lt;=20),
    "Within",
    "Breach")</f>
        <v>Breach</v>
      </c>
      <c r="M640" s="1">
        <v>2.3263888888888887E-3</v>
      </c>
      <c r="N640">
        <v>2</v>
      </c>
    </row>
    <row r="641" spans="1:14" x14ac:dyDescent="0.3">
      <c r="A641" t="s">
        <v>675</v>
      </c>
      <c r="B641" t="s">
        <v>20</v>
      </c>
      <c r="C641" t="s">
        <v>614</v>
      </c>
      <c r="D641" s="1">
        <v>0.62299768518518517</v>
      </c>
      <c r="E641" s="2">
        <f>CallLog[[#This Row],[Date]]+CallLog[[#This Row],[Time]]</f>
        <v>44207.622997685183</v>
      </c>
      <c r="F641" s="1" t="str">
        <f>TEXT(CallLog[[#This Row],[Date]],"dddd")</f>
        <v>Monday</v>
      </c>
      <c r="G641" s="3">
        <f>HOUR(CallLog[[#This Row],[Time]])</f>
        <v>14</v>
      </c>
      <c r="H641" t="s">
        <v>29</v>
      </c>
      <c r="I641" t="s">
        <v>14</v>
      </c>
      <c r="J641" t="s">
        <v>14</v>
      </c>
      <c r="K641">
        <v>61</v>
      </c>
      <c r="L641" t="str">
        <f>IF(AND(CallLog[[#This Row],[Answered (Y/N)]]="Y", CallLog[[#This Row],[Speed of answer in seconds]]&lt;=20),
    "Within",
    "Breach")</f>
        <v>Breach</v>
      </c>
      <c r="M641" s="1">
        <v>3.0787037037037037E-3</v>
      </c>
      <c r="N641">
        <v>2</v>
      </c>
    </row>
    <row r="642" spans="1:14" x14ac:dyDescent="0.3">
      <c r="A642" t="s">
        <v>676</v>
      </c>
      <c r="B642" t="s">
        <v>22</v>
      </c>
      <c r="C642" t="s">
        <v>614</v>
      </c>
      <c r="D642" s="1">
        <v>0.63400462962962967</v>
      </c>
      <c r="E642" s="2">
        <f>CallLog[[#This Row],[Date]]+CallLog[[#This Row],[Time]]</f>
        <v>44207.634004629632</v>
      </c>
      <c r="F642" s="1" t="str">
        <f>TEXT(CallLog[[#This Row],[Date]],"dddd")</f>
        <v>Monday</v>
      </c>
      <c r="G642" s="3">
        <f>HOUR(CallLog[[#This Row],[Time]])</f>
        <v>15</v>
      </c>
      <c r="H642" t="s">
        <v>17</v>
      </c>
      <c r="I642" t="s">
        <v>14</v>
      </c>
      <c r="J642" t="s">
        <v>14</v>
      </c>
      <c r="K642">
        <v>103</v>
      </c>
      <c r="L642" t="str">
        <f>IF(AND(CallLog[[#This Row],[Answered (Y/N)]]="Y", CallLog[[#This Row],[Speed of answer in seconds]]&lt;=20),
    "Within",
    "Breach")</f>
        <v>Breach</v>
      </c>
      <c r="M642" s="1">
        <v>4.4560185185185189E-3</v>
      </c>
      <c r="N642">
        <v>4</v>
      </c>
    </row>
    <row r="643" spans="1:14" x14ac:dyDescent="0.3">
      <c r="A643" t="s">
        <v>677</v>
      </c>
      <c r="B643" t="s">
        <v>16</v>
      </c>
      <c r="C643" t="s">
        <v>614</v>
      </c>
      <c r="D643" s="1">
        <v>0.63400462962962967</v>
      </c>
      <c r="E643" s="2">
        <f>CallLog[[#This Row],[Date]]+CallLog[[#This Row],[Time]]</f>
        <v>44207.634004629632</v>
      </c>
      <c r="F643" s="1" t="str">
        <f>TEXT(CallLog[[#This Row],[Date]],"dddd")</f>
        <v>Monday</v>
      </c>
      <c r="G643" s="3">
        <f>HOUR(CallLog[[#This Row],[Time]])</f>
        <v>15</v>
      </c>
      <c r="H643" t="s">
        <v>13</v>
      </c>
      <c r="I643" t="s">
        <v>18</v>
      </c>
      <c r="J643" t="s">
        <v>18</v>
      </c>
      <c r="L643" t="str">
        <f>IF(AND(CallLog[[#This Row],[Answered (Y/N)]]="Y", CallLog[[#This Row],[Speed of answer in seconds]]&lt;=20),
    "Within",
    "Breach")</f>
        <v>Breach</v>
      </c>
    </row>
    <row r="644" spans="1:14" x14ac:dyDescent="0.3">
      <c r="A644" t="s">
        <v>678</v>
      </c>
      <c r="B644" t="s">
        <v>31</v>
      </c>
      <c r="C644" t="s">
        <v>614</v>
      </c>
      <c r="D644" s="1">
        <v>0.65099537037037036</v>
      </c>
      <c r="E644" s="2">
        <f>CallLog[[#This Row],[Date]]+CallLog[[#This Row],[Time]]</f>
        <v>44207.650995370372</v>
      </c>
      <c r="F644" s="1" t="str">
        <f>TEXT(CallLog[[#This Row],[Date]],"dddd")</f>
        <v>Monday</v>
      </c>
      <c r="G644" s="3">
        <f>HOUR(CallLog[[#This Row],[Time]])</f>
        <v>15</v>
      </c>
      <c r="H644" t="s">
        <v>24</v>
      </c>
      <c r="I644" t="s">
        <v>14</v>
      </c>
      <c r="J644" t="s">
        <v>14</v>
      </c>
      <c r="K644">
        <v>32</v>
      </c>
      <c r="L644" t="str">
        <f>IF(AND(CallLog[[#This Row],[Answered (Y/N)]]="Y", CallLog[[#This Row],[Speed of answer in seconds]]&lt;=20),
    "Within",
    "Breach")</f>
        <v>Breach</v>
      </c>
      <c r="M644" s="1">
        <v>2.0949074074074073E-3</v>
      </c>
      <c r="N644">
        <v>2</v>
      </c>
    </row>
    <row r="645" spans="1:14" x14ac:dyDescent="0.3">
      <c r="A645" t="s">
        <v>679</v>
      </c>
      <c r="B645" t="s">
        <v>34</v>
      </c>
      <c r="C645" t="s">
        <v>614</v>
      </c>
      <c r="D645" s="1">
        <v>0.65099537037037036</v>
      </c>
      <c r="E645" s="2">
        <f>CallLog[[#This Row],[Date]]+CallLog[[#This Row],[Time]]</f>
        <v>44207.650995370372</v>
      </c>
      <c r="F645" s="1" t="str">
        <f>TEXT(CallLog[[#This Row],[Date]],"dddd")</f>
        <v>Monday</v>
      </c>
      <c r="G645" s="3">
        <f>HOUR(CallLog[[#This Row],[Time]])</f>
        <v>15</v>
      </c>
      <c r="H645" t="s">
        <v>29</v>
      </c>
      <c r="I645" t="s">
        <v>18</v>
      </c>
      <c r="J645" t="s">
        <v>18</v>
      </c>
      <c r="L645" t="str">
        <f>IF(AND(CallLog[[#This Row],[Answered (Y/N)]]="Y", CallLog[[#This Row],[Speed of answer in seconds]]&lt;=20),
    "Within",
    "Breach")</f>
        <v>Breach</v>
      </c>
    </row>
    <row r="646" spans="1:14" x14ac:dyDescent="0.3">
      <c r="A646" t="s">
        <v>680</v>
      </c>
      <c r="B646" t="s">
        <v>31</v>
      </c>
      <c r="C646" t="s">
        <v>614</v>
      </c>
      <c r="D646" s="1">
        <v>0.66599537037037038</v>
      </c>
      <c r="E646" s="2">
        <f>CallLog[[#This Row],[Date]]+CallLog[[#This Row],[Time]]</f>
        <v>44207.665995370371</v>
      </c>
      <c r="F646" s="1" t="str">
        <f>TEXT(CallLog[[#This Row],[Date]],"dddd")</f>
        <v>Monday</v>
      </c>
      <c r="G646" s="3">
        <f>HOUR(CallLog[[#This Row],[Time]])</f>
        <v>15</v>
      </c>
      <c r="H646" t="s">
        <v>17</v>
      </c>
      <c r="I646" t="s">
        <v>14</v>
      </c>
      <c r="J646" t="s">
        <v>14</v>
      </c>
      <c r="K646">
        <v>53</v>
      </c>
      <c r="L646" t="str">
        <f>IF(AND(CallLog[[#This Row],[Answered (Y/N)]]="Y", CallLog[[#This Row],[Speed of answer in seconds]]&lt;=20),
    "Within",
    "Breach")</f>
        <v>Breach</v>
      </c>
      <c r="M646" s="1">
        <v>3.2060185185185186E-3</v>
      </c>
      <c r="N646">
        <v>1</v>
      </c>
    </row>
    <row r="647" spans="1:14" x14ac:dyDescent="0.3">
      <c r="A647" t="s">
        <v>681</v>
      </c>
      <c r="B647" t="s">
        <v>11</v>
      </c>
      <c r="C647" t="s">
        <v>614</v>
      </c>
      <c r="D647" s="1">
        <v>0.66599537037037038</v>
      </c>
      <c r="E647" s="2">
        <f>CallLog[[#This Row],[Date]]+CallLog[[#This Row],[Time]]</f>
        <v>44207.665995370371</v>
      </c>
      <c r="F647" s="1" t="str">
        <f>TEXT(CallLog[[#This Row],[Date]],"dddd")</f>
        <v>Monday</v>
      </c>
      <c r="G647" s="3">
        <f>HOUR(CallLog[[#This Row],[Time]])</f>
        <v>15</v>
      </c>
      <c r="H647" t="s">
        <v>32</v>
      </c>
      <c r="I647" t="s">
        <v>14</v>
      </c>
      <c r="J647" t="s">
        <v>14</v>
      </c>
      <c r="K647">
        <v>40</v>
      </c>
      <c r="L647" t="str">
        <f>IF(AND(CallLog[[#This Row],[Answered (Y/N)]]="Y", CallLog[[#This Row],[Speed of answer in seconds]]&lt;=20),
    "Within",
    "Breach")</f>
        <v>Breach</v>
      </c>
      <c r="M647" s="1">
        <v>2.0370370370370369E-3</v>
      </c>
      <c r="N647">
        <v>5</v>
      </c>
    </row>
    <row r="648" spans="1:14" x14ac:dyDescent="0.3">
      <c r="A648" t="s">
        <v>682</v>
      </c>
      <c r="B648" t="s">
        <v>20</v>
      </c>
      <c r="C648" t="s">
        <v>614</v>
      </c>
      <c r="D648" s="1">
        <v>0.6790046296296296</v>
      </c>
      <c r="E648" s="2">
        <f>CallLog[[#This Row],[Date]]+CallLog[[#This Row],[Time]]</f>
        <v>44207.67900462963</v>
      </c>
      <c r="F648" s="1" t="str">
        <f>TEXT(CallLog[[#This Row],[Date]],"dddd")</f>
        <v>Monday</v>
      </c>
      <c r="G648" s="3">
        <f>HOUR(CallLog[[#This Row],[Time]])</f>
        <v>16</v>
      </c>
      <c r="H648" t="s">
        <v>13</v>
      </c>
      <c r="I648" t="s">
        <v>14</v>
      </c>
      <c r="J648" t="s">
        <v>18</v>
      </c>
      <c r="K648">
        <v>58</v>
      </c>
      <c r="L648" t="str">
        <f>IF(AND(CallLog[[#This Row],[Answered (Y/N)]]="Y", CallLog[[#This Row],[Speed of answer in seconds]]&lt;=20),
    "Within",
    "Breach")</f>
        <v>Breach</v>
      </c>
      <c r="M648" s="1">
        <v>2.2453703703703702E-3</v>
      </c>
      <c r="N648">
        <v>3</v>
      </c>
    </row>
    <row r="649" spans="1:14" x14ac:dyDescent="0.3">
      <c r="A649" t="s">
        <v>683</v>
      </c>
      <c r="B649" t="s">
        <v>20</v>
      </c>
      <c r="C649" t="s">
        <v>614</v>
      </c>
      <c r="D649" s="1">
        <v>0.6790046296296296</v>
      </c>
      <c r="E649" s="2">
        <f>CallLog[[#This Row],[Date]]+CallLog[[#This Row],[Time]]</f>
        <v>44207.67900462963</v>
      </c>
      <c r="F649" s="1" t="str">
        <f>TEXT(CallLog[[#This Row],[Date]],"dddd")</f>
        <v>Monday</v>
      </c>
      <c r="G649" s="3">
        <f>HOUR(CallLog[[#This Row],[Time]])</f>
        <v>16</v>
      </c>
      <c r="H649" t="s">
        <v>17</v>
      </c>
      <c r="I649" t="s">
        <v>14</v>
      </c>
      <c r="J649" t="s">
        <v>14</v>
      </c>
      <c r="K649">
        <v>92</v>
      </c>
      <c r="L649" t="str">
        <f>IF(AND(CallLog[[#This Row],[Answered (Y/N)]]="Y", CallLog[[#This Row],[Speed of answer in seconds]]&lt;=20),
    "Within",
    "Breach")</f>
        <v>Breach</v>
      </c>
      <c r="M649" s="1">
        <v>1.7013888888888888E-3</v>
      </c>
      <c r="N649">
        <v>2</v>
      </c>
    </row>
    <row r="650" spans="1:14" x14ac:dyDescent="0.3">
      <c r="A650" t="s">
        <v>684</v>
      </c>
      <c r="B650" t="s">
        <v>11</v>
      </c>
      <c r="C650" t="s">
        <v>614</v>
      </c>
      <c r="D650" s="1">
        <v>0.69700231481481478</v>
      </c>
      <c r="E650" s="2">
        <f>CallLog[[#This Row],[Date]]+CallLog[[#This Row],[Time]]</f>
        <v>44207.697002314817</v>
      </c>
      <c r="F650" s="1" t="str">
        <f>TEXT(CallLog[[#This Row],[Date]],"dddd")</f>
        <v>Monday</v>
      </c>
      <c r="G650" s="3">
        <f>HOUR(CallLog[[#This Row],[Time]])</f>
        <v>16</v>
      </c>
      <c r="H650" t="s">
        <v>24</v>
      </c>
      <c r="I650" t="s">
        <v>18</v>
      </c>
      <c r="J650" t="s">
        <v>18</v>
      </c>
      <c r="L650" t="str">
        <f>IF(AND(CallLog[[#This Row],[Answered (Y/N)]]="Y", CallLog[[#This Row],[Speed of answer in seconds]]&lt;=20),
    "Within",
    "Breach")</f>
        <v>Breach</v>
      </c>
    </row>
    <row r="651" spans="1:14" x14ac:dyDescent="0.3">
      <c r="A651" t="s">
        <v>685</v>
      </c>
      <c r="B651" t="s">
        <v>47</v>
      </c>
      <c r="C651" t="s">
        <v>614</v>
      </c>
      <c r="D651" s="1">
        <v>0.69700231481481478</v>
      </c>
      <c r="E651" s="2">
        <f>CallLog[[#This Row],[Date]]+CallLog[[#This Row],[Time]]</f>
        <v>44207.697002314817</v>
      </c>
      <c r="F651" s="1" t="str">
        <f>TEXT(CallLog[[#This Row],[Date]],"dddd")</f>
        <v>Monday</v>
      </c>
      <c r="G651" s="3">
        <f>HOUR(CallLog[[#This Row],[Time]])</f>
        <v>16</v>
      </c>
      <c r="H651" t="s">
        <v>32</v>
      </c>
      <c r="I651" t="s">
        <v>14</v>
      </c>
      <c r="J651" t="s">
        <v>14</v>
      </c>
      <c r="K651">
        <v>124</v>
      </c>
      <c r="L651" t="str">
        <f>IF(AND(CallLog[[#This Row],[Answered (Y/N)]]="Y", CallLog[[#This Row],[Speed of answer in seconds]]&lt;=20),
    "Within",
    "Breach")</f>
        <v>Breach</v>
      </c>
      <c r="M651" s="1">
        <v>5.6712962962962967E-4</v>
      </c>
      <c r="N651">
        <v>5</v>
      </c>
    </row>
    <row r="652" spans="1:14" x14ac:dyDescent="0.3">
      <c r="A652" t="s">
        <v>686</v>
      </c>
      <c r="B652" t="s">
        <v>31</v>
      </c>
      <c r="C652" t="s">
        <v>614</v>
      </c>
      <c r="D652" s="1">
        <v>0.71299768518518514</v>
      </c>
      <c r="E652" s="2">
        <f>CallLog[[#This Row],[Date]]+CallLog[[#This Row],[Time]]</f>
        <v>44207.712997685187</v>
      </c>
      <c r="F652" s="1" t="str">
        <f>TEXT(CallLog[[#This Row],[Date]],"dddd")</f>
        <v>Monday</v>
      </c>
      <c r="G652" s="3">
        <f>HOUR(CallLog[[#This Row],[Time]])</f>
        <v>17</v>
      </c>
      <c r="H652" t="s">
        <v>29</v>
      </c>
      <c r="I652" t="s">
        <v>14</v>
      </c>
      <c r="J652" t="s">
        <v>14</v>
      </c>
      <c r="K652">
        <v>59</v>
      </c>
      <c r="L652" t="str">
        <f>IF(AND(CallLog[[#This Row],[Answered (Y/N)]]="Y", CallLog[[#This Row],[Speed of answer in seconds]]&lt;=20),
    "Within",
    "Breach")</f>
        <v>Breach</v>
      </c>
      <c r="M652" s="1">
        <v>3.1250000000000002E-3</v>
      </c>
      <c r="N652">
        <v>3</v>
      </c>
    </row>
    <row r="653" spans="1:14" x14ac:dyDescent="0.3">
      <c r="A653" t="s">
        <v>687</v>
      </c>
      <c r="B653" t="s">
        <v>22</v>
      </c>
      <c r="C653" t="s">
        <v>614</v>
      </c>
      <c r="D653" s="1">
        <v>0.71299768518518514</v>
      </c>
      <c r="E653" s="2">
        <f>CallLog[[#This Row],[Date]]+CallLog[[#This Row],[Time]]</f>
        <v>44207.712997685187</v>
      </c>
      <c r="F653" s="1" t="str">
        <f>TEXT(CallLog[[#This Row],[Date]],"dddd")</f>
        <v>Monday</v>
      </c>
      <c r="G653" s="3">
        <f>HOUR(CallLog[[#This Row],[Time]])</f>
        <v>17</v>
      </c>
      <c r="H653" t="s">
        <v>32</v>
      </c>
      <c r="I653" t="s">
        <v>14</v>
      </c>
      <c r="J653" t="s">
        <v>14</v>
      </c>
      <c r="K653">
        <v>44</v>
      </c>
      <c r="L653" t="str">
        <f>IF(AND(CallLog[[#This Row],[Answered (Y/N)]]="Y", CallLog[[#This Row],[Speed of answer in seconds]]&lt;=20),
    "Within",
    "Breach")</f>
        <v>Breach</v>
      </c>
      <c r="M653" s="1">
        <v>3.4953703703703705E-3</v>
      </c>
      <c r="N653">
        <v>1</v>
      </c>
    </row>
    <row r="654" spans="1:14" x14ac:dyDescent="0.3">
      <c r="A654" t="s">
        <v>688</v>
      </c>
      <c r="B654" t="s">
        <v>31</v>
      </c>
      <c r="C654" t="s">
        <v>614</v>
      </c>
      <c r="D654" s="1">
        <v>0.72400462962962964</v>
      </c>
      <c r="E654" s="2">
        <f>CallLog[[#This Row],[Date]]+CallLog[[#This Row],[Time]]</f>
        <v>44207.724004629628</v>
      </c>
      <c r="F654" s="1" t="str">
        <f>TEXT(CallLog[[#This Row],[Date]],"dddd")</f>
        <v>Monday</v>
      </c>
      <c r="G654" s="3">
        <f>HOUR(CallLog[[#This Row],[Time]])</f>
        <v>17</v>
      </c>
      <c r="H654" t="s">
        <v>29</v>
      </c>
      <c r="I654" t="s">
        <v>14</v>
      </c>
      <c r="J654" t="s">
        <v>14</v>
      </c>
      <c r="K654">
        <v>42</v>
      </c>
      <c r="L654" t="str">
        <f>IF(AND(CallLog[[#This Row],[Answered (Y/N)]]="Y", CallLog[[#This Row],[Speed of answer in seconds]]&lt;=20),
    "Within",
    "Breach")</f>
        <v>Breach</v>
      </c>
      <c r="M654" s="1">
        <v>2.5231481481481481E-3</v>
      </c>
      <c r="N654">
        <v>2</v>
      </c>
    </row>
    <row r="655" spans="1:14" x14ac:dyDescent="0.3">
      <c r="A655" t="s">
        <v>689</v>
      </c>
      <c r="B655" t="s">
        <v>20</v>
      </c>
      <c r="C655" t="s">
        <v>614</v>
      </c>
      <c r="D655" s="1">
        <v>0.72400462962962964</v>
      </c>
      <c r="E655" s="2">
        <f>CallLog[[#This Row],[Date]]+CallLog[[#This Row],[Time]]</f>
        <v>44207.724004629628</v>
      </c>
      <c r="F655" s="1" t="str">
        <f>TEXT(CallLog[[#This Row],[Date]],"dddd")</f>
        <v>Monday</v>
      </c>
      <c r="G655" s="3">
        <f>HOUR(CallLog[[#This Row],[Time]])</f>
        <v>17</v>
      </c>
      <c r="H655" t="s">
        <v>24</v>
      </c>
      <c r="I655" t="s">
        <v>14</v>
      </c>
      <c r="J655" t="s">
        <v>14</v>
      </c>
      <c r="K655">
        <v>21</v>
      </c>
      <c r="L655" t="str">
        <f>IF(AND(CallLog[[#This Row],[Answered (Y/N)]]="Y", CallLog[[#This Row],[Speed of answer in seconds]]&lt;=20),
    "Within",
    "Breach")</f>
        <v>Breach</v>
      </c>
      <c r="M655" s="1">
        <v>3.3101851851851851E-3</v>
      </c>
      <c r="N655">
        <v>5</v>
      </c>
    </row>
    <row r="656" spans="1:14" x14ac:dyDescent="0.3">
      <c r="A656" t="s">
        <v>690</v>
      </c>
      <c r="B656" t="s">
        <v>20</v>
      </c>
      <c r="C656" t="s">
        <v>614</v>
      </c>
      <c r="D656" s="1">
        <v>0.73700231481481482</v>
      </c>
      <c r="E656" s="2">
        <f>CallLog[[#This Row],[Date]]+CallLog[[#This Row],[Time]]</f>
        <v>44207.737002314818</v>
      </c>
      <c r="F656" s="1" t="str">
        <f>TEXT(CallLog[[#This Row],[Date]],"dddd")</f>
        <v>Monday</v>
      </c>
      <c r="G656" s="3">
        <f>HOUR(CallLog[[#This Row],[Time]])</f>
        <v>17</v>
      </c>
      <c r="H656" t="s">
        <v>13</v>
      </c>
      <c r="I656" t="s">
        <v>14</v>
      </c>
      <c r="J656" t="s">
        <v>14</v>
      </c>
      <c r="K656">
        <v>69</v>
      </c>
      <c r="L656" t="str">
        <f>IF(AND(CallLog[[#This Row],[Answered (Y/N)]]="Y", CallLog[[#This Row],[Speed of answer in seconds]]&lt;=20),
    "Within",
    "Breach")</f>
        <v>Breach</v>
      </c>
      <c r="M656" s="1">
        <v>3.7037037037037041E-4</v>
      </c>
      <c r="N656">
        <v>4</v>
      </c>
    </row>
    <row r="657" spans="1:14" x14ac:dyDescent="0.3">
      <c r="A657" t="s">
        <v>691</v>
      </c>
      <c r="B657" t="s">
        <v>20</v>
      </c>
      <c r="C657" t="s">
        <v>614</v>
      </c>
      <c r="D657" s="1">
        <v>0.73700231481481482</v>
      </c>
      <c r="E657" s="2">
        <f>CallLog[[#This Row],[Date]]+CallLog[[#This Row],[Time]]</f>
        <v>44207.737002314818</v>
      </c>
      <c r="F657" s="1" t="str">
        <f>TEXT(CallLog[[#This Row],[Date]],"dddd")</f>
        <v>Monday</v>
      </c>
      <c r="G657" s="3">
        <f>HOUR(CallLog[[#This Row],[Time]])</f>
        <v>17</v>
      </c>
      <c r="H657" t="s">
        <v>24</v>
      </c>
      <c r="I657" t="s">
        <v>14</v>
      </c>
      <c r="J657" t="s">
        <v>14</v>
      </c>
      <c r="K657">
        <v>46</v>
      </c>
      <c r="L657" t="str">
        <f>IF(AND(CallLog[[#This Row],[Answered (Y/N)]]="Y", CallLog[[#This Row],[Speed of answer in seconds]]&lt;=20),
    "Within",
    "Breach")</f>
        <v>Breach</v>
      </c>
      <c r="M657" s="1">
        <v>6.134259259259259E-4</v>
      </c>
      <c r="N657">
        <v>1</v>
      </c>
    </row>
    <row r="658" spans="1:14" x14ac:dyDescent="0.3">
      <c r="A658" t="s">
        <v>692</v>
      </c>
      <c r="B658" t="s">
        <v>38</v>
      </c>
      <c r="C658" t="s">
        <v>614</v>
      </c>
      <c r="D658" s="1">
        <v>0.73700231481481482</v>
      </c>
      <c r="E658" s="2">
        <f>CallLog[[#This Row],[Date]]+CallLog[[#This Row],[Time]]</f>
        <v>44207.737002314818</v>
      </c>
      <c r="F658" s="1" t="str">
        <f>TEXT(CallLog[[#This Row],[Date]],"dddd")</f>
        <v>Monday</v>
      </c>
      <c r="G658" s="3">
        <f>HOUR(CallLog[[#This Row],[Time]])</f>
        <v>17</v>
      </c>
      <c r="H658" t="s">
        <v>24</v>
      </c>
      <c r="I658" t="s">
        <v>14</v>
      </c>
      <c r="J658" t="s">
        <v>14</v>
      </c>
      <c r="K658">
        <v>24</v>
      </c>
      <c r="L658" t="str">
        <f>IF(AND(CallLog[[#This Row],[Answered (Y/N)]]="Y", CallLog[[#This Row],[Speed of answer in seconds]]&lt;=20),
    "Within",
    "Breach")</f>
        <v>Breach</v>
      </c>
      <c r="M658" s="1">
        <v>4.178240740740741E-3</v>
      </c>
      <c r="N658">
        <v>5</v>
      </c>
    </row>
    <row r="659" spans="1:14" x14ac:dyDescent="0.3">
      <c r="A659" t="s">
        <v>693</v>
      </c>
      <c r="B659" t="s">
        <v>20</v>
      </c>
      <c r="C659" t="s">
        <v>614</v>
      </c>
      <c r="D659" s="1">
        <v>0.73700231481481482</v>
      </c>
      <c r="E659" s="2">
        <f>CallLog[[#This Row],[Date]]+CallLog[[#This Row],[Time]]</f>
        <v>44207.737002314818</v>
      </c>
      <c r="F659" s="1" t="str">
        <f>TEXT(CallLog[[#This Row],[Date]],"dddd")</f>
        <v>Monday</v>
      </c>
      <c r="G659" s="3">
        <f>HOUR(CallLog[[#This Row],[Time]])</f>
        <v>17</v>
      </c>
      <c r="H659" t="s">
        <v>32</v>
      </c>
      <c r="I659" t="s">
        <v>14</v>
      </c>
      <c r="J659" t="s">
        <v>14</v>
      </c>
      <c r="K659">
        <v>101</v>
      </c>
      <c r="L659" t="str">
        <f>IF(AND(CallLog[[#This Row],[Answered (Y/N)]]="Y", CallLog[[#This Row],[Speed of answer in seconds]]&lt;=20),
    "Within",
    "Breach")</f>
        <v>Breach</v>
      </c>
      <c r="M659" s="1">
        <v>3.2986111111111111E-3</v>
      </c>
      <c r="N659">
        <v>2</v>
      </c>
    </row>
    <row r="660" spans="1:14" x14ac:dyDescent="0.3">
      <c r="A660" t="s">
        <v>694</v>
      </c>
      <c r="B660" t="s">
        <v>16</v>
      </c>
      <c r="C660" t="s">
        <v>614</v>
      </c>
      <c r="D660" s="1">
        <v>0.74200231481481482</v>
      </c>
      <c r="E660" s="2">
        <f>CallLog[[#This Row],[Date]]+CallLog[[#This Row],[Time]]</f>
        <v>44207.742002314815</v>
      </c>
      <c r="F660" s="1" t="str">
        <f>TEXT(CallLog[[#This Row],[Date]],"dddd")</f>
        <v>Monday</v>
      </c>
      <c r="G660" s="3">
        <f>HOUR(CallLog[[#This Row],[Time]])</f>
        <v>17</v>
      </c>
      <c r="H660" t="s">
        <v>24</v>
      </c>
      <c r="I660" t="s">
        <v>14</v>
      </c>
      <c r="J660" t="s">
        <v>14</v>
      </c>
      <c r="K660">
        <v>121</v>
      </c>
      <c r="L660" t="str">
        <f>IF(AND(CallLog[[#This Row],[Answered (Y/N)]]="Y", CallLog[[#This Row],[Speed of answer in seconds]]&lt;=20),
    "Within",
    "Breach")</f>
        <v>Breach</v>
      </c>
      <c r="M660" s="1">
        <v>9.3749999999999997E-4</v>
      </c>
      <c r="N660">
        <v>5</v>
      </c>
    </row>
    <row r="661" spans="1:14" x14ac:dyDescent="0.3">
      <c r="A661" t="s">
        <v>695</v>
      </c>
      <c r="B661" t="s">
        <v>20</v>
      </c>
      <c r="C661" t="s">
        <v>614</v>
      </c>
      <c r="D661" s="1">
        <v>0.74200231481481482</v>
      </c>
      <c r="E661" s="2">
        <f>CallLog[[#This Row],[Date]]+CallLog[[#This Row],[Time]]</f>
        <v>44207.742002314815</v>
      </c>
      <c r="F661" s="1" t="str">
        <f>TEXT(CallLog[[#This Row],[Date]],"dddd")</f>
        <v>Monday</v>
      </c>
      <c r="G661" s="3">
        <f>HOUR(CallLog[[#This Row],[Time]])</f>
        <v>17</v>
      </c>
      <c r="H661" t="s">
        <v>29</v>
      </c>
      <c r="I661" t="s">
        <v>14</v>
      </c>
      <c r="J661" t="s">
        <v>14</v>
      </c>
      <c r="K661">
        <v>61</v>
      </c>
      <c r="L661" t="str">
        <f>IF(AND(CallLog[[#This Row],[Answered (Y/N)]]="Y", CallLog[[#This Row],[Speed of answer in seconds]]&lt;=20),
    "Within",
    "Breach")</f>
        <v>Breach</v>
      </c>
      <c r="M661" s="1">
        <v>8.2175925925925927E-4</v>
      </c>
      <c r="N661">
        <v>3</v>
      </c>
    </row>
    <row r="662" spans="1:14" x14ac:dyDescent="0.3">
      <c r="A662" t="s">
        <v>696</v>
      </c>
      <c r="B662" t="s">
        <v>16</v>
      </c>
      <c r="C662" t="s">
        <v>614</v>
      </c>
      <c r="D662" s="1">
        <v>0.74299768518518516</v>
      </c>
      <c r="E662" s="2">
        <f>CallLog[[#This Row],[Date]]+CallLog[[#This Row],[Time]]</f>
        <v>44207.742997685185</v>
      </c>
      <c r="F662" s="1" t="str">
        <f>TEXT(CallLog[[#This Row],[Date]],"dddd")</f>
        <v>Monday</v>
      </c>
      <c r="G662" s="3">
        <f>HOUR(CallLog[[#This Row],[Time]])</f>
        <v>17</v>
      </c>
      <c r="H662" t="s">
        <v>13</v>
      </c>
      <c r="I662" t="s">
        <v>14</v>
      </c>
      <c r="J662" t="s">
        <v>14</v>
      </c>
      <c r="K662">
        <v>45</v>
      </c>
      <c r="L662" t="str">
        <f>IF(AND(CallLog[[#This Row],[Answered (Y/N)]]="Y", CallLog[[#This Row],[Speed of answer in seconds]]&lt;=20),
    "Within",
    "Breach")</f>
        <v>Breach</v>
      </c>
      <c r="M662" s="1">
        <v>9.2592592592592596E-4</v>
      </c>
      <c r="N662">
        <v>4</v>
      </c>
    </row>
    <row r="663" spans="1:14" x14ac:dyDescent="0.3">
      <c r="A663" t="s">
        <v>697</v>
      </c>
      <c r="B663" t="s">
        <v>16</v>
      </c>
      <c r="C663" t="s">
        <v>614</v>
      </c>
      <c r="D663" s="1">
        <v>0.74299768518518516</v>
      </c>
      <c r="E663" s="2">
        <f>CallLog[[#This Row],[Date]]+CallLog[[#This Row],[Time]]</f>
        <v>44207.742997685185</v>
      </c>
      <c r="F663" s="1" t="str">
        <f>TEXT(CallLog[[#This Row],[Date]],"dddd")</f>
        <v>Monday</v>
      </c>
      <c r="G663" s="3">
        <f>HOUR(CallLog[[#This Row],[Time]])</f>
        <v>17</v>
      </c>
      <c r="H663" t="s">
        <v>24</v>
      </c>
      <c r="I663" t="s">
        <v>14</v>
      </c>
      <c r="J663" t="s">
        <v>14</v>
      </c>
      <c r="K663">
        <v>40</v>
      </c>
      <c r="L663" t="str">
        <f>IF(AND(CallLog[[#This Row],[Answered (Y/N)]]="Y", CallLog[[#This Row],[Speed of answer in seconds]]&lt;=20),
    "Within",
    "Breach")</f>
        <v>Breach</v>
      </c>
      <c r="M663" s="1">
        <v>1.4004629629629629E-3</v>
      </c>
      <c r="N663">
        <v>5</v>
      </c>
    </row>
    <row r="664" spans="1:14" x14ac:dyDescent="0.3">
      <c r="A664" t="s">
        <v>698</v>
      </c>
      <c r="B664" t="s">
        <v>47</v>
      </c>
      <c r="C664" t="s">
        <v>699</v>
      </c>
      <c r="D664" s="1">
        <v>0.41099537037037037</v>
      </c>
      <c r="E664" s="2">
        <f>CallLog[[#This Row],[Date]]+CallLog[[#This Row],[Time]]</f>
        <v>44208.410995370374</v>
      </c>
      <c r="F664" s="1" t="str">
        <f>TEXT(CallLog[[#This Row],[Date]],"dddd")</f>
        <v>Tuesday</v>
      </c>
      <c r="G664" s="3">
        <f>HOUR(CallLog[[#This Row],[Time]])</f>
        <v>9</v>
      </c>
      <c r="H664" t="s">
        <v>17</v>
      </c>
      <c r="I664" t="s">
        <v>14</v>
      </c>
      <c r="J664" t="s">
        <v>14</v>
      </c>
      <c r="K664">
        <v>94</v>
      </c>
      <c r="L664" t="str">
        <f>IF(AND(CallLog[[#This Row],[Answered (Y/N)]]="Y", CallLog[[#This Row],[Speed of answer in seconds]]&lt;=20),
    "Within",
    "Breach")</f>
        <v>Breach</v>
      </c>
      <c r="M664" s="1">
        <v>6.4814814814814813E-4</v>
      </c>
      <c r="N664">
        <v>4</v>
      </c>
    </row>
    <row r="665" spans="1:14" x14ac:dyDescent="0.3">
      <c r="A665" t="s">
        <v>700</v>
      </c>
      <c r="B665" t="s">
        <v>22</v>
      </c>
      <c r="C665" t="s">
        <v>699</v>
      </c>
      <c r="D665" s="1">
        <v>0.41099537037037037</v>
      </c>
      <c r="E665" s="2">
        <f>CallLog[[#This Row],[Date]]+CallLog[[#This Row],[Time]]</f>
        <v>44208.410995370374</v>
      </c>
      <c r="F665" s="1" t="str">
        <f>TEXT(CallLog[[#This Row],[Date]],"dddd")</f>
        <v>Tuesday</v>
      </c>
      <c r="G665" s="3">
        <f>HOUR(CallLog[[#This Row],[Time]])</f>
        <v>9</v>
      </c>
      <c r="H665" t="s">
        <v>32</v>
      </c>
      <c r="I665" t="s">
        <v>14</v>
      </c>
      <c r="J665" t="s">
        <v>14</v>
      </c>
      <c r="K665">
        <v>85</v>
      </c>
      <c r="L665" t="str">
        <f>IF(AND(CallLog[[#This Row],[Answered (Y/N)]]="Y", CallLog[[#This Row],[Speed of answer in seconds]]&lt;=20),
    "Within",
    "Breach")</f>
        <v>Breach</v>
      </c>
      <c r="M665" s="1">
        <v>3.6342592592592594E-3</v>
      </c>
      <c r="N665">
        <v>5</v>
      </c>
    </row>
    <row r="666" spans="1:14" x14ac:dyDescent="0.3">
      <c r="A666" t="s">
        <v>701</v>
      </c>
      <c r="B666" t="s">
        <v>31</v>
      </c>
      <c r="C666" t="s">
        <v>699</v>
      </c>
      <c r="D666" s="1">
        <v>0.41499999999999998</v>
      </c>
      <c r="E666" s="2">
        <f>CallLog[[#This Row],[Date]]+CallLog[[#This Row],[Time]]</f>
        <v>44208.415000000001</v>
      </c>
      <c r="F666" s="1" t="str">
        <f>TEXT(CallLog[[#This Row],[Date]],"dddd")</f>
        <v>Tuesday</v>
      </c>
      <c r="G666" s="3">
        <f>HOUR(CallLog[[#This Row],[Time]])</f>
        <v>9</v>
      </c>
      <c r="H666" t="s">
        <v>24</v>
      </c>
      <c r="I666" t="s">
        <v>14</v>
      </c>
      <c r="J666" t="s">
        <v>14</v>
      </c>
      <c r="K666">
        <v>22</v>
      </c>
      <c r="L666" t="str">
        <f>IF(AND(CallLog[[#This Row],[Answered (Y/N)]]="Y", CallLog[[#This Row],[Speed of answer in seconds]]&lt;=20),
    "Within",
    "Breach")</f>
        <v>Breach</v>
      </c>
      <c r="M666" s="1">
        <v>3.2175925925925926E-3</v>
      </c>
      <c r="N666">
        <v>3</v>
      </c>
    </row>
    <row r="667" spans="1:14" x14ac:dyDescent="0.3">
      <c r="A667" t="s">
        <v>702</v>
      </c>
      <c r="B667" t="s">
        <v>16</v>
      </c>
      <c r="C667" t="s">
        <v>699</v>
      </c>
      <c r="D667" s="1">
        <v>0.41499999999999998</v>
      </c>
      <c r="E667" s="2">
        <f>CallLog[[#This Row],[Date]]+CallLog[[#This Row],[Time]]</f>
        <v>44208.415000000001</v>
      </c>
      <c r="F667" s="1" t="str">
        <f>TEXT(CallLog[[#This Row],[Date]],"dddd")</f>
        <v>Tuesday</v>
      </c>
      <c r="G667" s="3">
        <f>HOUR(CallLog[[#This Row],[Time]])</f>
        <v>9</v>
      </c>
      <c r="H667" t="s">
        <v>13</v>
      </c>
      <c r="I667" t="s">
        <v>14</v>
      </c>
      <c r="J667" t="s">
        <v>14</v>
      </c>
      <c r="K667">
        <v>119</v>
      </c>
      <c r="L667" t="str">
        <f>IF(AND(CallLog[[#This Row],[Answered (Y/N)]]="Y", CallLog[[#This Row],[Speed of answer in seconds]]&lt;=20),
    "Within",
    "Breach")</f>
        <v>Breach</v>
      </c>
      <c r="M667" s="1">
        <v>4.7569444444444447E-3</v>
      </c>
      <c r="N667">
        <v>5</v>
      </c>
    </row>
    <row r="668" spans="1:14" x14ac:dyDescent="0.3">
      <c r="A668" t="s">
        <v>703</v>
      </c>
      <c r="B668" t="s">
        <v>16</v>
      </c>
      <c r="C668" t="s">
        <v>699</v>
      </c>
      <c r="D668" s="1">
        <v>0.42499999999999999</v>
      </c>
      <c r="E668" s="2">
        <f>CallLog[[#This Row],[Date]]+CallLog[[#This Row],[Time]]</f>
        <v>44208.425000000003</v>
      </c>
      <c r="F668" s="1" t="str">
        <f>TEXT(CallLog[[#This Row],[Date]],"dddd")</f>
        <v>Tuesday</v>
      </c>
      <c r="G668" s="3">
        <f>HOUR(CallLog[[#This Row],[Time]])</f>
        <v>10</v>
      </c>
      <c r="H668" t="s">
        <v>24</v>
      </c>
      <c r="I668" t="s">
        <v>14</v>
      </c>
      <c r="J668" t="s">
        <v>14</v>
      </c>
      <c r="K668">
        <v>13</v>
      </c>
      <c r="L668" t="str">
        <f>IF(AND(CallLog[[#This Row],[Answered (Y/N)]]="Y", CallLog[[#This Row],[Speed of answer in seconds]]&lt;=20),
    "Within",
    "Breach")</f>
        <v>Within</v>
      </c>
      <c r="M668" s="1">
        <v>1.6319444444444445E-3</v>
      </c>
      <c r="N668">
        <v>4</v>
      </c>
    </row>
    <row r="669" spans="1:14" x14ac:dyDescent="0.3">
      <c r="A669" t="s">
        <v>704</v>
      </c>
      <c r="B669" t="s">
        <v>38</v>
      </c>
      <c r="C669" t="s">
        <v>699</v>
      </c>
      <c r="D669" s="1">
        <v>0.42499999999999999</v>
      </c>
      <c r="E669" s="2">
        <f>CallLog[[#This Row],[Date]]+CallLog[[#This Row],[Time]]</f>
        <v>44208.425000000003</v>
      </c>
      <c r="F669" s="1" t="str">
        <f>TEXT(CallLog[[#This Row],[Date]],"dddd")</f>
        <v>Tuesday</v>
      </c>
      <c r="G669" s="3">
        <f>HOUR(CallLog[[#This Row],[Time]])</f>
        <v>10</v>
      </c>
      <c r="H669" t="s">
        <v>13</v>
      </c>
      <c r="I669" t="s">
        <v>14</v>
      </c>
      <c r="J669" t="s">
        <v>14</v>
      </c>
      <c r="K669">
        <v>60</v>
      </c>
      <c r="L669" t="str">
        <f>IF(AND(CallLog[[#This Row],[Answered (Y/N)]]="Y", CallLog[[#This Row],[Speed of answer in seconds]]&lt;=20),
    "Within",
    "Breach")</f>
        <v>Breach</v>
      </c>
      <c r="M669" s="1">
        <v>3.0092592592592593E-3</v>
      </c>
      <c r="N669">
        <v>4</v>
      </c>
    </row>
    <row r="670" spans="1:14" x14ac:dyDescent="0.3">
      <c r="A670" t="s">
        <v>705</v>
      </c>
      <c r="B670" t="s">
        <v>11</v>
      </c>
      <c r="C670" t="s">
        <v>699</v>
      </c>
      <c r="D670" s="1">
        <v>0.42799768518518516</v>
      </c>
      <c r="E670" s="2">
        <f>CallLog[[#This Row],[Date]]+CallLog[[#This Row],[Time]]</f>
        <v>44208.427997685183</v>
      </c>
      <c r="F670" s="1" t="str">
        <f>TEXT(CallLog[[#This Row],[Date]],"dddd")</f>
        <v>Tuesday</v>
      </c>
      <c r="G670" s="3">
        <f>HOUR(CallLog[[#This Row],[Time]])</f>
        <v>10</v>
      </c>
      <c r="H670" t="s">
        <v>29</v>
      </c>
      <c r="I670" t="s">
        <v>18</v>
      </c>
      <c r="J670" t="s">
        <v>18</v>
      </c>
      <c r="L670" t="str">
        <f>IF(AND(CallLog[[#This Row],[Answered (Y/N)]]="Y", CallLog[[#This Row],[Speed of answer in seconds]]&lt;=20),
    "Within",
    "Breach")</f>
        <v>Breach</v>
      </c>
    </row>
    <row r="671" spans="1:14" x14ac:dyDescent="0.3">
      <c r="A671" t="s">
        <v>706</v>
      </c>
      <c r="B671" t="s">
        <v>31</v>
      </c>
      <c r="C671" t="s">
        <v>699</v>
      </c>
      <c r="D671" s="1">
        <v>0.42799768518518516</v>
      </c>
      <c r="E671" s="2">
        <f>CallLog[[#This Row],[Date]]+CallLog[[#This Row],[Time]]</f>
        <v>44208.427997685183</v>
      </c>
      <c r="F671" s="1" t="str">
        <f>TEXT(CallLog[[#This Row],[Date]],"dddd")</f>
        <v>Tuesday</v>
      </c>
      <c r="G671" s="3">
        <f>HOUR(CallLog[[#This Row],[Time]])</f>
        <v>10</v>
      </c>
      <c r="H671" t="s">
        <v>24</v>
      </c>
      <c r="I671" t="s">
        <v>14</v>
      </c>
      <c r="J671" t="s">
        <v>14</v>
      </c>
      <c r="K671">
        <v>29</v>
      </c>
      <c r="L671" t="str">
        <f>IF(AND(CallLog[[#This Row],[Answered (Y/N)]]="Y", CallLog[[#This Row],[Speed of answer in seconds]]&lt;=20),
    "Within",
    "Breach")</f>
        <v>Breach</v>
      </c>
      <c r="M671" s="1">
        <v>4.2013888888888891E-3</v>
      </c>
      <c r="N671">
        <v>1</v>
      </c>
    </row>
    <row r="672" spans="1:14" x14ac:dyDescent="0.3">
      <c r="A672" t="s">
        <v>707</v>
      </c>
      <c r="B672" t="s">
        <v>11</v>
      </c>
      <c r="C672" t="s">
        <v>699</v>
      </c>
      <c r="D672" s="1">
        <v>0.44400462962962961</v>
      </c>
      <c r="E672" s="2">
        <f>CallLog[[#This Row],[Date]]+CallLog[[#This Row],[Time]]</f>
        <v>44208.444004629629</v>
      </c>
      <c r="F672" s="1" t="str">
        <f>TEXT(CallLog[[#This Row],[Date]],"dddd")</f>
        <v>Tuesday</v>
      </c>
      <c r="G672" s="3">
        <f>HOUR(CallLog[[#This Row],[Time]])</f>
        <v>10</v>
      </c>
      <c r="H672" t="s">
        <v>24</v>
      </c>
      <c r="I672" t="s">
        <v>14</v>
      </c>
      <c r="J672" t="s">
        <v>18</v>
      </c>
      <c r="K672">
        <v>41</v>
      </c>
      <c r="L672" t="str">
        <f>IF(AND(CallLog[[#This Row],[Answered (Y/N)]]="Y", CallLog[[#This Row],[Speed of answer in seconds]]&lt;=20),
    "Within",
    "Breach")</f>
        <v>Breach</v>
      </c>
      <c r="M672" s="1">
        <v>4.0162037037037041E-3</v>
      </c>
      <c r="N672">
        <v>5</v>
      </c>
    </row>
    <row r="673" spans="1:14" x14ac:dyDescent="0.3">
      <c r="A673" t="s">
        <v>708</v>
      </c>
      <c r="B673" t="s">
        <v>38</v>
      </c>
      <c r="C673" t="s">
        <v>699</v>
      </c>
      <c r="D673" s="1">
        <v>0.44400462962962961</v>
      </c>
      <c r="E673" s="2">
        <f>CallLog[[#This Row],[Date]]+CallLog[[#This Row],[Time]]</f>
        <v>44208.444004629629</v>
      </c>
      <c r="F673" s="1" t="str">
        <f>TEXT(CallLog[[#This Row],[Date]],"dddd")</f>
        <v>Tuesday</v>
      </c>
      <c r="G673" s="3">
        <f>HOUR(CallLog[[#This Row],[Time]])</f>
        <v>10</v>
      </c>
      <c r="H673" t="s">
        <v>13</v>
      </c>
      <c r="I673" t="s">
        <v>14</v>
      </c>
      <c r="J673" t="s">
        <v>14</v>
      </c>
      <c r="K673">
        <v>87</v>
      </c>
      <c r="L673" t="str">
        <f>IF(AND(CallLog[[#This Row],[Answered (Y/N)]]="Y", CallLog[[#This Row],[Speed of answer in seconds]]&lt;=20),
    "Within",
    "Breach")</f>
        <v>Breach</v>
      </c>
      <c r="M673" s="1">
        <v>3.9351851851851848E-3</v>
      </c>
      <c r="N673">
        <v>5</v>
      </c>
    </row>
    <row r="674" spans="1:14" x14ac:dyDescent="0.3">
      <c r="A674" t="s">
        <v>709</v>
      </c>
      <c r="B674" t="s">
        <v>31</v>
      </c>
      <c r="C674" t="s">
        <v>699</v>
      </c>
      <c r="D674" s="1">
        <v>0.45</v>
      </c>
      <c r="E674" s="2">
        <f>CallLog[[#This Row],[Date]]+CallLog[[#This Row],[Time]]</f>
        <v>44208.45</v>
      </c>
      <c r="F674" s="1" t="str">
        <f>TEXT(CallLog[[#This Row],[Date]],"dddd")</f>
        <v>Tuesday</v>
      </c>
      <c r="G674" s="3">
        <f>HOUR(CallLog[[#This Row],[Time]])</f>
        <v>10</v>
      </c>
      <c r="H674" t="s">
        <v>13</v>
      </c>
      <c r="I674" t="s">
        <v>14</v>
      </c>
      <c r="J674" t="s">
        <v>14</v>
      </c>
      <c r="K674">
        <v>77</v>
      </c>
      <c r="L674" t="str">
        <f>IF(AND(CallLog[[#This Row],[Answered (Y/N)]]="Y", CallLog[[#This Row],[Speed of answer in seconds]]&lt;=20),
    "Within",
    "Breach")</f>
        <v>Breach</v>
      </c>
      <c r="M674" s="1">
        <v>3.1018518518518517E-3</v>
      </c>
      <c r="N674">
        <v>5</v>
      </c>
    </row>
    <row r="675" spans="1:14" x14ac:dyDescent="0.3">
      <c r="A675" t="s">
        <v>710</v>
      </c>
      <c r="B675" t="s">
        <v>31</v>
      </c>
      <c r="C675" t="s">
        <v>699</v>
      </c>
      <c r="D675" s="1">
        <v>0.45</v>
      </c>
      <c r="E675" s="2">
        <f>CallLog[[#This Row],[Date]]+CallLog[[#This Row],[Time]]</f>
        <v>44208.45</v>
      </c>
      <c r="F675" s="1" t="str">
        <f>TEXT(CallLog[[#This Row],[Date]],"dddd")</f>
        <v>Tuesday</v>
      </c>
      <c r="G675" s="3">
        <f>HOUR(CallLog[[#This Row],[Time]])</f>
        <v>10</v>
      </c>
      <c r="H675" t="s">
        <v>24</v>
      </c>
      <c r="I675" t="s">
        <v>18</v>
      </c>
      <c r="J675" t="s">
        <v>18</v>
      </c>
      <c r="L675" t="str">
        <f>IF(AND(CallLog[[#This Row],[Answered (Y/N)]]="Y", CallLog[[#This Row],[Speed of answer in seconds]]&lt;=20),
    "Within",
    "Breach")</f>
        <v>Breach</v>
      </c>
    </row>
    <row r="676" spans="1:14" x14ac:dyDescent="0.3">
      <c r="A676" t="s">
        <v>711</v>
      </c>
      <c r="B676" t="s">
        <v>47</v>
      </c>
      <c r="C676" t="s">
        <v>699</v>
      </c>
      <c r="D676" s="1">
        <v>0.45099537037037035</v>
      </c>
      <c r="E676" s="2">
        <f>CallLog[[#This Row],[Date]]+CallLog[[#This Row],[Time]]</f>
        <v>44208.450995370367</v>
      </c>
      <c r="F676" s="1" t="str">
        <f>TEXT(CallLog[[#This Row],[Date]],"dddd")</f>
        <v>Tuesday</v>
      </c>
      <c r="G676" s="3">
        <f>HOUR(CallLog[[#This Row],[Time]])</f>
        <v>10</v>
      </c>
      <c r="H676" t="s">
        <v>29</v>
      </c>
      <c r="I676" t="s">
        <v>14</v>
      </c>
      <c r="J676" t="s">
        <v>14</v>
      </c>
      <c r="K676">
        <v>30</v>
      </c>
      <c r="L676" t="str">
        <f>IF(AND(CallLog[[#This Row],[Answered (Y/N)]]="Y", CallLog[[#This Row],[Speed of answer in seconds]]&lt;=20),
    "Within",
    "Breach")</f>
        <v>Breach</v>
      </c>
      <c r="M676" s="1">
        <v>1.9212962962962964E-3</v>
      </c>
      <c r="N676">
        <v>4</v>
      </c>
    </row>
    <row r="677" spans="1:14" x14ac:dyDescent="0.3">
      <c r="A677" t="s">
        <v>712</v>
      </c>
      <c r="B677" t="s">
        <v>20</v>
      </c>
      <c r="C677" t="s">
        <v>699</v>
      </c>
      <c r="D677" s="1">
        <v>0.45099537037037035</v>
      </c>
      <c r="E677" s="2">
        <f>CallLog[[#This Row],[Date]]+CallLog[[#This Row],[Time]]</f>
        <v>44208.450995370367</v>
      </c>
      <c r="F677" s="1" t="str">
        <f>TEXT(CallLog[[#This Row],[Date]],"dddd")</f>
        <v>Tuesday</v>
      </c>
      <c r="G677" s="3">
        <f>HOUR(CallLog[[#This Row],[Time]])</f>
        <v>10</v>
      </c>
      <c r="H677" t="s">
        <v>24</v>
      </c>
      <c r="I677" t="s">
        <v>18</v>
      </c>
      <c r="J677" t="s">
        <v>18</v>
      </c>
      <c r="L677" t="str">
        <f>IF(AND(CallLog[[#This Row],[Answered (Y/N)]]="Y", CallLog[[#This Row],[Speed of answer in seconds]]&lt;=20),
    "Within",
    "Breach")</f>
        <v>Breach</v>
      </c>
    </row>
    <row r="678" spans="1:14" x14ac:dyDescent="0.3">
      <c r="A678" t="s">
        <v>713</v>
      </c>
      <c r="B678" t="s">
        <v>31</v>
      </c>
      <c r="C678" t="s">
        <v>699</v>
      </c>
      <c r="D678" s="1">
        <v>0.46299768518518519</v>
      </c>
      <c r="E678" s="2">
        <f>CallLog[[#This Row],[Date]]+CallLog[[#This Row],[Time]]</f>
        <v>44208.462997685187</v>
      </c>
      <c r="F678" s="1" t="str">
        <f>TEXT(CallLog[[#This Row],[Date]],"dddd")</f>
        <v>Tuesday</v>
      </c>
      <c r="G678" s="3">
        <f>HOUR(CallLog[[#This Row],[Time]])</f>
        <v>11</v>
      </c>
      <c r="H678" t="s">
        <v>24</v>
      </c>
      <c r="I678" t="s">
        <v>14</v>
      </c>
      <c r="J678" t="s">
        <v>14</v>
      </c>
      <c r="K678">
        <v>81</v>
      </c>
      <c r="L678" t="str">
        <f>IF(AND(CallLog[[#This Row],[Answered (Y/N)]]="Y", CallLog[[#This Row],[Speed of answer in seconds]]&lt;=20),
    "Within",
    "Breach")</f>
        <v>Breach</v>
      </c>
      <c r="M678" s="1">
        <v>3.8194444444444443E-3</v>
      </c>
      <c r="N678">
        <v>3</v>
      </c>
    </row>
    <row r="679" spans="1:14" x14ac:dyDescent="0.3">
      <c r="A679" t="s">
        <v>714</v>
      </c>
      <c r="B679" t="s">
        <v>20</v>
      </c>
      <c r="C679" t="s">
        <v>699</v>
      </c>
      <c r="D679" s="1">
        <v>0.46299768518518519</v>
      </c>
      <c r="E679" s="2">
        <f>CallLog[[#This Row],[Date]]+CallLog[[#This Row],[Time]]</f>
        <v>44208.462997685187</v>
      </c>
      <c r="F679" s="1" t="str">
        <f>TEXT(CallLog[[#This Row],[Date]],"dddd")</f>
        <v>Tuesday</v>
      </c>
      <c r="G679" s="3">
        <f>HOUR(CallLog[[#This Row],[Time]])</f>
        <v>11</v>
      </c>
      <c r="H679" t="s">
        <v>13</v>
      </c>
      <c r="I679" t="s">
        <v>14</v>
      </c>
      <c r="J679" t="s">
        <v>14</v>
      </c>
      <c r="K679">
        <v>76</v>
      </c>
      <c r="L679" t="str">
        <f>IF(AND(CallLog[[#This Row],[Answered (Y/N)]]="Y", CallLog[[#This Row],[Speed of answer in seconds]]&lt;=20),
    "Within",
    "Breach")</f>
        <v>Breach</v>
      </c>
      <c r="M679" s="1">
        <v>1.6435185185185185E-3</v>
      </c>
      <c r="N679">
        <v>4</v>
      </c>
    </row>
    <row r="680" spans="1:14" x14ac:dyDescent="0.3">
      <c r="A680" t="s">
        <v>715</v>
      </c>
      <c r="B680" t="s">
        <v>11</v>
      </c>
      <c r="C680" t="s">
        <v>699</v>
      </c>
      <c r="D680" s="1">
        <v>0.48700231481481482</v>
      </c>
      <c r="E680" s="2">
        <f>CallLog[[#This Row],[Date]]+CallLog[[#This Row],[Time]]</f>
        <v>44208.487002314818</v>
      </c>
      <c r="F680" s="1" t="str">
        <f>TEXT(CallLog[[#This Row],[Date]],"dddd")</f>
        <v>Tuesday</v>
      </c>
      <c r="G680" s="3">
        <f>HOUR(CallLog[[#This Row],[Time]])</f>
        <v>11</v>
      </c>
      <c r="H680" t="s">
        <v>13</v>
      </c>
      <c r="I680" t="s">
        <v>18</v>
      </c>
      <c r="J680" t="s">
        <v>18</v>
      </c>
      <c r="L680" t="str">
        <f>IF(AND(CallLog[[#This Row],[Answered (Y/N)]]="Y", CallLog[[#This Row],[Speed of answer in seconds]]&lt;=20),
    "Within",
    "Breach")</f>
        <v>Breach</v>
      </c>
    </row>
    <row r="681" spans="1:14" x14ac:dyDescent="0.3">
      <c r="A681" t="s">
        <v>716</v>
      </c>
      <c r="B681" t="s">
        <v>22</v>
      </c>
      <c r="C681" t="s">
        <v>699</v>
      </c>
      <c r="D681" s="1">
        <v>0.48700231481481482</v>
      </c>
      <c r="E681" s="2">
        <f>CallLog[[#This Row],[Date]]+CallLog[[#This Row],[Time]]</f>
        <v>44208.487002314818</v>
      </c>
      <c r="F681" s="1" t="str">
        <f>TEXT(CallLog[[#This Row],[Date]],"dddd")</f>
        <v>Tuesday</v>
      </c>
      <c r="G681" s="3">
        <f>HOUR(CallLog[[#This Row],[Time]])</f>
        <v>11</v>
      </c>
      <c r="H681" t="s">
        <v>13</v>
      </c>
      <c r="I681" t="s">
        <v>14</v>
      </c>
      <c r="J681" t="s">
        <v>14</v>
      </c>
      <c r="K681">
        <v>79</v>
      </c>
      <c r="L681" t="str">
        <f>IF(AND(CallLog[[#This Row],[Answered (Y/N)]]="Y", CallLog[[#This Row],[Speed of answer in seconds]]&lt;=20),
    "Within",
    "Breach")</f>
        <v>Breach</v>
      </c>
      <c r="M681" s="1">
        <v>2.3726851851851851E-3</v>
      </c>
      <c r="N681">
        <v>4</v>
      </c>
    </row>
    <row r="682" spans="1:14" x14ac:dyDescent="0.3">
      <c r="A682" t="s">
        <v>717</v>
      </c>
      <c r="B682" t="s">
        <v>34</v>
      </c>
      <c r="C682" t="s">
        <v>699</v>
      </c>
      <c r="D682" s="1">
        <v>0.50299768518518517</v>
      </c>
      <c r="E682" s="2">
        <f>CallLog[[#This Row],[Date]]+CallLog[[#This Row],[Time]]</f>
        <v>44208.502997685187</v>
      </c>
      <c r="F682" s="1" t="str">
        <f>TEXT(CallLog[[#This Row],[Date]],"dddd")</f>
        <v>Tuesday</v>
      </c>
      <c r="G682" s="3">
        <f>HOUR(CallLog[[#This Row],[Time]])</f>
        <v>12</v>
      </c>
      <c r="H682" t="s">
        <v>29</v>
      </c>
      <c r="I682" t="s">
        <v>14</v>
      </c>
      <c r="J682" t="s">
        <v>14</v>
      </c>
      <c r="K682">
        <v>114</v>
      </c>
      <c r="L682" t="str">
        <f>IF(AND(CallLog[[#This Row],[Answered (Y/N)]]="Y", CallLog[[#This Row],[Speed of answer in seconds]]&lt;=20),
    "Within",
    "Breach")</f>
        <v>Breach</v>
      </c>
      <c r="M682" s="1">
        <v>3.8194444444444443E-3</v>
      </c>
      <c r="N682">
        <v>3</v>
      </c>
    </row>
    <row r="683" spans="1:14" x14ac:dyDescent="0.3">
      <c r="A683" t="s">
        <v>718</v>
      </c>
      <c r="B683" t="s">
        <v>22</v>
      </c>
      <c r="C683" t="s">
        <v>699</v>
      </c>
      <c r="D683" s="1">
        <v>0.50299768518518517</v>
      </c>
      <c r="E683" s="2">
        <f>CallLog[[#This Row],[Date]]+CallLog[[#This Row],[Time]]</f>
        <v>44208.502997685187</v>
      </c>
      <c r="F683" s="1" t="str">
        <f>TEXT(CallLog[[#This Row],[Date]],"dddd")</f>
        <v>Tuesday</v>
      </c>
      <c r="G683" s="3">
        <f>HOUR(CallLog[[#This Row],[Time]])</f>
        <v>12</v>
      </c>
      <c r="H683" t="s">
        <v>13</v>
      </c>
      <c r="I683" t="s">
        <v>14</v>
      </c>
      <c r="J683" t="s">
        <v>14</v>
      </c>
      <c r="K683">
        <v>15</v>
      </c>
      <c r="L683" t="str">
        <f>IF(AND(CallLog[[#This Row],[Answered (Y/N)]]="Y", CallLog[[#This Row],[Speed of answer in seconds]]&lt;=20),
    "Within",
    "Breach")</f>
        <v>Within</v>
      </c>
      <c r="M683" s="1">
        <v>4.8611111111111112E-3</v>
      </c>
      <c r="N683">
        <v>2</v>
      </c>
    </row>
    <row r="684" spans="1:14" x14ac:dyDescent="0.3">
      <c r="A684" t="s">
        <v>719</v>
      </c>
      <c r="B684" t="s">
        <v>16</v>
      </c>
      <c r="C684" t="s">
        <v>699</v>
      </c>
      <c r="D684" s="1">
        <v>0.54400462962962959</v>
      </c>
      <c r="E684" s="2">
        <f>CallLog[[#This Row],[Date]]+CallLog[[#This Row],[Time]]</f>
        <v>44208.544004629628</v>
      </c>
      <c r="F684" s="1" t="str">
        <f>TEXT(CallLog[[#This Row],[Date]],"dddd")</f>
        <v>Tuesday</v>
      </c>
      <c r="G684" s="3">
        <f>HOUR(CallLog[[#This Row],[Time]])</f>
        <v>13</v>
      </c>
      <c r="H684" t="s">
        <v>32</v>
      </c>
      <c r="I684" t="s">
        <v>14</v>
      </c>
      <c r="J684" t="s">
        <v>14</v>
      </c>
      <c r="K684">
        <v>43</v>
      </c>
      <c r="L684" t="str">
        <f>IF(AND(CallLog[[#This Row],[Answered (Y/N)]]="Y", CallLog[[#This Row],[Speed of answer in seconds]]&lt;=20),
    "Within",
    "Breach")</f>
        <v>Breach</v>
      </c>
      <c r="M684" s="1">
        <v>2.3148148148148147E-3</v>
      </c>
      <c r="N684">
        <v>4</v>
      </c>
    </row>
    <row r="685" spans="1:14" x14ac:dyDescent="0.3">
      <c r="A685" t="s">
        <v>720</v>
      </c>
      <c r="B685" t="s">
        <v>20</v>
      </c>
      <c r="C685" t="s">
        <v>699</v>
      </c>
      <c r="D685" s="1">
        <v>0.54400462962962959</v>
      </c>
      <c r="E685" s="2">
        <f>CallLog[[#This Row],[Date]]+CallLog[[#This Row],[Time]]</f>
        <v>44208.544004629628</v>
      </c>
      <c r="F685" s="1" t="str">
        <f>TEXT(CallLog[[#This Row],[Date]],"dddd")</f>
        <v>Tuesday</v>
      </c>
      <c r="G685" s="3">
        <f>HOUR(CallLog[[#This Row],[Time]])</f>
        <v>13</v>
      </c>
      <c r="H685" t="s">
        <v>17</v>
      </c>
      <c r="I685" t="s">
        <v>14</v>
      </c>
      <c r="J685" t="s">
        <v>14</v>
      </c>
      <c r="K685">
        <v>26</v>
      </c>
      <c r="L685" t="str">
        <f>IF(AND(CallLog[[#This Row],[Answered (Y/N)]]="Y", CallLog[[#This Row],[Speed of answer in seconds]]&lt;=20),
    "Within",
    "Breach")</f>
        <v>Breach</v>
      </c>
      <c r="M685" s="1">
        <v>4.4907407407407405E-3</v>
      </c>
      <c r="N685">
        <v>1</v>
      </c>
    </row>
    <row r="686" spans="1:14" x14ac:dyDescent="0.3">
      <c r="A686" t="s">
        <v>721</v>
      </c>
      <c r="B686" t="s">
        <v>22</v>
      </c>
      <c r="C686" t="s">
        <v>699</v>
      </c>
      <c r="D686" s="1">
        <v>0.56299768518518523</v>
      </c>
      <c r="E686" s="2">
        <f>CallLog[[#This Row],[Date]]+CallLog[[#This Row],[Time]]</f>
        <v>44208.562997685185</v>
      </c>
      <c r="F686" s="1" t="str">
        <f>TEXT(CallLog[[#This Row],[Date]],"dddd")</f>
        <v>Tuesday</v>
      </c>
      <c r="G686" s="3">
        <f>HOUR(CallLog[[#This Row],[Time]])</f>
        <v>13</v>
      </c>
      <c r="H686" t="s">
        <v>17</v>
      </c>
      <c r="I686" t="s">
        <v>14</v>
      </c>
      <c r="J686" t="s">
        <v>14</v>
      </c>
      <c r="K686">
        <v>57</v>
      </c>
      <c r="L686" t="str">
        <f>IF(AND(CallLog[[#This Row],[Answered (Y/N)]]="Y", CallLog[[#This Row],[Speed of answer in seconds]]&lt;=20),
    "Within",
    "Breach")</f>
        <v>Breach</v>
      </c>
      <c r="M686" s="1">
        <v>2.4537037037037036E-3</v>
      </c>
      <c r="N686">
        <v>2</v>
      </c>
    </row>
    <row r="687" spans="1:14" x14ac:dyDescent="0.3">
      <c r="A687" t="s">
        <v>722</v>
      </c>
      <c r="B687" t="s">
        <v>20</v>
      </c>
      <c r="C687" t="s">
        <v>699</v>
      </c>
      <c r="D687" s="1">
        <v>0.56299768518518523</v>
      </c>
      <c r="E687" s="2">
        <f>CallLog[[#This Row],[Date]]+CallLog[[#This Row],[Time]]</f>
        <v>44208.562997685185</v>
      </c>
      <c r="F687" s="1" t="str">
        <f>TEXT(CallLog[[#This Row],[Date]],"dddd")</f>
        <v>Tuesday</v>
      </c>
      <c r="G687" s="3">
        <f>HOUR(CallLog[[#This Row],[Time]])</f>
        <v>13</v>
      </c>
      <c r="H687" t="s">
        <v>13</v>
      </c>
      <c r="I687" t="s">
        <v>14</v>
      </c>
      <c r="J687" t="s">
        <v>14</v>
      </c>
      <c r="K687">
        <v>86</v>
      </c>
      <c r="L687" t="str">
        <f>IF(AND(CallLog[[#This Row],[Answered (Y/N)]]="Y", CallLog[[#This Row],[Speed of answer in seconds]]&lt;=20),
    "Within",
    "Breach")</f>
        <v>Breach</v>
      </c>
      <c r="M687" s="1">
        <v>1.7824074074074075E-3</v>
      </c>
      <c r="N687">
        <v>3</v>
      </c>
    </row>
    <row r="688" spans="1:14" x14ac:dyDescent="0.3">
      <c r="A688" t="s">
        <v>723</v>
      </c>
      <c r="B688" t="s">
        <v>11</v>
      </c>
      <c r="C688" t="s">
        <v>699</v>
      </c>
      <c r="D688" s="1">
        <v>0.56799768518518523</v>
      </c>
      <c r="E688" s="2">
        <f>CallLog[[#This Row],[Date]]+CallLog[[#This Row],[Time]]</f>
        <v>44208.567997685182</v>
      </c>
      <c r="F688" s="1" t="str">
        <f>TEXT(CallLog[[#This Row],[Date]],"dddd")</f>
        <v>Tuesday</v>
      </c>
      <c r="G688" s="3">
        <f>HOUR(CallLog[[#This Row],[Time]])</f>
        <v>13</v>
      </c>
      <c r="H688" t="s">
        <v>24</v>
      </c>
      <c r="I688" t="s">
        <v>14</v>
      </c>
      <c r="J688" t="s">
        <v>14</v>
      </c>
      <c r="K688">
        <v>110</v>
      </c>
      <c r="L688" t="str">
        <f>IF(AND(CallLog[[#This Row],[Answered (Y/N)]]="Y", CallLog[[#This Row],[Speed of answer in seconds]]&lt;=20),
    "Within",
    "Breach")</f>
        <v>Breach</v>
      </c>
      <c r="M688" s="1">
        <v>3.3101851851851851E-3</v>
      </c>
      <c r="N688">
        <v>3</v>
      </c>
    </row>
    <row r="689" spans="1:14" x14ac:dyDescent="0.3">
      <c r="A689" t="s">
        <v>724</v>
      </c>
      <c r="B689" t="s">
        <v>16</v>
      </c>
      <c r="C689" t="s">
        <v>699</v>
      </c>
      <c r="D689" s="1">
        <v>0.56799768518518523</v>
      </c>
      <c r="E689" s="2">
        <f>CallLog[[#This Row],[Date]]+CallLog[[#This Row],[Time]]</f>
        <v>44208.567997685182</v>
      </c>
      <c r="F689" s="1" t="str">
        <f>TEXT(CallLog[[#This Row],[Date]],"dddd")</f>
        <v>Tuesday</v>
      </c>
      <c r="G689" s="3">
        <f>HOUR(CallLog[[#This Row],[Time]])</f>
        <v>13</v>
      </c>
      <c r="H689" t="s">
        <v>13</v>
      </c>
      <c r="I689" t="s">
        <v>14</v>
      </c>
      <c r="J689" t="s">
        <v>14</v>
      </c>
      <c r="K689">
        <v>43</v>
      </c>
      <c r="L689" t="str">
        <f>IF(AND(CallLog[[#This Row],[Answered (Y/N)]]="Y", CallLog[[#This Row],[Speed of answer in seconds]]&lt;=20),
    "Within",
    "Breach")</f>
        <v>Breach</v>
      </c>
      <c r="M689" s="1">
        <v>3.3564814814814816E-3</v>
      </c>
      <c r="N689">
        <v>2</v>
      </c>
    </row>
    <row r="690" spans="1:14" x14ac:dyDescent="0.3">
      <c r="A690" t="s">
        <v>725</v>
      </c>
      <c r="B690" t="s">
        <v>38</v>
      </c>
      <c r="C690" t="s">
        <v>699</v>
      </c>
      <c r="D690" s="1">
        <v>0.5709953703703704</v>
      </c>
      <c r="E690" s="2">
        <f>CallLog[[#This Row],[Date]]+CallLog[[#This Row],[Time]]</f>
        <v>44208.57099537037</v>
      </c>
      <c r="F690" s="1" t="str">
        <f>TEXT(CallLog[[#This Row],[Date]],"dddd")</f>
        <v>Tuesday</v>
      </c>
      <c r="G690" s="3">
        <f>HOUR(CallLog[[#This Row],[Time]])</f>
        <v>13</v>
      </c>
      <c r="H690" t="s">
        <v>17</v>
      </c>
      <c r="I690" t="s">
        <v>18</v>
      </c>
      <c r="J690" t="s">
        <v>18</v>
      </c>
      <c r="L690" t="str">
        <f>IF(AND(CallLog[[#This Row],[Answered (Y/N)]]="Y", CallLog[[#This Row],[Speed of answer in seconds]]&lt;=20),
    "Within",
    "Breach")</f>
        <v>Breach</v>
      </c>
    </row>
    <row r="691" spans="1:14" x14ac:dyDescent="0.3">
      <c r="A691" t="s">
        <v>726</v>
      </c>
      <c r="B691" t="s">
        <v>38</v>
      </c>
      <c r="C691" t="s">
        <v>699</v>
      </c>
      <c r="D691" s="1">
        <v>0.5709953703703704</v>
      </c>
      <c r="E691" s="2">
        <f>CallLog[[#This Row],[Date]]+CallLog[[#This Row],[Time]]</f>
        <v>44208.57099537037</v>
      </c>
      <c r="F691" s="1" t="str">
        <f>TEXT(CallLog[[#This Row],[Date]],"dddd")</f>
        <v>Tuesday</v>
      </c>
      <c r="G691" s="3">
        <f>HOUR(CallLog[[#This Row],[Time]])</f>
        <v>13</v>
      </c>
      <c r="H691" t="s">
        <v>29</v>
      </c>
      <c r="I691" t="s">
        <v>18</v>
      </c>
      <c r="J691" t="s">
        <v>18</v>
      </c>
      <c r="L691" t="str">
        <f>IF(AND(CallLog[[#This Row],[Answered (Y/N)]]="Y", CallLog[[#This Row],[Speed of answer in seconds]]&lt;=20),
    "Within",
    "Breach")</f>
        <v>Breach</v>
      </c>
    </row>
    <row r="692" spans="1:14" x14ac:dyDescent="0.3">
      <c r="A692" t="s">
        <v>727</v>
      </c>
      <c r="B692" t="s">
        <v>34</v>
      </c>
      <c r="C692" t="s">
        <v>699</v>
      </c>
      <c r="D692" s="1">
        <v>0.5920023148148148</v>
      </c>
      <c r="E692" s="2">
        <f>CallLog[[#This Row],[Date]]+CallLog[[#This Row],[Time]]</f>
        <v>44208.592002314814</v>
      </c>
      <c r="F692" s="1" t="str">
        <f>TEXT(CallLog[[#This Row],[Date]],"dddd")</f>
        <v>Tuesday</v>
      </c>
      <c r="G692" s="3">
        <f>HOUR(CallLog[[#This Row],[Time]])</f>
        <v>14</v>
      </c>
      <c r="H692" t="s">
        <v>17</v>
      </c>
      <c r="I692" t="s">
        <v>14</v>
      </c>
      <c r="J692" t="s">
        <v>14</v>
      </c>
      <c r="K692">
        <v>105</v>
      </c>
      <c r="L692" t="str">
        <f>IF(AND(CallLog[[#This Row],[Answered (Y/N)]]="Y", CallLog[[#This Row],[Speed of answer in seconds]]&lt;=20),
    "Within",
    "Breach")</f>
        <v>Breach</v>
      </c>
      <c r="M692" s="1">
        <v>2.0949074074074073E-3</v>
      </c>
      <c r="N692">
        <v>2</v>
      </c>
    </row>
    <row r="693" spans="1:14" x14ac:dyDescent="0.3">
      <c r="A693" t="s">
        <v>728</v>
      </c>
      <c r="B693" t="s">
        <v>11</v>
      </c>
      <c r="C693" t="s">
        <v>699</v>
      </c>
      <c r="D693" s="1">
        <v>0.5920023148148148</v>
      </c>
      <c r="E693" s="2">
        <f>CallLog[[#This Row],[Date]]+CallLog[[#This Row],[Time]]</f>
        <v>44208.592002314814</v>
      </c>
      <c r="F693" s="1" t="str">
        <f>TEXT(CallLog[[#This Row],[Date]],"dddd")</f>
        <v>Tuesday</v>
      </c>
      <c r="G693" s="3">
        <f>HOUR(CallLog[[#This Row],[Time]])</f>
        <v>14</v>
      </c>
      <c r="H693" t="s">
        <v>17</v>
      </c>
      <c r="I693" t="s">
        <v>18</v>
      </c>
      <c r="J693" t="s">
        <v>18</v>
      </c>
      <c r="L693" t="str">
        <f>IF(AND(CallLog[[#This Row],[Answered (Y/N)]]="Y", CallLog[[#This Row],[Speed of answer in seconds]]&lt;=20),
    "Within",
    "Breach")</f>
        <v>Breach</v>
      </c>
    </row>
    <row r="694" spans="1:14" x14ac:dyDescent="0.3">
      <c r="A694" t="s">
        <v>729</v>
      </c>
      <c r="B694" t="s">
        <v>22</v>
      </c>
      <c r="C694" t="s">
        <v>699</v>
      </c>
      <c r="D694" s="1">
        <v>0.61900462962962965</v>
      </c>
      <c r="E694" s="2">
        <f>CallLog[[#This Row],[Date]]+CallLog[[#This Row],[Time]]</f>
        <v>44208.619004629632</v>
      </c>
      <c r="F694" s="1" t="str">
        <f>TEXT(CallLog[[#This Row],[Date]],"dddd")</f>
        <v>Tuesday</v>
      </c>
      <c r="G694" s="3">
        <f>HOUR(CallLog[[#This Row],[Time]])</f>
        <v>14</v>
      </c>
      <c r="H694" t="s">
        <v>29</v>
      </c>
      <c r="I694" t="s">
        <v>14</v>
      </c>
      <c r="J694" t="s">
        <v>14</v>
      </c>
      <c r="K694">
        <v>79</v>
      </c>
      <c r="L694" t="str">
        <f>IF(AND(CallLog[[#This Row],[Answered (Y/N)]]="Y", CallLog[[#This Row],[Speed of answer in seconds]]&lt;=20),
    "Within",
    "Breach")</f>
        <v>Breach</v>
      </c>
      <c r="M694" s="1">
        <v>5.5555555555555556E-4</v>
      </c>
      <c r="N694">
        <v>4</v>
      </c>
    </row>
    <row r="695" spans="1:14" x14ac:dyDescent="0.3">
      <c r="A695" t="s">
        <v>730</v>
      </c>
      <c r="B695" t="s">
        <v>31</v>
      </c>
      <c r="C695" t="s">
        <v>699</v>
      </c>
      <c r="D695" s="1">
        <v>0.61900462962962965</v>
      </c>
      <c r="E695" s="2">
        <f>CallLog[[#This Row],[Date]]+CallLog[[#This Row],[Time]]</f>
        <v>44208.619004629632</v>
      </c>
      <c r="F695" s="1" t="str">
        <f>TEXT(CallLog[[#This Row],[Date]],"dddd")</f>
        <v>Tuesday</v>
      </c>
      <c r="G695" s="3">
        <f>HOUR(CallLog[[#This Row],[Time]])</f>
        <v>14</v>
      </c>
      <c r="H695" t="s">
        <v>24</v>
      </c>
      <c r="I695" t="s">
        <v>14</v>
      </c>
      <c r="J695" t="s">
        <v>18</v>
      </c>
      <c r="K695">
        <v>42</v>
      </c>
      <c r="L695" t="str">
        <f>IF(AND(CallLog[[#This Row],[Answered (Y/N)]]="Y", CallLog[[#This Row],[Speed of answer in seconds]]&lt;=20),
    "Within",
    "Breach")</f>
        <v>Breach</v>
      </c>
      <c r="M695" s="1">
        <v>2.4074074074074076E-3</v>
      </c>
      <c r="N695">
        <v>3</v>
      </c>
    </row>
    <row r="696" spans="1:14" x14ac:dyDescent="0.3">
      <c r="A696" t="s">
        <v>731</v>
      </c>
      <c r="B696" t="s">
        <v>31</v>
      </c>
      <c r="C696" t="s">
        <v>699</v>
      </c>
      <c r="D696" s="1">
        <v>0.63099537037037035</v>
      </c>
      <c r="E696" s="2">
        <f>CallLog[[#This Row],[Date]]+CallLog[[#This Row],[Time]]</f>
        <v>44208.630995370368</v>
      </c>
      <c r="F696" s="1" t="str">
        <f>TEXT(CallLog[[#This Row],[Date]],"dddd")</f>
        <v>Tuesday</v>
      </c>
      <c r="G696" s="3">
        <f>HOUR(CallLog[[#This Row],[Time]])</f>
        <v>15</v>
      </c>
      <c r="H696" t="s">
        <v>13</v>
      </c>
      <c r="I696" t="s">
        <v>14</v>
      </c>
      <c r="J696" t="s">
        <v>18</v>
      </c>
      <c r="K696">
        <v>100</v>
      </c>
      <c r="L696" t="str">
        <f>IF(AND(CallLog[[#This Row],[Answered (Y/N)]]="Y", CallLog[[#This Row],[Speed of answer in seconds]]&lt;=20),
    "Within",
    "Breach")</f>
        <v>Breach</v>
      </c>
      <c r="M696" s="1">
        <v>6.5972222222222224E-4</v>
      </c>
      <c r="N696">
        <v>4</v>
      </c>
    </row>
    <row r="697" spans="1:14" x14ac:dyDescent="0.3">
      <c r="A697" t="s">
        <v>732</v>
      </c>
      <c r="B697" t="s">
        <v>22</v>
      </c>
      <c r="C697" t="s">
        <v>699</v>
      </c>
      <c r="D697" s="1">
        <v>0.63099537037037035</v>
      </c>
      <c r="E697" s="2">
        <f>CallLog[[#This Row],[Date]]+CallLog[[#This Row],[Time]]</f>
        <v>44208.630995370368</v>
      </c>
      <c r="F697" s="1" t="str">
        <f>TEXT(CallLog[[#This Row],[Date]],"dddd")</f>
        <v>Tuesday</v>
      </c>
      <c r="G697" s="3">
        <f>HOUR(CallLog[[#This Row],[Time]])</f>
        <v>15</v>
      </c>
      <c r="H697" t="s">
        <v>32</v>
      </c>
      <c r="I697" t="s">
        <v>14</v>
      </c>
      <c r="J697" t="s">
        <v>14</v>
      </c>
      <c r="K697">
        <v>107</v>
      </c>
      <c r="L697" t="str">
        <f>IF(AND(CallLog[[#This Row],[Answered (Y/N)]]="Y", CallLog[[#This Row],[Speed of answer in seconds]]&lt;=20),
    "Within",
    "Breach")</f>
        <v>Breach</v>
      </c>
      <c r="M697" s="1">
        <v>4.4907407407407405E-3</v>
      </c>
      <c r="N697">
        <v>4</v>
      </c>
    </row>
    <row r="698" spans="1:14" x14ac:dyDescent="0.3">
      <c r="A698" t="s">
        <v>733</v>
      </c>
      <c r="B698" t="s">
        <v>38</v>
      </c>
      <c r="C698" t="s">
        <v>699</v>
      </c>
      <c r="D698" s="1">
        <v>0.64099537037037035</v>
      </c>
      <c r="E698" s="2">
        <f>CallLog[[#This Row],[Date]]+CallLog[[#This Row],[Time]]</f>
        <v>44208.64099537037</v>
      </c>
      <c r="F698" s="1" t="str">
        <f>TEXT(CallLog[[#This Row],[Date]],"dddd")</f>
        <v>Tuesday</v>
      </c>
      <c r="G698" s="3">
        <f>HOUR(CallLog[[#This Row],[Time]])</f>
        <v>15</v>
      </c>
      <c r="H698" t="s">
        <v>24</v>
      </c>
      <c r="I698" t="s">
        <v>14</v>
      </c>
      <c r="J698" t="s">
        <v>14</v>
      </c>
      <c r="K698">
        <v>96</v>
      </c>
      <c r="L698" t="str">
        <f>IF(AND(CallLog[[#This Row],[Answered (Y/N)]]="Y", CallLog[[#This Row],[Speed of answer in seconds]]&lt;=20),
    "Within",
    "Breach")</f>
        <v>Breach</v>
      </c>
      <c r="M698" s="1">
        <v>2.627314814814815E-3</v>
      </c>
      <c r="N698">
        <v>5</v>
      </c>
    </row>
    <row r="699" spans="1:14" x14ac:dyDescent="0.3">
      <c r="A699" t="s">
        <v>734</v>
      </c>
      <c r="B699" t="s">
        <v>22</v>
      </c>
      <c r="C699" t="s">
        <v>699</v>
      </c>
      <c r="D699" s="1">
        <v>0.64099537037037035</v>
      </c>
      <c r="E699" s="2">
        <f>CallLog[[#This Row],[Date]]+CallLog[[#This Row],[Time]]</f>
        <v>44208.64099537037</v>
      </c>
      <c r="F699" s="1" t="str">
        <f>TEXT(CallLog[[#This Row],[Date]],"dddd")</f>
        <v>Tuesday</v>
      </c>
      <c r="G699" s="3">
        <f>HOUR(CallLog[[#This Row],[Time]])</f>
        <v>15</v>
      </c>
      <c r="H699" t="s">
        <v>32</v>
      </c>
      <c r="I699" t="s">
        <v>14</v>
      </c>
      <c r="J699" t="s">
        <v>18</v>
      </c>
      <c r="K699">
        <v>116</v>
      </c>
      <c r="L699" t="str">
        <f>IF(AND(CallLog[[#This Row],[Answered (Y/N)]]="Y", CallLog[[#This Row],[Speed of answer in seconds]]&lt;=20),
    "Within",
    "Breach")</f>
        <v>Breach</v>
      </c>
      <c r="M699" s="1">
        <v>2.9513888888888888E-3</v>
      </c>
      <c r="N699">
        <v>5</v>
      </c>
    </row>
    <row r="700" spans="1:14" x14ac:dyDescent="0.3">
      <c r="A700" t="s">
        <v>735</v>
      </c>
      <c r="B700" t="s">
        <v>38</v>
      </c>
      <c r="C700" t="s">
        <v>699</v>
      </c>
      <c r="D700" s="1">
        <v>0.6579976851851852</v>
      </c>
      <c r="E700" s="2">
        <f>CallLog[[#This Row],[Date]]+CallLog[[#This Row],[Time]]</f>
        <v>44208.657997685186</v>
      </c>
      <c r="F700" s="1" t="str">
        <f>TEXT(CallLog[[#This Row],[Date]],"dddd")</f>
        <v>Tuesday</v>
      </c>
      <c r="G700" s="3">
        <f>HOUR(CallLog[[#This Row],[Time]])</f>
        <v>15</v>
      </c>
      <c r="H700" t="s">
        <v>17</v>
      </c>
      <c r="I700" t="s">
        <v>14</v>
      </c>
      <c r="J700" t="s">
        <v>14</v>
      </c>
      <c r="K700">
        <v>54</v>
      </c>
      <c r="L700" t="str">
        <f>IF(AND(CallLog[[#This Row],[Answered (Y/N)]]="Y", CallLog[[#This Row],[Speed of answer in seconds]]&lt;=20),
    "Within",
    "Breach")</f>
        <v>Breach</v>
      </c>
      <c r="M700" s="1">
        <v>2.0138888888888888E-3</v>
      </c>
      <c r="N700">
        <v>3</v>
      </c>
    </row>
    <row r="701" spans="1:14" x14ac:dyDescent="0.3">
      <c r="A701" t="s">
        <v>736</v>
      </c>
      <c r="B701" t="s">
        <v>11</v>
      </c>
      <c r="C701" t="s">
        <v>699</v>
      </c>
      <c r="D701" s="1">
        <v>0.6579976851851852</v>
      </c>
      <c r="E701" s="2">
        <f>CallLog[[#This Row],[Date]]+CallLog[[#This Row],[Time]]</f>
        <v>44208.657997685186</v>
      </c>
      <c r="F701" s="1" t="str">
        <f>TEXT(CallLog[[#This Row],[Date]],"dddd")</f>
        <v>Tuesday</v>
      </c>
      <c r="G701" s="3">
        <f>HOUR(CallLog[[#This Row],[Time]])</f>
        <v>15</v>
      </c>
      <c r="H701" t="s">
        <v>32</v>
      </c>
      <c r="I701" t="s">
        <v>14</v>
      </c>
      <c r="J701" t="s">
        <v>14</v>
      </c>
      <c r="K701">
        <v>24</v>
      </c>
      <c r="L701" t="str">
        <f>IF(AND(CallLog[[#This Row],[Answered (Y/N)]]="Y", CallLog[[#This Row],[Speed of answer in seconds]]&lt;=20),
    "Within",
    "Breach")</f>
        <v>Breach</v>
      </c>
      <c r="M701" s="1">
        <v>4.4560185185185189E-3</v>
      </c>
      <c r="N701">
        <v>4</v>
      </c>
    </row>
    <row r="702" spans="1:14" x14ac:dyDescent="0.3">
      <c r="A702" t="s">
        <v>737</v>
      </c>
      <c r="B702" t="s">
        <v>47</v>
      </c>
      <c r="C702" t="s">
        <v>699</v>
      </c>
      <c r="D702" s="1">
        <v>0.66099537037037037</v>
      </c>
      <c r="E702" s="2">
        <f>CallLog[[#This Row],[Date]]+CallLog[[#This Row],[Time]]</f>
        <v>44208.660995370374</v>
      </c>
      <c r="F702" s="1" t="str">
        <f>TEXT(CallLog[[#This Row],[Date]],"dddd")</f>
        <v>Tuesday</v>
      </c>
      <c r="G702" s="3">
        <f>HOUR(CallLog[[#This Row],[Time]])</f>
        <v>15</v>
      </c>
      <c r="H702" t="s">
        <v>13</v>
      </c>
      <c r="I702" t="s">
        <v>14</v>
      </c>
      <c r="J702" t="s">
        <v>14</v>
      </c>
      <c r="K702">
        <v>52</v>
      </c>
      <c r="L702" t="str">
        <f>IF(AND(CallLog[[#This Row],[Answered (Y/N)]]="Y", CallLog[[#This Row],[Speed of answer in seconds]]&lt;=20),
    "Within",
    "Breach")</f>
        <v>Breach</v>
      </c>
      <c r="M702" s="1">
        <v>2.0370370370370369E-3</v>
      </c>
      <c r="N702">
        <v>5</v>
      </c>
    </row>
    <row r="703" spans="1:14" x14ac:dyDescent="0.3">
      <c r="A703" t="s">
        <v>738</v>
      </c>
      <c r="B703" t="s">
        <v>47</v>
      </c>
      <c r="C703" t="s">
        <v>699</v>
      </c>
      <c r="D703" s="1">
        <v>0.66099537037037037</v>
      </c>
      <c r="E703" s="2">
        <f>CallLog[[#This Row],[Date]]+CallLog[[#This Row],[Time]]</f>
        <v>44208.660995370374</v>
      </c>
      <c r="F703" s="1" t="str">
        <f>TEXT(CallLog[[#This Row],[Date]],"dddd")</f>
        <v>Tuesday</v>
      </c>
      <c r="G703" s="3">
        <f>HOUR(CallLog[[#This Row],[Time]])</f>
        <v>15</v>
      </c>
      <c r="H703" t="s">
        <v>13</v>
      </c>
      <c r="I703" t="s">
        <v>14</v>
      </c>
      <c r="J703" t="s">
        <v>14</v>
      </c>
      <c r="K703">
        <v>77</v>
      </c>
      <c r="L703" t="str">
        <f>IF(AND(CallLog[[#This Row],[Answered (Y/N)]]="Y", CallLog[[#This Row],[Speed of answer in seconds]]&lt;=20),
    "Within",
    "Breach")</f>
        <v>Breach</v>
      </c>
      <c r="M703" s="1">
        <v>5.9027777777777778E-4</v>
      </c>
      <c r="N703">
        <v>3</v>
      </c>
    </row>
    <row r="704" spans="1:14" x14ac:dyDescent="0.3">
      <c r="A704" t="s">
        <v>739</v>
      </c>
      <c r="B704" t="s">
        <v>11</v>
      </c>
      <c r="C704" t="s">
        <v>699</v>
      </c>
      <c r="D704" s="1">
        <v>0.67500000000000004</v>
      </c>
      <c r="E704" s="2">
        <f>CallLog[[#This Row],[Date]]+CallLog[[#This Row],[Time]]</f>
        <v>44208.675000000003</v>
      </c>
      <c r="F704" s="1" t="str">
        <f>TEXT(CallLog[[#This Row],[Date]],"dddd")</f>
        <v>Tuesday</v>
      </c>
      <c r="G704" s="3">
        <f>HOUR(CallLog[[#This Row],[Time]])</f>
        <v>16</v>
      </c>
      <c r="H704" t="s">
        <v>29</v>
      </c>
      <c r="I704" t="s">
        <v>14</v>
      </c>
      <c r="J704" t="s">
        <v>14</v>
      </c>
      <c r="K704">
        <v>91</v>
      </c>
      <c r="L704" t="str">
        <f>IF(AND(CallLog[[#This Row],[Answered (Y/N)]]="Y", CallLog[[#This Row],[Speed of answer in seconds]]&lt;=20),
    "Within",
    "Breach")</f>
        <v>Breach</v>
      </c>
      <c r="M704" s="1">
        <v>1.1574074074074073E-3</v>
      </c>
      <c r="N704">
        <v>3</v>
      </c>
    </row>
    <row r="705" spans="1:14" x14ac:dyDescent="0.3">
      <c r="A705" t="s">
        <v>740</v>
      </c>
      <c r="B705" t="s">
        <v>47</v>
      </c>
      <c r="C705" t="s">
        <v>699</v>
      </c>
      <c r="D705" s="1">
        <v>0.67500000000000004</v>
      </c>
      <c r="E705" s="2">
        <f>CallLog[[#This Row],[Date]]+CallLog[[#This Row],[Time]]</f>
        <v>44208.675000000003</v>
      </c>
      <c r="F705" s="1" t="str">
        <f>TEXT(CallLog[[#This Row],[Date]],"dddd")</f>
        <v>Tuesday</v>
      </c>
      <c r="G705" s="3">
        <f>HOUR(CallLog[[#This Row],[Time]])</f>
        <v>16</v>
      </c>
      <c r="H705" t="s">
        <v>32</v>
      </c>
      <c r="I705" t="s">
        <v>14</v>
      </c>
      <c r="J705" t="s">
        <v>18</v>
      </c>
      <c r="K705">
        <v>104</v>
      </c>
      <c r="L705" t="str">
        <f>IF(AND(CallLog[[#This Row],[Answered (Y/N)]]="Y", CallLog[[#This Row],[Speed of answer in seconds]]&lt;=20),
    "Within",
    "Breach")</f>
        <v>Breach</v>
      </c>
      <c r="M705" s="1">
        <v>1.2037037037037038E-3</v>
      </c>
      <c r="N705">
        <v>3</v>
      </c>
    </row>
    <row r="706" spans="1:14" x14ac:dyDescent="0.3">
      <c r="A706" t="s">
        <v>741</v>
      </c>
      <c r="B706" t="s">
        <v>34</v>
      </c>
      <c r="C706" t="s">
        <v>699</v>
      </c>
      <c r="D706" s="1">
        <v>0.69799768518518523</v>
      </c>
      <c r="E706" s="2">
        <f>CallLog[[#This Row],[Date]]+CallLog[[#This Row],[Time]]</f>
        <v>44208.697997685187</v>
      </c>
      <c r="F706" s="1" t="str">
        <f>TEXT(CallLog[[#This Row],[Date]],"dddd")</f>
        <v>Tuesday</v>
      </c>
      <c r="G706" s="3">
        <f>HOUR(CallLog[[#This Row],[Time]])</f>
        <v>16</v>
      </c>
      <c r="H706" t="s">
        <v>17</v>
      </c>
      <c r="I706" t="s">
        <v>14</v>
      </c>
      <c r="J706" t="s">
        <v>14</v>
      </c>
      <c r="K706">
        <v>111</v>
      </c>
      <c r="L706" t="str">
        <f>IF(AND(CallLog[[#This Row],[Answered (Y/N)]]="Y", CallLog[[#This Row],[Speed of answer in seconds]]&lt;=20),
    "Within",
    "Breach")</f>
        <v>Breach</v>
      </c>
      <c r="M706" s="1">
        <v>1.8055555555555555E-3</v>
      </c>
      <c r="N706">
        <v>3</v>
      </c>
    </row>
    <row r="707" spans="1:14" x14ac:dyDescent="0.3">
      <c r="A707" t="s">
        <v>742</v>
      </c>
      <c r="B707" t="s">
        <v>16</v>
      </c>
      <c r="C707" t="s">
        <v>699</v>
      </c>
      <c r="D707" s="1">
        <v>0.69799768518518523</v>
      </c>
      <c r="E707" s="2">
        <f>CallLog[[#This Row],[Date]]+CallLog[[#This Row],[Time]]</f>
        <v>44208.697997685187</v>
      </c>
      <c r="F707" s="1" t="str">
        <f>TEXT(CallLog[[#This Row],[Date]],"dddd")</f>
        <v>Tuesday</v>
      </c>
      <c r="G707" s="3">
        <f>HOUR(CallLog[[#This Row],[Time]])</f>
        <v>16</v>
      </c>
      <c r="H707" t="s">
        <v>17</v>
      </c>
      <c r="I707" t="s">
        <v>18</v>
      </c>
      <c r="J707" t="s">
        <v>18</v>
      </c>
      <c r="L707" t="str">
        <f>IF(AND(CallLog[[#This Row],[Answered (Y/N)]]="Y", CallLog[[#This Row],[Speed of answer in seconds]]&lt;=20),
    "Within",
    "Breach")</f>
        <v>Breach</v>
      </c>
    </row>
    <row r="708" spans="1:14" x14ac:dyDescent="0.3">
      <c r="A708" t="s">
        <v>743</v>
      </c>
      <c r="B708" t="s">
        <v>31</v>
      </c>
      <c r="C708" t="s">
        <v>699</v>
      </c>
      <c r="D708" s="1">
        <v>0.69900462962962961</v>
      </c>
      <c r="E708" s="2">
        <f>CallLog[[#This Row],[Date]]+CallLog[[#This Row],[Time]]</f>
        <v>44208.699004629627</v>
      </c>
      <c r="F708" s="1" t="str">
        <f>TEXT(CallLog[[#This Row],[Date]],"dddd")</f>
        <v>Tuesday</v>
      </c>
      <c r="G708" s="3">
        <f>HOUR(CallLog[[#This Row],[Time]])</f>
        <v>16</v>
      </c>
      <c r="H708" t="s">
        <v>24</v>
      </c>
      <c r="I708" t="s">
        <v>14</v>
      </c>
      <c r="J708" t="s">
        <v>14</v>
      </c>
      <c r="K708">
        <v>55</v>
      </c>
      <c r="L708" t="str">
        <f>IF(AND(CallLog[[#This Row],[Answered (Y/N)]]="Y", CallLog[[#This Row],[Speed of answer in seconds]]&lt;=20),
    "Within",
    "Breach")</f>
        <v>Breach</v>
      </c>
      <c r="M708" s="1">
        <v>3.5648148148148149E-3</v>
      </c>
      <c r="N708">
        <v>4</v>
      </c>
    </row>
    <row r="709" spans="1:14" x14ac:dyDescent="0.3">
      <c r="A709" t="s">
        <v>744</v>
      </c>
      <c r="B709" t="s">
        <v>20</v>
      </c>
      <c r="C709" t="s">
        <v>699</v>
      </c>
      <c r="D709" s="1">
        <v>0.69900462962962961</v>
      </c>
      <c r="E709" s="2">
        <f>CallLog[[#This Row],[Date]]+CallLog[[#This Row],[Time]]</f>
        <v>44208.699004629627</v>
      </c>
      <c r="F709" s="1" t="str">
        <f>TEXT(CallLog[[#This Row],[Date]],"dddd")</f>
        <v>Tuesday</v>
      </c>
      <c r="G709" s="3">
        <f>HOUR(CallLog[[#This Row],[Time]])</f>
        <v>16</v>
      </c>
      <c r="H709" t="s">
        <v>29</v>
      </c>
      <c r="I709" t="s">
        <v>18</v>
      </c>
      <c r="J709" t="s">
        <v>18</v>
      </c>
      <c r="L709" t="str">
        <f>IF(AND(CallLog[[#This Row],[Answered (Y/N)]]="Y", CallLog[[#This Row],[Speed of answer in seconds]]&lt;=20),
    "Within",
    "Breach")</f>
        <v>Breach</v>
      </c>
    </row>
    <row r="710" spans="1:14" x14ac:dyDescent="0.3">
      <c r="A710" t="s">
        <v>745</v>
      </c>
      <c r="B710" t="s">
        <v>34</v>
      </c>
      <c r="C710" t="s">
        <v>699</v>
      </c>
      <c r="D710" s="1">
        <v>0.70099537037037041</v>
      </c>
      <c r="E710" s="2">
        <f>CallLog[[#This Row],[Date]]+CallLog[[#This Row],[Time]]</f>
        <v>44208.700995370367</v>
      </c>
      <c r="F710" s="1" t="str">
        <f>TEXT(CallLog[[#This Row],[Date]],"dddd")</f>
        <v>Tuesday</v>
      </c>
      <c r="G710" s="3">
        <f>HOUR(CallLog[[#This Row],[Time]])</f>
        <v>16</v>
      </c>
      <c r="H710" t="s">
        <v>13</v>
      </c>
      <c r="I710" t="s">
        <v>14</v>
      </c>
      <c r="J710" t="s">
        <v>14</v>
      </c>
      <c r="K710">
        <v>124</v>
      </c>
      <c r="L710" t="str">
        <f>IF(AND(CallLog[[#This Row],[Answered (Y/N)]]="Y", CallLog[[#This Row],[Speed of answer in seconds]]&lt;=20),
    "Within",
    "Breach")</f>
        <v>Breach</v>
      </c>
      <c r="M710" s="1">
        <v>3.7731481481481483E-3</v>
      </c>
      <c r="N710">
        <v>4</v>
      </c>
    </row>
    <row r="711" spans="1:14" x14ac:dyDescent="0.3">
      <c r="A711" t="s">
        <v>746</v>
      </c>
      <c r="B711" t="s">
        <v>38</v>
      </c>
      <c r="C711" t="s">
        <v>699</v>
      </c>
      <c r="D711" s="1">
        <v>0.70099537037037041</v>
      </c>
      <c r="E711" s="2">
        <f>CallLog[[#This Row],[Date]]+CallLog[[#This Row],[Time]]</f>
        <v>44208.700995370367</v>
      </c>
      <c r="F711" s="1" t="str">
        <f>TEXT(CallLog[[#This Row],[Date]],"dddd")</f>
        <v>Tuesday</v>
      </c>
      <c r="G711" s="3">
        <f>HOUR(CallLog[[#This Row],[Time]])</f>
        <v>16</v>
      </c>
      <c r="H711" t="s">
        <v>24</v>
      </c>
      <c r="I711" t="s">
        <v>14</v>
      </c>
      <c r="J711" t="s">
        <v>14</v>
      </c>
      <c r="K711">
        <v>68</v>
      </c>
      <c r="L711" t="str">
        <f>IF(AND(CallLog[[#This Row],[Answered (Y/N)]]="Y", CallLog[[#This Row],[Speed of answer in seconds]]&lt;=20),
    "Within",
    "Breach")</f>
        <v>Breach</v>
      </c>
      <c r="M711" s="1">
        <v>3.2060185185185186E-3</v>
      </c>
      <c r="N711">
        <v>3</v>
      </c>
    </row>
    <row r="712" spans="1:14" x14ac:dyDescent="0.3">
      <c r="A712" t="s">
        <v>747</v>
      </c>
      <c r="B712" t="s">
        <v>47</v>
      </c>
      <c r="C712" t="s">
        <v>699</v>
      </c>
      <c r="D712" s="1">
        <v>0.70200231481481479</v>
      </c>
      <c r="E712" s="2">
        <f>CallLog[[#This Row],[Date]]+CallLog[[#This Row],[Time]]</f>
        <v>44208.702002314814</v>
      </c>
      <c r="F712" s="1" t="str">
        <f>TEXT(CallLog[[#This Row],[Date]],"dddd")</f>
        <v>Tuesday</v>
      </c>
      <c r="G712" s="3">
        <f>HOUR(CallLog[[#This Row],[Time]])</f>
        <v>16</v>
      </c>
      <c r="H712" t="s">
        <v>17</v>
      </c>
      <c r="I712" t="s">
        <v>14</v>
      </c>
      <c r="J712" t="s">
        <v>18</v>
      </c>
      <c r="K712">
        <v>40</v>
      </c>
      <c r="L712" t="str">
        <f>IF(AND(CallLog[[#This Row],[Answered (Y/N)]]="Y", CallLog[[#This Row],[Speed of answer in seconds]]&lt;=20),
    "Within",
    "Breach")</f>
        <v>Breach</v>
      </c>
      <c r="M712" s="1">
        <v>3.1597222222222222E-3</v>
      </c>
      <c r="N712">
        <v>3</v>
      </c>
    </row>
    <row r="713" spans="1:14" x14ac:dyDescent="0.3">
      <c r="A713" t="s">
        <v>748</v>
      </c>
      <c r="B713" t="s">
        <v>20</v>
      </c>
      <c r="C713" t="s">
        <v>699</v>
      </c>
      <c r="D713" s="1">
        <v>0.70200231481481479</v>
      </c>
      <c r="E713" s="2">
        <f>CallLog[[#This Row],[Date]]+CallLog[[#This Row],[Time]]</f>
        <v>44208.702002314814</v>
      </c>
      <c r="F713" s="1" t="str">
        <f>TEXT(CallLog[[#This Row],[Date]],"dddd")</f>
        <v>Tuesday</v>
      </c>
      <c r="G713" s="3">
        <f>HOUR(CallLog[[#This Row],[Time]])</f>
        <v>16</v>
      </c>
      <c r="H713" t="s">
        <v>24</v>
      </c>
      <c r="I713" t="s">
        <v>14</v>
      </c>
      <c r="J713" t="s">
        <v>14</v>
      </c>
      <c r="K713">
        <v>119</v>
      </c>
      <c r="L713" t="str">
        <f>IF(AND(CallLog[[#This Row],[Answered (Y/N)]]="Y", CallLog[[#This Row],[Speed of answer in seconds]]&lt;=20),
    "Within",
    "Breach")</f>
        <v>Breach</v>
      </c>
      <c r="M713" s="1">
        <v>1.7939814814814815E-3</v>
      </c>
      <c r="N713">
        <v>4</v>
      </c>
    </row>
    <row r="714" spans="1:14" x14ac:dyDescent="0.3">
      <c r="A714" t="s">
        <v>749</v>
      </c>
      <c r="B714" t="s">
        <v>47</v>
      </c>
      <c r="C714" t="s">
        <v>699</v>
      </c>
      <c r="D714" s="1">
        <v>0.70299768518518524</v>
      </c>
      <c r="E714" s="2">
        <f>CallLog[[#This Row],[Date]]+CallLog[[#This Row],[Time]]</f>
        <v>44208.702997685185</v>
      </c>
      <c r="F714" s="1" t="str">
        <f>TEXT(CallLog[[#This Row],[Date]],"dddd")</f>
        <v>Tuesday</v>
      </c>
      <c r="G714" s="3">
        <f>HOUR(CallLog[[#This Row],[Time]])</f>
        <v>16</v>
      </c>
      <c r="H714" t="s">
        <v>24</v>
      </c>
      <c r="I714" t="s">
        <v>14</v>
      </c>
      <c r="J714" t="s">
        <v>14</v>
      </c>
      <c r="K714">
        <v>42</v>
      </c>
      <c r="L714" t="str">
        <f>IF(AND(CallLog[[#This Row],[Answered (Y/N)]]="Y", CallLog[[#This Row],[Speed of answer in seconds]]&lt;=20),
    "Within",
    "Breach")</f>
        <v>Breach</v>
      </c>
      <c r="M714" s="1">
        <v>6.3657407407407413E-4</v>
      </c>
      <c r="N714">
        <v>1</v>
      </c>
    </row>
    <row r="715" spans="1:14" x14ac:dyDescent="0.3">
      <c r="A715" t="s">
        <v>750</v>
      </c>
      <c r="B715" t="s">
        <v>34</v>
      </c>
      <c r="C715" t="s">
        <v>699</v>
      </c>
      <c r="D715" s="1">
        <v>0.70299768518518524</v>
      </c>
      <c r="E715" s="2">
        <f>CallLog[[#This Row],[Date]]+CallLog[[#This Row],[Time]]</f>
        <v>44208.702997685185</v>
      </c>
      <c r="F715" s="1" t="str">
        <f>TEXT(CallLog[[#This Row],[Date]],"dddd")</f>
        <v>Tuesday</v>
      </c>
      <c r="G715" s="3">
        <f>HOUR(CallLog[[#This Row],[Time]])</f>
        <v>16</v>
      </c>
      <c r="H715" t="s">
        <v>29</v>
      </c>
      <c r="I715" t="s">
        <v>14</v>
      </c>
      <c r="J715" t="s">
        <v>14</v>
      </c>
      <c r="K715">
        <v>30</v>
      </c>
      <c r="L715" t="str">
        <f>IF(AND(CallLog[[#This Row],[Answered (Y/N)]]="Y", CallLog[[#This Row],[Speed of answer in seconds]]&lt;=20),
    "Within",
    "Breach")</f>
        <v>Breach</v>
      </c>
      <c r="M715" s="1">
        <v>2.7199074074074074E-3</v>
      </c>
      <c r="N715">
        <v>4</v>
      </c>
    </row>
    <row r="716" spans="1:14" x14ac:dyDescent="0.3">
      <c r="A716" t="s">
        <v>751</v>
      </c>
      <c r="B716" t="s">
        <v>31</v>
      </c>
      <c r="C716" t="s">
        <v>699</v>
      </c>
      <c r="D716" s="1">
        <v>0.71299768518518514</v>
      </c>
      <c r="E716" s="2">
        <f>CallLog[[#This Row],[Date]]+CallLog[[#This Row],[Time]]</f>
        <v>44208.712997685187</v>
      </c>
      <c r="F716" s="1" t="str">
        <f>TEXT(CallLog[[#This Row],[Date]],"dddd")</f>
        <v>Tuesday</v>
      </c>
      <c r="G716" s="3">
        <f>HOUR(CallLog[[#This Row],[Time]])</f>
        <v>17</v>
      </c>
      <c r="H716" t="s">
        <v>29</v>
      </c>
      <c r="I716" t="s">
        <v>14</v>
      </c>
      <c r="J716" t="s">
        <v>14</v>
      </c>
      <c r="K716">
        <v>79</v>
      </c>
      <c r="L716" t="str">
        <f>IF(AND(CallLog[[#This Row],[Answered (Y/N)]]="Y", CallLog[[#This Row],[Speed of answer in seconds]]&lt;=20),
    "Within",
    "Breach")</f>
        <v>Breach</v>
      </c>
      <c r="M716" s="1">
        <v>3.0208333333333333E-3</v>
      </c>
      <c r="N716">
        <v>4</v>
      </c>
    </row>
    <row r="717" spans="1:14" x14ac:dyDescent="0.3">
      <c r="A717" t="s">
        <v>752</v>
      </c>
      <c r="B717" t="s">
        <v>16</v>
      </c>
      <c r="C717" t="s">
        <v>699</v>
      </c>
      <c r="D717" s="1">
        <v>0.71299768518518514</v>
      </c>
      <c r="E717" s="2">
        <f>CallLog[[#This Row],[Date]]+CallLog[[#This Row],[Time]]</f>
        <v>44208.712997685187</v>
      </c>
      <c r="F717" s="1" t="str">
        <f>TEXT(CallLog[[#This Row],[Date]],"dddd")</f>
        <v>Tuesday</v>
      </c>
      <c r="G717" s="3">
        <f>HOUR(CallLog[[#This Row],[Time]])</f>
        <v>17</v>
      </c>
      <c r="H717" t="s">
        <v>13</v>
      </c>
      <c r="I717" t="s">
        <v>14</v>
      </c>
      <c r="J717" t="s">
        <v>14</v>
      </c>
      <c r="K717">
        <v>44</v>
      </c>
      <c r="L717" t="str">
        <f>IF(AND(CallLog[[#This Row],[Answered (Y/N)]]="Y", CallLog[[#This Row],[Speed of answer in seconds]]&lt;=20),
    "Within",
    "Breach")</f>
        <v>Breach</v>
      </c>
      <c r="M717" s="1">
        <v>4.8148148148148152E-3</v>
      </c>
      <c r="N717">
        <v>1</v>
      </c>
    </row>
    <row r="718" spans="1:14" x14ac:dyDescent="0.3">
      <c r="A718" t="s">
        <v>753</v>
      </c>
      <c r="B718" t="s">
        <v>31</v>
      </c>
      <c r="C718" t="s">
        <v>699</v>
      </c>
      <c r="D718" s="1">
        <v>0.75</v>
      </c>
      <c r="E718" s="2">
        <f>CallLog[[#This Row],[Date]]+CallLog[[#This Row],[Time]]</f>
        <v>44208.75</v>
      </c>
      <c r="F718" s="1" t="str">
        <f>TEXT(CallLog[[#This Row],[Date]],"dddd")</f>
        <v>Tuesday</v>
      </c>
      <c r="G718" s="3">
        <f>HOUR(CallLog[[#This Row],[Time]])</f>
        <v>18</v>
      </c>
      <c r="H718" t="s">
        <v>32</v>
      </c>
      <c r="I718" t="s">
        <v>14</v>
      </c>
      <c r="J718" t="s">
        <v>14</v>
      </c>
      <c r="K718">
        <v>71</v>
      </c>
      <c r="L718" t="str">
        <f>IF(AND(CallLog[[#This Row],[Answered (Y/N)]]="Y", CallLog[[#This Row],[Speed of answer in seconds]]&lt;=20),
    "Within",
    "Breach")</f>
        <v>Breach</v>
      </c>
      <c r="M718" s="1">
        <v>1.3888888888888889E-3</v>
      </c>
      <c r="N718">
        <v>3</v>
      </c>
    </row>
    <row r="719" spans="1:14" x14ac:dyDescent="0.3">
      <c r="A719" t="s">
        <v>754</v>
      </c>
      <c r="B719" t="s">
        <v>22</v>
      </c>
      <c r="C719" t="s">
        <v>699</v>
      </c>
      <c r="D719" s="1">
        <v>0.75</v>
      </c>
      <c r="E719" s="2">
        <f>CallLog[[#This Row],[Date]]+CallLog[[#This Row],[Time]]</f>
        <v>44208.75</v>
      </c>
      <c r="F719" s="1" t="str">
        <f>TEXT(CallLog[[#This Row],[Date]],"dddd")</f>
        <v>Tuesday</v>
      </c>
      <c r="G719" s="3">
        <f>HOUR(CallLog[[#This Row],[Time]])</f>
        <v>18</v>
      </c>
      <c r="H719" t="s">
        <v>32</v>
      </c>
      <c r="I719" t="s">
        <v>18</v>
      </c>
      <c r="J719" t="s">
        <v>18</v>
      </c>
      <c r="L719" t="str">
        <f>IF(AND(CallLog[[#This Row],[Answered (Y/N)]]="Y", CallLog[[#This Row],[Speed of answer in seconds]]&lt;=20),
    "Within",
    "Breach")</f>
        <v>Breach</v>
      </c>
    </row>
    <row r="720" spans="1:14" x14ac:dyDescent="0.3">
      <c r="A720" t="s">
        <v>755</v>
      </c>
      <c r="B720" t="s">
        <v>34</v>
      </c>
      <c r="C720" t="s">
        <v>756</v>
      </c>
      <c r="D720" s="1">
        <v>0.39</v>
      </c>
      <c r="E720" s="2">
        <f>CallLog[[#This Row],[Date]]+CallLog[[#This Row],[Time]]</f>
        <v>44209.39</v>
      </c>
      <c r="F720" s="1" t="str">
        <f>TEXT(CallLog[[#This Row],[Date]],"dddd")</f>
        <v>Wednesday</v>
      </c>
      <c r="G720" s="3">
        <f>HOUR(CallLog[[#This Row],[Time]])</f>
        <v>9</v>
      </c>
      <c r="H720" t="s">
        <v>29</v>
      </c>
      <c r="I720" t="s">
        <v>14</v>
      </c>
      <c r="J720" t="s">
        <v>14</v>
      </c>
      <c r="K720">
        <v>21</v>
      </c>
      <c r="L720" t="str">
        <f>IF(AND(CallLog[[#This Row],[Answered (Y/N)]]="Y", CallLog[[#This Row],[Speed of answer in seconds]]&lt;=20),
    "Within",
    "Breach")</f>
        <v>Breach</v>
      </c>
      <c r="M720" s="1">
        <v>4.4560185185185189E-3</v>
      </c>
      <c r="N720">
        <v>5</v>
      </c>
    </row>
    <row r="721" spans="1:14" x14ac:dyDescent="0.3">
      <c r="A721" t="s">
        <v>757</v>
      </c>
      <c r="B721" t="s">
        <v>31</v>
      </c>
      <c r="C721" t="s">
        <v>756</v>
      </c>
      <c r="D721" s="1">
        <v>0.39</v>
      </c>
      <c r="E721" s="2">
        <f>CallLog[[#This Row],[Date]]+CallLog[[#This Row],[Time]]</f>
        <v>44209.39</v>
      </c>
      <c r="F721" s="1" t="str">
        <f>TEXT(CallLog[[#This Row],[Date]],"dddd")</f>
        <v>Wednesday</v>
      </c>
      <c r="G721" s="3">
        <f>HOUR(CallLog[[#This Row],[Time]])</f>
        <v>9</v>
      </c>
      <c r="H721" t="s">
        <v>17</v>
      </c>
      <c r="I721" t="s">
        <v>14</v>
      </c>
      <c r="J721" t="s">
        <v>14</v>
      </c>
      <c r="K721">
        <v>122</v>
      </c>
      <c r="L721" t="str">
        <f>IF(AND(CallLog[[#This Row],[Answered (Y/N)]]="Y", CallLog[[#This Row],[Speed of answer in seconds]]&lt;=20),
    "Within",
    "Breach")</f>
        <v>Breach</v>
      </c>
      <c r="M721" s="1">
        <v>3.3333333333333335E-3</v>
      </c>
      <c r="N721">
        <v>4</v>
      </c>
    </row>
    <row r="722" spans="1:14" x14ac:dyDescent="0.3">
      <c r="A722" t="s">
        <v>758</v>
      </c>
      <c r="B722" t="s">
        <v>16</v>
      </c>
      <c r="C722" t="s">
        <v>756</v>
      </c>
      <c r="D722" s="1">
        <v>0.40599537037037037</v>
      </c>
      <c r="E722" s="2">
        <f>CallLog[[#This Row],[Date]]+CallLog[[#This Row],[Time]]</f>
        <v>44209.405995370369</v>
      </c>
      <c r="F722" s="1" t="str">
        <f>TEXT(CallLog[[#This Row],[Date]],"dddd")</f>
        <v>Wednesday</v>
      </c>
      <c r="G722" s="3">
        <f>HOUR(CallLog[[#This Row],[Time]])</f>
        <v>9</v>
      </c>
      <c r="H722" t="s">
        <v>17</v>
      </c>
      <c r="I722" t="s">
        <v>18</v>
      </c>
      <c r="J722" t="s">
        <v>18</v>
      </c>
      <c r="L722" t="str">
        <f>IF(AND(CallLog[[#This Row],[Answered (Y/N)]]="Y", CallLog[[#This Row],[Speed of answer in seconds]]&lt;=20),
    "Within",
    "Breach")</f>
        <v>Breach</v>
      </c>
    </row>
    <row r="723" spans="1:14" x14ac:dyDescent="0.3">
      <c r="A723" t="s">
        <v>759</v>
      </c>
      <c r="B723" t="s">
        <v>16</v>
      </c>
      <c r="C723" t="s">
        <v>756</v>
      </c>
      <c r="D723" s="1">
        <v>0.40599537037037037</v>
      </c>
      <c r="E723" s="2">
        <f>CallLog[[#This Row],[Date]]+CallLog[[#This Row],[Time]]</f>
        <v>44209.405995370369</v>
      </c>
      <c r="F723" s="1" t="str">
        <f>TEXT(CallLog[[#This Row],[Date]],"dddd")</f>
        <v>Wednesday</v>
      </c>
      <c r="G723" s="3">
        <f>HOUR(CallLog[[#This Row],[Time]])</f>
        <v>9</v>
      </c>
      <c r="H723" t="s">
        <v>29</v>
      </c>
      <c r="I723" t="s">
        <v>14</v>
      </c>
      <c r="J723" t="s">
        <v>14</v>
      </c>
      <c r="K723">
        <v>62</v>
      </c>
      <c r="L723" t="str">
        <f>IF(AND(CallLog[[#This Row],[Answered (Y/N)]]="Y", CallLog[[#This Row],[Speed of answer in seconds]]&lt;=20),
    "Within",
    "Breach")</f>
        <v>Breach</v>
      </c>
      <c r="M723" s="1">
        <v>1.6782407407407408E-3</v>
      </c>
      <c r="N723">
        <v>3</v>
      </c>
    </row>
    <row r="724" spans="1:14" x14ac:dyDescent="0.3">
      <c r="A724" t="s">
        <v>760</v>
      </c>
      <c r="B724" t="s">
        <v>20</v>
      </c>
      <c r="C724" t="s">
        <v>756</v>
      </c>
      <c r="D724" s="1">
        <v>0.4070023148148148</v>
      </c>
      <c r="E724" s="2">
        <f>CallLog[[#This Row],[Date]]+CallLog[[#This Row],[Time]]</f>
        <v>44209.407002314816</v>
      </c>
      <c r="F724" s="1" t="str">
        <f>TEXT(CallLog[[#This Row],[Date]],"dddd")</f>
        <v>Wednesday</v>
      </c>
      <c r="G724" s="3">
        <f>HOUR(CallLog[[#This Row],[Time]])</f>
        <v>9</v>
      </c>
      <c r="H724" t="s">
        <v>13</v>
      </c>
      <c r="I724" t="s">
        <v>14</v>
      </c>
      <c r="J724" t="s">
        <v>18</v>
      </c>
      <c r="K724">
        <v>37</v>
      </c>
      <c r="L724" t="str">
        <f>IF(AND(CallLog[[#This Row],[Answered (Y/N)]]="Y", CallLog[[#This Row],[Speed of answer in seconds]]&lt;=20),
    "Within",
    "Breach")</f>
        <v>Breach</v>
      </c>
      <c r="M724" s="1">
        <v>1.8749999999999999E-3</v>
      </c>
      <c r="N724">
        <v>5</v>
      </c>
    </row>
    <row r="725" spans="1:14" x14ac:dyDescent="0.3">
      <c r="A725" t="s">
        <v>761</v>
      </c>
      <c r="B725" t="s">
        <v>11</v>
      </c>
      <c r="C725" t="s">
        <v>756</v>
      </c>
      <c r="D725" s="1">
        <v>0.4070023148148148</v>
      </c>
      <c r="E725" s="2">
        <f>CallLog[[#This Row],[Date]]+CallLog[[#This Row],[Time]]</f>
        <v>44209.407002314816</v>
      </c>
      <c r="F725" s="1" t="str">
        <f>TEXT(CallLog[[#This Row],[Date]],"dddd")</f>
        <v>Wednesday</v>
      </c>
      <c r="G725" s="3">
        <f>HOUR(CallLog[[#This Row],[Time]])</f>
        <v>9</v>
      </c>
      <c r="H725" t="s">
        <v>13</v>
      </c>
      <c r="I725" t="s">
        <v>14</v>
      </c>
      <c r="J725" t="s">
        <v>14</v>
      </c>
      <c r="K725">
        <v>112</v>
      </c>
      <c r="L725" t="str">
        <f>IF(AND(CallLog[[#This Row],[Answered (Y/N)]]="Y", CallLog[[#This Row],[Speed of answer in seconds]]&lt;=20),
    "Within",
    "Breach")</f>
        <v>Breach</v>
      </c>
      <c r="M725" s="1">
        <v>4.8263888888888887E-3</v>
      </c>
      <c r="N725">
        <v>2</v>
      </c>
    </row>
    <row r="726" spans="1:14" x14ac:dyDescent="0.3">
      <c r="A726" t="s">
        <v>762</v>
      </c>
      <c r="B726" t="s">
        <v>31</v>
      </c>
      <c r="C726" t="s">
        <v>756</v>
      </c>
      <c r="D726" s="1">
        <v>0.41400462962962964</v>
      </c>
      <c r="E726" s="2">
        <f>CallLog[[#This Row],[Date]]+CallLog[[#This Row],[Time]]</f>
        <v>44209.414004629631</v>
      </c>
      <c r="F726" s="1" t="str">
        <f>TEXT(CallLog[[#This Row],[Date]],"dddd")</f>
        <v>Wednesday</v>
      </c>
      <c r="G726" s="3">
        <f>HOUR(CallLog[[#This Row],[Time]])</f>
        <v>9</v>
      </c>
      <c r="H726" t="s">
        <v>13</v>
      </c>
      <c r="I726" t="s">
        <v>14</v>
      </c>
      <c r="J726" t="s">
        <v>14</v>
      </c>
      <c r="K726">
        <v>40</v>
      </c>
      <c r="L726" t="str">
        <f>IF(AND(CallLog[[#This Row],[Answered (Y/N)]]="Y", CallLog[[#This Row],[Speed of answer in seconds]]&lt;=20),
    "Within",
    "Breach")</f>
        <v>Breach</v>
      </c>
      <c r="M726" s="1">
        <v>2.3611111111111111E-3</v>
      </c>
      <c r="N726">
        <v>2</v>
      </c>
    </row>
    <row r="727" spans="1:14" x14ac:dyDescent="0.3">
      <c r="A727" t="s">
        <v>763</v>
      </c>
      <c r="B727" t="s">
        <v>34</v>
      </c>
      <c r="C727" t="s">
        <v>756</v>
      </c>
      <c r="D727" s="1">
        <v>0.41400462962962964</v>
      </c>
      <c r="E727" s="2">
        <f>CallLog[[#This Row],[Date]]+CallLog[[#This Row],[Time]]</f>
        <v>44209.414004629631</v>
      </c>
      <c r="F727" s="1" t="str">
        <f>TEXT(CallLog[[#This Row],[Date]],"dddd")</f>
        <v>Wednesday</v>
      </c>
      <c r="G727" s="3">
        <f>HOUR(CallLog[[#This Row],[Time]])</f>
        <v>9</v>
      </c>
      <c r="H727" t="s">
        <v>32</v>
      </c>
      <c r="I727" t="s">
        <v>14</v>
      </c>
      <c r="J727" t="s">
        <v>18</v>
      </c>
      <c r="K727">
        <v>50</v>
      </c>
      <c r="L727" t="str">
        <f>IF(AND(CallLog[[#This Row],[Answered (Y/N)]]="Y", CallLog[[#This Row],[Speed of answer in seconds]]&lt;=20),
    "Within",
    "Breach")</f>
        <v>Breach</v>
      </c>
      <c r="M727" s="1">
        <v>1.3078703703703703E-3</v>
      </c>
      <c r="N727">
        <v>5</v>
      </c>
    </row>
    <row r="728" spans="1:14" x14ac:dyDescent="0.3">
      <c r="A728" t="s">
        <v>764</v>
      </c>
      <c r="B728" t="s">
        <v>47</v>
      </c>
      <c r="C728" t="s">
        <v>756</v>
      </c>
      <c r="D728" s="1">
        <v>0.44299768518518517</v>
      </c>
      <c r="E728" s="2">
        <f>CallLog[[#This Row],[Date]]+CallLog[[#This Row],[Time]]</f>
        <v>44209.442997685182</v>
      </c>
      <c r="F728" s="1" t="str">
        <f>TEXT(CallLog[[#This Row],[Date]],"dddd")</f>
        <v>Wednesday</v>
      </c>
      <c r="G728" s="3">
        <f>HOUR(CallLog[[#This Row],[Time]])</f>
        <v>10</v>
      </c>
      <c r="H728" t="s">
        <v>32</v>
      </c>
      <c r="I728" t="s">
        <v>14</v>
      </c>
      <c r="J728" t="s">
        <v>14</v>
      </c>
      <c r="K728">
        <v>88</v>
      </c>
      <c r="L728" t="str">
        <f>IF(AND(CallLog[[#This Row],[Answered (Y/N)]]="Y", CallLog[[#This Row],[Speed of answer in seconds]]&lt;=20),
    "Within",
    "Breach")</f>
        <v>Breach</v>
      </c>
      <c r="M728" s="1">
        <v>2.8935185185185184E-3</v>
      </c>
      <c r="N728">
        <v>4</v>
      </c>
    </row>
    <row r="729" spans="1:14" x14ac:dyDescent="0.3">
      <c r="A729" t="s">
        <v>765</v>
      </c>
      <c r="B729" t="s">
        <v>47</v>
      </c>
      <c r="C729" t="s">
        <v>756</v>
      </c>
      <c r="D729" s="1">
        <v>0.44299768518518517</v>
      </c>
      <c r="E729" s="2">
        <f>CallLog[[#This Row],[Date]]+CallLog[[#This Row],[Time]]</f>
        <v>44209.442997685182</v>
      </c>
      <c r="F729" s="1" t="str">
        <f>TEXT(CallLog[[#This Row],[Date]],"dddd")</f>
        <v>Wednesday</v>
      </c>
      <c r="G729" s="3">
        <f>HOUR(CallLog[[#This Row],[Time]])</f>
        <v>10</v>
      </c>
      <c r="H729" t="s">
        <v>29</v>
      </c>
      <c r="I729" t="s">
        <v>14</v>
      </c>
      <c r="J729" t="s">
        <v>14</v>
      </c>
      <c r="K729">
        <v>97</v>
      </c>
      <c r="L729" t="str">
        <f>IF(AND(CallLog[[#This Row],[Answered (Y/N)]]="Y", CallLog[[#This Row],[Speed of answer in seconds]]&lt;=20),
    "Within",
    "Breach")</f>
        <v>Breach</v>
      </c>
      <c r="M729" s="1">
        <v>6.018518518518519E-4</v>
      </c>
      <c r="N729">
        <v>3</v>
      </c>
    </row>
    <row r="730" spans="1:14" x14ac:dyDescent="0.3">
      <c r="A730" t="s">
        <v>766</v>
      </c>
      <c r="B730" t="s">
        <v>11</v>
      </c>
      <c r="C730" t="s">
        <v>756</v>
      </c>
      <c r="D730" s="1">
        <v>0.46299768518518519</v>
      </c>
      <c r="E730" s="2">
        <f>CallLog[[#This Row],[Date]]+CallLog[[#This Row],[Time]]</f>
        <v>44209.462997685187</v>
      </c>
      <c r="F730" s="1" t="str">
        <f>TEXT(CallLog[[#This Row],[Date]],"dddd")</f>
        <v>Wednesday</v>
      </c>
      <c r="G730" s="3">
        <f>HOUR(CallLog[[#This Row],[Time]])</f>
        <v>11</v>
      </c>
      <c r="H730" t="s">
        <v>24</v>
      </c>
      <c r="I730" t="s">
        <v>18</v>
      </c>
      <c r="J730" t="s">
        <v>18</v>
      </c>
      <c r="L730" t="str">
        <f>IF(AND(CallLog[[#This Row],[Answered (Y/N)]]="Y", CallLog[[#This Row],[Speed of answer in seconds]]&lt;=20),
    "Within",
    "Breach")</f>
        <v>Breach</v>
      </c>
    </row>
    <row r="731" spans="1:14" x14ac:dyDescent="0.3">
      <c r="A731" t="s">
        <v>767</v>
      </c>
      <c r="B731" t="s">
        <v>16</v>
      </c>
      <c r="C731" t="s">
        <v>756</v>
      </c>
      <c r="D731" s="1">
        <v>0.46299768518518519</v>
      </c>
      <c r="E731" s="2">
        <f>CallLog[[#This Row],[Date]]+CallLog[[#This Row],[Time]]</f>
        <v>44209.462997685187</v>
      </c>
      <c r="F731" s="1" t="str">
        <f>TEXT(CallLog[[#This Row],[Date]],"dddd")</f>
        <v>Wednesday</v>
      </c>
      <c r="G731" s="3">
        <f>HOUR(CallLog[[#This Row],[Time]])</f>
        <v>11</v>
      </c>
      <c r="H731" t="s">
        <v>32</v>
      </c>
      <c r="I731" t="s">
        <v>14</v>
      </c>
      <c r="J731" t="s">
        <v>14</v>
      </c>
      <c r="K731">
        <v>110</v>
      </c>
      <c r="L731" t="str">
        <f>IF(AND(CallLog[[#This Row],[Answered (Y/N)]]="Y", CallLog[[#This Row],[Speed of answer in seconds]]&lt;=20),
    "Within",
    "Breach")</f>
        <v>Breach</v>
      </c>
      <c r="M731" s="1">
        <v>3.2754629629629631E-3</v>
      </c>
      <c r="N731">
        <v>4</v>
      </c>
    </row>
    <row r="732" spans="1:14" x14ac:dyDescent="0.3">
      <c r="A732" t="s">
        <v>768</v>
      </c>
      <c r="B732" t="s">
        <v>38</v>
      </c>
      <c r="C732" t="s">
        <v>756</v>
      </c>
      <c r="D732" s="1">
        <v>0.46500000000000002</v>
      </c>
      <c r="E732" s="2">
        <f>CallLog[[#This Row],[Date]]+CallLog[[#This Row],[Time]]</f>
        <v>44209.464999999997</v>
      </c>
      <c r="F732" s="1" t="str">
        <f>TEXT(CallLog[[#This Row],[Date]],"dddd")</f>
        <v>Wednesday</v>
      </c>
      <c r="G732" s="3">
        <f>HOUR(CallLog[[#This Row],[Time]])</f>
        <v>11</v>
      </c>
      <c r="H732" t="s">
        <v>32</v>
      </c>
      <c r="I732" t="s">
        <v>18</v>
      </c>
      <c r="J732" t="s">
        <v>18</v>
      </c>
      <c r="L732" t="str">
        <f>IF(AND(CallLog[[#This Row],[Answered (Y/N)]]="Y", CallLog[[#This Row],[Speed of answer in seconds]]&lt;=20),
    "Within",
    "Breach")</f>
        <v>Breach</v>
      </c>
    </row>
    <row r="733" spans="1:14" x14ac:dyDescent="0.3">
      <c r="A733" t="s">
        <v>769</v>
      </c>
      <c r="B733" t="s">
        <v>31</v>
      </c>
      <c r="C733" t="s">
        <v>756</v>
      </c>
      <c r="D733" s="1">
        <v>0.46500000000000002</v>
      </c>
      <c r="E733" s="2">
        <f>CallLog[[#This Row],[Date]]+CallLog[[#This Row],[Time]]</f>
        <v>44209.464999999997</v>
      </c>
      <c r="F733" s="1" t="str">
        <f>TEXT(CallLog[[#This Row],[Date]],"dddd")</f>
        <v>Wednesday</v>
      </c>
      <c r="G733" s="3">
        <f>HOUR(CallLog[[#This Row],[Time]])</f>
        <v>11</v>
      </c>
      <c r="H733" t="s">
        <v>17</v>
      </c>
      <c r="I733" t="s">
        <v>14</v>
      </c>
      <c r="J733" t="s">
        <v>14</v>
      </c>
      <c r="K733">
        <v>104</v>
      </c>
      <c r="L733" t="str">
        <f>IF(AND(CallLog[[#This Row],[Answered (Y/N)]]="Y", CallLog[[#This Row],[Speed of answer in seconds]]&lt;=20),
    "Within",
    "Breach")</f>
        <v>Breach</v>
      </c>
      <c r="M733" s="1">
        <v>2.3611111111111111E-3</v>
      </c>
      <c r="N733">
        <v>5</v>
      </c>
    </row>
    <row r="734" spans="1:14" x14ac:dyDescent="0.3">
      <c r="A734" t="s">
        <v>770</v>
      </c>
      <c r="B734" t="s">
        <v>20</v>
      </c>
      <c r="C734" t="s">
        <v>756</v>
      </c>
      <c r="D734" s="1">
        <v>0.49</v>
      </c>
      <c r="E734" s="2">
        <f>CallLog[[#This Row],[Date]]+CallLog[[#This Row],[Time]]</f>
        <v>44209.49</v>
      </c>
      <c r="F734" s="1" t="str">
        <f>TEXT(CallLog[[#This Row],[Date]],"dddd")</f>
        <v>Wednesday</v>
      </c>
      <c r="G734" s="3">
        <f>HOUR(CallLog[[#This Row],[Time]])</f>
        <v>11</v>
      </c>
      <c r="H734" t="s">
        <v>13</v>
      </c>
      <c r="I734" t="s">
        <v>14</v>
      </c>
      <c r="J734" t="s">
        <v>18</v>
      </c>
      <c r="K734">
        <v>79</v>
      </c>
      <c r="L734" t="str">
        <f>IF(AND(CallLog[[#This Row],[Answered (Y/N)]]="Y", CallLog[[#This Row],[Speed of answer in seconds]]&lt;=20),
    "Within",
    "Breach")</f>
        <v>Breach</v>
      </c>
      <c r="M734" s="1">
        <v>3.449074074074074E-3</v>
      </c>
      <c r="N734">
        <v>3</v>
      </c>
    </row>
    <row r="735" spans="1:14" x14ac:dyDescent="0.3">
      <c r="A735" t="s">
        <v>771</v>
      </c>
      <c r="B735" t="s">
        <v>16</v>
      </c>
      <c r="C735" t="s">
        <v>756</v>
      </c>
      <c r="D735" s="1">
        <v>0.49</v>
      </c>
      <c r="E735" s="2">
        <f>CallLog[[#This Row],[Date]]+CallLog[[#This Row],[Time]]</f>
        <v>44209.49</v>
      </c>
      <c r="F735" s="1" t="str">
        <f>TEXT(CallLog[[#This Row],[Date]],"dddd")</f>
        <v>Wednesday</v>
      </c>
      <c r="G735" s="3">
        <f>HOUR(CallLog[[#This Row],[Time]])</f>
        <v>11</v>
      </c>
      <c r="H735" t="s">
        <v>24</v>
      </c>
      <c r="I735" t="s">
        <v>14</v>
      </c>
      <c r="J735" t="s">
        <v>14</v>
      </c>
      <c r="K735">
        <v>70</v>
      </c>
      <c r="L735" t="str">
        <f>IF(AND(CallLog[[#This Row],[Answered (Y/N)]]="Y", CallLog[[#This Row],[Speed of answer in seconds]]&lt;=20),
    "Within",
    "Breach")</f>
        <v>Breach</v>
      </c>
      <c r="M735" s="1">
        <v>1.0532407407407407E-3</v>
      </c>
      <c r="N735">
        <v>3</v>
      </c>
    </row>
    <row r="736" spans="1:14" x14ac:dyDescent="0.3">
      <c r="A736" t="s">
        <v>772</v>
      </c>
      <c r="B736" t="s">
        <v>22</v>
      </c>
      <c r="C736" t="s">
        <v>756</v>
      </c>
      <c r="D736" s="1">
        <v>0.49599537037037039</v>
      </c>
      <c r="E736" s="2">
        <f>CallLog[[#This Row],[Date]]+CallLog[[#This Row],[Time]]</f>
        <v>44209.495995370373</v>
      </c>
      <c r="F736" s="1" t="str">
        <f>TEXT(CallLog[[#This Row],[Date]],"dddd")</f>
        <v>Wednesday</v>
      </c>
      <c r="G736" s="3">
        <f>HOUR(CallLog[[#This Row],[Time]])</f>
        <v>11</v>
      </c>
      <c r="H736" t="s">
        <v>29</v>
      </c>
      <c r="I736" t="s">
        <v>18</v>
      </c>
      <c r="J736" t="s">
        <v>18</v>
      </c>
      <c r="L736" t="str">
        <f>IF(AND(CallLog[[#This Row],[Answered (Y/N)]]="Y", CallLog[[#This Row],[Speed of answer in seconds]]&lt;=20),
    "Within",
    "Breach")</f>
        <v>Breach</v>
      </c>
    </row>
    <row r="737" spans="1:14" x14ac:dyDescent="0.3">
      <c r="A737" t="s">
        <v>773</v>
      </c>
      <c r="B737" t="s">
        <v>34</v>
      </c>
      <c r="C737" t="s">
        <v>756</v>
      </c>
      <c r="D737" s="1">
        <v>0.49599537037037039</v>
      </c>
      <c r="E737" s="2">
        <f>CallLog[[#This Row],[Date]]+CallLog[[#This Row],[Time]]</f>
        <v>44209.495995370373</v>
      </c>
      <c r="F737" s="1" t="str">
        <f>TEXT(CallLog[[#This Row],[Date]],"dddd")</f>
        <v>Wednesday</v>
      </c>
      <c r="G737" s="3">
        <f>HOUR(CallLog[[#This Row],[Time]])</f>
        <v>11</v>
      </c>
      <c r="H737" t="s">
        <v>32</v>
      </c>
      <c r="I737" t="s">
        <v>14</v>
      </c>
      <c r="J737" t="s">
        <v>14</v>
      </c>
      <c r="K737">
        <v>70</v>
      </c>
      <c r="L737" t="str">
        <f>IF(AND(CallLog[[#This Row],[Answered (Y/N)]]="Y", CallLog[[#This Row],[Speed of answer in seconds]]&lt;=20),
    "Within",
    "Breach")</f>
        <v>Breach</v>
      </c>
      <c r="M737" s="1">
        <v>3.9236111111111112E-3</v>
      </c>
      <c r="N737">
        <v>1</v>
      </c>
    </row>
    <row r="738" spans="1:14" x14ac:dyDescent="0.3">
      <c r="A738" t="s">
        <v>774</v>
      </c>
      <c r="B738" t="s">
        <v>38</v>
      </c>
      <c r="C738" t="s">
        <v>756</v>
      </c>
      <c r="D738" s="1">
        <v>0.52200231481481485</v>
      </c>
      <c r="E738" s="2">
        <f>CallLog[[#This Row],[Date]]+CallLog[[#This Row],[Time]]</f>
        <v>44209.522002314814</v>
      </c>
      <c r="F738" s="1" t="str">
        <f>TEXT(CallLog[[#This Row],[Date]],"dddd")</f>
        <v>Wednesday</v>
      </c>
      <c r="G738" s="3">
        <f>HOUR(CallLog[[#This Row],[Time]])</f>
        <v>12</v>
      </c>
      <c r="H738" t="s">
        <v>13</v>
      </c>
      <c r="I738" t="s">
        <v>14</v>
      </c>
      <c r="J738" t="s">
        <v>14</v>
      </c>
      <c r="K738">
        <v>33</v>
      </c>
      <c r="L738" t="str">
        <f>IF(AND(CallLog[[#This Row],[Answered (Y/N)]]="Y", CallLog[[#This Row],[Speed of answer in seconds]]&lt;=20),
    "Within",
    "Breach")</f>
        <v>Breach</v>
      </c>
      <c r="M738" s="1">
        <v>6.018518518518519E-4</v>
      </c>
      <c r="N738">
        <v>3</v>
      </c>
    </row>
    <row r="739" spans="1:14" x14ac:dyDescent="0.3">
      <c r="A739" t="s">
        <v>775</v>
      </c>
      <c r="B739" t="s">
        <v>34</v>
      </c>
      <c r="C739" t="s">
        <v>756</v>
      </c>
      <c r="D739" s="1">
        <v>0.52200231481481485</v>
      </c>
      <c r="E739" s="2">
        <f>CallLog[[#This Row],[Date]]+CallLog[[#This Row],[Time]]</f>
        <v>44209.522002314814</v>
      </c>
      <c r="F739" s="1" t="str">
        <f>TEXT(CallLog[[#This Row],[Date]],"dddd")</f>
        <v>Wednesday</v>
      </c>
      <c r="G739" s="3">
        <f>HOUR(CallLog[[#This Row],[Time]])</f>
        <v>12</v>
      </c>
      <c r="H739" t="s">
        <v>24</v>
      </c>
      <c r="I739" t="s">
        <v>14</v>
      </c>
      <c r="J739" t="s">
        <v>14</v>
      </c>
      <c r="K739">
        <v>124</v>
      </c>
      <c r="L739" t="str">
        <f>IF(AND(CallLog[[#This Row],[Answered (Y/N)]]="Y", CallLog[[#This Row],[Speed of answer in seconds]]&lt;=20),
    "Within",
    "Breach")</f>
        <v>Breach</v>
      </c>
      <c r="M739" s="1">
        <v>6.2500000000000001E-4</v>
      </c>
      <c r="N739">
        <v>4</v>
      </c>
    </row>
    <row r="740" spans="1:14" x14ac:dyDescent="0.3">
      <c r="A740" t="s">
        <v>776</v>
      </c>
      <c r="B740" t="s">
        <v>11</v>
      </c>
      <c r="C740" t="s">
        <v>756</v>
      </c>
      <c r="D740" s="1">
        <v>0.52599537037037036</v>
      </c>
      <c r="E740" s="2">
        <f>CallLog[[#This Row],[Date]]+CallLog[[#This Row],[Time]]</f>
        <v>44209.525995370372</v>
      </c>
      <c r="F740" s="1" t="str">
        <f>TEXT(CallLog[[#This Row],[Date]],"dddd")</f>
        <v>Wednesday</v>
      </c>
      <c r="G740" s="3">
        <f>HOUR(CallLog[[#This Row],[Time]])</f>
        <v>12</v>
      </c>
      <c r="H740" t="s">
        <v>24</v>
      </c>
      <c r="I740" t="s">
        <v>14</v>
      </c>
      <c r="J740" t="s">
        <v>14</v>
      </c>
      <c r="K740">
        <v>77</v>
      </c>
      <c r="L740" t="str">
        <f>IF(AND(CallLog[[#This Row],[Answered (Y/N)]]="Y", CallLog[[#This Row],[Speed of answer in seconds]]&lt;=20),
    "Within",
    "Breach")</f>
        <v>Breach</v>
      </c>
      <c r="M740" s="1">
        <v>1.4351851851851852E-3</v>
      </c>
      <c r="N740">
        <v>3</v>
      </c>
    </row>
    <row r="741" spans="1:14" x14ac:dyDescent="0.3">
      <c r="A741" t="s">
        <v>777</v>
      </c>
      <c r="B741" t="s">
        <v>47</v>
      </c>
      <c r="C741" t="s">
        <v>756</v>
      </c>
      <c r="D741" s="1">
        <v>0.52599537037037036</v>
      </c>
      <c r="E741" s="2">
        <f>CallLog[[#This Row],[Date]]+CallLog[[#This Row],[Time]]</f>
        <v>44209.525995370372</v>
      </c>
      <c r="F741" s="1" t="str">
        <f>TEXT(CallLog[[#This Row],[Date]],"dddd")</f>
        <v>Wednesday</v>
      </c>
      <c r="G741" s="3">
        <f>HOUR(CallLog[[#This Row],[Time]])</f>
        <v>12</v>
      </c>
      <c r="H741" t="s">
        <v>32</v>
      </c>
      <c r="I741" t="s">
        <v>14</v>
      </c>
      <c r="J741" t="s">
        <v>14</v>
      </c>
      <c r="K741">
        <v>33</v>
      </c>
      <c r="L741" t="str">
        <f>IF(AND(CallLog[[#This Row],[Answered (Y/N)]]="Y", CallLog[[#This Row],[Speed of answer in seconds]]&lt;=20),
    "Within",
    "Breach")</f>
        <v>Breach</v>
      </c>
      <c r="M741" s="1">
        <v>4.409722222222222E-3</v>
      </c>
      <c r="N741">
        <v>3</v>
      </c>
    </row>
    <row r="742" spans="1:14" x14ac:dyDescent="0.3">
      <c r="A742" t="s">
        <v>778</v>
      </c>
      <c r="B742" t="s">
        <v>31</v>
      </c>
      <c r="C742" t="s">
        <v>756</v>
      </c>
      <c r="D742" s="1">
        <v>0.52799768518518519</v>
      </c>
      <c r="E742" s="2">
        <f>CallLog[[#This Row],[Date]]+CallLog[[#This Row],[Time]]</f>
        <v>44209.527997685182</v>
      </c>
      <c r="F742" s="1" t="str">
        <f>TEXT(CallLog[[#This Row],[Date]],"dddd")</f>
        <v>Wednesday</v>
      </c>
      <c r="G742" s="3">
        <f>HOUR(CallLog[[#This Row],[Time]])</f>
        <v>12</v>
      </c>
      <c r="H742" t="s">
        <v>13</v>
      </c>
      <c r="I742" t="s">
        <v>14</v>
      </c>
      <c r="J742" t="s">
        <v>14</v>
      </c>
      <c r="K742">
        <v>96</v>
      </c>
      <c r="L742" t="str">
        <f>IF(AND(CallLog[[#This Row],[Answered (Y/N)]]="Y", CallLog[[#This Row],[Speed of answer in seconds]]&lt;=20),
    "Within",
    "Breach")</f>
        <v>Breach</v>
      </c>
      <c r="M742" s="1">
        <v>7.7546296296296293E-4</v>
      </c>
      <c r="N742">
        <v>5</v>
      </c>
    </row>
    <row r="743" spans="1:14" x14ac:dyDescent="0.3">
      <c r="A743" t="s">
        <v>779</v>
      </c>
      <c r="B743" t="s">
        <v>16</v>
      </c>
      <c r="C743" t="s">
        <v>756</v>
      </c>
      <c r="D743" s="1">
        <v>0.52799768518518519</v>
      </c>
      <c r="E743" s="2">
        <f>CallLog[[#This Row],[Date]]+CallLog[[#This Row],[Time]]</f>
        <v>44209.527997685182</v>
      </c>
      <c r="F743" s="1" t="str">
        <f>TEXT(CallLog[[#This Row],[Date]],"dddd")</f>
        <v>Wednesday</v>
      </c>
      <c r="G743" s="3">
        <f>HOUR(CallLog[[#This Row],[Time]])</f>
        <v>12</v>
      </c>
      <c r="H743" t="s">
        <v>32</v>
      </c>
      <c r="I743" t="s">
        <v>18</v>
      </c>
      <c r="J743" t="s">
        <v>18</v>
      </c>
      <c r="L743" t="str">
        <f>IF(AND(CallLog[[#This Row],[Answered (Y/N)]]="Y", CallLog[[#This Row],[Speed of answer in seconds]]&lt;=20),
    "Within",
    "Breach")</f>
        <v>Breach</v>
      </c>
    </row>
    <row r="744" spans="1:14" x14ac:dyDescent="0.3">
      <c r="A744" t="s">
        <v>780</v>
      </c>
      <c r="B744" t="s">
        <v>34</v>
      </c>
      <c r="C744" t="s">
        <v>756</v>
      </c>
      <c r="D744" s="1">
        <v>0.58499999999999996</v>
      </c>
      <c r="E744" s="2">
        <f>CallLog[[#This Row],[Date]]+CallLog[[#This Row],[Time]]</f>
        <v>44209.584999999999</v>
      </c>
      <c r="F744" s="1" t="str">
        <f>TEXT(CallLog[[#This Row],[Date]],"dddd")</f>
        <v>Wednesday</v>
      </c>
      <c r="G744" s="3">
        <f>HOUR(CallLog[[#This Row],[Time]])</f>
        <v>14</v>
      </c>
      <c r="H744" t="s">
        <v>24</v>
      </c>
      <c r="I744" t="s">
        <v>14</v>
      </c>
      <c r="J744" t="s">
        <v>14</v>
      </c>
      <c r="K744">
        <v>69</v>
      </c>
      <c r="L744" t="str">
        <f>IF(AND(CallLog[[#This Row],[Answered (Y/N)]]="Y", CallLog[[#This Row],[Speed of answer in seconds]]&lt;=20),
    "Within",
    "Breach")</f>
        <v>Breach</v>
      </c>
      <c r="M744" s="1">
        <v>2.638888888888889E-3</v>
      </c>
      <c r="N744">
        <v>5</v>
      </c>
    </row>
    <row r="745" spans="1:14" x14ac:dyDescent="0.3">
      <c r="A745" t="s">
        <v>781</v>
      </c>
      <c r="B745" t="s">
        <v>47</v>
      </c>
      <c r="C745" t="s">
        <v>756</v>
      </c>
      <c r="D745" s="1">
        <v>0.58499999999999996</v>
      </c>
      <c r="E745" s="2">
        <f>CallLog[[#This Row],[Date]]+CallLog[[#This Row],[Time]]</f>
        <v>44209.584999999999</v>
      </c>
      <c r="F745" s="1" t="str">
        <f>TEXT(CallLog[[#This Row],[Date]],"dddd")</f>
        <v>Wednesday</v>
      </c>
      <c r="G745" s="3">
        <f>HOUR(CallLog[[#This Row],[Time]])</f>
        <v>14</v>
      </c>
      <c r="H745" t="s">
        <v>29</v>
      </c>
      <c r="I745" t="s">
        <v>14</v>
      </c>
      <c r="J745" t="s">
        <v>14</v>
      </c>
      <c r="K745">
        <v>58</v>
      </c>
      <c r="L745" t="str">
        <f>IF(AND(CallLog[[#This Row],[Answered (Y/N)]]="Y", CallLog[[#This Row],[Speed of answer in seconds]]&lt;=20),
    "Within",
    "Breach")</f>
        <v>Breach</v>
      </c>
      <c r="M745" s="1">
        <v>4.5370370370370373E-3</v>
      </c>
      <c r="N745">
        <v>4</v>
      </c>
    </row>
    <row r="746" spans="1:14" x14ac:dyDescent="0.3">
      <c r="A746" t="s">
        <v>782</v>
      </c>
      <c r="B746" t="s">
        <v>38</v>
      </c>
      <c r="C746" t="s">
        <v>756</v>
      </c>
      <c r="D746" s="1">
        <v>0.60200231481481481</v>
      </c>
      <c r="E746" s="2">
        <f>CallLog[[#This Row],[Date]]+CallLog[[#This Row],[Time]]</f>
        <v>44209.602002314816</v>
      </c>
      <c r="F746" s="1" t="str">
        <f>TEXT(CallLog[[#This Row],[Date]],"dddd")</f>
        <v>Wednesday</v>
      </c>
      <c r="G746" s="3">
        <f>HOUR(CallLog[[#This Row],[Time]])</f>
        <v>14</v>
      </c>
      <c r="H746" t="s">
        <v>29</v>
      </c>
      <c r="I746" t="s">
        <v>14</v>
      </c>
      <c r="J746" t="s">
        <v>18</v>
      </c>
      <c r="K746">
        <v>112</v>
      </c>
      <c r="L746" t="str">
        <f>IF(AND(CallLog[[#This Row],[Answered (Y/N)]]="Y", CallLog[[#This Row],[Speed of answer in seconds]]&lt;=20),
    "Within",
    "Breach")</f>
        <v>Breach</v>
      </c>
      <c r="M746" s="1">
        <v>4.6296296296296298E-4</v>
      </c>
      <c r="N746">
        <v>3</v>
      </c>
    </row>
    <row r="747" spans="1:14" x14ac:dyDescent="0.3">
      <c r="A747" t="s">
        <v>783</v>
      </c>
      <c r="B747" t="s">
        <v>31</v>
      </c>
      <c r="C747" t="s">
        <v>756</v>
      </c>
      <c r="D747" s="1">
        <v>0.60200231481481481</v>
      </c>
      <c r="E747" s="2">
        <f>CallLog[[#This Row],[Date]]+CallLog[[#This Row],[Time]]</f>
        <v>44209.602002314816</v>
      </c>
      <c r="F747" s="1" t="str">
        <f>TEXT(CallLog[[#This Row],[Date]],"dddd")</f>
        <v>Wednesday</v>
      </c>
      <c r="G747" s="3">
        <f>HOUR(CallLog[[#This Row],[Time]])</f>
        <v>14</v>
      </c>
      <c r="H747" t="s">
        <v>17</v>
      </c>
      <c r="I747" t="s">
        <v>14</v>
      </c>
      <c r="J747" t="s">
        <v>14</v>
      </c>
      <c r="K747">
        <v>61</v>
      </c>
      <c r="L747" t="str">
        <f>IF(AND(CallLog[[#This Row],[Answered (Y/N)]]="Y", CallLog[[#This Row],[Speed of answer in seconds]]&lt;=20),
    "Within",
    "Breach")</f>
        <v>Breach</v>
      </c>
      <c r="M747" s="1">
        <v>3.0439814814814813E-3</v>
      </c>
      <c r="N747">
        <v>3</v>
      </c>
    </row>
    <row r="748" spans="1:14" x14ac:dyDescent="0.3">
      <c r="A748" t="s">
        <v>784</v>
      </c>
      <c r="B748" t="s">
        <v>47</v>
      </c>
      <c r="C748" t="s">
        <v>756</v>
      </c>
      <c r="D748" s="1">
        <v>0.61700231481481482</v>
      </c>
      <c r="E748" s="2">
        <f>CallLog[[#This Row],[Date]]+CallLog[[#This Row],[Time]]</f>
        <v>44209.617002314815</v>
      </c>
      <c r="F748" s="1" t="str">
        <f>TEXT(CallLog[[#This Row],[Date]],"dddd")</f>
        <v>Wednesday</v>
      </c>
      <c r="G748" s="3">
        <f>HOUR(CallLog[[#This Row],[Time]])</f>
        <v>14</v>
      </c>
      <c r="H748" t="s">
        <v>29</v>
      </c>
      <c r="I748" t="s">
        <v>14</v>
      </c>
      <c r="J748" t="s">
        <v>14</v>
      </c>
      <c r="K748">
        <v>89</v>
      </c>
      <c r="L748" t="str">
        <f>IF(AND(CallLog[[#This Row],[Answered (Y/N)]]="Y", CallLog[[#This Row],[Speed of answer in seconds]]&lt;=20),
    "Within",
    "Breach")</f>
        <v>Breach</v>
      </c>
      <c r="M748" s="1">
        <v>2.2222222222222222E-3</v>
      </c>
      <c r="N748">
        <v>3</v>
      </c>
    </row>
    <row r="749" spans="1:14" x14ac:dyDescent="0.3">
      <c r="A749" t="s">
        <v>785</v>
      </c>
      <c r="B749" t="s">
        <v>16</v>
      </c>
      <c r="C749" t="s">
        <v>756</v>
      </c>
      <c r="D749" s="1">
        <v>0.61700231481481482</v>
      </c>
      <c r="E749" s="2">
        <f>CallLog[[#This Row],[Date]]+CallLog[[#This Row],[Time]]</f>
        <v>44209.617002314815</v>
      </c>
      <c r="F749" s="1" t="str">
        <f>TEXT(CallLog[[#This Row],[Date]],"dddd")</f>
        <v>Wednesday</v>
      </c>
      <c r="G749" s="3">
        <f>HOUR(CallLog[[#This Row],[Time]])</f>
        <v>14</v>
      </c>
      <c r="H749" t="s">
        <v>24</v>
      </c>
      <c r="I749" t="s">
        <v>14</v>
      </c>
      <c r="J749" t="s">
        <v>14</v>
      </c>
      <c r="K749">
        <v>84</v>
      </c>
      <c r="L749" t="str">
        <f>IF(AND(CallLog[[#This Row],[Answered (Y/N)]]="Y", CallLog[[#This Row],[Speed of answer in seconds]]&lt;=20),
    "Within",
    "Breach")</f>
        <v>Breach</v>
      </c>
      <c r="M749" s="1">
        <v>2.2222222222222222E-3</v>
      </c>
      <c r="N749">
        <v>5</v>
      </c>
    </row>
    <row r="750" spans="1:14" x14ac:dyDescent="0.3">
      <c r="A750" t="s">
        <v>786</v>
      </c>
      <c r="B750" t="s">
        <v>11</v>
      </c>
      <c r="C750" t="s">
        <v>756</v>
      </c>
      <c r="D750" s="1">
        <v>0.63500000000000001</v>
      </c>
      <c r="E750" s="2">
        <f>CallLog[[#This Row],[Date]]+CallLog[[#This Row],[Time]]</f>
        <v>44209.635000000002</v>
      </c>
      <c r="F750" s="1" t="str">
        <f>TEXT(CallLog[[#This Row],[Date]],"dddd")</f>
        <v>Wednesday</v>
      </c>
      <c r="G750" s="3">
        <f>HOUR(CallLog[[#This Row],[Time]])</f>
        <v>15</v>
      </c>
      <c r="H750" t="s">
        <v>17</v>
      </c>
      <c r="I750" t="s">
        <v>14</v>
      </c>
      <c r="J750" t="s">
        <v>14</v>
      </c>
      <c r="K750">
        <v>53</v>
      </c>
      <c r="L750" t="str">
        <f>IF(AND(CallLog[[#This Row],[Answered (Y/N)]]="Y", CallLog[[#This Row],[Speed of answer in seconds]]&lt;=20),
    "Within",
    "Breach")</f>
        <v>Breach</v>
      </c>
      <c r="M750" s="1">
        <v>2.5000000000000001E-3</v>
      </c>
      <c r="N750">
        <v>3</v>
      </c>
    </row>
    <row r="751" spans="1:14" x14ac:dyDescent="0.3">
      <c r="A751" t="s">
        <v>787</v>
      </c>
      <c r="B751" t="s">
        <v>16</v>
      </c>
      <c r="C751" t="s">
        <v>756</v>
      </c>
      <c r="D751" s="1">
        <v>0.63500000000000001</v>
      </c>
      <c r="E751" s="2">
        <f>CallLog[[#This Row],[Date]]+CallLog[[#This Row],[Time]]</f>
        <v>44209.635000000002</v>
      </c>
      <c r="F751" s="1" t="str">
        <f>TEXT(CallLog[[#This Row],[Date]],"dddd")</f>
        <v>Wednesday</v>
      </c>
      <c r="G751" s="3">
        <f>HOUR(CallLog[[#This Row],[Time]])</f>
        <v>15</v>
      </c>
      <c r="H751" t="s">
        <v>32</v>
      </c>
      <c r="I751" t="s">
        <v>14</v>
      </c>
      <c r="J751" t="s">
        <v>14</v>
      </c>
      <c r="K751">
        <v>73</v>
      </c>
      <c r="L751" t="str">
        <f>IF(AND(CallLog[[#This Row],[Answered (Y/N)]]="Y", CallLog[[#This Row],[Speed of answer in seconds]]&lt;=20),
    "Within",
    "Breach")</f>
        <v>Breach</v>
      </c>
      <c r="M751" s="1">
        <v>1.0879629629629629E-3</v>
      </c>
      <c r="N751">
        <v>3</v>
      </c>
    </row>
    <row r="752" spans="1:14" x14ac:dyDescent="0.3">
      <c r="A752" t="s">
        <v>788</v>
      </c>
      <c r="B752" t="s">
        <v>20</v>
      </c>
      <c r="C752" t="s">
        <v>756</v>
      </c>
      <c r="D752" s="1">
        <v>0.64400462962962968</v>
      </c>
      <c r="E752" s="2">
        <f>CallLog[[#This Row],[Date]]+CallLog[[#This Row],[Time]]</f>
        <v>44209.644004629627</v>
      </c>
      <c r="F752" s="1" t="str">
        <f>TEXT(CallLog[[#This Row],[Date]],"dddd")</f>
        <v>Wednesday</v>
      </c>
      <c r="G752" s="3">
        <f>HOUR(CallLog[[#This Row],[Time]])</f>
        <v>15</v>
      </c>
      <c r="H752" t="s">
        <v>13</v>
      </c>
      <c r="I752" t="s">
        <v>14</v>
      </c>
      <c r="J752" t="s">
        <v>14</v>
      </c>
      <c r="K752">
        <v>12</v>
      </c>
      <c r="L752" t="str">
        <f>IF(AND(CallLog[[#This Row],[Answered (Y/N)]]="Y", CallLog[[#This Row],[Speed of answer in seconds]]&lt;=20),
    "Within",
    "Breach")</f>
        <v>Within</v>
      </c>
      <c r="M752" s="1">
        <v>1.5162037037037036E-3</v>
      </c>
      <c r="N752">
        <v>2</v>
      </c>
    </row>
    <row r="753" spans="1:14" x14ac:dyDescent="0.3">
      <c r="A753" t="s">
        <v>789</v>
      </c>
      <c r="B753" t="s">
        <v>38</v>
      </c>
      <c r="C753" t="s">
        <v>756</v>
      </c>
      <c r="D753" s="1">
        <v>0.64400462962962968</v>
      </c>
      <c r="E753" s="2">
        <f>CallLog[[#This Row],[Date]]+CallLog[[#This Row],[Time]]</f>
        <v>44209.644004629627</v>
      </c>
      <c r="F753" s="1" t="str">
        <f>TEXT(CallLog[[#This Row],[Date]],"dddd")</f>
        <v>Wednesday</v>
      </c>
      <c r="G753" s="3">
        <f>HOUR(CallLog[[#This Row],[Time]])</f>
        <v>15</v>
      </c>
      <c r="H753" t="s">
        <v>29</v>
      </c>
      <c r="I753" t="s">
        <v>14</v>
      </c>
      <c r="J753" t="s">
        <v>14</v>
      </c>
      <c r="K753">
        <v>90</v>
      </c>
      <c r="L753" t="str">
        <f>IF(AND(CallLog[[#This Row],[Answered (Y/N)]]="Y", CallLog[[#This Row],[Speed of answer in seconds]]&lt;=20),
    "Within",
    "Breach")</f>
        <v>Breach</v>
      </c>
      <c r="M753" s="1">
        <v>4.5370370370370373E-3</v>
      </c>
      <c r="N753">
        <v>4</v>
      </c>
    </row>
    <row r="754" spans="1:14" x14ac:dyDescent="0.3">
      <c r="A754" t="s">
        <v>790</v>
      </c>
      <c r="B754" t="s">
        <v>20</v>
      </c>
      <c r="C754" t="s">
        <v>756</v>
      </c>
      <c r="D754" s="1">
        <v>0.64900462962962968</v>
      </c>
      <c r="E754" s="2">
        <f>CallLog[[#This Row],[Date]]+CallLog[[#This Row],[Time]]</f>
        <v>44209.649004629631</v>
      </c>
      <c r="F754" s="1" t="str">
        <f>TEXT(CallLog[[#This Row],[Date]],"dddd")</f>
        <v>Wednesday</v>
      </c>
      <c r="G754" s="3">
        <f>HOUR(CallLog[[#This Row],[Time]])</f>
        <v>15</v>
      </c>
      <c r="H754" t="s">
        <v>17</v>
      </c>
      <c r="I754" t="s">
        <v>18</v>
      </c>
      <c r="J754" t="s">
        <v>18</v>
      </c>
      <c r="L754" t="str">
        <f>IF(AND(CallLog[[#This Row],[Answered (Y/N)]]="Y", CallLog[[#This Row],[Speed of answer in seconds]]&lt;=20),
    "Within",
    "Breach")</f>
        <v>Breach</v>
      </c>
    </row>
    <row r="755" spans="1:14" x14ac:dyDescent="0.3">
      <c r="A755" t="s">
        <v>791</v>
      </c>
      <c r="B755" t="s">
        <v>47</v>
      </c>
      <c r="C755" t="s">
        <v>756</v>
      </c>
      <c r="D755" s="1">
        <v>0.64900462962962968</v>
      </c>
      <c r="E755" s="2">
        <f>CallLog[[#This Row],[Date]]+CallLog[[#This Row],[Time]]</f>
        <v>44209.649004629631</v>
      </c>
      <c r="F755" s="1" t="str">
        <f>TEXT(CallLog[[#This Row],[Date]],"dddd")</f>
        <v>Wednesday</v>
      </c>
      <c r="G755" s="3">
        <f>HOUR(CallLog[[#This Row],[Time]])</f>
        <v>15</v>
      </c>
      <c r="H755" t="s">
        <v>17</v>
      </c>
      <c r="I755" t="s">
        <v>14</v>
      </c>
      <c r="J755" t="s">
        <v>14</v>
      </c>
      <c r="K755">
        <v>23</v>
      </c>
      <c r="L755" t="str">
        <f>IF(AND(CallLog[[#This Row],[Answered (Y/N)]]="Y", CallLog[[#This Row],[Speed of answer in seconds]]&lt;=20),
    "Within",
    "Breach")</f>
        <v>Breach</v>
      </c>
      <c r="M755" s="1">
        <v>2.9282407407407408E-3</v>
      </c>
      <c r="N755">
        <v>5</v>
      </c>
    </row>
    <row r="756" spans="1:14" x14ac:dyDescent="0.3">
      <c r="A756" t="s">
        <v>792</v>
      </c>
      <c r="B756" t="s">
        <v>22</v>
      </c>
      <c r="C756" t="s">
        <v>756</v>
      </c>
      <c r="D756" s="1">
        <v>0.65299768518518519</v>
      </c>
      <c r="E756" s="2">
        <f>CallLog[[#This Row],[Date]]+CallLog[[#This Row],[Time]]</f>
        <v>44209.652997685182</v>
      </c>
      <c r="F756" s="1" t="str">
        <f>TEXT(CallLog[[#This Row],[Date]],"dddd")</f>
        <v>Wednesday</v>
      </c>
      <c r="G756" s="3">
        <f>HOUR(CallLog[[#This Row],[Time]])</f>
        <v>15</v>
      </c>
      <c r="H756" t="s">
        <v>29</v>
      </c>
      <c r="I756" t="s">
        <v>14</v>
      </c>
      <c r="J756" t="s">
        <v>14</v>
      </c>
      <c r="K756">
        <v>98</v>
      </c>
      <c r="L756" t="str">
        <f>IF(AND(CallLog[[#This Row],[Answered (Y/N)]]="Y", CallLog[[#This Row],[Speed of answer in seconds]]&lt;=20),
    "Within",
    "Breach")</f>
        <v>Breach</v>
      </c>
      <c r="M756" s="1">
        <v>3.5648148148148149E-3</v>
      </c>
      <c r="N756">
        <v>5</v>
      </c>
    </row>
    <row r="757" spans="1:14" x14ac:dyDescent="0.3">
      <c r="A757" t="s">
        <v>793</v>
      </c>
      <c r="B757" t="s">
        <v>11</v>
      </c>
      <c r="C757" t="s">
        <v>756</v>
      </c>
      <c r="D757" s="1">
        <v>0.65299768518518519</v>
      </c>
      <c r="E757" s="2">
        <f>CallLog[[#This Row],[Date]]+CallLog[[#This Row],[Time]]</f>
        <v>44209.652997685182</v>
      </c>
      <c r="F757" s="1" t="str">
        <f>TEXT(CallLog[[#This Row],[Date]],"dddd")</f>
        <v>Wednesday</v>
      </c>
      <c r="G757" s="3">
        <f>HOUR(CallLog[[#This Row],[Time]])</f>
        <v>15</v>
      </c>
      <c r="H757" t="s">
        <v>13</v>
      </c>
      <c r="I757" t="s">
        <v>14</v>
      </c>
      <c r="J757" t="s">
        <v>14</v>
      </c>
      <c r="K757">
        <v>28</v>
      </c>
      <c r="L757" t="str">
        <f>IF(AND(CallLog[[#This Row],[Answered (Y/N)]]="Y", CallLog[[#This Row],[Speed of answer in seconds]]&lt;=20),
    "Within",
    "Breach")</f>
        <v>Breach</v>
      </c>
      <c r="M757" s="1">
        <v>7.291666666666667E-4</v>
      </c>
      <c r="N757">
        <v>2</v>
      </c>
    </row>
    <row r="758" spans="1:14" x14ac:dyDescent="0.3">
      <c r="A758" t="s">
        <v>794</v>
      </c>
      <c r="B758" t="s">
        <v>11</v>
      </c>
      <c r="C758" t="s">
        <v>756</v>
      </c>
      <c r="D758" s="1">
        <v>0.74900462962962966</v>
      </c>
      <c r="E758" s="2">
        <f>CallLog[[#This Row],[Date]]+CallLog[[#This Row],[Time]]</f>
        <v>44209.74900462963</v>
      </c>
      <c r="F758" s="1" t="str">
        <f>TEXT(CallLog[[#This Row],[Date]],"dddd")</f>
        <v>Wednesday</v>
      </c>
      <c r="G758" s="3">
        <f>HOUR(CallLog[[#This Row],[Time]])</f>
        <v>17</v>
      </c>
      <c r="H758" t="s">
        <v>17</v>
      </c>
      <c r="I758" t="s">
        <v>14</v>
      </c>
      <c r="J758" t="s">
        <v>14</v>
      </c>
      <c r="K758">
        <v>123</v>
      </c>
      <c r="L758" t="str">
        <f>IF(AND(CallLog[[#This Row],[Answered (Y/N)]]="Y", CallLog[[#This Row],[Speed of answer in seconds]]&lt;=20),
    "Within",
    "Breach")</f>
        <v>Breach</v>
      </c>
      <c r="M758" s="1">
        <v>3.1018518518518517E-3</v>
      </c>
      <c r="N758">
        <v>3</v>
      </c>
    </row>
    <row r="759" spans="1:14" x14ac:dyDescent="0.3">
      <c r="A759" t="s">
        <v>795</v>
      </c>
      <c r="B759" t="s">
        <v>16</v>
      </c>
      <c r="C759" t="s">
        <v>756</v>
      </c>
      <c r="D759" s="1">
        <v>0.74900462962962966</v>
      </c>
      <c r="E759" s="2">
        <f>CallLog[[#This Row],[Date]]+CallLog[[#This Row],[Time]]</f>
        <v>44209.74900462963</v>
      </c>
      <c r="F759" s="1" t="str">
        <f>TEXT(CallLog[[#This Row],[Date]],"dddd")</f>
        <v>Wednesday</v>
      </c>
      <c r="G759" s="3">
        <f>HOUR(CallLog[[#This Row],[Time]])</f>
        <v>17</v>
      </c>
      <c r="H759" t="s">
        <v>13</v>
      </c>
      <c r="I759" t="s">
        <v>14</v>
      </c>
      <c r="J759" t="s">
        <v>14</v>
      </c>
      <c r="K759">
        <v>82</v>
      </c>
      <c r="L759" t="str">
        <f>IF(AND(CallLog[[#This Row],[Answered (Y/N)]]="Y", CallLog[[#This Row],[Speed of answer in seconds]]&lt;=20),
    "Within",
    "Breach")</f>
        <v>Breach</v>
      </c>
      <c r="M759" s="1">
        <v>1.736111111111111E-3</v>
      </c>
      <c r="N759">
        <v>5</v>
      </c>
    </row>
    <row r="760" spans="1:14" x14ac:dyDescent="0.3">
      <c r="A760" t="s">
        <v>796</v>
      </c>
      <c r="B760" t="s">
        <v>38</v>
      </c>
      <c r="C760" t="s">
        <v>797</v>
      </c>
      <c r="D760" s="1">
        <v>0.37700231481481483</v>
      </c>
      <c r="E760" s="2">
        <f>CallLog[[#This Row],[Date]]+CallLog[[#This Row],[Time]]</f>
        <v>44210.377002314817</v>
      </c>
      <c r="F760" s="1" t="str">
        <f>TEXT(CallLog[[#This Row],[Date]],"dddd")</f>
        <v>Thursday</v>
      </c>
      <c r="G760" s="3">
        <f>HOUR(CallLog[[#This Row],[Time]])</f>
        <v>9</v>
      </c>
      <c r="H760" t="s">
        <v>17</v>
      </c>
      <c r="I760" t="s">
        <v>14</v>
      </c>
      <c r="J760" t="s">
        <v>14</v>
      </c>
      <c r="K760">
        <v>57</v>
      </c>
      <c r="L760" t="str">
        <f>IF(AND(CallLog[[#This Row],[Answered (Y/N)]]="Y", CallLog[[#This Row],[Speed of answer in seconds]]&lt;=20),
    "Within",
    "Breach")</f>
        <v>Breach</v>
      </c>
      <c r="M760" s="1">
        <v>3.3333333333333335E-3</v>
      </c>
      <c r="N760">
        <v>4</v>
      </c>
    </row>
    <row r="761" spans="1:14" x14ac:dyDescent="0.3">
      <c r="A761" t="s">
        <v>798</v>
      </c>
      <c r="B761" t="s">
        <v>20</v>
      </c>
      <c r="C761" t="s">
        <v>797</v>
      </c>
      <c r="D761" s="1">
        <v>0.37700231481481483</v>
      </c>
      <c r="E761" s="2">
        <f>CallLog[[#This Row],[Date]]+CallLog[[#This Row],[Time]]</f>
        <v>44210.377002314817</v>
      </c>
      <c r="F761" s="1" t="str">
        <f>TEXT(CallLog[[#This Row],[Date]],"dddd")</f>
        <v>Thursday</v>
      </c>
      <c r="G761" s="3">
        <f>HOUR(CallLog[[#This Row],[Time]])</f>
        <v>9</v>
      </c>
      <c r="H761" t="s">
        <v>32</v>
      </c>
      <c r="I761" t="s">
        <v>14</v>
      </c>
      <c r="J761" t="s">
        <v>14</v>
      </c>
      <c r="K761">
        <v>14</v>
      </c>
      <c r="L761" t="str">
        <f>IF(AND(CallLog[[#This Row],[Answered (Y/N)]]="Y", CallLog[[#This Row],[Speed of answer in seconds]]&lt;=20),
    "Within",
    "Breach")</f>
        <v>Within</v>
      </c>
      <c r="M761" s="1">
        <v>8.2175925925925927E-4</v>
      </c>
      <c r="N761">
        <v>5</v>
      </c>
    </row>
    <row r="762" spans="1:14" x14ac:dyDescent="0.3">
      <c r="A762" t="s">
        <v>799</v>
      </c>
      <c r="B762" t="s">
        <v>34</v>
      </c>
      <c r="C762" t="s">
        <v>797</v>
      </c>
      <c r="D762" s="1">
        <v>0.38500000000000001</v>
      </c>
      <c r="E762" s="2">
        <f>CallLog[[#This Row],[Date]]+CallLog[[#This Row],[Time]]</f>
        <v>44210.385000000002</v>
      </c>
      <c r="F762" s="1" t="str">
        <f>TEXT(CallLog[[#This Row],[Date]],"dddd")</f>
        <v>Thursday</v>
      </c>
      <c r="G762" s="3">
        <f>HOUR(CallLog[[#This Row],[Time]])</f>
        <v>9</v>
      </c>
      <c r="H762" t="s">
        <v>17</v>
      </c>
      <c r="I762" t="s">
        <v>14</v>
      </c>
      <c r="J762" t="s">
        <v>14</v>
      </c>
      <c r="K762">
        <v>114</v>
      </c>
      <c r="L762" t="str">
        <f>IF(AND(CallLog[[#This Row],[Answered (Y/N)]]="Y", CallLog[[#This Row],[Speed of answer in seconds]]&lt;=20),
    "Within",
    "Breach")</f>
        <v>Breach</v>
      </c>
      <c r="M762" s="1">
        <v>4.2824074074074081E-4</v>
      </c>
      <c r="N762">
        <v>4</v>
      </c>
    </row>
    <row r="763" spans="1:14" x14ac:dyDescent="0.3">
      <c r="A763" t="s">
        <v>800</v>
      </c>
      <c r="B763" t="s">
        <v>31</v>
      </c>
      <c r="C763" t="s">
        <v>797</v>
      </c>
      <c r="D763" s="1">
        <v>0.38500000000000001</v>
      </c>
      <c r="E763" s="2">
        <f>CallLog[[#This Row],[Date]]+CallLog[[#This Row],[Time]]</f>
        <v>44210.385000000002</v>
      </c>
      <c r="F763" s="1" t="str">
        <f>TEXT(CallLog[[#This Row],[Date]],"dddd")</f>
        <v>Thursday</v>
      </c>
      <c r="G763" s="3">
        <f>HOUR(CallLog[[#This Row],[Time]])</f>
        <v>9</v>
      </c>
      <c r="H763" t="s">
        <v>24</v>
      </c>
      <c r="I763" t="s">
        <v>14</v>
      </c>
      <c r="J763" t="s">
        <v>14</v>
      </c>
      <c r="K763">
        <v>53</v>
      </c>
      <c r="L763" t="str">
        <f>IF(AND(CallLog[[#This Row],[Answered (Y/N)]]="Y", CallLog[[#This Row],[Speed of answer in seconds]]&lt;=20),
    "Within",
    "Breach")</f>
        <v>Breach</v>
      </c>
      <c r="M763" s="1">
        <v>3.0208333333333333E-3</v>
      </c>
      <c r="N763">
        <v>5</v>
      </c>
    </row>
    <row r="764" spans="1:14" x14ac:dyDescent="0.3">
      <c r="A764" t="s">
        <v>801</v>
      </c>
      <c r="B764" t="s">
        <v>31</v>
      </c>
      <c r="C764" t="s">
        <v>797</v>
      </c>
      <c r="D764" s="1">
        <v>0.38700231481481484</v>
      </c>
      <c r="E764" s="2">
        <f>CallLog[[#This Row],[Date]]+CallLog[[#This Row],[Time]]</f>
        <v>44210.387002314812</v>
      </c>
      <c r="F764" s="1" t="str">
        <f>TEXT(CallLog[[#This Row],[Date]],"dddd")</f>
        <v>Thursday</v>
      </c>
      <c r="G764" s="3">
        <f>HOUR(CallLog[[#This Row],[Time]])</f>
        <v>9</v>
      </c>
      <c r="H764" t="s">
        <v>17</v>
      </c>
      <c r="I764" t="s">
        <v>18</v>
      </c>
      <c r="J764" t="s">
        <v>18</v>
      </c>
      <c r="L764" t="str">
        <f>IF(AND(CallLog[[#This Row],[Answered (Y/N)]]="Y", CallLog[[#This Row],[Speed of answer in seconds]]&lt;=20),
    "Within",
    "Breach")</f>
        <v>Breach</v>
      </c>
    </row>
    <row r="765" spans="1:14" x14ac:dyDescent="0.3">
      <c r="A765" t="s">
        <v>802</v>
      </c>
      <c r="B765" t="s">
        <v>47</v>
      </c>
      <c r="C765" t="s">
        <v>797</v>
      </c>
      <c r="D765" s="1">
        <v>0.38700231481481484</v>
      </c>
      <c r="E765" s="2">
        <f>CallLog[[#This Row],[Date]]+CallLog[[#This Row],[Time]]</f>
        <v>44210.387002314812</v>
      </c>
      <c r="F765" s="1" t="str">
        <f>TEXT(CallLog[[#This Row],[Date]],"dddd")</f>
        <v>Thursday</v>
      </c>
      <c r="G765" s="3">
        <f>HOUR(CallLog[[#This Row],[Time]])</f>
        <v>9</v>
      </c>
      <c r="H765" t="s">
        <v>17</v>
      </c>
      <c r="I765" t="s">
        <v>14</v>
      </c>
      <c r="J765" t="s">
        <v>14</v>
      </c>
      <c r="K765">
        <v>25</v>
      </c>
      <c r="L765" t="str">
        <f>IF(AND(CallLog[[#This Row],[Answered (Y/N)]]="Y", CallLog[[#This Row],[Speed of answer in seconds]]&lt;=20),
    "Within",
    "Breach")</f>
        <v>Breach</v>
      </c>
      <c r="M765" s="1">
        <v>3.1597222222222222E-3</v>
      </c>
      <c r="N765">
        <v>4</v>
      </c>
    </row>
    <row r="766" spans="1:14" x14ac:dyDescent="0.3">
      <c r="A766" t="s">
        <v>803</v>
      </c>
      <c r="B766" t="s">
        <v>22</v>
      </c>
      <c r="C766" t="s">
        <v>797</v>
      </c>
      <c r="D766" s="1">
        <v>0.39200231481481479</v>
      </c>
      <c r="E766" s="2">
        <f>CallLog[[#This Row],[Date]]+CallLog[[#This Row],[Time]]</f>
        <v>44210.392002314817</v>
      </c>
      <c r="F766" s="1" t="str">
        <f>TEXT(CallLog[[#This Row],[Date]],"dddd")</f>
        <v>Thursday</v>
      </c>
      <c r="G766" s="3">
        <f>HOUR(CallLog[[#This Row],[Time]])</f>
        <v>9</v>
      </c>
      <c r="H766" t="s">
        <v>29</v>
      </c>
      <c r="I766" t="s">
        <v>14</v>
      </c>
      <c r="J766" t="s">
        <v>14</v>
      </c>
      <c r="K766">
        <v>86</v>
      </c>
      <c r="L766" t="str">
        <f>IF(AND(CallLog[[#This Row],[Answered (Y/N)]]="Y", CallLog[[#This Row],[Speed of answer in seconds]]&lt;=20),
    "Within",
    "Breach")</f>
        <v>Breach</v>
      </c>
      <c r="M766" s="1">
        <v>2.3148148148148147E-3</v>
      </c>
      <c r="N766">
        <v>2</v>
      </c>
    </row>
    <row r="767" spans="1:14" x14ac:dyDescent="0.3">
      <c r="A767" t="s">
        <v>804</v>
      </c>
      <c r="B767" t="s">
        <v>31</v>
      </c>
      <c r="C767" t="s">
        <v>797</v>
      </c>
      <c r="D767" s="1">
        <v>0.39200231481481479</v>
      </c>
      <c r="E767" s="2">
        <f>CallLog[[#This Row],[Date]]+CallLog[[#This Row],[Time]]</f>
        <v>44210.392002314817</v>
      </c>
      <c r="F767" s="1" t="str">
        <f>TEXT(CallLog[[#This Row],[Date]],"dddd")</f>
        <v>Thursday</v>
      </c>
      <c r="G767" s="3">
        <f>HOUR(CallLog[[#This Row],[Time]])</f>
        <v>9</v>
      </c>
      <c r="H767" t="s">
        <v>24</v>
      </c>
      <c r="I767" t="s">
        <v>14</v>
      </c>
      <c r="J767" t="s">
        <v>14</v>
      </c>
      <c r="K767">
        <v>51</v>
      </c>
      <c r="L767" t="str">
        <f>IF(AND(CallLog[[#This Row],[Answered (Y/N)]]="Y", CallLog[[#This Row],[Speed of answer in seconds]]&lt;=20),
    "Within",
    "Breach")</f>
        <v>Breach</v>
      </c>
      <c r="M767" s="1">
        <v>1.4814814814814814E-3</v>
      </c>
      <c r="N767">
        <v>4</v>
      </c>
    </row>
    <row r="768" spans="1:14" x14ac:dyDescent="0.3">
      <c r="A768" t="s">
        <v>805</v>
      </c>
      <c r="B768" t="s">
        <v>20</v>
      </c>
      <c r="C768" t="s">
        <v>797</v>
      </c>
      <c r="D768" s="1">
        <v>0.41799768518518521</v>
      </c>
      <c r="E768" s="2">
        <f>CallLog[[#This Row],[Date]]+CallLog[[#This Row],[Time]]</f>
        <v>44210.417997685188</v>
      </c>
      <c r="F768" s="1" t="str">
        <f>TEXT(CallLog[[#This Row],[Date]],"dddd")</f>
        <v>Thursday</v>
      </c>
      <c r="G768" s="3">
        <f>HOUR(CallLog[[#This Row],[Time]])</f>
        <v>10</v>
      </c>
      <c r="H768" t="s">
        <v>17</v>
      </c>
      <c r="I768" t="s">
        <v>14</v>
      </c>
      <c r="J768" t="s">
        <v>14</v>
      </c>
      <c r="K768">
        <v>31</v>
      </c>
      <c r="L768" t="str">
        <f>IF(AND(CallLog[[#This Row],[Answered (Y/N)]]="Y", CallLog[[#This Row],[Speed of answer in seconds]]&lt;=20),
    "Within",
    "Breach")</f>
        <v>Breach</v>
      </c>
      <c r="M768" s="1">
        <v>6.4814814814814813E-4</v>
      </c>
      <c r="N768">
        <v>4</v>
      </c>
    </row>
    <row r="769" spans="1:14" x14ac:dyDescent="0.3">
      <c r="A769" t="s">
        <v>806</v>
      </c>
      <c r="B769" t="s">
        <v>47</v>
      </c>
      <c r="C769" t="s">
        <v>797</v>
      </c>
      <c r="D769" s="1">
        <v>0.41799768518518521</v>
      </c>
      <c r="E769" s="2">
        <f>CallLog[[#This Row],[Date]]+CallLog[[#This Row],[Time]]</f>
        <v>44210.417997685188</v>
      </c>
      <c r="F769" s="1" t="str">
        <f>TEXT(CallLog[[#This Row],[Date]],"dddd")</f>
        <v>Thursday</v>
      </c>
      <c r="G769" s="3">
        <f>HOUR(CallLog[[#This Row],[Time]])</f>
        <v>10</v>
      </c>
      <c r="H769" t="s">
        <v>32</v>
      </c>
      <c r="I769" t="s">
        <v>18</v>
      </c>
      <c r="J769" t="s">
        <v>18</v>
      </c>
      <c r="L769" t="str">
        <f>IF(AND(CallLog[[#This Row],[Answered (Y/N)]]="Y", CallLog[[#This Row],[Speed of answer in seconds]]&lt;=20),
    "Within",
    "Breach")</f>
        <v>Breach</v>
      </c>
    </row>
    <row r="770" spans="1:14" x14ac:dyDescent="0.3">
      <c r="A770" t="s">
        <v>807</v>
      </c>
      <c r="B770" t="s">
        <v>38</v>
      </c>
      <c r="C770" t="s">
        <v>797</v>
      </c>
      <c r="D770" s="1">
        <v>0.45400462962962962</v>
      </c>
      <c r="E770" s="2">
        <f>CallLog[[#This Row],[Date]]+CallLog[[#This Row],[Time]]</f>
        <v>44210.454004629632</v>
      </c>
      <c r="F770" s="1" t="str">
        <f>TEXT(CallLog[[#This Row],[Date]],"dddd")</f>
        <v>Thursday</v>
      </c>
      <c r="G770" s="3">
        <f>HOUR(CallLog[[#This Row],[Time]])</f>
        <v>10</v>
      </c>
      <c r="H770" t="s">
        <v>24</v>
      </c>
      <c r="I770" t="s">
        <v>14</v>
      </c>
      <c r="J770" t="s">
        <v>14</v>
      </c>
      <c r="K770">
        <v>124</v>
      </c>
      <c r="L770" t="str">
        <f>IF(AND(CallLog[[#This Row],[Answered (Y/N)]]="Y", CallLog[[#This Row],[Speed of answer in seconds]]&lt;=20),
    "Within",
    "Breach")</f>
        <v>Breach</v>
      </c>
      <c r="M770" s="1">
        <v>3.5185185185185185E-3</v>
      </c>
      <c r="N770">
        <v>4</v>
      </c>
    </row>
    <row r="771" spans="1:14" x14ac:dyDescent="0.3">
      <c r="A771" t="s">
        <v>808</v>
      </c>
      <c r="B771" t="s">
        <v>31</v>
      </c>
      <c r="C771" t="s">
        <v>797</v>
      </c>
      <c r="D771" s="1">
        <v>0.45400462962962962</v>
      </c>
      <c r="E771" s="2">
        <f>CallLog[[#This Row],[Date]]+CallLog[[#This Row],[Time]]</f>
        <v>44210.454004629632</v>
      </c>
      <c r="F771" s="1" t="str">
        <f>TEXT(CallLog[[#This Row],[Date]],"dddd")</f>
        <v>Thursday</v>
      </c>
      <c r="G771" s="3">
        <f>HOUR(CallLog[[#This Row],[Time]])</f>
        <v>10</v>
      </c>
      <c r="H771" t="s">
        <v>32</v>
      </c>
      <c r="I771" t="s">
        <v>14</v>
      </c>
      <c r="J771" t="s">
        <v>14</v>
      </c>
      <c r="K771">
        <v>116</v>
      </c>
      <c r="L771" t="str">
        <f>IF(AND(CallLog[[#This Row],[Answered (Y/N)]]="Y", CallLog[[#This Row],[Speed of answer in seconds]]&lt;=20),
    "Within",
    "Breach")</f>
        <v>Breach</v>
      </c>
      <c r="M771" s="1">
        <v>4.7222222222222223E-3</v>
      </c>
      <c r="N771">
        <v>2</v>
      </c>
    </row>
    <row r="772" spans="1:14" x14ac:dyDescent="0.3">
      <c r="A772" t="s">
        <v>809</v>
      </c>
      <c r="B772" t="s">
        <v>16</v>
      </c>
      <c r="C772" t="s">
        <v>797</v>
      </c>
      <c r="D772" s="1">
        <v>0.47200231481481481</v>
      </c>
      <c r="E772" s="2">
        <f>CallLog[[#This Row],[Date]]+CallLog[[#This Row],[Time]]</f>
        <v>44210.472002314818</v>
      </c>
      <c r="F772" s="1" t="str">
        <f>TEXT(CallLog[[#This Row],[Date]],"dddd")</f>
        <v>Thursday</v>
      </c>
      <c r="G772" s="3">
        <f>HOUR(CallLog[[#This Row],[Time]])</f>
        <v>11</v>
      </c>
      <c r="H772" t="s">
        <v>13</v>
      </c>
      <c r="I772" t="s">
        <v>14</v>
      </c>
      <c r="J772" t="s">
        <v>14</v>
      </c>
      <c r="K772">
        <v>41</v>
      </c>
      <c r="L772" t="str">
        <f>IF(AND(CallLog[[#This Row],[Answered (Y/N)]]="Y", CallLog[[#This Row],[Speed of answer in seconds]]&lt;=20),
    "Within",
    "Breach")</f>
        <v>Breach</v>
      </c>
      <c r="M772" s="1">
        <v>2.8124999999999999E-3</v>
      </c>
      <c r="N772">
        <v>2</v>
      </c>
    </row>
    <row r="773" spans="1:14" x14ac:dyDescent="0.3">
      <c r="A773" t="s">
        <v>810</v>
      </c>
      <c r="B773" t="s">
        <v>22</v>
      </c>
      <c r="C773" t="s">
        <v>797</v>
      </c>
      <c r="D773" s="1">
        <v>0.47200231481481481</v>
      </c>
      <c r="E773" s="2">
        <f>CallLog[[#This Row],[Date]]+CallLog[[#This Row],[Time]]</f>
        <v>44210.472002314818</v>
      </c>
      <c r="F773" s="1" t="str">
        <f>TEXT(CallLog[[#This Row],[Date]],"dddd")</f>
        <v>Thursday</v>
      </c>
      <c r="G773" s="3">
        <f>HOUR(CallLog[[#This Row],[Time]])</f>
        <v>11</v>
      </c>
      <c r="H773" t="s">
        <v>13</v>
      </c>
      <c r="I773" t="s">
        <v>14</v>
      </c>
      <c r="J773" t="s">
        <v>14</v>
      </c>
      <c r="K773">
        <v>53</v>
      </c>
      <c r="L773" t="str">
        <f>IF(AND(CallLog[[#This Row],[Answered (Y/N)]]="Y", CallLog[[#This Row],[Speed of answer in seconds]]&lt;=20),
    "Within",
    "Breach")</f>
        <v>Breach</v>
      </c>
      <c r="M773" s="1">
        <v>3.2175925925925926E-3</v>
      </c>
      <c r="N773">
        <v>2</v>
      </c>
    </row>
    <row r="774" spans="1:14" x14ac:dyDescent="0.3">
      <c r="A774" t="s">
        <v>811</v>
      </c>
      <c r="B774" t="s">
        <v>38</v>
      </c>
      <c r="C774" t="s">
        <v>797</v>
      </c>
      <c r="D774" s="1">
        <v>0.48099537037037038</v>
      </c>
      <c r="E774" s="2">
        <f>CallLog[[#This Row],[Date]]+CallLog[[#This Row],[Time]]</f>
        <v>44210.480995370373</v>
      </c>
      <c r="F774" s="1" t="str">
        <f>TEXT(CallLog[[#This Row],[Date]],"dddd")</f>
        <v>Thursday</v>
      </c>
      <c r="G774" s="3">
        <f>HOUR(CallLog[[#This Row],[Time]])</f>
        <v>11</v>
      </c>
      <c r="H774" t="s">
        <v>17</v>
      </c>
      <c r="I774" t="s">
        <v>14</v>
      </c>
      <c r="J774" t="s">
        <v>14</v>
      </c>
      <c r="K774">
        <v>85</v>
      </c>
      <c r="L774" t="str">
        <f>IF(AND(CallLog[[#This Row],[Answered (Y/N)]]="Y", CallLog[[#This Row],[Speed of answer in seconds]]&lt;=20),
    "Within",
    "Breach")</f>
        <v>Breach</v>
      </c>
      <c r="M774" s="1">
        <v>1.4351851851851852E-3</v>
      </c>
      <c r="N774">
        <v>4</v>
      </c>
    </row>
    <row r="775" spans="1:14" x14ac:dyDescent="0.3">
      <c r="A775" t="s">
        <v>812</v>
      </c>
      <c r="B775" t="s">
        <v>34</v>
      </c>
      <c r="C775" t="s">
        <v>797</v>
      </c>
      <c r="D775" s="1">
        <v>0.48099537037037038</v>
      </c>
      <c r="E775" s="2">
        <f>CallLog[[#This Row],[Date]]+CallLog[[#This Row],[Time]]</f>
        <v>44210.480995370373</v>
      </c>
      <c r="F775" s="1" t="str">
        <f>TEXT(CallLog[[#This Row],[Date]],"dddd")</f>
        <v>Thursday</v>
      </c>
      <c r="G775" s="3">
        <f>HOUR(CallLog[[#This Row],[Time]])</f>
        <v>11</v>
      </c>
      <c r="H775" t="s">
        <v>32</v>
      </c>
      <c r="I775" t="s">
        <v>14</v>
      </c>
      <c r="J775" t="s">
        <v>14</v>
      </c>
      <c r="K775">
        <v>18</v>
      </c>
      <c r="L775" t="str">
        <f>IF(AND(CallLog[[#This Row],[Answered (Y/N)]]="Y", CallLog[[#This Row],[Speed of answer in seconds]]&lt;=20),
    "Within",
    "Breach")</f>
        <v>Within</v>
      </c>
      <c r="M775" s="1">
        <v>3.2175925925925926E-3</v>
      </c>
      <c r="N775">
        <v>5</v>
      </c>
    </row>
    <row r="776" spans="1:14" x14ac:dyDescent="0.3">
      <c r="A776" t="s">
        <v>813</v>
      </c>
      <c r="B776" t="s">
        <v>20</v>
      </c>
      <c r="C776" t="s">
        <v>797</v>
      </c>
      <c r="D776" s="1">
        <v>0.48299768518518521</v>
      </c>
      <c r="E776" s="2">
        <f>CallLog[[#This Row],[Date]]+CallLog[[#This Row],[Time]]</f>
        <v>44210.482997685183</v>
      </c>
      <c r="F776" s="1" t="str">
        <f>TEXT(CallLog[[#This Row],[Date]],"dddd")</f>
        <v>Thursday</v>
      </c>
      <c r="G776" s="3">
        <f>HOUR(CallLog[[#This Row],[Time]])</f>
        <v>11</v>
      </c>
      <c r="H776" t="s">
        <v>24</v>
      </c>
      <c r="I776" t="s">
        <v>14</v>
      </c>
      <c r="J776" t="s">
        <v>14</v>
      </c>
      <c r="K776">
        <v>17</v>
      </c>
      <c r="L776" t="str">
        <f>IF(AND(CallLog[[#This Row],[Answered (Y/N)]]="Y", CallLog[[#This Row],[Speed of answer in seconds]]&lt;=20),
    "Within",
    "Breach")</f>
        <v>Within</v>
      </c>
      <c r="M776" s="1">
        <v>2.9282407407407408E-3</v>
      </c>
      <c r="N776">
        <v>4</v>
      </c>
    </row>
    <row r="777" spans="1:14" x14ac:dyDescent="0.3">
      <c r="A777" t="s">
        <v>814</v>
      </c>
      <c r="B777" t="s">
        <v>34</v>
      </c>
      <c r="C777" t="s">
        <v>797</v>
      </c>
      <c r="D777" s="1">
        <v>0.48299768518518521</v>
      </c>
      <c r="E777" s="2">
        <f>CallLog[[#This Row],[Date]]+CallLog[[#This Row],[Time]]</f>
        <v>44210.482997685183</v>
      </c>
      <c r="F777" s="1" t="str">
        <f>TEXT(CallLog[[#This Row],[Date]],"dddd")</f>
        <v>Thursday</v>
      </c>
      <c r="G777" s="3">
        <f>HOUR(CallLog[[#This Row],[Time]])</f>
        <v>11</v>
      </c>
      <c r="H777" t="s">
        <v>17</v>
      </c>
      <c r="I777" t="s">
        <v>14</v>
      </c>
      <c r="J777" t="s">
        <v>14</v>
      </c>
      <c r="K777">
        <v>102</v>
      </c>
      <c r="L777" t="str">
        <f>IF(AND(CallLog[[#This Row],[Answered (Y/N)]]="Y", CallLog[[#This Row],[Speed of answer in seconds]]&lt;=20),
    "Within",
    "Breach")</f>
        <v>Breach</v>
      </c>
      <c r="M777" s="1">
        <v>2.0601851851851853E-3</v>
      </c>
      <c r="N777">
        <v>4</v>
      </c>
    </row>
    <row r="778" spans="1:14" x14ac:dyDescent="0.3">
      <c r="A778" t="s">
        <v>815</v>
      </c>
      <c r="B778" t="s">
        <v>31</v>
      </c>
      <c r="C778" t="s">
        <v>797</v>
      </c>
      <c r="D778" s="1">
        <v>0.50099537037037034</v>
      </c>
      <c r="E778" s="2">
        <f>CallLog[[#This Row],[Date]]+CallLog[[#This Row],[Time]]</f>
        <v>44210.50099537037</v>
      </c>
      <c r="F778" s="1" t="str">
        <f>TEXT(CallLog[[#This Row],[Date]],"dddd")</f>
        <v>Thursday</v>
      </c>
      <c r="G778" s="3">
        <f>HOUR(CallLog[[#This Row],[Time]])</f>
        <v>12</v>
      </c>
      <c r="H778" t="s">
        <v>17</v>
      </c>
      <c r="I778" t="s">
        <v>14</v>
      </c>
      <c r="J778" t="s">
        <v>14</v>
      </c>
      <c r="K778">
        <v>26</v>
      </c>
      <c r="L778" t="str">
        <f>IF(AND(CallLog[[#This Row],[Answered (Y/N)]]="Y", CallLog[[#This Row],[Speed of answer in seconds]]&lt;=20),
    "Within",
    "Breach")</f>
        <v>Breach</v>
      </c>
      <c r="M778" s="1">
        <v>4.6412037037037038E-3</v>
      </c>
      <c r="N778">
        <v>1</v>
      </c>
    </row>
    <row r="779" spans="1:14" x14ac:dyDescent="0.3">
      <c r="A779" t="s">
        <v>816</v>
      </c>
      <c r="B779" t="s">
        <v>34</v>
      </c>
      <c r="C779" t="s">
        <v>797</v>
      </c>
      <c r="D779" s="1">
        <v>0.50099537037037034</v>
      </c>
      <c r="E779" s="2">
        <f>CallLog[[#This Row],[Date]]+CallLog[[#This Row],[Time]]</f>
        <v>44210.50099537037</v>
      </c>
      <c r="F779" s="1" t="str">
        <f>TEXT(CallLog[[#This Row],[Date]],"dddd")</f>
        <v>Thursday</v>
      </c>
      <c r="G779" s="3">
        <f>HOUR(CallLog[[#This Row],[Time]])</f>
        <v>12</v>
      </c>
      <c r="H779" t="s">
        <v>24</v>
      </c>
      <c r="I779" t="s">
        <v>14</v>
      </c>
      <c r="J779" t="s">
        <v>14</v>
      </c>
      <c r="K779">
        <v>107</v>
      </c>
      <c r="L779" t="str">
        <f>IF(AND(CallLog[[#This Row],[Answered (Y/N)]]="Y", CallLog[[#This Row],[Speed of answer in seconds]]&lt;=20),
    "Within",
    "Breach")</f>
        <v>Breach</v>
      </c>
      <c r="M779" s="1">
        <v>4.4212962962962964E-3</v>
      </c>
      <c r="N779">
        <v>3</v>
      </c>
    </row>
    <row r="780" spans="1:14" x14ac:dyDescent="0.3">
      <c r="A780" t="s">
        <v>817</v>
      </c>
      <c r="B780" t="s">
        <v>22</v>
      </c>
      <c r="C780" t="s">
        <v>797</v>
      </c>
      <c r="D780" s="1">
        <v>0.50400462962962966</v>
      </c>
      <c r="E780" s="2">
        <f>CallLog[[#This Row],[Date]]+CallLog[[#This Row],[Time]]</f>
        <v>44210.504004629627</v>
      </c>
      <c r="F780" s="1" t="str">
        <f>TEXT(CallLog[[#This Row],[Date]],"dddd")</f>
        <v>Thursday</v>
      </c>
      <c r="G780" s="3">
        <f>HOUR(CallLog[[#This Row],[Time]])</f>
        <v>12</v>
      </c>
      <c r="H780" t="s">
        <v>17</v>
      </c>
      <c r="I780" t="s">
        <v>18</v>
      </c>
      <c r="J780" t="s">
        <v>18</v>
      </c>
      <c r="L780" t="str">
        <f>IF(AND(CallLog[[#This Row],[Answered (Y/N)]]="Y", CallLog[[#This Row],[Speed of answer in seconds]]&lt;=20),
    "Within",
    "Breach")</f>
        <v>Breach</v>
      </c>
    </row>
    <row r="781" spans="1:14" x14ac:dyDescent="0.3">
      <c r="A781" t="s">
        <v>818</v>
      </c>
      <c r="B781" t="s">
        <v>22</v>
      </c>
      <c r="C781" t="s">
        <v>797</v>
      </c>
      <c r="D781" s="1">
        <v>0.50400462962962966</v>
      </c>
      <c r="E781" s="2">
        <f>CallLog[[#This Row],[Date]]+CallLog[[#This Row],[Time]]</f>
        <v>44210.504004629627</v>
      </c>
      <c r="F781" s="1" t="str">
        <f>TEXT(CallLog[[#This Row],[Date]],"dddd")</f>
        <v>Thursday</v>
      </c>
      <c r="G781" s="3">
        <f>HOUR(CallLog[[#This Row],[Time]])</f>
        <v>12</v>
      </c>
      <c r="H781" t="s">
        <v>32</v>
      </c>
      <c r="I781" t="s">
        <v>14</v>
      </c>
      <c r="J781" t="s">
        <v>14</v>
      </c>
      <c r="K781">
        <v>35</v>
      </c>
      <c r="L781" t="str">
        <f>IF(AND(CallLog[[#This Row],[Answered (Y/N)]]="Y", CallLog[[#This Row],[Speed of answer in seconds]]&lt;=20),
    "Within",
    "Breach")</f>
        <v>Breach</v>
      </c>
      <c r="M781" s="1">
        <v>3.0555555555555557E-3</v>
      </c>
      <c r="N781">
        <v>5</v>
      </c>
    </row>
    <row r="782" spans="1:14" x14ac:dyDescent="0.3">
      <c r="A782" t="s">
        <v>819</v>
      </c>
      <c r="B782" t="s">
        <v>34</v>
      </c>
      <c r="C782" t="s">
        <v>797</v>
      </c>
      <c r="D782" s="1">
        <v>0.50799768518518518</v>
      </c>
      <c r="E782" s="2">
        <f>CallLog[[#This Row],[Date]]+CallLog[[#This Row],[Time]]</f>
        <v>44210.507997685185</v>
      </c>
      <c r="F782" s="1" t="str">
        <f>TEXT(CallLog[[#This Row],[Date]],"dddd")</f>
        <v>Thursday</v>
      </c>
      <c r="G782" s="3">
        <f>HOUR(CallLog[[#This Row],[Time]])</f>
        <v>12</v>
      </c>
      <c r="H782" t="s">
        <v>17</v>
      </c>
      <c r="I782" t="s">
        <v>14</v>
      </c>
      <c r="J782" t="s">
        <v>14</v>
      </c>
      <c r="K782">
        <v>100</v>
      </c>
      <c r="L782" t="str">
        <f>IF(AND(CallLog[[#This Row],[Answered (Y/N)]]="Y", CallLog[[#This Row],[Speed of answer in seconds]]&lt;=20),
    "Within",
    "Breach")</f>
        <v>Breach</v>
      </c>
      <c r="M782" s="1">
        <v>3.7499999999999999E-3</v>
      </c>
      <c r="N782">
        <v>2</v>
      </c>
    </row>
    <row r="783" spans="1:14" x14ac:dyDescent="0.3">
      <c r="A783" t="s">
        <v>820</v>
      </c>
      <c r="B783" t="s">
        <v>11</v>
      </c>
      <c r="C783" t="s">
        <v>797</v>
      </c>
      <c r="D783" s="1">
        <v>0.50799768518518518</v>
      </c>
      <c r="E783" s="2">
        <f>CallLog[[#This Row],[Date]]+CallLog[[#This Row],[Time]]</f>
        <v>44210.507997685185</v>
      </c>
      <c r="F783" s="1" t="str">
        <f>TEXT(CallLog[[#This Row],[Date]],"dddd")</f>
        <v>Thursday</v>
      </c>
      <c r="G783" s="3">
        <f>HOUR(CallLog[[#This Row],[Time]])</f>
        <v>12</v>
      </c>
      <c r="H783" t="s">
        <v>29</v>
      </c>
      <c r="I783" t="s">
        <v>14</v>
      </c>
      <c r="J783" t="s">
        <v>14</v>
      </c>
      <c r="K783">
        <v>12</v>
      </c>
      <c r="L783" t="str">
        <f>IF(AND(CallLog[[#This Row],[Answered (Y/N)]]="Y", CallLog[[#This Row],[Speed of answer in seconds]]&lt;=20),
    "Within",
    "Breach")</f>
        <v>Within</v>
      </c>
      <c r="M783" s="1">
        <v>4.386574074074074E-3</v>
      </c>
      <c r="N783">
        <v>4</v>
      </c>
    </row>
    <row r="784" spans="1:14" x14ac:dyDescent="0.3">
      <c r="A784" t="s">
        <v>821</v>
      </c>
      <c r="B784" t="s">
        <v>31</v>
      </c>
      <c r="C784" t="s">
        <v>797</v>
      </c>
      <c r="D784" s="1">
        <v>0.52299768518518519</v>
      </c>
      <c r="E784" s="2">
        <f>CallLog[[#This Row],[Date]]+CallLog[[#This Row],[Time]]</f>
        <v>44210.522997685184</v>
      </c>
      <c r="F784" s="1" t="str">
        <f>TEXT(CallLog[[#This Row],[Date]],"dddd")</f>
        <v>Thursday</v>
      </c>
      <c r="G784" s="3">
        <f>HOUR(CallLog[[#This Row],[Time]])</f>
        <v>12</v>
      </c>
      <c r="H784" t="s">
        <v>24</v>
      </c>
      <c r="I784" t="s">
        <v>14</v>
      </c>
      <c r="J784" t="s">
        <v>14</v>
      </c>
      <c r="K784">
        <v>43</v>
      </c>
      <c r="L784" t="str">
        <f>IF(AND(CallLog[[#This Row],[Answered (Y/N)]]="Y", CallLog[[#This Row],[Speed of answer in seconds]]&lt;=20),
    "Within",
    "Breach")</f>
        <v>Breach</v>
      </c>
      <c r="M784" s="1">
        <v>2.7083333333333334E-3</v>
      </c>
      <c r="N784">
        <v>4</v>
      </c>
    </row>
    <row r="785" spans="1:14" x14ac:dyDescent="0.3">
      <c r="A785" t="s">
        <v>822</v>
      </c>
      <c r="B785" t="s">
        <v>16</v>
      </c>
      <c r="C785" t="s">
        <v>797</v>
      </c>
      <c r="D785" s="1">
        <v>0.52299768518518519</v>
      </c>
      <c r="E785" s="2">
        <f>CallLog[[#This Row],[Date]]+CallLog[[#This Row],[Time]]</f>
        <v>44210.522997685184</v>
      </c>
      <c r="F785" s="1" t="str">
        <f>TEXT(CallLog[[#This Row],[Date]],"dddd")</f>
        <v>Thursday</v>
      </c>
      <c r="G785" s="3">
        <f>HOUR(CallLog[[#This Row],[Time]])</f>
        <v>12</v>
      </c>
      <c r="H785" t="s">
        <v>24</v>
      </c>
      <c r="I785" t="s">
        <v>14</v>
      </c>
      <c r="J785" t="s">
        <v>14</v>
      </c>
      <c r="K785">
        <v>68</v>
      </c>
      <c r="L785" t="str">
        <f>IF(AND(CallLog[[#This Row],[Answered (Y/N)]]="Y", CallLog[[#This Row],[Speed of answer in seconds]]&lt;=20),
    "Within",
    "Breach")</f>
        <v>Breach</v>
      </c>
      <c r="M785" s="1">
        <v>1.261574074074074E-3</v>
      </c>
      <c r="N785">
        <v>4</v>
      </c>
    </row>
    <row r="786" spans="1:14" x14ac:dyDescent="0.3">
      <c r="A786" t="s">
        <v>823</v>
      </c>
      <c r="B786" t="s">
        <v>34</v>
      </c>
      <c r="C786" t="s">
        <v>797</v>
      </c>
      <c r="D786" s="1">
        <v>0.53</v>
      </c>
      <c r="E786" s="2">
        <f>CallLog[[#This Row],[Date]]+CallLog[[#This Row],[Time]]</f>
        <v>44210.53</v>
      </c>
      <c r="F786" s="1" t="str">
        <f>TEXT(CallLog[[#This Row],[Date]],"dddd")</f>
        <v>Thursday</v>
      </c>
      <c r="G786" s="3">
        <f>HOUR(CallLog[[#This Row],[Time]])</f>
        <v>12</v>
      </c>
      <c r="H786" t="s">
        <v>32</v>
      </c>
      <c r="I786" t="s">
        <v>14</v>
      </c>
      <c r="J786" t="s">
        <v>14</v>
      </c>
      <c r="K786">
        <v>81</v>
      </c>
      <c r="L786" t="str">
        <f>IF(AND(CallLog[[#This Row],[Answered (Y/N)]]="Y", CallLog[[#This Row],[Speed of answer in seconds]]&lt;=20),
    "Within",
    "Breach")</f>
        <v>Breach</v>
      </c>
      <c r="M786" s="1">
        <v>1.3310185185185185E-3</v>
      </c>
      <c r="N786">
        <v>3</v>
      </c>
    </row>
    <row r="787" spans="1:14" x14ac:dyDescent="0.3">
      <c r="A787" t="s">
        <v>824</v>
      </c>
      <c r="B787" t="s">
        <v>38</v>
      </c>
      <c r="C787" t="s">
        <v>797</v>
      </c>
      <c r="D787" s="1">
        <v>0.53</v>
      </c>
      <c r="E787" s="2">
        <f>CallLog[[#This Row],[Date]]+CallLog[[#This Row],[Time]]</f>
        <v>44210.53</v>
      </c>
      <c r="F787" s="1" t="str">
        <f>TEXT(CallLog[[#This Row],[Date]],"dddd")</f>
        <v>Thursday</v>
      </c>
      <c r="G787" s="3">
        <f>HOUR(CallLog[[#This Row],[Time]])</f>
        <v>12</v>
      </c>
      <c r="H787" t="s">
        <v>13</v>
      </c>
      <c r="I787" t="s">
        <v>14</v>
      </c>
      <c r="J787" t="s">
        <v>18</v>
      </c>
      <c r="K787">
        <v>49</v>
      </c>
      <c r="L787" t="str">
        <f>IF(AND(CallLog[[#This Row],[Answered (Y/N)]]="Y", CallLog[[#This Row],[Speed of answer in seconds]]&lt;=20),
    "Within",
    "Breach")</f>
        <v>Breach</v>
      </c>
      <c r="M787" s="1">
        <v>4.409722222222222E-3</v>
      </c>
      <c r="N787">
        <v>5</v>
      </c>
    </row>
    <row r="788" spans="1:14" x14ac:dyDescent="0.3">
      <c r="A788" t="s">
        <v>825</v>
      </c>
      <c r="B788" t="s">
        <v>47</v>
      </c>
      <c r="C788" t="s">
        <v>797</v>
      </c>
      <c r="D788" s="1">
        <v>0.54299768518518521</v>
      </c>
      <c r="E788" s="2">
        <f>CallLog[[#This Row],[Date]]+CallLog[[#This Row],[Time]]</f>
        <v>44210.542997685188</v>
      </c>
      <c r="F788" s="1" t="str">
        <f>TEXT(CallLog[[#This Row],[Date]],"dddd")</f>
        <v>Thursday</v>
      </c>
      <c r="G788" s="3">
        <f>HOUR(CallLog[[#This Row],[Time]])</f>
        <v>13</v>
      </c>
      <c r="H788" t="s">
        <v>17</v>
      </c>
      <c r="I788" t="s">
        <v>14</v>
      </c>
      <c r="J788" t="s">
        <v>14</v>
      </c>
      <c r="K788">
        <v>101</v>
      </c>
      <c r="L788" t="str">
        <f>IF(AND(CallLog[[#This Row],[Answered (Y/N)]]="Y", CallLog[[#This Row],[Speed of answer in seconds]]&lt;=20),
    "Within",
    "Breach")</f>
        <v>Breach</v>
      </c>
      <c r="M788" s="1">
        <v>4.2824074074074075E-3</v>
      </c>
      <c r="N788">
        <v>3</v>
      </c>
    </row>
    <row r="789" spans="1:14" x14ac:dyDescent="0.3">
      <c r="A789" t="s">
        <v>826</v>
      </c>
      <c r="B789" t="s">
        <v>34</v>
      </c>
      <c r="C789" t="s">
        <v>797</v>
      </c>
      <c r="D789" s="1">
        <v>0.54299768518518521</v>
      </c>
      <c r="E789" s="2">
        <f>CallLog[[#This Row],[Date]]+CallLog[[#This Row],[Time]]</f>
        <v>44210.542997685188</v>
      </c>
      <c r="F789" s="1" t="str">
        <f>TEXT(CallLog[[#This Row],[Date]],"dddd")</f>
        <v>Thursday</v>
      </c>
      <c r="G789" s="3">
        <f>HOUR(CallLog[[#This Row],[Time]])</f>
        <v>13</v>
      </c>
      <c r="H789" t="s">
        <v>13</v>
      </c>
      <c r="I789" t="s">
        <v>14</v>
      </c>
      <c r="J789" t="s">
        <v>14</v>
      </c>
      <c r="K789">
        <v>72</v>
      </c>
      <c r="L789" t="str">
        <f>IF(AND(CallLog[[#This Row],[Answered (Y/N)]]="Y", CallLog[[#This Row],[Speed of answer in seconds]]&lt;=20),
    "Within",
    "Breach")</f>
        <v>Breach</v>
      </c>
      <c r="M789" s="1">
        <v>4.1435185185185186E-3</v>
      </c>
      <c r="N789">
        <v>3</v>
      </c>
    </row>
    <row r="790" spans="1:14" x14ac:dyDescent="0.3">
      <c r="A790" t="s">
        <v>827</v>
      </c>
      <c r="B790" t="s">
        <v>38</v>
      </c>
      <c r="C790" t="s">
        <v>797</v>
      </c>
      <c r="D790" s="1">
        <v>0.56299768518518523</v>
      </c>
      <c r="E790" s="2">
        <f>CallLog[[#This Row],[Date]]+CallLog[[#This Row],[Time]]</f>
        <v>44210.562997685185</v>
      </c>
      <c r="F790" s="1" t="str">
        <f>TEXT(CallLog[[#This Row],[Date]],"dddd")</f>
        <v>Thursday</v>
      </c>
      <c r="G790" s="3">
        <f>HOUR(CallLog[[#This Row],[Time]])</f>
        <v>13</v>
      </c>
      <c r="H790" t="s">
        <v>17</v>
      </c>
      <c r="I790" t="s">
        <v>14</v>
      </c>
      <c r="J790" t="s">
        <v>14</v>
      </c>
      <c r="K790">
        <v>18</v>
      </c>
      <c r="L790" t="str">
        <f>IF(AND(CallLog[[#This Row],[Answered (Y/N)]]="Y", CallLog[[#This Row],[Speed of answer in seconds]]&lt;=20),
    "Within",
    "Breach")</f>
        <v>Within</v>
      </c>
      <c r="M790" s="1">
        <v>1.2731481481481483E-3</v>
      </c>
      <c r="N790">
        <v>3</v>
      </c>
    </row>
    <row r="791" spans="1:14" x14ac:dyDescent="0.3">
      <c r="A791" t="s">
        <v>828</v>
      </c>
      <c r="B791" t="s">
        <v>11</v>
      </c>
      <c r="C791" t="s">
        <v>797</v>
      </c>
      <c r="D791" s="1">
        <v>0.56299768518518523</v>
      </c>
      <c r="E791" s="2">
        <f>CallLog[[#This Row],[Date]]+CallLog[[#This Row],[Time]]</f>
        <v>44210.562997685185</v>
      </c>
      <c r="F791" s="1" t="str">
        <f>TEXT(CallLog[[#This Row],[Date]],"dddd")</f>
        <v>Thursday</v>
      </c>
      <c r="G791" s="3">
        <f>HOUR(CallLog[[#This Row],[Time]])</f>
        <v>13</v>
      </c>
      <c r="H791" t="s">
        <v>13</v>
      </c>
      <c r="I791" t="s">
        <v>14</v>
      </c>
      <c r="J791" t="s">
        <v>14</v>
      </c>
      <c r="K791">
        <v>86</v>
      </c>
      <c r="L791" t="str">
        <f>IF(AND(CallLog[[#This Row],[Answered (Y/N)]]="Y", CallLog[[#This Row],[Speed of answer in seconds]]&lt;=20),
    "Within",
    "Breach")</f>
        <v>Breach</v>
      </c>
      <c r="M791" s="1">
        <v>3.1597222222222222E-3</v>
      </c>
      <c r="N791">
        <v>5</v>
      </c>
    </row>
    <row r="792" spans="1:14" x14ac:dyDescent="0.3">
      <c r="A792" t="s">
        <v>829</v>
      </c>
      <c r="B792" t="s">
        <v>47</v>
      </c>
      <c r="C792" t="s">
        <v>797</v>
      </c>
      <c r="D792" s="1">
        <v>0.5659953703703704</v>
      </c>
      <c r="E792" s="2">
        <f>CallLog[[#This Row],[Date]]+CallLog[[#This Row],[Time]]</f>
        <v>44210.565995370373</v>
      </c>
      <c r="F792" s="1" t="str">
        <f>TEXT(CallLog[[#This Row],[Date]],"dddd")</f>
        <v>Thursday</v>
      </c>
      <c r="G792" s="3">
        <f>HOUR(CallLog[[#This Row],[Time]])</f>
        <v>13</v>
      </c>
      <c r="H792" t="s">
        <v>29</v>
      </c>
      <c r="I792" t="s">
        <v>14</v>
      </c>
      <c r="J792" t="s">
        <v>14</v>
      </c>
      <c r="K792">
        <v>109</v>
      </c>
      <c r="L792" t="str">
        <f>IF(AND(CallLog[[#This Row],[Answered (Y/N)]]="Y", CallLog[[#This Row],[Speed of answer in seconds]]&lt;=20),
    "Within",
    "Breach")</f>
        <v>Breach</v>
      </c>
      <c r="M792" s="1">
        <v>4.3981481481481481E-4</v>
      </c>
      <c r="N792">
        <v>4</v>
      </c>
    </row>
    <row r="793" spans="1:14" x14ac:dyDescent="0.3">
      <c r="A793" t="s">
        <v>830</v>
      </c>
      <c r="B793" t="s">
        <v>38</v>
      </c>
      <c r="C793" t="s">
        <v>797</v>
      </c>
      <c r="D793" s="1">
        <v>0.5659953703703704</v>
      </c>
      <c r="E793" s="2">
        <f>CallLog[[#This Row],[Date]]+CallLog[[#This Row],[Time]]</f>
        <v>44210.565995370373</v>
      </c>
      <c r="F793" s="1" t="str">
        <f>TEXT(CallLog[[#This Row],[Date]],"dddd")</f>
        <v>Thursday</v>
      </c>
      <c r="G793" s="3">
        <f>HOUR(CallLog[[#This Row],[Time]])</f>
        <v>13</v>
      </c>
      <c r="H793" t="s">
        <v>17</v>
      </c>
      <c r="I793" t="s">
        <v>18</v>
      </c>
      <c r="J793" t="s">
        <v>18</v>
      </c>
      <c r="L793" t="str">
        <f>IF(AND(CallLog[[#This Row],[Answered (Y/N)]]="Y", CallLog[[#This Row],[Speed of answer in seconds]]&lt;=20),
    "Within",
    "Breach")</f>
        <v>Breach</v>
      </c>
    </row>
    <row r="794" spans="1:14" x14ac:dyDescent="0.3">
      <c r="A794" t="s">
        <v>831</v>
      </c>
      <c r="B794" t="s">
        <v>38</v>
      </c>
      <c r="C794" t="s">
        <v>797</v>
      </c>
      <c r="D794" s="1">
        <v>0.59</v>
      </c>
      <c r="E794" s="2">
        <f>CallLog[[#This Row],[Date]]+CallLog[[#This Row],[Time]]</f>
        <v>44210.59</v>
      </c>
      <c r="F794" s="1" t="str">
        <f>TEXT(CallLog[[#This Row],[Date]],"dddd")</f>
        <v>Thursday</v>
      </c>
      <c r="G794" s="3">
        <f>HOUR(CallLog[[#This Row],[Time]])</f>
        <v>14</v>
      </c>
      <c r="H794" t="s">
        <v>29</v>
      </c>
      <c r="I794" t="s">
        <v>14</v>
      </c>
      <c r="J794" t="s">
        <v>14</v>
      </c>
      <c r="K794">
        <v>32</v>
      </c>
      <c r="L794" t="str">
        <f>IF(AND(CallLog[[#This Row],[Answered (Y/N)]]="Y", CallLog[[#This Row],[Speed of answer in seconds]]&lt;=20),
    "Within",
    "Breach")</f>
        <v>Breach</v>
      </c>
      <c r="M794" s="1">
        <v>2.9166666666666668E-3</v>
      </c>
      <c r="N794">
        <v>2</v>
      </c>
    </row>
    <row r="795" spans="1:14" x14ac:dyDescent="0.3">
      <c r="A795" t="s">
        <v>832</v>
      </c>
      <c r="B795" t="s">
        <v>47</v>
      </c>
      <c r="C795" t="s">
        <v>797</v>
      </c>
      <c r="D795" s="1">
        <v>0.59</v>
      </c>
      <c r="E795" s="2">
        <f>CallLog[[#This Row],[Date]]+CallLog[[#This Row],[Time]]</f>
        <v>44210.59</v>
      </c>
      <c r="F795" s="1" t="str">
        <f>TEXT(CallLog[[#This Row],[Date]],"dddd")</f>
        <v>Thursday</v>
      </c>
      <c r="G795" s="3">
        <f>HOUR(CallLog[[#This Row],[Time]])</f>
        <v>14</v>
      </c>
      <c r="H795" t="s">
        <v>13</v>
      </c>
      <c r="I795" t="s">
        <v>14</v>
      </c>
      <c r="J795" t="s">
        <v>14</v>
      </c>
      <c r="K795">
        <v>68</v>
      </c>
      <c r="L795" t="str">
        <f>IF(AND(CallLog[[#This Row],[Answered (Y/N)]]="Y", CallLog[[#This Row],[Speed of answer in seconds]]&lt;=20),
    "Within",
    "Breach")</f>
        <v>Breach</v>
      </c>
      <c r="M795" s="1">
        <v>3.6458333333333334E-3</v>
      </c>
      <c r="N795">
        <v>3</v>
      </c>
    </row>
    <row r="796" spans="1:14" x14ac:dyDescent="0.3">
      <c r="A796" t="s">
        <v>833</v>
      </c>
      <c r="B796" t="s">
        <v>34</v>
      </c>
      <c r="C796" t="s">
        <v>797</v>
      </c>
      <c r="D796" s="1">
        <v>0.61</v>
      </c>
      <c r="E796" s="2">
        <f>CallLog[[#This Row],[Date]]+CallLog[[#This Row],[Time]]</f>
        <v>44210.61</v>
      </c>
      <c r="F796" s="1" t="str">
        <f>TEXT(CallLog[[#This Row],[Date]],"dddd")</f>
        <v>Thursday</v>
      </c>
      <c r="G796" s="3">
        <f>HOUR(CallLog[[#This Row],[Time]])</f>
        <v>14</v>
      </c>
      <c r="H796" t="s">
        <v>17</v>
      </c>
      <c r="I796" t="s">
        <v>14</v>
      </c>
      <c r="J796" t="s">
        <v>14</v>
      </c>
      <c r="K796">
        <v>10</v>
      </c>
      <c r="L796" t="str">
        <f>IF(AND(CallLog[[#This Row],[Answered (Y/N)]]="Y", CallLog[[#This Row],[Speed of answer in seconds]]&lt;=20),
    "Within",
    "Breach")</f>
        <v>Within</v>
      </c>
      <c r="M796" s="1">
        <v>4.8263888888888887E-3</v>
      </c>
      <c r="N796">
        <v>4</v>
      </c>
    </row>
    <row r="797" spans="1:14" x14ac:dyDescent="0.3">
      <c r="A797" t="s">
        <v>834</v>
      </c>
      <c r="B797" t="s">
        <v>31</v>
      </c>
      <c r="C797" t="s">
        <v>797</v>
      </c>
      <c r="D797" s="1">
        <v>0.61</v>
      </c>
      <c r="E797" s="2">
        <f>CallLog[[#This Row],[Date]]+CallLog[[#This Row],[Time]]</f>
        <v>44210.61</v>
      </c>
      <c r="F797" s="1" t="str">
        <f>TEXT(CallLog[[#This Row],[Date]],"dddd")</f>
        <v>Thursday</v>
      </c>
      <c r="G797" s="3">
        <f>HOUR(CallLog[[#This Row],[Time]])</f>
        <v>14</v>
      </c>
      <c r="H797" t="s">
        <v>24</v>
      </c>
      <c r="I797" t="s">
        <v>14</v>
      </c>
      <c r="J797" t="s">
        <v>14</v>
      </c>
      <c r="K797">
        <v>76</v>
      </c>
      <c r="L797" t="str">
        <f>IF(AND(CallLog[[#This Row],[Answered (Y/N)]]="Y", CallLog[[#This Row],[Speed of answer in seconds]]&lt;=20),
    "Within",
    "Breach")</f>
        <v>Breach</v>
      </c>
      <c r="M797" s="1">
        <v>3.3217592592592591E-3</v>
      </c>
      <c r="N797">
        <v>5</v>
      </c>
    </row>
    <row r="798" spans="1:14" x14ac:dyDescent="0.3">
      <c r="A798" t="s">
        <v>835</v>
      </c>
      <c r="B798" t="s">
        <v>47</v>
      </c>
      <c r="C798" t="s">
        <v>797</v>
      </c>
      <c r="D798" s="1">
        <v>0.62299768518518517</v>
      </c>
      <c r="E798" s="2">
        <f>CallLog[[#This Row],[Date]]+CallLog[[#This Row],[Time]]</f>
        <v>44210.622997685183</v>
      </c>
      <c r="F798" s="1" t="str">
        <f>TEXT(CallLog[[#This Row],[Date]],"dddd")</f>
        <v>Thursday</v>
      </c>
      <c r="G798" s="3">
        <f>HOUR(CallLog[[#This Row],[Time]])</f>
        <v>14</v>
      </c>
      <c r="H798" t="s">
        <v>24</v>
      </c>
      <c r="I798" t="s">
        <v>14</v>
      </c>
      <c r="J798" t="s">
        <v>14</v>
      </c>
      <c r="K798">
        <v>124</v>
      </c>
      <c r="L798" t="str">
        <f>IF(AND(CallLog[[#This Row],[Answered (Y/N)]]="Y", CallLog[[#This Row],[Speed of answer in seconds]]&lt;=20),
    "Within",
    "Breach")</f>
        <v>Breach</v>
      </c>
      <c r="M798" s="1">
        <v>4.5486111111111109E-3</v>
      </c>
      <c r="N798">
        <v>3</v>
      </c>
    </row>
    <row r="799" spans="1:14" x14ac:dyDescent="0.3">
      <c r="A799" t="s">
        <v>836</v>
      </c>
      <c r="B799" t="s">
        <v>16</v>
      </c>
      <c r="C799" t="s">
        <v>797</v>
      </c>
      <c r="D799" s="1">
        <v>0.62299768518518517</v>
      </c>
      <c r="E799" s="2">
        <f>CallLog[[#This Row],[Date]]+CallLog[[#This Row],[Time]]</f>
        <v>44210.622997685183</v>
      </c>
      <c r="F799" s="1" t="str">
        <f>TEXT(CallLog[[#This Row],[Date]],"dddd")</f>
        <v>Thursday</v>
      </c>
      <c r="G799" s="3">
        <f>HOUR(CallLog[[#This Row],[Time]])</f>
        <v>14</v>
      </c>
      <c r="H799" t="s">
        <v>17</v>
      </c>
      <c r="I799" t="s">
        <v>14</v>
      </c>
      <c r="J799" t="s">
        <v>14</v>
      </c>
      <c r="K799">
        <v>28</v>
      </c>
      <c r="L799" t="str">
        <f>IF(AND(CallLog[[#This Row],[Answered (Y/N)]]="Y", CallLog[[#This Row],[Speed of answer in seconds]]&lt;=20),
    "Within",
    "Breach")</f>
        <v>Breach</v>
      </c>
      <c r="M799" s="1">
        <v>2.9166666666666668E-3</v>
      </c>
      <c r="N799">
        <v>3</v>
      </c>
    </row>
    <row r="800" spans="1:14" x14ac:dyDescent="0.3">
      <c r="A800" t="s">
        <v>837</v>
      </c>
      <c r="B800" t="s">
        <v>16</v>
      </c>
      <c r="C800" t="s">
        <v>797</v>
      </c>
      <c r="D800" s="1">
        <v>0.63900462962962967</v>
      </c>
      <c r="E800" s="2">
        <f>CallLog[[#This Row],[Date]]+CallLog[[#This Row],[Time]]</f>
        <v>44210.639004629629</v>
      </c>
      <c r="F800" s="1" t="str">
        <f>TEXT(CallLog[[#This Row],[Date]],"dddd")</f>
        <v>Thursday</v>
      </c>
      <c r="G800" s="3">
        <f>HOUR(CallLog[[#This Row],[Time]])</f>
        <v>15</v>
      </c>
      <c r="H800" t="s">
        <v>32</v>
      </c>
      <c r="I800" t="s">
        <v>14</v>
      </c>
      <c r="J800" t="s">
        <v>14</v>
      </c>
      <c r="K800">
        <v>107</v>
      </c>
      <c r="L800" t="str">
        <f>IF(AND(CallLog[[#This Row],[Answered (Y/N)]]="Y", CallLog[[#This Row],[Speed of answer in seconds]]&lt;=20),
    "Within",
    "Breach")</f>
        <v>Breach</v>
      </c>
      <c r="M800" s="1">
        <v>1.1458333333333333E-3</v>
      </c>
      <c r="N800">
        <v>4</v>
      </c>
    </row>
    <row r="801" spans="1:14" x14ac:dyDescent="0.3">
      <c r="A801" t="s">
        <v>838</v>
      </c>
      <c r="B801" t="s">
        <v>38</v>
      </c>
      <c r="C801" t="s">
        <v>797</v>
      </c>
      <c r="D801" s="1">
        <v>0.63900462962962967</v>
      </c>
      <c r="E801" s="2">
        <f>CallLog[[#This Row],[Date]]+CallLog[[#This Row],[Time]]</f>
        <v>44210.639004629629</v>
      </c>
      <c r="F801" s="1" t="str">
        <f>TEXT(CallLog[[#This Row],[Date]],"dddd")</f>
        <v>Thursday</v>
      </c>
      <c r="G801" s="3">
        <f>HOUR(CallLog[[#This Row],[Time]])</f>
        <v>15</v>
      </c>
      <c r="H801" t="s">
        <v>29</v>
      </c>
      <c r="I801" t="s">
        <v>18</v>
      </c>
      <c r="J801" t="s">
        <v>18</v>
      </c>
      <c r="L801" t="str">
        <f>IF(AND(CallLog[[#This Row],[Answered (Y/N)]]="Y", CallLog[[#This Row],[Speed of answer in seconds]]&lt;=20),
    "Within",
    "Breach")</f>
        <v>Breach</v>
      </c>
    </row>
    <row r="802" spans="1:14" x14ac:dyDescent="0.3">
      <c r="A802" t="s">
        <v>839</v>
      </c>
      <c r="B802" t="s">
        <v>11</v>
      </c>
      <c r="C802" t="s">
        <v>797</v>
      </c>
      <c r="D802" s="1">
        <v>0.66099537037037037</v>
      </c>
      <c r="E802" s="2">
        <f>CallLog[[#This Row],[Date]]+CallLog[[#This Row],[Time]]</f>
        <v>44210.660995370374</v>
      </c>
      <c r="F802" s="1" t="str">
        <f>TEXT(CallLog[[#This Row],[Date]],"dddd")</f>
        <v>Thursday</v>
      </c>
      <c r="G802" s="3">
        <f>HOUR(CallLog[[#This Row],[Time]])</f>
        <v>15</v>
      </c>
      <c r="H802" t="s">
        <v>32</v>
      </c>
      <c r="I802" t="s">
        <v>18</v>
      </c>
      <c r="J802" t="s">
        <v>18</v>
      </c>
      <c r="L802" t="str">
        <f>IF(AND(CallLog[[#This Row],[Answered (Y/N)]]="Y", CallLog[[#This Row],[Speed of answer in seconds]]&lt;=20),
    "Within",
    "Breach")</f>
        <v>Breach</v>
      </c>
    </row>
    <row r="803" spans="1:14" x14ac:dyDescent="0.3">
      <c r="A803" t="s">
        <v>840</v>
      </c>
      <c r="B803" t="s">
        <v>38</v>
      </c>
      <c r="C803" t="s">
        <v>797</v>
      </c>
      <c r="D803" s="1">
        <v>0.66099537037037037</v>
      </c>
      <c r="E803" s="2">
        <f>CallLog[[#This Row],[Date]]+CallLog[[#This Row],[Time]]</f>
        <v>44210.660995370374</v>
      </c>
      <c r="F803" s="1" t="str">
        <f>TEXT(CallLog[[#This Row],[Date]],"dddd")</f>
        <v>Thursday</v>
      </c>
      <c r="G803" s="3">
        <f>HOUR(CallLog[[#This Row],[Time]])</f>
        <v>15</v>
      </c>
      <c r="H803" t="s">
        <v>29</v>
      </c>
      <c r="I803" t="s">
        <v>18</v>
      </c>
      <c r="J803" t="s">
        <v>18</v>
      </c>
      <c r="L803" t="str">
        <f>IF(AND(CallLog[[#This Row],[Answered (Y/N)]]="Y", CallLog[[#This Row],[Speed of answer in seconds]]&lt;=20),
    "Within",
    "Breach")</f>
        <v>Breach</v>
      </c>
    </row>
    <row r="804" spans="1:14" x14ac:dyDescent="0.3">
      <c r="A804" t="s">
        <v>841</v>
      </c>
      <c r="B804" t="s">
        <v>20</v>
      </c>
      <c r="C804" t="s">
        <v>797</v>
      </c>
      <c r="D804" s="1">
        <v>0.6629976851851852</v>
      </c>
      <c r="E804" s="2">
        <f>CallLog[[#This Row],[Date]]+CallLog[[#This Row],[Time]]</f>
        <v>44210.662997685184</v>
      </c>
      <c r="F804" s="1" t="str">
        <f>TEXT(CallLog[[#This Row],[Date]],"dddd")</f>
        <v>Thursday</v>
      </c>
      <c r="G804" s="3">
        <f>HOUR(CallLog[[#This Row],[Time]])</f>
        <v>15</v>
      </c>
      <c r="H804" t="s">
        <v>32</v>
      </c>
      <c r="I804" t="s">
        <v>18</v>
      </c>
      <c r="J804" t="s">
        <v>18</v>
      </c>
      <c r="L804" t="str">
        <f>IF(AND(CallLog[[#This Row],[Answered (Y/N)]]="Y", CallLog[[#This Row],[Speed of answer in seconds]]&lt;=20),
    "Within",
    "Breach")</f>
        <v>Breach</v>
      </c>
    </row>
    <row r="805" spans="1:14" x14ac:dyDescent="0.3">
      <c r="A805" t="s">
        <v>842</v>
      </c>
      <c r="B805" t="s">
        <v>34</v>
      </c>
      <c r="C805" t="s">
        <v>797</v>
      </c>
      <c r="D805" s="1">
        <v>0.6629976851851852</v>
      </c>
      <c r="E805" s="2">
        <f>CallLog[[#This Row],[Date]]+CallLog[[#This Row],[Time]]</f>
        <v>44210.662997685184</v>
      </c>
      <c r="F805" s="1" t="str">
        <f>TEXT(CallLog[[#This Row],[Date]],"dddd")</f>
        <v>Thursday</v>
      </c>
      <c r="G805" s="3">
        <f>HOUR(CallLog[[#This Row],[Time]])</f>
        <v>15</v>
      </c>
      <c r="H805" t="s">
        <v>17</v>
      </c>
      <c r="I805" t="s">
        <v>18</v>
      </c>
      <c r="J805" t="s">
        <v>18</v>
      </c>
      <c r="L805" t="str">
        <f>IF(AND(CallLog[[#This Row],[Answered (Y/N)]]="Y", CallLog[[#This Row],[Speed of answer in seconds]]&lt;=20),
    "Within",
    "Breach")</f>
        <v>Breach</v>
      </c>
    </row>
    <row r="806" spans="1:14" x14ac:dyDescent="0.3">
      <c r="A806" t="s">
        <v>843</v>
      </c>
      <c r="B806" t="s">
        <v>11</v>
      </c>
      <c r="C806" t="s">
        <v>797</v>
      </c>
      <c r="D806" s="1">
        <v>0.68599537037037039</v>
      </c>
      <c r="E806" s="2">
        <f>CallLog[[#This Row],[Date]]+CallLog[[#This Row],[Time]]</f>
        <v>44210.685995370368</v>
      </c>
      <c r="F806" s="1" t="str">
        <f>TEXT(CallLog[[#This Row],[Date]],"dddd")</f>
        <v>Thursday</v>
      </c>
      <c r="G806" s="3">
        <f>HOUR(CallLog[[#This Row],[Time]])</f>
        <v>16</v>
      </c>
      <c r="H806" t="s">
        <v>13</v>
      </c>
      <c r="I806" t="s">
        <v>14</v>
      </c>
      <c r="J806" t="s">
        <v>14</v>
      </c>
      <c r="K806">
        <v>21</v>
      </c>
      <c r="L806" t="str">
        <f>IF(AND(CallLog[[#This Row],[Answered (Y/N)]]="Y", CallLog[[#This Row],[Speed of answer in seconds]]&lt;=20),
    "Within",
    "Breach")</f>
        <v>Breach</v>
      </c>
      <c r="M806" s="1">
        <v>1.1574074074074073E-3</v>
      </c>
      <c r="N806">
        <v>4</v>
      </c>
    </row>
    <row r="807" spans="1:14" x14ac:dyDescent="0.3">
      <c r="A807" t="s">
        <v>844</v>
      </c>
      <c r="B807" t="s">
        <v>47</v>
      </c>
      <c r="C807" t="s">
        <v>797</v>
      </c>
      <c r="D807" s="1">
        <v>0.68599537037037039</v>
      </c>
      <c r="E807" s="2">
        <f>CallLog[[#This Row],[Date]]+CallLog[[#This Row],[Time]]</f>
        <v>44210.685995370368</v>
      </c>
      <c r="F807" s="1" t="str">
        <f>TEXT(CallLog[[#This Row],[Date]],"dddd")</f>
        <v>Thursday</v>
      </c>
      <c r="G807" s="3">
        <f>HOUR(CallLog[[#This Row],[Time]])</f>
        <v>16</v>
      </c>
      <c r="H807" t="s">
        <v>32</v>
      </c>
      <c r="I807" t="s">
        <v>14</v>
      </c>
      <c r="J807" t="s">
        <v>14</v>
      </c>
      <c r="K807">
        <v>66</v>
      </c>
      <c r="L807" t="str">
        <f>IF(AND(CallLog[[#This Row],[Answered (Y/N)]]="Y", CallLog[[#This Row],[Speed of answer in seconds]]&lt;=20),
    "Within",
    "Breach")</f>
        <v>Breach</v>
      </c>
      <c r="M807" s="1">
        <v>3.9699074074074072E-3</v>
      </c>
      <c r="N807">
        <v>2</v>
      </c>
    </row>
    <row r="808" spans="1:14" x14ac:dyDescent="0.3">
      <c r="A808" t="s">
        <v>845</v>
      </c>
      <c r="B808" t="s">
        <v>16</v>
      </c>
      <c r="C808" t="s">
        <v>797</v>
      </c>
      <c r="D808" s="1">
        <v>0.69400462962962961</v>
      </c>
      <c r="E808" s="2">
        <f>CallLog[[#This Row],[Date]]+CallLog[[#This Row],[Time]]</f>
        <v>44210.694004629629</v>
      </c>
      <c r="F808" s="1" t="str">
        <f>TEXT(CallLog[[#This Row],[Date]],"dddd")</f>
        <v>Thursday</v>
      </c>
      <c r="G808" s="3">
        <f>HOUR(CallLog[[#This Row],[Time]])</f>
        <v>16</v>
      </c>
      <c r="H808" t="s">
        <v>17</v>
      </c>
      <c r="I808" t="s">
        <v>18</v>
      </c>
      <c r="J808" t="s">
        <v>18</v>
      </c>
      <c r="L808" t="str">
        <f>IF(AND(CallLog[[#This Row],[Answered (Y/N)]]="Y", CallLog[[#This Row],[Speed of answer in seconds]]&lt;=20),
    "Within",
    "Breach")</f>
        <v>Breach</v>
      </c>
    </row>
    <row r="809" spans="1:14" x14ac:dyDescent="0.3">
      <c r="A809" t="s">
        <v>846</v>
      </c>
      <c r="B809" t="s">
        <v>22</v>
      </c>
      <c r="C809" t="s">
        <v>797</v>
      </c>
      <c r="D809" s="1">
        <v>0.69400462962962961</v>
      </c>
      <c r="E809" s="2">
        <f>CallLog[[#This Row],[Date]]+CallLog[[#This Row],[Time]]</f>
        <v>44210.694004629629</v>
      </c>
      <c r="F809" s="1" t="str">
        <f>TEXT(CallLog[[#This Row],[Date]],"dddd")</f>
        <v>Thursday</v>
      </c>
      <c r="G809" s="3">
        <f>HOUR(CallLog[[#This Row],[Time]])</f>
        <v>16</v>
      </c>
      <c r="H809" t="s">
        <v>32</v>
      </c>
      <c r="I809" t="s">
        <v>14</v>
      </c>
      <c r="J809" t="s">
        <v>14</v>
      </c>
      <c r="K809">
        <v>19</v>
      </c>
      <c r="L809" t="str">
        <f>IF(AND(CallLog[[#This Row],[Answered (Y/N)]]="Y", CallLog[[#This Row],[Speed of answer in seconds]]&lt;=20),
    "Within",
    "Breach")</f>
        <v>Within</v>
      </c>
      <c r="M809" s="1">
        <v>4.5370370370370373E-3</v>
      </c>
      <c r="N809">
        <v>3</v>
      </c>
    </row>
    <row r="810" spans="1:14" x14ac:dyDescent="0.3">
      <c r="A810" t="s">
        <v>847</v>
      </c>
      <c r="B810" t="s">
        <v>22</v>
      </c>
      <c r="C810" t="s">
        <v>797</v>
      </c>
      <c r="D810" s="1">
        <v>0.72200231481481481</v>
      </c>
      <c r="E810" s="2">
        <f>CallLog[[#This Row],[Date]]+CallLog[[#This Row],[Time]]</f>
        <v>44210.722002314818</v>
      </c>
      <c r="F810" s="1" t="str">
        <f>TEXT(CallLog[[#This Row],[Date]],"dddd")</f>
        <v>Thursday</v>
      </c>
      <c r="G810" s="3">
        <f>HOUR(CallLog[[#This Row],[Time]])</f>
        <v>17</v>
      </c>
      <c r="H810" t="s">
        <v>13</v>
      </c>
      <c r="I810" t="s">
        <v>14</v>
      </c>
      <c r="J810" t="s">
        <v>14</v>
      </c>
      <c r="K810">
        <v>100</v>
      </c>
      <c r="L810" t="str">
        <f>IF(AND(CallLog[[#This Row],[Answered (Y/N)]]="Y", CallLog[[#This Row],[Speed of answer in seconds]]&lt;=20),
    "Within",
    "Breach")</f>
        <v>Breach</v>
      </c>
      <c r="M810" s="1">
        <v>4.1550925925925922E-3</v>
      </c>
      <c r="N810">
        <v>4</v>
      </c>
    </row>
    <row r="811" spans="1:14" x14ac:dyDescent="0.3">
      <c r="A811" t="s">
        <v>848</v>
      </c>
      <c r="B811" t="s">
        <v>31</v>
      </c>
      <c r="C811" t="s">
        <v>797</v>
      </c>
      <c r="D811" s="1">
        <v>0.72200231481481481</v>
      </c>
      <c r="E811" s="2">
        <f>CallLog[[#This Row],[Date]]+CallLog[[#This Row],[Time]]</f>
        <v>44210.722002314818</v>
      </c>
      <c r="F811" s="1" t="str">
        <f>TEXT(CallLog[[#This Row],[Date]],"dddd")</f>
        <v>Thursday</v>
      </c>
      <c r="G811" s="3">
        <f>HOUR(CallLog[[#This Row],[Time]])</f>
        <v>17</v>
      </c>
      <c r="H811" t="s">
        <v>17</v>
      </c>
      <c r="I811" t="s">
        <v>14</v>
      </c>
      <c r="J811" t="s">
        <v>14</v>
      </c>
      <c r="K811">
        <v>108</v>
      </c>
      <c r="L811" t="str">
        <f>IF(AND(CallLog[[#This Row],[Answered (Y/N)]]="Y", CallLog[[#This Row],[Speed of answer in seconds]]&lt;=20),
    "Within",
    "Breach")</f>
        <v>Breach</v>
      </c>
      <c r="M811" s="1">
        <v>4.4444444444444444E-3</v>
      </c>
      <c r="N811">
        <v>4</v>
      </c>
    </row>
    <row r="812" spans="1:14" x14ac:dyDescent="0.3">
      <c r="A812" t="s">
        <v>849</v>
      </c>
      <c r="B812" t="s">
        <v>20</v>
      </c>
      <c r="C812" t="s">
        <v>797</v>
      </c>
      <c r="D812" s="1">
        <v>0.72400462962962964</v>
      </c>
      <c r="E812" s="2">
        <f>CallLog[[#This Row],[Date]]+CallLog[[#This Row],[Time]]</f>
        <v>44210.724004629628</v>
      </c>
      <c r="F812" s="1" t="str">
        <f>TEXT(CallLog[[#This Row],[Date]],"dddd")</f>
        <v>Thursday</v>
      </c>
      <c r="G812" s="3">
        <f>HOUR(CallLog[[#This Row],[Time]])</f>
        <v>17</v>
      </c>
      <c r="H812" t="s">
        <v>17</v>
      </c>
      <c r="I812" t="s">
        <v>14</v>
      </c>
      <c r="J812" t="s">
        <v>14</v>
      </c>
      <c r="K812">
        <v>123</v>
      </c>
      <c r="L812" t="str">
        <f>IF(AND(CallLog[[#This Row],[Answered (Y/N)]]="Y", CallLog[[#This Row],[Speed of answer in seconds]]&lt;=20),
    "Within",
    "Breach")</f>
        <v>Breach</v>
      </c>
      <c r="M812" s="1">
        <v>3.1828703703703702E-3</v>
      </c>
      <c r="N812">
        <v>1</v>
      </c>
    </row>
    <row r="813" spans="1:14" x14ac:dyDescent="0.3">
      <c r="A813" t="s">
        <v>850</v>
      </c>
      <c r="B813" t="s">
        <v>22</v>
      </c>
      <c r="C813" t="s">
        <v>797</v>
      </c>
      <c r="D813" s="1">
        <v>0.72400462962962964</v>
      </c>
      <c r="E813" s="2">
        <f>CallLog[[#This Row],[Date]]+CallLog[[#This Row],[Time]]</f>
        <v>44210.724004629628</v>
      </c>
      <c r="F813" s="1" t="str">
        <f>TEXT(CallLog[[#This Row],[Date]],"dddd")</f>
        <v>Thursday</v>
      </c>
      <c r="G813" s="3">
        <f>HOUR(CallLog[[#This Row],[Time]])</f>
        <v>17</v>
      </c>
      <c r="H813" t="s">
        <v>13</v>
      </c>
      <c r="I813" t="s">
        <v>18</v>
      </c>
      <c r="J813" t="s">
        <v>18</v>
      </c>
      <c r="L813" t="str">
        <f>IF(AND(CallLog[[#This Row],[Answered (Y/N)]]="Y", CallLog[[#This Row],[Speed of answer in seconds]]&lt;=20),
    "Within",
    "Breach")</f>
        <v>Breach</v>
      </c>
    </row>
    <row r="814" spans="1:14" x14ac:dyDescent="0.3">
      <c r="A814" t="s">
        <v>851</v>
      </c>
      <c r="B814" t="s">
        <v>47</v>
      </c>
      <c r="C814" t="s">
        <v>797</v>
      </c>
      <c r="D814" s="1">
        <v>0.73099537037037032</v>
      </c>
      <c r="E814" s="2">
        <f>CallLog[[#This Row],[Date]]+CallLog[[#This Row],[Time]]</f>
        <v>44210.730995370373</v>
      </c>
      <c r="F814" s="1" t="str">
        <f>TEXT(CallLog[[#This Row],[Date]],"dddd")</f>
        <v>Thursday</v>
      </c>
      <c r="G814" s="3">
        <f>HOUR(CallLog[[#This Row],[Time]])</f>
        <v>17</v>
      </c>
      <c r="H814" t="s">
        <v>13</v>
      </c>
      <c r="I814" t="s">
        <v>14</v>
      </c>
      <c r="J814" t="s">
        <v>14</v>
      </c>
      <c r="K814">
        <v>76</v>
      </c>
      <c r="L814" t="str">
        <f>IF(AND(CallLog[[#This Row],[Answered (Y/N)]]="Y", CallLog[[#This Row],[Speed of answer in seconds]]&lt;=20),
    "Within",
    "Breach")</f>
        <v>Breach</v>
      </c>
      <c r="M814" s="1">
        <v>1.4699074074074074E-3</v>
      </c>
      <c r="N814">
        <v>2</v>
      </c>
    </row>
    <row r="815" spans="1:14" x14ac:dyDescent="0.3">
      <c r="A815" t="s">
        <v>852</v>
      </c>
      <c r="B815" t="s">
        <v>34</v>
      </c>
      <c r="C815" t="s">
        <v>797</v>
      </c>
      <c r="D815" s="1">
        <v>0.73099537037037032</v>
      </c>
      <c r="E815" s="2">
        <f>CallLog[[#This Row],[Date]]+CallLog[[#This Row],[Time]]</f>
        <v>44210.730995370373</v>
      </c>
      <c r="F815" s="1" t="str">
        <f>TEXT(CallLog[[#This Row],[Date]],"dddd")</f>
        <v>Thursday</v>
      </c>
      <c r="G815" s="3">
        <f>HOUR(CallLog[[#This Row],[Time]])</f>
        <v>17</v>
      </c>
      <c r="H815" t="s">
        <v>13</v>
      </c>
      <c r="I815" t="s">
        <v>14</v>
      </c>
      <c r="J815" t="s">
        <v>14</v>
      </c>
      <c r="K815">
        <v>78</v>
      </c>
      <c r="L815" t="str">
        <f>IF(AND(CallLog[[#This Row],[Answered (Y/N)]]="Y", CallLog[[#This Row],[Speed of answer in seconds]]&lt;=20),
    "Within",
    "Breach")</f>
        <v>Breach</v>
      </c>
      <c r="M815" s="1">
        <v>1.0763888888888889E-3</v>
      </c>
      <c r="N815">
        <v>2</v>
      </c>
    </row>
    <row r="816" spans="1:14" x14ac:dyDescent="0.3">
      <c r="A816" t="s">
        <v>853</v>
      </c>
      <c r="B816" t="s">
        <v>16</v>
      </c>
      <c r="C816" t="s">
        <v>797</v>
      </c>
      <c r="D816" s="1">
        <v>0.73099537037037032</v>
      </c>
      <c r="E816" s="2">
        <f>CallLog[[#This Row],[Date]]+CallLog[[#This Row],[Time]]</f>
        <v>44210.730995370373</v>
      </c>
      <c r="F816" s="1" t="str">
        <f>TEXT(CallLog[[#This Row],[Date]],"dddd")</f>
        <v>Thursday</v>
      </c>
      <c r="G816" s="3">
        <f>HOUR(CallLog[[#This Row],[Time]])</f>
        <v>17</v>
      </c>
      <c r="H816" t="s">
        <v>32</v>
      </c>
      <c r="I816" t="s">
        <v>14</v>
      </c>
      <c r="J816" t="s">
        <v>14</v>
      </c>
      <c r="K816">
        <v>17</v>
      </c>
      <c r="L816" t="str">
        <f>IF(AND(CallLog[[#This Row],[Answered (Y/N)]]="Y", CallLog[[#This Row],[Speed of answer in seconds]]&lt;=20),
    "Within",
    "Breach")</f>
        <v>Within</v>
      </c>
      <c r="M816" s="1">
        <v>1.7708333333333332E-3</v>
      </c>
      <c r="N816">
        <v>1</v>
      </c>
    </row>
    <row r="817" spans="1:14" x14ac:dyDescent="0.3">
      <c r="A817" t="s">
        <v>854</v>
      </c>
      <c r="B817" t="s">
        <v>11</v>
      </c>
      <c r="C817" t="s">
        <v>797</v>
      </c>
      <c r="D817" s="1">
        <v>0.73099537037037032</v>
      </c>
      <c r="E817" s="2">
        <f>CallLog[[#This Row],[Date]]+CallLog[[#This Row],[Time]]</f>
        <v>44210.730995370373</v>
      </c>
      <c r="F817" s="1" t="str">
        <f>TEXT(CallLog[[#This Row],[Date]],"dddd")</f>
        <v>Thursday</v>
      </c>
      <c r="G817" s="3">
        <f>HOUR(CallLog[[#This Row],[Time]])</f>
        <v>17</v>
      </c>
      <c r="H817" t="s">
        <v>32</v>
      </c>
      <c r="I817" t="s">
        <v>14</v>
      </c>
      <c r="J817" t="s">
        <v>14</v>
      </c>
      <c r="K817">
        <v>60</v>
      </c>
      <c r="L817" t="str">
        <f>IF(AND(CallLog[[#This Row],[Answered (Y/N)]]="Y", CallLog[[#This Row],[Speed of answer in seconds]]&lt;=20),
    "Within",
    "Breach")</f>
        <v>Breach</v>
      </c>
      <c r="M817" s="1">
        <v>2.9282407407407408E-3</v>
      </c>
      <c r="N817">
        <v>4</v>
      </c>
    </row>
    <row r="818" spans="1:14" x14ac:dyDescent="0.3">
      <c r="A818" t="s">
        <v>855</v>
      </c>
      <c r="B818" t="s">
        <v>31</v>
      </c>
      <c r="C818" t="s">
        <v>856</v>
      </c>
      <c r="D818" s="1">
        <v>0.40299768518518519</v>
      </c>
      <c r="E818" s="2">
        <f>CallLog[[#This Row],[Date]]+CallLog[[#This Row],[Time]]</f>
        <v>44211.402997685182</v>
      </c>
      <c r="F818" s="1" t="str">
        <f>TEXT(CallLog[[#This Row],[Date]],"dddd")</f>
        <v>Friday</v>
      </c>
      <c r="G818" s="3">
        <f>HOUR(CallLog[[#This Row],[Time]])</f>
        <v>9</v>
      </c>
      <c r="H818" t="s">
        <v>13</v>
      </c>
      <c r="I818" t="s">
        <v>14</v>
      </c>
      <c r="J818" t="s">
        <v>14</v>
      </c>
      <c r="K818">
        <v>76</v>
      </c>
      <c r="L818" t="str">
        <f>IF(AND(CallLog[[#This Row],[Answered (Y/N)]]="Y", CallLog[[#This Row],[Speed of answer in seconds]]&lt;=20),
    "Within",
    "Breach")</f>
        <v>Breach</v>
      </c>
      <c r="M818" s="1">
        <v>1.238425925925926E-3</v>
      </c>
      <c r="N818">
        <v>3</v>
      </c>
    </row>
    <row r="819" spans="1:14" x14ac:dyDescent="0.3">
      <c r="A819" t="s">
        <v>857</v>
      </c>
      <c r="B819" t="s">
        <v>22</v>
      </c>
      <c r="C819" t="s">
        <v>856</v>
      </c>
      <c r="D819" s="1">
        <v>0.40299768518518519</v>
      </c>
      <c r="E819" s="2">
        <f>CallLog[[#This Row],[Date]]+CallLog[[#This Row],[Time]]</f>
        <v>44211.402997685182</v>
      </c>
      <c r="F819" s="1" t="str">
        <f>TEXT(CallLog[[#This Row],[Date]],"dddd")</f>
        <v>Friday</v>
      </c>
      <c r="G819" s="3">
        <f>HOUR(CallLog[[#This Row],[Time]])</f>
        <v>9</v>
      </c>
      <c r="H819" t="s">
        <v>13</v>
      </c>
      <c r="I819" t="s">
        <v>14</v>
      </c>
      <c r="J819" t="s">
        <v>14</v>
      </c>
      <c r="K819">
        <v>80</v>
      </c>
      <c r="L819" t="str">
        <f>IF(AND(CallLog[[#This Row],[Answered (Y/N)]]="Y", CallLog[[#This Row],[Speed of answer in seconds]]&lt;=20),
    "Within",
    "Breach")</f>
        <v>Breach</v>
      </c>
      <c r="M819" s="1">
        <v>2.8009259259259259E-3</v>
      </c>
      <c r="N819">
        <v>4</v>
      </c>
    </row>
    <row r="820" spans="1:14" x14ac:dyDescent="0.3">
      <c r="A820" t="s">
        <v>858</v>
      </c>
      <c r="B820" t="s">
        <v>22</v>
      </c>
      <c r="C820" t="s">
        <v>856</v>
      </c>
      <c r="D820" s="1">
        <v>0.40299768518518519</v>
      </c>
      <c r="E820" s="2">
        <f>CallLog[[#This Row],[Date]]+CallLog[[#This Row],[Time]]</f>
        <v>44211.402997685182</v>
      </c>
      <c r="F820" s="1" t="str">
        <f>TEXT(CallLog[[#This Row],[Date]],"dddd")</f>
        <v>Friday</v>
      </c>
      <c r="G820" s="3">
        <f>HOUR(CallLog[[#This Row],[Time]])</f>
        <v>9</v>
      </c>
      <c r="H820" t="s">
        <v>29</v>
      </c>
      <c r="I820" t="s">
        <v>14</v>
      </c>
      <c r="J820" t="s">
        <v>18</v>
      </c>
      <c r="K820">
        <v>20</v>
      </c>
      <c r="L820" t="str">
        <f>IF(AND(CallLog[[#This Row],[Answered (Y/N)]]="Y", CallLog[[#This Row],[Speed of answer in seconds]]&lt;=20),
    "Within",
    "Breach")</f>
        <v>Within</v>
      </c>
      <c r="M820" s="1">
        <v>3.9004629629629628E-3</v>
      </c>
      <c r="N820">
        <v>4</v>
      </c>
    </row>
    <row r="821" spans="1:14" x14ac:dyDescent="0.3">
      <c r="A821" t="s">
        <v>859</v>
      </c>
      <c r="B821" t="s">
        <v>16</v>
      </c>
      <c r="C821" t="s">
        <v>856</v>
      </c>
      <c r="D821" s="1">
        <v>0.40299768518518519</v>
      </c>
      <c r="E821" s="2">
        <f>CallLog[[#This Row],[Date]]+CallLog[[#This Row],[Time]]</f>
        <v>44211.402997685182</v>
      </c>
      <c r="F821" s="1" t="str">
        <f>TEXT(CallLog[[#This Row],[Date]],"dddd")</f>
        <v>Friday</v>
      </c>
      <c r="G821" s="3">
        <f>HOUR(CallLog[[#This Row],[Time]])</f>
        <v>9</v>
      </c>
      <c r="H821" t="s">
        <v>29</v>
      </c>
      <c r="I821" t="s">
        <v>14</v>
      </c>
      <c r="J821" t="s">
        <v>14</v>
      </c>
      <c r="K821">
        <v>82</v>
      </c>
      <c r="L821" t="str">
        <f>IF(AND(CallLog[[#This Row],[Answered (Y/N)]]="Y", CallLog[[#This Row],[Speed of answer in seconds]]&lt;=20),
    "Within",
    "Breach")</f>
        <v>Breach</v>
      </c>
      <c r="M821" s="1">
        <v>4.4212962962962964E-3</v>
      </c>
      <c r="N821">
        <v>3</v>
      </c>
    </row>
    <row r="822" spans="1:14" x14ac:dyDescent="0.3">
      <c r="A822" t="s">
        <v>860</v>
      </c>
      <c r="B822" t="s">
        <v>20</v>
      </c>
      <c r="C822" t="s">
        <v>856</v>
      </c>
      <c r="D822" s="1">
        <v>0.41</v>
      </c>
      <c r="E822" s="2">
        <f>CallLog[[#This Row],[Date]]+CallLog[[#This Row],[Time]]</f>
        <v>44211.41</v>
      </c>
      <c r="F822" s="1" t="str">
        <f>TEXT(CallLog[[#This Row],[Date]],"dddd")</f>
        <v>Friday</v>
      </c>
      <c r="G822" s="3">
        <f>HOUR(CallLog[[#This Row],[Time]])</f>
        <v>9</v>
      </c>
      <c r="H822" t="s">
        <v>17</v>
      </c>
      <c r="I822" t="s">
        <v>14</v>
      </c>
      <c r="J822" t="s">
        <v>14</v>
      </c>
      <c r="K822">
        <v>33</v>
      </c>
      <c r="L822" t="str">
        <f>IF(AND(CallLog[[#This Row],[Answered (Y/N)]]="Y", CallLog[[#This Row],[Speed of answer in seconds]]&lt;=20),
    "Within",
    "Breach")</f>
        <v>Breach</v>
      </c>
      <c r="M822" s="1">
        <v>4.0740740740740737E-3</v>
      </c>
      <c r="N822">
        <v>3</v>
      </c>
    </row>
    <row r="823" spans="1:14" x14ac:dyDescent="0.3">
      <c r="A823" t="s">
        <v>861</v>
      </c>
      <c r="B823" t="s">
        <v>20</v>
      </c>
      <c r="C823" t="s">
        <v>856</v>
      </c>
      <c r="D823" s="1">
        <v>0.41</v>
      </c>
      <c r="E823" s="2">
        <f>CallLog[[#This Row],[Date]]+CallLog[[#This Row],[Time]]</f>
        <v>44211.41</v>
      </c>
      <c r="F823" s="1" t="str">
        <f>TEXT(CallLog[[#This Row],[Date]],"dddd")</f>
        <v>Friday</v>
      </c>
      <c r="G823" s="3">
        <f>HOUR(CallLog[[#This Row],[Time]])</f>
        <v>9</v>
      </c>
      <c r="H823" t="s">
        <v>29</v>
      </c>
      <c r="I823" t="s">
        <v>14</v>
      </c>
      <c r="J823" t="s">
        <v>14</v>
      </c>
      <c r="K823">
        <v>93</v>
      </c>
      <c r="L823" t="str">
        <f>IF(AND(CallLog[[#This Row],[Answered (Y/N)]]="Y", CallLog[[#This Row],[Speed of answer in seconds]]&lt;=20),
    "Within",
    "Breach")</f>
        <v>Breach</v>
      </c>
      <c r="M823" s="1">
        <v>1.3425925925925925E-3</v>
      </c>
      <c r="N823">
        <v>3</v>
      </c>
    </row>
    <row r="824" spans="1:14" x14ac:dyDescent="0.3">
      <c r="A824" t="s">
        <v>862</v>
      </c>
      <c r="B824" t="s">
        <v>11</v>
      </c>
      <c r="C824" t="s">
        <v>856</v>
      </c>
      <c r="D824" s="1">
        <v>0.45599537037037036</v>
      </c>
      <c r="E824" s="2">
        <f>CallLog[[#This Row],[Date]]+CallLog[[#This Row],[Time]]</f>
        <v>44211.455995370372</v>
      </c>
      <c r="F824" s="1" t="str">
        <f>TEXT(CallLog[[#This Row],[Date]],"dddd")</f>
        <v>Friday</v>
      </c>
      <c r="G824" s="3">
        <f>HOUR(CallLog[[#This Row],[Time]])</f>
        <v>10</v>
      </c>
      <c r="H824" t="s">
        <v>32</v>
      </c>
      <c r="I824" t="s">
        <v>14</v>
      </c>
      <c r="J824" t="s">
        <v>14</v>
      </c>
      <c r="K824">
        <v>29</v>
      </c>
      <c r="L824" t="str">
        <f>IF(AND(CallLog[[#This Row],[Answered (Y/N)]]="Y", CallLog[[#This Row],[Speed of answer in seconds]]&lt;=20),
    "Within",
    "Breach")</f>
        <v>Breach</v>
      </c>
      <c r="M824" s="1">
        <v>2.0833333333333333E-3</v>
      </c>
      <c r="N824">
        <v>4</v>
      </c>
    </row>
    <row r="825" spans="1:14" x14ac:dyDescent="0.3">
      <c r="A825" t="s">
        <v>863</v>
      </c>
      <c r="B825" t="s">
        <v>38</v>
      </c>
      <c r="C825" t="s">
        <v>856</v>
      </c>
      <c r="D825" s="1">
        <v>0.45599537037037036</v>
      </c>
      <c r="E825" s="2">
        <f>CallLog[[#This Row],[Date]]+CallLog[[#This Row],[Time]]</f>
        <v>44211.455995370372</v>
      </c>
      <c r="F825" s="1" t="str">
        <f>TEXT(CallLog[[#This Row],[Date]],"dddd")</f>
        <v>Friday</v>
      </c>
      <c r="G825" s="3">
        <f>HOUR(CallLog[[#This Row],[Time]])</f>
        <v>10</v>
      </c>
      <c r="H825" t="s">
        <v>29</v>
      </c>
      <c r="I825" t="s">
        <v>14</v>
      </c>
      <c r="J825" t="s">
        <v>14</v>
      </c>
      <c r="K825">
        <v>83</v>
      </c>
      <c r="L825" t="str">
        <f>IF(AND(CallLog[[#This Row],[Answered (Y/N)]]="Y", CallLog[[#This Row],[Speed of answer in seconds]]&lt;=20),
    "Within",
    "Breach")</f>
        <v>Breach</v>
      </c>
      <c r="M825" s="1">
        <v>4.7800925925925927E-3</v>
      </c>
      <c r="N825">
        <v>4</v>
      </c>
    </row>
    <row r="826" spans="1:14" x14ac:dyDescent="0.3">
      <c r="A826" t="s">
        <v>864</v>
      </c>
      <c r="B826" t="s">
        <v>20</v>
      </c>
      <c r="C826" t="s">
        <v>856</v>
      </c>
      <c r="D826" s="1">
        <v>0.48</v>
      </c>
      <c r="E826" s="2">
        <f>CallLog[[#This Row],[Date]]+CallLog[[#This Row],[Time]]</f>
        <v>44211.48</v>
      </c>
      <c r="F826" s="1" t="str">
        <f>TEXT(CallLog[[#This Row],[Date]],"dddd")</f>
        <v>Friday</v>
      </c>
      <c r="G826" s="3">
        <f>HOUR(CallLog[[#This Row],[Time]])</f>
        <v>11</v>
      </c>
      <c r="H826" t="s">
        <v>24</v>
      </c>
      <c r="I826" t="s">
        <v>14</v>
      </c>
      <c r="J826" t="s">
        <v>14</v>
      </c>
      <c r="K826">
        <v>113</v>
      </c>
      <c r="L826" t="str">
        <f>IF(AND(CallLog[[#This Row],[Answered (Y/N)]]="Y", CallLog[[#This Row],[Speed of answer in seconds]]&lt;=20),
    "Within",
    "Breach")</f>
        <v>Breach</v>
      </c>
      <c r="M826" s="1">
        <v>1.4004629629629629E-3</v>
      </c>
      <c r="N826">
        <v>4</v>
      </c>
    </row>
    <row r="827" spans="1:14" x14ac:dyDescent="0.3">
      <c r="A827" t="s">
        <v>865</v>
      </c>
      <c r="B827" t="s">
        <v>20</v>
      </c>
      <c r="C827" t="s">
        <v>856</v>
      </c>
      <c r="D827" s="1">
        <v>0.48</v>
      </c>
      <c r="E827" s="2">
        <f>CallLog[[#This Row],[Date]]+CallLog[[#This Row],[Time]]</f>
        <v>44211.48</v>
      </c>
      <c r="F827" s="1" t="str">
        <f>TEXT(CallLog[[#This Row],[Date]],"dddd")</f>
        <v>Friday</v>
      </c>
      <c r="G827" s="3">
        <f>HOUR(CallLog[[#This Row],[Time]])</f>
        <v>11</v>
      </c>
      <c r="H827" t="s">
        <v>29</v>
      </c>
      <c r="I827" t="s">
        <v>14</v>
      </c>
      <c r="J827" t="s">
        <v>14</v>
      </c>
      <c r="K827">
        <v>21</v>
      </c>
      <c r="L827" t="str">
        <f>IF(AND(CallLog[[#This Row],[Answered (Y/N)]]="Y", CallLog[[#This Row],[Speed of answer in seconds]]&lt;=20),
    "Within",
    "Breach")</f>
        <v>Breach</v>
      </c>
      <c r="M827" s="1">
        <v>2.3842592592592591E-3</v>
      </c>
      <c r="N827">
        <v>4</v>
      </c>
    </row>
    <row r="828" spans="1:14" x14ac:dyDescent="0.3">
      <c r="A828" t="s">
        <v>866</v>
      </c>
      <c r="B828" t="s">
        <v>16</v>
      </c>
      <c r="C828" t="s">
        <v>856</v>
      </c>
      <c r="D828" s="1">
        <v>0.48499999999999999</v>
      </c>
      <c r="E828" s="2">
        <f>CallLog[[#This Row],[Date]]+CallLog[[#This Row],[Time]]</f>
        <v>44211.485000000001</v>
      </c>
      <c r="F828" s="1" t="str">
        <f>TEXT(CallLog[[#This Row],[Date]],"dddd")</f>
        <v>Friday</v>
      </c>
      <c r="G828" s="3">
        <f>HOUR(CallLog[[#This Row],[Time]])</f>
        <v>11</v>
      </c>
      <c r="H828" t="s">
        <v>29</v>
      </c>
      <c r="I828" t="s">
        <v>14</v>
      </c>
      <c r="J828" t="s">
        <v>18</v>
      </c>
      <c r="K828">
        <v>82</v>
      </c>
      <c r="L828" t="str">
        <f>IF(AND(CallLog[[#This Row],[Answered (Y/N)]]="Y", CallLog[[#This Row],[Speed of answer in seconds]]&lt;=20),
    "Within",
    "Breach")</f>
        <v>Breach</v>
      </c>
      <c r="M828" s="1">
        <v>1.8518518518518519E-3</v>
      </c>
      <c r="N828">
        <v>4</v>
      </c>
    </row>
    <row r="829" spans="1:14" x14ac:dyDescent="0.3">
      <c r="A829" t="s">
        <v>867</v>
      </c>
      <c r="B829" t="s">
        <v>11</v>
      </c>
      <c r="C829" t="s">
        <v>856</v>
      </c>
      <c r="D829" s="1">
        <v>0.48499999999999999</v>
      </c>
      <c r="E829" s="2">
        <f>CallLog[[#This Row],[Date]]+CallLog[[#This Row],[Time]]</f>
        <v>44211.485000000001</v>
      </c>
      <c r="F829" s="1" t="str">
        <f>TEXT(CallLog[[#This Row],[Date]],"dddd")</f>
        <v>Friday</v>
      </c>
      <c r="G829" s="3">
        <f>HOUR(CallLog[[#This Row],[Time]])</f>
        <v>11</v>
      </c>
      <c r="H829" t="s">
        <v>32</v>
      </c>
      <c r="I829" t="s">
        <v>14</v>
      </c>
      <c r="J829" t="s">
        <v>14</v>
      </c>
      <c r="K829">
        <v>91</v>
      </c>
      <c r="L829" t="str">
        <f>IF(AND(CallLog[[#This Row],[Answered (Y/N)]]="Y", CallLog[[#This Row],[Speed of answer in seconds]]&lt;=20),
    "Within",
    "Breach")</f>
        <v>Breach</v>
      </c>
      <c r="M829" s="1">
        <v>2.627314814814815E-3</v>
      </c>
      <c r="N829">
        <v>3</v>
      </c>
    </row>
    <row r="830" spans="1:14" x14ac:dyDescent="0.3">
      <c r="A830" t="s">
        <v>868</v>
      </c>
      <c r="B830" t="s">
        <v>47</v>
      </c>
      <c r="C830" t="s">
        <v>856</v>
      </c>
      <c r="D830" s="1">
        <v>0.49</v>
      </c>
      <c r="E830" s="2">
        <f>CallLog[[#This Row],[Date]]+CallLog[[#This Row],[Time]]</f>
        <v>44211.49</v>
      </c>
      <c r="F830" s="1" t="str">
        <f>TEXT(CallLog[[#This Row],[Date]],"dddd")</f>
        <v>Friday</v>
      </c>
      <c r="G830" s="3">
        <f>HOUR(CallLog[[#This Row],[Time]])</f>
        <v>11</v>
      </c>
      <c r="H830" t="s">
        <v>17</v>
      </c>
      <c r="I830" t="s">
        <v>14</v>
      </c>
      <c r="J830" t="s">
        <v>14</v>
      </c>
      <c r="K830">
        <v>111</v>
      </c>
      <c r="L830" t="str">
        <f>IF(AND(CallLog[[#This Row],[Answered (Y/N)]]="Y", CallLog[[#This Row],[Speed of answer in seconds]]&lt;=20),
    "Within",
    "Breach")</f>
        <v>Breach</v>
      </c>
      <c r="M830" s="1">
        <v>4.6296296296296298E-4</v>
      </c>
      <c r="N830">
        <v>4</v>
      </c>
    </row>
    <row r="831" spans="1:14" x14ac:dyDescent="0.3">
      <c r="A831" t="s">
        <v>869</v>
      </c>
      <c r="B831" t="s">
        <v>38</v>
      </c>
      <c r="C831" t="s">
        <v>856</v>
      </c>
      <c r="D831" s="1">
        <v>0.49</v>
      </c>
      <c r="E831" s="2">
        <f>CallLog[[#This Row],[Date]]+CallLog[[#This Row],[Time]]</f>
        <v>44211.49</v>
      </c>
      <c r="F831" s="1" t="str">
        <f>TEXT(CallLog[[#This Row],[Date]],"dddd")</f>
        <v>Friday</v>
      </c>
      <c r="G831" s="3">
        <f>HOUR(CallLog[[#This Row],[Time]])</f>
        <v>11</v>
      </c>
      <c r="H831" t="s">
        <v>29</v>
      </c>
      <c r="I831" t="s">
        <v>14</v>
      </c>
      <c r="J831" t="s">
        <v>14</v>
      </c>
      <c r="K831">
        <v>70</v>
      </c>
      <c r="L831" t="str">
        <f>IF(AND(CallLog[[#This Row],[Answered (Y/N)]]="Y", CallLog[[#This Row],[Speed of answer in seconds]]&lt;=20),
    "Within",
    "Breach")</f>
        <v>Breach</v>
      </c>
      <c r="M831" s="1">
        <v>3.6226851851851854E-3</v>
      </c>
      <c r="N831">
        <v>4</v>
      </c>
    </row>
    <row r="832" spans="1:14" x14ac:dyDescent="0.3">
      <c r="A832" t="s">
        <v>870</v>
      </c>
      <c r="B832" t="s">
        <v>47</v>
      </c>
      <c r="C832" t="s">
        <v>856</v>
      </c>
      <c r="D832" s="1">
        <v>0.57400462962962961</v>
      </c>
      <c r="E832" s="2">
        <f>CallLog[[#This Row],[Date]]+CallLog[[#This Row],[Time]]</f>
        <v>44211.574004629627</v>
      </c>
      <c r="F832" s="1" t="str">
        <f>TEXT(CallLog[[#This Row],[Date]],"dddd")</f>
        <v>Friday</v>
      </c>
      <c r="G832" s="3">
        <f>HOUR(CallLog[[#This Row],[Time]])</f>
        <v>13</v>
      </c>
      <c r="H832" t="s">
        <v>17</v>
      </c>
      <c r="I832" t="s">
        <v>18</v>
      </c>
      <c r="J832" t="s">
        <v>18</v>
      </c>
      <c r="L832" t="str">
        <f>IF(AND(CallLog[[#This Row],[Answered (Y/N)]]="Y", CallLog[[#This Row],[Speed of answer in seconds]]&lt;=20),
    "Within",
    "Breach")</f>
        <v>Breach</v>
      </c>
    </row>
    <row r="833" spans="1:14" x14ac:dyDescent="0.3">
      <c r="A833" t="s">
        <v>871</v>
      </c>
      <c r="B833" t="s">
        <v>34</v>
      </c>
      <c r="C833" t="s">
        <v>856</v>
      </c>
      <c r="D833" s="1">
        <v>0.57400462962962961</v>
      </c>
      <c r="E833" s="2">
        <f>CallLog[[#This Row],[Date]]+CallLog[[#This Row],[Time]]</f>
        <v>44211.574004629627</v>
      </c>
      <c r="F833" s="1" t="str">
        <f>TEXT(CallLog[[#This Row],[Date]],"dddd")</f>
        <v>Friday</v>
      </c>
      <c r="G833" s="3">
        <f>HOUR(CallLog[[#This Row],[Time]])</f>
        <v>13</v>
      </c>
      <c r="H833" t="s">
        <v>32</v>
      </c>
      <c r="I833" t="s">
        <v>14</v>
      </c>
      <c r="J833" t="s">
        <v>14</v>
      </c>
      <c r="K833">
        <v>58</v>
      </c>
      <c r="L833" t="str">
        <f>IF(AND(CallLog[[#This Row],[Answered (Y/N)]]="Y", CallLog[[#This Row],[Speed of answer in seconds]]&lt;=20),
    "Within",
    "Breach")</f>
        <v>Breach</v>
      </c>
      <c r="M833" s="1">
        <v>2.9976851851851853E-3</v>
      </c>
      <c r="N833">
        <v>4</v>
      </c>
    </row>
    <row r="834" spans="1:14" x14ac:dyDescent="0.3">
      <c r="A834" t="s">
        <v>872</v>
      </c>
      <c r="B834" t="s">
        <v>31</v>
      </c>
      <c r="C834" t="s">
        <v>856</v>
      </c>
      <c r="D834" s="1">
        <v>0.57900462962962962</v>
      </c>
      <c r="E834" s="2">
        <f>CallLog[[#This Row],[Date]]+CallLog[[#This Row],[Time]]</f>
        <v>44211.579004629632</v>
      </c>
      <c r="F834" s="1" t="str">
        <f>TEXT(CallLog[[#This Row],[Date]],"dddd")</f>
        <v>Friday</v>
      </c>
      <c r="G834" s="3">
        <f>HOUR(CallLog[[#This Row],[Time]])</f>
        <v>13</v>
      </c>
      <c r="H834" t="s">
        <v>32</v>
      </c>
      <c r="I834" t="s">
        <v>14</v>
      </c>
      <c r="J834" t="s">
        <v>14</v>
      </c>
      <c r="K834">
        <v>10</v>
      </c>
      <c r="L834" t="str">
        <f>IF(AND(CallLog[[#This Row],[Answered (Y/N)]]="Y", CallLog[[#This Row],[Speed of answer in seconds]]&lt;=20),
    "Within",
    "Breach")</f>
        <v>Within</v>
      </c>
      <c r="M834" s="1">
        <v>3.7847222222222223E-3</v>
      </c>
      <c r="N834">
        <v>4</v>
      </c>
    </row>
    <row r="835" spans="1:14" x14ac:dyDescent="0.3">
      <c r="A835" t="s">
        <v>873</v>
      </c>
      <c r="B835" t="s">
        <v>16</v>
      </c>
      <c r="C835" t="s">
        <v>856</v>
      </c>
      <c r="D835" s="1">
        <v>0.57900462962962962</v>
      </c>
      <c r="E835" s="2">
        <f>CallLog[[#This Row],[Date]]+CallLog[[#This Row],[Time]]</f>
        <v>44211.579004629632</v>
      </c>
      <c r="F835" s="1" t="str">
        <f>TEXT(CallLog[[#This Row],[Date]],"dddd")</f>
        <v>Friday</v>
      </c>
      <c r="G835" s="3">
        <f>HOUR(CallLog[[#This Row],[Time]])</f>
        <v>13</v>
      </c>
      <c r="H835" t="s">
        <v>24</v>
      </c>
      <c r="I835" t="s">
        <v>14</v>
      </c>
      <c r="J835" t="s">
        <v>14</v>
      </c>
      <c r="K835">
        <v>77</v>
      </c>
      <c r="L835" t="str">
        <f>IF(AND(CallLog[[#This Row],[Answered (Y/N)]]="Y", CallLog[[#This Row],[Speed of answer in seconds]]&lt;=20),
    "Within",
    "Breach")</f>
        <v>Breach</v>
      </c>
      <c r="M835" s="1">
        <v>2.0833333333333333E-3</v>
      </c>
      <c r="N835">
        <v>1</v>
      </c>
    </row>
    <row r="836" spans="1:14" x14ac:dyDescent="0.3">
      <c r="A836" t="s">
        <v>874</v>
      </c>
      <c r="B836" t="s">
        <v>11</v>
      </c>
      <c r="C836" t="s">
        <v>856</v>
      </c>
      <c r="D836" s="1">
        <v>0.58900462962962963</v>
      </c>
      <c r="E836" s="2">
        <f>CallLog[[#This Row],[Date]]+CallLog[[#This Row],[Time]]</f>
        <v>44211.589004629626</v>
      </c>
      <c r="F836" s="1" t="str">
        <f>TEXT(CallLog[[#This Row],[Date]],"dddd")</f>
        <v>Friday</v>
      </c>
      <c r="G836" s="3">
        <f>HOUR(CallLog[[#This Row],[Time]])</f>
        <v>14</v>
      </c>
      <c r="H836" t="s">
        <v>32</v>
      </c>
      <c r="I836" t="s">
        <v>14</v>
      </c>
      <c r="J836" t="s">
        <v>14</v>
      </c>
      <c r="K836">
        <v>92</v>
      </c>
      <c r="L836" t="str">
        <f>IF(AND(CallLog[[#This Row],[Answered (Y/N)]]="Y", CallLog[[#This Row],[Speed of answer in seconds]]&lt;=20),
    "Within",
    "Breach")</f>
        <v>Breach</v>
      </c>
      <c r="M836" s="1">
        <v>2.7662037037037039E-3</v>
      </c>
      <c r="N836">
        <v>4</v>
      </c>
    </row>
    <row r="837" spans="1:14" x14ac:dyDescent="0.3">
      <c r="A837" t="s">
        <v>875</v>
      </c>
      <c r="B837" t="s">
        <v>31</v>
      </c>
      <c r="C837" t="s">
        <v>856</v>
      </c>
      <c r="D837" s="1">
        <v>0.58900462962962963</v>
      </c>
      <c r="E837" s="2">
        <f>CallLog[[#This Row],[Date]]+CallLog[[#This Row],[Time]]</f>
        <v>44211.589004629626</v>
      </c>
      <c r="F837" s="1" t="str">
        <f>TEXT(CallLog[[#This Row],[Date]],"dddd")</f>
        <v>Friday</v>
      </c>
      <c r="G837" s="3">
        <f>HOUR(CallLog[[#This Row],[Time]])</f>
        <v>14</v>
      </c>
      <c r="H837" t="s">
        <v>29</v>
      </c>
      <c r="I837" t="s">
        <v>14</v>
      </c>
      <c r="J837" t="s">
        <v>14</v>
      </c>
      <c r="K837">
        <v>59</v>
      </c>
      <c r="L837" t="str">
        <f>IF(AND(CallLog[[#This Row],[Answered (Y/N)]]="Y", CallLog[[#This Row],[Speed of answer in seconds]]&lt;=20),
    "Within",
    "Breach")</f>
        <v>Breach</v>
      </c>
      <c r="M837" s="1">
        <v>1.4930555555555556E-3</v>
      </c>
      <c r="N837">
        <v>1</v>
      </c>
    </row>
    <row r="838" spans="1:14" x14ac:dyDescent="0.3">
      <c r="A838" t="s">
        <v>876</v>
      </c>
      <c r="B838" t="s">
        <v>11</v>
      </c>
      <c r="C838" t="s">
        <v>856</v>
      </c>
      <c r="D838" s="1">
        <v>0.59299768518518514</v>
      </c>
      <c r="E838" s="2">
        <f>CallLog[[#This Row],[Date]]+CallLog[[#This Row],[Time]]</f>
        <v>44211.592997685184</v>
      </c>
      <c r="F838" s="1" t="str">
        <f>TEXT(CallLog[[#This Row],[Date]],"dddd")</f>
        <v>Friday</v>
      </c>
      <c r="G838" s="3">
        <f>HOUR(CallLog[[#This Row],[Time]])</f>
        <v>14</v>
      </c>
      <c r="H838" t="s">
        <v>29</v>
      </c>
      <c r="I838" t="s">
        <v>14</v>
      </c>
      <c r="J838" t="s">
        <v>14</v>
      </c>
      <c r="K838">
        <v>42</v>
      </c>
      <c r="L838" t="str">
        <f>IF(AND(CallLog[[#This Row],[Answered (Y/N)]]="Y", CallLog[[#This Row],[Speed of answer in seconds]]&lt;=20),
    "Within",
    "Breach")</f>
        <v>Breach</v>
      </c>
      <c r="M838" s="1">
        <v>2.9976851851851853E-3</v>
      </c>
      <c r="N838">
        <v>2</v>
      </c>
    </row>
    <row r="839" spans="1:14" x14ac:dyDescent="0.3">
      <c r="A839" t="s">
        <v>877</v>
      </c>
      <c r="B839" t="s">
        <v>22</v>
      </c>
      <c r="C839" t="s">
        <v>856</v>
      </c>
      <c r="D839" s="1">
        <v>0.59299768518518514</v>
      </c>
      <c r="E839" s="2">
        <f>CallLog[[#This Row],[Date]]+CallLog[[#This Row],[Time]]</f>
        <v>44211.592997685184</v>
      </c>
      <c r="F839" s="1" t="str">
        <f>TEXT(CallLog[[#This Row],[Date]],"dddd")</f>
        <v>Friday</v>
      </c>
      <c r="G839" s="3">
        <f>HOUR(CallLog[[#This Row],[Time]])</f>
        <v>14</v>
      </c>
      <c r="H839" t="s">
        <v>24</v>
      </c>
      <c r="I839" t="s">
        <v>14</v>
      </c>
      <c r="J839" t="s">
        <v>14</v>
      </c>
      <c r="K839">
        <v>110</v>
      </c>
      <c r="L839" t="str">
        <f>IF(AND(CallLog[[#This Row],[Answered (Y/N)]]="Y", CallLog[[#This Row],[Speed of answer in seconds]]&lt;=20),
    "Within",
    "Breach")</f>
        <v>Breach</v>
      </c>
      <c r="M839" s="1">
        <v>3.1481481481481482E-3</v>
      </c>
      <c r="N839">
        <v>3</v>
      </c>
    </row>
    <row r="840" spans="1:14" x14ac:dyDescent="0.3">
      <c r="A840" t="s">
        <v>878</v>
      </c>
      <c r="B840" t="s">
        <v>31</v>
      </c>
      <c r="C840" t="s">
        <v>856</v>
      </c>
      <c r="D840" s="1">
        <v>0.62599537037037034</v>
      </c>
      <c r="E840" s="2">
        <f>CallLog[[#This Row],[Date]]+CallLog[[#This Row],[Time]]</f>
        <v>44211.62599537037</v>
      </c>
      <c r="F840" s="1" t="str">
        <f>TEXT(CallLog[[#This Row],[Date]],"dddd")</f>
        <v>Friday</v>
      </c>
      <c r="G840" s="3">
        <f>HOUR(CallLog[[#This Row],[Time]])</f>
        <v>15</v>
      </c>
      <c r="H840" t="s">
        <v>13</v>
      </c>
      <c r="I840" t="s">
        <v>14</v>
      </c>
      <c r="J840" t="s">
        <v>14</v>
      </c>
      <c r="K840">
        <v>21</v>
      </c>
      <c r="L840" t="str">
        <f>IF(AND(CallLog[[#This Row],[Answered (Y/N)]]="Y", CallLog[[#This Row],[Speed of answer in seconds]]&lt;=20),
    "Within",
    "Breach")</f>
        <v>Breach</v>
      </c>
      <c r="M840" s="1">
        <v>1.0648148148148149E-3</v>
      </c>
      <c r="N840">
        <v>5</v>
      </c>
    </row>
    <row r="841" spans="1:14" x14ac:dyDescent="0.3">
      <c r="A841" t="s">
        <v>879</v>
      </c>
      <c r="B841" t="s">
        <v>11</v>
      </c>
      <c r="C841" t="s">
        <v>856</v>
      </c>
      <c r="D841" s="1">
        <v>0.62599537037037034</v>
      </c>
      <c r="E841" s="2">
        <f>CallLog[[#This Row],[Date]]+CallLog[[#This Row],[Time]]</f>
        <v>44211.62599537037</v>
      </c>
      <c r="F841" s="1" t="str">
        <f>TEXT(CallLog[[#This Row],[Date]],"dddd")</f>
        <v>Friday</v>
      </c>
      <c r="G841" s="3">
        <f>HOUR(CallLog[[#This Row],[Time]])</f>
        <v>15</v>
      </c>
      <c r="H841" t="s">
        <v>24</v>
      </c>
      <c r="I841" t="s">
        <v>18</v>
      </c>
      <c r="J841" t="s">
        <v>18</v>
      </c>
      <c r="L841" t="str">
        <f>IF(AND(CallLog[[#This Row],[Answered (Y/N)]]="Y", CallLog[[#This Row],[Speed of answer in seconds]]&lt;=20),
    "Within",
    "Breach")</f>
        <v>Breach</v>
      </c>
    </row>
    <row r="842" spans="1:14" x14ac:dyDescent="0.3">
      <c r="A842" t="s">
        <v>880</v>
      </c>
      <c r="B842" t="s">
        <v>11</v>
      </c>
      <c r="C842" t="s">
        <v>856</v>
      </c>
      <c r="D842" s="1">
        <v>0.64</v>
      </c>
      <c r="E842" s="2">
        <f>CallLog[[#This Row],[Date]]+CallLog[[#This Row],[Time]]</f>
        <v>44211.64</v>
      </c>
      <c r="F842" s="1" t="str">
        <f>TEXT(CallLog[[#This Row],[Date]],"dddd")</f>
        <v>Friday</v>
      </c>
      <c r="G842" s="3">
        <f>HOUR(CallLog[[#This Row],[Time]])</f>
        <v>15</v>
      </c>
      <c r="H842" t="s">
        <v>17</v>
      </c>
      <c r="I842" t="s">
        <v>14</v>
      </c>
      <c r="J842" t="s">
        <v>18</v>
      </c>
      <c r="K842">
        <v>60</v>
      </c>
      <c r="L842" t="str">
        <f>IF(AND(CallLog[[#This Row],[Answered (Y/N)]]="Y", CallLog[[#This Row],[Speed of answer in seconds]]&lt;=20),
    "Within",
    "Breach")</f>
        <v>Breach</v>
      </c>
      <c r="M842" s="1">
        <v>2.4074074074074076E-3</v>
      </c>
      <c r="N842">
        <v>4</v>
      </c>
    </row>
    <row r="843" spans="1:14" x14ac:dyDescent="0.3">
      <c r="A843" t="s">
        <v>881</v>
      </c>
      <c r="B843" t="s">
        <v>22</v>
      </c>
      <c r="C843" t="s">
        <v>856</v>
      </c>
      <c r="D843" s="1">
        <v>0.64</v>
      </c>
      <c r="E843" s="2">
        <f>CallLog[[#This Row],[Date]]+CallLog[[#This Row],[Time]]</f>
        <v>44211.64</v>
      </c>
      <c r="F843" s="1" t="str">
        <f>TEXT(CallLog[[#This Row],[Date]],"dddd")</f>
        <v>Friday</v>
      </c>
      <c r="G843" s="3">
        <f>HOUR(CallLog[[#This Row],[Time]])</f>
        <v>15</v>
      </c>
      <c r="H843" t="s">
        <v>24</v>
      </c>
      <c r="I843" t="s">
        <v>14</v>
      </c>
      <c r="J843" t="s">
        <v>14</v>
      </c>
      <c r="K843">
        <v>93</v>
      </c>
      <c r="L843" t="str">
        <f>IF(AND(CallLog[[#This Row],[Answered (Y/N)]]="Y", CallLog[[#This Row],[Speed of answer in seconds]]&lt;=20),
    "Within",
    "Breach")</f>
        <v>Breach</v>
      </c>
      <c r="M843" s="1">
        <v>1.6782407407407408E-3</v>
      </c>
      <c r="N843">
        <v>2</v>
      </c>
    </row>
    <row r="844" spans="1:14" x14ac:dyDescent="0.3">
      <c r="A844" t="s">
        <v>882</v>
      </c>
      <c r="B844" t="s">
        <v>22</v>
      </c>
      <c r="C844" t="s">
        <v>856</v>
      </c>
      <c r="D844" s="1">
        <v>0.64599537037037036</v>
      </c>
      <c r="E844" s="2">
        <f>CallLog[[#This Row],[Date]]+CallLog[[#This Row],[Time]]</f>
        <v>44211.645995370367</v>
      </c>
      <c r="F844" s="1" t="str">
        <f>TEXT(CallLog[[#This Row],[Date]],"dddd")</f>
        <v>Friday</v>
      </c>
      <c r="G844" s="3">
        <f>HOUR(CallLog[[#This Row],[Time]])</f>
        <v>15</v>
      </c>
      <c r="H844" t="s">
        <v>13</v>
      </c>
      <c r="I844" t="s">
        <v>18</v>
      </c>
      <c r="J844" t="s">
        <v>18</v>
      </c>
      <c r="L844" t="str">
        <f>IF(AND(CallLog[[#This Row],[Answered (Y/N)]]="Y", CallLog[[#This Row],[Speed of answer in seconds]]&lt;=20),
    "Within",
    "Breach")</f>
        <v>Breach</v>
      </c>
    </row>
    <row r="845" spans="1:14" x14ac:dyDescent="0.3">
      <c r="A845" t="s">
        <v>883</v>
      </c>
      <c r="B845" t="s">
        <v>11</v>
      </c>
      <c r="C845" t="s">
        <v>856</v>
      </c>
      <c r="D845" s="1">
        <v>0.64599537037037036</v>
      </c>
      <c r="E845" s="2">
        <f>CallLog[[#This Row],[Date]]+CallLog[[#This Row],[Time]]</f>
        <v>44211.645995370367</v>
      </c>
      <c r="F845" s="1" t="str">
        <f>TEXT(CallLog[[#This Row],[Date]],"dddd")</f>
        <v>Friday</v>
      </c>
      <c r="G845" s="3">
        <f>HOUR(CallLog[[#This Row],[Time]])</f>
        <v>15</v>
      </c>
      <c r="H845" t="s">
        <v>32</v>
      </c>
      <c r="I845" t="s">
        <v>14</v>
      </c>
      <c r="J845" t="s">
        <v>14</v>
      </c>
      <c r="K845">
        <v>79</v>
      </c>
      <c r="L845" t="str">
        <f>IF(AND(CallLog[[#This Row],[Answered (Y/N)]]="Y", CallLog[[#This Row],[Speed of answer in seconds]]&lt;=20),
    "Within",
    "Breach")</f>
        <v>Breach</v>
      </c>
      <c r="M845" s="1">
        <v>4.3055555555555555E-3</v>
      </c>
      <c r="N845">
        <v>3</v>
      </c>
    </row>
    <row r="846" spans="1:14" x14ac:dyDescent="0.3">
      <c r="A846" t="s">
        <v>884</v>
      </c>
      <c r="B846" t="s">
        <v>11</v>
      </c>
      <c r="C846" t="s">
        <v>856</v>
      </c>
      <c r="D846" s="1">
        <v>0.65700231481481486</v>
      </c>
      <c r="E846" s="2">
        <f>CallLog[[#This Row],[Date]]+CallLog[[#This Row],[Time]]</f>
        <v>44211.657002314816</v>
      </c>
      <c r="F846" s="1" t="str">
        <f>TEXT(CallLog[[#This Row],[Date]],"dddd")</f>
        <v>Friday</v>
      </c>
      <c r="G846" s="3">
        <f>HOUR(CallLog[[#This Row],[Time]])</f>
        <v>15</v>
      </c>
      <c r="H846" t="s">
        <v>17</v>
      </c>
      <c r="I846" t="s">
        <v>14</v>
      </c>
      <c r="J846" t="s">
        <v>14</v>
      </c>
      <c r="K846">
        <v>21</v>
      </c>
      <c r="L846" t="str">
        <f>IF(AND(CallLog[[#This Row],[Answered (Y/N)]]="Y", CallLog[[#This Row],[Speed of answer in seconds]]&lt;=20),
    "Within",
    "Breach")</f>
        <v>Breach</v>
      </c>
      <c r="M846" s="1">
        <v>4.1319444444444442E-3</v>
      </c>
      <c r="N846">
        <v>5</v>
      </c>
    </row>
    <row r="847" spans="1:14" x14ac:dyDescent="0.3">
      <c r="A847" t="s">
        <v>885</v>
      </c>
      <c r="B847" t="s">
        <v>20</v>
      </c>
      <c r="C847" t="s">
        <v>856</v>
      </c>
      <c r="D847" s="1">
        <v>0.65700231481481486</v>
      </c>
      <c r="E847" s="2">
        <f>CallLog[[#This Row],[Date]]+CallLog[[#This Row],[Time]]</f>
        <v>44211.657002314816</v>
      </c>
      <c r="F847" s="1" t="str">
        <f>TEXT(CallLog[[#This Row],[Date]],"dddd")</f>
        <v>Friday</v>
      </c>
      <c r="G847" s="3">
        <f>HOUR(CallLog[[#This Row],[Time]])</f>
        <v>15</v>
      </c>
      <c r="H847" t="s">
        <v>13</v>
      </c>
      <c r="I847" t="s">
        <v>14</v>
      </c>
      <c r="J847" t="s">
        <v>14</v>
      </c>
      <c r="K847">
        <v>102</v>
      </c>
      <c r="L847" t="str">
        <f>IF(AND(CallLog[[#This Row],[Answered (Y/N)]]="Y", CallLog[[#This Row],[Speed of answer in seconds]]&lt;=20),
    "Within",
    "Breach")</f>
        <v>Breach</v>
      </c>
      <c r="M847" s="1">
        <v>1.9212962962962964E-3</v>
      </c>
      <c r="N847">
        <v>5</v>
      </c>
    </row>
    <row r="848" spans="1:14" x14ac:dyDescent="0.3">
      <c r="A848" t="s">
        <v>886</v>
      </c>
      <c r="B848" t="s">
        <v>34</v>
      </c>
      <c r="C848" t="s">
        <v>856</v>
      </c>
      <c r="D848" s="1">
        <v>0.67099537037037038</v>
      </c>
      <c r="E848" s="2">
        <f>CallLog[[#This Row],[Date]]+CallLog[[#This Row],[Time]]</f>
        <v>44211.670995370368</v>
      </c>
      <c r="F848" s="1" t="str">
        <f>TEXT(CallLog[[#This Row],[Date]],"dddd")</f>
        <v>Friday</v>
      </c>
      <c r="G848" s="3">
        <f>HOUR(CallLog[[#This Row],[Time]])</f>
        <v>16</v>
      </c>
      <c r="H848" t="s">
        <v>24</v>
      </c>
      <c r="I848" t="s">
        <v>14</v>
      </c>
      <c r="J848" t="s">
        <v>18</v>
      </c>
      <c r="K848">
        <v>10</v>
      </c>
      <c r="L848" t="str">
        <f>IF(AND(CallLog[[#This Row],[Answered (Y/N)]]="Y", CallLog[[#This Row],[Speed of answer in seconds]]&lt;=20),
    "Within",
    "Breach")</f>
        <v>Within</v>
      </c>
      <c r="M848" s="1">
        <v>9.0277777777777774E-4</v>
      </c>
      <c r="N848">
        <v>5</v>
      </c>
    </row>
    <row r="849" spans="1:14" x14ac:dyDescent="0.3">
      <c r="A849" t="s">
        <v>887</v>
      </c>
      <c r="B849" t="s">
        <v>20</v>
      </c>
      <c r="C849" t="s">
        <v>856</v>
      </c>
      <c r="D849" s="1">
        <v>0.67099537037037038</v>
      </c>
      <c r="E849" s="2">
        <f>CallLog[[#This Row],[Date]]+CallLog[[#This Row],[Time]]</f>
        <v>44211.670995370368</v>
      </c>
      <c r="F849" s="1" t="str">
        <f>TEXT(CallLog[[#This Row],[Date]],"dddd")</f>
        <v>Friday</v>
      </c>
      <c r="G849" s="3">
        <f>HOUR(CallLog[[#This Row],[Time]])</f>
        <v>16</v>
      </c>
      <c r="H849" t="s">
        <v>17</v>
      </c>
      <c r="I849" t="s">
        <v>14</v>
      </c>
      <c r="J849" t="s">
        <v>14</v>
      </c>
      <c r="K849">
        <v>117</v>
      </c>
      <c r="L849" t="str">
        <f>IF(AND(CallLog[[#This Row],[Answered (Y/N)]]="Y", CallLog[[#This Row],[Speed of answer in seconds]]&lt;=20),
    "Within",
    "Breach")</f>
        <v>Breach</v>
      </c>
      <c r="M849" s="1">
        <v>4.7453703703703698E-4</v>
      </c>
      <c r="N849">
        <v>4</v>
      </c>
    </row>
    <row r="850" spans="1:14" x14ac:dyDescent="0.3">
      <c r="A850" t="s">
        <v>888</v>
      </c>
      <c r="B850" t="s">
        <v>16</v>
      </c>
      <c r="C850" t="s">
        <v>856</v>
      </c>
      <c r="D850" s="1">
        <v>0.69299768518518523</v>
      </c>
      <c r="E850" s="2">
        <f>CallLog[[#This Row],[Date]]+CallLog[[#This Row],[Time]]</f>
        <v>44211.692997685182</v>
      </c>
      <c r="F850" s="1" t="str">
        <f>TEXT(CallLog[[#This Row],[Date]],"dddd")</f>
        <v>Friday</v>
      </c>
      <c r="G850" s="3">
        <f>HOUR(CallLog[[#This Row],[Time]])</f>
        <v>16</v>
      </c>
      <c r="H850" t="s">
        <v>13</v>
      </c>
      <c r="I850" t="s">
        <v>14</v>
      </c>
      <c r="J850" t="s">
        <v>14</v>
      </c>
      <c r="K850">
        <v>45</v>
      </c>
      <c r="L850" t="str">
        <f>IF(AND(CallLog[[#This Row],[Answered (Y/N)]]="Y", CallLog[[#This Row],[Speed of answer in seconds]]&lt;=20),
    "Within",
    "Breach")</f>
        <v>Breach</v>
      </c>
      <c r="M850" s="1">
        <v>4.7800925925925927E-3</v>
      </c>
      <c r="N850">
        <v>3</v>
      </c>
    </row>
    <row r="851" spans="1:14" x14ac:dyDescent="0.3">
      <c r="A851" t="s">
        <v>889</v>
      </c>
      <c r="B851" t="s">
        <v>22</v>
      </c>
      <c r="C851" t="s">
        <v>856</v>
      </c>
      <c r="D851" s="1">
        <v>0.69299768518518523</v>
      </c>
      <c r="E851" s="2">
        <f>CallLog[[#This Row],[Date]]+CallLog[[#This Row],[Time]]</f>
        <v>44211.692997685182</v>
      </c>
      <c r="F851" s="1" t="str">
        <f>TEXT(CallLog[[#This Row],[Date]],"dddd")</f>
        <v>Friday</v>
      </c>
      <c r="G851" s="3">
        <f>HOUR(CallLog[[#This Row],[Time]])</f>
        <v>16</v>
      </c>
      <c r="H851" t="s">
        <v>29</v>
      </c>
      <c r="I851" t="s">
        <v>14</v>
      </c>
      <c r="J851" t="s">
        <v>18</v>
      </c>
      <c r="K851">
        <v>50</v>
      </c>
      <c r="L851" t="str">
        <f>IF(AND(CallLog[[#This Row],[Answered (Y/N)]]="Y", CallLog[[#This Row],[Speed of answer in seconds]]&lt;=20),
    "Within",
    "Breach")</f>
        <v>Breach</v>
      </c>
      <c r="M851" s="1">
        <v>7.0601851851851847E-4</v>
      </c>
      <c r="N851">
        <v>3</v>
      </c>
    </row>
    <row r="852" spans="1:14" x14ac:dyDescent="0.3">
      <c r="A852" t="s">
        <v>890</v>
      </c>
      <c r="B852" t="s">
        <v>16</v>
      </c>
      <c r="C852" t="s">
        <v>856</v>
      </c>
      <c r="D852" s="1">
        <v>0.69499999999999995</v>
      </c>
      <c r="E852" s="2">
        <f>CallLog[[#This Row],[Date]]+CallLog[[#This Row],[Time]]</f>
        <v>44211.695</v>
      </c>
      <c r="F852" s="1" t="str">
        <f>TEXT(CallLog[[#This Row],[Date]],"dddd")</f>
        <v>Friday</v>
      </c>
      <c r="G852" s="3">
        <f>HOUR(CallLog[[#This Row],[Time]])</f>
        <v>16</v>
      </c>
      <c r="H852" t="s">
        <v>29</v>
      </c>
      <c r="I852" t="s">
        <v>14</v>
      </c>
      <c r="J852" t="s">
        <v>14</v>
      </c>
      <c r="K852">
        <v>42</v>
      </c>
      <c r="L852" t="str">
        <f>IF(AND(CallLog[[#This Row],[Answered (Y/N)]]="Y", CallLog[[#This Row],[Speed of answer in seconds]]&lt;=20),
    "Within",
    "Breach")</f>
        <v>Breach</v>
      </c>
      <c r="M852" s="1">
        <v>1.9444444444444444E-3</v>
      </c>
      <c r="N852">
        <v>3</v>
      </c>
    </row>
    <row r="853" spans="1:14" x14ac:dyDescent="0.3">
      <c r="A853" t="s">
        <v>891</v>
      </c>
      <c r="B853" t="s">
        <v>31</v>
      </c>
      <c r="C853" t="s">
        <v>856</v>
      </c>
      <c r="D853" s="1">
        <v>0.69499999999999995</v>
      </c>
      <c r="E853" s="2">
        <f>CallLog[[#This Row],[Date]]+CallLog[[#This Row],[Time]]</f>
        <v>44211.695</v>
      </c>
      <c r="F853" s="1" t="str">
        <f>TEXT(CallLog[[#This Row],[Date]],"dddd")</f>
        <v>Friday</v>
      </c>
      <c r="G853" s="3">
        <f>HOUR(CallLog[[#This Row],[Time]])</f>
        <v>16</v>
      </c>
      <c r="H853" t="s">
        <v>13</v>
      </c>
      <c r="I853" t="s">
        <v>14</v>
      </c>
      <c r="J853" t="s">
        <v>14</v>
      </c>
      <c r="K853">
        <v>86</v>
      </c>
      <c r="L853" t="str">
        <f>IF(AND(CallLog[[#This Row],[Answered (Y/N)]]="Y", CallLog[[#This Row],[Speed of answer in seconds]]&lt;=20),
    "Within",
    "Breach")</f>
        <v>Breach</v>
      </c>
      <c r="M853" s="1">
        <v>4.2013888888888891E-3</v>
      </c>
      <c r="N853">
        <v>3</v>
      </c>
    </row>
    <row r="854" spans="1:14" x14ac:dyDescent="0.3">
      <c r="A854" t="s">
        <v>892</v>
      </c>
      <c r="B854" t="s">
        <v>31</v>
      </c>
      <c r="C854" t="s">
        <v>856</v>
      </c>
      <c r="D854" s="1">
        <v>0.69700231481481478</v>
      </c>
      <c r="E854" s="2">
        <f>CallLog[[#This Row],[Date]]+CallLog[[#This Row],[Time]]</f>
        <v>44211.697002314817</v>
      </c>
      <c r="F854" s="1" t="str">
        <f>TEXT(CallLog[[#This Row],[Date]],"dddd")</f>
        <v>Friday</v>
      </c>
      <c r="G854" s="3">
        <f>HOUR(CallLog[[#This Row],[Time]])</f>
        <v>16</v>
      </c>
      <c r="H854" t="s">
        <v>13</v>
      </c>
      <c r="I854" t="s">
        <v>14</v>
      </c>
      <c r="J854" t="s">
        <v>14</v>
      </c>
      <c r="K854">
        <v>92</v>
      </c>
      <c r="L854" t="str">
        <f>IF(AND(CallLog[[#This Row],[Answered (Y/N)]]="Y", CallLog[[#This Row],[Speed of answer in seconds]]&lt;=20),
    "Within",
    "Breach")</f>
        <v>Breach</v>
      </c>
      <c r="M854" s="1">
        <v>3.2754629629629631E-3</v>
      </c>
      <c r="N854">
        <v>5</v>
      </c>
    </row>
    <row r="855" spans="1:14" x14ac:dyDescent="0.3">
      <c r="A855" t="s">
        <v>893</v>
      </c>
      <c r="B855" t="s">
        <v>11</v>
      </c>
      <c r="C855" t="s">
        <v>856</v>
      </c>
      <c r="D855" s="1">
        <v>0.69700231481481478</v>
      </c>
      <c r="E855" s="2">
        <f>CallLog[[#This Row],[Date]]+CallLog[[#This Row],[Time]]</f>
        <v>44211.697002314817</v>
      </c>
      <c r="F855" s="1" t="str">
        <f>TEXT(CallLog[[#This Row],[Date]],"dddd")</f>
        <v>Friday</v>
      </c>
      <c r="G855" s="3">
        <f>HOUR(CallLog[[#This Row],[Time]])</f>
        <v>16</v>
      </c>
      <c r="H855" t="s">
        <v>32</v>
      </c>
      <c r="I855" t="s">
        <v>14</v>
      </c>
      <c r="J855" t="s">
        <v>14</v>
      </c>
      <c r="K855">
        <v>54</v>
      </c>
      <c r="L855" t="str">
        <f>IF(AND(CallLog[[#This Row],[Answered (Y/N)]]="Y", CallLog[[#This Row],[Speed of answer in seconds]]&lt;=20),
    "Within",
    "Breach")</f>
        <v>Breach</v>
      </c>
      <c r="M855" s="1">
        <v>3.9236111111111112E-3</v>
      </c>
      <c r="N855">
        <v>5</v>
      </c>
    </row>
    <row r="856" spans="1:14" x14ac:dyDescent="0.3">
      <c r="A856" t="s">
        <v>894</v>
      </c>
      <c r="B856" t="s">
        <v>47</v>
      </c>
      <c r="C856" t="s">
        <v>856</v>
      </c>
      <c r="D856" s="1">
        <v>0.72299768518518515</v>
      </c>
      <c r="E856" s="2">
        <f>CallLog[[#This Row],[Date]]+CallLog[[#This Row],[Time]]</f>
        <v>44211.722997685189</v>
      </c>
      <c r="F856" s="1" t="str">
        <f>TEXT(CallLog[[#This Row],[Date]],"dddd")</f>
        <v>Friday</v>
      </c>
      <c r="G856" s="3">
        <f>HOUR(CallLog[[#This Row],[Time]])</f>
        <v>17</v>
      </c>
      <c r="H856" t="s">
        <v>32</v>
      </c>
      <c r="I856" t="s">
        <v>14</v>
      </c>
      <c r="J856" t="s">
        <v>14</v>
      </c>
      <c r="K856">
        <v>76</v>
      </c>
      <c r="L856" t="str">
        <f>IF(AND(CallLog[[#This Row],[Answered (Y/N)]]="Y", CallLog[[#This Row],[Speed of answer in seconds]]&lt;=20),
    "Within",
    "Breach")</f>
        <v>Breach</v>
      </c>
      <c r="M856" s="1">
        <v>4.5717592592592589E-3</v>
      </c>
      <c r="N856">
        <v>3</v>
      </c>
    </row>
    <row r="857" spans="1:14" x14ac:dyDescent="0.3">
      <c r="A857" t="s">
        <v>895</v>
      </c>
      <c r="B857" t="s">
        <v>22</v>
      </c>
      <c r="C857" t="s">
        <v>856</v>
      </c>
      <c r="D857" s="1">
        <v>0.72299768518518515</v>
      </c>
      <c r="E857" s="2">
        <f>CallLog[[#This Row],[Date]]+CallLog[[#This Row],[Time]]</f>
        <v>44211.722997685189</v>
      </c>
      <c r="F857" s="1" t="str">
        <f>TEXT(CallLog[[#This Row],[Date]],"dddd")</f>
        <v>Friday</v>
      </c>
      <c r="G857" s="3">
        <f>HOUR(CallLog[[#This Row],[Time]])</f>
        <v>17</v>
      </c>
      <c r="H857" t="s">
        <v>29</v>
      </c>
      <c r="I857" t="s">
        <v>14</v>
      </c>
      <c r="J857" t="s">
        <v>14</v>
      </c>
      <c r="K857">
        <v>49</v>
      </c>
      <c r="L857" t="str">
        <f>IF(AND(CallLog[[#This Row],[Answered (Y/N)]]="Y", CallLog[[#This Row],[Speed of answer in seconds]]&lt;=20),
    "Within",
    "Breach")</f>
        <v>Breach</v>
      </c>
      <c r="M857" s="1">
        <v>1.3773148148148147E-3</v>
      </c>
      <c r="N857">
        <v>5</v>
      </c>
    </row>
    <row r="858" spans="1:14" x14ac:dyDescent="0.3">
      <c r="A858" t="s">
        <v>896</v>
      </c>
      <c r="B858" t="s">
        <v>34</v>
      </c>
      <c r="C858" t="s">
        <v>856</v>
      </c>
      <c r="D858" s="1">
        <v>0.73499999999999999</v>
      </c>
      <c r="E858" s="2">
        <f>CallLog[[#This Row],[Date]]+CallLog[[#This Row],[Time]]</f>
        <v>44211.735000000001</v>
      </c>
      <c r="F858" s="1" t="str">
        <f>TEXT(CallLog[[#This Row],[Date]],"dddd")</f>
        <v>Friday</v>
      </c>
      <c r="G858" s="3">
        <f>HOUR(CallLog[[#This Row],[Time]])</f>
        <v>17</v>
      </c>
      <c r="H858" t="s">
        <v>13</v>
      </c>
      <c r="I858" t="s">
        <v>14</v>
      </c>
      <c r="J858" t="s">
        <v>14</v>
      </c>
      <c r="K858">
        <v>13</v>
      </c>
      <c r="L858" t="str">
        <f>IF(AND(CallLog[[#This Row],[Answered (Y/N)]]="Y", CallLog[[#This Row],[Speed of answer in seconds]]&lt;=20),
    "Within",
    "Breach")</f>
        <v>Within</v>
      </c>
      <c r="M858" s="1">
        <v>3.3564814814814816E-3</v>
      </c>
      <c r="N858">
        <v>3</v>
      </c>
    </row>
    <row r="859" spans="1:14" x14ac:dyDescent="0.3">
      <c r="A859" t="s">
        <v>897</v>
      </c>
      <c r="B859" t="s">
        <v>16</v>
      </c>
      <c r="C859" t="s">
        <v>856</v>
      </c>
      <c r="D859" s="1">
        <v>0.73499999999999999</v>
      </c>
      <c r="E859" s="2">
        <f>CallLog[[#This Row],[Date]]+CallLog[[#This Row],[Time]]</f>
        <v>44211.735000000001</v>
      </c>
      <c r="F859" s="1" t="str">
        <f>TEXT(CallLog[[#This Row],[Date]],"dddd")</f>
        <v>Friday</v>
      </c>
      <c r="G859" s="3">
        <f>HOUR(CallLog[[#This Row],[Time]])</f>
        <v>17</v>
      </c>
      <c r="H859" t="s">
        <v>24</v>
      </c>
      <c r="I859" t="s">
        <v>18</v>
      </c>
      <c r="J859" t="s">
        <v>18</v>
      </c>
      <c r="L859" t="str">
        <f>IF(AND(CallLog[[#This Row],[Answered (Y/N)]]="Y", CallLog[[#This Row],[Speed of answer in seconds]]&lt;=20),
    "Within",
    "Breach")</f>
        <v>Breach</v>
      </c>
    </row>
    <row r="860" spans="1:14" x14ac:dyDescent="0.3">
      <c r="A860" t="s">
        <v>898</v>
      </c>
      <c r="B860" t="s">
        <v>16</v>
      </c>
      <c r="C860" t="s">
        <v>856</v>
      </c>
      <c r="D860" s="1">
        <v>0.73700231481481482</v>
      </c>
      <c r="E860" s="2">
        <f>CallLog[[#This Row],[Date]]+CallLog[[#This Row],[Time]]</f>
        <v>44211.737002314818</v>
      </c>
      <c r="F860" s="1" t="str">
        <f>TEXT(CallLog[[#This Row],[Date]],"dddd")</f>
        <v>Friday</v>
      </c>
      <c r="G860" s="3">
        <f>HOUR(CallLog[[#This Row],[Time]])</f>
        <v>17</v>
      </c>
      <c r="H860" t="s">
        <v>32</v>
      </c>
      <c r="I860" t="s">
        <v>14</v>
      </c>
      <c r="J860" t="s">
        <v>14</v>
      </c>
      <c r="K860">
        <v>24</v>
      </c>
      <c r="L860" t="str">
        <f>IF(AND(CallLog[[#This Row],[Answered (Y/N)]]="Y", CallLog[[#This Row],[Speed of answer in seconds]]&lt;=20),
    "Within",
    "Breach")</f>
        <v>Breach</v>
      </c>
      <c r="M860" s="1">
        <v>3.8194444444444443E-3</v>
      </c>
      <c r="N860">
        <v>5</v>
      </c>
    </row>
    <row r="861" spans="1:14" x14ac:dyDescent="0.3">
      <c r="A861" t="s">
        <v>899</v>
      </c>
      <c r="B861" t="s">
        <v>16</v>
      </c>
      <c r="C861" t="s">
        <v>856</v>
      </c>
      <c r="D861" s="1">
        <v>0.73700231481481482</v>
      </c>
      <c r="E861" s="2">
        <f>CallLog[[#This Row],[Date]]+CallLog[[#This Row],[Time]]</f>
        <v>44211.737002314818</v>
      </c>
      <c r="F861" s="1" t="str">
        <f>TEXT(CallLog[[#This Row],[Date]],"dddd")</f>
        <v>Friday</v>
      </c>
      <c r="G861" s="3">
        <f>HOUR(CallLog[[#This Row],[Time]])</f>
        <v>17</v>
      </c>
      <c r="H861" t="s">
        <v>32</v>
      </c>
      <c r="I861" t="s">
        <v>14</v>
      </c>
      <c r="J861" t="s">
        <v>14</v>
      </c>
      <c r="K861">
        <v>71</v>
      </c>
      <c r="L861" t="str">
        <f>IF(AND(CallLog[[#This Row],[Answered (Y/N)]]="Y", CallLog[[#This Row],[Speed of answer in seconds]]&lt;=20),
    "Within",
    "Breach")</f>
        <v>Breach</v>
      </c>
      <c r="M861" s="1">
        <v>1.8402777777777777E-3</v>
      </c>
      <c r="N861">
        <v>3</v>
      </c>
    </row>
    <row r="862" spans="1:14" x14ac:dyDescent="0.3">
      <c r="A862" t="s">
        <v>900</v>
      </c>
      <c r="B862" t="s">
        <v>20</v>
      </c>
      <c r="C862" t="s">
        <v>856</v>
      </c>
      <c r="D862" s="1">
        <v>0.75</v>
      </c>
      <c r="E862" s="2">
        <f>CallLog[[#This Row],[Date]]+CallLog[[#This Row],[Time]]</f>
        <v>44211.75</v>
      </c>
      <c r="F862" s="1" t="str">
        <f>TEXT(CallLog[[#This Row],[Date]],"dddd")</f>
        <v>Friday</v>
      </c>
      <c r="G862" s="3">
        <f>HOUR(CallLog[[#This Row],[Time]])</f>
        <v>18</v>
      </c>
      <c r="H862" t="s">
        <v>29</v>
      </c>
      <c r="I862" t="s">
        <v>14</v>
      </c>
      <c r="J862" t="s">
        <v>14</v>
      </c>
      <c r="K862">
        <v>42</v>
      </c>
      <c r="L862" t="str">
        <f>IF(AND(CallLog[[#This Row],[Answered (Y/N)]]="Y", CallLog[[#This Row],[Speed of answer in seconds]]&lt;=20),
    "Within",
    "Breach")</f>
        <v>Breach</v>
      </c>
      <c r="M862" s="1">
        <v>4.31712962962963E-3</v>
      </c>
      <c r="N862">
        <v>3</v>
      </c>
    </row>
    <row r="863" spans="1:14" x14ac:dyDescent="0.3">
      <c r="A863" t="s">
        <v>901</v>
      </c>
      <c r="B863" t="s">
        <v>16</v>
      </c>
      <c r="C863" t="s">
        <v>856</v>
      </c>
      <c r="D863" s="1">
        <v>0.75</v>
      </c>
      <c r="E863" s="2">
        <f>CallLog[[#This Row],[Date]]+CallLog[[#This Row],[Time]]</f>
        <v>44211.75</v>
      </c>
      <c r="F863" s="1" t="str">
        <f>TEXT(CallLog[[#This Row],[Date]],"dddd")</f>
        <v>Friday</v>
      </c>
      <c r="G863" s="3">
        <f>HOUR(CallLog[[#This Row],[Time]])</f>
        <v>18</v>
      </c>
      <c r="H863" t="s">
        <v>32</v>
      </c>
      <c r="I863" t="s">
        <v>14</v>
      </c>
      <c r="J863" t="s">
        <v>14</v>
      </c>
      <c r="K863">
        <v>63</v>
      </c>
      <c r="L863" t="str">
        <f>IF(AND(CallLog[[#This Row],[Answered (Y/N)]]="Y", CallLog[[#This Row],[Speed of answer in seconds]]&lt;=20),
    "Within",
    "Breach")</f>
        <v>Breach</v>
      </c>
      <c r="M863" s="1">
        <v>3.7615740740740739E-3</v>
      </c>
      <c r="N863">
        <v>1</v>
      </c>
    </row>
    <row r="864" spans="1:14" x14ac:dyDescent="0.3">
      <c r="A864" t="s">
        <v>902</v>
      </c>
      <c r="B864" t="s">
        <v>16</v>
      </c>
      <c r="C864" t="s">
        <v>903</v>
      </c>
      <c r="D864" s="1">
        <v>0.375</v>
      </c>
      <c r="E864" s="2">
        <f>CallLog[[#This Row],[Date]]+CallLog[[#This Row],[Time]]</f>
        <v>44212.375</v>
      </c>
      <c r="F864" s="1" t="str">
        <f>TEXT(CallLog[[#This Row],[Date]],"dddd")</f>
        <v>Saturday</v>
      </c>
      <c r="G864" s="3">
        <f>HOUR(CallLog[[#This Row],[Time]])</f>
        <v>9</v>
      </c>
      <c r="H864" t="s">
        <v>17</v>
      </c>
      <c r="I864" t="s">
        <v>14</v>
      </c>
      <c r="J864" t="s">
        <v>18</v>
      </c>
      <c r="K864">
        <v>19</v>
      </c>
      <c r="L864" t="str">
        <f>IF(AND(CallLog[[#This Row],[Answered (Y/N)]]="Y", CallLog[[#This Row],[Speed of answer in seconds]]&lt;=20),
    "Within",
    "Breach")</f>
        <v>Within</v>
      </c>
      <c r="M864" s="1">
        <v>4.1666666666666669E-4</v>
      </c>
      <c r="N864">
        <v>5</v>
      </c>
    </row>
    <row r="865" spans="1:14" x14ac:dyDescent="0.3">
      <c r="A865" t="s">
        <v>904</v>
      </c>
      <c r="B865" t="s">
        <v>47</v>
      </c>
      <c r="C865" t="s">
        <v>903</v>
      </c>
      <c r="D865" s="1">
        <v>0.375</v>
      </c>
      <c r="E865" s="2">
        <f>CallLog[[#This Row],[Date]]+CallLog[[#This Row],[Time]]</f>
        <v>44212.375</v>
      </c>
      <c r="F865" s="1" t="str">
        <f>TEXT(CallLog[[#This Row],[Date]],"dddd")</f>
        <v>Saturday</v>
      </c>
      <c r="G865" s="3">
        <f>HOUR(CallLog[[#This Row],[Time]])</f>
        <v>9</v>
      </c>
      <c r="H865" t="s">
        <v>32</v>
      </c>
      <c r="I865" t="s">
        <v>14</v>
      </c>
      <c r="J865" t="s">
        <v>14</v>
      </c>
      <c r="K865">
        <v>107</v>
      </c>
      <c r="L865" t="str">
        <f>IF(AND(CallLog[[#This Row],[Answered (Y/N)]]="Y", CallLog[[#This Row],[Speed of answer in seconds]]&lt;=20),
    "Within",
    "Breach")</f>
        <v>Breach</v>
      </c>
      <c r="M865" s="1">
        <v>3.5995370370370369E-3</v>
      </c>
      <c r="N865">
        <v>1</v>
      </c>
    </row>
    <row r="866" spans="1:14" x14ac:dyDescent="0.3">
      <c r="A866" t="s">
        <v>905</v>
      </c>
      <c r="B866" t="s">
        <v>47</v>
      </c>
      <c r="C866" t="s">
        <v>903</v>
      </c>
      <c r="D866" s="1">
        <v>0.43099537037037039</v>
      </c>
      <c r="E866" s="2">
        <f>CallLog[[#This Row],[Date]]+CallLog[[#This Row],[Time]]</f>
        <v>44212.430995370371</v>
      </c>
      <c r="F866" s="1" t="str">
        <f>TEXT(CallLog[[#This Row],[Date]],"dddd")</f>
        <v>Saturday</v>
      </c>
      <c r="G866" s="3">
        <f>HOUR(CallLog[[#This Row],[Time]])</f>
        <v>10</v>
      </c>
      <c r="H866" t="s">
        <v>17</v>
      </c>
      <c r="I866" t="s">
        <v>18</v>
      </c>
      <c r="J866" t="s">
        <v>18</v>
      </c>
      <c r="L866" t="str">
        <f>IF(AND(CallLog[[#This Row],[Answered (Y/N)]]="Y", CallLog[[#This Row],[Speed of answer in seconds]]&lt;=20),
    "Within",
    "Breach")</f>
        <v>Breach</v>
      </c>
    </row>
    <row r="867" spans="1:14" x14ac:dyDescent="0.3">
      <c r="A867" t="s">
        <v>906</v>
      </c>
      <c r="B867" t="s">
        <v>38</v>
      </c>
      <c r="C867" t="s">
        <v>903</v>
      </c>
      <c r="D867" s="1">
        <v>0.43099537037037039</v>
      </c>
      <c r="E867" s="2">
        <f>CallLog[[#This Row],[Date]]+CallLog[[#This Row],[Time]]</f>
        <v>44212.430995370371</v>
      </c>
      <c r="F867" s="1" t="str">
        <f>TEXT(CallLog[[#This Row],[Date]],"dddd")</f>
        <v>Saturday</v>
      </c>
      <c r="G867" s="3">
        <f>HOUR(CallLog[[#This Row],[Time]])</f>
        <v>10</v>
      </c>
      <c r="H867" t="s">
        <v>29</v>
      </c>
      <c r="I867" t="s">
        <v>14</v>
      </c>
      <c r="J867" t="s">
        <v>14</v>
      </c>
      <c r="K867">
        <v>85</v>
      </c>
      <c r="L867" t="str">
        <f>IF(AND(CallLog[[#This Row],[Answered (Y/N)]]="Y", CallLog[[#This Row],[Speed of answer in seconds]]&lt;=20),
    "Within",
    "Breach")</f>
        <v>Breach</v>
      </c>
      <c r="M867" s="1">
        <v>3.7152777777777778E-3</v>
      </c>
      <c r="N867">
        <v>4</v>
      </c>
    </row>
    <row r="868" spans="1:14" x14ac:dyDescent="0.3">
      <c r="A868" t="s">
        <v>907</v>
      </c>
      <c r="B868" t="s">
        <v>11</v>
      </c>
      <c r="C868" t="s">
        <v>903</v>
      </c>
      <c r="D868" s="1">
        <v>0.43799768518518517</v>
      </c>
      <c r="E868" s="2">
        <f>CallLog[[#This Row],[Date]]+CallLog[[#This Row],[Time]]</f>
        <v>44212.437997685185</v>
      </c>
      <c r="F868" s="1" t="str">
        <f>TEXT(CallLog[[#This Row],[Date]],"dddd")</f>
        <v>Saturday</v>
      </c>
      <c r="G868" s="3">
        <f>HOUR(CallLog[[#This Row],[Time]])</f>
        <v>10</v>
      </c>
      <c r="H868" t="s">
        <v>17</v>
      </c>
      <c r="I868" t="s">
        <v>14</v>
      </c>
      <c r="J868" t="s">
        <v>14</v>
      </c>
      <c r="K868">
        <v>15</v>
      </c>
      <c r="L868" t="str">
        <f>IF(AND(CallLog[[#This Row],[Answered (Y/N)]]="Y", CallLog[[#This Row],[Speed of answer in seconds]]&lt;=20),
    "Within",
    "Breach")</f>
        <v>Within</v>
      </c>
      <c r="M868" s="1">
        <v>7.9861111111111116E-4</v>
      </c>
      <c r="N868">
        <v>2</v>
      </c>
    </row>
    <row r="869" spans="1:14" x14ac:dyDescent="0.3">
      <c r="A869" t="s">
        <v>908</v>
      </c>
      <c r="B869" t="s">
        <v>16</v>
      </c>
      <c r="C869" t="s">
        <v>903</v>
      </c>
      <c r="D869" s="1">
        <v>0.43799768518518517</v>
      </c>
      <c r="E869" s="2">
        <f>CallLog[[#This Row],[Date]]+CallLog[[#This Row],[Time]]</f>
        <v>44212.437997685185</v>
      </c>
      <c r="F869" s="1" t="str">
        <f>TEXT(CallLog[[#This Row],[Date]],"dddd")</f>
        <v>Saturday</v>
      </c>
      <c r="G869" s="3">
        <f>HOUR(CallLog[[#This Row],[Time]])</f>
        <v>10</v>
      </c>
      <c r="H869" t="s">
        <v>17</v>
      </c>
      <c r="I869" t="s">
        <v>14</v>
      </c>
      <c r="J869" t="s">
        <v>14</v>
      </c>
      <c r="K869">
        <v>111</v>
      </c>
      <c r="L869" t="str">
        <f>IF(AND(CallLog[[#This Row],[Answered (Y/N)]]="Y", CallLog[[#This Row],[Speed of answer in seconds]]&lt;=20),
    "Within",
    "Breach")</f>
        <v>Breach</v>
      </c>
      <c r="M869" s="1">
        <v>4.6874999999999998E-3</v>
      </c>
      <c r="N869">
        <v>5</v>
      </c>
    </row>
    <row r="870" spans="1:14" x14ac:dyDescent="0.3">
      <c r="A870" t="s">
        <v>909</v>
      </c>
      <c r="B870" t="s">
        <v>11</v>
      </c>
      <c r="C870" t="s">
        <v>903</v>
      </c>
      <c r="D870" s="1">
        <v>0.45299768518518518</v>
      </c>
      <c r="E870" s="2">
        <f>CallLog[[#This Row],[Date]]+CallLog[[#This Row],[Time]]</f>
        <v>44212.452997685185</v>
      </c>
      <c r="F870" s="1" t="str">
        <f>TEXT(CallLog[[#This Row],[Date]],"dddd")</f>
        <v>Saturday</v>
      </c>
      <c r="G870" s="3">
        <f>HOUR(CallLog[[#This Row],[Time]])</f>
        <v>10</v>
      </c>
      <c r="H870" t="s">
        <v>13</v>
      </c>
      <c r="I870" t="s">
        <v>14</v>
      </c>
      <c r="J870" t="s">
        <v>14</v>
      </c>
      <c r="K870">
        <v>23</v>
      </c>
      <c r="L870" t="str">
        <f>IF(AND(CallLog[[#This Row],[Answered (Y/N)]]="Y", CallLog[[#This Row],[Speed of answer in seconds]]&lt;=20),
    "Within",
    "Breach")</f>
        <v>Breach</v>
      </c>
      <c r="M870" s="1">
        <v>7.0601851851851847E-4</v>
      </c>
      <c r="N870">
        <v>4</v>
      </c>
    </row>
    <row r="871" spans="1:14" x14ac:dyDescent="0.3">
      <c r="A871" t="s">
        <v>910</v>
      </c>
      <c r="B871" t="s">
        <v>47</v>
      </c>
      <c r="C871" t="s">
        <v>903</v>
      </c>
      <c r="D871" s="1">
        <v>0.45299768518518518</v>
      </c>
      <c r="E871" s="2">
        <f>CallLog[[#This Row],[Date]]+CallLog[[#This Row],[Time]]</f>
        <v>44212.452997685185</v>
      </c>
      <c r="F871" s="1" t="str">
        <f>TEXT(CallLog[[#This Row],[Date]],"dddd")</f>
        <v>Saturday</v>
      </c>
      <c r="G871" s="3">
        <f>HOUR(CallLog[[#This Row],[Time]])</f>
        <v>10</v>
      </c>
      <c r="H871" t="s">
        <v>24</v>
      </c>
      <c r="I871" t="s">
        <v>14</v>
      </c>
      <c r="J871" t="s">
        <v>14</v>
      </c>
      <c r="K871">
        <v>115</v>
      </c>
      <c r="L871" t="str">
        <f>IF(AND(CallLog[[#This Row],[Answered (Y/N)]]="Y", CallLog[[#This Row],[Speed of answer in seconds]]&lt;=20),
    "Within",
    "Breach")</f>
        <v>Breach</v>
      </c>
      <c r="M871" s="1">
        <v>4.1666666666666669E-4</v>
      </c>
      <c r="N871">
        <v>3</v>
      </c>
    </row>
    <row r="872" spans="1:14" x14ac:dyDescent="0.3">
      <c r="A872" t="s">
        <v>911</v>
      </c>
      <c r="B872" t="s">
        <v>31</v>
      </c>
      <c r="C872" t="s">
        <v>903</v>
      </c>
      <c r="D872" s="1">
        <v>0.46400462962962963</v>
      </c>
      <c r="E872" s="2">
        <f>CallLog[[#This Row],[Date]]+CallLog[[#This Row],[Time]]</f>
        <v>44212.464004629626</v>
      </c>
      <c r="F872" s="1" t="str">
        <f>TEXT(CallLog[[#This Row],[Date]],"dddd")</f>
        <v>Saturday</v>
      </c>
      <c r="G872" s="3">
        <f>HOUR(CallLog[[#This Row],[Time]])</f>
        <v>11</v>
      </c>
      <c r="H872" t="s">
        <v>17</v>
      </c>
      <c r="I872" t="s">
        <v>14</v>
      </c>
      <c r="J872" t="s">
        <v>14</v>
      </c>
      <c r="K872">
        <v>83</v>
      </c>
      <c r="L872" t="str">
        <f>IF(AND(CallLog[[#This Row],[Answered (Y/N)]]="Y", CallLog[[#This Row],[Speed of answer in seconds]]&lt;=20),
    "Within",
    "Breach")</f>
        <v>Breach</v>
      </c>
      <c r="M872" s="1">
        <v>6.018518518518519E-4</v>
      </c>
      <c r="N872">
        <v>3</v>
      </c>
    </row>
    <row r="873" spans="1:14" x14ac:dyDescent="0.3">
      <c r="A873" t="s">
        <v>912</v>
      </c>
      <c r="B873" t="s">
        <v>22</v>
      </c>
      <c r="C873" t="s">
        <v>903</v>
      </c>
      <c r="D873" s="1">
        <v>0.46400462962962963</v>
      </c>
      <c r="E873" s="2">
        <f>CallLog[[#This Row],[Date]]+CallLog[[#This Row],[Time]]</f>
        <v>44212.464004629626</v>
      </c>
      <c r="F873" s="1" t="str">
        <f>TEXT(CallLog[[#This Row],[Date]],"dddd")</f>
        <v>Saturday</v>
      </c>
      <c r="G873" s="3">
        <f>HOUR(CallLog[[#This Row],[Time]])</f>
        <v>11</v>
      </c>
      <c r="H873" t="s">
        <v>29</v>
      </c>
      <c r="I873" t="s">
        <v>18</v>
      </c>
      <c r="J873" t="s">
        <v>18</v>
      </c>
      <c r="L873" t="str">
        <f>IF(AND(CallLog[[#This Row],[Answered (Y/N)]]="Y", CallLog[[#This Row],[Speed of answer in seconds]]&lt;=20),
    "Within",
    "Breach")</f>
        <v>Breach</v>
      </c>
    </row>
    <row r="874" spans="1:14" x14ac:dyDescent="0.3">
      <c r="A874" t="s">
        <v>913</v>
      </c>
      <c r="B874" t="s">
        <v>16</v>
      </c>
      <c r="C874" t="s">
        <v>903</v>
      </c>
      <c r="D874" s="1">
        <v>0.51</v>
      </c>
      <c r="E874" s="2">
        <f>CallLog[[#This Row],[Date]]+CallLog[[#This Row],[Time]]</f>
        <v>44212.51</v>
      </c>
      <c r="F874" s="1" t="str">
        <f>TEXT(CallLog[[#This Row],[Date]],"dddd")</f>
        <v>Saturday</v>
      </c>
      <c r="G874" s="3">
        <f>HOUR(CallLog[[#This Row],[Time]])</f>
        <v>12</v>
      </c>
      <c r="H874" t="s">
        <v>32</v>
      </c>
      <c r="I874" t="s">
        <v>18</v>
      </c>
      <c r="J874" t="s">
        <v>18</v>
      </c>
      <c r="L874" t="str">
        <f>IF(AND(CallLog[[#This Row],[Answered (Y/N)]]="Y", CallLog[[#This Row],[Speed of answer in seconds]]&lt;=20),
    "Within",
    "Breach")</f>
        <v>Breach</v>
      </c>
    </row>
    <row r="875" spans="1:14" x14ac:dyDescent="0.3">
      <c r="A875" t="s">
        <v>914</v>
      </c>
      <c r="B875" t="s">
        <v>22</v>
      </c>
      <c r="C875" t="s">
        <v>903</v>
      </c>
      <c r="D875" s="1">
        <v>0.51</v>
      </c>
      <c r="E875" s="2">
        <f>CallLog[[#This Row],[Date]]+CallLog[[#This Row],[Time]]</f>
        <v>44212.51</v>
      </c>
      <c r="F875" s="1" t="str">
        <f>TEXT(CallLog[[#This Row],[Date]],"dddd")</f>
        <v>Saturday</v>
      </c>
      <c r="G875" s="3">
        <f>HOUR(CallLog[[#This Row],[Time]])</f>
        <v>12</v>
      </c>
      <c r="H875" t="s">
        <v>17</v>
      </c>
      <c r="I875" t="s">
        <v>14</v>
      </c>
      <c r="J875" t="s">
        <v>14</v>
      </c>
      <c r="K875">
        <v>50</v>
      </c>
      <c r="L875" t="str">
        <f>IF(AND(CallLog[[#This Row],[Answered (Y/N)]]="Y", CallLog[[#This Row],[Speed of answer in seconds]]&lt;=20),
    "Within",
    "Breach")</f>
        <v>Breach</v>
      </c>
      <c r="M875" s="1">
        <v>4.5023148148148149E-3</v>
      </c>
      <c r="N875">
        <v>3</v>
      </c>
    </row>
    <row r="876" spans="1:14" x14ac:dyDescent="0.3">
      <c r="A876" t="s">
        <v>915</v>
      </c>
      <c r="B876" t="s">
        <v>16</v>
      </c>
      <c r="C876" t="s">
        <v>903</v>
      </c>
      <c r="D876" s="1">
        <v>0.52</v>
      </c>
      <c r="E876" s="2">
        <f>CallLog[[#This Row],[Date]]+CallLog[[#This Row],[Time]]</f>
        <v>44212.52</v>
      </c>
      <c r="F876" s="1" t="str">
        <f>TEXT(CallLog[[#This Row],[Date]],"dddd")</f>
        <v>Saturday</v>
      </c>
      <c r="G876" s="3">
        <f>HOUR(CallLog[[#This Row],[Time]])</f>
        <v>12</v>
      </c>
      <c r="H876" t="s">
        <v>24</v>
      </c>
      <c r="I876" t="s">
        <v>14</v>
      </c>
      <c r="J876" t="s">
        <v>14</v>
      </c>
      <c r="K876">
        <v>19</v>
      </c>
      <c r="L876" t="str">
        <f>IF(AND(CallLog[[#This Row],[Answered (Y/N)]]="Y", CallLog[[#This Row],[Speed of answer in seconds]]&lt;=20),
    "Within",
    "Breach")</f>
        <v>Within</v>
      </c>
      <c r="M876" s="1">
        <v>9.6064814814814819E-4</v>
      </c>
      <c r="N876">
        <v>3</v>
      </c>
    </row>
    <row r="877" spans="1:14" x14ac:dyDescent="0.3">
      <c r="A877" t="s">
        <v>916</v>
      </c>
      <c r="B877" t="s">
        <v>11</v>
      </c>
      <c r="C877" t="s">
        <v>903</v>
      </c>
      <c r="D877" s="1">
        <v>0.52</v>
      </c>
      <c r="E877" s="2">
        <f>CallLog[[#This Row],[Date]]+CallLog[[#This Row],[Time]]</f>
        <v>44212.52</v>
      </c>
      <c r="F877" s="1" t="str">
        <f>TEXT(CallLog[[#This Row],[Date]],"dddd")</f>
        <v>Saturday</v>
      </c>
      <c r="G877" s="3">
        <f>HOUR(CallLog[[#This Row],[Time]])</f>
        <v>12</v>
      </c>
      <c r="H877" t="s">
        <v>13</v>
      </c>
      <c r="I877" t="s">
        <v>14</v>
      </c>
      <c r="J877" t="s">
        <v>18</v>
      </c>
      <c r="K877">
        <v>107</v>
      </c>
      <c r="L877" t="str">
        <f>IF(AND(CallLog[[#This Row],[Answered (Y/N)]]="Y", CallLog[[#This Row],[Speed of answer in seconds]]&lt;=20),
    "Within",
    "Breach")</f>
        <v>Breach</v>
      </c>
      <c r="M877" s="1">
        <v>2.5000000000000001E-3</v>
      </c>
      <c r="N877">
        <v>4</v>
      </c>
    </row>
    <row r="878" spans="1:14" x14ac:dyDescent="0.3">
      <c r="A878" t="s">
        <v>917</v>
      </c>
      <c r="B878" t="s">
        <v>34</v>
      </c>
      <c r="C878" t="s">
        <v>903</v>
      </c>
      <c r="D878" s="1">
        <v>0.53099537037037037</v>
      </c>
      <c r="E878" s="2">
        <f>CallLog[[#This Row],[Date]]+CallLog[[#This Row],[Time]]</f>
        <v>44212.530995370369</v>
      </c>
      <c r="F878" s="1" t="str">
        <f>TEXT(CallLog[[#This Row],[Date]],"dddd")</f>
        <v>Saturday</v>
      </c>
      <c r="G878" s="3">
        <f>HOUR(CallLog[[#This Row],[Time]])</f>
        <v>12</v>
      </c>
      <c r="H878" t="s">
        <v>29</v>
      </c>
      <c r="I878" t="s">
        <v>14</v>
      </c>
      <c r="J878" t="s">
        <v>18</v>
      </c>
      <c r="K878">
        <v>121</v>
      </c>
      <c r="L878" t="str">
        <f>IF(AND(CallLog[[#This Row],[Answered (Y/N)]]="Y", CallLog[[#This Row],[Speed of answer in seconds]]&lt;=20),
    "Within",
    "Breach")</f>
        <v>Breach</v>
      </c>
      <c r="M878" s="1">
        <v>2.650462962962963E-3</v>
      </c>
      <c r="N878">
        <v>3</v>
      </c>
    </row>
    <row r="879" spans="1:14" x14ac:dyDescent="0.3">
      <c r="A879" t="s">
        <v>918</v>
      </c>
      <c r="B879" t="s">
        <v>47</v>
      </c>
      <c r="C879" t="s">
        <v>903</v>
      </c>
      <c r="D879" s="1">
        <v>0.53099537037037037</v>
      </c>
      <c r="E879" s="2">
        <f>CallLog[[#This Row],[Date]]+CallLog[[#This Row],[Time]]</f>
        <v>44212.530995370369</v>
      </c>
      <c r="F879" s="1" t="str">
        <f>TEXT(CallLog[[#This Row],[Date]],"dddd")</f>
        <v>Saturday</v>
      </c>
      <c r="G879" s="3">
        <f>HOUR(CallLog[[#This Row],[Time]])</f>
        <v>12</v>
      </c>
      <c r="H879" t="s">
        <v>24</v>
      </c>
      <c r="I879" t="s">
        <v>14</v>
      </c>
      <c r="J879" t="s">
        <v>14</v>
      </c>
      <c r="K879">
        <v>55</v>
      </c>
      <c r="L879" t="str">
        <f>IF(AND(CallLog[[#This Row],[Answered (Y/N)]]="Y", CallLog[[#This Row],[Speed of answer in seconds]]&lt;=20),
    "Within",
    "Breach")</f>
        <v>Breach</v>
      </c>
      <c r="M879" s="1">
        <v>3.5532407407407409E-3</v>
      </c>
      <c r="N879">
        <v>3</v>
      </c>
    </row>
    <row r="880" spans="1:14" x14ac:dyDescent="0.3">
      <c r="A880" t="s">
        <v>919</v>
      </c>
      <c r="B880" t="s">
        <v>16</v>
      </c>
      <c r="C880" t="s">
        <v>903</v>
      </c>
      <c r="D880" s="1">
        <v>0.53900462962962958</v>
      </c>
      <c r="E880" s="2">
        <f>CallLog[[#This Row],[Date]]+CallLog[[#This Row],[Time]]</f>
        <v>44212.539004629631</v>
      </c>
      <c r="F880" s="1" t="str">
        <f>TEXT(CallLog[[#This Row],[Date]],"dddd")</f>
        <v>Saturday</v>
      </c>
      <c r="G880" s="3">
        <f>HOUR(CallLog[[#This Row],[Time]])</f>
        <v>12</v>
      </c>
      <c r="H880" t="s">
        <v>32</v>
      </c>
      <c r="I880" t="s">
        <v>14</v>
      </c>
      <c r="J880" t="s">
        <v>14</v>
      </c>
      <c r="K880">
        <v>92</v>
      </c>
      <c r="L880" t="str">
        <f>IF(AND(CallLog[[#This Row],[Answered (Y/N)]]="Y", CallLog[[#This Row],[Speed of answer in seconds]]&lt;=20),
    "Within",
    "Breach")</f>
        <v>Breach</v>
      </c>
      <c r="M880" s="1">
        <v>9.1435185185185185E-4</v>
      </c>
      <c r="N880">
        <v>2</v>
      </c>
    </row>
    <row r="881" spans="1:14" x14ac:dyDescent="0.3">
      <c r="A881" t="s">
        <v>920</v>
      </c>
      <c r="B881" t="s">
        <v>20</v>
      </c>
      <c r="C881" t="s">
        <v>903</v>
      </c>
      <c r="D881" s="1">
        <v>0.53900462962962958</v>
      </c>
      <c r="E881" s="2">
        <f>CallLog[[#This Row],[Date]]+CallLog[[#This Row],[Time]]</f>
        <v>44212.539004629631</v>
      </c>
      <c r="F881" s="1" t="str">
        <f>TEXT(CallLog[[#This Row],[Date]],"dddd")</f>
        <v>Saturday</v>
      </c>
      <c r="G881" s="3">
        <f>HOUR(CallLog[[#This Row],[Time]])</f>
        <v>12</v>
      </c>
      <c r="H881" t="s">
        <v>29</v>
      </c>
      <c r="I881" t="s">
        <v>14</v>
      </c>
      <c r="J881" t="s">
        <v>18</v>
      </c>
      <c r="K881">
        <v>24</v>
      </c>
      <c r="L881" t="str">
        <f>IF(AND(CallLog[[#This Row],[Answered (Y/N)]]="Y", CallLog[[#This Row],[Speed of answer in seconds]]&lt;=20),
    "Within",
    "Breach")</f>
        <v>Breach</v>
      </c>
      <c r="M881" s="1">
        <v>4.0277777777777777E-3</v>
      </c>
      <c r="N881">
        <v>3</v>
      </c>
    </row>
    <row r="882" spans="1:14" x14ac:dyDescent="0.3">
      <c r="A882" t="s">
        <v>921</v>
      </c>
      <c r="B882" t="s">
        <v>38</v>
      </c>
      <c r="C882" t="s">
        <v>903</v>
      </c>
      <c r="D882" s="1">
        <v>0.54400462962962959</v>
      </c>
      <c r="E882" s="2">
        <f>CallLog[[#This Row],[Date]]+CallLog[[#This Row],[Time]]</f>
        <v>44212.544004629628</v>
      </c>
      <c r="F882" s="1" t="str">
        <f>TEXT(CallLog[[#This Row],[Date]],"dddd")</f>
        <v>Saturday</v>
      </c>
      <c r="G882" s="3">
        <f>HOUR(CallLog[[#This Row],[Time]])</f>
        <v>13</v>
      </c>
      <c r="H882" t="s">
        <v>17</v>
      </c>
      <c r="I882" t="s">
        <v>18</v>
      </c>
      <c r="J882" t="s">
        <v>18</v>
      </c>
      <c r="L882" t="str">
        <f>IF(AND(CallLog[[#This Row],[Answered (Y/N)]]="Y", CallLog[[#This Row],[Speed of answer in seconds]]&lt;=20),
    "Within",
    "Breach")</f>
        <v>Breach</v>
      </c>
    </row>
    <row r="883" spans="1:14" x14ac:dyDescent="0.3">
      <c r="A883" t="s">
        <v>922</v>
      </c>
      <c r="B883" t="s">
        <v>31</v>
      </c>
      <c r="C883" t="s">
        <v>903</v>
      </c>
      <c r="D883" s="1">
        <v>0.54400462962962959</v>
      </c>
      <c r="E883" s="2">
        <f>CallLog[[#This Row],[Date]]+CallLog[[#This Row],[Time]]</f>
        <v>44212.544004629628</v>
      </c>
      <c r="F883" s="1" t="str">
        <f>TEXT(CallLog[[#This Row],[Date]],"dddd")</f>
        <v>Saturday</v>
      </c>
      <c r="G883" s="3">
        <f>HOUR(CallLog[[#This Row],[Time]])</f>
        <v>13</v>
      </c>
      <c r="H883" t="s">
        <v>32</v>
      </c>
      <c r="I883" t="s">
        <v>14</v>
      </c>
      <c r="J883" t="s">
        <v>14</v>
      </c>
      <c r="K883">
        <v>58</v>
      </c>
      <c r="L883" t="str">
        <f>IF(AND(CallLog[[#This Row],[Answered (Y/N)]]="Y", CallLog[[#This Row],[Speed of answer in seconds]]&lt;=20),
    "Within",
    "Breach")</f>
        <v>Breach</v>
      </c>
      <c r="M883" s="1">
        <v>1.5972222222222223E-3</v>
      </c>
      <c r="N883">
        <v>5</v>
      </c>
    </row>
    <row r="884" spans="1:14" x14ac:dyDescent="0.3">
      <c r="A884" t="s">
        <v>923</v>
      </c>
      <c r="B884" t="s">
        <v>47</v>
      </c>
      <c r="C884" t="s">
        <v>903</v>
      </c>
      <c r="D884" s="1">
        <v>0.5659953703703704</v>
      </c>
      <c r="E884" s="2">
        <f>CallLog[[#This Row],[Date]]+CallLog[[#This Row],[Time]]</f>
        <v>44212.565995370373</v>
      </c>
      <c r="F884" s="1" t="str">
        <f>TEXT(CallLog[[#This Row],[Date]],"dddd")</f>
        <v>Saturday</v>
      </c>
      <c r="G884" s="3">
        <f>HOUR(CallLog[[#This Row],[Time]])</f>
        <v>13</v>
      </c>
      <c r="H884" t="s">
        <v>17</v>
      </c>
      <c r="I884" t="s">
        <v>18</v>
      </c>
      <c r="J884" t="s">
        <v>18</v>
      </c>
      <c r="L884" t="str">
        <f>IF(AND(CallLog[[#This Row],[Answered (Y/N)]]="Y", CallLog[[#This Row],[Speed of answer in seconds]]&lt;=20),
    "Within",
    "Breach")</f>
        <v>Breach</v>
      </c>
    </row>
    <row r="885" spans="1:14" x14ac:dyDescent="0.3">
      <c r="A885" t="s">
        <v>924</v>
      </c>
      <c r="B885" t="s">
        <v>20</v>
      </c>
      <c r="C885" t="s">
        <v>903</v>
      </c>
      <c r="D885" s="1">
        <v>0.5659953703703704</v>
      </c>
      <c r="E885" s="2">
        <f>CallLog[[#This Row],[Date]]+CallLog[[#This Row],[Time]]</f>
        <v>44212.565995370373</v>
      </c>
      <c r="F885" s="1" t="str">
        <f>TEXT(CallLog[[#This Row],[Date]],"dddd")</f>
        <v>Saturday</v>
      </c>
      <c r="G885" s="3">
        <f>HOUR(CallLog[[#This Row],[Time]])</f>
        <v>13</v>
      </c>
      <c r="H885" t="s">
        <v>24</v>
      </c>
      <c r="I885" t="s">
        <v>18</v>
      </c>
      <c r="J885" t="s">
        <v>18</v>
      </c>
      <c r="L885" t="str">
        <f>IF(AND(CallLog[[#This Row],[Answered (Y/N)]]="Y", CallLog[[#This Row],[Speed of answer in seconds]]&lt;=20),
    "Within",
    "Breach")</f>
        <v>Breach</v>
      </c>
    </row>
    <row r="886" spans="1:14" x14ac:dyDescent="0.3">
      <c r="A886" t="s">
        <v>925</v>
      </c>
      <c r="B886" t="s">
        <v>22</v>
      </c>
      <c r="C886" t="s">
        <v>903</v>
      </c>
      <c r="D886" s="1">
        <v>0.56700231481481478</v>
      </c>
      <c r="E886" s="2">
        <f>CallLog[[#This Row],[Date]]+CallLog[[#This Row],[Time]]</f>
        <v>44212.567002314812</v>
      </c>
      <c r="F886" s="1" t="str">
        <f>TEXT(CallLog[[#This Row],[Date]],"dddd")</f>
        <v>Saturday</v>
      </c>
      <c r="G886" s="3">
        <f>HOUR(CallLog[[#This Row],[Time]])</f>
        <v>13</v>
      </c>
      <c r="H886" t="s">
        <v>32</v>
      </c>
      <c r="I886" t="s">
        <v>14</v>
      </c>
      <c r="J886" t="s">
        <v>14</v>
      </c>
      <c r="K886">
        <v>28</v>
      </c>
      <c r="L886" t="str">
        <f>IF(AND(CallLog[[#This Row],[Answered (Y/N)]]="Y", CallLog[[#This Row],[Speed of answer in seconds]]&lt;=20),
    "Within",
    "Breach")</f>
        <v>Breach</v>
      </c>
      <c r="M886" s="1">
        <v>4.8032407407407407E-3</v>
      </c>
      <c r="N886">
        <v>4</v>
      </c>
    </row>
    <row r="887" spans="1:14" x14ac:dyDescent="0.3">
      <c r="A887" t="s">
        <v>926</v>
      </c>
      <c r="B887" t="s">
        <v>34</v>
      </c>
      <c r="C887" t="s">
        <v>903</v>
      </c>
      <c r="D887" s="1">
        <v>0.56700231481481478</v>
      </c>
      <c r="E887" s="2">
        <f>CallLog[[#This Row],[Date]]+CallLog[[#This Row],[Time]]</f>
        <v>44212.567002314812</v>
      </c>
      <c r="F887" s="1" t="str">
        <f>TEXT(CallLog[[#This Row],[Date]],"dddd")</f>
        <v>Saturday</v>
      </c>
      <c r="G887" s="3">
        <f>HOUR(CallLog[[#This Row],[Time]])</f>
        <v>13</v>
      </c>
      <c r="H887" t="s">
        <v>17</v>
      </c>
      <c r="I887" t="s">
        <v>14</v>
      </c>
      <c r="J887" t="s">
        <v>14</v>
      </c>
      <c r="K887">
        <v>30</v>
      </c>
      <c r="L887" t="str">
        <f>IF(AND(CallLog[[#This Row],[Answered (Y/N)]]="Y", CallLog[[#This Row],[Speed of answer in seconds]]&lt;=20),
    "Within",
    "Breach")</f>
        <v>Breach</v>
      </c>
      <c r="M887" s="1">
        <v>4.7337962962962967E-3</v>
      </c>
      <c r="N887">
        <v>4</v>
      </c>
    </row>
    <row r="888" spans="1:14" x14ac:dyDescent="0.3">
      <c r="A888" t="s">
        <v>927</v>
      </c>
      <c r="B888" t="s">
        <v>22</v>
      </c>
      <c r="C888" t="s">
        <v>903</v>
      </c>
      <c r="D888" s="1">
        <v>0.58499999999999996</v>
      </c>
      <c r="E888" s="2">
        <f>CallLog[[#This Row],[Date]]+CallLog[[#This Row],[Time]]</f>
        <v>44212.584999999999</v>
      </c>
      <c r="F888" s="1" t="str">
        <f>TEXT(CallLog[[#This Row],[Date]],"dddd")</f>
        <v>Saturday</v>
      </c>
      <c r="G888" s="3">
        <f>HOUR(CallLog[[#This Row],[Time]])</f>
        <v>14</v>
      </c>
      <c r="H888" t="s">
        <v>29</v>
      </c>
      <c r="I888" t="s">
        <v>14</v>
      </c>
      <c r="J888" t="s">
        <v>14</v>
      </c>
      <c r="K888">
        <v>84</v>
      </c>
      <c r="L888" t="str">
        <f>IF(AND(CallLog[[#This Row],[Answered (Y/N)]]="Y", CallLog[[#This Row],[Speed of answer in seconds]]&lt;=20),
    "Within",
    "Breach")</f>
        <v>Breach</v>
      </c>
      <c r="M888" s="1">
        <v>1.8749999999999999E-3</v>
      </c>
      <c r="N888">
        <v>3</v>
      </c>
    </row>
    <row r="889" spans="1:14" x14ac:dyDescent="0.3">
      <c r="A889" t="s">
        <v>928</v>
      </c>
      <c r="B889" t="s">
        <v>31</v>
      </c>
      <c r="C889" t="s">
        <v>903</v>
      </c>
      <c r="D889" s="1">
        <v>0.58499999999999996</v>
      </c>
      <c r="E889" s="2">
        <f>CallLog[[#This Row],[Date]]+CallLog[[#This Row],[Time]]</f>
        <v>44212.584999999999</v>
      </c>
      <c r="F889" s="1" t="str">
        <f>TEXT(CallLog[[#This Row],[Date]],"dddd")</f>
        <v>Saturday</v>
      </c>
      <c r="G889" s="3">
        <f>HOUR(CallLog[[#This Row],[Time]])</f>
        <v>14</v>
      </c>
      <c r="H889" t="s">
        <v>17</v>
      </c>
      <c r="I889" t="s">
        <v>14</v>
      </c>
      <c r="J889" t="s">
        <v>14</v>
      </c>
      <c r="K889">
        <v>78</v>
      </c>
      <c r="L889" t="str">
        <f>IF(AND(CallLog[[#This Row],[Answered (Y/N)]]="Y", CallLog[[#This Row],[Speed of answer in seconds]]&lt;=20),
    "Within",
    "Breach")</f>
        <v>Breach</v>
      </c>
      <c r="M889" s="1">
        <v>3.4375E-3</v>
      </c>
      <c r="N889">
        <v>2</v>
      </c>
    </row>
    <row r="890" spans="1:14" x14ac:dyDescent="0.3">
      <c r="A890" t="s">
        <v>929</v>
      </c>
      <c r="B890" t="s">
        <v>31</v>
      </c>
      <c r="C890" t="s">
        <v>903</v>
      </c>
      <c r="D890" s="1">
        <v>0.59099537037037042</v>
      </c>
      <c r="E890" s="2">
        <f>CallLog[[#This Row],[Date]]+CallLog[[#This Row],[Time]]</f>
        <v>44212.590995370374</v>
      </c>
      <c r="F890" s="1" t="str">
        <f>TEXT(CallLog[[#This Row],[Date]],"dddd")</f>
        <v>Saturday</v>
      </c>
      <c r="G890" s="3">
        <f>HOUR(CallLog[[#This Row],[Time]])</f>
        <v>14</v>
      </c>
      <c r="H890" t="s">
        <v>29</v>
      </c>
      <c r="I890" t="s">
        <v>14</v>
      </c>
      <c r="J890" t="s">
        <v>14</v>
      </c>
      <c r="K890">
        <v>122</v>
      </c>
      <c r="L890" t="str">
        <f>IF(AND(CallLog[[#This Row],[Answered (Y/N)]]="Y", CallLog[[#This Row],[Speed of answer in seconds]]&lt;=20),
    "Within",
    "Breach")</f>
        <v>Breach</v>
      </c>
      <c r="M890" s="1">
        <v>7.5231481481481482E-4</v>
      </c>
      <c r="N890">
        <v>3</v>
      </c>
    </row>
    <row r="891" spans="1:14" x14ac:dyDescent="0.3">
      <c r="A891" t="s">
        <v>930</v>
      </c>
      <c r="B891" t="s">
        <v>11</v>
      </c>
      <c r="C891" t="s">
        <v>903</v>
      </c>
      <c r="D891" s="1">
        <v>0.59099537037037042</v>
      </c>
      <c r="E891" s="2">
        <f>CallLog[[#This Row],[Date]]+CallLog[[#This Row],[Time]]</f>
        <v>44212.590995370374</v>
      </c>
      <c r="F891" s="1" t="str">
        <f>TEXT(CallLog[[#This Row],[Date]],"dddd")</f>
        <v>Saturday</v>
      </c>
      <c r="G891" s="3">
        <f>HOUR(CallLog[[#This Row],[Time]])</f>
        <v>14</v>
      </c>
      <c r="H891" t="s">
        <v>13</v>
      </c>
      <c r="I891" t="s">
        <v>14</v>
      </c>
      <c r="J891" t="s">
        <v>14</v>
      </c>
      <c r="K891">
        <v>26</v>
      </c>
      <c r="L891" t="str">
        <f>IF(AND(CallLog[[#This Row],[Answered (Y/N)]]="Y", CallLog[[#This Row],[Speed of answer in seconds]]&lt;=20),
    "Within",
    "Breach")</f>
        <v>Breach</v>
      </c>
      <c r="M891" s="1">
        <v>8.2175925925925927E-4</v>
      </c>
      <c r="N891">
        <v>1</v>
      </c>
    </row>
    <row r="892" spans="1:14" x14ac:dyDescent="0.3">
      <c r="A892" t="s">
        <v>931</v>
      </c>
      <c r="B892" t="s">
        <v>31</v>
      </c>
      <c r="C892" t="s">
        <v>903</v>
      </c>
      <c r="D892" s="1">
        <v>0.60099537037037032</v>
      </c>
      <c r="E892" s="2">
        <f>CallLog[[#This Row],[Date]]+CallLog[[#This Row],[Time]]</f>
        <v>44212.600995370369</v>
      </c>
      <c r="F892" s="1" t="str">
        <f>TEXT(CallLog[[#This Row],[Date]],"dddd")</f>
        <v>Saturday</v>
      </c>
      <c r="G892" s="3">
        <f>HOUR(CallLog[[#This Row],[Time]])</f>
        <v>14</v>
      </c>
      <c r="H892" t="s">
        <v>17</v>
      </c>
      <c r="I892" t="s">
        <v>14</v>
      </c>
      <c r="J892" t="s">
        <v>14</v>
      </c>
      <c r="K892">
        <v>95</v>
      </c>
      <c r="L892" t="str">
        <f>IF(AND(CallLog[[#This Row],[Answered (Y/N)]]="Y", CallLog[[#This Row],[Speed of answer in seconds]]&lt;=20),
    "Within",
    "Breach")</f>
        <v>Breach</v>
      </c>
      <c r="M892" s="1">
        <v>6.5972222222222224E-4</v>
      </c>
      <c r="N892">
        <v>3</v>
      </c>
    </row>
    <row r="893" spans="1:14" x14ac:dyDescent="0.3">
      <c r="A893" t="s">
        <v>932</v>
      </c>
      <c r="B893" t="s">
        <v>20</v>
      </c>
      <c r="C893" t="s">
        <v>903</v>
      </c>
      <c r="D893" s="1">
        <v>0.60099537037037032</v>
      </c>
      <c r="E893" s="2">
        <f>CallLog[[#This Row],[Date]]+CallLog[[#This Row],[Time]]</f>
        <v>44212.600995370369</v>
      </c>
      <c r="F893" s="1" t="str">
        <f>TEXT(CallLog[[#This Row],[Date]],"dddd")</f>
        <v>Saturday</v>
      </c>
      <c r="G893" s="3">
        <f>HOUR(CallLog[[#This Row],[Time]])</f>
        <v>14</v>
      </c>
      <c r="H893" t="s">
        <v>17</v>
      </c>
      <c r="I893" t="s">
        <v>14</v>
      </c>
      <c r="J893" t="s">
        <v>14</v>
      </c>
      <c r="K893">
        <v>45</v>
      </c>
      <c r="L893" t="str">
        <f>IF(AND(CallLog[[#This Row],[Answered (Y/N)]]="Y", CallLog[[#This Row],[Speed of answer in seconds]]&lt;=20),
    "Within",
    "Breach")</f>
        <v>Breach</v>
      </c>
      <c r="M893" s="1">
        <v>1.25E-3</v>
      </c>
      <c r="N893">
        <v>4</v>
      </c>
    </row>
    <row r="894" spans="1:14" x14ac:dyDescent="0.3">
      <c r="A894" t="s">
        <v>933</v>
      </c>
      <c r="B894" t="s">
        <v>11</v>
      </c>
      <c r="C894" t="s">
        <v>903</v>
      </c>
      <c r="D894" s="1">
        <v>0.61099537037037033</v>
      </c>
      <c r="E894" s="2">
        <f>CallLog[[#This Row],[Date]]+CallLog[[#This Row],[Time]]</f>
        <v>44212.610995370371</v>
      </c>
      <c r="F894" s="1" t="str">
        <f>TEXT(CallLog[[#This Row],[Date]],"dddd")</f>
        <v>Saturday</v>
      </c>
      <c r="G894" s="3">
        <f>HOUR(CallLog[[#This Row],[Time]])</f>
        <v>14</v>
      </c>
      <c r="H894" t="s">
        <v>17</v>
      </c>
      <c r="I894" t="s">
        <v>18</v>
      </c>
      <c r="J894" t="s">
        <v>18</v>
      </c>
      <c r="L894" t="str">
        <f>IF(AND(CallLog[[#This Row],[Answered (Y/N)]]="Y", CallLog[[#This Row],[Speed of answer in seconds]]&lt;=20),
    "Within",
    "Breach")</f>
        <v>Breach</v>
      </c>
    </row>
    <row r="895" spans="1:14" x14ac:dyDescent="0.3">
      <c r="A895" t="s">
        <v>934</v>
      </c>
      <c r="B895" t="s">
        <v>11</v>
      </c>
      <c r="C895" t="s">
        <v>903</v>
      </c>
      <c r="D895" s="1">
        <v>0.61099537037037033</v>
      </c>
      <c r="E895" s="2">
        <f>CallLog[[#This Row],[Date]]+CallLog[[#This Row],[Time]]</f>
        <v>44212.610995370371</v>
      </c>
      <c r="F895" s="1" t="str">
        <f>TEXT(CallLog[[#This Row],[Date]],"dddd")</f>
        <v>Saturday</v>
      </c>
      <c r="G895" s="3">
        <f>HOUR(CallLog[[#This Row],[Time]])</f>
        <v>14</v>
      </c>
      <c r="H895" t="s">
        <v>13</v>
      </c>
      <c r="I895" t="s">
        <v>18</v>
      </c>
      <c r="J895" t="s">
        <v>18</v>
      </c>
      <c r="L895" t="str">
        <f>IF(AND(CallLog[[#This Row],[Answered (Y/N)]]="Y", CallLog[[#This Row],[Speed of answer in seconds]]&lt;=20),
    "Within",
    "Breach")</f>
        <v>Breach</v>
      </c>
    </row>
    <row r="896" spans="1:14" x14ac:dyDescent="0.3">
      <c r="A896" t="s">
        <v>935</v>
      </c>
      <c r="B896" t="s">
        <v>47</v>
      </c>
      <c r="C896" t="s">
        <v>903</v>
      </c>
      <c r="D896" s="1">
        <v>0.61799768518518516</v>
      </c>
      <c r="E896" s="2">
        <f>CallLog[[#This Row],[Date]]+CallLog[[#This Row],[Time]]</f>
        <v>44212.617997685185</v>
      </c>
      <c r="F896" s="1" t="str">
        <f>TEXT(CallLog[[#This Row],[Date]],"dddd")</f>
        <v>Saturday</v>
      </c>
      <c r="G896" s="3">
        <f>HOUR(CallLog[[#This Row],[Time]])</f>
        <v>14</v>
      </c>
      <c r="H896" t="s">
        <v>32</v>
      </c>
      <c r="I896" t="s">
        <v>14</v>
      </c>
      <c r="J896" t="s">
        <v>18</v>
      </c>
      <c r="K896">
        <v>76</v>
      </c>
      <c r="L896" t="str">
        <f>IF(AND(CallLog[[#This Row],[Answered (Y/N)]]="Y", CallLog[[#This Row],[Speed of answer in seconds]]&lt;=20),
    "Within",
    "Breach")</f>
        <v>Breach</v>
      </c>
      <c r="M896" s="1">
        <v>4.6296296296296294E-3</v>
      </c>
      <c r="N896">
        <v>3</v>
      </c>
    </row>
    <row r="897" spans="1:14" x14ac:dyDescent="0.3">
      <c r="A897" t="s">
        <v>936</v>
      </c>
      <c r="B897" t="s">
        <v>38</v>
      </c>
      <c r="C897" t="s">
        <v>903</v>
      </c>
      <c r="D897" s="1">
        <v>0.61799768518518516</v>
      </c>
      <c r="E897" s="2">
        <f>CallLog[[#This Row],[Date]]+CallLog[[#This Row],[Time]]</f>
        <v>44212.617997685185</v>
      </c>
      <c r="F897" s="1" t="str">
        <f>TEXT(CallLog[[#This Row],[Date]],"dddd")</f>
        <v>Saturday</v>
      </c>
      <c r="G897" s="3">
        <f>HOUR(CallLog[[#This Row],[Time]])</f>
        <v>14</v>
      </c>
      <c r="H897" t="s">
        <v>32</v>
      </c>
      <c r="I897" t="s">
        <v>14</v>
      </c>
      <c r="J897" t="s">
        <v>18</v>
      </c>
      <c r="K897">
        <v>97</v>
      </c>
      <c r="L897" t="str">
        <f>IF(AND(CallLog[[#This Row],[Answered (Y/N)]]="Y", CallLog[[#This Row],[Speed of answer in seconds]]&lt;=20),
    "Within",
    "Breach")</f>
        <v>Breach</v>
      </c>
      <c r="M897" s="1">
        <v>1.1111111111111111E-3</v>
      </c>
      <c r="N897">
        <v>4</v>
      </c>
    </row>
    <row r="898" spans="1:14" x14ac:dyDescent="0.3">
      <c r="A898" t="s">
        <v>937</v>
      </c>
      <c r="B898" t="s">
        <v>20</v>
      </c>
      <c r="C898" t="s">
        <v>903</v>
      </c>
      <c r="D898" s="1">
        <v>0.64200231481481485</v>
      </c>
      <c r="E898" s="2">
        <f>CallLog[[#This Row],[Date]]+CallLog[[#This Row],[Time]]</f>
        <v>44212.642002314817</v>
      </c>
      <c r="F898" s="1" t="str">
        <f>TEXT(CallLog[[#This Row],[Date]],"dddd")</f>
        <v>Saturday</v>
      </c>
      <c r="G898" s="3">
        <f>HOUR(CallLog[[#This Row],[Time]])</f>
        <v>15</v>
      </c>
      <c r="H898" t="s">
        <v>17</v>
      </c>
      <c r="I898" t="s">
        <v>18</v>
      </c>
      <c r="J898" t="s">
        <v>18</v>
      </c>
      <c r="L898" t="str">
        <f>IF(AND(CallLog[[#This Row],[Answered (Y/N)]]="Y", CallLog[[#This Row],[Speed of answer in seconds]]&lt;=20),
    "Within",
    "Breach")</f>
        <v>Breach</v>
      </c>
    </row>
    <row r="899" spans="1:14" x14ac:dyDescent="0.3">
      <c r="A899" t="s">
        <v>938</v>
      </c>
      <c r="B899" t="s">
        <v>20</v>
      </c>
      <c r="C899" t="s">
        <v>903</v>
      </c>
      <c r="D899" s="1">
        <v>0.64200231481481485</v>
      </c>
      <c r="E899" s="2">
        <f>CallLog[[#This Row],[Date]]+CallLog[[#This Row],[Time]]</f>
        <v>44212.642002314817</v>
      </c>
      <c r="F899" s="1" t="str">
        <f>TEXT(CallLog[[#This Row],[Date]],"dddd")</f>
        <v>Saturday</v>
      </c>
      <c r="G899" s="3">
        <f>HOUR(CallLog[[#This Row],[Time]])</f>
        <v>15</v>
      </c>
      <c r="H899" t="s">
        <v>13</v>
      </c>
      <c r="I899" t="s">
        <v>14</v>
      </c>
      <c r="J899" t="s">
        <v>14</v>
      </c>
      <c r="K899">
        <v>22</v>
      </c>
      <c r="L899" t="str">
        <f>IF(AND(CallLog[[#This Row],[Answered (Y/N)]]="Y", CallLog[[#This Row],[Speed of answer in seconds]]&lt;=20),
    "Within",
    "Breach")</f>
        <v>Breach</v>
      </c>
      <c r="M899" s="1">
        <v>2.0486111111111113E-3</v>
      </c>
      <c r="N899">
        <v>3</v>
      </c>
    </row>
    <row r="900" spans="1:14" x14ac:dyDescent="0.3">
      <c r="A900" t="s">
        <v>939</v>
      </c>
      <c r="B900" t="s">
        <v>16</v>
      </c>
      <c r="C900" t="s">
        <v>903</v>
      </c>
      <c r="D900" s="1">
        <v>0.64599537037037036</v>
      </c>
      <c r="E900" s="2">
        <f>CallLog[[#This Row],[Date]]+CallLog[[#This Row],[Time]]</f>
        <v>44212.645995370367</v>
      </c>
      <c r="F900" s="1" t="str">
        <f>TEXT(CallLog[[#This Row],[Date]],"dddd")</f>
        <v>Saturday</v>
      </c>
      <c r="G900" s="3">
        <f>HOUR(CallLog[[#This Row],[Time]])</f>
        <v>15</v>
      </c>
      <c r="H900" t="s">
        <v>32</v>
      </c>
      <c r="I900" t="s">
        <v>14</v>
      </c>
      <c r="J900" t="s">
        <v>18</v>
      </c>
      <c r="K900">
        <v>55</v>
      </c>
      <c r="L900" t="str">
        <f>IF(AND(CallLog[[#This Row],[Answered (Y/N)]]="Y", CallLog[[#This Row],[Speed of answer in seconds]]&lt;=20),
    "Within",
    "Breach")</f>
        <v>Breach</v>
      </c>
      <c r="M900" s="1">
        <v>6.018518518518519E-4</v>
      </c>
      <c r="N900">
        <v>3</v>
      </c>
    </row>
    <row r="901" spans="1:14" x14ac:dyDescent="0.3">
      <c r="A901" t="s">
        <v>940</v>
      </c>
      <c r="B901" t="s">
        <v>34</v>
      </c>
      <c r="C901" t="s">
        <v>903</v>
      </c>
      <c r="D901" s="1">
        <v>0.64599537037037036</v>
      </c>
      <c r="E901" s="2">
        <f>CallLog[[#This Row],[Date]]+CallLog[[#This Row],[Time]]</f>
        <v>44212.645995370367</v>
      </c>
      <c r="F901" s="1" t="str">
        <f>TEXT(CallLog[[#This Row],[Date]],"dddd")</f>
        <v>Saturday</v>
      </c>
      <c r="G901" s="3">
        <f>HOUR(CallLog[[#This Row],[Time]])</f>
        <v>15</v>
      </c>
      <c r="H901" t="s">
        <v>24</v>
      </c>
      <c r="I901" t="s">
        <v>14</v>
      </c>
      <c r="J901" t="s">
        <v>18</v>
      </c>
      <c r="K901">
        <v>64</v>
      </c>
      <c r="L901" t="str">
        <f>IF(AND(CallLog[[#This Row],[Answered (Y/N)]]="Y", CallLog[[#This Row],[Speed of answer in seconds]]&lt;=20),
    "Within",
    "Breach")</f>
        <v>Breach</v>
      </c>
      <c r="M901" s="1">
        <v>7.8703703703703705E-4</v>
      </c>
      <c r="N901">
        <v>4</v>
      </c>
    </row>
    <row r="902" spans="1:14" x14ac:dyDescent="0.3">
      <c r="A902" t="s">
        <v>941</v>
      </c>
      <c r="B902" t="s">
        <v>22</v>
      </c>
      <c r="C902" t="s">
        <v>903</v>
      </c>
      <c r="D902" s="1">
        <v>0.6579976851851852</v>
      </c>
      <c r="E902" s="2">
        <f>CallLog[[#This Row],[Date]]+CallLog[[#This Row],[Time]]</f>
        <v>44212.657997685186</v>
      </c>
      <c r="F902" s="1" t="str">
        <f>TEXT(CallLog[[#This Row],[Date]],"dddd")</f>
        <v>Saturday</v>
      </c>
      <c r="G902" s="3">
        <f>HOUR(CallLog[[#This Row],[Time]])</f>
        <v>15</v>
      </c>
      <c r="H902" t="s">
        <v>32</v>
      </c>
      <c r="I902" t="s">
        <v>14</v>
      </c>
      <c r="J902" t="s">
        <v>14</v>
      </c>
      <c r="K902">
        <v>87</v>
      </c>
      <c r="L902" t="str">
        <f>IF(AND(CallLog[[#This Row],[Answered (Y/N)]]="Y", CallLog[[#This Row],[Speed of answer in seconds]]&lt;=20),
    "Within",
    "Breach")</f>
        <v>Breach</v>
      </c>
      <c r="M902" s="1">
        <v>8.4490740740740739E-4</v>
      </c>
      <c r="N902">
        <v>3</v>
      </c>
    </row>
    <row r="903" spans="1:14" x14ac:dyDescent="0.3">
      <c r="A903" t="s">
        <v>942</v>
      </c>
      <c r="B903" t="s">
        <v>20</v>
      </c>
      <c r="C903" t="s">
        <v>903</v>
      </c>
      <c r="D903" s="1">
        <v>0.6579976851851852</v>
      </c>
      <c r="E903" s="2">
        <f>CallLog[[#This Row],[Date]]+CallLog[[#This Row],[Time]]</f>
        <v>44212.657997685186</v>
      </c>
      <c r="F903" s="1" t="str">
        <f>TEXT(CallLog[[#This Row],[Date]],"dddd")</f>
        <v>Saturday</v>
      </c>
      <c r="G903" s="3">
        <f>HOUR(CallLog[[#This Row],[Time]])</f>
        <v>15</v>
      </c>
      <c r="H903" t="s">
        <v>17</v>
      </c>
      <c r="I903" t="s">
        <v>18</v>
      </c>
      <c r="J903" t="s">
        <v>18</v>
      </c>
      <c r="L903" t="str">
        <f>IF(AND(CallLog[[#This Row],[Answered (Y/N)]]="Y", CallLog[[#This Row],[Speed of answer in seconds]]&lt;=20),
    "Within",
    "Breach")</f>
        <v>Breach</v>
      </c>
    </row>
    <row r="904" spans="1:14" x14ac:dyDescent="0.3">
      <c r="A904" t="s">
        <v>943</v>
      </c>
      <c r="B904" t="s">
        <v>38</v>
      </c>
      <c r="C904" t="s">
        <v>903</v>
      </c>
      <c r="D904" s="1">
        <v>0.66200231481481486</v>
      </c>
      <c r="E904" s="2">
        <f>CallLog[[#This Row],[Date]]+CallLog[[#This Row],[Time]]</f>
        <v>44212.662002314813</v>
      </c>
      <c r="F904" s="1" t="str">
        <f>TEXT(CallLog[[#This Row],[Date]],"dddd")</f>
        <v>Saturday</v>
      </c>
      <c r="G904" s="3">
        <f>HOUR(CallLog[[#This Row],[Time]])</f>
        <v>15</v>
      </c>
      <c r="H904" t="s">
        <v>32</v>
      </c>
      <c r="I904" t="s">
        <v>14</v>
      </c>
      <c r="J904" t="s">
        <v>14</v>
      </c>
      <c r="K904">
        <v>79</v>
      </c>
      <c r="L904" t="str">
        <f>IF(AND(CallLog[[#This Row],[Answered (Y/N)]]="Y", CallLog[[#This Row],[Speed of answer in seconds]]&lt;=20),
    "Within",
    "Breach")</f>
        <v>Breach</v>
      </c>
      <c r="M904" s="1">
        <v>2.7777777777777779E-3</v>
      </c>
      <c r="N904">
        <v>4</v>
      </c>
    </row>
    <row r="905" spans="1:14" x14ac:dyDescent="0.3">
      <c r="A905" t="s">
        <v>944</v>
      </c>
      <c r="B905" t="s">
        <v>16</v>
      </c>
      <c r="C905" t="s">
        <v>903</v>
      </c>
      <c r="D905" s="1">
        <v>0.66200231481481486</v>
      </c>
      <c r="E905" s="2">
        <f>CallLog[[#This Row],[Date]]+CallLog[[#This Row],[Time]]</f>
        <v>44212.662002314813</v>
      </c>
      <c r="F905" s="1" t="str">
        <f>TEXT(CallLog[[#This Row],[Date]],"dddd")</f>
        <v>Saturday</v>
      </c>
      <c r="G905" s="3">
        <f>HOUR(CallLog[[#This Row],[Time]])</f>
        <v>15</v>
      </c>
      <c r="H905" t="s">
        <v>13</v>
      </c>
      <c r="I905" t="s">
        <v>14</v>
      </c>
      <c r="J905" t="s">
        <v>14</v>
      </c>
      <c r="K905">
        <v>33</v>
      </c>
      <c r="L905" t="str">
        <f>IF(AND(CallLog[[#This Row],[Answered (Y/N)]]="Y", CallLog[[#This Row],[Speed of answer in seconds]]&lt;=20),
    "Within",
    "Breach")</f>
        <v>Breach</v>
      </c>
      <c r="M905" s="1">
        <v>3.4953703703703705E-3</v>
      </c>
      <c r="N905">
        <v>4</v>
      </c>
    </row>
    <row r="906" spans="1:14" x14ac:dyDescent="0.3">
      <c r="A906" t="s">
        <v>945</v>
      </c>
      <c r="B906" t="s">
        <v>34</v>
      </c>
      <c r="C906" t="s">
        <v>903</v>
      </c>
      <c r="D906" s="1">
        <v>0.6909953703703704</v>
      </c>
      <c r="E906" s="2">
        <f>CallLog[[#This Row],[Date]]+CallLog[[#This Row],[Time]]</f>
        <v>44212.690995370373</v>
      </c>
      <c r="F906" s="1" t="str">
        <f>TEXT(CallLog[[#This Row],[Date]],"dddd")</f>
        <v>Saturday</v>
      </c>
      <c r="G906" s="3">
        <f>HOUR(CallLog[[#This Row],[Time]])</f>
        <v>16</v>
      </c>
      <c r="H906" t="s">
        <v>17</v>
      </c>
      <c r="I906" t="s">
        <v>14</v>
      </c>
      <c r="J906" t="s">
        <v>14</v>
      </c>
      <c r="K906">
        <v>114</v>
      </c>
      <c r="L906" t="str">
        <f>IF(AND(CallLog[[#This Row],[Answered (Y/N)]]="Y", CallLog[[#This Row],[Speed of answer in seconds]]&lt;=20),
    "Within",
    "Breach")</f>
        <v>Breach</v>
      </c>
      <c r="M906" s="1">
        <v>3.7268518518518519E-3</v>
      </c>
      <c r="N906">
        <v>4</v>
      </c>
    </row>
    <row r="907" spans="1:14" x14ac:dyDescent="0.3">
      <c r="A907" t="s">
        <v>946</v>
      </c>
      <c r="B907" t="s">
        <v>20</v>
      </c>
      <c r="C907" t="s">
        <v>903</v>
      </c>
      <c r="D907" s="1">
        <v>0.6909953703703704</v>
      </c>
      <c r="E907" s="2">
        <f>CallLog[[#This Row],[Date]]+CallLog[[#This Row],[Time]]</f>
        <v>44212.690995370373</v>
      </c>
      <c r="F907" s="1" t="str">
        <f>TEXT(CallLog[[#This Row],[Date]],"dddd")</f>
        <v>Saturday</v>
      </c>
      <c r="G907" s="3">
        <f>HOUR(CallLog[[#This Row],[Time]])</f>
        <v>16</v>
      </c>
      <c r="H907" t="s">
        <v>17</v>
      </c>
      <c r="I907" t="s">
        <v>14</v>
      </c>
      <c r="J907" t="s">
        <v>14</v>
      </c>
      <c r="K907">
        <v>112</v>
      </c>
      <c r="L907" t="str">
        <f>IF(AND(CallLog[[#This Row],[Answered (Y/N)]]="Y", CallLog[[#This Row],[Speed of answer in seconds]]&lt;=20),
    "Within",
    "Breach")</f>
        <v>Breach</v>
      </c>
      <c r="M907" s="1">
        <v>6.2500000000000001E-4</v>
      </c>
      <c r="N907">
        <v>5</v>
      </c>
    </row>
    <row r="908" spans="1:14" x14ac:dyDescent="0.3">
      <c r="A908" t="s">
        <v>947</v>
      </c>
      <c r="B908" t="s">
        <v>16</v>
      </c>
      <c r="C908" t="s">
        <v>903</v>
      </c>
      <c r="D908" s="1">
        <v>0.69200231481481478</v>
      </c>
      <c r="E908" s="2">
        <f>CallLog[[#This Row],[Date]]+CallLog[[#This Row],[Time]]</f>
        <v>44212.692002314812</v>
      </c>
      <c r="F908" s="1" t="str">
        <f>TEXT(CallLog[[#This Row],[Date]],"dddd")</f>
        <v>Saturday</v>
      </c>
      <c r="G908" s="3">
        <f>HOUR(CallLog[[#This Row],[Time]])</f>
        <v>16</v>
      </c>
      <c r="H908" t="s">
        <v>17</v>
      </c>
      <c r="I908" t="s">
        <v>14</v>
      </c>
      <c r="J908" t="s">
        <v>14</v>
      </c>
      <c r="K908">
        <v>61</v>
      </c>
      <c r="L908" t="str">
        <f>IF(AND(CallLog[[#This Row],[Answered (Y/N)]]="Y", CallLog[[#This Row],[Speed of answer in seconds]]&lt;=20),
    "Within",
    "Breach")</f>
        <v>Breach</v>
      </c>
      <c r="M908" s="1">
        <v>4.3287037037037035E-3</v>
      </c>
      <c r="N908">
        <v>3</v>
      </c>
    </row>
    <row r="909" spans="1:14" x14ac:dyDescent="0.3">
      <c r="A909" t="s">
        <v>948</v>
      </c>
      <c r="B909" t="s">
        <v>31</v>
      </c>
      <c r="C909" t="s">
        <v>903</v>
      </c>
      <c r="D909" s="1">
        <v>0.69200231481481478</v>
      </c>
      <c r="E909" s="2">
        <f>CallLog[[#This Row],[Date]]+CallLog[[#This Row],[Time]]</f>
        <v>44212.692002314812</v>
      </c>
      <c r="F909" s="1" t="str">
        <f>TEXT(CallLog[[#This Row],[Date]],"dddd")</f>
        <v>Saturday</v>
      </c>
      <c r="G909" s="3">
        <f>HOUR(CallLog[[#This Row],[Time]])</f>
        <v>16</v>
      </c>
      <c r="H909" t="s">
        <v>17</v>
      </c>
      <c r="I909" t="s">
        <v>18</v>
      </c>
      <c r="J909" t="s">
        <v>18</v>
      </c>
      <c r="L909" t="str">
        <f>IF(AND(CallLog[[#This Row],[Answered (Y/N)]]="Y", CallLog[[#This Row],[Speed of answer in seconds]]&lt;=20),
    "Within",
    "Breach")</f>
        <v>Breach</v>
      </c>
    </row>
    <row r="910" spans="1:14" x14ac:dyDescent="0.3">
      <c r="A910" t="s">
        <v>949</v>
      </c>
      <c r="B910" t="s">
        <v>31</v>
      </c>
      <c r="C910" t="s">
        <v>903</v>
      </c>
      <c r="D910" s="1">
        <v>0.70299768518518524</v>
      </c>
      <c r="E910" s="2">
        <f>CallLog[[#This Row],[Date]]+CallLog[[#This Row],[Time]]</f>
        <v>44212.702997685185</v>
      </c>
      <c r="F910" s="1" t="str">
        <f>TEXT(CallLog[[#This Row],[Date]],"dddd")</f>
        <v>Saturday</v>
      </c>
      <c r="G910" s="3">
        <f>HOUR(CallLog[[#This Row],[Time]])</f>
        <v>16</v>
      </c>
      <c r="H910" t="s">
        <v>24</v>
      </c>
      <c r="I910" t="s">
        <v>14</v>
      </c>
      <c r="J910" t="s">
        <v>18</v>
      </c>
      <c r="K910">
        <v>58</v>
      </c>
      <c r="L910" t="str">
        <f>IF(AND(CallLog[[#This Row],[Answered (Y/N)]]="Y", CallLog[[#This Row],[Speed of answer in seconds]]&lt;=20),
    "Within",
    "Breach")</f>
        <v>Breach</v>
      </c>
      <c r="M910" s="1">
        <v>3.1365740740740742E-3</v>
      </c>
      <c r="N910">
        <v>2</v>
      </c>
    </row>
    <row r="911" spans="1:14" x14ac:dyDescent="0.3">
      <c r="A911" t="s">
        <v>950</v>
      </c>
      <c r="B911" t="s">
        <v>16</v>
      </c>
      <c r="C911" t="s">
        <v>903</v>
      </c>
      <c r="D911" s="1">
        <v>0.70299768518518524</v>
      </c>
      <c r="E911" s="2">
        <f>CallLog[[#This Row],[Date]]+CallLog[[#This Row],[Time]]</f>
        <v>44212.702997685185</v>
      </c>
      <c r="F911" s="1" t="str">
        <f>TEXT(CallLog[[#This Row],[Date]],"dddd")</f>
        <v>Saturday</v>
      </c>
      <c r="G911" s="3">
        <f>HOUR(CallLog[[#This Row],[Time]])</f>
        <v>16</v>
      </c>
      <c r="H911" t="s">
        <v>32</v>
      </c>
      <c r="I911" t="s">
        <v>14</v>
      </c>
      <c r="J911" t="s">
        <v>14</v>
      </c>
      <c r="K911">
        <v>13</v>
      </c>
      <c r="L911" t="str">
        <f>IF(AND(CallLog[[#This Row],[Answered (Y/N)]]="Y", CallLog[[#This Row],[Speed of answer in seconds]]&lt;=20),
    "Within",
    "Breach")</f>
        <v>Within</v>
      </c>
      <c r="M911" s="1">
        <v>1.4467592592592592E-3</v>
      </c>
      <c r="N911">
        <v>3</v>
      </c>
    </row>
    <row r="912" spans="1:14" x14ac:dyDescent="0.3">
      <c r="A912" t="s">
        <v>951</v>
      </c>
      <c r="B912" t="s">
        <v>20</v>
      </c>
      <c r="C912" t="s">
        <v>903</v>
      </c>
      <c r="D912" s="1">
        <v>0.73799768518518516</v>
      </c>
      <c r="E912" s="2">
        <f>CallLog[[#This Row],[Date]]+CallLog[[#This Row],[Time]]</f>
        <v>44212.737997685188</v>
      </c>
      <c r="F912" s="1" t="str">
        <f>TEXT(CallLog[[#This Row],[Date]],"dddd")</f>
        <v>Saturday</v>
      </c>
      <c r="G912" s="3">
        <f>HOUR(CallLog[[#This Row],[Time]])</f>
        <v>17</v>
      </c>
      <c r="H912" t="s">
        <v>13</v>
      </c>
      <c r="I912" t="s">
        <v>14</v>
      </c>
      <c r="J912" t="s">
        <v>14</v>
      </c>
      <c r="K912">
        <v>36</v>
      </c>
      <c r="L912" t="str">
        <f>IF(AND(CallLog[[#This Row],[Answered (Y/N)]]="Y", CallLog[[#This Row],[Speed of answer in seconds]]&lt;=20),
    "Within",
    "Breach")</f>
        <v>Breach</v>
      </c>
      <c r="M912" s="1">
        <v>2.7546296296296294E-3</v>
      </c>
      <c r="N912">
        <v>4</v>
      </c>
    </row>
    <row r="913" spans="1:14" x14ac:dyDescent="0.3">
      <c r="A913" t="s">
        <v>952</v>
      </c>
      <c r="B913" t="s">
        <v>22</v>
      </c>
      <c r="C913" t="s">
        <v>903</v>
      </c>
      <c r="D913" s="1">
        <v>0.73799768518518516</v>
      </c>
      <c r="E913" s="2">
        <f>CallLog[[#This Row],[Date]]+CallLog[[#This Row],[Time]]</f>
        <v>44212.737997685188</v>
      </c>
      <c r="F913" s="1" t="str">
        <f>TEXT(CallLog[[#This Row],[Date]],"dddd")</f>
        <v>Saturday</v>
      </c>
      <c r="G913" s="3">
        <f>HOUR(CallLog[[#This Row],[Time]])</f>
        <v>17</v>
      </c>
      <c r="H913" t="s">
        <v>13</v>
      </c>
      <c r="I913" t="s">
        <v>14</v>
      </c>
      <c r="J913" t="s">
        <v>14</v>
      </c>
      <c r="K913">
        <v>48</v>
      </c>
      <c r="L913" t="str">
        <f>IF(AND(CallLog[[#This Row],[Answered (Y/N)]]="Y", CallLog[[#This Row],[Speed of answer in seconds]]&lt;=20),
    "Within",
    "Breach")</f>
        <v>Breach</v>
      </c>
      <c r="M913" s="1">
        <v>2.5231481481481481E-3</v>
      </c>
      <c r="N913">
        <v>3</v>
      </c>
    </row>
    <row r="914" spans="1:14" x14ac:dyDescent="0.3">
      <c r="A914" t="s">
        <v>953</v>
      </c>
      <c r="B914" t="s">
        <v>20</v>
      </c>
      <c r="C914" t="s">
        <v>903</v>
      </c>
      <c r="D914" s="1">
        <v>0.74799768518518517</v>
      </c>
      <c r="E914" s="2">
        <f>CallLog[[#This Row],[Date]]+CallLog[[#This Row],[Time]]</f>
        <v>44212.747997685183</v>
      </c>
      <c r="F914" s="1" t="str">
        <f>TEXT(CallLog[[#This Row],[Date]],"dddd")</f>
        <v>Saturday</v>
      </c>
      <c r="G914" s="3">
        <f>HOUR(CallLog[[#This Row],[Time]])</f>
        <v>17</v>
      </c>
      <c r="H914" t="s">
        <v>24</v>
      </c>
      <c r="I914" t="s">
        <v>14</v>
      </c>
      <c r="J914" t="s">
        <v>14</v>
      </c>
      <c r="K914">
        <v>99</v>
      </c>
      <c r="L914" t="str">
        <f>IF(AND(CallLog[[#This Row],[Answered (Y/N)]]="Y", CallLog[[#This Row],[Speed of answer in seconds]]&lt;=20),
    "Within",
    "Breach")</f>
        <v>Breach</v>
      </c>
      <c r="M914" s="1">
        <v>3.8194444444444452E-4</v>
      </c>
      <c r="N914">
        <v>5</v>
      </c>
    </row>
    <row r="915" spans="1:14" x14ac:dyDescent="0.3">
      <c r="A915" t="s">
        <v>954</v>
      </c>
      <c r="B915" t="s">
        <v>34</v>
      </c>
      <c r="C915" t="s">
        <v>903</v>
      </c>
      <c r="D915" s="1">
        <v>0.74799768518518517</v>
      </c>
      <c r="E915" s="2">
        <f>CallLog[[#This Row],[Date]]+CallLog[[#This Row],[Time]]</f>
        <v>44212.747997685183</v>
      </c>
      <c r="F915" s="1" t="str">
        <f>TEXT(CallLog[[#This Row],[Date]],"dddd")</f>
        <v>Saturday</v>
      </c>
      <c r="G915" s="3">
        <f>HOUR(CallLog[[#This Row],[Time]])</f>
        <v>17</v>
      </c>
      <c r="H915" t="s">
        <v>17</v>
      </c>
      <c r="I915" t="s">
        <v>14</v>
      </c>
      <c r="J915" t="s">
        <v>14</v>
      </c>
      <c r="K915">
        <v>78</v>
      </c>
      <c r="L915" t="str">
        <f>IF(AND(CallLog[[#This Row],[Answered (Y/N)]]="Y", CallLog[[#This Row],[Speed of answer in seconds]]&lt;=20),
    "Within",
    "Breach")</f>
        <v>Breach</v>
      </c>
      <c r="M915" s="1">
        <v>1.238425925925926E-3</v>
      </c>
      <c r="N915">
        <v>3</v>
      </c>
    </row>
    <row r="916" spans="1:14" x14ac:dyDescent="0.3">
      <c r="A916" t="s">
        <v>955</v>
      </c>
      <c r="B916" t="s">
        <v>22</v>
      </c>
      <c r="C916" t="s">
        <v>903</v>
      </c>
      <c r="D916" s="1">
        <v>0.74900462962962966</v>
      </c>
      <c r="E916" s="2">
        <f>CallLog[[#This Row],[Date]]+CallLog[[#This Row],[Time]]</f>
        <v>44212.74900462963</v>
      </c>
      <c r="F916" s="1" t="str">
        <f>TEXT(CallLog[[#This Row],[Date]],"dddd")</f>
        <v>Saturday</v>
      </c>
      <c r="G916" s="3">
        <f>HOUR(CallLog[[#This Row],[Time]])</f>
        <v>17</v>
      </c>
      <c r="H916" t="s">
        <v>32</v>
      </c>
      <c r="I916" t="s">
        <v>14</v>
      </c>
      <c r="J916" t="s">
        <v>14</v>
      </c>
      <c r="K916">
        <v>82</v>
      </c>
      <c r="L916" t="str">
        <f>IF(AND(CallLog[[#This Row],[Answered (Y/N)]]="Y", CallLog[[#This Row],[Speed of answer in seconds]]&lt;=20),
    "Within",
    "Breach")</f>
        <v>Breach</v>
      </c>
      <c r="M916" s="1">
        <v>1.9907407407407408E-3</v>
      </c>
      <c r="N916">
        <v>4</v>
      </c>
    </row>
    <row r="917" spans="1:14" x14ac:dyDescent="0.3">
      <c r="A917" t="s">
        <v>956</v>
      </c>
      <c r="B917" t="s">
        <v>16</v>
      </c>
      <c r="C917" t="s">
        <v>903</v>
      </c>
      <c r="D917" s="1">
        <v>0.74900462962962966</v>
      </c>
      <c r="E917" s="2">
        <f>CallLog[[#This Row],[Date]]+CallLog[[#This Row],[Time]]</f>
        <v>44212.74900462963</v>
      </c>
      <c r="F917" s="1" t="str">
        <f>TEXT(CallLog[[#This Row],[Date]],"dddd")</f>
        <v>Saturday</v>
      </c>
      <c r="G917" s="3">
        <f>HOUR(CallLog[[#This Row],[Time]])</f>
        <v>17</v>
      </c>
      <c r="H917" t="s">
        <v>29</v>
      </c>
      <c r="I917" t="s">
        <v>18</v>
      </c>
      <c r="J917" t="s">
        <v>18</v>
      </c>
      <c r="L917" t="str">
        <f>IF(AND(CallLog[[#This Row],[Answered (Y/N)]]="Y", CallLog[[#This Row],[Speed of answer in seconds]]&lt;=20),
    "Within",
    "Breach")</f>
        <v>Breach</v>
      </c>
    </row>
    <row r="918" spans="1:14" x14ac:dyDescent="0.3">
      <c r="A918" t="s">
        <v>957</v>
      </c>
      <c r="B918" t="s">
        <v>20</v>
      </c>
      <c r="C918" t="s">
        <v>903</v>
      </c>
      <c r="D918" s="1">
        <v>0.75</v>
      </c>
      <c r="E918" s="2">
        <f>CallLog[[#This Row],[Date]]+CallLog[[#This Row],[Time]]</f>
        <v>44212.75</v>
      </c>
      <c r="F918" s="1" t="str">
        <f>TEXT(CallLog[[#This Row],[Date]],"dddd")</f>
        <v>Saturday</v>
      </c>
      <c r="G918" s="3">
        <f>HOUR(CallLog[[#This Row],[Time]])</f>
        <v>18</v>
      </c>
      <c r="H918" t="s">
        <v>32</v>
      </c>
      <c r="I918" t="s">
        <v>14</v>
      </c>
      <c r="J918" t="s">
        <v>14</v>
      </c>
      <c r="K918">
        <v>19</v>
      </c>
      <c r="L918" t="str">
        <f>IF(AND(CallLog[[#This Row],[Answered (Y/N)]]="Y", CallLog[[#This Row],[Speed of answer in seconds]]&lt;=20),
    "Within",
    "Breach")</f>
        <v>Within</v>
      </c>
      <c r="M918" s="1">
        <v>1.1921296296296296E-3</v>
      </c>
      <c r="N918">
        <v>5</v>
      </c>
    </row>
    <row r="919" spans="1:14" x14ac:dyDescent="0.3">
      <c r="A919" t="s">
        <v>958</v>
      </c>
      <c r="B919" t="s">
        <v>16</v>
      </c>
      <c r="C919" t="s">
        <v>903</v>
      </c>
      <c r="D919" s="1">
        <v>0.75</v>
      </c>
      <c r="E919" s="2">
        <f>CallLog[[#This Row],[Date]]+CallLog[[#This Row],[Time]]</f>
        <v>44212.75</v>
      </c>
      <c r="F919" s="1" t="str">
        <f>TEXT(CallLog[[#This Row],[Date]],"dddd")</f>
        <v>Saturday</v>
      </c>
      <c r="G919" s="3">
        <f>HOUR(CallLog[[#This Row],[Time]])</f>
        <v>18</v>
      </c>
      <c r="H919" t="s">
        <v>32</v>
      </c>
      <c r="I919" t="s">
        <v>14</v>
      </c>
      <c r="J919" t="s">
        <v>14</v>
      </c>
      <c r="K919">
        <v>34</v>
      </c>
      <c r="L919" t="str">
        <f>IF(AND(CallLog[[#This Row],[Answered (Y/N)]]="Y", CallLog[[#This Row],[Speed of answer in seconds]]&lt;=20),
    "Within",
    "Breach")</f>
        <v>Breach</v>
      </c>
      <c r="M919" s="1">
        <v>4.6874999999999998E-3</v>
      </c>
      <c r="N919">
        <v>4</v>
      </c>
    </row>
    <row r="920" spans="1:14" x14ac:dyDescent="0.3">
      <c r="A920" t="s">
        <v>959</v>
      </c>
      <c r="B920" t="s">
        <v>16</v>
      </c>
      <c r="C920" t="s">
        <v>960</v>
      </c>
      <c r="D920" s="1">
        <v>0.41099537037037037</v>
      </c>
      <c r="E920" s="2">
        <f>CallLog[[#This Row],[Date]]+CallLog[[#This Row],[Time]]</f>
        <v>44213.410995370374</v>
      </c>
      <c r="F920" s="1" t="str">
        <f>TEXT(CallLog[[#This Row],[Date]],"dddd")</f>
        <v>Sunday</v>
      </c>
      <c r="G920" s="3">
        <f>HOUR(CallLog[[#This Row],[Time]])</f>
        <v>9</v>
      </c>
      <c r="H920" t="s">
        <v>17</v>
      </c>
      <c r="I920" t="s">
        <v>14</v>
      </c>
      <c r="J920" t="s">
        <v>14</v>
      </c>
      <c r="K920">
        <v>89</v>
      </c>
      <c r="L920" t="str">
        <f>IF(AND(CallLog[[#This Row],[Answered (Y/N)]]="Y", CallLog[[#This Row],[Speed of answer in seconds]]&lt;=20),
    "Within",
    "Breach")</f>
        <v>Breach</v>
      </c>
      <c r="M920" s="1">
        <v>2.2106481481481482E-3</v>
      </c>
      <c r="N920">
        <v>3</v>
      </c>
    </row>
    <row r="921" spans="1:14" x14ac:dyDescent="0.3">
      <c r="A921" t="s">
        <v>961</v>
      </c>
      <c r="B921" t="s">
        <v>38</v>
      </c>
      <c r="C921" t="s">
        <v>960</v>
      </c>
      <c r="D921" s="1">
        <v>0.41099537037037037</v>
      </c>
      <c r="E921" s="2">
        <f>CallLog[[#This Row],[Date]]+CallLog[[#This Row],[Time]]</f>
        <v>44213.410995370374</v>
      </c>
      <c r="F921" s="1" t="str">
        <f>TEXT(CallLog[[#This Row],[Date]],"dddd")</f>
        <v>Sunday</v>
      </c>
      <c r="G921" s="3">
        <f>HOUR(CallLog[[#This Row],[Time]])</f>
        <v>9</v>
      </c>
      <c r="H921" t="s">
        <v>13</v>
      </c>
      <c r="I921" t="s">
        <v>14</v>
      </c>
      <c r="J921" t="s">
        <v>14</v>
      </c>
      <c r="K921">
        <v>116</v>
      </c>
      <c r="L921" t="str">
        <f>IF(AND(CallLog[[#This Row],[Answered (Y/N)]]="Y", CallLog[[#This Row],[Speed of answer in seconds]]&lt;=20),
    "Within",
    "Breach")</f>
        <v>Breach</v>
      </c>
      <c r="M921" s="1">
        <v>4.3750000000000004E-3</v>
      </c>
      <c r="N921">
        <v>4</v>
      </c>
    </row>
    <row r="922" spans="1:14" x14ac:dyDescent="0.3">
      <c r="A922" t="s">
        <v>962</v>
      </c>
      <c r="B922" t="s">
        <v>38</v>
      </c>
      <c r="C922" t="s">
        <v>960</v>
      </c>
      <c r="D922" s="1">
        <v>0.43900462962962961</v>
      </c>
      <c r="E922" s="2">
        <f>CallLog[[#This Row],[Date]]+CallLog[[#This Row],[Time]]</f>
        <v>44213.439004629632</v>
      </c>
      <c r="F922" s="1" t="str">
        <f>TEXT(CallLog[[#This Row],[Date]],"dddd")</f>
        <v>Sunday</v>
      </c>
      <c r="G922" s="3">
        <f>HOUR(CallLog[[#This Row],[Time]])</f>
        <v>10</v>
      </c>
      <c r="H922" t="s">
        <v>32</v>
      </c>
      <c r="I922" t="s">
        <v>14</v>
      </c>
      <c r="J922" t="s">
        <v>14</v>
      </c>
      <c r="K922">
        <v>88</v>
      </c>
      <c r="L922" t="str">
        <f>IF(AND(CallLog[[#This Row],[Answered (Y/N)]]="Y", CallLog[[#This Row],[Speed of answer in seconds]]&lt;=20),
    "Within",
    "Breach")</f>
        <v>Breach</v>
      </c>
      <c r="M922" s="1">
        <v>2.8124999999999999E-3</v>
      </c>
      <c r="N922">
        <v>4</v>
      </c>
    </row>
    <row r="923" spans="1:14" x14ac:dyDescent="0.3">
      <c r="A923" t="s">
        <v>963</v>
      </c>
      <c r="B923" t="s">
        <v>20</v>
      </c>
      <c r="C923" t="s">
        <v>960</v>
      </c>
      <c r="D923" s="1">
        <v>0.43900462962962961</v>
      </c>
      <c r="E923" s="2">
        <f>CallLog[[#This Row],[Date]]+CallLog[[#This Row],[Time]]</f>
        <v>44213.439004629632</v>
      </c>
      <c r="F923" s="1" t="str">
        <f>TEXT(CallLog[[#This Row],[Date]],"dddd")</f>
        <v>Sunday</v>
      </c>
      <c r="G923" s="3">
        <f>HOUR(CallLog[[#This Row],[Time]])</f>
        <v>10</v>
      </c>
      <c r="H923" t="s">
        <v>32</v>
      </c>
      <c r="I923" t="s">
        <v>14</v>
      </c>
      <c r="J923" t="s">
        <v>14</v>
      </c>
      <c r="K923">
        <v>15</v>
      </c>
      <c r="L923" t="str">
        <f>IF(AND(CallLog[[#This Row],[Answered (Y/N)]]="Y", CallLog[[#This Row],[Speed of answer in seconds]]&lt;=20),
    "Within",
    "Breach")</f>
        <v>Within</v>
      </c>
      <c r="M923" s="1">
        <v>2.1296296296296298E-3</v>
      </c>
      <c r="N923">
        <v>3</v>
      </c>
    </row>
    <row r="924" spans="1:14" x14ac:dyDescent="0.3">
      <c r="A924" t="s">
        <v>964</v>
      </c>
      <c r="B924" t="s">
        <v>38</v>
      </c>
      <c r="C924" t="s">
        <v>960</v>
      </c>
      <c r="D924" s="1">
        <v>0.48799768518518516</v>
      </c>
      <c r="E924" s="2">
        <f>CallLog[[#This Row],[Date]]+CallLog[[#This Row],[Time]]</f>
        <v>44213.487997685188</v>
      </c>
      <c r="F924" s="1" t="str">
        <f>TEXT(CallLog[[#This Row],[Date]],"dddd")</f>
        <v>Sunday</v>
      </c>
      <c r="G924" s="3">
        <f>HOUR(CallLog[[#This Row],[Time]])</f>
        <v>11</v>
      </c>
      <c r="H924" t="s">
        <v>13</v>
      </c>
      <c r="I924" t="s">
        <v>14</v>
      </c>
      <c r="J924" t="s">
        <v>14</v>
      </c>
      <c r="K924">
        <v>59</v>
      </c>
      <c r="L924" t="str">
        <f>IF(AND(CallLog[[#This Row],[Answered (Y/N)]]="Y", CallLog[[#This Row],[Speed of answer in seconds]]&lt;=20),
    "Within",
    "Breach")</f>
        <v>Breach</v>
      </c>
      <c r="M924" s="1">
        <v>1.5856481481481481E-3</v>
      </c>
      <c r="N924">
        <v>5</v>
      </c>
    </row>
    <row r="925" spans="1:14" x14ac:dyDescent="0.3">
      <c r="A925" t="s">
        <v>965</v>
      </c>
      <c r="B925" t="s">
        <v>22</v>
      </c>
      <c r="C925" t="s">
        <v>960</v>
      </c>
      <c r="D925" s="1">
        <v>0.48799768518518516</v>
      </c>
      <c r="E925" s="2">
        <f>CallLog[[#This Row],[Date]]+CallLog[[#This Row],[Time]]</f>
        <v>44213.487997685188</v>
      </c>
      <c r="F925" s="1" t="str">
        <f>TEXT(CallLog[[#This Row],[Date]],"dddd")</f>
        <v>Sunday</v>
      </c>
      <c r="G925" s="3">
        <f>HOUR(CallLog[[#This Row],[Time]])</f>
        <v>11</v>
      </c>
      <c r="H925" t="s">
        <v>13</v>
      </c>
      <c r="I925" t="s">
        <v>18</v>
      </c>
      <c r="J925" t="s">
        <v>18</v>
      </c>
      <c r="L925" t="str">
        <f>IF(AND(CallLog[[#This Row],[Answered (Y/N)]]="Y", CallLog[[#This Row],[Speed of answer in seconds]]&lt;=20),
    "Within",
    "Breach")</f>
        <v>Breach</v>
      </c>
    </row>
    <row r="926" spans="1:14" x14ac:dyDescent="0.3">
      <c r="A926" t="s">
        <v>966</v>
      </c>
      <c r="B926" t="s">
        <v>38</v>
      </c>
      <c r="C926" t="s">
        <v>960</v>
      </c>
      <c r="D926" s="1">
        <v>0.48799768518518516</v>
      </c>
      <c r="E926" s="2">
        <f>CallLog[[#This Row],[Date]]+CallLog[[#This Row],[Time]]</f>
        <v>44213.487997685188</v>
      </c>
      <c r="F926" s="1" t="str">
        <f>TEXT(CallLog[[#This Row],[Date]],"dddd")</f>
        <v>Sunday</v>
      </c>
      <c r="G926" s="3">
        <f>HOUR(CallLog[[#This Row],[Time]])</f>
        <v>11</v>
      </c>
      <c r="H926" t="s">
        <v>13</v>
      </c>
      <c r="I926" t="s">
        <v>14</v>
      </c>
      <c r="J926" t="s">
        <v>14</v>
      </c>
      <c r="K926">
        <v>125</v>
      </c>
      <c r="L926" t="str">
        <f>IF(AND(CallLog[[#This Row],[Answered (Y/N)]]="Y", CallLog[[#This Row],[Speed of answer in seconds]]&lt;=20),
    "Within",
    "Breach")</f>
        <v>Breach</v>
      </c>
      <c r="M926" s="1">
        <v>2.1875000000000002E-3</v>
      </c>
      <c r="N926">
        <v>2</v>
      </c>
    </row>
    <row r="927" spans="1:14" x14ac:dyDescent="0.3">
      <c r="A927" t="s">
        <v>967</v>
      </c>
      <c r="B927" t="s">
        <v>22</v>
      </c>
      <c r="C927" t="s">
        <v>960</v>
      </c>
      <c r="D927" s="1">
        <v>0.48799768518518516</v>
      </c>
      <c r="E927" s="2">
        <f>CallLog[[#This Row],[Date]]+CallLog[[#This Row],[Time]]</f>
        <v>44213.487997685188</v>
      </c>
      <c r="F927" s="1" t="str">
        <f>TEXT(CallLog[[#This Row],[Date]],"dddd")</f>
        <v>Sunday</v>
      </c>
      <c r="G927" s="3">
        <f>HOUR(CallLog[[#This Row],[Time]])</f>
        <v>11</v>
      </c>
      <c r="H927" t="s">
        <v>32</v>
      </c>
      <c r="I927" t="s">
        <v>14</v>
      </c>
      <c r="J927" t="s">
        <v>14</v>
      </c>
      <c r="K927">
        <v>88</v>
      </c>
      <c r="L927" t="str">
        <f>IF(AND(CallLog[[#This Row],[Answered (Y/N)]]="Y", CallLog[[#This Row],[Speed of answer in seconds]]&lt;=20),
    "Within",
    "Breach")</f>
        <v>Breach</v>
      </c>
      <c r="M927" s="1">
        <v>2.8472222222222223E-3</v>
      </c>
      <c r="N927">
        <v>4</v>
      </c>
    </row>
    <row r="928" spans="1:14" x14ac:dyDescent="0.3">
      <c r="A928" t="s">
        <v>968</v>
      </c>
      <c r="B928" t="s">
        <v>31</v>
      </c>
      <c r="C928" t="s">
        <v>960</v>
      </c>
      <c r="D928" s="1">
        <v>0.49</v>
      </c>
      <c r="E928" s="2">
        <f>CallLog[[#This Row],[Date]]+CallLog[[#This Row],[Time]]</f>
        <v>44213.49</v>
      </c>
      <c r="F928" s="1" t="str">
        <f>TEXT(CallLog[[#This Row],[Date]],"dddd")</f>
        <v>Sunday</v>
      </c>
      <c r="G928" s="3">
        <f>HOUR(CallLog[[#This Row],[Time]])</f>
        <v>11</v>
      </c>
      <c r="H928" t="s">
        <v>32</v>
      </c>
      <c r="I928" t="s">
        <v>14</v>
      </c>
      <c r="J928" t="s">
        <v>14</v>
      </c>
      <c r="K928">
        <v>20</v>
      </c>
      <c r="L928" t="str">
        <f>IF(AND(CallLog[[#This Row],[Answered (Y/N)]]="Y", CallLog[[#This Row],[Speed of answer in seconds]]&lt;=20),
    "Within",
    "Breach")</f>
        <v>Within</v>
      </c>
      <c r="M928" s="1">
        <v>3.2291666666666666E-3</v>
      </c>
      <c r="N928">
        <v>5</v>
      </c>
    </row>
    <row r="929" spans="1:14" x14ac:dyDescent="0.3">
      <c r="A929" t="s">
        <v>969</v>
      </c>
      <c r="B929" t="s">
        <v>20</v>
      </c>
      <c r="C929" t="s">
        <v>960</v>
      </c>
      <c r="D929" s="1">
        <v>0.49</v>
      </c>
      <c r="E929" s="2">
        <f>CallLog[[#This Row],[Date]]+CallLog[[#This Row],[Time]]</f>
        <v>44213.49</v>
      </c>
      <c r="F929" s="1" t="str">
        <f>TEXT(CallLog[[#This Row],[Date]],"dddd")</f>
        <v>Sunday</v>
      </c>
      <c r="G929" s="3">
        <f>HOUR(CallLog[[#This Row],[Time]])</f>
        <v>11</v>
      </c>
      <c r="H929" t="s">
        <v>13</v>
      </c>
      <c r="I929" t="s">
        <v>14</v>
      </c>
      <c r="J929" t="s">
        <v>14</v>
      </c>
      <c r="K929">
        <v>64</v>
      </c>
      <c r="L929" t="str">
        <f>IF(AND(CallLog[[#This Row],[Answered (Y/N)]]="Y", CallLog[[#This Row],[Speed of answer in seconds]]&lt;=20),
    "Within",
    "Breach")</f>
        <v>Breach</v>
      </c>
      <c r="M929" s="1">
        <v>4.0046296296296297E-3</v>
      </c>
      <c r="N929">
        <v>3</v>
      </c>
    </row>
    <row r="930" spans="1:14" x14ac:dyDescent="0.3">
      <c r="A930" t="s">
        <v>970</v>
      </c>
      <c r="B930" t="s">
        <v>31</v>
      </c>
      <c r="C930" t="s">
        <v>960</v>
      </c>
      <c r="D930" s="1">
        <v>0.52700231481481485</v>
      </c>
      <c r="E930" s="2">
        <f>CallLog[[#This Row],[Date]]+CallLog[[#This Row],[Time]]</f>
        <v>44213.527002314811</v>
      </c>
      <c r="F930" s="1" t="str">
        <f>TEXT(CallLog[[#This Row],[Date]],"dddd")</f>
        <v>Sunday</v>
      </c>
      <c r="G930" s="3">
        <f>HOUR(CallLog[[#This Row],[Time]])</f>
        <v>12</v>
      </c>
      <c r="H930" t="s">
        <v>32</v>
      </c>
      <c r="I930" t="s">
        <v>18</v>
      </c>
      <c r="J930" t="s">
        <v>18</v>
      </c>
      <c r="L930" t="str">
        <f>IF(AND(CallLog[[#This Row],[Answered (Y/N)]]="Y", CallLog[[#This Row],[Speed of answer in seconds]]&lt;=20),
    "Within",
    "Breach")</f>
        <v>Breach</v>
      </c>
    </row>
    <row r="931" spans="1:14" x14ac:dyDescent="0.3">
      <c r="A931" t="s">
        <v>971</v>
      </c>
      <c r="B931" t="s">
        <v>20</v>
      </c>
      <c r="C931" t="s">
        <v>960</v>
      </c>
      <c r="D931" s="1">
        <v>0.52700231481481485</v>
      </c>
      <c r="E931" s="2">
        <f>CallLog[[#This Row],[Date]]+CallLog[[#This Row],[Time]]</f>
        <v>44213.527002314811</v>
      </c>
      <c r="F931" s="1" t="str">
        <f>TEXT(CallLog[[#This Row],[Date]],"dddd")</f>
        <v>Sunday</v>
      </c>
      <c r="G931" s="3">
        <f>HOUR(CallLog[[#This Row],[Time]])</f>
        <v>12</v>
      </c>
      <c r="H931" t="s">
        <v>29</v>
      </c>
      <c r="I931" t="s">
        <v>14</v>
      </c>
      <c r="J931" t="s">
        <v>14</v>
      </c>
      <c r="K931">
        <v>111</v>
      </c>
      <c r="L931" t="str">
        <f>IF(AND(CallLog[[#This Row],[Answered (Y/N)]]="Y", CallLog[[#This Row],[Speed of answer in seconds]]&lt;=20),
    "Within",
    "Breach")</f>
        <v>Breach</v>
      </c>
      <c r="M931" s="1">
        <v>1.6087962962962963E-3</v>
      </c>
      <c r="N931">
        <v>5</v>
      </c>
    </row>
    <row r="932" spans="1:14" x14ac:dyDescent="0.3">
      <c r="A932" t="s">
        <v>972</v>
      </c>
      <c r="B932" t="s">
        <v>34</v>
      </c>
      <c r="C932" t="s">
        <v>960</v>
      </c>
      <c r="D932" s="1">
        <v>0.53099537037037037</v>
      </c>
      <c r="E932" s="2">
        <f>CallLog[[#This Row],[Date]]+CallLog[[#This Row],[Time]]</f>
        <v>44213.530995370369</v>
      </c>
      <c r="F932" s="1" t="str">
        <f>TEXT(CallLog[[#This Row],[Date]],"dddd")</f>
        <v>Sunday</v>
      </c>
      <c r="G932" s="3">
        <f>HOUR(CallLog[[#This Row],[Time]])</f>
        <v>12</v>
      </c>
      <c r="H932" t="s">
        <v>29</v>
      </c>
      <c r="I932" t="s">
        <v>18</v>
      </c>
      <c r="J932" t="s">
        <v>18</v>
      </c>
      <c r="L932" t="str">
        <f>IF(AND(CallLog[[#This Row],[Answered (Y/N)]]="Y", CallLog[[#This Row],[Speed of answer in seconds]]&lt;=20),
    "Within",
    "Breach")</f>
        <v>Breach</v>
      </c>
    </row>
    <row r="933" spans="1:14" x14ac:dyDescent="0.3">
      <c r="A933" t="s">
        <v>973</v>
      </c>
      <c r="B933" t="s">
        <v>31</v>
      </c>
      <c r="C933" t="s">
        <v>960</v>
      </c>
      <c r="D933" s="1">
        <v>0.53099537037037037</v>
      </c>
      <c r="E933" s="2">
        <f>CallLog[[#This Row],[Date]]+CallLog[[#This Row],[Time]]</f>
        <v>44213.530995370369</v>
      </c>
      <c r="F933" s="1" t="str">
        <f>TEXT(CallLog[[#This Row],[Date]],"dddd")</f>
        <v>Sunday</v>
      </c>
      <c r="G933" s="3">
        <f>HOUR(CallLog[[#This Row],[Time]])</f>
        <v>12</v>
      </c>
      <c r="H933" t="s">
        <v>17</v>
      </c>
      <c r="I933" t="s">
        <v>18</v>
      </c>
      <c r="J933" t="s">
        <v>18</v>
      </c>
      <c r="L933" t="str">
        <f>IF(AND(CallLog[[#This Row],[Answered (Y/N)]]="Y", CallLog[[#This Row],[Speed of answer in seconds]]&lt;=20),
    "Within",
    "Breach")</f>
        <v>Breach</v>
      </c>
    </row>
    <row r="934" spans="1:14" x14ac:dyDescent="0.3">
      <c r="A934" t="s">
        <v>974</v>
      </c>
      <c r="B934" t="s">
        <v>34</v>
      </c>
      <c r="C934" t="s">
        <v>960</v>
      </c>
      <c r="D934" s="1">
        <v>0.56200231481481477</v>
      </c>
      <c r="E934" s="2">
        <f>CallLog[[#This Row],[Date]]+CallLog[[#This Row],[Time]]</f>
        <v>44213.562002314815</v>
      </c>
      <c r="F934" s="1" t="str">
        <f>TEXT(CallLog[[#This Row],[Date]],"dddd")</f>
        <v>Sunday</v>
      </c>
      <c r="G934" s="3">
        <f>HOUR(CallLog[[#This Row],[Time]])</f>
        <v>13</v>
      </c>
      <c r="H934" t="s">
        <v>17</v>
      </c>
      <c r="I934" t="s">
        <v>14</v>
      </c>
      <c r="J934" t="s">
        <v>14</v>
      </c>
      <c r="K934">
        <v>40</v>
      </c>
      <c r="L934" t="str">
        <f>IF(AND(CallLog[[#This Row],[Answered (Y/N)]]="Y", CallLog[[#This Row],[Speed of answer in seconds]]&lt;=20),
    "Within",
    "Breach")</f>
        <v>Breach</v>
      </c>
      <c r="M934" s="1">
        <v>2.0949074074074073E-3</v>
      </c>
      <c r="N934">
        <v>4</v>
      </c>
    </row>
    <row r="935" spans="1:14" x14ac:dyDescent="0.3">
      <c r="A935" t="s">
        <v>975</v>
      </c>
      <c r="B935" t="s">
        <v>38</v>
      </c>
      <c r="C935" t="s">
        <v>960</v>
      </c>
      <c r="D935" s="1">
        <v>0.56200231481481477</v>
      </c>
      <c r="E935" s="2">
        <f>CallLog[[#This Row],[Date]]+CallLog[[#This Row],[Time]]</f>
        <v>44213.562002314815</v>
      </c>
      <c r="F935" s="1" t="str">
        <f>TEXT(CallLog[[#This Row],[Date]],"dddd")</f>
        <v>Sunday</v>
      </c>
      <c r="G935" s="3">
        <f>HOUR(CallLog[[#This Row],[Time]])</f>
        <v>13</v>
      </c>
      <c r="H935" t="s">
        <v>17</v>
      </c>
      <c r="I935" t="s">
        <v>14</v>
      </c>
      <c r="J935" t="s">
        <v>14</v>
      </c>
      <c r="K935">
        <v>35</v>
      </c>
      <c r="L935" t="str">
        <f>IF(AND(CallLog[[#This Row],[Answered (Y/N)]]="Y", CallLog[[#This Row],[Speed of answer in seconds]]&lt;=20),
    "Within",
    "Breach")</f>
        <v>Breach</v>
      </c>
      <c r="M935" s="1">
        <v>2.1643518518518518E-3</v>
      </c>
      <c r="N935">
        <v>2</v>
      </c>
    </row>
    <row r="936" spans="1:14" x14ac:dyDescent="0.3">
      <c r="A936" t="s">
        <v>976</v>
      </c>
      <c r="B936" t="s">
        <v>38</v>
      </c>
      <c r="C936" t="s">
        <v>960</v>
      </c>
      <c r="D936" s="1">
        <v>0.56299768518518523</v>
      </c>
      <c r="E936" s="2">
        <f>CallLog[[#This Row],[Date]]+CallLog[[#This Row],[Time]]</f>
        <v>44213.562997685185</v>
      </c>
      <c r="F936" s="1" t="str">
        <f>TEXT(CallLog[[#This Row],[Date]],"dddd")</f>
        <v>Sunday</v>
      </c>
      <c r="G936" s="3">
        <f>HOUR(CallLog[[#This Row],[Time]])</f>
        <v>13</v>
      </c>
      <c r="H936" t="s">
        <v>13</v>
      </c>
      <c r="I936" t="s">
        <v>14</v>
      </c>
      <c r="J936" t="s">
        <v>14</v>
      </c>
      <c r="K936">
        <v>106</v>
      </c>
      <c r="L936" t="str">
        <f>IF(AND(CallLog[[#This Row],[Answered (Y/N)]]="Y", CallLog[[#This Row],[Speed of answer in seconds]]&lt;=20),
    "Within",
    "Breach")</f>
        <v>Breach</v>
      </c>
      <c r="M936" s="1">
        <v>1.9328703703703704E-3</v>
      </c>
      <c r="N936">
        <v>5</v>
      </c>
    </row>
    <row r="937" spans="1:14" x14ac:dyDescent="0.3">
      <c r="A937" t="s">
        <v>977</v>
      </c>
      <c r="B937" t="s">
        <v>11</v>
      </c>
      <c r="C937" t="s">
        <v>960</v>
      </c>
      <c r="D937" s="1">
        <v>0.56299768518518523</v>
      </c>
      <c r="E937" s="2">
        <f>CallLog[[#This Row],[Date]]+CallLog[[#This Row],[Time]]</f>
        <v>44213.562997685185</v>
      </c>
      <c r="F937" s="1" t="str">
        <f>TEXT(CallLog[[#This Row],[Date]],"dddd")</f>
        <v>Sunday</v>
      </c>
      <c r="G937" s="3">
        <f>HOUR(CallLog[[#This Row],[Time]])</f>
        <v>13</v>
      </c>
      <c r="H937" t="s">
        <v>24</v>
      </c>
      <c r="I937" t="s">
        <v>14</v>
      </c>
      <c r="J937" t="s">
        <v>14</v>
      </c>
      <c r="K937">
        <v>97</v>
      </c>
      <c r="L937" t="str">
        <f>IF(AND(CallLog[[#This Row],[Answered (Y/N)]]="Y", CallLog[[#This Row],[Speed of answer in seconds]]&lt;=20),
    "Within",
    "Breach")</f>
        <v>Breach</v>
      </c>
      <c r="M937" s="1">
        <v>1.8402777777777777E-3</v>
      </c>
      <c r="N937">
        <v>2</v>
      </c>
    </row>
    <row r="938" spans="1:14" x14ac:dyDescent="0.3">
      <c r="A938" t="s">
        <v>978</v>
      </c>
      <c r="B938" t="s">
        <v>11</v>
      </c>
      <c r="C938" t="s">
        <v>960</v>
      </c>
      <c r="D938" s="1">
        <v>0.56700231481481478</v>
      </c>
      <c r="E938" s="2">
        <f>CallLog[[#This Row],[Date]]+CallLog[[#This Row],[Time]]</f>
        <v>44213.567002314812</v>
      </c>
      <c r="F938" s="1" t="str">
        <f>TEXT(CallLog[[#This Row],[Date]],"dddd")</f>
        <v>Sunday</v>
      </c>
      <c r="G938" s="3">
        <f>HOUR(CallLog[[#This Row],[Time]])</f>
        <v>13</v>
      </c>
      <c r="H938" t="s">
        <v>13</v>
      </c>
      <c r="I938" t="s">
        <v>14</v>
      </c>
      <c r="J938" t="s">
        <v>14</v>
      </c>
      <c r="K938">
        <v>67</v>
      </c>
      <c r="L938" t="str">
        <f>IF(AND(CallLog[[#This Row],[Answered (Y/N)]]="Y", CallLog[[#This Row],[Speed of answer in seconds]]&lt;=20),
    "Within",
    "Breach")</f>
        <v>Breach</v>
      </c>
      <c r="M938" s="1">
        <v>1.2847222222222223E-3</v>
      </c>
      <c r="N938">
        <v>3</v>
      </c>
    </row>
    <row r="939" spans="1:14" x14ac:dyDescent="0.3">
      <c r="A939" t="s">
        <v>979</v>
      </c>
      <c r="B939" t="s">
        <v>20</v>
      </c>
      <c r="C939" t="s">
        <v>960</v>
      </c>
      <c r="D939" s="1">
        <v>0.56700231481481478</v>
      </c>
      <c r="E939" s="2">
        <f>CallLog[[#This Row],[Date]]+CallLog[[#This Row],[Time]]</f>
        <v>44213.567002314812</v>
      </c>
      <c r="F939" s="1" t="str">
        <f>TEXT(CallLog[[#This Row],[Date]],"dddd")</f>
        <v>Sunday</v>
      </c>
      <c r="G939" s="3">
        <f>HOUR(CallLog[[#This Row],[Time]])</f>
        <v>13</v>
      </c>
      <c r="H939" t="s">
        <v>13</v>
      </c>
      <c r="I939" t="s">
        <v>14</v>
      </c>
      <c r="J939" t="s">
        <v>14</v>
      </c>
      <c r="K939">
        <v>98</v>
      </c>
      <c r="L939" t="str">
        <f>IF(AND(CallLog[[#This Row],[Answered (Y/N)]]="Y", CallLog[[#This Row],[Speed of answer in seconds]]&lt;=20),
    "Within",
    "Breach")</f>
        <v>Breach</v>
      </c>
      <c r="M939" s="1">
        <v>8.7962962962962962E-4</v>
      </c>
      <c r="N939">
        <v>5</v>
      </c>
    </row>
    <row r="940" spans="1:14" x14ac:dyDescent="0.3">
      <c r="A940" t="s">
        <v>980</v>
      </c>
      <c r="B940" t="s">
        <v>34</v>
      </c>
      <c r="C940" t="s">
        <v>960</v>
      </c>
      <c r="D940" s="1">
        <v>0.57900462962962962</v>
      </c>
      <c r="E940" s="2">
        <f>CallLog[[#This Row],[Date]]+CallLog[[#This Row],[Time]]</f>
        <v>44213.579004629632</v>
      </c>
      <c r="F940" s="1" t="str">
        <f>TEXT(CallLog[[#This Row],[Date]],"dddd")</f>
        <v>Sunday</v>
      </c>
      <c r="G940" s="3">
        <f>HOUR(CallLog[[#This Row],[Time]])</f>
        <v>13</v>
      </c>
      <c r="H940" t="s">
        <v>13</v>
      </c>
      <c r="I940" t="s">
        <v>14</v>
      </c>
      <c r="J940" t="s">
        <v>14</v>
      </c>
      <c r="K940">
        <v>120</v>
      </c>
      <c r="L940" t="str">
        <f>IF(AND(CallLog[[#This Row],[Answered (Y/N)]]="Y", CallLog[[#This Row],[Speed of answer in seconds]]&lt;=20),
    "Within",
    "Breach")</f>
        <v>Breach</v>
      </c>
      <c r="M940" s="1">
        <v>1.6203703703703703E-3</v>
      </c>
      <c r="N940">
        <v>4</v>
      </c>
    </row>
    <row r="941" spans="1:14" x14ac:dyDescent="0.3">
      <c r="A941" t="s">
        <v>981</v>
      </c>
      <c r="B941" t="s">
        <v>16</v>
      </c>
      <c r="C941" t="s">
        <v>960</v>
      </c>
      <c r="D941" s="1">
        <v>0.57900462962962962</v>
      </c>
      <c r="E941" s="2">
        <f>CallLog[[#This Row],[Date]]+CallLog[[#This Row],[Time]]</f>
        <v>44213.579004629632</v>
      </c>
      <c r="F941" s="1" t="str">
        <f>TEXT(CallLog[[#This Row],[Date]],"dddd")</f>
        <v>Sunday</v>
      </c>
      <c r="G941" s="3">
        <f>HOUR(CallLog[[#This Row],[Time]])</f>
        <v>13</v>
      </c>
      <c r="H941" t="s">
        <v>17</v>
      </c>
      <c r="I941" t="s">
        <v>14</v>
      </c>
      <c r="J941" t="s">
        <v>14</v>
      </c>
      <c r="K941">
        <v>91</v>
      </c>
      <c r="L941" t="str">
        <f>IF(AND(CallLog[[#This Row],[Answered (Y/N)]]="Y", CallLog[[#This Row],[Speed of answer in seconds]]&lt;=20),
    "Within",
    "Breach")</f>
        <v>Breach</v>
      </c>
      <c r="M941" s="1">
        <v>5.2083333333333333E-4</v>
      </c>
      <c r="N941">
        <v>5</v>
      </c>
    </row>
    <row r="942" spans="1:14" x14ac:dyDescent="0.3">
      <c r="A942" t="s">
        <v>982</v>
      </c>
      <c r="B942" t="s">
        <v>38</v>
      </c>
      <c r="C942" t="s">
        <v>960</v>
      </c>
      <c r="D942" s="1">
        <v>0.58400462962962962</v>
      </c>
      <c r="E942" s="2">
        <f>CallLog[[#This Row],[Date]]+CallLog[[#This Row],[Time]]</f>
        <v>44213.584004629629</v>
      </c>
      <c r="F942" s="1" t="str">
        <f>TEXT(CallLog[[#This Row],[Date]],"dddd")</f>
        <v>Sunday</v>
      </c>
      <c r="G942" s="3">
        <f>HOUR(CallLog[[#This Row],[Time]])</f>
        <v>14</v>
      </c>
      <c r="H942" t="s">
        <v>24</v>
      </c>
      <c r="I942" t="s">
        <v>14</v>
      </c>
      <c r="J942" t="s">
        <v>14</v>
      </c>
      <c r="K942">
        <v>22</v>
      </c>
      <c r="L942" t="str">
        <f>IF(AND(CallLog[[#This Row],[Answered (Y/N)]]="Y", CallLog[[#This Row],[Speed of answer in seconds]]&lt;=20),
    "Within",
    "Breach")</f>
        <v>Breach</v>
      </c>
      <c r="M942" s="1">
        <v>3.3912037037037036E-3</v>
      </c>
      <c r="N942">
        <v>5</v>
      </c>
    </row>
    <row r="943" spans="1:14" x14ac:dyDescent="0.3">
      <c r="A943" t="s">
        <v>983</v>
      </c>
      <c r="B943" t="s">
        <v>11</v>
      </c>
      <c r="C943" t="s">
        <v>960</v>
      </c>
      <c r="D943" s="1">
        <v>0.58400462962962962</v>
      </c>
      <c r="E943" s="2">
        <f>CallLog[[#This Row],[Date]]+CallLog[[#This Row],[Time]]</f>
        <v>44213.584004629629</v>
      </c>
      <c r="F943" s="1" t="str">
        <f>TEXT(CallLog[[#This Row],[Date]],"dddd")</f>
        <v>Sunday</v>
      </c>
      <c r="G943" s="3">
        <f>HOUR(CallLog[[#This Row],[Time]])</f>
        <v>14</v>
      </c>
      <c r="H943" t="s">
        <v>32</v>
      </c>
      <c r="I943" t="s">
        <v>14</v>
      </c>
      <c r="J943" t="s">
        <v>18</v>
      </c>
      <c r="K943">
        <v>113</v>
      </c>
      <c r="L943" t="str">
        <f>IF(AND(CallLog[[#This Row],[Answered (Y/N)]]="Y", CallLog[[#This Row],[Speed of answer in seconds]]&lt;=20),
    "Within",
    "Breach")</f>
        <v>Breach</v>
      </c>
      <c r="M943" s="1">
        <v>1.9097222222222222E-3</v>
      </c>
      <c r="N943">
        <v>2</v>
      </c>
    </row>
    <row r="944" spans="1:14" x14ac:dyDescent="0.3">
      <c r="A944" t="s">
        <v>984</v>
      </c>
      <c r="B944" t="s">
        <v>11</v>
      </c>
      <c r="C944" t="s">
        <v>960</v>
      </c>
      <c r="D944" s="1">
        <v>0.59599537037037043</v>
      </c>
      <c r="E944" s="2">
        <f>CallLog[[#This Row],[Date]]+CallLog[[#This Row],[Time]]</f>
        <v>44213.595995370371</v>
      </c>
      <c r="F944" s="1" t="str">
        <f>TEXT(CallLog[[#This Row],[Date]],"dddd")</f>
        <v>Sunday</v>
      </c>
      <c r="G944" s="3">
        <f>HOUR(CallLog[[#This Row],[Time]])</f>
        <v>14</v>
      </c>
      <c r="H944" t="s">
        <v>32</v>
      </c>
      <c r="I944" t="s">
        <v>18</v>
      </c>
      <c r="J944" t="s">
        <v>18</v>
      </c>
      <c r="L944" t="str">
        <f>IF(AND(CallLog[[#This Row],[Answered (Y/N)]]="Y", CallLog[[#This Row],[Speed of answer in seconds]]&lt;=20),
    "Within",
    "Breach")</f>
        <v>Breach</v>
      </c>
    </row>
    <row r="945" spans="1:14" x14ac:dyDescent="0.3">
      <c r="A945" t="s">
        <v>985</v>
      </c>
      <c r="B945" t="s">
        <v>31</v>
      </c>
      <c r="C945" t="s">
        <v>960</v>
      </c>
      <c r="D945" s="1">
        <v>0.59599537037037043</v>
      </c>
      <c r="E945" s="2">
        <f>CallLog[[#This Row],[Date]]+CallLog[[#This Row],[Time]]</f>
        <v>44213.595995370371</v>
      </c>
      <c r="F945" s="1" t="str">
        <f>TEXT(CallLog[[#This Row],[Date]],"dddd")</f>
        <v>Sunday</v>
      </c>
      <c r="G945" s="3">
        <f>HOUR(CallLog[[#This Row],[Time]])</f>
        <v>14</v>
      </c>
      <c r="H945" t="s">
        <v>24</v>
      </c>
      <c r="I945" t="s">
        <v>14</v>
      </c>
      <c r="J945" t="s">
        <v>14</v>
      </c>
      <c r="K945">
        <v>60</v>
      </c>
      <c r="L945" t="str">
        <f>IF(AND(CallLog[[#This Row],[Answered (Y/N)]]="Y", CallLog[[#This Row],[Speed of answer in seconds]]&lt;=20),
    "Within",
    "Breach")</f>
        <v>Breach</v>
      </c>
      <c r="M945" s="1">
        <v>1.3657407407407407E-3</v>
      </c>
      <c r="N945">
        <v>4</v>
      </c>
    </row>
    <row r="946" spans="1:14" x14ac:dyDescent="0.3">
      <c r="A946" t="s">
        <v>986</v>
      </c>
      <c r="B946" t="s">
        <v>11</v>
      </c>
      <c r="C946" t="s">
        <v>960</v>
      </c>
      <c r="D946" s="1">
        <v>0.60299768518518515</v>
      </c>
      <c r="E946" s="2">
        <f>CallLog[[#This Row],[Date]]+CallLog[[#This Row],[Time]]</f>
        <v>44213.602997685186</v>
      </c>
      <c r="F946" s="1" t="str">
        <f>TEXT(CallLog[[#This Row],[Date]],"dddd")</f>
        <v>Sunday</v>
      </c>
      <c r="G946" s="3">
        <f>HOUR(CallLog[[#This Row],[Time]])</f>
        <v>14</v>
      </c>
      <c r="H946" t="s">
        <v>24</v>
      </c>
      <c r="I946" t="s">
        <v>14</v>
      </c>
      <c r="J946" t="s">
        <v>14</v>
      </c>
      <c r="K946">
        <v>97</v>
      </c>
      <c r="L946" t="str">
        <f>IF(AND(CallLog[[#This Row],[Answered (Y/N)]]="Y", CallLog[[#This Row],[Speed of answer in seconds]]&lt;=20),
    "Within",
    "Breach")</f>
        <v>Breach</v>
      </c>
      <c r="M946" s="1">
        <v>1.7939814814814815E-3</v>
      </c>
      <c r="N946">
        <v>5</v>
      </c>
    </row>
    <row r="947" spans="1:14" x14ac:dyDescent="0.3">
      <c r="A947" t="s">
        <v>987</v>
      </c>
      <c r="B947" t="s">
        <v>16</v>
      </c>
      <c r="C947" t="s">
        <v>960</v>
      </c>
      <c r="D947" s="1">
        <v>0.60299768518518515</v>
      </c>
      <c r="E947" s="2">
        <f>CallLog[[#This Row],[Date]]+CallLog[[#This Row],[Time]]</f>
        <v>44213.602997685186</v>
      </c>
      <c r="F947" s="1" t="str">
        <f>TEXT(CallLog[[#This Row],[Date]],"dddd")</f>
        <v>Sunday</v>
      </c>
      <c r="G947" s="3">
        <f>HOUR(CallLog[[#This Row],[Time]])</f>
        <v>14</v>
      </c>
      <c r="H947" t="s">
        <v>32</v>
      </c>
      <c r="I947" t="s">
        <v>14</v>
      </c>
      <c r="J947" t="s">
        <v>14</v>
      </c>
      <c r="K947">
        <v>118</v>
      </c>
      <c r="L947" t="str">
        <f>IF(AND(CallLog[[#This Row],[Answered (Y/N)]]="Y", CallLog[[#This Row],[Speed of answer in seconds]]&lt;=20),
    "Within",
    "Breach")</f>
        <v>Breach</v>
      </c>
      <c r="M947" s="1">
        <v>6.018518518518519E-4</v>
      </c>
      <c r="N947">
        <v>4</v>
      </c>
    </row>
    <row r="948" spans="1:14" x14ac:dyDescent="0.3">
      <c r="A948" t="s">
        <v>988</v>
      </c>
      <c r="B948" t="s">
        <v>47</v>
      </c>
      <c r="C948" t="s">
        <v>960</v>
      </c>
      <c r="D948" s="1">
        <v>0.60499999999999998</v>
      </c>
      <c r="E948" s="2">
        <f>CallLog[[#This Row],[Date]]+CallLog[[#This Row],[Time]]</f>
        <v>44213.605000000003</v>
      </c>
      <c r="F948" s="1" t="str">
        <f>TEXT(CallLog[[#This Row],[Date]],"dddd")</f>
        <v>Sunday</v>
      </c>
      <c r="G948" s="3">
        <f>HOUR(CallLog[[#This Row],[Time]])</f>
        <v>14</v>
      </c>
      <c r="H948" t="s">
        <v>17</v>
      </c>
      <c r="I948" t="s">
        <v>14</v>
      </c>
      <c r="J948" t="s">
        <v>14</v>
      </c>
      <c r="K948">
        <v>19</v>
      </c>
      <c r="L948" t="str">
        <f>IF(AND(CallLog[[#This Row],[Answered (Y/N)]]="Y", CallLog[[#This Row],[Speed of answer in seconds]]&lt;=20),
    "Within",
    "Breach")</f>
        <v>Within</v>
      </c>
      <c r="M948" s="1">
        <v>9.3749999999999997E-4</v>
      </c>
      <c r="N948">
        <v>5</v>
      </c>
    </row>
    <row r="949" spans="1:14" x14ac:dyDescent="0.3">
      <c r="A949" t="s">
        <v>989</v>
      </c>
      <c r="B949" t="s">
        <v>20</v>
      </c>
      <c r="C949" t="s">
        <v>960</v>
      </c>
      <c r="D949" s="1">
        <v>0.60499999999999998</v>
      </c>
      <c r="E949" s="2">
        <f>CallLog[[#This Row],[Date]]+CallLog[[#This Row],[Time]]</f>
        <v>44213.605000000003</v>
      </c>
      <c r="F949" s="1" t="str">
        <f>TEXT(CallLog[[#This Row],[Date]],"dddd")</f>
        <v>Sunday</v>
      </c>
      <c r="G949" s="3">
        <f>HOUR(CallLog[[#This Row],[Time]])</f>
        <v>14</v>
      </c>
      <c r="H949" t="s">
        <v>13</v>
      </c>
      <c r="I949" t="s">
        <v>18</v>
      </c>
      <c r="J949" t="s">
        <v>18</v>
      </c>
      <c r="L949" t="str">
        <f>IF(AND(CallLog[[#This Row],[Answered (Y/N)]]="Y", CallLog[[#This Row],[Speed of answer in seconds]]&lt;=20),
    "Within",
    "Breach")</f>
        <v>Breach</v>
      </c>
    </row>
    <row r="950" spans="1:14" x14ac:dyDescent="0.3">
      <c r="A950" t="s">
        <v>990</v>
      </c>
      <c r="B950" t="s">
        <v>22</v>
      </c>
      <c r="C950" t="s">
        <v>960</v>
      </c>
      <c r="D950" s="1">
        <v>0.625</v>
      </c>
      <c r="E950" s="2">
        <f>CallLog[[#This Row],[Date]]+CallLog[[#This Row],[Time]]</f>
        <v>44213.625</v>
      </c>
      <c r="F950" s="1" t="str">
        <f>TEXT(CallLog[[#This Row],[Date]],"dddd")</f>
        <v>Sunday</v>
      </c>
      <c r="G950" s="3">
        <f>HOUR(CallLog[[#This Row],[Time]])</f>
        <v>15</v>
      </c>
      <c r="H950" t="s">
        <v>32</v>
      </c>
      <c r="I950" t="s">
        <v>18</v>
      </c>
      <c r="J950" t="s">
        <v>18</v>
      </c>
      <c r="L950" t="str">
        <f>IF(AND(CallLog[[#This Row],[Answered (Y/N)]]="Y", CallLog[[#This Row],[Speed of answer in seconds]]&lt;=20),
    "Within",
    "Breach")</f>
        <v>Breach</v>
      </c>
    </row>
    <row r="951" spans="1:14" x14ac:dyDescent="0.3">
      <c r="A951" t="s">
        <v>991</v>
      </c>
      <c r="B951" t="s">
        <v>47</v>
      </c>
      <c r="C951" t="s">
        <v>960</v>
      </c>
      <c r="D951" s="1">
        <v>0.625</v>
      </c>
      <c r="E951" s="2">
        <f>CallLog[[#This Row],[Date]]+CallLog[[#This Row],[Time]]</f>
        <v>44213.625</v>
      </c>
      <c r="F951" s="1" t="str">
        <f>TEXT(CallLog[[#This Row],[Date]],"dddd")</f>
        <v>Sunday</v>
      </c>
      <c r="G951" s="3">
        <f>HOUR(CallLog[[#This Row],[Time]])</f>
        <v>15</v>
      </c>
      <c r="H951" t="s">
        <v>32</v>
      </c>
      <c r="I951" t="s">
        <v>14</v>
      </c>
      <c r="J951" t="s">
        <v>14</v>
      </c>
      <c r="K951">
        <v>124</v>
      </c>
      <c r="L951" t="str">
        <f>IF(AND(CallLog[[#This Row],[Answered (Y/N)]]="Y", CallLog[[#This Row],[Speed of answer in seconds]]&lt;=20),
    "Within",
    "Breach")</f>
        <v>Breach</v>
      </c>
      <c r="M951" s="1">
        <v>4.3750000000000004E-3</v>
      </c>
      <c r="N951">
        <v>4</v>
      </c>
    </row>
    <row r="952" spans="1:14" x14ac:dyDescent="0.3">
      <c r="A952" t="s">
        <v>992</v>
      </c>
      <c r="B952" t="s">
        <v>47</v>
      </c>
      <c r="C952" t="s">
        <v>960</v>
      </c>
      <c r="D952" s="1">
        <v>0.62599537037037034</v>
      </c>
      <c r="E952" s="2">
        <f>CallLog[[#This Row],[Date]]+CallLog[[#This Row],[Time]]</f>
        <v>44213.62599537037</v>
      </c>
      <c r="F952" s="1" t="str">
        <f>TEXT(CallLog[[#This Row],[Date]],"dddd")</f>
        <v>Sunday</v>
      </c>
      <c r="G952" s="3">
        <f>HOUR(CallLog[[#This Row],[Time]])</f>
        <v>15</v>
      </c>
      <c r="H952" t="s">
        <v>24</v>
      </c>
      <c r="I952" t="s">
        <v>14</v>
      </c>
      <c r="J952" t="s">
        <v>14</v>
      </c>
      <c r="K952">
        <v>53</v>
      </c>
      <c r="L952" t="str">
        <f>IF(AND(CallLog[[#This Row],[Answered (Y/N)]]="Y", CallLog[[#This Row],[Speed of answer in seconds]]&lt;=20),
    "Within",
    "Breach")</f>
        <v>Breach</v>
      </c>
      <c r="M952" s="1">
        <v>3.5995370370370369E-3</v>
      </c>
      <c r="N952">
        <v>2</v>
      </c>
    </row>
    <row r="953" spans="1:14" x14ac:dyDescent="0.3">
      <c r="A953" t="s">
        <v>993</v>
      </c>
      <c r="B953" t="s">
        <v>11</v>
      </c>
      <c r="C953" t="s">
        <v>960</v>
      </c>
      <c r="D953" s="1">
        <v>0.62599537037037034</v>
      </c>
      <c r="E953" s="2">
        <f>CallLog[[#This Row],[Date]]+CallLog[[#This Row],[Time]]</f>
        <v>44213.62599537037</v>
      </c>
      <c r="F953" s="1" t="str">
        <f>TEXT(CallLog[[#This Row],[Date]],"dddd")</f>
        <v>Sunday</v>
      </c>
      <c r="G953" s="3">
        <f>HOUR(CallLog[[#This Row],[Time]])</f>
        <v>15</v>
      </c>
      <c r="H953" t="s">
        <v>29</v>
      </c>
      <c r="I953" t="s">
        <v>14</v>
      </c>
      <c r="J953" t="s">
        <v>14</v>
      </c>
      <c r="K953">
        <v>61</v>
      </c>
      <c r="L953" t="str">
        <f>IF(AND(CallLog[[#This Row],[Answered (Y/N)]]="Y", CallLog[[#This Row],[Speed of answer in seconds]]&lt;=20),
    "Within",
    "Breach")</f>
        <v>Breach</v>
      </c>
      <c r="M953" s="1">
        <v>4.3981481481481481E-4</v>
      </c>
      <c r="N953">
        <v>5</v>
      </c>
    </row>
    <row r="954" spans="1:14" x14ac:dyDescent="0.3">
      <c r="A954" t="s">
        <v>994</v>
      </c>
      <c r="B954" t="s">
        <v>34</v>
      </c>
      <c r="C954" t="s">
        <v>960</v>
      </c>
      <c r="D954" s="1">
        <v>0.64</v>
      </c>
      <c r="E954" s="2">
        <f>CallLog[[#This Row],[Date]]+CallLog[[#This Row],[Time]]</f>
        <v>44213.64</v>
      </c>
      <c r="F954" s="1" t="str">
        <f>TEXT(CallLog[[#This Row],[Date]],"dddd")</f>
        <v>Sunday</v>
      </c>
      <c r="G954" s="3">
        <f>HOUR(CallLog[[#This Row],[Time]])</f>
        <v>15</v>
      </c>
      <c r="H954" t="s">
        <v>13</v>
      </c>
      <c r="I954" t="s">
        <v>14</v>
      </c>
      <c r="J954" t="s">
        <v>14</v>
      </c>
      <c r="K954">
        <v>18</v>
      </c>
      <c r="L954" t="str">
        <f>IF(AND(CallLog[[#This Row],[Answered (Y/N)]]="Y", CallLog[[#This Row],[Speed of answer in seconds]]&lt;=20),
    "Within",
    "Breach")</f>
        <v>Within</v>
      </c>
      <c r="M954" s="1">
        <v>5.3240740740740744E-4</v>
      </c>
      <c r="N954">
        <v>1</v>
      </c>
    </row>
    <row r="955" spans="1:14" x14ac:dyDescent="0.3">
      <c r="A955" t="s">
        <v>995</v>
      </c>
      <c r="B955" t="s">
        <v>22</v>
      </c>
      <c r="C955" t="s">
        <v>960</v>
      </c>
      <c r="D955" s="1">
        <v>0.64</v>
      </c>
      <c r="E955" s="2">
        <f>CallLog[[#This Row],[Date]]+CallLog[[#This Row],[Time]]</f>
        <v>44213.64</v>
      </c>
      <c r="F955" s="1" t="str">
        <f>TEXT(CallLog[[#This Row],[Date]],"dddd")</f>
        <v>Sunday</v>
      </c>
      <c r="G955" s="3">
        <f>HOUR(CallLog[[#This Row],[Time]])</f>
        <v>15</v>
      </c>
      <c r="H955" t="s">
        <v>29</v>
      </c>
      <c r="I955" t="s">
        <v>14</v>
      </c>
      <c r="J955" t="s">
        <v>14</v>
      </c>
      <c r="K955">
        <v>80</v>
      </c>
      <c r="L955" t="str">
        <f>IF(AND(CallLog[[#This Row],[Answered (Y/N)]]="Y", CallLog[[#This Row],[Speed of answer in seconds]]&lt;=20),
    "Within",
    "Breach")</f>
        <v>Breach</v>
      </c>
      <c r="M955" s="1">
        <v>8.7962962962962962E-4</v>
      </c>
      <c r="N955">
        <v>3</v>
      </c>
    </row>
    <row r="956" spans="1:14" x14ac:dyDescent="0.3">
      <c r="A956" t="s">
        <v>996</v>
      </c>
      <c r="B956" t="s">
        <v>20</v>
      </c>
      <c r="C956" t="s">
        <v>960</v>
      </c>
      <c r="D956" s="1">
        <v>0.68200231481481477</v>
      </c>
      <c r="E956" s="2">
        <f>CallLog[[#This Row],[Date]]+CallLog[[#This Row],[Time]]</f>
        <v>44213.682002314818</v>
      </c>
      <c r="F956" s="1" t="str">
        <f>TEXT(CallLog[[#This Row],[Date]],"dddd")</f>
        <v>Sunday</v>
      </c>
      <c r="G956" s="3">
        <f>HOUR(CallLog[[#This Row],[Time]])</f>
        <v>16</v>
      </c>
      <c r="H956" t="s">
        <v>17</v>
      </c>
      <c r="I956" t="s">
        <v>14</v>
      </c>
      <c r="J956" t="s">
        <v>14</v>
      </c>
      <c r="K956">
        <v>47</v>
      </c>
      <c r="L956" t="str">
        <f>IF(AND(CallLog[[#This Row],[Answered (Y/N)]]="Y", CallLog[[#This Row],[Speed of answer in seconds]]&lt;=20),
    "Within",
    "Breach")</f>
        <v>Breach</v>
      </c>
      <c r="M956" s="1">
        <v>2.8703703703703703E-3</v>
      </c>
      <c r="N956">
        <v>4</v>
      </c>
    </row>
    <row r="957" spans="1:14" x14ac:dyDescent="0.3">
      <c r="A957" t="s">
        <v>997</v>
      </c>
      <c r="B957" t="s">
        <v>20</v>
      </c>
      <c r="C957" t="s">
        <v>960</v>
      </c>
      <c r="D957" s="1">
        <v>0.68200231481481477</v>
      </c>
      <c r="E957" s="2">
        <f>CallLog[[#This Row],[Date]]+CallLog[[#This Row],[Time]]</f>
        <v>44213.682002314818</v>
      </c>
      <c r="F957" s="1" t="str">
        <f>TEXT(CallLog[[#This Row],[Date]],"dddd")</f>
        <v>Sunday</v>
      </c>
      <c r="G957" s="3">
        <f>HOUR(CallLog[[#This Row],[Time]])</f>
        <v>16</v>
      </c>
      <c r="H957" t="s">
        <v>24</v>
      </c>
      <c r="I957" t="s">
        <v>14</v>
      </c>
      <c r="J957" t="s">
        <v>14</v>
      </c>
      <c r="K957">
        <v>101</v>
      </c>
      <c r="L957" t="str">
        <f>IF(AND(CallLog[[#This Row],[Answered (Y/N)]]="Y", CallLog[[#This Row],[Speed of answer in seconds]]&lt;=20),
    "Within",
    "Breach")</f>
        <v>Breach</v>
      </c>
      <c r="M957" s="1">
        <v>3.7037037037037038E-3</v>
      </c>
      <c r="N957">
        <v>2</v>
      </c>
    </row>
    <row r="958" spans="1:14" x14ac:dyDescent="0.3">
      <c r="A958" t="s">
        <v>998</v>
      </c>
      <c r="B958" t="s">
        <v>34</v>
      </c>
      <c r="C958" t="s">
        <v>960</v>
      </c>
      <c r="D958" s="1">
        <v>0.6840046296296296</v>
      </c>
      <c r="E958" s="2">
        <f>CallLog[[#This Row],[Date]]+CallLog[[#This Row],[Time]]</f>
        <v>44213.684004629627</v>
      </c>
      <c r="F958" s="1" t="str">
        <f>TEXT(CallLog[[#This Row],[Date]],"dddd")</f>
        <v>Sunday</v>
      </c>
      <c r="G958" s="3">
        <f>HOUR(CallLog[[#This Row],[Time]])</f>
        <v>16</v>
      </c>
      <c r="H958" t="s">
        <v>32</v>
      </c>
      <c r="I958" t="s">
        <v>14</v>
      </c>
      <c r="J958" t="s">
        <v>14</v>
      </c>
      <c r="K958">
        <v>71</v>
      </c>
      <c r="L958" t="str">
        <f>IF(AND(CallLog[[#This Row],[Answered (Y/N)]]="Y", CallLog[[#This Row],[Speed of answer in seconds]]&lt;=20),
    "Within",
    "Breach")</f>
        <v>Breach</v>
      </c>
      <c r="M958" s="1">
        <v>3.9351851851851848E-3</v>
      </c>
      <c r="N958">
        <v>3</v>
      </c>
    </row>
    <row r="959" spans="1:14" x14ac:dyDescent="0.3">
      <c r="A959" t="s">
        <v>999</v>
      </c>
      <c r="B959" t="s">
        <v>38</v>
      </c>
      <c r="C959" t="s">
        <v>960</v>
      </c>
      <c r="D959" s="1">
        <v>0.6840046296296296</v>
      </c>
      <c r="E959" s="2">
        <f>CallLog[[#This Row],[Date]]+CallLog[[#This Row],[Time]]</f>
        <v>44213.684004629627</v>
      </c>
      <c r="F959" s="1" t="str">
        <f>TEXT(CallLog[[#This Row],[Date]],"dddd")</f>
        <v>Sunday</v>
      </c>
      <c r="G959" s="3">
        <f>HOUR(CallLog[[#This Row],[Time]])</f>
        <v>16</v>
      </c>
      <c r="H959" t="s">
        <v>17</v>
      </c>
      <c r="I959" t="s">
        <v>14</v>
      </c>
      <c r="J959" t="s">
        <v>14</v>
      </c>
      <c r="K959">
        <v>44</v>
      </c>
      <c r="L959" t="str">
        <f>IF(AND(CallLog[[#This Row],[Answered (Y/N)]]="Y", CallLog[[#This Row],[Speed of answer in seconds]]&lt;=20),
    "Within",
    "Breach")</f>
        <v>Breach</v>
      </c>
      <c r="M959" s="1">
        <v>2.8587962962962963E-3</v>
      </c>
      <c r="N959">
        <v>4</v>
      </c>
    </row>
    <row r="960" spans="1:14" x14ac:dyDescent="0.3">
      <c r="A960" t="s">
        <v>1000</v>
      </c>
      <c r="B960" t="s">
        <v>16</v>
      </c>
      <c r="C960" t="s">
        <v>960</v>
      </c>
      <c r="D960" s="1">
        <v>0.68700231481481477</v>
      </c>
      <c r="E960" s="2">
        <f>CallLog[[#This Row],[Date]]+CallLog[[#This Row],[Time]]</f>
        <v>44213.687002314815</v>
      </c>
      <c r="F960" s="1" t="str">
        <f>TEXT(CallLog[[#This Row],[Date]],"dddd")</f>
        <v>Sunday</v>
      </c>
      <c r="G960" s="3">
        <f>HOUR(CallLog[[#This Row],[Time]])</f>
        <v>16</v>
      </c>
      <c r="H960" t="s">
        <v>24</v>
      </c>
      <c r="I960" t="s">
        <v>14</v>
      </c>
      <c r="J960" t="s">
        <v>14</v>
      </c>
      <c r="K960">
        <v>14</v>
      </c>
      <c r="L960" t="str">
        <f>IF(AND(CallLog[[#This Row],[Answered (Y/N)]]="Y", CallLog[[#This Row],[Speed of answer in seconds]]&lt;=20),
    "Within",
    "Breach")</f>
        <v>Within</v>
      </c>
      <c r="M960" s="1">
        <v>2.0833333333333333E-3</v>
      </c>
      <c r="N960">
        <v>4</v>
      </c>
    </row>
    <row r="961" spans="1:14" x14ac:dyDescent="0.3">
      <c r="A961" t="s">
        <v>1001</v>
      </c>
      <c r="B961" t="s">
        <v>38</v>
      </c>
      <c r="C961" t="s">
        <v>960</v>
      </c>
      <c r="D961" s="1">
        <v>0.68700231481481477</v>
      </c>
      <c r="E961" s="2">
        <f>CallLog[[#This Row],[Date]]+CallLog[[#This Row],[Time]]</f>
        <v>44213.687002314815</v>
      </c>
      <c r="F961" s="1" t="str">
        <f>TEXT(CallLog[[#This Row],[Date]],"dddd")</f>
        <v>Sunday</v>
      </c>
      <c r="G961" s="3">
        <f>HOUR(CallLog[[#This Row],[Time]])</f>
        <v>16</v>
      </c>
      <c r="H961" t="s">
        <v>24</v>
      </c>
      <c r="I961" t="s">
        <v>18</v>
      </c>
      <c r="J961" t="s">
        <v>18</v>
      </c>
      <c r="L961" t="str">
        <f>IF(AND(CallLog[[#This Row],[Answered (Y/N)]]="Y", CallLog[[#This Row],[Speed of answer in seconds]]&lt;=20),
    "Within",
    "Breach")</f>
        <v>Breach</v>
      </c>
    </row>
    <row r="962" spans="1:14" x14ac:dyDescent="0.3">
      <c r="A962" t="s">
        <v>1002</v>
      </c>
      <c r="B962" t="s">
        <v>31</v>
      </c>
      <c r="C962" t="s">
        <v>960</v>
      </c>
      <c r="D962" s="1">
        <v>0.71299768518518514</v>
      </c>
      <c r="E962" s="2">
        <f>CallLog[[#This Row],[Date]]+CallLog[[#This Row],[Time]]</f>
        <v>44213.712997685187</v>
      </c>
      <c r="F962" s="1" t="str">
        <f>TEXT(CallLog[[#This Row],[Date]],"dddd")</f>
        <v>Sunday</v>
      </c>
      <c r="G962" s="3">
        <f>HOUR(CallLog[[#This Row],[Time]])</f>
        <v>17</v>
      </c>
      <c r="H962" t="s">
        <v>13</v>
      </c>
      <c r="I962" t="s">
        <v>14</v>
      </c>
      <c r="J962" t="s">
        <v>14</v>
      </c>
      <c r="K962">
        <v>44</v>
      </c>
      <c r="L962" t="str">
        <f>IF(AND(CallLog[[#This Row],[Answered (Y/N)]]="Y", CallLog[[#This Row],[Speed of answer in seconds]]&lt;=20),
    "Within",
    "Breach")</f>
        <v>Breach</v>
      </c>
      <c r="M962" s="1">
        <v>1.8518518518518519E-3</v>
      </c>
      <c r="N962">
        <v>2</v>
      </c>
    </row>
    <row r="963" spans="1:14" x14ac:dyDescent="0.3">
      <c r="A963" t="s">
        <v>1003</v>
      </c>
      <c r="B963" t="s">
        <v>11</v>
      </c>
      <c r="C963" t="s">
        <v>960</v>
      </c>
      <c r="D963" s="1">
        <v>0.71299768518518514</v>
      </c>
      <c r="E963" s="2">
        <f>CallLog[[#This Row],[Date]]+CallLog[[#This Row],[Time]]</f>
        <v>44213.712997685187</v>
      </c>
      <c r="F963" s="1" t="str">
        <f>TEXT(CallLog[[#This Row],[Date]],"dddd")</f>
        <v>Sunday</v>
      </c>
      <c r="G963" s="3">
        <f>HOUR(CallLog[[#This Row],[Time]])</f>
        <v>17</v>
      </c>
      <c r="H963" t="s">
        <v>29</v>
      </c>
      <c r="I963" t="s">
        <v>14</v>
      </c>
      <c r="J963" t="s">
        <v>14</v>
      </c>
      <c r="K963">
        <v>97</v>
      </c>
      <c r="L963" t="str">
        <f>IF(AND(CallLog[[#This Row],[Answered (Y/N)]]="Y", CallLog[[#This Row],[Speed of answer in seconds]]&lt;=20),
    "Within",
    "Breach")</f>
        <v>Breach</v>
      </c>
      <c r="M963" s="1">
        <v>4.6990740740740743E-3</v>
      </c>
      <c r="N963">
        <v>4</v>
      </c>
    </row>
    <row r="964" spans="1:14" x14ac:dyDescent="0.3">
      <c r="A964" t="s">
        <v>1004</v>
      </c>
      <c r="B964" t="s">
        <v>16</v>
      </c>
      <c r="C964" t="s">
        <v>960</v>
      </c>
      <c r="D964" s="1">
        <v>0.72</v>
      </c>
      <c r="E964" s="2">
        <f>CallLog[[#This Row],[Date]]+CallLog[[#This Row],[Time]]</f>
        <v>44213.72</v>
      </c>
      <c r="F964" s="1" t="str">
        <f>TEXT(CallLog[[#This Row],[Date]],"dddd")</f>
        <v>Sunday</v>
      </c>
      <c r="G964" s="3">
        <f>HOUR(CallLog[[#This Row],[Time]])</f>
        <v>17</v>
      </c>
      <c r="H964" t="s">
        <v>32</v>
      </c>
      <c r="I964" t="s">
        <v>18</v>
      </c>
      <c r="J964" t="s">
        <v>18</v>
      </c>
      <c r="L964" t="str">
        <f>IF(AND(CallLog[[#This Row],[Answered (Y/N)]]="Y", CallLog[[#This Row],[Speed of answer in seconds]]&lt;=20),
    "Within",
    "Breach")</f>
        <v>Breach</v>
      </c>
    </row>
    <row r="965" spans="1:14" x14ac:dyDescent="0.3">
      <c r="A965" t="s">
        <v>1005</v>
      </c>
      <c r="B965" t="s">
        <v>11</v>
      </c>
      <c r="C965" t="s">
        <v>960</v>
      </c>
      <c r="D965" s="1">
        <v>0.72</v>
      </c>
      <c r="E965" s="2">
        <f>CallLog[[#This Row],[Date]]+CallLog[[#This Row],[Time]]</f>
        <v>44213.72</v>
      </c>
      <c r="F965" s="1" t="str">
        <f>TEXT(CallLog[[#This Row],[Date]],"dddd")</f>
        <v>Sunday</v>
      </c>
      <c r="G965" s="3">
        <f>HOUR(CallLog[[#This Row],[Time]])</f>
        <v>17</v>
      </c>
      <c r="H965" t="s">
        <v>29</v>
      </c>
      <c r="I965" t="s">
        <v>14</v>
      </c>
      <c r="J965" t="s">
        <v>18</v>
      </c>
      <c r="K965">
        <v>91</v>
      </c>
      <c r="L965" t="str">
        <f>IF(AND(CallLog[[#This Row],[Answered (Y/N)]]="Y", CallLog[[#This Row],[Speed of answer in seconds]]&lt;=20),
    "Within",
    "Breach")</f>
        <v>Breach</v>
      </c>
      <c r="M965" s="1">
        <v>2.8819444444444444E-3</v>
      </c>
      <c r="N965">
        <v>3</v>
      </c>
    </row>
    <row r="966" spans="1:14" x14ac:dyDescent="0.3">
      <c r="A966" t="s">
        <v>1006</v>
      </c>
      <c r="B966" t="s">
        <v>47</v>
      </c>
      <c r="C966" t="s">
        <v>960</v>
      </c>
      <c r="D966" s="1">
        <v>0.72299768518518515</v>
      </c>
      <c r="E966" s="2">
        <f>CallLog[[#This Row],[Date]]+CallLog[[#This Row],[Time]]</f>
        <v>44213.722997685189</v>
      </c>
      <c r="F966" s="1" t="str">
        <f>TEXT(CallLog[[#This Row],[Date]],"dddd")</f>
        <v>Sunday</v>
      </c>
      <c r="G966" s="3">
        <f>HOUR(CallLog[[#This Row],[Time]])</f>
        <v>17</v>
      </c>
      <c r="H966" t="s">
        <v>24</v>
      </c>
      <c r="I966" t="s">
        <v>14</v>
      </c>
      <c r="J966" t="s">
        <v>14</v>
      </c>
      <c r="K966">
        <v>48</v>
      </c>
      <c r="L966" t="str">
        <f>IF(AND(CallLog[[#This Row],[Answered (Y/N)]]="Y", CallLog[[#This Row],[Speed of answer in seconds]]&lt;=20),
    "Within",
    "Breach")</f>
        <v>Breach</v>
      </c>
      <c r="M966" s="1">
        <v>2.2337962962962962E-3</v>
      </c>
      <c r="N966">
        <v>3</v>
      </c>
    </row>
    <row r="967" spans="1:14" x14ac:dyDescent="0.3">
      <c r="A967" t="s">
        <v>1007</v>
      </c>
      <c r="B967" t="s">
        <v>22</v>
      </c>
      <c r="C967" t="s">
        <v>960</v>
      </c>
      <c r="D967" s="1">
        <v>0.72299768518518515</v>
      </c>
      <c r="E967" s="2">
        <f>CallLog[[#This Row],[Date]]+CallLog[[#This Row],[Time]]</f>
        <v>44213.722997685189</v>
      </c>
      <c r="F967" s="1" t="str">
        <f>TEXT(CallLog[[#This Row],[Date]],"dddd")</f>
        <v>Sunday</v>
      </c>
      <c r="G967" s="3">
        <f>HOUR(CallLog[[#This Row],[Time]])</f>
        <v>17</v>
      </c>
      <c r="H967" t="s">
        <v>13</v>
      </c>
      <c r="I967" t="s">
        <v>14</v>
      </c>
      <c r="J967" t="s">
        <v>14</v>
      </c>
      <c r="K967">
        <v>45</v>
      </c>
      <c r="L967" t="str">
        <f>IF(AND(CallLog[[#This Row],[Answered (Y/N)]]="Y", CallLog[[#This Row],[Speed of answer in seconds]]&lt;=20),
    "Within",
    "Breach")</f>
        <v>Breach</v>
      </c>
      <c r="M967" s="1">
        <v>1.1458333333333333E-3</v>
      </c>
      <c r="N967">
        <v>3</v>
      </c>
    </row>
    <row r="968" spans="1:14" x14ac:dyDescent="0.3">
      <c r="A968" t="s">
        <v>1008</v>
      </c>
      <c r="B968" t="s">
        <v>16</v>
      </c>
      <c r="C968" t="s">
        <v>960</v>
      </c>
      <c r="D968" s="1">
        <v>0.74599537037037034</v>
      </c>
      <c r="E968" s="2">
        <f>CallLog[[#This Row],[Date]]+CallLog[[#This Row],[Time]]</f>
        <v>44213.745995370373</v>
      </c>
      <c r="F968" s="1" t="str">
        <f>TEXT(CallLog[[#This Row],[Date]],"dddd")</f>
        <v>Sunday</v>
      </c>
      <c r="G968" s="3">
        <f>HOUR(CallLog[[#This Row],[Time]])</f>
        <v>17</v>
      </c>
      <c r="H968" t="s">
        <v>29</v>
      </c>
      <c r="I968" t="s">
        <v>14</v>
      </c>
      <c r="J968" t="s">
        <v>14</v>
      </c>
      <c r="K968">
        <v>60</v>
      </c>
      <c r="L968" t="str">
        <f>IF(AND(CallLog[[#This Row],[Answered (Y/N)]]="Y", CallLog[[#This Row],[Speed of answer in seconds]]&lt;=20),
    "Within",
    "Breach")</f>
        <v>Breach</v>
      </c>
      <c r="M968" s="1">
        <v>1.3888888888888889E-3</v>
      </c>
      <c r="N968">
        <v>5</v>
      </c>
    </row>
    <row r="969" spans="1:14" x14ac:dyDescent="0.3">
      <c r="A969" t="s">
        <v>1009</v>
      </c>
      <c r="B969" t="s">
        <v>31</v>
      </c>
      <c r="C969" t="s">
        <v>960</v>
      </c>
      <c r="D969" s="1">
        <v>0.74599537037037034</v>
      </c>
      <c r="E969" s="2">
        <f>CallLog[[#This Row],[Date]]+CallLog[[#This Row],[Time]]</f>
        <v>44213.745995370373</v>
      </c>
      <c r="F969" s="1" t="str">
        <f>TEXT(CallLog[[#This Row],[Date]],"dddd")</f>
        <v>Sunday</v>
      </c>
      <c r="G969" s="3">
        <f>HOUR(CallLog[[#This Row],[Time]])</f>
        <v>17</v>
      </c>
      <c r="H969" t="s">
        <v>32</v>
      </c>
      <c r="I969" t="s">
        <v>14</v>
      </c>
      <c r="J969" t="s">
        <v>14</v>
      </c>
      <c r="K969">
        <v>85</v>
      </c>
      <c r="L969" t="str">
        <f>IF(AND(CallLog[[#This Row],[Answered (Y/N)]]="Y", CallLog[[#This Row],[Speed of answer in seconds]]&lt;=20),
    "Within",
    "Breach")</f>
        <v>Breach</v>
      </c>
      <c r="M969" s="1">
        <v>3.8425925925925928E-3</v>
      </c>
      <c r="N969">
        <v>4</v>
      </c>
    </row>
    <row r="970" spans="1:14" x14ac:dyDescent="0.3">
      <c r="A970" t="s">
        <v>1010</v>
      </c>
      <c r="B970" t="s">
        <v>34</v>
      </c>
      <c r="C970" t="s">
        <v>1011</v>
      </c>
      <c r="D970" s="1">
        <v>0.39200231481481479</v>
      </c>
      <c r="E970" s="2">
        <f>CallLog[[#This Row],[Date]]+CallLog[[#This Row],[Time]]</f>
        <v>44214.392002314817</v>
      </c>
      <c r="F970" s="1" t="str">
        <f>TEXT(CallLog[[#This Row],[Date]],"dddd")</f>
        <v>Monday</v>
      </c>
      <c r="G970" s="3">
        <f>HOUR(CallLog[[#This Row],[Time]])</f>
        <v>9</v>
      </c>
      <c r="H970" t="s">
        <v>29</v>
      </c>
      <c r="I970" t="s">
        <v>14</v>
      </c>
      <c r="J970" t="s">
        <v>14</v>
      </c>
      <c r="K970">
        <v>53</v>
      </c>
      <c r="L970" t="str">
        <f>IF(AND(CallLog[[#This Row],[Answered (Y/N)]]="Y", CallLog[[#This Row],[Speed of answer in seconds]]&lt;=20),
    "Within",
    "Breach")</f>
        <v>Breach</v>
      </c>
      <c r="M970" s="1">
        <v>4.2361111111111115E-3</v>
      </c>
      <c r="N970">
        <v>4</v>
      </c>
    </row>
    <row r="971" spans="1:14" x14ac:dyDescent="0.3">
      <c r="A971" t="s">
        <v>1012</v>
      </c>
      <c r="B971" t="s">
        <v>22</v>
      </c>
      <c r="C971" t="s">
        <v>1011</v>
      </c>
      <c r="D971" s="1">
        <v>0.39200231481481479</v>
      </c>
      <c r="E971" s="2">
        <f>CallLog[[#This Row],[Date]]+CallLog[[#This Row],[Time]]</f>
        <v>44214.392002314817</v>
      </c>
      <c r="F971" s="1" t="str">
        <f>TEXT(CallLog[[#This Row],[Date]],"dddd")</f>
        <v>Monday</v>
      </c>
      <c r="G971" s="3">
        <f>HOUR(CallLog[[#This Row],[Time]])</f>
        <v>9</v>
      </c>
      <c r="H971" t="s">
        <v>13</v>
      </c>
      <c r="I971" t="s">
        <v>14</v>
      </c>
      <c r="J971" t="s">
        <v>18</v>
      </c>
      <c r="K971">
        <v>27</v>
      </c>
      <c r="L971" t="str">
        <f>IF(AND(CallLog[[#This Row],[Answered (Y/N)]]="Y", CallLog[[#This Row],[Speed of answer in seconds]]&lt;=20),
    "Within",
    "Breach")</f>
        <v>Breach</v>
      </c>
      <c r="M971" s="1">
        <v>4.3287037037037035E-3</v>
      </c>
      <c r="N971">
        <v>5</v>
      </c>
    </row>
    <row r="972" spans="1:14" x14ac:dyDescent="0.3">
      <c r="A972" t="s">
        <v>1013</v>
      </c>
      <c r="B972" t="s">
        <v>34</v>
      </c>
      <c r="C972" t="s">
        <v>1011</v>
      </c>
      <c r="D972" s="1">
        <v>0.39200231481481479</v>
      </c>
      <c r="E972" s="2">
        <f>CallLog[[#This Row],[Date]]+CallLog[[#This Row],[Time]]</f>
        <v>44214.392002314817</v>
      </c>
      <c r="F972" s="1" t="str">
        <f>TEXT(CallLog[[#This Row],[Date]],"dddd")</f>
        <v>Monday</v>
      </c>
      <c r="G972" s="3">
        <f>HOUR(CallLog[[#This Row],[Time]])</f>
        <v>9</v>
      </c>
      <c r="H972" t="s">
        <v>29</v>
      </c>
      <c r="I972" t="s">
        <v>14</v>
      </c>
      <c r="J972" t="s">
        <v>14</v>
      </c>
      <c r="K972">
        <v>30</v>
      </c>
      <c r="L972" t="str">
        <f>IF(AND(CallLog[[#This Row],[Answered (Y/N)]]="Y", CallLog[[#This Row],[Speed of answer in seconds]]&lt;=20),
    "Within",
    "Breach")</f>
        <v>Breach</v>
      </c>
      <c r="M972" s="1">
        <v>2.8124999999999999E-3</v>
      </c>
      <c r="N972">
        <v>3</v>
      </c>
    </row>
    <row r="973" spans="1:14" x14ac:dyDescent="0.3">
      <c r="A973" t="s">
        <v>1014</v>
      </c>
      <c r="B973" t="s">
        <v>47</v>
      </c>
      <c r="C973" t="s">
        <v>1011</v>
      </c>
      <c r="D973" s="1">
        <v>0.39200231481481479</v>
      </c>
      <c r="E973" s="2">
        <f>CallLog[[#This Row],[Date]]+CallLog[[#This Row],[Time]]</f>
        <v>44214.392002314817</v>
      </c>
      <c r="F973" s="1" t="str">
        <f>TEXT(CallLog[[#This Row],[Date]],"dddd")</f>
        <v>Monday</v>
      </c>
      <c r="G973" s="3">
        <f>HOUR(CallLog[[#This Row],[Time]])</f>
        <v>9</v>
      </c>
      <c r="H973" t="s">
        <v>13</v>
      </c>
      <c r="I973" t="s">
        <v>18</v>
      </c>
      <c r="J973" t="s">
        <v>18</v>
      </c>
      <c r="L973" t="str">
        <f>IF(AND(CallLog[[#This Row],[Answered (Y/N)]]="Y", CallLog[[#This Row],[Speed of answer in seconds]]&lt;=20),
    "Within",
    "Breach")</f>
        <v>Breach</v>
      </c>
    </row>
    <row r="974" spans="1:14" x14ac:dyDescent="0.3">
      <c r="A974" t="s">
        <v>1015</v>
      </c>
      <c r="B974" t="s">
        <v>31</v>
      </c>
      <c r="C974" t="s">
        <v>1011</v>
      </c>
      <c r="D974" s="1">
        <v>0.39700231481481479</v>
      </c>
      <c r="E974" s="2">
        <f>CallLog[[#This Row],[Date]]+CallLog[[#This Row],[Time]]</f>
        <v>44214.397002314814</v>
      </c>
      <c r="F974" s="1" t="str">
        <f>TEXT(CallLog[[#This Row],[Date]],"dddd")</f>
        <v>Monday</v>
      </c>
      <c r="G974" s="3">
        <f>HOUR(CallLog[[#This Row],[Time]])</f>
        <v>9</v>
      </c>
      <c r="H974" t="s">
        <v>29</v>
      </c>
      <c r="I974" t="s">
        <v>14</v>
      </c>
      <c r="J974" t="s">
        <v>14</v>
      </c>
      <c r="K974">
        <v>113</v>
      </c>
      <c r="L974" t="str">
        <f>IF(AND(CallLog[[#This Row],[Answered (Y/N)]]="Y", CallLog[[#This Row],[Speed of answer in seconds]]&lt;=20),
    "Within",
    "Breach")</f>
        <v>Breach</v>
      </c>
      <c r="M974" s="1">
        <v>2.0949074074074073E-3</v>
      </c>
      <c r="N974">
        <v>5</v>
      </c>
    </row>
    <row r="975" spans="1:14" x14ac:dyDescent="0.3">
      <c r="A975" t="s">
        <v>1016</v>
      </c>
      <c r="B975" t="s">
        <v>31</v>
      </c>
      <c r="C975" t="s">
        <v>1011</v>
      </c>
      <c r="D975" s="1">
        <v>0.39700231481481479</v>
      </c>
      <c r="E975" s="2">
        <f>CallLog[[#This Row],[Date]]+CallLog[[#This Row],[Time]]</f>
        <v>44214.397002314814</v>
      </c>
      <c r="F975" s="1" t="str">
        <f>TEXT(CallLog[[#This Row],[Date]],"dddd")</f>
        <v>Monday</v>
      </c>
      <c r="G975" s="3">
        <f>HOUR(CallLog[[#This Row],[Time]])</f>
        <v>9</v>
      </c>
      <c r="H975" t="s">
        <v>17</v>
      </c>
      <c r="I975" t="s">
        <v>18</v>
      </c>
      <c r="J975" t="s">
        <v>18</v>
      </c>
      <c r="L975" t="str">
        <f>IF(AND(CallLog[[#This Row],[Answered (Y/N)]]="Y", CallLog[[#This Row],[Speed of answer in seconds]]&lt;=20),
    "Within",
    "Breach")</f>
        <v>Breach</v>
      </c>
    </row>
    <row r="976" spans="1:14" x14ac:dyDescent="0.3">
      <c r="A976" t="s">
        <v>1017</v>
      </c>
      <c r="B976" t="s">
        <v>11</v>
      </c>
      <c r="C976" t="s">
        <v>1011</v>
      </c>
      <c r="D976" s="1">
        <v>0.4</v>
      </c>
      <c r="E976" s="2">
        <f>CallLog[[#This Row],[Date]]+CallLog[[#This Row],[Time]]</f>
        <v>44214.400000000001</v>
      </c>
      <c r="F976" s="1" t="str">
        <f>TEXT(CallLog[[#This Row],[Date]],"dddd")</f>
        <v>Monday</v>
      </c>
      <c r="G976" s="3">
        <f>HOUR(CallLog[[#This Row],[Time]])</f>
        <v>9</v>
      </c>
      <c r="H976" t="s">
        <v>29</v>
      </c>
      <c r="I976" t="s">
        <v>18</v>
      </c>
      <c r="J976" t="s">
        <v>18</v>
      </c>
      <c r="L976" t="str">
        <f>IF(AND(CallLog[[#This Row],[Answered (Y/N)]]="Y", CallLog[[#This Row],[Speed of answer in seconds]]&lt;=20),
    "Within",
    "Breach")</f>
        <v>Breach</v>
      </c>
    </row>
    <row r="977" spans="1:14" x14ac:dyDescent="0.3">
      <c r="A977" t="s">
        <v>1018</v>
      </c>
      <c r="B977" t="s">
        <v>31</v>
      </c>
      <c r="C977" t="s">
        <v>1011</v>
      </c>
      <c r="D977" s="1">
        <v>0.4</v>
      </c>
      <c r="E977" s="2">
        <f>CallLog[[#This Row],[Date]]+CallLog[[#This Row],[Time]]</f>
        <v>44214.400000000001</v>
      </c>
      <c r="F977" s="1" t="str">
        <f>TEXT(CallLog[[#This Row],[Date]],"dddd")</f>
        <v>Monday</v>
      </c>
      <c r="G977" s="3">
        <f>HOUR(CallLog[[#This Row],[Time]])</f>
        <v>9</v>
      </c>
      <c r="H977" t="s">
        <v>32</v>
      </c>
      <c r="I977" t="s">
        <v>14</v>
      </c>
      <c r="J977" t="s">
        <v>14</v>
      </c>
      <c r="K977">
        <v>80</v>
      </c>
      <c r="L977" t="str">
        <f>IF(AND(CallLog[[#This Row],[Answered (Y/N)]]="Y", CallLog[[#This Row],[Speed of answer in seconds]]&lt;=20),
    "Within",
    "Breach")</f>
        <v>Breach</v>
      </c>
      <c r="M977" s="1">
        <v>4.8263888888888887E-3</v>
      </c>
      <c r="N977">
        <v>4</v>
      </c>
    </row>
    <row r="978" spans="1:14" x14ac:dyDescent="0.3">
      <c r="A978" t="s">
        <v>1019</v>
      </c>
      <c r="B978" t="s">
        <v>20</v>
      </c>
      <c r="C978" t="s">
        <v>1011</v>
      </c>
      <c r="D978" s="1">
        <v>0.42799768518518516</v>
      </c>
      <c r="E978" s="2">
        <f>CallLog[[#This Row],[Date]]+CallLog[[#This Row],[Time]]</f>
        <v>44214.427997685183</v>
      </c>
      <c r="F978" s="1" t="str">
        <f>TEXT(CallLog[[#This Row],[Date]],"dddd")</f>
        <v>Monday</v>
      </c>
      <c r="G978" s="3">
        <f>HOUR(CallLog[[#This Row],[Time]])</f>
        <v>10</v>
      </c>
      <c r="H978" t="s">
        <v>13</v>
      </c>
      <c r="I978" t="s">
        <v>14</v>
      </c>
      <c r="J978" t="s">
        <v>14</v>
      </c>
      <c r="K978">
        <v>45</v>
      </c>
      <c r="L978" t="str">
        <f>IF(AND(CallLog[[#This Row],[Answered (Y/N)]]="Y", CallLog[[#This Row],[Speed of answer in seconds]]&lt;=20),
    "Within",
    "Breach")</f>
        <v>Breach</v>
      </c>
      <c r="M978" s="1">
        <v>4.8611111111111112E-3</v>
      </c>
      <c r="N978">
        <v>5</v>
      </c>
    </row>
    <row r="979" spans="1:14" x14ac:dyDescent="0.3">
      <c r="A979" t="s">
        <v>1020</v>
      </c>
      <c r="B979" t="s">
        <v>34</v>
      </c>
      <c r="C979" t="s">
        <v>1011</v>
      </c>
      <c r="D979" s="1">
        <v>0.42799768518518516</v>
      </c>
      <c r="E979" s="2">
        <f>CallLog[[#This Row],[Date]]+CallLog[[#This Row],[Time]]</f>
        <v>44214.427997685183</v>
      </c>
      <c r="F979" s="1" t="str">
        <f>TEXT(CallLog[[#This Row],[Date]],"dddd")</f>
        <v>Monday</v>
      </c>
      <c r="G979" s="3">
        <f>HOUR(CallLog[[#This Row],[Time]])</f>
        <v>10</v>
      </c>
      <c r="H979" t="s">
        <v>29</v>
      </c>
      <c r="I979" t="s">
        <v>14</v>
      </c>
      <c r="J979" t="s">
        <v>14</v>
      </c>
      <c r="K979">
        <v>95</v>
      </c>
      <c r="L979" t="str">
        <f>IF(AND(CallLog[[#This Row],[Answered (Y/N)]]="Y", CallLog[[#This Row],[Speed of answer in seconds]]&lt;=20),
    "Within",
    "Breach")</f>
        <v>Breach</v>
      </c>
      <c r="M979" s="1">
        <v>1.5740740740740741E-3</v>
      </c>
      <c r="N979">
        <v>1</v>
      </c>
    </row>
    <row r="980" spans="1:14" x14ac:dyDescent="0.3">
      <c r="A980" t="s">
        <v>1021</v>
      </c>
      <c r="B980" t="s">
        <v>38</v>
      </c>
      <c r="C980" t="s">
        <v>1011</v>
      </c>
      <c r="D980" s="1">
        <v>0.47799768518518521</v>
      </c>
      <c r="E980" s="2">
        <f>CallLog[[#This Row],[Date]]+CallLog[[#This Row],[Time]]</f>
        <v>44214.477997685186</v>
      </c>
      <c r="F980" s="1" t="str">
        <f>TEXT(CallLog[[#This Row],[Date]],"dddd")</f>
        <v>Monday</v>
      </c>
      <c r="G980" s="3">
        <f>HOUR(CallLog[[#This Row],[Time]])</f>
        <v>11</v>
      </c>
      <c r="H980" t="s">
        <v>32</v>
      </c>
      <c r="I980" t="s">
        <v>18</v>
      </c>
      <c r="J980" t="s">
        <v>18</v>
      </c>
      <c r="L980" t="str">
        <f>IF(AND(CallLog[[#This Row],[Answered (Y/N)]]="Y", CallLog[[#This Row],[Speed of answer in seconds]]&lt;=20),
    "Within",
    "Breach")</f>
        <v>Breach</v>
      </c>
    </row>
    <row r="981" spans="1:14" x14ac:dyDescent="0.3">
      <c r="A981" t="s">
        <v>1022</v>
      </c>
      <c r="B981" t="s">
        <v>47</v>
      </c>
      <c r="C981" t="s">
        <v>1011</v>
      </c>
      <c r="D981" s="1">
        <v>0.47799768518518521</v>
      </c>
      <c r="E981" s="2">
        <f>CallLog[[#This Row],[Date]]+CallLog[[#This Row],[Time]]</f>
        <v>44214.477997685186</v>
      </c>
      <c r="F981" s="1" t="str">
        <f>TEXT(CallLog[[#This Row],[Date]],"dddd")</f>
        <v>Monday</v>
      </c>
      <c r="G981" s="3">
        <f>HOUR(CallLog[[#This Row],[Time]])</f>
        <v>11</v>
      </c>
      <c r="H981" t="s">
        <v>24</v>
      </c>
      <c r="I981" t="s">
        <v>14</v>
      </c>
      <c r="J981" t="s">
        <v>14</v>
      </c>
      <c r="K981">
        <v>33</v>
      </c>
      <c r="L981" t="str">
        <f>IF(AND(CallLog[[#This Row],[Answered (Y/N)]]="Y", CallLog[[#This Row],[Speed of answer in seconds]]&lt;=20),
    "Within",
    "Breach")</f>
        <v>Breach</v>
      </c>
      <c r="M981" s="1">
        <v>1.0185185185185184E-3</v>
      </c>
      <c r="N981">
        <v>3</v>
      </c>
    </row>
    <row r="982" spans="1:14" x14ac:dyDescent="0.3">
      <c r="A982" t="s">
        <v>1023</v>
      </c>
      <c r="B982" t="s">
        <v>20</v>
      </c>
      <c r="C982" t="s">
        <v>1011</v>
      </c>
      <c r="D982" s="1">
        <v>0.49099537037037039</v>
      </c>
      <c r="E982" s="2">
        <f>CallLog[[#This Row],[Date]]+CallLog[[#This Row],[Time]]</f>
        <v>44214.490995370368</v>
      </c>
      <c r="F982" s="1" t="str">
        <f>TEXT(CallLog[[#This Row],[Date]],"dddd")</f>
        <v>Monday</v>
      </c>
      <c r="G982" s="3">
        <f>HOUR(CallLog[[#This Row],[Time]])</f>
        <v>11</v>
      </c>
      <c r="H982" t="s">
        <v>24</v>
      </c>
      <c r="I982" t="s">
        <v>18</v>
      </c>
      <c r="J982" t="s">
        <v>18</v>
      </c>
      <c r="L982" t="str">
        <f>IF(AND(CallLog[[#This Row],[Answered (Y/N)]]="Y", CallLog[[#This Row],[Speed of answer in seconds]]&lt;=20),
    "Within",
    "Breach")</f>
        <v>Breach</v>
      </c>
    </row>
    <row r="983" spans="1:14" x14ac:dyDescent="0.3">
      <c r="A983" t="s">
        <v>1024</v>
      </c>
      <c r="B983" t="s">
        <v>31</v>
      </c>
      <c r="C983" t="s">
        <v>1011</v>
      </c>
      <c r="D983" s="1">
        <v>0.49099537037037039</v>
      </c>
      <c r="E983" s="2">
        <f>CallLog[[#This Row],[Date]]+CallLog[[#This Row],[Time]]</f>
        <v>44214.490995370368</v>
      </c>
      <c r="F983" s="1" t="str">
        <f>TEXT(CallLog[[#This Row],[Date]],"dddd")</f>
        <v>Monday</v>
      </c>
      <c r="G983" s="3">
        <f>HOUR(CallLog[[#This Row],[Time]])</f>
        <v>11</v>
      </c>
      <c r="H983" t="s">
        <v>32</v>
      </c>
      <c r="I983" t="s">
        <v>14</v>
      </c>
      <c r="J983" t="s">
        <v>14</v>
      </c>
      <c r="K983">
        <v>90</v>
      </c>
      <c r="L983" t="str">
        <f>IF(AND(CallLog[[#This Row],[Answered (Y/N)]]="Y", CallLog[[#This Row],[Speed of answer in seconds]]&lt;=20),
    "Within",
    "Breach")</f>
        <v>Breach</v>
      </c>
      <c r="M983" s="1">
        <v>4.7106481481481478E-3</v>
      </c>
      <c r="N983">
        <v>3</v>
      </c>
    </row>
    <row r="984" spans="1:14" x14ac:dyDescent="0.3">
      <c r="A984" t="s">
        <v>1025</v>
      </c>
      <c r="B984" t="s">
        <v>22</v>
      </c>
      <c r="C984" t="s">
        <v>1011</v>
      </c>
      <c r="D984" s="1">
        <v>0.49400462962962965</v>
      </c>
      <c r="E984" s="2">
        <f>CallLog[[#This Row],[Date]]+CallLog[[#This Row],[Time]]</f>
        <v>44214.494004629632</v>
      </c>
      <c r="F984" s="1" t="str">
        <f>TEXT(CallLog[[#This Row],[Date]],"dddd")</f>
        <v>Monday</v>
      </c>
      <c r="G984" s="3">
        <f>HOUR(CallLog[[#This Row],[Time]])</f>
        <v>11</v>
      </c>
      <c r="H984" t="s">
        <v>24</v>
      </c>
      <c r="I984" t="s">
        <v>14</v>
      </c>
      <c r="J984" t="s">
        <v>14</v>
      </c>
      <c r="K984">
        <v>90</v>
      </c>
      <c r="L984" t="str">
        <f>IF(AND(CallLog[[#This Row],[Answered (Y/N)]]="Y", CallLog[[#This Row],[Speed of answer in seconds]]&lt;=20),
    "Within",
    "Breach")</f>
        <v>Breach</v>
      </c>
      <c r="M984" s="1">
        <v>1.5509259259259259E-3</v>
      </c>
      <c r="N984">
        <v>3</v>
      </c>
    </row>
    <row r="985" spans="1:14" x14ac:dyDescent="0.3">
      <c r="A985" t="s">
        <v>1026</v>
      </c>
      <c r="B985" t="s">
        <v>31</v>
      </c>
      <c r="C985" t="s">
        <v>1011</v>
      </c>
      <c r="D985" s="1">
        <v>0.49400462962962965</v>
      </c>
      <c r="E985" s="2">
        <f>CallLog[[#This Row],[Date]]+CallLog[[#This Row],[Time]]</f>
        <v>44214.494004629632</v>
      </c>
      <c r="F985" s="1" t="str">
        <f>TEXT(CallLog[[#This Row],[Date]],"dddd")</f>
        <v>Monday</v>
      </c>
      <c r="G985" s="3">
        <f>HOUR(CallLog[[#This Row],[Time]])</f>
        <v>11</v>
      </c>
      <c r="H985" t="s">
        <v>32</v>
      </c>
      <c r="I985" t="s">
        <v>14</v>
      </c>
      <c r="J985" t="s">
        <v>18</v>
      </c>
      <c r="K985">
        <v>57</v>
      </c>
      <c r="L985" t="str">
        <f>IF(AND(CallLog[[#This Row],[Answered (Y/N)]]="Y", CallLog[[#This Row],[Speed of answer in seconds]]&lt;=20),
    "Within",
    "Breach")</f>
        <v>Breach</v>
      </c>
      <c r="M985" s="1">
        <v>2.8935185185185184E-3</v>
      </c>
      <c r="N985">
        <v>1</v>
      </c>
    </row>
    <row r="986" spans="1:14" x14ac:dyDescent="0.3">
      <c r="A986" t="s">
        <v>1027</v>
      </c>
      <c r="B986" t="s">
        <v>16</v>
      </c>
      <c r="C986" t="s">
        <v>1011</v>
      </c>
      <c r="D986" s="1">
        <v>0.49700231481481483</v>
      </c>
      <c r="E986" s="2">
        <f>CallLog[[#This Row],[Date]]+CallLog[[#This Row],[Time]]</f>
        <v>44214.497002314813</v>
      </c>
      <c r="F986" s="1" t="str">
        <f>TEXT(CallLog[[#This Row],[Date]],"dddd")</f>
        <v>Monday</v>
      </c>
      <c r="G986" s="3">
        <f>HOUR(CallLog[[#This Row],[Time]])</f>
        <v>11</v>
      </c>
      <c r="H986" t="s">
        <v>29</v>
      </c>
      <c r="I986" t="s">
        <v>14</v>
      </c>
      <c r="J986" t="s">
        <v>14</v>
      </c>
      <c r="K986">
        <v>123</v>
      </c>
      <c r="L986" t="str">
        <f>IF(AND(CallLog[[#This Row],[Answered (Y/N)]]="Y", CallLog[[#This Row],[Speed of answer in seconds]]&lt;=20),
    "Within",
    "Breach")</f>
        <v>Breach</v>
      </c>
      <c r="M986" s="1">
        <v>4.0509259259259257E-3</v>
      </c>
      <c r="N986">
        <v>2</v>
      </c>
    </row>
    <row r="987" spans="1:14" x14ac:dyDescent="0.3">
      <c r="A987" t="s">
        <v>1028</v>
      </c>
      <c r="B987" t="s">
        <v>11</v>
      </c>
      <c r="C987" t="s">
        <v>1011</v>
      </c>
      <c r="D987" s="1">
        <v>0.49700231481481483</v>
      </c>
      <c r="E987" s="2">
        <f>CallLog[[#This Row],[Date]]+CallLog[[#This Row],[Time]]</f>
        <v>44214.497002314813</v>
      </c>
      <c r="F987" s="1" t="str">
        <f>TEXT(CallLog[[#This Row],[Date]],"dddd")</f>
        <v>Monday</v>
      </c>
      <c r="G987" s="3">
        <f>HOUR(CallLog[[#This Row],[Time]])</f>
        <v>11</v>
      </c>
      <c r="H987" t="s">
        <v>29</v>
      </c>
      <c r="I987" t="s">
        <v>14</v>
      </c>
      <c r="J987" t="s">
        <v>14</v>
      </c>
      <c r="K987">
        <v>39</v>
      </c>
      <c r="L987" t="str">
        <f>IF(AND(CallLog[[#This Row],[Answered (Y/N)]]="Y", CallLog[[#This Row],[Speed of answer in seconds]]&lt;=20),
    "Within",
    "Breach")</f>
        <v>Breach</v>
      </c>
      <c r="M987" s="1">
        <v>4.7569444444444447E-3</v>
      </c>
      <c r="N987">
        <v>4</v>
      </c>
    </row>
    <row r="988" spans="1:14" x14ac:dyDescent="0.3">
      <c r="A988" t="s">
        <v>1029</v>
      </c>
      <c r="B988" t="s">
        <v>22</v>
      </c>
      <c r="C988" t="s">
        <v>1011</v>
      </c>
      <c r="D988" s="1">
        <v>0.49799768518518517</v>
      </c>
      <c r="E988" s="2">
        <f>CallLog[[#This Row],[Date]]+CallLog[[#This Row],[Time]]</f>
        <v>44214.497997685183</v>
      </c>
      <c r="F988" s="1" t="str">
        <f>TEXT(CallLog[[#This Row],[Date]],"dddd")</f>
        <v>Monday</v>
      </c>
      <c r="G988" s="3">
        <f>HOUR(CallLog[[#This Row],[Time]])</f>
        <v>11</v>
      </c>
      <c r="H988" t="s">
        <v>17</v>
      </c>
      <c r="I988" t="s">
        <v>14</v>
      </c>
      <c r="J988" t="s">
        <v>18</v>
      </c>
      <c r="K988">
        <v>38</v>
      </c>
      <c r="L988" t="str">
        <f>IF(AND(CallLog[[#This Row],[Answered (Y/N)]]="Y", CallLog[[#This Row],[Speed of answer in seconds]]&lt;=20),
    "Within",
    "Breach")</f>
        <v>Breach</v>
      </c>
      <c r="M988" s="1">
        <v>1.5740740740740741E-3</v>
      </c>
      <c r="N988">
        <v>5</v>
      </c>
    </row>
    <row r="989" spans="1:14" x14ac:dyDescent="0.3">
      <c r="A989" t="s">
        <v>1030</v>
      </c>
      <c r="B989" t="s">
        <v>11</v>
      </c>
      <c r="C989" t="s">
        <v>1011</v>
      </c>
      <c r="D989" s="1">
        <v>0.49799768518518517</v>
      </c>
      <c r="E989" s="2">
        <f>CallLog[[#This Row],[Date]]+CallLog[[#This Row],[Time]]</f>
        <v>44214.497997685183</v>
      </c>
      <c r="F989" s="1" t="str">
        <f>TEXT(CallLog[[#This Row],[Date]],"dddd")</f>
        <v>Monday</v>
      </c>
      <c r="G989" s="3">
        <f>HOUR(CallLog[[#This Row],[Time]])</f>
        <v>11</v>
      </c>
      <c r="H989" t="s">
        <v>32</v>
      </c>
      <c r="I989" t="s">
        <v>14</v>
      </c>
      <c r="J989" t="s">
        <v>14</v>
      </c>
      <c r="K989">
        <v>26</v>
      </c>
      <c r="L989" t="str">
        <f>IF(AND(CallLog[[#This Row],[Answered (Y/N)]]="Y", CallLog[[#This Row],[Speed of answer in seconds]]&lt;=20),
    "Within",
    "Breach")</f>
        <v>Breach</v>
      </c>
      <c r="M989" s="1">
        <v>1.0995370370370371E-3</v>
      </c>
      <c r="N989">
        <v>1</v>
      </c>
    </row>
    <row r="990" spans="1:14" x14ac:dyDescent="0.3">
      <c r="A990" t="s">
        <v>1031</v>
      </c>
      <c r="B990" t="s">
        <v>11</v>
      </c>
      <c r="C990" t="s">
        <v>1011</v>
      </c>
      <c r="D990" s="1">
        <v>0.4990046296296296</v>
      </c>
      <c r="E990" s="2">
        <f>CallLog[[#This Row],[Date]]+CallLog[[#This Row],[Time]]</f>
        <v>44214.49900462963</v>
      </c>
      <c r="F990" s="1" t="str">
        <f>TEXT(CallLog[[#This Row],[Date]],"dddd")</f>
        <v>Monday</v>
      </c>
      <c r="G990" s="3">
        <f>HOUR(CallLog[[#This Row],[Time]])</f>
        <v>11</v>
      </c>
      <c r="H990" t="s">
        <v>13</v>
      </c>
      <c r="I990" t="s">
        <v>14</v>
      </c>
      <c r="J990" t="s">
        <v>14</v>
      </c>
      <c r="K990">
        <v>43</v>
      </c>
      <c r="L990" t="str">
        <f>IF(AND(CallLog[[#This Row],[Answered (Y/N)]]="Y", CallLog[[#This Row],[Speed of answer in seconds]]&lt;=20),
    "Within",
    "Breach")</f>
        <v>Breach</v>
      </c>
      <c r="M990" s="1">
        <v>1.7824074074074075E-3</v>
      </c>
      <c r="N990">
        <v>3</v>
      </c>
    </row>
    <row r="991" spans="1:14" x14ac:dyDescent="0.3">
      <c r="A991" t="s">
        <v>1032</v>
      </c>
      <c r="B991" t="s">
        <v>31</v>
      </c>
      <c r="C991" t="s">
        <v>1011</v>
      </c>
      <c r="D991" s="1">
        <v>0.4990046296296296</v>
      </c>
      <c r="E991" s="2">
        <f>CallLog[[#This Row],[Date]]+CallLog[[#This Row],[Time]]</f>
        <v>44214.49900462963</v>
      </c>
      <c r="F991" s="1" t="str">
        <f>TEXT(CallLog[[#This Row],[Date]],"dddd")</f>
        <v>Monday</v>
      </c>
      <c r="G991" s="3">
        <f>HOUR(CallLog[[#This Row],[Time]])</f>
        <v>11</v>
      </c>
      <c r="H991" t="s">
        <v>32</v>
      </c>
      <c r="I991" t="s">
        <v>14</v>
      </c>
      <c r="J991" t="s">
        <v>14</v>
      </c>
      <c r="K991">
        <v>89</v>
      </c>
      <c r="L991" t="str">
        <f>IF(AND(CallLog[[#This Row],[Answered (Y/N)]]="Y", CallLog[[#This Row],[Speed of answer in seconds]]&lt;=20),
    "Within",
    "Breach")</f>
        <v>Breach</v>
      </c>
      <c r="M991" s="1">
        <v>4.0856481481481481E-3</v>
      </c>
      <c r="N991">
        <v>3</v>
      </c>
    </row>
    <row r="992" spans="1:14" x14ac:dyDescent="0.3">
      <c r="A992" t="s">
        <v>1033</v>
      </c>
      <c r="B992" t="s">
        <v>31</v>
      </c>
      <c r="C992" t="s">
        <v>1011</v>
      </c>
      <c r="D992" s="1">
        <v>0.5</v>
      </c>
      <c r="E992" s="2">
        <f>CallLog[[#This Row],[Date]]+CallLog[[#This Row],[Time]]</f>
        <v>44214.5</v>
      </c>
      <c r="F992" s="1" t="str">
        <f>TEXT(CallLog[[#This Row],[Date]],"dddd")</f>
        <v>Monday</v>
      </c>
      <c r="G992" s="3">
        <f>HOUR(CallLog[[#This Row],[Time]])</f>
        <v>12</v>
      </c>
      <c r="H992" t="s">
        <v>13</v>
      </c>
      <c r="I992" t="s">
        <v>14</v>
      </c>
      <c r="J992" t="s">
        <v>14</v>
      </c>
      <c r="K992">
        <v>121</v>
      </c>
      <c r="L992" t="str">
        <f>IF(AND(CallLog[[#This Row],[Answered (Y/N)]]="Y", CallLog[[#This Row],[Speed of answer in seconds]]&lt;=20),
    "Within",
    "Breach")</f>
        <v>Breach</v>
      </c>
      <c r="M992" s="1">
        <v>3.7499999999999999E-3</v>
      </c>
      <c r="N992">
        <v>3</v>
      </c>
    </row>
    <row r="993" spans="1:14" x14ac:dyDescent="0.3">
      <c r="A993" t="s">
        <v>1034</v>
      </c>
      <c r="B993" t="s">
        <v>31</v>
      </c>
      <c r="C993" t="s">
        <v>1011</v>
      </c>
      <c r="D993" s="1">
        <v>0.5</v>
      </c>
      <c r="E993" s="2">
        <f>CallLog[[#This Row],[Date]]+CallLog[[#This Row],[Time]]</f>
        <v>44214.5</v>
      </c>
      <c r="F993" s="1" t="str">
        <f>TEXT(CallLog[[#This Row],[Date]],"dddd")</f>
        <v>Monday</v>
      </c>
      <c r="G993" s="3">
        <f>HOUR(CallLog[[#This Row],[Time]])</f>
        <v>12</v>
      </c>
      <c r="H993" t="s">
        <v>24</v>
      </c>
      <c r="I993" t="s">
        <v>14</v>
      </c>
      <c r="J993" t="s">
        <v>14</v>
      </c>
      <c r="K993">
        <v>114</v>
      </c>
      <c r="L993" t="str">
        <f>IF(AND(CallLog[[#This Row],[Answered (Y/N)]]="Y", CallLog[[#This Row],[Speed of answer in seconds]]&lt;=20),
    "Within",
    "Breach")</f>
        <v>Breach</v>
      </c>
      <c r="M993" s="1">
        <v>2.1990740740740742E-3</v>
      </c>
      <c r="N993">
        <v>4</v>
      </c>
    </row>
    <row r="994" spans="1:14" x14ac:dyDescent="0.3">
      <c r="A994" t="s">
        <v>1035</v>
      </c>
      <c r="B994" t="s">
        <v>20</v>
      </c>
      <c r="C994" t="s">
        <v>1011</v>
      </c>
      <c r="D994" s="1">
        <v>0.52400462962962968</v>
      </c>
      <c r="E994" s="2">
        <f>CallLog[[#This Row],[Date]]+CallLog[[#This Row],[Time]]</f>
        <v>44214.524004629631</v>
      </c>
      <c r="F994" s="1" t="str">
        <f>TEXT(CallLog[[#This Row],[Date]],"dddd")</f>
        <v>Monday</v>
      </c>
      <c r="G994" s="3">
        <f>HOUR(CallLog[[#This Row],[Time]])</f>
        <v>12</v>
      </c>
      <c r="H994" t="s">
        <v>13</v>
      </c>
      <c r="I994" t="s">
        <v>18</v>
      </c>
      <c r="J994" t="s">
        <v>18</v>
      </c>
      <c r="L994" t="str">
        <f>IF(AND(CallLog[[#This Row],[Answered (Y/N)]]="Y", CallLog[[#This Row],[Speed of answer in seconds]]&lt;=20),
    "Within",
    "Breach")</f>
        <v>Breach</v>
      </c>
    </row>
    <row r="995" spans="1:14" x14ac:dyDescent="0.3">
      <c r="A995" t="s">
        <v>1036</v>
      </c>
      <c r="B995" t="s">
        <v>47</v>
      </c>
      <c r="C995" t="s">
        <v>1011</v>
      </c>
      <c r="D995" s="1">
        <v>0.52400462962962968</v>
      </c>
      <c r="E995" s="2">
        <f>CallLog[[#This Row],[Date]]+CallLog[[#This Row],[Time]]</f>
        <v>44214.524004629631</v>
      </c>
      <c r="F995" s="1" t="str">
        <f>TEXT(CallLog[[#This Row],[Date]],"dddd")</f>
        <v>Monday</v>
      </c>
      <c r="G995" s="3">
        <f>HOUR(CallLog[[#This Row],[Time]])</f>
        <v>12</v>
      </c>
      <c r="H995" t="s">
        <v>17</v>
      </c>
      <c r="I995" t="s">
        <v>18</v>
      </c>
      <c r="J995" t="s">
        <v>18</v>
      </c>
      <c r="L995" t="str">
        <f>IF(AND(CallLog[[#This Row],[Answered (Y/N)]]="Y", CallLog[[#This Row],[Speed of answer in seconds]]&lt;=20),
    "Within",
    "Breach")</f>
        <v>Breach</v>
      </c>
    </row>
    <row r="996" spans="1:14" x14ac:dyDescent="0.3">
      <c r="A996" t="s">
        <v>1037</v>
      </c>
      <c r="B996" t="s">
        <v>16</v>
      </c>
      <c r="C996" t="s">
        <v>1011</v>
      </c>
      <c r="D996" s="1">
        <v>0.52599537037037036</v>
      </c>
      <c r="E996" s="2">
        <f>CallLog[[#This Row],[Date]]+CallLog[[#This Row],[Time]]</f>
        <v>44214.525995370372</v>
      </c>
      <c r="F996" s="1" t="str">
        <f>TEXT(CallLog[[#This Row],[Date]],"dddd")</f>
        <v>Monday</v>
      </c>
      <c r="G996" s="3">
        <f>HOUR(CallLog[[#This Row],[Time]])</f>
        <v>12</v>
      </c>
      <c r="H996" t="s">
        <v>32</v>
      </c>
      <c r="I996" t="s">
        <v>18</v>
      </c>
      <c r="J996" t="s">
        <v>18</v>
      </c>
      <c r="L996" t="str">
        <f>IF(AND(CallLog[[#This Row],[Answered (Y/N)]]="Y", CallLog[[#This Row],[Speed of answer in seconds]]&lt;=20),
    "Within",
    "Breach")</f>
        <v>Breach</v>
      </c>
    </row>
    <row r="997" spans="1:14" x14ac:dyDescent="0.3">
      <c r="A997" t="s">
        <v>1038</v>
      </c>
      <c r="B997" t="s">
        <v>16</v>
      </c>
      <c r="C997" t="s">
        <v>1011</v>
      </c>
      <c r="D997" s="1">
        <v>0.52599537037037036</v>
      </c>
      <c r="E997" s="2">
        <f>CallLog[[#This Row],[Date]]+CallLog[[#This Row],[Time]]</f>
        <v>44214.525995370372</v>
      </c>
      <c r="F997" s="1" t="str">
        <f>TEXT(CallLog[[#This Row],[Date]],"dddd")</f>
        <v>Monday</v>
      </c>
      <c r="G997" s="3">
        <f>HOUR(CallLog[[#This Row],[Time]])</f>
        <v>12</v>
      </c>
      <c r="H997" t="s">
        <v>29</v>
      </c>
      <c r="I997" t="s">
        <v>14</v>
      </c>
      <c r="J997" t="s">
        <v>18</v>
      </c>
      <c r="K997">
        <v>101</v>
      </c>
      <c r="L997" t="str">
        <f>IF(AND(CallLog[[#This Row],[Answered (Y/N)]]="Y", CallLog[[#This Row],[Speed of answer in seconds]]&lt;=20),
    "Within",
    "Breach")</f>
        <v>Breach</v>
      </c>
      <c r="M997" s="1">
        <v>3.1944444444444446E-3</v>
      </c>
      <c r="N997">
        <v>3</v>
      </c>
    </row>
    <row r="998" spans="1:14" x14ac:dyDescent="0.3">
      <c r="A998" t="s">
        <v>1039</v>
      </c>
      <c r="B998" t="s">
        <v>34</v>
      </c>
      <c r="C998" t="s">
        <v>1011</v>
      </c>
      <c r="D998" s="1">
        <v>0.52700231481481485</v>
      </c>
      <c r="E998" s="2">
        <f>CallLog[[#This Row],[Date]]+CallLog[[#This Row],[Time]]</f>
        <v>44214.527002314811</v>
      </c>
      <c r="F998" s="1" t="str">
        <f>TEXT(CallLog[[#This Row],[Date]],"dddd")</f>
        <v>Monday</v>
      </c>
      <c r="G998" s="3">
        <f>HOUR(CallLog[[#This Row],[Time]])</f>
        <v>12</v>
      </c>
      <c r="H998" t="s">
        <v>24</v>
      </c>
      <c r="I998" t="s">
        <v>14</v>
      </c>
      <c r="J998" t="s">
        <v>14</v>
      </c>
      <c r="K998">
        <v>87</v>
      </c>
      <c r="L998" t="str">
        <f>IF(AND(CallLog[[#This Row],[Answered (Y/N)]]="Y", CallLog[[#This Row],[Speed of answer in seconds]]&lt;=20),
    "Within",
    "Breach")</f>
        <v>Breach</v>
      </c>
      <c r="M998" s="1">
        <v>3.6921296296296298E-3</v>
      </c>
      <c r="N998">
        <v>4</v>
      </c>
    </row>
    <row r="999" spans="1:14" x14ac:dyDescent="0.3">
      <c r="A999" t="s">
        <v>1040</v>
      </c>
      <c r="B999" t="s">
        <v>22</v>
      </c>
      <c r="C999" t="s">
        <v>1011</v>
      </c>
      <c r="D999" s="1">
        <v>0.52700231481481485</v>
      </c>
      <c r="E999" s="2">
        <f>CallLog[[#This Row],[Date]]+CallLog[[#This Row],[Time]]</f>
        <v>44214.527002314811</v>
      </c>
      <c r="F999" s="1" t="str">
        <f>TEXT(CallLog[[#This Row],[Date]],"dddd")</f>
        <v>Monday</v>
      </c>
      <c r="G999" s="3">
        <f>HOUR(CallLog[[#This Row],[Time]])</f>
        <v>12</v>
      </c>
      <c r="H999" t="s">
        <v>29</v>
      </c>
      <c r="I999" t="s">
        <v>14</v>
      </c>
      <c r="J999" t="s">
        <v>14</v>
      </c>
      <c r="K999">
        <v>22</v>
      </c>
      <c r="L999" t="str">
        <f>IF(AND(CallLog[[#This Row],[Answered (Y/N)]]="Y", CallLog[[#This Row],[Speed of answer in seconds]]&lt;=20),
    "Within",
    "Breach")</f>
        <v>Breach</v>
      </c>
      <c r="M999" s="1">
        <v>4.1898148148148146E-3</v>
      </c>
      <c r="N999">
        <v>5</v>
      </c>
    </row>
    <row r="1000" spans="1:14" x14ac:dyDescent="0.3">
      <c r="A1000" t="s">
        <v>1041</v>
      </c>
      <c r="B1000" t="s">
        <v>20</v>
      </c>
      <c r="C1000" t="s">
        <v>1011</v>
      </c>
      <c r="D1000" s="1">
        <v>0.52900462962962957</v>
      </c>
      <c r="E1000" s="2">
        <f>CallLog[[#This Row],[Date]]+CallLog[[#This Row],[Time]]</f>
        <v>44214.529004629629</v>
      </c>
      <c r="F1000" s="1" t="str">
        <f>TEXT(CallLog[[#This Row],[Date]],"dddd")</f>
        <v>Monday</v>
      </c>
      <c r="G1000" s="3">
        <f>HOUR(CallLog[[#This Row],[Time]])</f>
        <v>12</v>
      </c>
      <c r="H1000" t="s">
        <v>32</v>
      </c>
      <c r="I1000" t="s">
        <v>14</v>
      </c>
      <c r="J1000" t="s">
        <v>14</v>
      </c>
      <c r="K1000">
        <v>19</v>
      </c>
      <c r="L1000" t="str">
        <f>IF(AND(CallLog[[#This Row],[Answered (Y/N)]]="Y", CallLog[[#This Row],[Speed of answer in seconds]]&lt;=20),
    "Within",
    "Breach")</f>
        <v>Within</v>
      </c>
      <c r="M1000" s="1">
        <v>2.7430555555555554E-3</v>
      </c>
      <c r="N1000">
        <v>2</v>
      </c>
    </row>
    <row r="1001" spans="1:14" x14ac:dyDescent="0.3">
      <c r="A1001" t="s">
        <v>1042</v>
      </c>
      <c r="B1001" t="s">
        <v>16</v>
      </c>
      <c r="C1001" t="s">
        <v>1011</v>
      </c>
      <c r="D1001" s="1">
        <v>0.52900462962962957</v>
      </c>
      <c r="E1001" s="2">
        <f>CallLog[[#This Row],[Date]]+CallLog[[#This Row],[Time]]</f>
        <v>44214.529004629629</v>
      </c>
      <c r="F1001" s="1" t="str">
        <f>TEXT(CallLog[[#This Row],[Date]],"dddd")</f>
        <v>Monday</v>
      </c>
      <c r="G1001" s="3">
        <f>HOUR(CallLog[[#This Row],[Time]])</f>
        <v>12</v>
      </c>
      <c r="H1001" t="s">
        <v>29</v>
      </c>
      <c r="I1001" t="s">
        <v>14</v>
      </c>
      <c r="J1001" t="s">
        <v>14</v>
      </c>
      <c r="K1001">
        <v>31</v>
      </c>
      <c r="L1001" t="str">
        <f>IF(AND(CallLog[[#This Row],[Answered (Y/N)]]="Y", CallLog[[#This Row],[Speed of answer in seconds]]&lt;=20),
    "Within",
    "Breach")</f>
        <v>Breach</v>
      </c>
      <c r="M1001" s="1">
        <v>1.736111111111111E-3</v>
      </c>
      <c r="N1001">
        <v>4</v>
      </c>
    </row>
    <row r="1002" spans="1:14" x14ac:dyDescent="0.3">
      <c r="A1002" t="s">
        <v>1043</v>
      </c>
      <c r="B1002" t="s">
        <v>38</v>
      </c>
      <c r="C1002" t="s">
        <v>1011</v>
      </c>
      <c r="D1002" s="1">
        <v>0.53400462962962958</v>
      </c>
      <c r="E1002" s="2">
        <f>CallLog[[#This Row],[Date]]+CallLog[[#This Row],[Time]]</f>
        <v>44214.534004629626</v>
      </c>
      <c r="F1002" s="1" t="str">
        <f>TEXT(CallLog[[#This Row],[Date]],"dddd")</f>
        <v>Monday</v>
      </c>
      <c r="G1002" s="3">
        <f>HOUR(CallLog[[#This Row],[Time]])</f>
        <v>12</v>
      </c>
      <c r="H1002" t="s">
        <v>24</v>
      </c>
      <c r="I1002" t="s">
        <v>14</v>
      </c>
      <c r="J1002" t="s">
        <v>14</v>
      </c>
      <c r="K1002">
        <v>24</v>
      </c>
      <c r="L1002" t="str">
        <f>IF(AND(CallLog[[#This Row],[Answered (Y/N)]]="Y", CallLog[[#This Row],[Speed of answer in seconds]]&lt;=20),
    "Within",
    "Breach")</f>
        <v>Breach</v>
      </c>
      <c r="M1002" s="1">
        <v>4.2013888888888891E-3</v>
      </c>
      <c r="N1002">
        <v>4</v>
      </c>
    </row>
    <row r="1003" spans="1:14" x14ac:dyDescent="0.3">
      <c r="A1003" t="s">
        <v>1044</v>
      </c>
      <c r="B1003" t="s">
        <v>47</v>
      </c>
      <c r="C1003" t="s">
        <v>1011</v>
      </c>
      <c r="D1003" s="1">
        <v>0.53400462962962958</v>
      </c>
      <c r="E1003" s="2">
        <f>CallLog[[#This Row],[Date]]+CallLog[[#This Row],[Time]]</f>
        <v>44214.534004629626</v>
      </c>
      <c r="F1003" s="1" t="str">
        <f>TEXT(CallLog[[#This Row],[Date]],"dddd")</f>
        <v>Monday</v>
      </c>
      <c r="G1003" s="3">
        <f>HOUR(CallLog[[#This Row],[Time]])</f>
        <v>12</v>
      </c>
      <c r="H1003" t="s">
        <v>24</v>
      </c>
      <c r="I1003" t="s">
        <v>14</v>
      </c>
      <c r="J1003" t="s">
        <v>18</v>
      </c>
      <c r="K1003">
        <v>94</v>
      </c>
      <c r="L1003" t="str">
        <f>IF(AND(CallLog[[#This Row],[Answered (Y/N)]]="Y", CallLog[[#This Row],[Speed of answer in seconds]]&lt;=20),
    "Within",
    "Breach")</f>
        <v>Breach</v>
      </c>
      <c r="M1003" s="1">
        <v>3.2638888888888891E-3</v>
      </c>
      <c r="N1003">
        <v>4</v>
      </c>
    </row>
    <row r="1004" spans="1:14" x14ac:dyDescent="0.3">
      <c r="A1004" t="s">
        <v>1045</v>
      </c>
      <c r="B1004" t="s">
        <v>47</v>
      </c>
      <c r="C1004" t="s">
        <v>1011</v>
      </c>
      <c r="D1004" s="1">
        <v>0.54900462962962959</v>
      </c>
      <c r="E1004" s="2">
        <f>CallLog[[#This Row],[Date]]+CallLog[[#This Row],[Time]]</f>
        <v>44214.549004629633</v>
      </c>
      <c r="F1004" s="1" t="str">
        <f>TEXT(CallLog[[#This Row],[Date]],"dddd")</f>
        <v>Monday</v>
      </c>
      <c r="G1004" s="3">
        <f>HOUR(CallLog[[#This Row],[Time]])</f>
        <v>13</v>
      </c>
      <c r="H1004" t="s">
        <v>32</v>
      </c>
      <c r="I1004" t="s">
        <v>14</v>
      </c>
      <c r="J1004" t="s">
        <v>14</v>
      </c>
      <c r="K1004">
        <v>79</v>
      </c>
      <c r="L1004" t="str">
        <f>IF(AND(CallLog[[#This Row],[Answered (Y/N)]]="Y", CallLog[[#This Row],[Speed of answer in seconds]]&lt;=20),
    "Within",
    "Breach")</f>
        <v>Breach</v>
      </c>
      <c r="M1004" s="1">
        <v>5.4398148148148144E-4</v>
      </c>
      <c r="N1004">
        <v>4</v>
      </c>
    </row>
    <row r="1005" spans="1:14" x14ac:dyDescent="0.3">
      <c r="A1005" t="s">
        <v>1046</v>
      </c>
      <c r="B1005" t="s">
        <v>31</v>
      </c>
      <c r="C1005" t="s">
        <v>1011</v>
      </c>
      <c r="D1005" s="1">
        <v>0.54900462962962959</v>
      </c>
      <c r="E1005" s="2">
        <f>CallLog[[#This Row],[Date]]+CallLog[[#This Row],[Time]]</f>
        <v>44214.549004629633</v>
      </c>
      <c r="F1005" s="1" t="str">
        <f>TEXT(CallLog[[#This Row],[Date]],"dddd")</f>
        <v>Monday</v>
      </c>
      <c r="G1005" s="3">
        <f>HOUR(CallLog[[#This Row],[Time]])</f>
        <v>13</v>
      </c>
      <c r="H1005" t="s">
        <v>17</v>
      </c>
      <c r="I1005" t="s">
        <v>18</v>
      </c>
      <c r="J1005" t="s">
        <v>18</v>
      </c>
      <c r="L1005" t="str">
        <f>IF(AND(CallLog[[#This Row],[Answered (Y/N)]]="Y", CallLog[[#This Row],[Speed of answer in seconds]]&lt;=20),
    "Within",
    "Breach")</f>
        <v>Breach</v>
      </c>
    </row>
    <row r="1006" spans="1:14" x14ac:dyDescent="0.3">
      <c r="A1006" t="s">
        <v>1047</v>
      </c>
      <c r="B1006" t="s">
        <v>38</v>
      </c>
      <c r="C1006" t="s">
        <v>1011</v>
      </c>
      <c r="D1006" s="1">
        <v>0.54900462962962959</v>
      </c>
      <c r="E1006" s="2">
        <f>CallLog[[#This Row],[Date]]+CallLog[[#This Row],[Time]]</f>
        <v>44214.549004629633</v>
      </c>
      <c r="F1006" s="1" t="str">
        <f>TEXT(CallLog[[#This Row],[Date]],"dddd")</f>
        <v>Monday</v>
      </c>
      <c r="G1006" s="3">
        <f>HOUR(CallLog[[#This Row],[Time]])</f>
        <v>13</v>
      </c>
      <c r="H1006" t="s">
        <v>29</v>
      </c>
      <c r="I1006" t="s">
        <v>14</v>
      </c>
      <c r="J1006" t="s">
        <v>14</v>
      </c>
      <c r="K1006">
        <v>87</v>
      </c>
      <c r="L1006" t="str">
        <f>IF(AND(CallLog[[#This Row],[Answered (Y/N)]]="Y", CallLog[[#This Row],[Speed of answer in seconds]]&lt;=20),
    "Within",
    "Breach")</f>
        <v>Breach</v>
      </c>
      <c r="M1006" s="1">
        <v>3.2407407407407406E-3</v>
      </c>
      <c r="N1006">
        <v>4</v>
      </c>
    </row>
    <row r="1007" spans="1:14" x14ac:dyDescent="0.3">
      <c r="A1007" t="s">
        <v>1048</v>
      </c>
      <c r="B1007" t="s">
        <v>47</v>
      </c>
      <c r="C1007" t="s">
        <v>1011</v>
      </c>
      <c r="D1007" s="1">
        <v>0.54900462962962959</v>
      </c>
      <c r="E1007" s="2">
        <f>CallLog[[#This Row],[Date]]+CallLog[[#This Row],[Time]]</f>
        <v>44214.549004629633</v>
      </c>
      <c r="F1007" s="1" t="str">
        <f>TEXT(CallLog[[#This Row],[Date]],"dddd")</f>
        <v>Monday</v>
      </c>
      <c r="G1007" s="3">
        <f>HOUR(CallLog[[#This Row],[Time]])</f>
        <v>13</v>
      </c>
      <c r="H1007" t="s">
        <v>13</v>
      </c>
      <c r="I1007" t="s">
        <v>14</v>
      </c>
      <c r="J1007" t="s">
        <v>18</v>
      </c>
      <c r="K1007">
        <v>65</v>
      </c>
      <c r="L1007" t="str">
        <f>IF(AND(CallLog[[#This Row],[Answered (Y/N)]]="Y", CallLog[[#This Row],[Speed of answer in seconds]]&lt;=20),
    "Within",
    "Breach")</f>
        <v>Breach</v>
      </c>
      <c r="M1007" s="1">
        <v>4.2129629629629626E-3</v>
      </c>
      <c r="N1007">
        <v>4</v>
      </c>
    </row>
    <row r="1008" spans="1:14" x14ac:dyDescent="0.3">
      <c r="A1008" t="s">
        <v>1049</v>
      </c>
      <c r="B1008" t="s">
        <v>38</v>
      </c>
      <c r="C1008" t="s">
        <v>1011</v>
      </c>
      <c r="D1008" s="1">
        <v>0.62400462962962966</v>
      </c>
      <c r="E1008" s="2">
        <f>CallLog[[#This Row],[Date]]+CallLog[[#This Row],[Time]]</f>
        <v>44214.62400462963</v>
      </c>
      <c r="F1008" s="1" t="str">
        <f>TEXT(CallLog[[#This Row],[Date]],"dddd")</f>
        <v>Monday</v>
      </c>
      <c r="G1008" s="3">
        <f>HOUR(CallLog[[#This Row],[Time]])</f>
        <v>14</v>
      </c>
      <c r="H1008" t="s">
        <v>13</v>
      </c>
      <c r="I1008" t="s">
        <v>14</v>
      </c>
      <c r="J1008" t="s">
        <v>14</v>
      </c>
      <c r="K1008">
        <v>36</v>
      </c>
      <c r="L1008" t="str">
        <f>IF(AND(CallLog[[#This Row],[Answered (Y/N)]]="Y", CallLog[[#This Row],[Speed of answer in seconds]]&lt;=20),
    "Within",
    "Breach")</f>
        <v>Breach</v>
      </c>
      <c r="M1008" s="1">
        <v>3.0439814814814813E-3</v>
      </c>
      <c r="N1008">
        <v>3</v>
      </c>
    </row>
    <row r="1009" spans="1:14" x14ac:dyDescent="0.3">
      <c r="A1009" t="s">
        <v>1050</v>
      </c>
      <c r="B1009" t="s">
        <v>34</v>
      </c>
      <c r="C1009" t="s">
        <v>1011</v>
      </c>
      <c r="D1009" s="1">
        <v>0.62400462962962966</v>
      </c>
      <c r="E1009" s="2">
        <f>CallLog[[#This Row],[Date]]+CallLog[[#This Row],[Time]]</f>
        <v>44214.62400462963</v>
      </c>
      <c r="F1009" s="1" t="str">
        <f>TEXT(CallLog[[#This Row],[Date]],"dddd")</f>
        <v>Monday</v>
      </c>
      <c r="G1009" s="3">
        <f>HOUR(CallLog[[#This Row],[Time]])</f>
        <v>14</v>
      </c>
      <c r="H1009" t="s">
        <v>17</v>
      </c>
      <c r="I1009" t="s">
        <v>18</v>
      </c>
      <c r="J1009" t="s">
        <v>18</v>
      </c>
      <c r="L1009" t="str">
        <f>IF(AND(CallLog[[#This Row],[Answered (Y/N)]]="Y", CallLog[[#This Row],[Speed of answer in seconds]]&lt;=20),
    "Within",
    "Breach")</f>
        <v>Breach</v>
      </c>
    </row>
    <row r="1010" spans="1:14" x14ac:dyDescent="0.3">
      <c r="A1010" t="s">
        <v>1051</v>
      </c>
      <c r="B1010" t="s">
        <v>20</v>
      </c>
      <c r="C1010" t="s">
        <v>1011</v>
      </c>
      <c r="D1010" s="1">
        <v>0.63799768518518518</v>
      </c>
      <c r="E1010" s="2">
        <f>CallLog[[#This Row],[Date]]+CallLog[[#This Row],[Time]]</f>
        <v>44214.637997685182</v>
      </c>
      <c r="F1010" s="1" t="str">
        <f>TEXT(CallLog[[#This Row],[Date]],"dddd")</f>
        <v>Monday</v>
      </c>
      <c r="G1010" s="3">
        <f>HOUR(CallLog[[#This Row],[Time]])</f>
        <v>15</v>
      </c>
      <c r="H1010" t="s">
        <v>32</v>
      </c>
      <c r="I1010" t="s">
        <v>14</v>
      </c>
      <c r="J1010" t="s">
        <v>14</v>
      </c>
      <c r="K1010">
        <v>33</v>
      </c>
      <c r="L1010" t="str">
        <f>IF(AND(CallLog[[#This Row],[Answered (Y/N)]]="Y", CallLog[[#This Row],[Speed of answer in seconds]]&lt;=20),
    "Within",
    "Breach")</f>
        <v>Breach</v>
      </c>
      <c r="M1010" s="1">
        <v>1.5740740740740741E-3</v>
      </c>
      <c r="N1010">
        <v>4</v>
      </c>
    </row>
    <row r="1011" spans="1:14" x14ac:dyDescent="0.3">
      <c r="A1011" t="s">
        <v>1052</v>
      </c>
      <c r="B1011" t="s">
        <v>16</v>
      </c>
      <c r="C1011" t="s">
        <v>1011</v>
      </c>
      <c r="D1011" s="1">
        <v>0.63799768518518518</v>
      </c>
      <c r="E1011" s="2">
        <f>CallLog[[#This Row],[Date]]+CallLog[[#This Row],[Time]]</f>
        <v>44214.637997685182</v>
      </c>
      <c r="F1011" s="1" t="str">
        <f>TEXT(CallLog[[#This Row],[Date]],"dddd")</f>
        <v>Monday</v>
      </c>
      <c r="G1011" s="3">
        <f>HOUR(CallLog[[#This Row],[Time]])</f>
        <v>15</v>
      </c>
      <c r="H1011" t="s">
        <v>13</v>
      </c>
      <c r="I1011" t="s">
        <v>18</v>
      </c>
      <c r="J1011" t="s">
        <v>18</v>
      </c>
      <c r="L1011" t="str">
        <f>IF(AND(CallLog[[#This Row],[Answered (Y/N)]]="Y", CallLog[[#This Row],[Speed of answer in seconds]]&lt;=20),
    "Within",
    "Breach")</f>
        <v>Breach</v>
      </c>
    </row>
    <row r="1012" spans="1:14" x14ac:dyDescent="0.3">
      <c r="A1012" t="s">
        <v>1053</v>
      </c>
      <c r="B1012" t="s">
        <v>31</v>
      </c>
      <c r="C1012" t="s">
        <v>1011</v>
      </c>
      <c r="D1012" s="1">
        <v>0.66</v>
      </c>
      <c r="E1012" s="2">
        <f>CallLog[[#This Row],[Date]]+CallLog[[#This Row],[Time]]</f>
        <v>44214.66</v>
      </c>
      <c r="F1012" s="1" t="str">
        <f>TEXT(CallLog[[#This Row],[Date]],"dddd")</f>
        <v>Monday</v>
      </c>
      <c r="G1012" s="3">
        <f>HOUR(CallLog[[#This Row],[Time]])</f>
        <v>15</v>
      </c>
      <c r="H1012" t="s">
        <v>29</v>
      </c>
      <c r="I1012" t="s">
        <v>18</v>
      </c>
      <c r="J1012" t="s">
        <v>18</v>
      </c>
      <c r="L1012" t="str">
        <f>IF(AND(CallLog[[#This Row],[Answered (Y/N)]]="Y", CallLog[[#This Row],[Speed of answer in seconds]]&lt;=20),
    "Within",
    "Breach")</f>
        <v>Breach</v>
      </c>
    </row>
    <row r="1013" spans="1:14" x14ac:dyDescent="0.3">
      <c r="A1013" t="s">
        <v>1054</v>
      </c>
      <c r="B1013" t="s">
        <v>22</v>
      </c>
      <c r="C1013" t="s">
        <v>1011</v>
      </c>
      <c r="D1013" s="1">
        <v>0.66</v>
      </c>
      <c r="E1013" s="2">
        <f>CallLog[[#This Row],[Date]]+CallLog[[#This Row],[Time]]</f>
        <v>44214.66</v>
      </c>
      <c r="F1013" s="1" t="str">
        <f>TEXT(CallLog[[#This Row],[Date]],"dddd")</f>
        <v>Monday</v>
      </c>
      <c r="G1013" s="3">
        <f>HOUR(CallLog[[#This Row],[Time]])</f>
        <v>15</v>
      </c>
      <c r="H1013" t="s">
        <v>32</v>
      </c>
      <c r="I1013" t="s">
        <v>14</v>
      </c>
      <c r="J1013" t="s">
        <v>14</v>
      </c>
      <c r="K1013">
        <v>24</v>
      </c>
      <c r="L1013" t="str">
        <f>IF(AND(CallLog[[#This Row],[Answered (Y/N)]]="Y", CallLog[[#This Row],[Speed of answer in seconds]]&lt;=20),
    "Within",
    "Breach")</f>
        <v>Breach</v>
      </c>
      <c r="M1013" s="1">
        <v>2.2569444444444442E-3</v>
      </c>
      <c r="N1013">
        <v>5</v>
      </c>
    </row>
    <row r="1014" spans="1:14" x14ac:dyDescent="0.3">
      <c r="A1014" t="s">
        <v>1055</v>
      </c>
      <c r="B1014" t="s">
        <v>20</v>
      </c>
      <c r="C1014" t="s">
        <v>1011</v>
      </c>
      <c r="D1014" s="1">
        <v>0.67500000000000004</v>
      </c>
      <c r="E1014" s="2">
        <f>CallLog[[#This Row],[Date]]+CallLog[[#This Row],[Time]]</f>
        <v>44214.675000000003</v>
      </c>
      <c r="F1014" s="1" t="str">
        <f>TEXT(CallLog[[#This Row],[Date]],"dddd")</f>
        <v>Monday</v>
      </c>
      <c r="G1014" s="3">
        <f>HOUR(CallLog[[#This Row],[Time]])</f>
        <v>16</v>
      </c>
      <c r="H1014" t="s">
        <v>29</v>
      </c>
      <c r="I1014" t="s">
        <v>14</v>
      </c>
      <c r="J1014" t="s">
        <v>14</v>
      </c>
      <c r="K1014">
        <v>32</v>
      </c>
      <c r="L1014" t="str">
        <f>IF(AND(CallLog[[#This Row],[Answered (Y/N)]]="Y", CallLog[[#This Row],[Speed of answer in seconds]]&lt;=20),
    "Within",
    "Breach")</f>
        <v>Breach</v>
      </c>
      <c r="M1014" s="1">
        <v>2.5462962962962965E-3</v>
      </c>
      <c r="N1014">
        <v>5</v>
      </c>
    </row>
    <row r="1015" spans="1:14" x14ac:dyDescent="0.3">
      <c r="A1015" t="s">
        <v>1056</v>
      </c>
      <c r="B1015" t="s">
        <v>34</v>
      </c>
      <c r="C1015" t="s">
        <v>1011</v>
      </c>
      <c r="D1015" s="1">
        <v>0.67500000000000004</v>
      </c>
      <c r="E1015" s="2">
        <f>CallLog[[#This Row],[Date]]+CallLog[[#This Row],[Time]]</f>
        <v>44214.675000000003</v>
      </c>
      <c r="F1015" s="1" t="str">
        <f>TEXT(CallLog[[#This Row],[Date]],"dddd")</f>
        <v>Monday</v>
      </c>
      <c r="G1015" s="3">
        <f>HOUR(CallLog[[#This Row],[Time]])</f>
        <v>16</v>
      </c>
      <c r="H1015" t="s">
        <v>13</v>
      </c>
      <c r="I1015" t="s">
        <v>14</v>
      </c>
      <c r="J1015" t="s">
        <v>18</v>
      </c>
      <c r="K1015">
        <v>24</v>
      </c>
      <c r="L1015" t="str">
        <f>IF(AND(CallLog[[#This Row],[Answered (Y/N)]]="Y", CallLog[[#This Row],[Speed of answer in seconds]]&lt;=20),
    "Within",
    "Breach")</f>
        <v>Breach</v>
      </c>
      <c r="M1015" s="1">
        <v>2.6157407407407405E-3</v>
      </c>
      <c r="N1015">
        <v>4</v>
      </c>
    </row>
    <row r="1016" spans="1:14" x14ac:dyDescent="0.3">
      <c r="A1016" t="s">
        <v>1057</v>
      </c>
      <c r="B1016" t="s">
        <v>20</v>
      </c>
      <c r="C1016" t="s">
        <v>1011</v>
      </c>
      <c r="D1016" s="1">
        <v>0.70099537037037041</v>
      </c>
      <c r="E1016" s="2">
        <f>CallLog[[#This Row],[Date]]+CallLog[[#This Row],[Time]]</f>
        <v>44214.700995370367</v>
      </c>
      <c r="F1016" s="1" t="str">
        <f>TEXT(CallLog[[#This Row],[Date]],"dddd")</f>
        <v>Monday</v>
      </c>
      <c r="G1016" s="3">
        <f>HOUR(CallLog[[#This Row],[Time]])</f>
        <v>16</v>
      </c>
      <c r="H1016" t="s">
        <v>17</v>
      </c>
      <c r="I1016" t="s">
        <v>14</v>
      </c>
      <c r="J1016" t="s">
        <v>14</v>
      </c>
      <c r="K1016">
        <v>96</v>
      </c>
      <c r="L1016" t="str">
        <f>IF(AND(CallLog[[#This Row],[Answered (Y/N)]]="Y", CallLog[[#This Row],[Speed of answer in seconds]]&lt;=20),
    "Within",
    "Breach")</f>
        <v>Breach</v>
      </c>
      <c r="M1016" s="1">
        <v>3.8078703703703703E-3</v>
      </c>
      <c r="N1016">
        <v>5</v>
      </c>
    </row>
    <row r="1017" spans="1:14" x14ac:dyDescent="0.3">
      <c r="A1017" t="s">
        <v>1058</v>
      </c>
      <c r="B1017" t="s">
        <v>34</v>
      </c>
      <c r="C1017" t="s">
        <v>1011</v>
      </c>
      <c r="D1017" s="1">
        <v>0.70099537037037041</v>
      </c>
      <c r="E1017" s="2">
        <f>CallLog[[#This Row],[Date]]+CallLog[[#This Row],[Time]]</f>
        <v>44214.700995370367</v>
      </c>
      <c r="F1017" s="1" t="str">
        <f>TEXT(CallLog[[#This Row],[Date]],"dddd")</f>
        <v>Monday</v>
      </c>
      <c r="G1017" s="3">
        <f>HOUR(CallLog[[#This Row],[Time]])</f>
        <v>16</v>
      </c>
      <c r="H1017" t="s">
        <v>17</v>
      </c>
      <c r="I1017" t="s">
        <v>14</v>
      </c>
      <c r="J1017" t="s">
        <v>14</v>
      </c>
      <c r="K1017">
        <v>45</v>
      </c>
      <c r="L1017" t="str">
        <f>IF(AND(CallLog[[#This Row],[Answered (Y/N)]]="Y", CallLog[[#This Row],[Speed of answer in seconds]]&lt;=20),
    "Within",
    "Breach")</f>
        <v>Breach</v>
      </c>
      <c r="M1017" s="1">
        <v>1.4467592592592592E-3</v>
      </c>
      <c r="N1017">
        <v>5</v>
      </c>
    </row>
    <row r="1018" spans="1:14" x14ac:dyDescent="0.3">
      <c r="A1018" t="s">
        <v>1059</v>
      </c>
      <c r="B1018" t="s">
        <v>31</v>
      </c>
      <c r="C1018" t="s">
        <v>1011</v>
      </c>
      <c r="D1018" s="1">
        <v>0.71799768518518514</v>
      </c>
      <c r="E1018" s="2">
        <f>CallLog[[#This Row],[Date]]+CallLog[[#This Row],[Time]]</f>
        <v>44214.717997685184</v>
      </c>
      <c r="F1018" s="1" t="str">
        <f>TEXT(CallLog[[#This Row],[Date]],"dddd")</f>
        <v>Monday</v>
      </c>
      <c r="G1018" s="3">
        <f>HOUR(CallLog[[#This Row],[Time]])</f>
        <v>17</v>
      </c>
      <c r="H1018" t="s">
        <v>29</v>
      </c>
      <c r="I1018" t="s">
        <v>14</v>
      </c>
      <c r="J1018" t="s">
        <v>14</v>
      </c>
      <c r="K1018">
        <v>16</v>
      </c>
      <c r="L1018" t="str">
        <f>IF(AND(CallLog[[#This Row],[Answered (Y/N)]]="Y", CallLog[[#This Row],[Speed of answer in seconds]]&lt;=20),
    "Within",
    "Breach")</f>
        <v>Within</v>
      </c>
      <c r="M1018" s="1">
        <v>3.5763888888888889E-3</v>
      </c>
      <c r="N1018">
        <v>1</v>
      </c>
    </row>
    <row r="1019" spans="1:14" x14ac:dyDescent="0.3">
      <c r="A1019" t="s">
        <v>1060</v>
      </c>
      <c r="B1019" t="s">
        <v>22</v>
      </c>
      <c r="C1019" t="s">
        <v>1011</v>
      </c>
      <c r="D1019" s="1">
        <v>0.71799768518518514</v>
      </c>
      <c r="E1019" s="2">
        <f>CallLog[[#This Row],[Date]]+CallLog[[#This Row],[Time]]</f>
        <v>44214.717997685184</v>
      </c>
      <c r="F1019" s="1" t="str">
        <f>TEXT(CallLog[[#This Row],[Date]],"dddd")</f>
        <v>Monday</v>
      </c>
      <c r="G1019" s="3">
        <f>HOUR(CallLog[[#This Row],[Time]])</f>
        <v>17</v>
      </c>
      <c r="H1019" t="s">
        <v>17</v>
      </c>
      <c r="I1019" t="s">
        <v>14</v>
      </c>
      <c r="J1019" t="s">
        <v>14</v>
      </c>
      <c r="K1019">
        <v>75</v>
      </c>
      <c r="L1019" t="str">
        <f>IF(AND(CallLog[[#This Row],[Answered (Y/N)]]="Y", CallLog[[#This Row],[Speed of answer in seconds]]&lt;=20),
    "Within",
    "Breach")</f>
        <v>Breach</v>
      </c>
      <c r="M1019" s="1">
        <v>4.8148148148148152E-3</v>
      </c>
      <c r="N1019">
        <v>5</v>
      </c>
    </row>
    <row r="1020" spans="1:14" x14ac:dyDescent="0.3">
      <c r="A1020" t="s">
        <v>1061</v>
      </c>
      <c r="B1020" t="s">
        <v>34</v>
      </c>
      <c r="C1020" t="s">
        <v>1011</v>
      </c>
      <c r="D1020" s="1">
        <v>0.72099537037037043</v>
      </c>
      <c r="E1020" s="2">
        <f>CallLog[[#This Row],[Date]]+CallLog[[#This Row],[Time]]</f>
        <v>44214.720995370371</v>
      </c>
      <c r="F1020" s="1" t="str">
        <f>TEXT(CallLog[[#This Row],[Date]],"dddd")</f>
        <v>Monday</v>
      </c>
      <c r="G1020" s="3">
        <f>HOUR(CallLog[[#This Row],[Time]])</f>
        <v>17</v>
      </c>
      <c r="H1020" t="s">
        <v>13</v>
      </c>
      <c r="I1020" t="s">
        <v>14</v>
      </c>
      <c r="J1020" t="s">
        <v>14</v>
      </c>
      <c r="K1020">
        <v>71</v>
      </c>
      <c r="L1020" t="str">
        <f>IF(AND(CallLog[[#This Row],[Answered (Y/N)]]="Y", CallLog[[#This Row],[Speed of answer in seconds]]&lt;=20),
    "Within",
    "Breach")</f>
        <v>Breach</v>
      </c>
      <c r="M1020" s="1">
        <v>4.2824074074074081E-4</v>
      </c>
      <c r="N1020">
        <v>3</v>
      </c>
    </row>
    <row r="1021" spans="1:14" x14ac:dyDescent="0.3">
      <c r="A1021" t="s">
        <v>1062</v>
      </c>
      <c r="B1021" t="s">
        <v>20</v>
      </c>
      <c r="C1021" t="s">
        <v>1011</v>
      </c>
      <c r="D1021" s="1">
        <v>0.72099537037037043</v>
      </c>
      <c r="E1021" s="2">
        <f>CallLog[[#This Row],[Date]]+CallLog[[#This Row],[Time]]</f>
        <v>44214.720995370371</v>
      </c>
      <c r="F1021" s="1" t="str">
        <f>TEXT(CallLog[[#This Row],[Date]],"dddd")</f>
        <v>Monday</v>
      </c>
      <c r="G1021" s="3">
        <f>HOUR(CallLog[[#This Row],[Time]])</f>
        <v>17</v>
      </c>
      <c r="H1021" t="s">
        <v>17</v>
      </c>
      <c r="I1021" t="s">
        <v>14</v>
      </c>
      <c r="J1021" t="s">
        <v>14</v>
      </c>
      <c r="K1021">
        <v>47</v>
      </c>
      <c r="L1021" t="str">
        <f>IF(AND(CallLog[[#This Row],[Answered (Y/N)]]="Y", CallLog[[#This Row],[Speed of answer in seconds]]&lt;=20),
    "Within",
    "Breach")</f>
        <v>Breach</v>
      </c>
      <c r="M1021" s="1">
        <v>1.5856481481481481E-3</v>
      </c>
      <c r="N1021">
        <v>3</v>
      </c>
    </row>
    <row r="1022" spans="1:14" x14ac:dyDescent="0.3">
      <c r="A1022" t="s">
        <v>1063</v>
      </c>
      <c r="B1022" t="s">
        <v>20</v>
      </c>
      <c r="C1022" t="s">
        <v>1011</v>
      </c>
      <c r="D1022" s="1">
        <v>0.72099537037037043</v>
      </c>
      <c r="E1022" s="2">
        <f>CallLog[[#This Row],[Date]]+CallLog[[#This Row],[Time]]</f>
        <v>44214.720995370371</v>
      </c>
      <c r="F1022" s="1" t="str">
        <f>TEXT(CallLog[[#This Row],[Date]],"dddd")</f>
        <v>Monday</v>
      </c>
      <c r="G1022" s="3">
        <f>HOUR(CallLog[[#This Row],[Time]])</f>
        <v>17</v>
      </c>
      <c r="H1022" t="s">
        <v>29</v>
      </c>
      <c r="I1022" t="s">
        <v>14</v>
      </c>
      <c r="J1022" t="s">
        <v>14</v>
      </c>
      <c r="K1022">
        <v>54</v>
      </c>
      <c r="L1022" t="str">
        <f>IF(AND(CallLog[[#This Row],[Answered (Y/N)]]="Y", CallLog[[#This Row],[Speed of answer in seconds]]&lt;=20),
    "Within",
    "Breach")</f>
        <v>Breach</v>
      </c>
      <c r="M1022" s="1">
        <v>3.3333333333333335E-3</v>
      </c>
      <c r="N1022">
        <v>3</v>
      </c>
    </row>
    <row r="1023" spans="1:14" x14ac:dyDescent="0.3">
      <c r="A1023" t="s">
        <v>1064</v>
      </c>
      <c r="B1023" t="s">
        <v>16</v>
      </c>
      <c r="C1023" t="s">
        <v>1011</v>
      </c>
      <c r="D1023" s="1">
        <v>0.72099537037037043</v>
      </c>
      <c r="E1023" s="2">
        <f>CallLog[[#This Row],[Date]]+CallLog[[#This Row],[Time]]</f>
        <v>44214.720995370371</v>
      </c>
      <c r="F1023" s="1" t="str">
        <f>TEXT(CallLog[[#This Row],[Date]],"dddd")</f>
        <v>Monday</v>
      </c>
      <c r="G1023" s="3">
        <f>HOUR(CallLog[[#This Row],[Time]])</f>
        <v>17</v>
      </c>
      <c r="H1023" t="s">
        <v>24</v>
      </c>
      <c r="I1023" t="s">
        <v>14</v>
      </c>
      <c r="J1023" t="s">
        <v>14</v>
      </c>
      <c r="K1023">
        <v>101</v>
      </c>
      <c r="L1023" t="str">
        <f>IF(AND(CallLog[[#This Row],[Answered (Y/N)]]="Y", CallLog[[#This Row],[Speed of answer in seconds]]&lt;=20),
    "Within",
    "Breach")</f>
        <v>Breach</v>
      </c>
      <c r="M1023" s="1">
        <v>3.1134259259259257E-3</v>
      </c>
      <c r="N1023">
        <v>4</v>
      </c>
    </row>
    <row r="1024" spans="1:14" x14ac:dyDescent="0.3">
      <c r="A1024" t="s">
        <v>1065</v>
      </c>
      <c r="B1024" t="s">
        <v>38</v>
      </c>
      <c r="C1024" t="s">
        <v>1011</v>
      </c>
      <c r="D1024" s="1">
        <v>0.72599537037037032</v>
      </c>
      <c r="E1024" s="2">
        <f>CallLog[[#This Row],[Date]]+CallLog[[#This Row],[Time]]</f>
        <v>44214.725995370369</v>
      </c>
      <c r="F1024" s="1" t="str">
        <f>TEXT(CallLog[[#This Row],[Date]],"dddd")</f>
        <v>Monday</v>
      </c>
      <c r="G1024" s="3">
        <f>HOUR(CallLog[[#This Row],[Time]])</f>
        <v>17</v>
      </c>
      <c r="H1024" t="s">
        <v>32</v>
      </c>
      <c r="I1024" t="s">
        <v>14</v>
      </c>
      <c r="J1024" t="s">
        <v>14</v>
      </c>
      <c r="K1024">
        <v>46</v>
      </c>
      <c r="L1024" t="str">
        <f>IF(AND(CallLog[[#This Row],[Answered (Y/N)]]="Y", CallLog[[#This Row],[Speed of answer in seconds]]&lt;=20),
    "Within",
    "Breach")</f>
        <v>Breach</v>
      </c>
      <c r="M1024" s="1">
        <v>1.4699074074074074E-3</v>
      </c>
      <c r="N1024">
        <v>3</v>
      </c>
    </row>
    <row r="1025" spans="1:14" x14ac:dyDescent="0.3">
      <c r="A1025" t="s">
        <v>1066</v>
      </c>
      <c r="B1025" t="s">
        <v>16</v>
      </c>
      <c r="C1025" t="s">
        <v>1011</v>
      </c>
      <c r="D1025" s="1">
        <v>0.72599537037037032</v>
      </c>
      <c r="E1025" s="2">
        <f>CallLog[[#This Row],[Date]]+CallLog[[#This Row],[Time]]</f>
        <v>44214.725995370369</v>
      </c>
      <c r="F1025" s="1" t="str">
        <f>TEXT(CallLog[[#This Row],[Date]],"dddd")</f>
        <v>Monday</v>
      </c>
      <c r="G1025" s="3">
        <f>HOUR(CallLog[[#This Row],[Time]])</f>
        <v>17</v>
      </c>
      <c r="H1025" t="s">
        <v>17</v>
      </c>
      <c r="I1025" t="s">
        <v>14</v>
      </c>
      <c r="J1025" t="s">
        <v>14</v>
      </c>
      <c r="K1025">
        <v>45</v>
      </c>
      <c r="L1025" t="str">
        <f>IF(AND(CallLog[[#This Row],[Answered (Y/N)]]="Y", CallLog[[#This Row],[Speed of answer in seconds]]&lt;=20),
    "Within",
    "Breach")</f>
        <v>Breach</v>
      </c>
      <c r="M1025" s="1">
        <v>4.8032407407407407E-3</v>
      </c>
      <c r="N1025">
        <v>3</v>
      </c>
    </row>
    <row r="1026" spans="1:14" x14ac:dyDescent="0.3">
      <c r="A1026" t="s">
        <v>1067</v>
      </c>
      <c r="B1026" t="s">
        <v>38</v>
      </c>
      <c r="C1026" t="s">
        <v>1011</v>
      </c>
      <c r="D1026" s="1">
        <v>0.72700231481481481</v>
      </c>
      <c r="E1026" s="2">
        <f>CallLog[[#This Row],[Date]]+CallLog[[#This Row],[Time]]</f>
        <v>44214.727002314816</v>
      </c>
      <c r="F1026" s="1" t="str">
        <f>TEXT(CallLog[[#This Row],[Date]],"dddd")</f>
        <v>Monday</v>
      </c>
      <c r="G1026" s="3">
        <f>HOUR(CallLog[[#This Row],[Time]])</f>
        <v>17</v>
      </c>
      <c r="H1026" t="s">
        <v>17</v>
      </c>
      <c r="I1026" t="s">
        <v>14</v>
      </c>
      <c r="J1026" t="s">
        <v>14</v>
      </c>
      <c r="K1026">
        <v>45</v>
      </c>
      <c r="L1026" t="str">
        <f>IF(AND(CallLog[[#This Row],[Answered (Y/N)]]="Y", CallLog[[#This Row],[Speed of answer in seconds]]&lt;=20),
    "Within",
    "Breach")</f>
        <v>Breach</v>
      </c>
      <c r="M1026" s="1">
        <v>3.7615740740740739E-3</v>
      </c>
      <c r="N1026">
        <v>4</v>
      </c>
    </row>
    <row r="1027" spans="1:14" x14ac:dyDescent="0.3">
      <c r="A1027" t="s">
        <v>1068</v>
      </c>
      <c r="B1027" t="s">
        <v>31</v>
      </c>
      <c r="C1027" t="s">
        <v>1011</v>
      </c>
      <c r="D1027" s="1">
        <v>0.72700231481481481</v>
      </c>
      <c r="E1027" s="2">
        <f>CallLog[[#This Row],[Date]]+CallLog[[#This Row],[Time]]</f>
        <v>44214.727002314816</v>
      </c>
      <c r="F1027" s="1" t="str">
        <f>TEXT(CallLog[[#This Row],[Date]],"dddd")</f>
        <v>Monday</v>
      </c>
      <c r="G1027" s="3">
        <f>HOUR(CallLog[[#This Row],[Time]])</f>
        <v>17</v>
      </c>
      <c r="H1027" t="s">
        <v>29</v>
      </c>
      <c r="I1027" t="s">
        <v>14</v>
      </c>
      <c r="J1027" t="s">
        <v>14</v>
      </c>
      <c r="K1027">
        <v>30</v>
      </c>
      <c r="L1027" t="str">
        <f>IF(AND(CallLog[[#This Row],[Answered (Y/N)]]="Y", CallLog[[#This Row],[Speed of answer in seconds]]&lt;=20),
    "Within",
    "Breach")</f>
        <v>Breach</v>
      </c>
      <c r="M1027" s="1">
        <v>3.449074074074074E-3</v>
      </c>
      <c r="N1027">
        <v>5</v>
      </c>
    </row>
    <row r="1028" spans="1:14" x14ac:dyDescent="0.3">
      <c r="A1028" t="s">
        <v>1069</v>
      </c>
      <c r="B1028" t="s">
        <v>22</v>
      </c>
      <c r="C1028" t="s">
        <v>1011</v>
      </c>
      <c r="D1028" s="1">
        <v>0.73799768518518516</v>
      </c>
      <c r="E1028" s="2">
        <f>CallLog[[#This Row],[Date]]+CallLog[[#This Row],[Time]]</f>
        <v>44214.737997685188</v>
      </c>
      <c r="F1028" s="1" t="str">
        <f>TEXT(CallLog[[#This Row],[Date]],"dddd")</f>
        <v>Monday</v>
      </c>
      <c r="G1028" s="3">
        <f>HOUR(CallLog[[#This Row],[Time]])</f>
        <v>17</v>
      </c>
      <c r="H1028" t="s">
        <v>17</v>
      </c>
      <c r="I1028" t="s">
        <v>14</v>
      </c>
      <c r="J1028" t="s">
        <v>14</v>
      </c>
      <c r="K1028">
        <v>105</v>
      </c>
      <c r="L1028" t="str">
        <f>IF(AND(CallLog[[#This Row],[Answered (Y/N)]]="Y", CallLog[[#This Row],[Speed of answer in seconds]]&lt;=20),
    "Within",
    "Breach")</f>
        <v>Breach</v>
      </c>
      <c r="M1028" s="1">
        <v>3.4027777777777776E-3</v>
      </c>
      <c r="N1028">
        <v>4</v>
      </c>
    </row>
    <row r="1029" spans="1:14" x14ac:dyDescent="0.3">
      <c r="A1029" t="s">
        <v>1070</v>
      </c>
      <c r="B1029" t="s">
        <v>31</v>
      </c>
      <c r="C1029" t="s">
        <v>1011</v>
      </c>
      <c r="D1029" s="1">
        <v>0.73799768518518516</v>
      </c>
      <c r="E1029" s="2">
        <f>CallLog[[#This Row],[Date]]+CallLog[[#This Row],[Time]]</f>
        <v>44214.737997685188</v>
      </c>
      <c r="F1029" s="1" t="str">
        <f>TEXT(CallLog[[#This Row],[Date]],"dddd")</f>
        <v>Monday</v>
      </c>
      <c r="G1029" s="3">
        <f>HOUR(CallLog[[#This Row],[Time]])</f>
        <v>17</v>
      </c>
      <c r="H1029" t="s">
        <v>24</v>
      </c>
      <c r="I1029" t="s">
        <v>14</v>
      </c>
      <c r="J1029" t="s">
        <v>14</v>
      </c>
      <c r="K1029">
        <v>102</v>
      </c>
      <c r="L1029" t="str">
        <f>IF(AND(CallLog[[#This Row],[Answered (Y/N)]]="Y", CallLog[[#This Row],[Speed of answer in seconds]]&lt;=20),
    "Within",
    "Breach")</f>
        <v>Breach</v>
      </c>
      <c r="M1029" s="1">
        <v>3.4027777777777776E-3</v>
      </c>
      <c r="N1029">
        <v>4</v>
      </c>
    </row>
    <row r="1030" spans="1:14" x14ac:dyDescent="0.3">
      <c r="A1030" t="s">
        <v>1071</v>
      </c>
      <c r="B1030" t="s">
        <v>22</v>
      </c>
      <c r="C1030" t="s">
        <v>1011</v>
      </c>
      <c r="D1030" s="1">
        <v>0.74700231481481483</v>
      </c>
      <c r="E1030" s="2">
        <f>CallLog[[#This Row],[Date]]+CallLog[[#This Row],[Time]]</f>
        <v>44214.747002314813</v>
      </c>
      <c r="F1030" s="1" t="str">
        <f>TEXT(CallLog[[#This Row],[Date]],"dddd")</f>
        <v>Monday</v>
      </c>
      <c r="G1030" s="3">
        <f>HOUR(CallLog[[#This Row],[Time]])</f>
        <v>17</v>
      </c>
      <c r="H1030" t="s">
        <v>24</v>
      </c>
      <c r="I1030" t="s">
        <v>14</v>
      </c>
      <c r="J1030" t="s">
        <v>14</v>
      </c>
      <c r="K1030">
        <v>46</v>
      </c>
      <c r="L1030" t="str">
        <f>IF(AND(CallLog[[#This Row],[Answered (Y/N)]]="Y", CallLog[[#This Row],[Speed of answer in seconds]]&lt;=20),
    "Within",
    "Breach")</f>
        <v>Breach</v>
      </c>
      <c r="M1030" s="1">
        <v>3.4837962962962965E-3</v>
      </c>
      <c r="N1030">
        <v>3</v>
      </c>
    </row>
    <row r="1031" spans="1:14" x14ac:dyDescent="0.3">
      <c r="A1031" t="s">
        <v>1072</v>
      </c>
      <c r="B1031" t="s">
        <v>20</v>
      </c>
      <c r="C1031" t="s">
        <v>1011</v>
      </c>
      <c r="D1031" s="1">
        <v>0.74700231481481483</v>
      </c>
      <c r="E1031" s="2">
        <f>CallLog[[#This Row],[Date]]+CallLog[[#This Row],[Time]]</f>
        <v>44214.747002314813</v>
      </c>
      <c r="F1031" s="1" t="str">
        <f>TEXT(CallLog[[#This Row],[Date]],"dddd")</f>
        <v>Monday</v>
      </c>
      <c r="G1031" s="3">
        <f>HOUR(CallLog[[#This Row],[Time]])</f>
        <v>17</v>
      </c>
      <c r="H1031" t="s">
        <v>29</v>
      </c>
      <c r="I1031" t="s">
        <v>14</v>
      </c>
      <c r="J1031" t="s">
        <v>14</v>
      </c>
      <c r="K1031">
        <v>11</v>
      </c>
      <c r="L1031" t="str">
        <f>IF(AND(CallLog[[#This Row],[Answered (Y/N)]]="Y", CallLog[[#This Row],[Speed of answer in seconds]]&lt;=20),
    "Within",
    "Breach")</f>
        <v>Within</v>
      </c>
      <c r="M1031" s="1">
        <v>6.018518518518519E-4</v>
      </c>
      <c r="N1031">
        <v>1</v>
      </c>
    </row>
    <row r="1032" spans="1:14" x14ac:dyDescent="0.3">
      <c r="A1032" t="s">
        <v>1073</v>
      </c>
      <c r="B1032" t="s">
        <v>47</v>
      </c>
      <c r="C1032" t="s">
        <v>1074</v>
      </c>
      <c r="D1032" s="1">
        <v>0.37700231481481483</v>
      </c>
      <c r="E1032" s="2">
        <f>CallLog[[#This Row],[Date]]+CallLog[[#This Row],[Time]]</f>
        <v>44215.377002314817</v>
      </c>
      <c r="F1032" s="1" t="str">
        <f>TEXT(CallLog[[#This Row],[Date]],"dddd")</f>
        <v>Tuesday</v>
      </c>
      <c r="G1032" s="3">
        <f>HOUR(CallLog[[#This Row],[Time]])</f>
        <v>9</v>
      </c>
      <c r="H1032" t="s">
        <v>24</v>
      </c>
      <c r="I1032" t="s">
        <v>14</v>
      </c>
      <c r="J1032" t="s">
        <v>14</v>
      </c>
      <c r="K1032">
        <v>125</v>
      </c>
      <c r="L1032" t="str">
        <f>IF(AND(CallLog[[#This Row],[Answered (Y/N)]]="Y", CallLog[[#This Row],[Speed of answer in seconds]]&lt;=20),
    "Within",
    "Breach")</f>
        <v>Breach</v>
      </c>
      <c r="M1032" s="1">
        <v>4.2013888888888891E-3</v>
      </c>
      <c r="N1032">
        <v>3</v>
      </c>
    </row>
    <row r="1033" spans="1:14" x14ac:dyDescent="0.3">
      <c r="A1033" t="s">
        <v>1075</v>
      </c>
      <c r="B1033" t="s">
        <v>20</v>
      </c>
      <c r="C1033" t="s">
        <v>1074</v>
      </c>
      <c r="D1033" s="1">
        <v>0.37700231481481483</v>
      </c>
      <c r="E1033" s="2">
        <f>CallLog[[#This Row],[Date]]+CallLog[[#This Row],[Time]]</f>
        <v>44215.377002314817</v>
      </c>
      <c r="F1033" s="1" t="str">
        <f>TEXT(CallLog[[#This Row],[Date]],"dddd")</f>
        <v>Tuesday</v>
      </c>
      <c r="G1033" s="3">
        <f>HOUR(CallLog[[#This Row],[Time]])</f>
        <v>9</v>
      </c>
      <c r="H1033" t="s">
        <v>29</v>
      </c>
      <c r="I1033" t="s">
        <v>14</v>
      </c>
      <c r="J1033" t="s">
        <v>14</v>
      </c>
      <c r="K1033">
        <v>112</v>
      </c>
      <c r="L1033" t="str">
        <f>IF(AND(CallLog[[#This Row],[Answered (Y/N)]]="Y", CallLog[[#This Row],[Speed of answer in seconds]]&lt;=20),
    "Within",
    "Breach")</f>
        <v>Breach</v>
      </c>
      <c r="M1033" s="1">
        <v>1.3078703703703703E-3</v>
      </c>
      <c r="N1033">
        <v>3</v>
      </c>
    </row>
    <row r="1034" spans="1:14" x14ac:dyDescent="0.3">
      <c r="A1034" t="s">
        <v>1076</v>
      </c>
      <c r="B1034" t="s">
        <v>16</v>
      </c>
      <c r="C1034" t="s">
        <v>1074</v>
      </c>
      <c r="D1034" s="1">
        <v>0.38599537037037035</v>
      </c>
      <c r="E1034" s="2">
        <f>CallLog[[#This Row],[Date]]+CallLog[[#This Row],[Time]]</f>
        <v>44215.385995370372</v>
      </c>
      <c r="F1034" s="1" t="str">
        <f>TEXT(CallLog[[#This Row],[Date]],"dddd")</f>
        <v>Tuesday</v>
      </c>
      <c r="G1034" s="3">
        <f>HOUR(CallLog[[#This Row],[Time]])</f>
        <v>9</v>
      </c>
      <c r="H1034" t="s">
        <v>17</v>
      </c>
      <c r="I1034" t="s">
        <v>14</v>
      </c>
      <c r="J1034" t="s">
        <v>14</v>
      </c>
      <c r="K1034">
        <v>14</v>
      </c>
      <c r="L1034" t="str">
        <f>IF(AND(CallLog[[#This Row],[Answered (Y/N)]]="Y", CallLog[[#This Row],[Speed of answer in seconds]]&lt;=20),
    "Within",
    "Breach")</f>
        <v>Within</v>
      </c>
      <c r="M1034" s="1">
        <v>1.3425925925925925E-3</v>
      </c>
      <c r="N1034">
        <v>3</v>
      </c>
    </row>
    <row r="1035" spans="1:14" x14ac:dyDescent="0.3">
      <c r="A1035" t="s">
        <v>1077</v>
      </c>
      <c r="B1035" t="s">
        <v>34</v>
      </c>
      <c r="C1035" t="s">
        <v>1074</v>
      </c>
      <c r="D1035" s="1">
        <v>0.38599537037037035</v>
      </c>
      <c r="E1035" s="2">
        <f>CallLog[[#This Row],[Date]]+CallLog[[#This Row],[Time]]</f>
        <v>44215.385995370372</v>
      </c>
      <c r="F1035" s="1" t="str">
        <f>TEXT(CallLog[[#This Row],[Date]],"dddd")</f>
        <v>Tuesday</v>
      </c>
      <c r="G1035" s="3">
        <f>HOUR(CallLog[[#This Row],[Time]])</f>
        <v>9</v>
      </c>
      <c r="H1035" t="s">
        <v>13</v>
      </c>
      <c r="I1035" t="s">
        <v>14</v>
      </c>
      <c r="J1035" t="s">
        <v>18</v>
      </c>
      <c r="K1035">
        <v>10</v>
      </c>
      <c r="L1035" t="str">
        <f>IF(AND(CallLog[[#This Row],[Answered (Y/N)]]="Y", CallLog[[#This Row],[Speed of answer in seconds]]&lt;=20),
    "Within",
    "Breach")</f>
        <v>Within</v>
      </c>
      <c r="M1035" s="1">
        <v>3.2754629629629631E-3</v>
      </c>
      <c r="N1035">
        <v>4</v>
      </c>
    </row>
    <row r="1036" spans="1:14" x14ac:dyDescent="0.3">
      <c r="A1036" t="s">
        <v>1078</v>
      </c>
      <c r="B1036" t="s">
        <v>38</v>
      </c>
      <c r="C1036" t="s">
        <v>1074</v>
      </c>
      <c r="D1036" s="1">
        <v>0.38799768518518518</v>
      </c>
      <c r="E1036" s="2">
        <f>CallLog[[#This Row],[Date]]+CallLog[[#This Row],[Time]]</f>
        <v>44215.387997685182</v>
      </c>
      <c r="F1036" s="1" t="str">
        <f>TEXT(CallLog[[#This Row],[Date]],"dddd")</f>
        <v>Tuesday</v>
      </c>
      <c r="G1036" s="3">
        <f>HOUR(CallLog[[#This Row],[Time]])</f>
        <v>9</v>
      </c>
      <c r="H1036" t="s">
        <v>13</v>
      </c>
      <c r="I1036" t="s">
        <v>14</v>
      </c>
      <c r="J1036" t="s">
        <v>14</v>
      </c>
      <c r="K1036">
        <v>60</v>
      </c>
      <c r="L1036" t="str">
        <f>IF(AND(CallLog[[#This Row],[Answered (Y/N)]]="Y", CallLog[[#This Row],[Speed of answer in seconds]]&lt;=20),
    "Within",
    "Breach")</f>
        <v>Breach</v>
      </c>
      <c r="M1036" s="1">
        <v>3.7037037037037041E-4</v>
      </c>
      <c r="N1036">
        <v>3</v>
      </c>
    </row>
    <row r="1037" spans="1:14" x14ac:dyDescent="0.3">
      <c r="A1037" t="s">
        <v>1079</v>
      </c>
      <c r="B1037" t="s">
        <v>11</v>
      </c>
      <c r="C1037" t="s">
        <v>1074</v>
      </c>
      <c r="D1037" s="1">
        <v>0.38799768518518518</v>
      </c>
      <c r="E1037" s="2">
        <f>CallLog[[#This Row],[Date]]+CallLog[[#This Row],[Time]]</f>
        <v>44215.387997685182</v>
      </c>
      <c r="F1037" s="1" t="str">
        <f>TEXT(CallLog[[#This Row],[Date]],"dddd")</f>
        <v>Tuesday</v>
      </c>
      <c r="G1037" s="3">
        <f>HOUR(CallLog[[#This Row],[Time]])</f>
        <v>9</v>
      </c>
      <c r="H1037" t="s">
        <v>32</v>
      </c>
      <c r="I1037" t="s">
        <v>14</v>
      </c>
      <c r="J1037" t="s">
        <v>14</v>
      </c>
      <c r="K1037">
        <v>59</v>
      </c>
      <c r="L1037" t="str">
        <f>IF(AND(CallLog[[#This Row],[Answered (Y/N)]]="Y", CallLog[[#This Row],[Speed of answer in seconds]]&lt;=20),
    "Within",
    "Breach")</f>
        <v>Breach</v>
      </c>
      <c r="M1037" s="1">
        <v>3.4953703703703705E-3</v>
      </c>
      <c r="N1037">
        <v>5</v>
      </c>
    </row>
    <row r="1038" spans="1:14" x14ac:dyDescent="0.3">
      <c r="A1038" t="s">
        <v>1080</v>
      </c>
      <c r="B1038" t="s">
        <v>20</v>
      </c>
      <c r="C1038" t="s">
        <v>1074</v>
      </c>
      <c r="D1038" s="1">
        <v>0.4</v>
      </c>
      <c r="E1038" s="2">
        <f>CallLog[[#This Row],[Date]]+CallLog[[#This Row],[Time]]</f>
        <v>44215.4</v>
      </c>
      <c r="F1038" s="1" t="str">
        <f>TEXT(CallLog[[#This Row],[Date]],"dddd")</f>
        <v>Tuesday</v>
      </c>
      <c r="G1038" s="3">
        <f>HOUR(CallLog[[#This Row],[Time]])</f>
        <v>9</v>
      </c>
      <c r="H1038" t="s">
        <v>17</v>
      </c>
      <c r="I1038" t="s">
        <v>14</v>
      </c>
      <c r="J1038" t="s">
        <v>14</v>
      </c>
      <c r="K1038">
        <v>87</v>
      </c>
      <c r="L1038" t="str">
        <f>IF(AND(CallLog[[#This Row],[Answered (Y/N)]]="Y", CallLog[[#This Row],[Speed of answer in seconds]]&lt;=20),
    "Within",
    "Breach")</f>
        <v>Breach</v>
      </c>
      <c r="M1038" s="1">
        <v>2.5810185185185185E-3</v>
      </c>
      <c r="N1038">
        <v>5</v>
      </c>
    </row>
    <row r="1039" spans="1:14" x14ac:dyDescent="0.3">
      <c r="A1039" t="s">
        <v>1081</v>
      </c>
      <c r="B1039" t="s">
        <v>38</v>
      </c>
      <c r="C1039" t="s">
        <v>1074</v>
      </c>
      <c r="D1039" s="1">
        <v>0.4</v>
      </c>
      <c r="E1039" s="2">
        <f>CallLog[[#This Row],[Date]]+CallLog[[#This Row],[Time]]</f>
        <v>44215.4</v>
      </c>
      <c r="F1039" s="1" t="str">
        <f>TEXT(CallLog[[#This Row],[Date]],"dddd")</f>
        <v>Tuesday</v>
      </c>
      <c r="G1039" s="3">
        <f>HOUR(CallLog[[#This Row],[Time]])</f>
        <v>9</v>
      </c>
      <c r="H1039" t="s">
        <v>13</v>
      </c>
      <c r="I1039" t="s">
        <v>14</v>
      </c>
      <c r="J1039" t="s">
        <v>14</v>
      </c>
      <c r="K1039">
        <v>111</v>
      </c>
      <c r="L1039" t="str">
        <f>IF(AND(CallLog[[#This Row],[Answered (Y/N)]]="Y", CallLog[[#This Row],[Speed of answer in seconds]]&lt;=20),
    "Within",
    "Breach")</f>
        <v>Breach</v>
      </c>
      <c r="M1039" s="1">
        <v>2.1527777777777778E-3</v>
      </c>
      <c r="N1039">
        <v>5</v>
      </c>
    </row>
    <row r="1040" spans="1:14" x14ac:dyDescent="0.3">
      <c r="A1040" t="s">
        <v>1082</v>
      </c>
      <c r="B1040" t="s">
        <v>34</v>
      </c>
      <c r="C1040" t="s">
        <v>1074</v>
      </c>
      <c r="D1040" s="1">
        <v>0.40599537037037037</v>
      </c>
      <c r="E1040" s="2">
        <f>CallLog[[#This Row],[Date]]+CallLog[[#This Row],[Time]]</f>
        <v>44215.405995370369</v>
      </c>
      <c r="F1040" s="1" t="str">
        <f>TEXT(CallLog[[#This Row],[Date]],"dddd")</f>
        <v>Tuesday</v>
      </c>
      <c r="G1040" s="3">
        <f>HOUR(CallLog[[#This Row],[Time]])</f>
        <v>9</v>
      </c>
      <c r="H1040" t="s">
        <v>13</v>
      </c>
      <c r="I1040" t="s">
        <v>18</v>
      </c>
      <c r="J1040" t="s">
        <v>18</v>
      </c>
      <c r="L1040" t="str">
        <f>IF(AND(CallLog[[#This Row],[Answered (Y/N)]]="Y", CallLog[[#This Row],[Speed of answer in seconds]]&lt;=20),
    "Within",
    "Breach")</f>
        <v>Breach</v>
      </c>
    </row>
    <row r="1041" spans="1:14" x14ac:dyDescent="0.3">
      <c r="A1041" t="s">
        <v>1083</v>
      </c>
      <c r="B1041" t="s">
        <v>16</v>
      </c>
      <c r="C1041" t="s">
        <v>1074</v>
      </c>
      <c r="D1041" s="1">
        <v>0.40599537037037037</v>
      </c>
      <c r="E1041" s="2">
        <f>CallLog[[#This Row],[Date]]+CallLog[[#This Row],[Time]]</f>
        <v>44215.405995370369</v>
      </c>
      <c r="F1041" s="1" t="str">
        <f>TEXT(CallLog[[#This Row],[Date]],"dddd")</f>
        <v>Tuesday</v>
      </c>
      <c r="G1041" s="3">
        <f>HOUR(CallLog[[#This Row],[Time]])</f>
        <v>9</v>
      </c>
      <c r="H1041" t="s">
        <v>24</v>
      </c>
      <c r="I1041" t="s">
        <v>14</v>
      </c>
      <c r="J1041" t="s">
        <v>14</v>
      </c>
      <c r="K1041">
        <v>10</v>
      </c>
      <c r="L1041" t="str">
        <f>IF(AND(CallLog[[#This Row],[Answered (Y/N)]]="Y", CallLog[[#This Row],[Speed of answer in seconds]]&lt;=20),
    "Within",
    "Breach")</f>
        <v>Within</v>
      </c>
      <c r="M1041" s="1">
        <v>2.2106481481481482E-3</v>
      </c>
      <c r="N1041">
        <v>2</v>
      </c>
    </row>
    <row r="1042" spans="1:14" x14ac:dyDescent="0.3">
      <c r="A1042" t="s">
        <v>1084</v>
      </c>
      <c r="B1042" t="s">
        <v>34</v>
      </c>
      <c r="C1042" t="s">
        <v>1074</v>
      </c>
      <c r="D1042" s="1">
        <v>0.42599537037037039</v>
      </c>
      <c r="E1042" s="2">
        <f>CallLog[[#This Row],[Date]]+CallLog[[#This Row],[Time]]</f>
        <v>44215.425995370373</v>
      </c>
      <c r="F1042" s="1" t="str">
        <f>TEXT(CallLog[[#This Row],[Date]],"dddd")</f>
        <v>Tuesday</v>
      </c>
      <c r="G1042" s="3">
        <f>HOUR(CallLog[[#This Row],[Time]])</f>
        <v>10</v>
      </c>
      <c r="H1042" t="s">
        <v>17</v>
      </c>
      <c r="I1042" t="s">
        <v>18</v>
      </c>
      <c r="J1042" t="s">
        <v>18</v>
      </c>
      <c r="L1042" t="str">
        <f>IF(AND(CallLog[[#This Row],[Answered (Y/N)]]="Y", CallLog[[#This Row],[Speed of answer in seconds]]&lt;=20),
    "Within",
    "Breach")</f>
        <v>Breach</v>
      </c>
    </row>
    <row r="1043" spans="1:14" x14ac:dyDescent="0.3">
      <c r="A1043" t="s">
        <v>1085</v>
      </c>
      <c r="B1043" t="s">
        <v>34</v>
      </c>
      <c r="C1043" t="s">
        <v>1074</v>
      </c>
      <c r="D1043" s="1">
        <v>0.42599537037037039</v>
      </c>
      <c r="E1043" s="2">
        <f>CallLog[[#This Row],[Date]]+CallLog[[#This Row],[Time]]</f>
        <v>44215.425995370373</v>
      </c>
      <c r="F1043" s="1" t="str">
        <f>TEXT(CallLog[[#This Row],[Date]],"dddd")</f>
        <v>Tuesday</v>
      </c>
      <c r="G1043" s="3">
        <f>HOUR(CallLog[[#This Row],[Time]])</f>
        <v>10</v>
      </c>
      <c r="H1043" t="s">
        <v>32</v>
      </c>
      <c r="I1043" t="s">
        <v>18</v>
      </c>
      <c r="J1043" t="s">
        <v>18</v>
      </c>
      <c r="L1043" t="str">
        <f>IF(AND(CallLog[[#This Row],[Answered (Y/N)]]="Y", CallLog[[#This Row],[Speed of answer in seconds]]&lt;=20),
    "Within",
    "Breach")</f>
        <v>Breach</v>
      </c>
    </row>
    <row r="1044" spans="1:14" x14ac:dyDescent="0.3">
      <c r="A1044" t="s">
        <v>1086</v>
      </c>
      <c r="B1044" t="s">
        <v>22</v>
      </c>
      <c r="C1044" t="s">
        <v>1074</v>
      </c>
      <c r="D1044" s="1">
        <v>0.43</v>
      </c>
      <c r="E1044" s="2">
        <f>CallLog[[#This Row],[Date]]+CallLog[[#This Row],[Time]]</f>
        <v>44215.43</v>
      </c>
      <c r="F1044" s="1" t="str">
        <f>TEXT(CallLog[[#This Row],[Date]],"dddd")</f>
        <v>Tuesday</v>
      </c>
      <c r="G1044" s="3">
        <f>HOUR(CallLog[[#This Row],[Time]])</f>
        <v>10</v>
      </c>
      <c r="H1044" t="s">
        <v>24</v>
      </c>
      <c r="I1044" t="s">
        <v>14</v>
      </c>
      <c r="J1044" t="s">
        <v>14</v>
      </c>
      <c r="K1044">
        <v>116</v>
      </c>
      <c r="L1044" t="str">
        <f>IF(AND(CallLog[[#This Row],[Answered (Y/N)]]="Y", CallLog[[#This Row],[Speed of answer in seconds]]&lt;=20),
    "Within",
    "Breach")</f>
        <v>Breach</v>
      </c>
      <c r="M1044" s="1">
        <v>4.0277777777777777E-3</v>
      </c>
      <c r="N1044">
        <v>5</v>
      </c>
    </row>
    <row r="1045" spans="1:14" x14ac:dyDescent="0.3">
      <c r="A1045" t="s">
        <v>1087</v>
      </c>
      <c r="B1045" t="s">
        <v>11</v>
      </c>
      <c r="C1045" t="s">
        <v>1074</v>
      </c>
      <c r="D1045" s="1">
        <v>0.43</v>
      </c>
      <c r="E1045" s="2">
        <f>CallLog[[#This Row],[Date]]+CallLog[[#This Row],[Time]]</f>
        <v>44215.43</v>
      </c>
      <c r="F1045" s="1" t="str">
        <f>TEXT(CallLog[[#This Row],[Date]],"dddd")</f>
        <v>Tuesday</v>
      </c>
      <c r="G1045" s="3">
        <f>HOUR(CallLog[[#This Row],[Time]])</f>
        <v>10</v>
      </c>
      <c r="H1045" t="s">
        <v>29</v>
      </c>
      <c r="I1045" t="s">
        <v>14</v>
      </c>
      <c r="J1045" t="s">
        <v>18</v>
      </c>
      <c r="K1045">
        <v>89</v>
      </c>
      <c r="L1045" t="str">
        <f>IF(AND(CallLog[[#This Row],[Answered (Y/N)]]="Y", CallLog[[#This Row],[Speed of answer in seconds]]&lt;=20),
    "Within",
    "Breach")</f>
        <v>Breach</v>
      </c>
      <c r="M1045" s="1">
        <v>2.3148148148148147E-3</v>
      </c>
      <c r="N1045">
        <v>3</v>
      </c>
    </row>
    <row r="1046" spans="1:14" x14ac:dyDescent="0.3">
      <c r="A1046" t="s">
        <v>1088</v>
      </c>
      <c r="B1046" t="s">
        <v>16</v>
      </c>
      <c r="C1046" t="s">
        <v>1074</v>
      </c>
      <c r="D1046" s="1">
        <v>0.44</v>
      </c>
      <c r="E1046" s="2">
        <f>CallLog[[#This Row],[Date]]+CallLog[[#This Row],[Time]]</f>
        <v>44215.44</v>
      </c>
      <c r="F1046" s="1" t="str">
        <f>TEXT(CallLog[[#This Row],[Date]],"dddd")</f>
        <v>Tuesday</v>
      </c>
      <c r="G1046" s="3">
        <f>HOUR(CallLog[[#This Row],[Time]])</f>
        <v>10</v>
      </c>
      <c r="H1046" t="s">
        <v>13</v>
      </c>
      <c r="I1046" t="s">
        <v>18</v>
      </c>
      <c r="J1046" t="s">
        <v>18</v>
      </c>
      <c r="L1046" t="str">
        <f>IF(AND(CallLog[[#This Row],[Answered (Y/N)]]="Y", CallLog[[#This Row],[Speed of answer in seconds]]&lt;=20),
    "Within",
    "Breach")</f>
        <v>Breach</v>
      </c>
    </row>
    <row r="1047" spans="1:14" x14ac:dyDescent="0.3">
      <c r="A1047" t="s">
        <v>1089</v>
      </c>
      <c r="B1047" t="s">
        <v>34</v>
      </c>
      <c r="C1047" t="s">
        <v>1074</v>
      </c>
      <c r="D1047" s="1">
        <v>0.44</v>
      </c>
      <c r="E1047" s="2">
        <f>CallLog[[#This Row],[Date]]+CallLog[[#This Row],[Time]]</f>
        <v>44215.44</v>
      </c>
      <c r="F1047" s="1" t="str">
        <f>TEXT(CallLog[[#This Row],[Date]],"dddd")</f>
        <v>Tuesday</v>
      </c>
      <c r="G1047" s="3">
        <f>HOUR(CallLog[[#This Row],[Time]])</f>
        <v>10</v>
      </c>
      <c r="H1047" t="s">
        <v>13</v>
      </c>
      <c r="I1047" t="s">
        <v>14</v>
      </c>
      <c r="J1047" t="s">
        <v>18</v>
      </c>
      <c r="K1047">
        <v>106</v>
      </c>
      <c r="L1047" t="str">
        <f>IF(AND(CallLog[[#This Row],[Answered (Y/N)]]="Y", CallLog[[#This Row],[Speed of answer in seconds]]&lt;=20),
    "Within",
    "Breach")</f>
        <v>Breach</v>
      </c>
      <c r="M1047" s="1">
        <v>2.685185185185185E-3</v>
      </c>
      <c r="N1047">
        <v>4</v>
      </c>
    </row>
    <row r="1048" spans="1:14" x14ac:dyDescent="0.3">
      <c r="A1048" t="s">
        <v>1090</v>
      </c>
      <c r="B1048" t="s">
        <v>20</v>
      </c>
      <c r="C1048" t="s">
        <v>1074</v>
      </c>
      <c r="D1048" s="1">
        <v>0.45299768518518518</v>
      </c>
      <c r="E1048" s="2">
        <f>CallLog[[#This Row],[Date]]+CallLog[[#This Row],[Time]]</f>
        <v>44215.452997685185</v>
      </c>
      <c r="F1048" s="1" t="str">
        <f>TEXT(CallLog[[#This Row],[Date]],"dddd")</f>
        <v>Tuesday</v>
      </c>
      <c r="G1048" s="3">
        <f>HOUR(CallLog[[#This Row],[Time]])</f>
        <v>10</v>
      </c>
      <c r="H1048" t="s">
        <v>32</v>
      </c>
      <c r="I1048" t="s">
        <v>18</v>
      </c>
      <c r="J1048" t="s">
        <v>18</v>
      </c>
      <c r="L1048" t="str">
        <f>IF(AND(CallLog[[#This Row],[Answered (Y/N)]]="Y", CallLog[[#This Row],[Speed of answer in seconds]]&lt;=20),
    "Within",
    "Breach")</f>
        <v>Breach</v>
      </c>
    </row>
    <row r="1049" spans="1:14" x14ac:dyDescent="0.3">
      <c r="A1049" t="s">
        <v>1091</v>
      </c>
      <c r="B1049" t="s">
        <v>38</v>
      </c>
      <c r="C1049" t="s">
        <v>1074</v>
      </c>
      <c r="D1049" s="1">
        <v>0.45299768518518518</v>
      </c>
      <c r="E1049" s="2">
        <f>CallLog[[#This Row],[Date]]+CallLog[[#This Row],[Time]]</f>
        <v>44215.452997685185</v>
      </c>
      <c r="F1049" s="1" t="str">
        <f>TEXT(CallLog[[#This Row],[Date]],"dddd")</f>
        <v>Tuesday</v>
      </c>
      <c r="G1049" s="3">
        <f>HOUR(CallLog[[#This Row],[Time]])</f>
        <v>10</v>
      </c>
      <c r="H1049" t="s">
        <v>32</v>
      </c>
      <c r="I1049" t="s">
        <v>14</v>
      </c>
      <c r="J1049" t="s">
        <v>14</v>
      </c>
      <c r="K1049">
        <v>81</v>
      </c>
      <c r="L1049" t="str">
        <f>IF(AND(CallLog[[#This Row],[Answered (Y/N)]]="Y", CallLog[[#This Row],[Speed of answer in seconds]]&lt;=20),
    "Within",
    "Breach")</f>
        <v>Breach</v>
      </c>
      <c r="M1049" s="1">
        <v>1.0069444444444444E-3</v>
      </c>
      <c r="N1049">
        <v>4</v>
      </c>
    </row>
    <row r="1050" spans="1:14" x14ac:dyDescent="0.3">
      <c r="A1050" t="s">
        <v>1092</v>
      </c>
      <c r="B1050" t="s">
        <v>47</v>
      </c>
      <c r="C1050" t="s">
        <v>1074</v>
      </c>
      <c r="D1050" s="1">
        <v>0.47599537037037037</v>
      </c>
      <c r="E1050" s="2">
        <f>CallLog[[#This Row],[Date]]+CallLog[[#This Row],[Time]]</f>
        <v>44215.475995370369</v>
      </c>
      <c r="F1050" s="1" t="str">
        <f>TEXT(CallLog[[#This Row],[Date]],"dddd")</f>
        <v>Tuesday</v>
      </c>
      <c r="G1050" s="3">
        <f>HOUR(CallLog[[#This Row],[Time]])</f>
        <v>11</v>
      </c>
      <c r="H1050" t="s">
        <v>13</v>
      </c>
      <c r="I1050" t="s">
        <v>18</v>
      </c>
      <c r="J1050" t="s">
        <v>18</v>
      </c>
      <c r="L1050" t="str">
        <f>IF(AND(CallLog[[#This Row],[Answered (Y/N)]]="Y", CallLog[[#This Row],[Speed of answer in seconds]]&lt;=20),
    "Within",
    "Breach")</f>
        <v>Breach</v>
      </c>
    </row>
    <row r="1051" spans="1:14" x14ac:dyDescent="0.3">
      <c r="A1051" t="s">
        <v>1093</v>
      </c>
      <c r="B1051" t="s">
        <v>31</v>
      </c>
      <c r="C1051" t="s">
        <v>1074</v>
      </c>
      <c r="D1051" s="1">
        <v>0.47599537037037037</v>
      </c>
      <c r="E1051" s="2">
        <f>CallLog[[#This Row],[Date]]+CallLog[[#This Row],[Time]]</f>
        <v>44215.475995370369</v>
      </c>
      <c r="F1051" s="1" t="str">
        <f>TEXT(CallLog[[#This Row],[Date]],"dddd")</f>
        <v>Tuesday</v>
      </c>
      <c r="G1051" s="3">
        <f>HOUR(CallLog[[#This Row],[Time]])</f>
        <v>11</v>
      </c>
      <c r="H1051" t="s">
        <v>29</v>
      </c>
      <c r="I1051" t="s">
        <v>14</v>
      </c>
      <c r="J1051" t="s">
        <v>14</v>
      </c>
      <c r="K1051">
        <v>96</v>
      </c>
      <c r="L1051" t="str">
        <f>IF(AND(CallLog[[#This Row],[Answered (Y/N)]]="Y", CallLog[[#This Row],[Speed of answer in seconds]]&lt;=20),
    "Within",
    "Breach")</f>
        <v>Breach</v>
      </c>
      <c r="M1051" s="1">
        <v>3.9236111111111112E-3</v>
      </c>
      <c r="N1051">
        <v>5</v>
      </c>
    </row>
    <row r="1052" spans="1:14" x14ac:dyDescent="0.3">
      <c r="A1052" t="s">
        <v>1094</v>
      </c>
      <c r="B1052" t="s">
        <v>31</v>
      </c>
      <c r="C1052" t="s">
        <v>1074</v>
      </c>
      <c r="D1052" s="1">
        <v>0.48900462962962965</v>
      </c>
      <c r="E1052" s="2">
        <f>CallLog[[#This Row],[Date]]+CallLog[[#This Row],[Time]]</f>
        <v>44215.489004629628</v>
      </c>
      <c r="F1052" s="1" t="str">
        <f>TEXT(CallLog[[#This Row],[Date]],"dddd")</f>
        <v>Tuesday</v>
      </c>
      <c r="G1052" s="3">
        <f>HOUR(CallLog[[#This Row],[Time]])</f>
        <v>11</v>
      </c>
      <c r="H1052" t="s">
        <v>24</v>
      </c>
      <c r="I1052" t="s">
        <v>14</v>
      </c>
      <c r="J1052" t="s">
        <v>14</v>
      </c>
      <c r="K1052">
        <v>64</v>
      </c>
      <c r="L1052" t="str">
        <f>IF(AND(CallLog[[#This Row],[Answered (Y/N)]]="Y", CallLog[[#This Row],[Speed of answer in seconds]]&lt;=20),
    "Within",
    "Breach")</f>
        <v>Breach</v>
      </c>
      <c r="M1052" s="1">
        <v>4.2361111111111115E-3</v>
      </c>
      <c r="N1052">
        <v>5</v>
      </c>
    </row>
    <row r="1053" spans="1:14" x14ac:dyDescent="0.3">
      <c r="A1053" t="s">
        <v>1095</v>
      </c>
      <c r="B1053" t="s">
        <v>31</v>
      </c>
      <c r="C1053" t="s">
        <v>1074</v>
      </c>
      <c r="D1053" s="1">
        <v>0.48900462962962965</v>
      </c>
      <c r="E1053" s="2">
        <f>CallLog[[#This Row],[Date]]+CallLog[[#This Row],[Time]]</f>
        <v>44215.489004629628</v>
      </c>
      <c r="F1053" s="1" t="str">
        <f>TEXT(CallLog[[#This Row],[Date]],"dddd")</f>
        <v>Tuesday</v>
      </c>
      <c r="G1053" s="3">
        <f>HOUR(CallLog[[#This Row],[Time]])</f>
        <v>11</v>
      </c>
      <c r="H1053" t="s">
        <v>13</v>
      </c>
      <c r="I1053" t="s">
        <v>14</v>
      </c>
      <c r="J1053" t="s">
        <v>18</v>
      </c>
      <c r="K1053">
        <v>79</v>
      </c>
      <c r="L1053" t="str">
        <f>IF(AND(CallLog[[#This Row],[Answered (Y/N)]]="Y", CallLog[[#This Row],[Speed of answer in seconds]]&lt;=20),
    "Within",
    "Breach")</f>
        <v>Breach</v>
      </c>
      <c r="M1053" s="1">
        <v>4.7337962962962967E-3</v>
      </c>
      <c r="N1053">
        <v>1</v>
      </c>
    </row>
    <row r="1054" spans="1:14" x14ac:dyDescent="0.3">
      <c r="A1054" t="s">
        <v>1096</v>
      </c>
      <c r="B1054" t="s">
        <v>31</v>
      </c>
      <c r="C1054" t="s">
        <v>1074</v>
      </c>
      <c r="D1054" s="1">
        <v>0.49700231481481483</v>
      </c>
      <c r="E1054" s="2">
        <f>CallLog[[#This Row],[Date]]+CallLog[[#This Row],[Time]]</f>
        <v>44215.497002314813</v>
      </c>
      <c r="F1054" s="1" t="str">
        <f>TEXT(CallLog[[#This Row],[Date]],"dddd")</f>
        <v>Tuesday</v>
      </c>
      <c r="G1054" s="3">
        <f>HOUR(CallLog[[#This Row],[Time]])</f>
        <v>11</v>
      </c>
      <c r="H1054" t="s">
        <v>24</v>
      </c>
      <c r="I1054" t="s">
        <v>14</v>
      </c>
      <c r="J1054" t="s">
        <v>14</v>
      </c>
      <c r="K1054">
        <v>98</v>
      </c>
      <c r="L1054" t="str">
        <f>IF(AND(CallLog[[#This Row],[Answered (Y/N)]]="Y", CallLog[[#This Row],[Speed of answer in seconds]]&lt;=20),
    "Within",
    "Breach")</f>
        <v>Breach</v>
      </c>
      <c r="M1054" s="1">
        <v>1.6550925925925926E-3</v>
      </c>
      <c r="N1054">
        <v>1</v>
      </c>
    </row>
    <row r="1055" spans="1:14" x14ac:dyDescent="0.3">
      <c r="A1055" t="s">
        <v>1097</v>
      </c>
      <c r="B1055" t="s">
        <v>34</v>
      </c>
      <c r="C1055" t="s">
        <v>1074</v>
      </c>
      <c r="D1055" s="1">
        <v>0.49700231481481483</v>
      </c>
      <c r="E1055" s="2">
        <f>CallLog[[#This Row],[Date]]+CallLog[[#This Row],[Time]]</f>
        <v>44215.497002314813</v>
      </c>
      <c r="F1055" s="1" t="str">
        <f>TEXT(CallLog[[#This Row],[Date]],"dddd")</f>
        <v>Tuesday</v>
      </c>
      <c r="G1055" s="3">
        <f>HOUR(CallLog[[#This Row],[Time]])</f>
        <v>11</v>
      </c>
      <c r="H1055" t="s">
        <v>29</v>
      </c>
      <c r="I1055" t="s">
        <v>14</v>
      </c>
      <c r="J1055" t="s">
        <v>14</v>
      </c>
      <c r="K1055">
        <v>91</v>
      </c>
      <c r="L1055" t="str">
        <f>IF(AND(CallLog[[#This Row],[Answered (Y/N)]]="Y", CallLog[[#This Row],[Speed of answer in seconds]]&lt;=20),
    "Within",
    "Breach")</f>
        <v>Breach</v>
      </c>
      <c r="M1055" s="1">
        <v>2.7777777777777779E-3</v>
      </c>
      <c r="N1055">
        <v>5</v>
      </c>
    </row>
    <row r="1056" spans="1:14" x14ac:dyDescent="0.3">
      <c r="A1056" t="s">
        <v>1098</v>
      </c>
      <c r="B1056" t="s">
        <v>38</v>
      </c>
      <c r="C1056" t="s">
        <v>1074</v>
      </c>
      <c r="D1056" s="1">
        <v>0.52</v>
      </c>
      <c r="E1056" s="2">
        <f>CallLog[[#This Row],[Date]]+CallLog[[#This Row],[Time]]</f>
        <v>44215.519999999997</v>
      </c>
      <c r="F1056" s="1" t="str">
        <f>TEXT(CallLog[[#This Row],[Date]],"dddd")</f>
        <v>Tuesday</v>
      </c>
      <c r="G1056" s="3">
        <f>HOUR(CallLog[[#This Row],[Time]])</f>
        <v>12</v>
      </c>
      <c r="H1056" t="s">
        <v>32</v>
      </c>
      <c r="I1056" t="s">
        <v>18</v>
      </c>
      <c r="J1056" t="s">
        <v>18</v>
      </c>
      <c r="L1056" t="str">
        <f>IF(AND(CallLog[[#This Row],[Answered (Y/N)]]="Y", CallLog[[#This Row],[Speed of answer in seconds]]&lt;=20),
    "Within",
    "Breach")</f>
        <v>Breach</v>
      </c>
    </row>
    <row r="1057" spans="1:14" x14ac:dyDescent="0.3">
      <c r="A1057" t="s">
        <v>1099</v>
      </c>
      <c r="B1057" t="s">
        <v>20</v>
      </c>
      <c r="C1057" t="s">
        <v>1074</v>
      </c>
      <c r="D1057" s="1">
        <v>0.52</v>
      </c>
      <c r="E1057" s="2">
        <f>CallLog[[#This Row],[Date]]+CallLog[[#This Row],[Time]]</f>
        <v>44215.519999999997</v>
      </c>
      <c r="F1057" s="1" t="str">
        <f>TEXT(CallLog[[#This Row],[Date]],"dddd")</f>
        <v>Tuesday</v>
      </c>
      <c r="G1057" s="3">
        <f>HOUR(CallLog[[#This Row],[Time]])</f>
        <v>12</v>
      </c>
      <c r="H1057" t="s">
        <v>13</v>
      </c>
      <c r="I1057" t="s">
        <v>14</v>
      </c>
      <c r="J1057" t="s">
        <v>14</v>
      </c>
      <c r="K1057">
        <v>84</v>
      </c>
      <c r="L1057" t="str">
        <f>IF(AND(CallLog[[#This Row],[Answered (Y/N)]]="Y", CallLog[[#This Row],[Speed of answer in seconds]]&lt;=20),
    "Within",
    "Breach")</f>
        <v>Breach</v>
      </c>
      <c r="M1057" s="1">
        <v>4.6759259259259263E-3</v>
      </c>
      <c r="N1057">
        <v>2</v>
      </c>
    </row>
    <row r="1058" spans="1:14" x14ac:dyDescent="0.3">
      <c r="A1058" t="s">
        <v>1100</v>
      </c>
      <c r="B1058" t="s">
        <v>34</v>
      </c>
      <c r="C1058" t="s">
        <v>1074</v>
      </c>
      <c r="D1058" s="1">
        <v>0.52799768518518519</v>
      </c>
      <c r="E1058" s="2">
        <f>CallLog[[#This Row],[Date]]+CallLog[[#This Row],[Time]]</f>
        <v>44215.527997685182</v>
      </c>
      <c r="F1058" s="1" t="str">
        <f>TEXT(CallLog[[#This Row],[Date]],"dddd")</f>
        <v>Tuesday</v>
      </c>
      <c r="G1058" s="3">
        <f>HOUR(CallLog[[#This Row],[Time]])</f>
        <v>12</v>
      </c>
      <c r="H1058" t="s">
        <v>17</v>
      </c>
      <c r="I1058" t="s">
        <v>14</v>
      </c>
      <c r="J1058" t="s">
        <v>14</v>
      </c>
      <c r="K1058">
        <v>47</v>
      </c>
      <c r="L1058" t="str">
        <f>IF(AND(CallLog[[#This Row],[Answered (Y/N)]]="Y", CallLog[[#This Row],[Speed of answer in seconds]]&lt;=20),
    "Within",
    "Breach")</f>
        <v>Breach</v>
      </c>
      <c r="M1058" s="1">
        <v>4.1435185185185186E-3</v>
      </c>
      <c r="N1058">
        <v>5</v>
      </c>
    </row>
    <row r="1059" spans="1:14" x14ac:dyDescent="0.3">
      <c r="A1059" t="s">
        <v>1101</v>
      </c>
      <c r="B1059" t="s">
        <v>38</v>
      </c>
      <c r="C1059" t="s">
        <v>1074</v>
      </c>
      <c r="D1059" s="1">
        <v>0.52799768518518519</v>
      </c>
      <c r="E1059" s="2">
        <f>CallLog[[#This Row],[Date]]+CallLog[[#This Row],[Time]]</f>
        <v>44215.527997685182</v>
      </c>
      <c r="F1059" s="1" t="str">
        <f>TEXT(CallLog[[#This Row],[Date]],"dddd")</f>
        <v>Tuesday</v>
      </c>
      <c r="G1059" s="3">
        <f>HOUR(CallLog[[#This Row],[Time]])</f>
        <v>12</v>
      </c>
      <c r="H1059" t="s">
        <v>24</v>
      </c>
      <c r="I1059" t="s">
        <v>14</v>
      </c>
      <c r="J1059" t="s">
        <v>14</v>
      </c>
      <c r="K1059">
        <v>42</v>
      </c>
      <c r="L1059" t="str">
        <f>IF(AND(CallLog[[#This Row],[Answered (Y/N)]]="Y", CallLog[[#This Row],[Speed of answer in seconds]]&lt;=20),
    "Within",
    "Breach")</f>
        <v>Breach</v>
      </c>
      <c r="M1059" s="1">
        <v>1.4583333333333334E-3</v>
      </c>
      <c r="N1059">
        <v>5</v>
      </c>
    </row>
    <row r="1060" spans="1:14" x14ac:dyDescent="0.3">
      <c r="A1060" t="s">
        <v>1102</v>
      </c>
      <c r="B1060" t="s">
        <v>47</v>
      </c>
      <c r="C1060" t="s">
        <v>1074</v>
      </c>
      <c r="D1060" s="1">
        <v>0.54099537037037038</v>
      </c>
      <c r="E1060" s="2">
        <f>CallLog[[#This Row],[Date]]+CallLog[[#This Row],[Time]]</f>
        <v>44215.540995370371</v>
      </c>
      <c r="F1060" s="1" t="str">
        <f>TEXT(CallLog[[#This Row],[Date]],"dddd")</f>
        <v>Tuesday</v>
      </c>
      <c r="G1060" s="3">
        <f>HOUR(CallLog[[#This Row],[Time]])</f>
        <v>12</v>
      </c>
      <c r="H1060" t="s">
        <v>32</v>
      </c>
      <c r="I1060" t="s">
        <v>14</v>
      </c>
      <c r="J1060" t="s">
        <v>18</v>
      </c>
      <c r="K1060">
        <v>45</v>
      </c>
      <c r="L1060" t="str">
        <f>IF(AND(CallLog[[#This Row],[Answered (Y/N)]]="Y", CallLog[[#This Row],[Speed of answer in seconds]]&lt;=20),
    "Within",
    "Breach")</f>
        <v>Breach</v>
      </c>
      <c r="M1060" s="1">
        <v>2.5925925925925925E-3</v>
      </c>
      <c r="N1060">
        <v>4</v>
      </c>
    </row>
    <row r="1061" spans="1:14" x14ac:dyDescent="0.3">
      <c r="A1061" t="s">
        <v>1103</v>
      </c>
      <c r="B1061" t="s">
        <v>47</v>
      </c>
      <c r="C1061" t="s">
        <v>1074</v>
      </c>
      <c r="D1061" s="1">
        <v>0.54099537037037038</v>
      </c>
      <c r="E1061" s="2">
        <f>CallLog[[#This Row],[Date]]+CallLog[[#This Row],[Time]]</f>
        <v>44215.540995370371</v>
      </c>
      <c r="F1061" s="1" t="str">
        <f>TEXT(CallLog[[#This Row],[Date]],"dddd")</f>
        <v>Tuesday</v>
      </c>
      <c r="G1061" s="3">
        <f>HOUR(CallLog[[#This Row],[Time]])</f>
        <v>12</v>
      </c>
      <c r="H1061" t="s">
        <v>17</v>
      </c>
      <c r="I1061" t="s">
        <v>18</v>
      </c>
      <c r="J1061" t="s">
        <v>18</v>
      </c>
      <c r="L1061" t="str">
        <f>IF(AND(CallLog[[#This Row],[Answered (Y/N)]]="Y", CallLog[[#This Row],[Speed of answer in seconds]]&lt;=20),
    "Within",
    "Breach")</f>
        <v>Breach</v>
      </c>
    </row>
    <row r="1062" spans="1:14" x14ac:dyDescent="0.3">
      <c r="A1062" t="s">
        <v>1104</v>
      </c>
      <c r="B1062" t="s">
        <v>31</v>
      </c>
      <c r="C1062" t="s">
        <v>1074</v>
      </c>
      <c r="D1062" s="1">
        <v>0.55200231481481477</v>
      </c>
      <c r="E1062" s="2">
        <f>CallLog[[#This Row],[Date]]+CallLog[[#This Row],[Time]]</f>
        <v>44215.552002314813</v>
      </c>
      <c r="F1062" s="1" t="str">
        <f>TEXT(CallLog[[#This Row],[Date]],"dddd")</f>
        <v>Tuesday</v>
      </c>
      <c r="G1062" s="3">
        <f>HOUR(CallLog[[#This Row],[Time]])</f>
        <v>13</v>
      </c>
      <c r="H1062" t="s">
        <v>24</v>
      </c>
      <c r="I1062" t="s">
        <v>14</v>
      </c>
      <c r="J1062" t="s">
        <v>14</v>
      </c>
      <c r="K1062">
        <v>19</v>
      </c>
      <c r="L1062" t="str">
        <f>IF(AND(CallLog[[#This Row],[Answered (Y/N)]]="Y", CallLog[[#This Row],[Speed of answer in seconds]]&lt;=20),
    "Within",
    "Breach")</f>
        <v>Within</v>
      </c>
      <c r="M1062" s="1">
        <v>1.1111111111111111E-3</v>
      </c>
      <c r="N1062">
        <v>5</v>
      </c>
    </row>
    <row r="1063" spans="1:14" x14ac:dyDescent="0.3">
      <c r="A1063" t="s">
        <v>1105</v>
      </c>
      <c r="B1063" t="s">
        <v>22</v>
      </c>
      <c r="C1063" t="s">
        <v>1074</v>
      </c>
      <c r="D1063" s="1">
        <v>0.55200231481481477</v>
      </c>
      <c r="E1063" s="2">
        <f>CallLog[[#This Row],[Date]]+CallLog[[#This Row],[Time]]</f>
        <v>44215.552002314813</v>
      </c>
      <c r="F1063" s="1" t="str">
        <f>TEXT(CallLog[[#This Row],[Date]],"dddd")</f>
        <v>Tuesday</v>
      </c>
      <c r="G1063" s="3">
        <f>HOUR(CallLog[[#This Row],[Time]])</f>
        <v>13</v>
      </c>
      <c r="H1063" t="s">
        <v>13</v>
      </c>
      <c r="I1063" t="s">
        <v>14</v>
      </c>
      <c r="J1063" t="s">
        <v>14</v>
      </c>
      <c r="K1063">
        <v>114</v>
      </c>
      <c r="L1063" t="str">
        <f>IF(AND(CallLog[[#This Row],[Answered (Y/N)]]="Y", CallLog[[#This Row],[Speed of answer in seconds]]&lt;=20),
    "Within",
    "Breach")</f>
        <v>Breach</v>
      </c>
      <c r="M1063" s="1">
        <v>9.837962962962962E-4</v>
      </c>
      <c r="N1063">
        <v>3</v>
      </c>
    </row>
    <row r="1064" spans="1:14" x14ac:dyDescent="0.3">
      <c r="A1064" t="s">
        <v>1106</v>
      </c>
      <c r="B1064" t="s">
        <v>31</v>
      </c>
      <c r="C1064" t="s">
        <v>1074</v>
      </c>
      <c r="D1064" s="1">
        <v>0.55700231481481477</v>
      </c>
      <c r="E1064" s="2">
        <f>CallLog[[#This Row],[Date]]+CallLog[[#This Row],[Time]]</f>
        <v>44215.557002314818</v>
      </c>
      <c r="F1064" s="1" t="str">
        <f>TEXT(CallLog[[#This Row],[Date]],"dddd")</f>
        <v>Tuesday</v>
      </c>
      <c r="G1064" s="3">
        <f>HOUR(CallLog[[#This Row],[Time]])</f>
        <v>13</v>
      </c>
      <c r="H1064" t="s">
        <v>29</v>
      </c>
      <c r="I1064" t="s">
        <v>14</v>
      </c>
      <c r="J1064" t="s">
        <v>14</v>
      </c>
      <c r="K1064">
        <v>94</v>
      </c>
      <c r="L1064" t="str">
        <f>IF(AND(CallLog[[#This Row],[Answered (Y/N)]]="Y", CallLog[[#This Row],[Speed of answer in seconds]]&lt;=20),
    "Within",
    "Breach")</f>
        <v>Breach</v>
      </c>
      <c r="M1064" s="1">
        <v>6.5972222222222224E-4</v>
      </c>
      <c r="N1064">
        <v>5</v>
      </c>
    </row>
    <row r="1065" spans="1:14" x14ac:dyDescent="0.3">
      <c r="A1065" t="s">
        <v>1107</v>
      </c>
      <c r="B1065" t="s">
        <v>47</v>
      </c>
      <c r="C1065" t="s">
        <v>1074</v>
      </c>
      <c r="D1065" s="1">
        <v>0.55700231481481477</v>
      </c>
      <c r="E1065" s="2">
        <f>CallLog[[#This Row],[Date]]+CallLog[[#This Row],[Time]]</f>
        <v>44215.557002314818</v>
      </c>
      <c r="F1065" s="1" t="str">
        <f>TEXT(CallLog[[#This Row],[Date]],"dddd")</f>
        <v>Tuesday</v>
      </c>
      <c r="G1065" s="3">
        <f>HOUR(CallLog[[#This Row],[Time]])</f>
        <v>13</v>
      </c>
      <c r="H1065" t="s">
        <v>24</v>
      </c>
      <c r="I1065" t="s">
        <v>18</v>
      </c>
      <c r="J1065" t="s">
        <v>18</v>
      </c>
      <c r="L1065" t="str">
        <f>IF(AND(CallLog[[#This Row],[Answered (Y/N)]]="Y", CallLog[[#This Row],[Speed of answer in seconds]]&lt;=20),
    "Within",
    "Breach")</f>
        <v>Breach</v>
      </c>
    </row>
    <row r="1066" spans="1:14" x14ac:dyDescent="0.3">
      <c r="A1066" t="s">
        <v>1108</v>
      </c>
      <c r="B1066" t="s">
        <v>11</v>
      </c>
      <c r="C1066" t="s">
        <v>1074</v>
      </c>
      <c r="D1066" s="1">
        <v>0.56000000000000005</v>
      </c>
      <c r="E1066" s="2">
        <f>CallLog[[#This Row],[Date]]+CallLog[[#This Row],[Time]]</f>
        <v>44215.56</v>
      </c>
      <c r="F1066" s="1" t="str">
        <f>TEXT(CallLog[[#This Row],[Date]],"dddd")</f>
        <v>Tuesday</v>
      </c>
      <c r="G1066" s="3">
        <f>HOUR(CallLog[[#This Row],[Time]])</f>
        <v>13</v>
      </c>
      <c r="H1066" t="s">
        <v>32</v>
      </c>
      <c r="I1066" t="s">
        <v>14</v>
      </c>
      <c r="J1066" t="s">
        <v>14</v>
      </c>
      <c r="K1066">
        <v>99</v>
      </c>
      <c r="L1066" t="str">
        <f>IF(AND(CallLog[[#This Row],[Answered (Y/N)]]="Y", CallLog[[#This Row],[Speed of answer in seconds]]&lt;=20),
    "Within",
    "Breach")</f>
        <v>Breach</v>
      </c>
      <c r="M1066" s="1">
        <v>1.5740740740740741E-3</v>
      </c>
      <c r="N1066">
        <v>5</v>
      </c>
    </row>
    <row r="1067" spans="1:14" x14ac:dyDescent="0.3">
      <c r="A1067" t="s">
        <v>1109</v>
      </c>
      <c r="B1067" t="s">
        <v>11</v>
      </c>
      <c r="C1067" t="s">
        <v>1074</v>
      </c>
      <c r="D1067" s="1">
        <v>0.56000000000000005</v>
      </c>
      <c r="E1067" s="2">
        <f>CallLog[[#This Row],[Date]]+CallLog[[#This Row],[Time]]</f>
        <v>44215.56</v>
      </c>
      <c r="F1067" s="1" t="str">
        <f>TEXT(CallLog[[#This Row],[Date]],"dddd")</f>
        <v>Tuesday</v>
      </c>
      <c r="G1067" s="3">
        <f>HOUR(CallLog[[#This Row],[Time]])</f>
        <v>13</v>
      </c>
      <c r="H1067" t="s">
        <v>32</v>
      </c>
      <c r="I1067" t="s">
        <v>14</v>
      </c>
      <c r="J1067" t="s">
        <v>14</v>
      </c>
      <c r="K1067">
        <v>23</v>
      </c>
      <c r="L1067" t="str">
        <f>IF(AND(CallLog[[#This Row],[Answered (Y/N)]]="Y", CallLog[[#This Row],[Speed of answer in seconds]]&lt;=20),
    "Within",
    "Breach")</f>
        <v>Breach</v>
      </c>
      <c r="M1067" s="1">
        <v>3.1481481481481482E-3</v>
      </c>
      <c r="N1067">
        <v>4</v>
      </c>
    </row>
    <row r="1068" spans="1:14" x14ac:dyDescent="0.3">
      <c r="A1068" t="s">
        <v>1110</v>
      </c>
      <c r="B1068" t="s">
        <v>22</v>
      </c>
      <c r="C1068" t="s">
        <v>1074</v>
      </c>
      <c r="D1068" s="1">
        <v>0.56700231481481478</v>
      </c>
      <c r="E1068" s="2">
        <f>CallLog[[#This Row],[Date]]+CallLog[[#This Row],[Time]]</f>
        <v>44215.567002314812</v>
      </c>
      <c r="F1068" s="1" t="str">
        <f>TEXT(CallLog[[#This Row],[Date]],"dddd")</f>
        <v>Tuesday</v>
      </c>
      <c r="G1068" s="3">
        <f>HOUR(CallLog[[#This Row],[Time]])</f>
        <v>13</v>
      </c>
      <c r="H1068" t="s">
        <v>17</v>
      </c>
      <c r="I1068" t="s">
        <v>18</v>
      </c>
      <c r="J1068" t="s">
        <v>18</v>
      </c>
      <c r="L1068" t="str">
        <f>IF(AND(CallLog[[#This Row],[Answered (Y/N)]]="Y", CallLog[[#This Row],[Speed of answer in seconds]]&lt;=20),
    "Within",
    "Breach")</f>
        <v>Breach</v>
      </c>
    </row>
    <row r="1069" spans="1:14" x14ac:dyDescent="0.3">
      <c r="A1069" t="s">
        <v>1111</v>
      </c>
      <c r="B1069" t="s">
        <v>47</v>
      </c>
      <c r="C1069" t="s">
        <v>1074</v>
      </c>
      <c r="D1069" s="1">
        <v>0.56700231481481478</v>
      </c>
      <c r="E1069" s="2">
        <f>CallLog[[#This Row],[Date]]+CallLog[[#This Row],[Time]]</f>
        <v>44215.567002314812</v>
      </c>
      <c r="F1069" s="1" t="str">
        <f>TEXT(CallLog[[#This Row],[Date]],"dddd")</f>
        <v>Tuesday</v>
      </c>
      <c r="G1069" s="3">
        <f>HOUR(CallLog[[#This Row],[Time]])</f>
        <v>13</v>
      </c>
      <c r="H1069" t="s">
        <v>29</v>
      </c>
      <c r="I1069" t="s">
        <v>14</v>
      </c>
      <c r="J1069" t="s">
        <v>14</v>
      </c>
      <c r="K1069">
        <v>80</v>
      </c>
      <c r="L1069" t="str">
        <f>IF(AND(CallLog[[#This Row],[Answered (Y/N)]]="Y", CallLog[[#This Row],[Speed of answer in seconds]]&lt;=20),
    "Within",
    "Breach")</f>
        <v>Breach</v>
      </c>
      <c r="M1069" s="1">
        <v>3.3796296296296296E-3</v>
      </c>
      <c r="N1069">
        <v>5</v>
      </c>
    </row>
    <row r="1070" spans="1:14" x14ac:dyDescent="0.3">
      <c r="A1070" t="s">
        <v>1112</v>
      </c>
      <c r="B1070" t="s">
        <v>20</v>
      </c>
      <c r="C1070" t="s">
        <v>1074</v>
      </c>
      <c r="D1070" s="1">
        <v>0.56799768518518523</v>
      </c>
      <c r="E1070" s="2">
        <f>CallLog[[#This Row],[Date]]+CallLog[[#This Row],[Time]]</f>
        <v>44215.567997685182</v>
      </c>
      <c r="F1070" s="1" t="str">
        <f>TEXT(CallLog[[#This Row],[Date]],"dddd")</f>
        <v>Tuesday</v>
      </c>
      <c r="G1070" s="3">
        <f>HOUR(CallLog[[#This Row],[Time]])</f>
        <v>13</v>
      </c>
      <c r="H1070" t="s">
        <v>24</v>
      </c>
      <c r="I1070" t="s">
        <v>14</v>
      </c>
      <c r="J1070" t="s">
        <v>14</v>
      </c>
      <c r="K1070">
        <v>18</v>
      </c>
      <c r="L1070" t="str">
        <f>IF(AND(CallLog[[#This Row],[Answered (Y/N)]]="Y", CallLog[[#This Row],[Speed of answer in seconds]]&lt;=20),
    "Within",
    "Breach")</f>
        <v>Within</v>
      </c>
      <c r="M1070" s="1">
        <v>3.6921296296296298E-3</v>
      </c>
      <c r="N1070">
        <v>3</v>
      </c>
    </row>
    <row r="1071" spans="1:14" x14ac:dyDescent="0.3">
      <c r="A1071" t="s">
        <v>1113</v>
      </c>
      <c r="B1071" t="s">
        <v>11</v>
      </c>
      <c r="C1071" t="s">
        <v>1074</v>
      </c>
      <c r="D1071" s="1">
        <v>0.56799768518518523</v>
      </c>
      <c r="E1071" s="2">
        <f>CallLog[[#This Row],[Date]]+CallLog[[#This Row],[Time]]</f>
        <v>44215.567997685182</v>
      </c>
      <c r="F1071" s="1" t="str">
        <f>TEXT(CallLog[[#This Row],[Date]],"dddd")</f>
        <v>Tuesday</v>
      </c>
      <c r="G1071" s="3">
        <f>HOUR(CallLog[[#This Row],[Time]])</f>
        <v>13</v>
      </c>
      <c r="H1071" t="s">
        <v>13</v>
      </c>
      <c r="I1071" t="s">
        <v>18</v>
      </c>
      <c r="J1071" t="s">
        <v>18</v>
      </c>
      <c r="L1071" t="str">
        <f>IF(AND(CallLog[[#This Row],[Answered (Y/N)]]="Y", CallLog[[#This Row],[Speed of answer in seconds]]&lt;=20),
    "Within",
    "Breach")</f>
        <v>Breach</v>
      </c>
    </row>
    <row r="1072" spans="1:14" x14ac:dyDescent="0.3">
      <c r="A1072" t="s">
        <v>1114</v>
      </c>
      <c r="B1072" t="s">
        <v>38</v>
      </c>
      <c r="C1072" t="s">
        <v>1074</v>
      </c>
      <c r="D1072" s="1">
        <v>0.57299768518518523</v>
      </c>
      <c r="E1072" s="2">
        <f>CallLog[[#This Row],[Date]]+CallLog[[#This Row],[Time]]</f>
        <v>44215.572997685187</v>
      </c>
      <c r="F1072" s="1" t="str">
        <f>TEXT(CallLog[[#This Row],[Date]],"dddd")</f>
        <v>Tuesday</v>
      </c>
      <c r="G1072" s="3">
        <f>HOUR(CallLog[[#This Row],[Time]])</f>
        <v>13</v>
      </c>
      <c r="H1072" t="s">
        <v>24</v>
      </c>
      <c r="I1072" t="s">
        <v>14</v>
      </c>
      <c r="J1072" t="s">
        <v>14</v>
      </c>
      <c r="K1072">
        <v>104</v>
      </c>
      <c r="L1072" t="str">
        <f>IF(AND(CallLog[[#This Row],[Answered (Y/N)]]="Y", CallLog[[#This Row],[Speed of answer in seconds]]&lt;=20),
    "Within",
    "Breach")</f>
        <v>Breach</v>
      </c>
      <c r="M1072" s="1">
        <v>2.4652777777777776E-3</v>
      </c>
      <c r="N1072">
        <v>4</v>
      </c>
    </row>
    <row r="1073" spans="1:14" x14ac:dyDescent="0.3">
      <c r="A1073" t="s">
        <v>1115</v>
      </c>
      <c r="B1073" t="s">
        <v>38</v>
      </c>
      <c r="C1073" t="s">
        <v>1074</v>
      </c>
      <c r="D1073" s="1">
        <v>0.57299768518518523</v>
      </c>
      <c r="E1073" s="2">
        <f>CallLog[[#This Row],[Date]]+CallLog[[#This Row],[Time]]</f>
        <v>44215.572997685187</v>
      </c>
      <c r="F1073" s="1" t="str">
        <f>TEXT(CallLog[[#This Row],[Date]],"dddd")</f>
        <v>Tuesday</v>
      </c>
      <c r="G1073" s="3">
        <f>HOUR(CallLog[[#This Row],[Time]])</f>
        <v>13</v>
      </c>
      <c r="H1073" t="s">
        <v>24</v>
      </c>
      <c r="I1073" t="s">
        <v>14</v>
      </c>
      <c r="J1073" t="s">
        <v>14</v>
      </c>
      <c r="K1073">
        <v>116</v>
      </c>
      <c r="L1073" t="str">
        <f>IF(AND(CallLog[[#This Row],[Answered (Y/N)]]="Y", CallLog[[#This Row],[Speed of answer in seconds]]&lt;=20),
    "Within",
    "Breach")</f>
        <v>Breach</v>
      </c>
      <c r="M1073" s="1">
        <v>3.9930555555555552E-3</v>
      </c>
      <c r="N1073">
        <v>3</v>
      </c>
    </row>
    <row r="1074" spans="1:14" x14ac:dyDescent="0.3">
      <c r="A1074" t="s">
        <v>1116</v>
      </c>
      <c r="B1074" t="s">
        <v>20</v>
      </c>
      <c r="C1074" t="s">
        <v>1074</v>
      </c>
      <c r="D1074" s="1">
        <v>0.59900462962962964</v>
      </c>
      <c r="E1074" s="2">
        <f>CallLog[[#This Row],[Date]]+CallLog[[#This Row],[Time]]</f>
        <v>44215.599004629628</v>
      </c>
      <c r="F1074" s="1" t="str">
        <f>TEXT(CallLog[[#This Row],[Date]],"dddd")</f>
        <v>Tuesday</v>
      </c>
      <c r="G1074" s="3">
        <f>HOUR(CallLog[[#This Row],[Time]])</f>
        <v>14</v>
      </c>
      <c r="H1074" t="s">
        <v>32</v>
      </c>
      <c r="I1074" t="s">
        <v>14</v>
      </c>
      <c r="J1074" t="s">
        <v>14</v>
      </c>
      <c r="K1074">
        <v>44</v>
      </c>
      <c r="L1074" t="str">
        <f>IF(AND(CallLog[[#This Row],[Answered (Y/N)]]="Y", CallLog[[#This Row],[Speed of answer in seconds]]&lt;=20),
    "Within",
    "Breach")</f>
        <v>Breach</v>
      </c>
      <c r="M1074" s="1">
        <v>4.2708333333333331E-3</v>
      </c>
      <c r="N1074">
        <v>5</v>
      </c>
    </row>
    <row r="1075" spans="1:14" x14ac:dyDescent="0.3">
      <c r="A1075" t="s">
        <v>1117</v>
      </c>
      <c r="B1075" t="s">
        <v>34</v>
      </c>
      <c r="C1075" t="s">
        <v>1074</v>
      </c>
      <c r="D1075" s="1">
        <v>0.59900462962962964</v>
      </c>
      <c r="E1075" s="2">
        <f>CallLog[[#This Row],[Date]]+CallLog[[#This Row],[Time]]</f>
        <v>44215.599004629628</v>
      </c>
      <c r="F1075" s="1" t="str">
        <f>TEXT(CallLog[[#This Row],[Date]],"dddd")</f>
        <v>Tuesday</v>
      </c>
      <c r="G1075" s="3">
        <f>HOUR(CallLog[[#This Row],[Time]])</f>
        <v>14</v>
      </c>
      <c r="H1075" t="s">
        <v>24</v>
      </c>
      <c r="I1075" t="s">
        <v>14</v>
      </c>
      <c r="J1075" t="s">
        <v>14</v>
      </c>
      <c r="K1075">
        <v>91</v>
      </c>
      <c r="L1075" t="str">
        <f>IF(AND(CallLog[[#This Row],[Answered (Y/N)]]="Y", CallLog[[#This Row],[Speed of answer in seconds]]&lt;=20),
    "Within",
    "Breach")</f>
        <v>Breach</v>
      </c>
      <c r="M1075" s="1">
        <v>4.6643518518518518E-3</v>
      </c>
      <c r="N1075">
        <v>4</v>
      </c>
    </row>
    <row r="1076" spans="1:14" x14ac:dyDescent="0.3">
      <c r="A1076" t="s">
        <v>1118</v>
      </c>
      <c r="B1076" t="s">
        <v>22</v>
      </c>
      <c r="C1076" t="s">
        <v>1074</v>
      </c>
      <c r="D1076" s="1">
        <v>0.625</v>
      </c>
      <c r="E1076" s="2">
        <f>CallLog[[#This Row],[Date]]+CallLog[[#This Row],[Time]]</f>
        <v>44215.625</v>
      </c>
      <c r="F1076" s="1" t="str">
        <f>TEXT(CallLog[[#This Row],[Date]],"dddd")</f>
        <v>Tuesday</v>
      </c>
      <c r="G1076" s="3">
        <f>HOUR(CallLog[[#This Row],[Time]])</f>
        <v>15</v>
      </c>
      <c r="H1076" t="s">
        <v>13</v>
      </c>
      <c r="I1076" t="s">
        <v>18</v>
      </c>
      <c r="J1076" t="s">
        <v>18</v>
      </c>
      <c r="L1076" t="str">
        <f>IF(AND(CallLog[[#This Row],[Answered (Y/N)]]="Y", CallLog[[#This Row],[Speed of answer in seconds]]&lt;=20),
    "Within",
    "Breach")</f>
        <v>Breach</v>
      </c>
    </row>
    <row r="1077" spans="1:14" x14ac:dyDescent="0.3">
      <c r="A1077" t="s">
        <v>1119</v>
      </c>
      <c r="B1077" t="s">
        <v>38</v>
      </c>
      <c r="C1077" t="s">
        <v>1074</v>
      </c>
      <c r="D1077" s="1">
        <v>0.625</v>
      </c>
      <c r="E1077" s="2">
        <f>CallLog[[#This Row],[Date]]+CallLog[[#This Row],[Time]]</f>
        <v>44215.625</v>
      </c>
      <c r="F1077" s="1" t="str">
        <f>TEXT(CallLog[[#This Row],[Date]],"dddd")</f>
        <v>Tuesday</v>
      </c>
      <c r="G1077" s="3">
        <f>HOUR(CallLog[[#This Row],[Time]])</f>
        <v>15</v>
      </c>
      <c r="H1077" t="s">
        <v>17</v>
      </c>
      <c r="I1077" t="s">
        <v>14</v>
      </c>
      <c r="J1077" t="s">
        <v>14</v>
      </c>
      <c r="K1077">
        <v>122</v>
      </c>
      <c r="L1077" t="str">
        <f>IF(AND(CallLog[[#This Row],[Answered (Y/N)]]="Y", CallLog[[#This Row],[Speed of answer in seconds]]&lt;=20),
    "Within",
    "Breach")</f>
        <v>Breach</v>
      </c>
      <c r="M1077" s="1">
        <v>2.9513888888888888E-3</v>
      </c>
      <c r="N1077">
        <v>3</v>
      </c>
    </row>
    <row r="1078" spans="1:14" x14ac:dyDescent="0.3">
      <c r="A1078" t="s">
        <v>1120</v>
      </c>
      <c r="B1078" t="s">
        <v>16</v>
      </c>
      <c r="C1078" t="s">
        <v>1074</v>
      </c>
      <c r="D1078" s="1">
        <v>0.64599537037037036</v>
      </c>
      <c r="E1078" s="2">
        <f>CallLog[[#This Row],[Date]]+CallLog[[#This Row],[Time]]</f>
        <v>44215.645995370367</v>
      </c>
      <c r="F1078" s="1" t="str">
        <f>TEXT(CallLog[[#This Row],[Date]],"dddd")</f>
        <v>Tuesday</v>
      </c>
      <c r="G1078" s="3">
        <f>HOUR(CallLog[[#This Row],[Time]])</f>
        <v>15</v>
      </c>
      <c r="H1078" t="s">
        <v>32</v>
      </c>
      <c r="I1078" t="s">
        <v>14</v>
      </c>
      <c r="J1078" t="s">
        <v>14</v>
      </c>
      <c r="K1078">
        <v>103</v>
      </c>
      <c r="L1078" t="str">
        <f>IF(AND(CallLog[[#This Row],[Answered (Y/N)]]="Y", CallLog[[#This Row],[Speed of answer in seconds]]&lt;=20),
    "Within",
    "Breach")</f>
        <v>Breach</v>
      </c>
      <c r="M1078" s="1">
        <v>1.9560185185185184E-3</v>
      </c>
      <c r="N1078">
        <v>3</v>
      </c>
    </row>
    <row r="1079" spans="1:14" x14ac:dyDescent="0.3">
      <c r="A1079" t="s">
        <v>1121</v>
      </c>
      <c r="B1079" t="s">
        <v>16</v>
      </c>
      <c r="C1079" t="s">
        <v>1074</v>
      </c>
      <c r="D1079" s="1">
        <v>0.64599537037037036</v>
      </c>
      <c r="E1079" s="2">
        <f>CallLog[[#This Row],[Date]]+CallLog[[#This Row],[Time]]</f>
        <v>44215.645995370367</v>
      </c>
      <c r="F1079" s="1" t="str">
        <f>TEXT(CallLog[[#This Row],[Date]],"dddd")</f>
        <v>Tuesday</v>
      </c>
      <c r="G1079" s="3">
        <f>HOUR(CallLog[[#This Row],[Time]])</f>
        <v>15</v>
      </c>
      <c r="H1079" t="s">
        <v>17</v>
      </c>
      <c r="I1079" t="s">
        <v>14</v>
      </c>
      <c r="J1079" t="s">
        <v>14</v>
      </c>
      <c r="K1079">
        <v>18</v>
      </c>
      <c r="L1079" t="str">
        <f>IF(AND(CallLog[[#This Row],[Answered (Y/N)]]="Y", CallLog[[#This Row],[Speed of answer in seconds]]&lt;=20),
    "Within",
    "Breach")</f>
        <v>Within</v>
      </c>
      <c r="M1079" s="1">
        <v>1.4004629629629629E-3</v>
      </c>
      <c r="N1079">
        <v>5</v>
      </c>
    </row>
    <row r="1080" spans="1:14" x14ac:dyDescent="0.3">
      <c r="A1080" t="s">
        <v>1122</v>
      </c>
      <c r="B1080" t="s">
        <v>31</v>
      </c>
      <c r="C1080" t="s">
        <v>1074</v>
      </c>
      <c r="D1080" s="1">
        <v>0.64900462962962968</v>
      </c>
      <c r="E1080" s="2">
        <f>CallLog[[#This Row],[Date]]+CallLog[[#This Row],[Time]]</f>
        <v>44215.649004629631</v>
      </c>
      <c r="F1080" s="1" t="str">
        <f>TEXT(CallLog[[#This Row],[Date]],"dddd")</f>
        <v>Tuesday</v>
      </c>
      <c r="G1080" s="3">
        <f>HOUR(CallLog[[#This Row],[Time]])</f>
        <v>15</v>
      </c>
      <c r="H1080" t="s">
        <v>13</v>
      </c>
      <c r="I1080" t="s">
        <v>14</v>
      </c>
      <c r="J1080" t="s">
        <v>14</v>
      </c>
      <c r="K1080">
        <v>20</v>
      </c>
      <c r="L1080" t="str">
        <f>IF(AND(CallLog[[#This Row],[Answered (Y/N)]]="Y", CallLog[[#This Row],[Speed of answer in seconds]]&lt;=20),
    "Within",
    "Breach")</f>
        <v>Within</v>
      </c>
      <c r="M1080" s="1">
        <v>1.7013888888888888E-3</v>
      </c>
      <c r="N1080">
        <v>4</v>
      </c>
    </row>
    <row r="1081" spans="1:14" x14ac:dyDescent="0.3">
      <c r="A1081" t="s">
        <v>1123</v>
      </c>
      <c r="B1081" t="s">
        <v>22</v>
      </c>
      <c r="C1081" t="s">
        <v>1074</v>
      </c>
      <c r="D1081" s="1">
        <v>0.64900462962962968</v>
      </c>
      <c r="E1081" s="2">
        <f>CallLog[[#This Row],[Date]]+CallLog[[#This Row],[Time]]</f>
        <v>44215.649004629631</v>
      </c>
      <c r="F1081" s="1" t="str">
        <f>TEXT(CallLog[[#This Row],[Date]],"dddd")</f>
        <v>Tuesday</v>
      </c>
      <c r="G1081" s="3">
        <f>HOUR(CallLog[[#This Row],[Time]])</f>
        <v>15</v>
      </c>
      <c r="H1081" t="s">
        <v>24</v>
      </c>
      <c r="I1081" t="s">
        <v>14</v>
      </c>
      <c r="J1081" t="s">
        <v>14</v>
      </c>
      <c r="K1081">
        <v>93</v>
      </c>
      <c r="L1081" t="str">
        <f>IF(AND(CallLog[[#This Row],[Answered (Y/N)]]="Y", CallLog[[#This Row],[Speed of answer in seconds]]&lt;=20),
    "Within",
    "Breach")</f>
        <v>Breach</v>
      </c>
      <c r="M1081" s="1">
        <v>1.1689814814814816E-3</v>
      </c>
      <c r="N1081">
        <v>2</v>
      </c>
    </row>
    <row r="1082" spans="1:14" x14ac:dyDescent="0.3">
      <c r="A1082" t="s">
        <v>1124</v>
      </c>
      <c r="B1082" t="s">
        <v>16</v>
      </c>
      <c r="C1082" t="s">
        <v>1074</v>
      </c>
      <c r="D1082" s="1">
        <v>0.6629976851851852</v>
      </c>
      <c r="E1082" s="2">
        <f>CallLog[[#This Row],[Date]]+CallLog[[#This Row],[Time]]</f>
        <v>44215.662997685184</v>
      </c>
      <c r="F1082" s="1" t="str">
        <f>TEXT(CallLog[[#This Row],[Date]],"dddd")</f>
        <v>Tuesday</v>
      </c>
      <c r="G1082" s="3">
        <f>HOUR(CallLog[[#This Row],[Time]])</f>
        <v>15</v>
      </c>
      <c r="H1082" t="s">
        <v>29</v>
      </c>
      <c r="I1082" t="s">
        <v>18</v>
      </c>
      <c r="J1082" t="s">
        <v>18</v>
      </c>
      <c r="L1082" t="str">
        <f>IF(AND(CallLog[[#This Row],[Answered (Y/N)]]="Y", CallLog[[#This Row],[Speed of answer in seconds]]&lt;=20),
    "Within",
    "Breach")</f>
        <v>Breach</v>
      </c>
    </row>
    <row r="1083" spans="1:14" x14ac:dyDescent="0.3">
      <c r="A1083" t="s">
        <v>1125</v>
      </c>
      <c r="B1083" t="s">
        <v>34</v>
      </c>
      <c r="C1083" t="s">
        <v>1074</v>
      </c>
      <c r="D1083" s="1">
        <v>0.6629976851851852</v>
      </c>
      <c r="E1083" s="2">
        <f>CallLog[[#This Row],[Date]]+CallLog[[#This Row],[Time]]</f>
        <v>44215.662997685184</v>
      </c>
      <c r="F1083" s="1" t="str">
        <f>TEXT(CallLog[[#This Row],[Date]],"dddd")</f>
        <v>Tuesday</v>
      </c>
      <c r="G1083" s="3">
        <f>HOUR(CallLog[[#This Row],[Time]])</f>
        <v>15</v>
      </c>
      <c r="H1083" t="s">
        <v>17</v>
      </c>
      <c r="I1083" t="s">
        <v>14</v>
      </c>
      <c r="J1083" t="s">
        <v>14</v>
      </c>
      <c r="K1083">
        <v>63</v>
      </c>
      <c r="L1083" t="str">
        <f>IF(AND(CallLog[[#This Row],[Answered (Y/N)]]="Y", CallLog[[#This Row],[Speed of answer in seconds]]&lt;=20),
    "Within",
    "Breach")</f>
        <v>Breach</v>
      </c>
      <c r="M1083" s="1">
        <v>3.0092592592592593E-3</v>
      </c>
      <c r="N1083">
        <v>4</v>
      </c>
    </row>
    <row r="1084" spans="1:14" x14ac:dyDescent="0.3">
      <c r="A1084" t="s">
        <v>1126</v>
      </c>
      <c r="B1084" t="s">
        <v>22</v>
      </c>
      <c r="C1084" t="s">
        <v>1074</v>
      </c>
      <c r="D1084" s="1">
        <v>0.67299768518518521</v>
      </c>
      <c r="E1084" s="2">
        <f>CallLog[[#This Row],[Date]]+CallLog[[#This Row],[Time]]</f>
        <v>44215.672997685186</v>
      </c>
      <c r="F1084" s="1" t="str">
        <f>TEXT(CallLog[[#This Row],[Date]],"dddd")</f>
        <v>Tuesday</v>
      </c>
      <c r="G1084" s="3">
        <f>HOUR(CallLog[[#This Row],[Time]])</f>
        <v>16</v>
      </c>
      <c r="H1084" t="s">
        <v>13</v>
      </c>
      <c r="I1084" t="s">
        <v>14</v>
      </c>
      <c r="J1084" t="s">
        <v>14</v>
      </c>
      <c r="K1084">
        <v>90</v>
      </c>
      <c r="L1084" t="str">
        <f>IF(AND(CallLog[[#This Row],[Answered (Y/N)]]="Y", CallLog[[#This Row],[Speed of answer in seconds]]&lt;=20),
    "Within",
    "Breach")</f>
        <v>Breach</v>
      </c>
      <c r="M1084" s="1">
        <v>4.5370370370370373E-3</v>
      </c>
      <c r="N1084">
        <v>4</v>
      </c>
    </row>
    <row r="1085" spans="1:14" x14ac:dyDescent="0.3">
      <c r="A1085" t="s">
        <v>1127</v>
      </c>
      <c r="B1085" t="s">
        <v>47</v>
      </c>
      <c r="C1085" t="s">
        <v>1074</v>
      </c>
      <c r="D1085" s="1">
        <v>0.67299768518518521</v>
      </c>
      <c r="E1085" s="2">
        <f>CallLog[[#This Row],[Date]]+CallLog[[#This Row],[Time]]</f>
        <v>44215.672997685186</v>
      </c>
      <c r="F1085" s="1" t="str">
        <f>TEXT(CallLog[[#This Row],[Date]],"dddd")</f>
        <v>Tuesday</v>
      </c>
      <c r="G1085" s="3">
        <f>HOUR(CallLog[[#This Row],[Time]])</f>
        <v>16</v>
      </c>
      <c r="H1085" t="s">
        <v>13</v>
      </c>
      <c r="I1085" t="s">
        <v>14</v>
      </c>
      <c r="J1085" t="s">
        <v>14</v>
      </c>
      <c r="K1085">
        <v>43</v>
      </c>
      <c r="L1085" t="str">
        <f>IF(AND(CallLog[[#This Row],[Answered (Y/N)]]="Y", CallLog[[#This Row],[Speed of answer in seconds]]&lt;=20),
    "Within",
    "Breach")</f>
        <v>Breach</v>
      </c>
      <c r="M1085" s="1">
        <v>2.7777777777777779E-3</v>
      </c>
      <c r="N1085">
        <v>4</v>
      </c>
    </row>
    <row r="1086" spans="1:14" x14ac:dyDescent="0.3">
      <c r="A1086" t="s">
        <v>1128</v>
      </c>
      <c r="B1086" t="s">
        <v>31</v>
      </c>
      <c r="C1086" t="s">
        <v>1074</v>
      </c>
      <c r="D1086" s="1">
        <v>0.69499999999999995</v>
      </c>
      <c r="E1086" s="2">
        <f>CallLog[[#This Row],[Date]]+CallLog[[#This Row],[Time]]</f>
        <v>44215.695</v>
      </c>
      <c r="F1086" s="1" t="str">
        <f>TEXT(CallLog[[#This Row],[Date]],"dddd")</f>
        <v>Tuesday</v>
      </c>
      <c r="G1086" s="3">
        <f>HOUR(CallLog[[#This Row],[Time]])</f>
        <v>16</v>
      </c>
      <c r="H1086" t="s">
        <v>13</v>
      </c>
      <c r="I1086" t="s">
        <v>14</v>
      </c>
      <c r="J1086" t="s">
        <v>18</v>
      </c>
      <c r="K1086">
        <v>105</v>
      </c>
      <c r="L1086" t="str">
        <f>IF(AND(CallLog[[#This Row],[Answered (Y/N)]]="Y", CallLog[[#This Row],[Speed of answer in seconds]]&lt;=20),
    "Within",
    "Breach")</f>
        <v>Breach</v>
      </c>
      <c r="M1086" s="1">
        <v>1.2731481481481483E-3</v>
      </c>
      <c r="N1086">
        <v>4</v>
      </c>
    </row>
    <row r="1087" spans="1:14" x14ac:dyDescent="0.3">
      <c r="A1087" t="s">
        <v>1129</v>
      </c>
      <c r="B1087" t="s">
        <v>34</v>
      </c>
      <c r="C1087" t="s">
        <v>1074</v>
      </c>
      <c r="D1087" s="1">
        <v>0.69499999999999995</v>
      </c>
      <c r="E1087" s="2">
        <f>CallLog[[#This Row],[Date]]+CallLog[[#This Row],[Time]]</f>
        <v>44215.695</v>
      </c>
      <c r="F1087" s="1" t="str">
        <f>TEXT(CallLog[[#This Row],[Date]],"dddd")</f>
        <v>Tuesday</v>
      </c>
      <c r="G1087" s="3">
        <f>HOUR(CallLog[[#This Row],[Time]])</f>
        <v>16</v>
      </c>
      <c r="H1087" t="s">
        <v>13</v>
      </c>
      <c r="I1087" t="s">
        <v>14</v>
      </c>
      <c r="J1087" t="s">
        <v>14</v>
      </c>
      <c r="K1087">
        <v>59</v>
      </c>
      <c r="L1087" t="str">
        <f>IF(AND(CallLog[[#This Row],[Answered (Y/N)]]="Y", CallLog[[#This Row],[Speed of answer in seconds]]&lt;=20),
    "Within",
    "Breach")</f>
        <v>Breach</v>
      </c>
      <c r="M1087" s="1">
        <v>3.5879629629629629E-3</v>
      </c>
      <c r="N1087">
        <v>5</v>
      </c>
    </row>
    <row r="1088" spans="1:14" x14ac:dyDescent="0.3">
      <c r="A1088" t="s">
        <v>1130</v>
      </c>
      <c r="B1088" t="s">
        <v>34</v>
      </c>
      <c r="C1088" t="s">
        <v>1074</v>
      </c>
      <c r="D1088" s="1">
        <v>0.70599537037037041</v>
      </c>
      <c r="E1088" s="2">
        <f>CallLog[[#This Row],[Date]]+CallLog[[#This Row],[Time]]</f>
        <v>44215.705995370372</v>
      </c>
      <c r="F1088" s="1" t="str">
        <f>TEXT(CallLog[[#This Row],[Date]],"dddd")</f>
        <v>Tuesday</v>
      </c>
      <c r="G1088" s="3">
        <f>HOUR(CallLog[[#This Row],[Time]])</f>
        <v>16</v>
      </c>
      <c r="H1088" t="s">
        <v>29</v>
      </c>
      <c r="I1088" t="s">
        <v>14</v>
      </c>
      <c r="J1088" t="s">
        <v>14</v>
      </c>
      <c r="K1088">
        <v>115</v>
      </c>
      <c r="L1088" t="str">
        <f>IF(AND(CallLog[[#This Row],[Answered (Y/N)]]="Y", CallLog[[#This Row],[Speed of answer in seconds]]&lt;=20),
    "Within",
    "Breach")</f>
        <v>Breach</v>
      </c>
      <c r="M1088" s="1">
        <v>4.7106481481481478E-3</v>
      </c>
      <c r="N1088">
        <v>4</v>
      </c>
    </row>
    <row r="1089" spans="1:14" x14ac:dyDescent="0.3">
      <c r="A1089" t="s">
        <v>1131</v>
      </c>
      <c r="B1089" t="s">
        <v>47</v>
      </c>
      <c r="C1089" t="s">
        <v>1074</v>
      </c>
      <c r="D1089" s="1">
        <v>0.70599537037037041</v>
      </c>
      <c r="E1089" s="2">
        <f>CallLog[[#This Row],[Date]]+CallLog[[#This Row],[Time]]</f>
        <v>44215.705995370372</v>
      </c>
      <c r="F1089" s="1" t="str">
        <f>TEXT(CallLog[[#This Row],[Date]],"dddd")</f>
        <v>Tuesday</v>
      </c>
      <c r="G1089" s="3">
        <f>HOUR(CallLog[[#This Row],[Time]])</f>
        <v>16</v>
      </c>
      <c r="H1089" t="s">
        <v>24</v>
      </c>
      <c r="I1089" t="s">
        <v>14</v>
      </c>
      <c r="J1089" t="s">
        <v>14</v>
      </c>
      <c r="K1089">
        <v>106</v>
      </c>
      <c r="L1089" t="str">
        <f>IF(AND(CallLog[[#This Row],[Answered (Y/N)]]="Y", CallLog[[#This Row],[Speed of answer in seconds]]&lt;=20),
    "Within",
    "Breach")</f>
        <v>Breach</v>
      </c>
      <c r="M1089" s="1">
        <v>1.2847222222222223E-3</v>
      </c>
      <c r="N1089">
        <v>4</v>
      </c>
    </row>
    <row r="1090" spans="1:14" x14ac:dyDescent="0.3">
      <c r="A1090" t="s">
        <v>1132</v>
      </c>
      <c r="B1090" t="s">
        <v>16</v>
      </c>
      <c r="C1090" t="s">
        <v>1074</v>
      </c>
      <c r="D1090" s="1">
        <v>0.71900462962962963</v>
      </c>
      <c r="E1090" s="2">
        <f>CallLog[[#This Row],[Date]]+CallLog[[#This Row],[Time]]</f>
        <v>44215.719004629631</v>
      </c>
      <c r="F1090" s="1" t="str">
        <f>TEXT(CallLog[[#This Row],[Date]],"dddd")</f>
        <v>Tuesday</v>
      </c>
      <c r="G1090" s="3">
        <f>HOUR(CallLog[[#This Row],[Time]])</f>
        <v>17</v>
      </c>
      <c r="H1090" t="s">
        <v>32</v>
      </c>
      <c r="I1090" t="s">
        <v>14</v>
      </c>
      <c r="J1090" t="s">
        <v>14</v>
      </c>
      <c r="K1090">
        <v>35</v>
      </c>
      <c r="L1090" t="str">
        <f>IF(AND(CallLog[[#This Row],[Answered (Y/N)]]="Y", CallLog[[#This Row],[Speed of answer in seconds]]&lt;=20),
    "Within",
    "Breach")</f>
        <v>Breach</v>
      </c>
      <c r="M1090" s="1">
        <v>6.8287037037037036E-4</v>
      </c>
      <c r="N1090">
        <v>3</v>
      </c>
    </row>
    <row r="1091" spans="1:14" x14ac:dyDescent="0.3">
      <c r="A1091" t="s">
        <v>1133</v>
      </c>
      <c r="B1091" t="s">
        <v>11</v>
      </c>
      <c r="C1091" t="s">
        <v>1074</v>
      </c>
      <c r="D1091" s="1">
        <v>0.71900462962962963</v>
      </c>
      <c r="E1091" s="2">
        <f>CallLog[[#This Row],[Date]]+CallLog[[#This Row],[Time]]</f>
        <v>44215.719004629631</v>
      </c>
      <c r="F1091" s="1" t="str">
        <f>TEXT(CallLog[[#This Row],[Date]],"dddd")</f>
        <v>Tuesday</v>
      </c>
      <c r="G1091" s="3">
        <f>HOUR(CallLog[[#This Row],[Time]])</f>
        <v>17</v>
      </c>
      <c r="H1091" t="s">
        <v>13</v>
      </c>
      <c r="I1091" t="s">
        <v>14</v>
      </c>
      <c r="J1091" t="s">
        <v>14</v>
      </c>
      <c r="K1091">
        <v>48</v>
      </c>
      <c r="L1091" t="str">
        <f>IF(AND(CallLog[[#This Row],[Answered (Y/N)]]="Y", CallLog[[#This Row],[Speed of answer in seconds]]&lt;=20),
    "Within",
    "Breach")</f>
        <v>Breach</v>
      </c>
      <c r="M1091" s="1">
        <v>4.5717592592592589E-3</v>
      </c>
      <c r="N1091">
        <v>4</v>
      </c>
    </row>
    <row r="1092" spans="1:14" x14ac:dyDescent="0.3">
      <c r="A1092" t="s">
        <v>1134</v>
      </c>
      <c r="B1092" t="s">
        <v>31</v>
      </c>
      <c r="C1092" t="s">
        <v>1074</v>
      </c>
      <c r="D1092" s="1">
        <v>0.72499999999999998</v>
      </c>
      <c r="E1092" s="2">
        <f>CallLog[[#This Row],[Date]]+CallLog[[#This Row],[Time]]</f>
        <v>44215.724999999999</v>
      </c>
      <c r="F1092" s="1" t="str">
        <f>TEXT(CallLog[[#This Row],[Date]],"dddd")</f>
        <v>Tuesday</v>
      </c>
      <c r="G1092" s="3">
        <f>HOUR(CallLog[[#This Row],[Time]])</f>
        <v>17</v>
      </c>
      <c r="H1092" t="s">
        <v>13</v>
      </c>
      <c r="I1092" t="s">
        <v>18</v>
      </c>
      <c r="J1092" t="s">
        <v>18</v>
      </c>
      <c r="L1092" t="str">
        <f>IF(AND(CallLog[[#This Row],[Answered (Y/N)]]="Y", CallLog[[#This Row],[Speed of answer in seconds]]&lt;=20),
    "Within",
    "Breach")</f>
        <v>Breach</v>
      </c>
    </row>
    <row r="1093" spans="1:14" x14ac:dyDescent="0.3">
      <c r="A1093" t="s">
        <v>1135</v>
      </c>
      <c r="B1093" t="s">
        <v>31</v>
      </c>
      <c r="C1093" t="s">
        <v>1074</v>
      </c>
      <c r="D1093" s="1">
        <v>0.72499999999999998</v>
      </c>
      <c r="E1093" s="2">
        <f>CallLog[[#This Row],[Date]]+CallLog[[#This Row],[Time]]</f>
        <v>44215.724999999999</v>
      </c>
      <c r="F1093" s="1" t="str">
        <f>TEXT(CallLog[[#This Row],[Date]],"dddd")</f>
        <v>Tuesday</v>
      </c>
      <c r="G1093" s="3">
        <f>HOUR(CallLog[[#This Row],[Time]])</f>
        <v>17</v>
      </c>
      <c r="H1093" t="s">
        <v>17</v>
      </c>
      <c r="I1093" t="s">
        <v>14</v>
      </c>
      <c r="J1093" t="s">
        <v>14</v>
      </c>
      <c r="K1093">
        <v>56</v>
      </c>
      <c r="L1093" t="str">
        <f>IF(AND(CallLog[[#This Row],[Answered (Y/N)]]="Y", CallLog[[#This Row],[Speed of answer in seconds]]&lt;=20),
    "Within",
    "Breach")</f>
        <v>Breach</v>
      </c>
      <c r="M1093" s="1">
        <v>4.6064814814814814E-3</v>
      </c>
      <c r="N1093">
        <v>4</v>
      </c>
    </row>
    <row r="1094" spans="1:14" x14ac:dyDescent="0.3">
      <c r="A1094" t="s">
        <v>1136</v>
      </c>
      <c r="B1094" t="s">
        <v>20</v>
      </c>
      <c r="C1094" t="s">
        <v>1137</v>
      </c>
      <c r="D1094" s="1">
        <v>0.37900462962962961</v>
      </c>
      <c r="E1094" s="2">
        <f>CallLog[[#This Row],[Date]]+CallLog[[#This Row],[Time]]</f>
        <v>44216.379004629627</v>
      </c>
      <c r="F1094" s="1" t="str">
        <f>TEXT(CallLog[[#This Row],[Date]],"dddd")</f>
        <v>Wednesday</v>
      </c>
      <c r="G1094" s="3">
        <f>HOUR(CallLog[[#This Row],[Time]])</f>
        <v>9</v>
      </c>
      <c r="H1094" t="s">
        <v>17</v>
      </c>
      <c r="I1094" t="s">
        <v>18</v>
      </c>
      <c r="J1094" t="s">
        <v>18</v>
      </c>
      <c r="L1094" t="str">
        <f>IF(AND(CallLog[[#This Row],[Answered (Y/N)]]="Y", CallLog[[#This Row],[Speed of answer in seconds]]&lt;=20),
    "Within",
    "Breach")</f>
        <v>Breach</v>
      </c>
    </row>
    <row r="1095" spans="1:14" x14ac:dyDescent="0.3">
      <c r="A1095" t="s">
        <v>1138</v>
      </c>
      <c r="B1095" t="s">
        <v>20</v>
      </c>
      <c r="C1095" t="s">
        <v>1137</v>
      </c>
      <c r="D1095" s="1">
        <v>0.37900462962962961</v>
      </c>
      <c r="E1095" s="2">
        <f>CallLog[[#This Row],[Date]]+CallLog[[#This Row],[Time]]</f>
        <v>44216.379004629627</v>
      </c>
      <c r="F1095" s="1" t="str">
        <f>TEXT(CallLog[[#This Row],[Date]],"dddd")</f>
        <v>Wednesday</v>
      </c>
      <c r="G1095" s="3">
        <f>HOUR(CallLog[[#This Row],[Time]])</f>
        <v>9</v>
      </c>
      <c r="H1095" t="s">
        <v>29</v>
      </c>
      <c r="I1095" t="s">
        <v>14</v>
      </c>
      <c r="J1095" t="s">
        <v>14</v>
      </c>
      <c r="K1095">
        <v>99</v>
      </c>
      <c r="L1095" t="str">
        <f>IF(AND(CallLog[[#This Row],[Answered (Y/N)]]="Y", CallLog[[#This Row],[Speed of answer in seconds]]&lt;=20),
    "Within",
    "Breach")</f>
        <v>Breach</v>
      </c>
      <c r="M1095" s="1">
        <v>3.2291666666666666E-3</v>
      </c>
      <c r="N1095">
        <v>4</v>
      </c>
    </row>
    <row r="1096" spans="1:14" x14ac:dyDescent="0.3">
      <c r="A1096" t="s">
        <v>1139</v>
      </c>
      <c r="B1096" t="s">
        <v>34</v>
      </c>
      <c r="C1096" t="s">
        <v>1137</v>
      </c>
      <c r="D1096" s="1">
        <v>0.4070023148148148</v>
      </c>
      <c r="E1096" s="2">
        <f>CallLog[[#This Row],[Date]]+CallLog[[#This Row],[Time]]</f>
        <v>44216.407002314816</v>
      </c>
      <c r="F1096" s="1" t="str">
        <f>TEXT(CallLog[[#This Row],[Date]],"dddd")</f>
        <v>Wednesday</v>
      </c>
      <c r="G1096" s="3">
        <f>HOUR(CallLog[[#This Row],[Time]])</f>
        <v>9</v>
      </c>
      <c r="H1096" t="s">
        <v>29</v>
      </c>
      <c r="I1096" t="s">
        <v>14</v>
      </c>
      <c r="J1096" t="s">
        <v>14</v>
      </c>
      <c r="K1096">
        <v>71</v>
      </c>
      <c r="L1096" t="str">
        <f>IF(AND(CallLog[[#This Row],[Answered (Y/N)]]="Y", CallLog[[#This Row],[Speed of answer in seconds]]&lt;=20),
    "Within",
    "Breach")</f>
        <v>Breach</v>
      </c>
      <c r="M1096" s="1">
        <v>1.8634259259259259E-3</v>
      </c>
      <c r="N1096">
        <v>3</v>
      </c>
    </row>
    <row r="1097" spans="1:14" x14ac:dyDescent="0.3">
      <c r="A1097" t="s">
        <v>1140</v>
      </c>
      <c r="B1097" t="s">
        <v>20</v>
      </c>
      <c r="C1097" t="s">
        <v>1137</v>
      </c>
      <c r="D1097" s="1">
        <v>0.4070023148148148</v>
      </c>
      <c r="E1097" s="2">
        <f>CallLog[[#This Row],[Date]]+CallLog[[#This Row],[Time]]</f>
        <v>44216.407002314816</v>
      </c>
      <c r="F1097" s="1" t="str">
        <f>TEXT(CallLog[[#This Row],[Date]],"dddd")</f>
        <v>Wednesday</v>
      </c>
      <c r="G1097" s="3">
        <f>HOUR(CallLog[[#This Row],[Time]])</f>
        <v>9</v>
      </c>
      <c r="H1097" t="s">
        <v>24</v>
      </c>
      <c r="I1097" t="s">
        <v>14</v>
      </c>
      <c r="J1097" t="s">
        <v>14</v>
      </c>
      <c r="K1097">
        <v>54</v>
      </c>
      <c r="L1097" t="str">
        <f>IF(AND(CallLog[[#This Row],[Answered (Y/N)]]="Y", CallLog[[#This Row],[Speed of answer in seconds]]&lt;=20),
    "Within",
    "Breach")</f>
        <v>Breach</v>
      </c>
      <c r="M1097" s="1">
        <v>3.0555555555555557E-3</v>
      </c>
      <c r="N1097">
        <v>4</v>
      </c>
    </row>
    <row r="1098" spans="1:14" x14ac:dyDescent="0.3">
      <c r="A1098" t="s">
        <v>1141</v>
      </c>
      <c r="B1098" t="s">
        <v>22</v>
      </c>
      <c r="C1098" t="s">
        <v>1137</v>
      </c>
      <c r="D1098" s="1">
        <v>0.4070023148148148</v>
      </c>
      <c r="E1098" s="2">
        <f>CallLog[[#This Row],[Date]]+CallLog[[#This Row],[Time]]</f>
        <v>44216.407002314816</v>
      </c>
      <c r="F1098" s="1" t="str">
        <f>TEXT(CallLog[[#This Row],[Date]],"dddd")</f>
        <v>Wednesday</v>
      </c>
      <c r="G1098" s="3">
        <f>HOUR(CallLog[[#This Row],[Time]])</f>
        <v>9</v>
      </c>
      <c r="H1098" t="s">
        <v>29</v>
      </c>
      <c r="I1098" t="s">
        <v>18</v>
      </c>
      <c r="J1098" t="s">
        <v>18</v>
      </c>
      <c r="L1098" t="str">
        <f>IF(AND(CallLog[[#This Row],[Answered (Y/N)]]="Y", CallLog[[#This Row],[Speed of answer in seconds]]&lt;=20),
    "Within",
    "Breach")</f>
        <v>Breach</v>
      </c>
    </row>
    <row r="1099" spans="1:14" x14ac:dyDescent="0.3">
      <c r="A1099" t="s">
        <v>1142</v>
      </c>
      <c r="B1099" t="s">
        <v>47</v>
      </c>
      <c r="C1099" t="s">
        <v>1137</v>
      </c>
      <c r="D1099" s="1">
        <v>0.4070023148148148</v>
      </c>
      <c r="E1099" s="2">
        <f>CallLog[[#This Row],[Date]]+CallLog[[#This Row],[Time]]</f>
        <v>44216.407002314816</v>
      </c>
      <c r="F1099" s="1" t="str">
        <f>TEXT(CallLog[[#This Row],[Date]],"dddd")</f>
        <v>Wednesday</v>
      </c>
      <c r="G1099" s="3">
        <f>HOUR(CallLog[[#This Row],[Time]])</f>
        <v>9</v>
      </c>
      <c r="H1099" t="s">
        <v>24</v>
      </c>
      <c r="I1099" t="s">
        <v>18</v>
      </c>
      <c r="J1099" t="s">
        <v>18</v>
      </c>
      <c r="L1099" t="str">
        <f>IF(AND(CallLog[[#This Row],[Answered (Y/N)]]="Y", CallLog[[#This Row],[Speed of answer in seconds]]&lt;=20),
    "Within",
    "Breach")</f>
        <v>Breach</v>
      </c>
    </row>
    <row r="1100" spans="1:14" x14ac:dyDescent="0.3">
      <c r="A1100" t="s">
        <v>1143</v>
      </c>
      <c r="B1100" t="s">
        <v>31</v>
      </c>
      <c r="C1100" t="s">
        <v>1137</v>
      </c>
      <c r="D1100" s="1">
        <v>0.4070023148148148</v>
      </c>
      <c r="E1100" s="2">
        <f>CallLog[[#This Row],[Date]]+CallLog[[#This Row],[Time]]</f>
        <v>44216.407002314816</v>
      </c>
      <c r="F1100" s="1" t="str">
        <f>TEXT(CallLog[[#This Row],[Date]],"dddd")</f>
        <v>Wednesday</v>
      </c>
      <c r="G1100" s="3">
        <f>HOUR(CallLog[[#This Row],[Time]])</f>
        <v>9</v>
      </c>
      <c r="H1100" t="s">
        <v>32</v>
      </c>
      <c r="I1100" t="s">
        <v>14</v>
      </c>
      <c r="J1100" t="s">
        <v>14</v>
      </c>
      <c r="K1100">
        <v>54</v>
      </c>
      <c r="L1100" t="str">
        <f>IF(AND(CallLog[[#This Row],[Answered (Y/N)]]="Y", CallLog[[#This Row],[Speed of answer in seconds]]&lt;=20),
    "Within",
    "Breach")</f>
        <v>Breach</v>
      </c>
      <c r="M1100" s="1">
        <v>9.9537037037037042E-4</v>
      </c>
      <c r="N1100">
        <v>4</v>
      </c>
    </row>
    <row r="1101" spans="1:14" x14ac:dyDescent="0.3">
      <c r="A1101" t="s">
        <v>1144</v>
      </c>
      <c r="B1101" t="s">
        <v>34</v>
      </c>
      <c r="C1101" t="s">
        <v>1137</v>
      </c>
      <c r="D1101" s="1">
        <v>0.4070023148148148</v>
      </c>
      <c r="E1101" s="2">
        <f>CallLog[[#This Row],[Date]]+CallLog[[#This Row],[Time]]</f>
        <v>44216.407002314816</v>
      </c>
      <c r="F1101" s="1" t="str">
        <f>TEXT(CallLog[[#This Row],[Date]],"dddd")</f>
        <v>Wednesday</v>
      </c>
      <c r="G1101" s="3">
        <f>HOUR(CallLog[[#This Row],[Time]])</f>
        <v>9</v>
      </c>
      <c r="H1101" t="s">
        <v>17</v>
      </c>
      <c r="I1101" t="s">
        <v>14</v>
      </c>
      <c r="J1101" t="s">
        <v>14</v>
      </c>
      <c r="K1101">
        <v>62</v>
      </c>
      <c r="L1101" t="str">
        <f>IF(AND(CallLog[[#This Row],[Answered (Y/N)]]="Y", CallLog[[#This Row],[Speed of answer in seconds]]&lt;=20),
    "Within",
    "Breach")</f>
        <v>Breach</v>
      </c>
      <c r="M1101" s="1">
        <v>1.261574074074074E-3</v>
      </c>
      <c r="N1101">
        <v>2</v>
      </c>
    </row>
    <row r="1102" spans="1:14" x14ac:dyDescent="0.3">
      <c r="A1102" t="s">
        <v>1145</v>
      </c>
      <c r="B1102" t="s">
        <v>20</v>
      </c>
      <c r="C1102" t="s">
        <v>1137</v>
      </c>
      <c r="D1102" s="1">
        <v>0.43200231481481483</v>
      </c>
      <c r="E1102" s="2">
        <f>CallLog[[#This Row],[Date]]+CallLog[[#This Row],[Time]]</f>
        <v>44216.432002314818</v>
      </c>
      <c r="F1102" s="1" t="str">
        <f>TEXT(CallLog[[#This Row],[Date]],"dddd")</f>
        <v>Wednesday</v>
      </c>
      <c r="G1102" s="3">
        <f>HOUR(CallLog[[#This Row],[Time]])</f>
        <v>10</v>
      </c>
      <c r="H1102" t="s">
        <v>24</v>
      </c>
      <c r="I1102" t="s">
        <v>14</v>
      </c>
      <c r="J1102" t="s">
        <v>14</v>
      </c>
      <c r="K1102">
        <v>24</v>
      </c>
      <c r="L1102" t="str">
        <f>IF(AND(CallLog[[#This Row],[Answered (Y/N)]]="Y", CallLog[[#This Row],[Speed of answer in seconds]]&lt;=20),
    "Within",
    "Breach")</f>
        <v>Breach</v>
      </c>
      <c r="M1102" s="1">
        <v>2.8703703703703703E-3</v>
      </c>
      <c r="N1102">
        <v>4</v>
      </c>
    </row>
    <row r="1103" spans="1:14" x14ac:dyDescent="0.3">
      <c r="A1103" t="s">
        <v>1146</v>
      </c>
      <c r="B1103" t="s">
        <v>31</v>
      </c>
      <c r="C1103" t="s">
        <v>1137</v>
      </c>
      <c r="D1103" s="1">
        <v>0.43200231481481483</v>
      </c>
      <c r="E1103" s="2">
        <f>CallLog[[#This Row],[Date]]+CallLog[[#This Row],[Time]]</f>
        <v>44216.432002314818</v>
      </c>
      <c r="F1103" s="1" t="str">
        <f>TEXT(CallLog[[#This Row],[Date]],"dddd")</f>
        <v>Wednesday</v>
      </c>
      <c r="G1103" s="3">
        <f>HOUR(CallLog[[#This Row],[Time]])</f>
        <v>10</v>
      </c>
      <c r="H1103" t="s">
        <v>29</v>
      </c>
      <c r="I1103" t="s">
        <v>14</v>
      </c>
      <c r="J1103" t="s">
        <v>14</v>
      </c>
      <c r="K1103">
        <v>94</v>
      </c>
      <c r="L1103" t="str">
        <f>IF(AND(CallLog[[#This Row],[Answered (Y/N)]]="Y", CallLog[[#This Row],[Speed of answer in seconds]]&lt;=20),
    "Within",
    "Breach")</f>
        <v>Breach</v>
      </c>
      <c r="M1103" s="1">
        <v>2.8935185185185184E-3</v>
      </c>
      <c r="N1103">
        <v>5</v>
      </c>
    </row>
    <row r="1104" spans="1:14" x14ac:dyDescent="0.3">
      <c r="A1104" t="s">
        <v>1147</v>
      </c>
      <c r="B1104" t="s">
        <v>16</v>
      </c>
      <c r="C1104" t="s">
        <v>1137</v>
      </c>
      <c r="D1104" s="1">
        <v>0.47499999999999998</v>
      </c>
      <c r="E1104" s="2">
        <f>CallLog[[#This Row],[Date]]+CallLog[[#This Row],[Time]]</f>
        <v>44216.474999999999</v>
      </c>
      <c r="F1104" s="1" t="str">
        <f>TEXT(CallLog[[#This Row],[Date]],"dddd")</f>
        <v>Wednesday</v>
      </c>
      <c r="G1104" s="3">
        <f>HOUR(CallLog[[#This Row],[Time]])</f>
        <v>11</v>
      </c>
      <c r="H1104" t="s">
        <v>24</v>
      </c>
      <c r="I1104" t="s">
        <v>14</v>
      </c>
      <c r="J1104" t="s">
        <v>14</v>
      </c>
      <c r="K1104">
        <v>43</v>
      </c>
      <c r="L1104" t="str">
        <f>IF(AND(CallLog[[#This Row],[Answered (Y/N)]]="Y", CallLog[[#This Row],[Speed of answer in seconds]]&lt;=20),
    "Within",
    "Breach")</f>
        <v>Breach</v>
      </c>
      <c r="M1104" s="1">
        <v>6.4814814814814813E-4</v>
      </c>
      <c r="N1104">
        <v>3</v>
      </c>
    </row>
    <row r="1105" spans="1:14" x14ac:dyDescent="0.3">
      <c r="A1105" t="s">
        <v>1148</v>
      </c>
      <c r="B1105" t="s">
        <v>38</v>
      </c>
      <c r="C1105" t="s">
        <v>1137</v>
      </c>
      <c r="D1105" s="1">
        <v>0.47499999999999998</v>
      </c>
      <c r="E1105" s="2">
        <f>CallLog[[#This Row],[Date]]+CallLog[[#This Row],[Time]]</f>
        <v>44216.474999999999</v>
      </c>
      <c r="F1105" s="1" t="str">
        <f>TEXT(CallLog[[#This Row],[Date]],"dddd")</f>
        <v>Wednesday</v>
      </c>
      <c r="G1105" s="3">
        <f>HOUR(CallLog[[#This Row],[Time]])</f>
        <v>11</v>
      </c>
      <c r="H1105" t="s">
        <v>32</v>
      </c>
      <c r="I1105" t="s">
        <v>18</v>
      </c>
      <c r="J1105" t="s">
        <v>18</v>
      </c>
      <c r="L1105" t="str">
        <f>IF(AND(CallLog[[#This Row],[Answered (Y/N)]]="Y", CallLog[[#This Row],[Speed of answer in seconds]]&lt;=20),
    "Within",
    "Breach")</f>
        <v>Breach</v>
      </c>
    </row>
    <row r="1106" spans="1:14" x14ac:dyDescent="0.3">
      <c r="A1106" t="s">
        <v>1149</v>
      </c>
      <c r="B1106" t="s">
        <v>34</v>
      </c>
      <c r="C1106" t="s">
        <v>1137</v>
      </c>
      <c r="D1106" s="1">
        <v>0.5</v>
      </c>
      <c r="E1106" s="2">
        <f>CallLog[[#This Row],[Date]]+CallLog[[#This Row],[Time]]</f>
        <v>44216.5</v>
      </c>
      <c r="F1106" s="1" t="str">
        <f>TEXT(CallLog[[#This Row],[Date]],"dddd")</f>
        <v>Wednesday</v>
      </c>
      <c r="G1106" s="3">
        <f>HOUR(CallLog[[#This Row],[Time]])</f>
        <v>12</v>
      </c>
      <c r="H1106" t="s">
        <v>32</v>
      </c>
      <c r="I1106" t="s">
        <v>14</v>
      </c>
      <c r="J1106" t="s">
        <v>14</v>
      </c>
      <c r="K1106">
        <v>58</v>
      </c>
      <c r="L1106" t="str">
        <f>IF(AND(CallLog[[#This Row],[Answered (Y/N)]]="Y", CallLog[[#This Row],[Speed of answer in seconds]]&lt;=20),
    "Within",
    "Breach")</f>
        <v>Breach</v>
      </c>
      <c r="M1106" s="1">
        <v>2.9398148148148148E-3</v>
      </c>
      <c r="N1106">
        <v>5</v>
      </c>
    </row>
    <row r="1107" spans="1:14" x14ac:dyDescent="0.3">
      <c r="A1107" t="s">
        <v>1150</v>
      </c>
      <c r="B1107" t="s">
        <v>22</v>
      </c>
      <c r="C1107" t="s">
        <v>1137</v>
      </c>
      <c r="D1107" s="1">
        <v>0.5</v>
      </c>
      <c r="E1107" s="2">
        <f>CallLog[[#This Row],[Date]]+CallLog[[#This Row],[Time]]</f>
        <v>44216.5</v>
      </c>
      <c r="F1107" s="1" t="str">
        <f>TEXT(CallLog[[#This Row],[Date]],"dddd")</f>
        <v>Wednesday</v>
      </c>
      <c r="G1107" s="3">
        <f>HOUR(CallLog[[#This Row],[Time]])</f>
        <v>12</v>
      </c>
      <c r="H1107" t="s">
        <v>24</v>
      </c>
      <c r="I1107" t="s">
        <v>14</v>
      </c>
      <c r="J1107" t="s">
        <v>14</v>
      </c>
      <c r="K1107">
        <v>15</v>
      </c>
      <c r="L1107" t="str">
        <f>IF(AND(CallLog[[#This Row],[Answered (Y/N)]]="Y", CallLog[[#This Row],[Speed of answer in seconds]]&lt;=20),
    "Within",
    "Breach")</f>
        <v>Within</v>
      </c>
      <c r="M1107" s="1">
        <v>4.5717592592592589E-3</v>
      </c>
      <c r="N1107">
        <v>1</v>
      </c>
    </row>
    <row r="1108" spans="1:14" x14ac:dyDescent="0.3">
      <c r="A1108" t="s">
        <v>1151</v>
      </c>
      <c r="B1108" t="s">
        <v>16</v>
      </c>
      <c r="C1108" t="s">
        <v>1137</v>
      </c>
      <c r="D1108" s="1">
        <v>0.505</v>
      </c>
      <c r="E1108" s="2">
        <f>CallLog[[#This Row],[Date]]+CallLog[[#This Row],[Time]]</f>
        <v>44216.504999999997</v>
      </c>
      <c r="F1108" s="1" t="str">
        <f>TEXT(CallLog[[#This Row],[Date]],"dddd")</f>
        <v>Wednesday</v>
      </c>
      <c r="G1108" s="3">
        <f>HOUR(CallLog[[#This Row],[Time]])</f>
        <v>12</v>
      </c>
      <c r="H1108" t="s">
        <v>13</v>
      </c>
      <c r="I1108" t="s">
        <v>14</v>
      </c>
      <c r="J1108" t="s">
        <v>14</v>
      </c>
      <c r="K1108">
        <v>102</v>
      </c>
      <c r="L1108" t="str">
        <f>IF(AND(CallLog[[#This Row],[Answered (Y/N)]]="Y", CallLog[[#This Row],[Speed of answer in seconds]]&lt;=20),
    "Within",
    "Breach")</f>
        <v>Breach</v>
      </c>
      <c r="M1108" s="1">
        <v>8.7962962962962962E-4</v>
      </c>
      <c r="N1108">
        <v>1</v>
      </c>
    </row>
    <row r="1109" spans="1:14" x14ac:dyDescent="0.3">
      <c r="A1109" t="s">
        <v>1152</v>
      </c>
      <c r="B1109" t="s">
        <v>22</v>
      </c>
      <c r="C1109" t="s">
        <v>1137</v>
      </c>
      <c r="D1109" s="1">
        <v>0.505</v>
      </c>
      <c r="E1109" s="2">
        <f>CallLog[[#This Row],[Date]]+CallLog[[#This Row],[Time]]</f>
        <v>44216.504999999997</v>
      </c>
      <c r="F1109" s="1" t="str">
        <f>TEXT(CallLog[[#This Row],[Date]],"dddd")</f>
        <v>Wednesday</v>
      </c>
      <c r="G1109" s="3">
        <f>HOUR(CallLog[[#This Row],[Time]])</f>
        <v>12</v>
      </c>
      <c r="H1109" t="s">
        <v>13</v>
      </c>
      <c r="I1109" t="s">
        <v>14</v>
      </c>
      <c r="J1109" t="s">
        <v>14</v>
      </c>
      <c r="K1109">
        <v>40</v>
      </c>
      <c r="L1109" t="str">
        <f>IF(AND(CallLog[[#This Row],[Answered (Y/N)]]="Y", CallLog[[#This Row],[Speed of answer in seconds]]&lt;=20),
    "Within",
    "Breach")</f>
        <v>Breach</v>
      </c>
      <c r="M1109" s="1">
        <v>3.7268518518518519E-3</v>
      </c>
      <c r="N1109">
        <v>2</v>
      </c>
    </row>
    <row r="1110" spans="1:14" x14ac:dyDescent="0.3">
      <c r="A1110" t="s">
        <v>1153</v>
      </c>
      <c r="B1110" t="s">
        <v>11</v>
      </c>
      <c r="C1110" t="s">
        <v>1137</v>
      </c>
      <c r="D1110" s="1">
        <v>0.51900462962962968</v>
      </c>
      <c r="E1110" s="2">
        <f>CallLog[[#This Row],[Date]]+CallLog[[#This Row],[Time]]</f>
        <v>44216.519004629627</v>
      </c>
      <c r="F1110" s="1" t="str">
        <f>TEXT(CallLog[[#This Row],[Date]],"dddd")</f>
        <v>Wednesday</v>
      </c>
      <c r="G1110" s="3">
        <f>HOUR(CallLog[[#This Row],[Time]])</f>
        <v>12</v>
      </c>
      <c r="H1110" t="s">
        <v>17</v>
      </c>
      <c r="I1110" t="s">
        <v>14</v>
      </c>
      <c r="J1110" t="s">
        <v>14</v>
      </c>
      <c r="K1110">
        <v>63</v>
      </c>
      <c r="L1110" t="str">
        <f>IF(AND(CallLog[[#This Row],[Answered (Y/N)]]="Y", CallLog[[#This Row],[Speed of answer in seconds]]&lt;=20),
    "Within",
    "Breach")</f>
        <v>Breach</v>
      </c>
      <c r="M1110" s="1">
        <v>3.3564814814814816E-3</v>
      </c>
      <c r="N1110">
        <v>2</v>
      </c>
    </row>
    <row r="1111" spans="1:14" x14ac:dyDescent="0.3">
      <c r="A1111" t="s">
        <v>1154</v>
      </c>
      <c r="B1111" t="s">
        <v>38</v>
      </c>
      <c r="C1111" t="s">
        <v>1137</v>
      </c>
      <c r="D1111" s="1">
        <v>0.51900462962962968</v>
      </c>
      <c r="E1111" s="2">
        <f>CallLog[[#This Row],[Date]]+CallLog[[#This Row],[Time]]</f>
        <v>44216.519004629627</v>
      </c>
      <c r="F1111" s="1" t="str">
        <f>TEXT(CallLog[[#This Row],[Date]],"dddd")</f>
        <v>Wednesday</v>
      </c>
      <c r="G1111" s="3">
        <f>HOUR(CallLog[[#This Row],[Time]])</f>
        <v>12</v>
      </c>
      <c r="H1111" t="s">
        <v>32</v>
      </c>
      <c r="I1111" t="s">
        <v>14</v>
      </c>
      <c r="J1111" t="s">
        <v>14</v>
      </c>
      <c r="K1111">
        <v>77</v>
      </c>
      <c r="L1111" t="str">
        <f>IF(AND(CallLog[[#This Row],[Answered (Y/N)]]="Y", CallLog[[#This Row],[Speed of answer in seconds]]&lt;=20),
    "Within",
    "Breach")</f>
        <v>Breach</v>
      </c>
      <c r="M1111" s="1">
        <v>4.4212962962962964E-3</v>
      </c>
      <c r="N1111">
        <v>4</v>
      </c>
    </row>
    <row r="1112" spans="1:14" x14ac:dyDescent="0.3">
      <c r="A1112" t="s">
        <v>1155</v>
      </c>
      <c r="B1112" t="s">
        <v>38</v>
      </c>
      <c r="C1112" t="s">
        <v>1137</v>
      </c>
      <c r="D1112" s="1">
        <v>0.54099537037037038</v>
      </c>
      <c r="E1112" s="2">
        <f>CallLog[[#This Row],[Date]]+CallLog[[#This Row],[Time]]</f>
        <v>44216.540995370371</v>
      </c>
      <c r="F1112" s="1" t="str">
        <f>TEXT(CallLog[[#This Row],[Date]],"dddd")</f>
        <v>Wednesday</v>
      </c>
      <c r="G1112" s="3">
        <f>HOUR(CallLog[[#This Row],[Time]])</f>
        <v>12</v>
      </c>
      <c r="H1112" t="s">
        <v>17</v>
      </c>
      <c r="I1112" t="s">
        <v>14</v>
      </c>
      <c r="J1112" t="s">
        <v>14</v>
      </c>
      <c r="K1112">
        <v>93</v>
      </c>
      <c r="L1112" t="str">
        <f>IF(AND(CallLog[[#This Row],[Answered (Y/N)]]="Y", CallLog[[#This Row],[Speed of answer in seconds]]&lt;=20),
    "Within",
    "Breach")</f>
        <v>Breach</v>
      </c>
      <c r="M1112" s="1">
        <v>3.8194444444444443E-3</v>
      </c>
      <c r="N1112">
        <v>4</v>
      </c>
    </row>
    <row r="1113" spans="1:14" x14ac:dyDescent="0.3">
      <c r="A1113" t="s">
        <v>1156</v>
      </c>
      <c r="B1113" t="s">
        <v>16</v>
      </c>
      <c r="C1113" t="s">
        <v>1137</v>
      </c>
      <c r="D1113" s="1">
        <v>0.54099537037037038</v>
      </c>
      <c r="E1113" s="2">
        <f>CallLog[[#This Row],[Date]]+CallLog[[#This Row],[Time]]</f>
        <v>44216.540995370371</v>
      </c>
      <c r="F1113" s="1" t="str">
        <f>TEXT(CallLog[[#This Row],[Date]],"dddd")</f>
        <v>Wednesday</v>
      </c>
      <c r="G1113" s="3">
        <f>HOUR(CallLog[[#This Row],[Time]])</f>
        <v>12</v>
      </c>
      <c r="H1113" t="s">
        <v>32</v>
      </c>
      <c r="I1113" t="s">
        <v>14</v>
      </c>
      <c r="J1113" t="s">
        <v>14</v>
      </c>
      <c r="K1113">
        <v>101</v>
      </c>
      <c r="L1113" t="str">
        <f>IF(AND(CallLog[[#This Row],[Answered (Y/N)]]="Y", CallLog[[#This Row],[Speed of answer in seconds]]&lt;=20),
    "Within",
    "Breach")</f>
        <v>Breach</v>
      </c>
      <c r="M1113" s="1">
        <v>2.3379629629629631E-3</v>
      </c>
      <c r="N1113">
        <v>5</v>
      </c>
    </row>
    <row r="1114" spans="1:14" x14ac:dyDescent="0.3">
      <c r="A1114" t="s">
        <v>1157</v>
      </c>
      <c r="B1114" t="s">
        <v>20</v>
      </c>
      <c r="C1114" t="s">
        <v>1137</v>
      </c>
      <c r="D1114" s="1">
        <v>0.54200231481481487</v>
      </c>
      <c r="E1114" s="2">
        <f>CallLog[[#This Row],[Date]]+CallLog[[#This Row],[Time]]</f>
        <v>44216.542002314818</v>
      </c>
      <c r="F1114" s="1" t="str">
        <f>TEXT(CallLog[[#This Row],[Date]],"dddd")</f>
        <v>Wednesday</v>
      </c>
      <c r="G1114" s="3">
        <f>HOUR(CallLog[[#This Row],[Time]])</f>
        <v>13</v>
      </c>
      <c r="H1114" t="s">
        <v>24</v>
      </c>
      <c r="I1114" t="s">
        <v>14</v>
      </c>
      <c r="J1114" t="s">
        <v>14</v>
      </c>
      <c r="K1114">
        <v>34</v>
      </c>
      <c r="L1114" t="str">
        <f>IF(AND(CallLog[[#This Row],[Answered (Y/N)]]="Y", CallLog[[#This Row],[Speed of answer in seconds]]&lt;=20),
    "Within",
    "Breach")</f>
        <v>Breach</v>
      </c>
      <c r="M1114" s="1">
        <v>3.9351851851851852E-4</v>
      </c>
      <c r="N1114">
        <v>5</v>
      </c>
    </row>
    <row r="1115" spans="1:14" x14ac:dyDescent="0.3">
      <c r="A1115" t="s">
        <v>1158</v>
      </c>
      <c r="B1115" t="s">
        <v>20</v>
      </c>
      <c r="C1115" t="s">
        <v>1137</v>
      </c>
      <c r="D1115" s="1">
        <v>0.54200231481481487</v>
      </c>
      <c r="E1115" s="2">
        <f>CallLog[[#This Row],[Date]]+CallLog[[#This Row],[Time]]</f>
        <v>44216.542002314818</v>
      </c>
      <c r="F1115" s="1" t="str">
        <f>TEXT(CallLog[[#This Row],[Date]],"dddd")</f>
        <v>Wednesday</v>
      </c>
      <c r="G1115" s="3">
        <f>HOUR(CallLog[[#This Row],[Time]])</f>
        <v>13</v>
      </c>
      <c r="H1115" t="s">
        <v>24</v>
      </c>
      <c r="I1115" t="s">
        <v>14</v>
      </c>
      <c r="J1115" t="s">
        <v>14</v>
      </c>
      <c r="K1115">
        <v>64</v>
      </c>
      <c r="L1115" t="str">
        <f>IF(AND(CallLog[[#This Row],[Answered (Y/N)]]="Y", CallLog[[#This Row],[Speed of answer in seconds]]&lt;=20),
    "Within",
    "Breach")</f>
        <v>Breach</v>
      </c>
      <c r="M1115" s="1">
        <v>1.0879629629629629E-3</v>
      </c>
      <c r="N1115">
        <v>5</v>
      </c>
    </row>
    <row r="1116" spans="1:14" x14ac:dyDescent="0.3">
      <c r="A1116" t="s">
        <v>1159</v>
      </c>
      <c r="B1116" t="s">
        <v>22</v>
      </c>
      <c r="C1116" t="s">
        <v>1137</v>
      </c>
      <c r="D1116" s="1">
        <v>0.56000000000000005</v>
      </c>
      <c r="E1116" s="2">
        <f>CallLog[[#This Row],[Date]]+CallLog[[#This Row],[Time]]</f>
        <v>44216.56</v>
      </c>
      <c r="F1116" s="1" t="str">
        <f>TEXT(CallLog[[#This Row],[Date]],"dddd")</f>
        <v>Wednesday</v>
      </c>
      <c r="G1116" s="3">
        <f>HOUR(CallLog[[#This Row],[Time]])</f>
        <v>13</v>
      </c>
      <c r="H1116" t="s">
        <v>17</v>
      </c>
      <c r="I1116" t="s">
        <v>14</v>
      </c>
      <c r="J1116" t="s">
        <v>18</v>
      </c>
      <c r="K1116">
        <v>25</v>
      </c>
      <c r="L1116" t="str">
        <f>IF(AND(CallLog[[#This Row],[Answered (Y/N)]]="Y", CallLog[[#This Row],[Speed of answer in seconds]]&lt;=20),
    "Within",
    "Breach")</f>
        <v>Breach</v>
      </c>
      <c r="M1116" s="1">
        <v>4.5370370370370373E-3</v>
      </c>
      <c r="N1116">
        <v>3</v>
      </c>
    </row>
    <row r="1117" spans="1:14" x14ac:dyDescent="0.3">
      <c r="A1117" t="s">
        <v>1160</v>
      </c>
      <c r="B1117" t="s">
        <v>31</v>
      </c>
      <c r="C1117" t="s">
        <v>1137</v>
      </c>
      <c r="D1117" s="1">
        <v>0.56000000000000005</v>
      </c>
      <c r="E1117" s="2">
        <f>CallLog[[#This Row],[Date]]+CallLog[[#This Row],[Time]]</f>
        <v>44216.56</v>
      </c>
      <c r="F1117" s="1" t="str">
        <f>TEXT(CallLog[[#This Row],[Date]],"dddd")</f>
        <v>Wednesday</v>
      </c>
      <c r="G1117" s="3">
        <f>HOUR(CallLog[[#This Row],[Time]])</f>
        <v>13</v>
      </c>
      <c r="H1117" t="s">
        <v>29</v>
      </c>
      <c r="I1117" t="s">
        <v>14</v>
      </c>
      <c r="J1117" t="s">
        <v>14</v>
      </c>
      <c r="K1117">
        <v>122</v>
      </c>
      <c r="L1117" t="str">
        <f>IF(AND(CallLog[[#This Row],[Answered (Y/N)]]="Y", CallLog[[#This Row],[Speed of answer in seconds]]&lt;=20),
    "Within",
    "Breach")</f>
        <v>Breach</v>
      </c>
      <c r="M1117" s="1">
        <v>1.5393518518518519E-3</v>
      </c>
      <c r="N1117">
        <v>4</v>
      </c>
    </row>
    <row r="1118" spans="1:14" x14ac:dyDescent="0.3">
      <c r="A1118" t="s">
        <v>1161</v>
      </c>
      <c r="B1118" t="s">
        <v>20</v>
      </c>
      <c r="C1118" t="s">
        <v>1137</v>
      </c>
      <c r="D1118" s="1">
        <v>0.56000000000000005</v>
      </c>
      <c r="E1118" s="2">
        <f>CallLog[[#This Row],[Date]]+CallLog[[#This Row],[Time]]</f>
        <v>44216.56</v>
      </c>
      <c r="F1118" s="1" t="str">
        <f>TEXT(CallLog[[#This Row],[Date]],"dddd")</f>
        <v>Wednesday</v>
      </c>
      <c r="G1118" s="3">
        <f>HOUR(CallLog[[#This Row],[Time]])</f>
        <v>13</v>
      </c>
      <c r="H1118" t="s">
        <v>32</v>
      </c>
      <c r="I1118" t="s">
        <v>14</v>
      </c>
      <c r="J1118" t="s">
        <v>14</v>
      </c>
      <c r="K1118">
        <v>36</v>
      </c>
      <c r="L1118" t="str">
        <f>IF(AND(CallLog[[#This Row],[Answered (Y/N)]]="Y", CallLog[[#This Row],[Speed of answer in seconds]]&lt;=20),
    "Within",
    "Breach")</f>
        <v>Breach</v>
      </c>
      <c r="M1118" s="1">
        <v>7.0601851851851847E-4</v>
      </c>
      <c r="N1118">
        <v>4</v>
      </c>
    </row>
    <row r="1119" spans="1:14" x14ac:dyDescent="0.3">
      <c r="A1119" t="s">
        <v>1162</v>
      </c>
      <c r="B1119" t="s">
        <v>20</v>
      </c>
      <c r="C1119" t="s">
        <v>1137</v>
      </c>
      <c r="D1119" s="1">
        <v>0.56000000000000005</v>
      </c>
      <c r="E1119" s="2">
        <f>CallLog[[#This Row],[Date]]+CallLog[[#This Row],[Time]]</f>
        <v>44216.56</v>
      </c>
      <c r="F1119" s="1" t="str">
        <f>TEXT(CallLog[[#This Row],[Date]],"dddd")</f>
        <v>Wednesday</v>
      </c>
      <c r="G1119" s="3">
        <f>HOUR(CallLog[[#This Row],[Time]])</f>
        <v>13</v>
      </c>
      <c r="H1119" t="s">
        <v>13</v>
      </c>
      <c r="I1119" t="s">
        <v>14</v>
      </c>
      <c r="J1119" t="s">
        <v>14</v>
      </c>
      <c r="K1119">
        <v>37</v>
      </c>
      <c r="L1119" t="str">
        <f>IF(AND(CallLog[[#This Row],[Answered (Y/N)]]="Y", CallLog[[#This Row],[Speed of answer in seconds]]&lt;=20),
    "Within",
    "Breach")</f>
        <v>Breach</v>
      </c>
      <c r="M1119" s="1">
        <v>1.0879629629629629E-3</v>
      </c>
      <c r="N1119">
        <v>3</v>
      </c>
    </row>
    <row r="1120" spans="1:14" x14ac:dyDescent="0.3">
      <c r="A1120" t="s">
        <v>1163</v>
      </c>
      <c r="B1120" t="s">
        <v>34</v>
      </c>
      <c r="C1120" t="s">
        <v>1137</v>
      </c>
      <c r="D1120" s="1">
        <v>0.58299768518518513</v>
      </c>
      <c r="E1120" s="2">
        <f>CallLog[[#This Row],[Date]]+CallLog[[#This Row],[Time]]</f>
        <v>44216.582997685182</v>
      </c>
      <c r="F1120" s="1" t="str">
        <f>TEXT(CallLog[[#This Row],[Date]],"dddd")</f>
        <v>Wednesday</v>
      </c>
      <c r="G1120" s="3">
        <f>HOUR(CallLog[[#This Row],[Time]])</f>
        <v>13</v>
      </c>
      <c r="H1120" t="s">
        <v>32</v>
      </c>
      <c r="I1120" t="s">
        <v>14</v>
      </c>
      <c r="J1120" t="s">
        <v>14</v>
      </c>
      <c r="K1120">
        <v>112</v>
      </c>
      <c r="L1120" t="str">
        <f>IF(AND(CallLog[[#This Row],[Answered (Y/N)]]="Y", CallLog[[#This Row],[Speed of answer in seconds]]&lt;=20),
    "Within",
    "Breach")</f>
        <v>Breach</v>
      </c>
      <c r="M1120" s="1">
        <v>4.6990740740740743E-3</v>
      </c>
      <c r="N1120">
        <v>3</v>
      </c>
    </row>
    <row r="1121" spans="1:14" x14ac:dyDescent="0.3">
      <c r="A1121" t="s">
        <v>1164</v>
      </c>
      <c r="B1121" t="s">
        <v>11</v>
      </c>
      <c r="C1121" t="s">
        <v>1137</v>
      </c>
      <c r="D1121" s="1">
        <v>0.58299768518518513</v>
      </c>
      <c r="E1121" s="2">
        <f>CallLog[[#This Row],[Date]]+CallLog[[#This Row],[Time]]</f>
        <v>44216.582997685182</v>
      </c>
      <c r="F1121" s="1" t="str">
        <f>TEXT(CallLog[[#This Row],[Date]],"dddd")</f>
        <v>Wednesday</v>
      </c>
      <c r="G1121" s="3">
        <f>HOUR(CallLog[[#This Row],[Time]])</f>
        <v>13</v>
      </c>
      <c r="H1121" t="s">
        <v>24</v>
      </c>
      <c r="I1121" t="s">
        <v>18</v>
      </c>
      <c r="J1121" t="s">
        <v>18</v>
      </c>
      <c r="L1121" t="str">
        <f>IF(AND(CallLog[[#This Row],[Answered (Y/N)]]="Y", CallLog[[#This Row],[Speed of answer in seconds]]&lt;=20),
    "Within",
    "Breach")</f>
        <v>Breach</v>
      </c>
    </row>
    <row r="1122" spans="1:14" x14ac:dyDescent="0.3">
      <c r="A1122" t="s">
        <v>1165</v>
      </c>
      <c r="B1122" t="s">
        <v>31</v>
      </c>
      <c r="C1122" t="s">
        <v>1137</v>
      </c>
      <c r="D1122" s="1">
        <v>0.58599537037037042</v>
      </c>
      <c r="E1122" s="2">
        <f>CallLog[[#This Row],[Date]]+CallLog[[#This Row],[Time]]</f>
        <v>44216.585995370369</v>
      </c>
      <c r="F1122" s="1" t="str">
        <f>TEXT(CallLog[[#This Row],[Date]],"dddd")</f>
        <v>Wednesday</v>
      </c>
      <c r="G1122" s="3">
        <f>HOUR(CallLog[[#This Row],[Time]])</f>
        <v>14</v>
      </c>
      <c r="H1122" t="s">
        <v>29</v>
      </c>
      <c r="I1122" t="s">
        <v>14</v>
      </c>
      <c r="J1122" t="s">
        <v>14</v>
      </c>
      <c r="K1122">
        <v>57</v>
      </c>
      <c r="L1122" t="str">
        <f>IF(AND(CallLog[[#This Row],[Answered (Y/N)]]="Y", CallLog[[#This Row],[Speed of answer in seconds]]&lt;=20),
    "Within",
    "Breach")</f>
        <v>Breach</v>
      </c>
      <c r="M1122" s="1">
        <v>3.3912037037037036E-3</v>
      </c>
      <c r="N1122">
        <v>3</v>
      </c>
    </row>
    <row r="1123" spans="1:14" x14ac:dyDescent="0.3">
      <c r="A1123" t="s">
        <v>1166</v>
      </c>
      <c r="B1123" t="s">
        <v>31</v>
      </c>
      <c r="C1123" t="s">
        <v>1137</v>
      </c>
      <c r="D1123" s="1">
        <v>0.58599537037037042</v>
      </c>
      <c r="E1123" s="2">
        <f>CallLog[[#This Row],[Date]]+CallLog[[#This Row],[Time]]</f>
        <v>44216.585995370369</v>
      </c>
      <c r="F1123" s="1" t="str">
        <f>TEXT(CallLog[[#This Row],[Date]],"dddd")</f>
        <v>Wednesday</v>
      </c>
      <c r="G1123" s="3">
        <f>HOUR(CallLog[[#This Row],[Time]])</f>
        <v>14</v>
      </c>
      <c r="H1123" t="s">
        <v>29</v>
      </c>
      <c r="I1123" t="s">
        <v>14</v>
      </c>
      <c r="J1123" t="s">
        <v>14</v>
      </c>
      <c r="K1123">
        <v>14</v>
      </c>
      <c r="L1123" t="str">
        <f>IF(AND(CallLog[[#This Row],[Answered (Y/N)]]="Y", CallLog[[#This Row],[Speed of answer in seconds]]&lt;=20),
    "Within",
    "Breach")</f>
        <v>Within</v>
      </c>
      <c r="M1123" s="1">
        <v>1.712962962962963E-3</v>
      </c>
      <c r="N1123">
        <v>3</v>
      </c>
    </row>
    <row r="1124" spans="1:14" x14ac:dyDescent="0.3">
      <c r="A1124" t="s">
        <v>1167</v>
      </c>
      <c r="B1124" t="s">
        <v>16</v>
      </c>
      <c r="C1124" t="s">
        <v>1137</v>
      </c>
      <c r="D1124" s="1">
        <v>0.66700231481481487</v>
      </c>
      <c r="E1124" s="2">
        <f>CallLog[[#This Row],[Date]]+CallLog[[#This Row],[Time]]</f>
        <v>44216.667002314818</v>
      </c>
      <c r="F1124" s="1" t="str">
        <f>TEXT(CallLog[[#This Row],[Date]],"dddd")</f>
        <v>Wednesday</v>
      </c>
      <c r="G1124" s="3">
        <f>HOUR(CallLog[[#This Row],[Time]])</f>
        <v>16</v>
      </c>
      <c r="H1124" t="s">
        <v>29</v>
      </c>
      <c r="I1124" t="s">
        <v>14</v>
      </c>
      <c r="J1124" t="s">
        <v>14</v>
      </c>
      <c r="K1124">
        <v>72</v>
      </c>
      <c r="L1124" t="str">
        <f>IF(AND(CallLog[[#This Row],[Answered (Y/N)]]="Y", CallLog[[#This Row],[Speed of answer in seconds]]&lt;=20),
    "Within",
    "Breach")</f>
        <v>Breach</v>
      </c>
      <c r="M1124" s="1">
        <v>2.9050925925925928E-3</v>
      </c>
      <c r="N1124">
        <v>2</v>
      </c>
    </row>
    <row r="1125" spans="1:14" x14ac:dyDescent="0.3">
      <c r="A1125" t="s">
        <v>1168</v>
      </c>
      <c r="B1125" t="s">
        <v>16</v>
      </c>
      <c r="C1125" t="s">
        <v>1137</v>
      </c>
      <c r="D1125" s="1">
        <v>0.66700231481481487</v>
      </c>
      <c r="E1125" s="2">
        <f>CallLog[[#This Row],[Date]]+CallLog[[#This Row],[Time]]</f>
        <v>44216.667002314818</v>
      </c>
      <c r="F1125" s="1" t="str">
        <f>TEXT(CallLog[[#This Row],[Date]],"dddd")</f>
        <v>Wednesday</v>
      </c>
      <c r="G1125" s="3">
        <f>HOUR(CallLog[[#This Row],[Time]])</f>
        <v>16</v>
      </c>
      <c r="H1125" t="s">
        <v>29</v>
      </c>
      <c r="I1125" t="s">
        <v>14</v>
      </c>
      <c r="J1125" t="s">
        <v>14</v>
      </c>
      <c r="K1125">
        <v>60</v>
      </c>
      <c r="L1125" t="str">
        <f>IF(AND(CallLog[[#This Row],[Answered (Y/N)]]="Y", CallLog[[#This Row],[Speed of answer in seconds]]&lt;=20),
    "Within",
    "Breach")</f>
        <v>Breach</v>
      </c>
      <c r="M1125" s="1">
        <v>4.5370370370370373E-3</v>
      </c>
      <c r="N1125">
        <v>3</v>
      </c>
    </row>
    <row r="1126" spans="1:14" x14ac:dyDescent="0.3">
      <c r="A1126" t="s">
        <v>1169</v>
      </c>
      <c r="B1126" t="s">
        <v>16</v>
      </c>
      <c r="C1126" t="s">
        <v>1137</v>
      </c>
      <c r="D1126" s="1">
        <v>0.68099537037037039</v>
      </c>
      <c r="E1126" s="2">
        <f>CallLog[[#This Row],[Date]]+CallLog[[#This Row],[Time]]</f>
        <v>44216.680995370371</v>
      </c>
      <c r="F1126" s="1" t="str">
        <f>TEXT(CallLog[[#This Row],[Date]],"dddd")</f>
        <v>Wednesday</v>
      </c>
      <c r="G1126" s="3">
        <f>HOUR(CallLog[[#This Row],[Time]])</f>
        <v>16</v>
      </c>
      <c r="H1126" t="s">
        <v>24</v>
      </c>
      <c r="I1126" t="s">
        <v>14</v>
      </c>
      <c r="J1126" t="s">
        <v>14</v>
      </c>
      <c r="K1126">
        <v>52</v>
      </c>
      <c r="L1126" t="str">
        <f>IF(AND(CallLog[[#This Row],[Answered (Y/N)]]="Y", CallLog[[#This Row],[Speed of answer in seconds]]&lt;=20),
    "Within",
    "Breach")</f>
        <v>Breach</v>
      </c>
      <c r="M1126" s="1">
        <v>2.0486111111111113E-3</v>
      </c>
      <c r="N1126">
        <v>5</v>
      </c>
    </row>
    <row r="1127" spans="1:14" x14ac:dyDescent="0.3">
      <c r="A1127" t="s">
        <v>1170</v>
      </c>
      <c r="B1127" t="s">
        <v>20</v>
      </c>
      <c r="C1127" t="s">
        <v>1137</v>
      </c>
      <c r="D1127" s="1">
        <v>0.68099537037037039</v>
      </c>
      <c r="E1127" s="2">
        <f>CallLog[[#This Row],[Date]]+CallLog[[#This Row],[Time]]</f>
        <v>44216.680995370371</v>
      </c>
      <c r="F1127" s="1" t="str">
        <f>TEXT(CallLog[[#This Row],[Date]],"dddd")</f>
        <v>Wednesday</v>
      </c>
      <c r="G1127" s="3">
        <f>HOUR(CallLog[[#This Row],[Time]])</f>
        <v>16</v>
      </c>
      <c r="H1127" t="s">
        <v>13</v>
      </c>
      <c r="I1127" t="s">
        <v>18</v>
      </c>
      <c r="J1127" t="s">
        <v>18</v>
      </c>
      <c r="L1127" t="str">
        <f>IF(AND(CallLog[[#This Row],[Answered (Y/N)]]="Y", CallLog[[#This Row],[Speed of answer in seconds]]&lt;=20),
    "Within",
    "Breach")</f>
        <v>Breach</v>
      </c>
    </row>
    <row r="1128" spans="1:14" x14ac:dyDescent="0.3">
      <c r="A1128" t="s">
        <v>1171</v>
      </c>
      <c r="B1128" t="s">
        <v>34</v>
      </c>
      <c r="C1128" t="s">
        <v>1137</v>
      </c>
      <c r="D1128" s="1">
        <v>0.73799768518518516</v>
      </c>
      <c r="E1128" s="2">
        <f>CallLog[[#This Row],[Date]]+CallLog[[#This Row],[Time]]</f>
        <v>44216.737997685188</v>
      </c>
      <c r="F1128" s="1" t="str">
        <f>TEXT(CallLog[[#This Row],[Date]],"dddd")</f>
        <v>Wednesday</v>
      </c>
      <c r="G1128" s="3">
        <f>HOUR(CallLog[[#This Row],[Time]])</f>
        <v>17</v>
      </c>
      <c r="H1128" t="s">
        <v>32</v>
      </c>
      <c r="I1128" t="s">
        <v>14</v>
      </c>
      <c r="J1128" t="s">
        <v>14</v>
      </c>
      <c r="K1128">
        <v>73</v>
      </c>
      <c r="L1128" t="str">
        <f>IF(AND(CallLog[[#This Row],[Answered (Y/N)]]="Y", CallLog[[#This Row],[Speed of answer in seconds]]&lt;=20),
    "Within",
    "Breach")</f>
        <v>Breach</v>
      </c>
      <c r="M1128" s="1">
        <v>5.2083333333333333E-4</v>
      </c>
      <c r="N1128">
        <v>3</v>
      </c>
    </row>
    <row r="1129" spans="1:14" x14ac:dyDescent="0.3">
      <c r="A1129" t="s">
        <v>1172</v>
      </c>
      <c r="B1129" t="s">
        <v>16</v>
      </c>
      <c r="C1129" t="s">
        <v>1137</v>
      </c>
      <c r="D1129" s="1">
        <v>0.73799768518518516</v>
      </c>
      <c r="E1129" s="2">
        <f>CallLog[[#This Row],[Date]]+CallLog[[#This Row],[Time]]</f>
        <v>44216.737997685188</v>
      </c>
      <c r="F1129" s="1" t="str">
        <f>TEXT(CallLog[[#This Row],[Date]],"dddd")</f>
        <v>Wednesday</v>
      </c>
      <c r="G1129" s="3">
        <f>HOUR(CallLog[[#This Row],[Time]])</f>
        <v>17</v>
      </c>
      <c r="H1129" t="s">
        <v>13</v>
      </c>
      <c r="I1129" t="s">
        <v>14</v>
      </c>
      <c r="J1129" t="s">
        <v>14</v>
      </c>
      <c r="K1129">
        <v>108</v>
      </c>
      <c r="L1129" t="str">
        <f>IF(AND(CallLog[[#This Row],[Answered (Y/N)]]="Y", CallLog[[#This Row],[Speed of answer in seconds]]&lt;=20),
    "Within",
    "Breach")</f>
        <v>Breach</v>
      </c>
      <c r="M1129" s="1">
        <v>1.6203703703703703E-3</v>
      </c>
      <c r="N1129">
        <v>4</v>
      </c>
    </row>
    <row r="1130" spans="1:14" x14ac:dyDescent="0.3">
      <c r="A1130" t="s">
        <v>1173</v>
      </c>
      <c r="B1130" t="s">
        <v>34</v>
      </c>
      <c r="C1130" t="s">
        <v>1137</v>
      </c>
      <c r="D1130" s="1">
        <v>0.74700231481481483</v>
      </c>
      <c r="E1130" s="2">
        <f>CallLog[[#This Row],[Date]]+CallLog[[#This Row],[Time]]</f>
        <v>44216.747002314813</v>
      </c>
      <c r="F1130" s="1" t="str">
        <f>TEXT(CallLog[[#This Row],[Date]],"dddd")</f>
        <v>Wednesday</v>
      </c>
      <c r="G1130" s="3">
        <f>HOUR(CallLog[[#This Row],[Time]])</f>
        <v>17</v>
      </c>
      <c r="H1130" t="s">
        <v>32</v>
      </c>
      <c r="I1130" t="s">
        <v>14</v>
      </c>
      <c r="J1130" t="s">
        <v>14</v>
      </c>
      <c r="K1130">
        <v>50</v>
      </c>
      <c r="L1130" t="str">
        <f>IF(AND(CallLog[[#This Row],[Answered (Y/N)]]="Y", CallLog[[#This Row],[Speed of answer in seconds]]&lt;=20),
    "Within",
    "Breach")</f>
        <v>Breach</v>
      </c>
      <c r="M1130" s="1">
        <v>1.25E-3</v>
      </c>
      <c r="N1130">
        <v>4</v>
      </c>
    </row>
    <row r="1131" spans="1:14" x14ac:dyDescent="0.3">
      <c r="A1131" t="s">
        <v>1174</v>
      </c>
      <c r="B1131" t="s">
        <v>20</v>
      </c>
      <c r="C1131" t="s">
        <v>1137</v>
      </c>
      <c r="D1131" s="1">
        <v>0.74700231481481483</v>
      </c>
      <c r="E1131" s="2">
        <f>CallLog[[#This Row],[Date]]+CallLog[[#This Row],[Time]]</f>
        <v>44216.747002314813</v>
      </c>
      <c r="F1131" s="1" t="str">
        <f>TEXT(CallLog[[#This Row],[Date]],"dddd")</f>
        <v>Wednesday</v>
      </c>
      <c r="G1131" s="3">
        <f>HOUR(CallLog[[#This Row],[Time]])</f>
        <v>17</v>
      </c>
      <c r="H1131" t="s">
        <v>17</v>
      </c>
      <c r="I1131" t="s">
        <v>18</v>
      </c>
      <c r="J1131" t="s">
        <v>18</v>
      </c>
      <c r="L1131" t="str">
        <f>IF(AND(CallLog[[#This Row],[Answered (Y/N)]]="Y", CallLog[[#This Row],[Speed of answer in seconds]]&lt;=20),
    "Within",
    "Breach")</f>
        <v>Breach</v>
      </c>
    </row>
    <row r="1132" spans="1:14" x14ac:dyDescent="0.3">
      <c r="A1132" t="s">
        <v>1175</v>
      </c>
      <c r="B1132" t="s">
        <v>34</v>
      </c>
      <c r="C1132" t="s">
        <v>1137</v>
      </c>
      <c r="D1132" s="1">
        <v>0.74799768518518517</v>
      </c>
      <c r="E1132" s="2">
        <f>CallLog[[#This Row],[Date]]+CallLog[[#This Row],[Time]]</f>
        <v>44216.747997685183</v>
      </c>
      <c r="F1132" s="1" t="str">
        <f>TEXT(CallLog[[#This Row],[Date]],"dddd")</f>
        <v>Wednesday</v>
      </c>
      <c r="G1132" s="3">
        <f>HOUR(CallLog[[#This Row],[Time]])</f>
        <v>17</v>
      </c>
      <c r="H1132" t="s">
        <v>29</v>
      </c>
      <c r="I1132" t="s">
        <v>14</v>
      </c>
      <c r="J1132" t="s">
        <v>18</v>
      </c>
      <c r="K1132">
        <v>100</v>
      </c>
      <c r="L1132" t="str">
        <f>IF(AND(CallLog[[#This Row],[Answered (Y/N)]]="Y", CallLog[[#This Row],[Speed of answer in seconds]]&lt;=20),
    "Within",
    "Breach")</f>
        <v>Breach</v>
      </c>
      <c r="M1132" s="1">
        <v>2.8240740740740739E-3</v>
      </c>
      <c r="N1132">
        <v>2</v>
      </c>
    </row>
    <row r="1133" spans="1:14" x14ac:dyDescent="0.3">
      <c r="A1133" t="s">
        <v>1176</v>
      </c>
      <c r="B1133" t="s">
        <v>34</v>
      </c>
      <c r="C1133" t="s">
        <v>1137</v>
      </c>
      <c r="D1133" s="1">
        <v>0.74799768518518517</v>
      </c>
      <c r="E1133" s="2">
        <f>CallLog[[#This Row],[Date]]+CallLog[[#This Row],[Time]]</f>
        <v>44216.747997685183</v>
      </c>
      <c r="F1133" s="1" t="str">
        <f>TEXT(CallLog[[#This Row],[Date]],"dddd")</f>
        <v>Wednesday</v>
      </c>
      <c r="G1133" s="3">
        <f>HOUR(CallLog[[#This Row],[Time]])</f>
        <v>17</v>
      </c>
      <c r="H1133" t="s">
        <v>17</v>
      </c>
      <c r="I1133" t="s">
        <v>14</v>
      </c>
      <c r="J1133" t="s">
        <v>14</v>
      </c>
      <c r="K1133">
        <v>69</v>
      </c>
      <c r="L1133" t="str">
        <f>IF(AND(CallLog[[#This Row],[Answered (Y/N)]]="Y", CallLog[[#This Row],[Speed of answer in seconds]]&lt;=20),
    "Within",
    "Breach")</f>
        <v>Breach</v>
      </c>
      <c r="M1133" s="1">
        <v>9.4907407407407408E-4</v>
      </c>
      <c r="N1133">
        <v>3</v>
      </c>
    </row>
    <row r="1134" spans="1:14" x14ac:dyDescent="0.3">
      <c r="A1134" t="s">
        <v>1177</v>
      </c>
      <c r="B1134" t="s">
        <v>16</v>
      </c>
      <c r="C1134" t="s">
        <v>1178</v>
      </c>
      <c r="D1134" s="1">
        <v>0.38900462962962962</v>
      </c>
      <c r="E1134" s="2">
        <f>CallLog[[#This Row],[Date]]+CallLog[[#This Row],[Time]]</f>
        <v>44217.389004629629</v>
      </c>
      <c r="F1134" s="1" t="str">
        <f>TEXT(CallLog[[#This Row],[Date]],"dddd")</f>
        <v>Thursday</v>
      </c>
      <c r="G1134" s="3">
        <f>HOUR(CallLog[[#This Row],[Time]])</f>
        <v>9</v>
      </c>
      <c r="H1134" t="s">
        <v>32</v>
      </c>
      <c r="I1134" t="s">
        <v>14</v>
      </c>
      <c r="J1134" t="s">
        <v>14</v>
      </c>
      <c r="K1134">
        <v>39</v>
      </c>
      <c r="L1134" t="str">
        <f>IF(AND(CallLog[[#This Row],[Answered (Y/N)]]="Y", CallLog[[#This Row],[Speed of answer in seconds]]&lt;=20),
    "Within",
    "Breach")</f>
        <v>Breach</v>
      </c>
      <c r="M1134" s="1">
        <v>1.5162037037037036E-3</v>
      </c>
      <c r="N1134">
        <v>1</v>
      </c>
    </row>
    <row r="1135" spans="1:14" x14ac:dyDescent="0.3">
      <c r="A1135" t="s">
        <v>1179</v>
      </c>
      <c r="B1135" t="s">
        <v>31</v>
      </c>
      <c r="C1135" t="s">
        <v>1178</v>
      </c>
      <c r="D1135" s="1">
        <v>0.38900462962962962</v>
      </c>
      <c r="E1135" s="2">
        <f>CallLog[[#This Row],[Date]]+CallLog[[#This Row],[Time]]</f>
        <v>44217.389004629629</v>
      </c>
      <c r="F1135" s="1" t="str">
        <f>TEXT(CallLog[[#This Row],[Date]],"dddd")</f>
        <v>Thursday</v>
      </c>
      <c r="G1135" s="3">
        <f>HOUR(CallLog[[#This Row],[Time]])</f>
        <v>9</v>
      </c>
      <c r="H1135" t="s">
        <v>17</v>
      </c>
      <c r="I1135" t="s">
        <v>14</v>
      </c>
      <c r="J1135" t="s">
        <v>14</v>
      </c>
      <c r="K1135">
        <v>71</v>
      </c>
      <c r="L1135" t="str">
        <f>IF(AND(CallLog[[#This Row],[Answered (Y/N)]]="Y", CallLog[[#This Row],[Speed of answer in seconds]]&lt;=20),
    "Within",
    "Breach")</f>
        <v>Breach</v>
      </c>
      <c r="M1135" s="1">
        <v>2.0138888888888888E-3</v>
      </c>
      <c r="N1135">
        <v>5</v>
      </c>
    </row>
    <row r="1136" spans="1:14" x14ac:dyDescent="0.3">
      <c r="A1136" t="s">
        <v>1180</v>
      </c>
      <c r="B1136" t="s">
        <v>47</v>
      </c>
      <c r="C1136" t="s">
        <v>1178</v>
      </c>
      <c r="D1136" s="1">
        <v>0.40099537037037036</v>
      </c>
      <c r="E1136" s="2">
        <f>CallLog[[#This Row],[Date]]+CallLog[[#This Row],[Time]]</f>
        <v>44217.400995370372</v>
      </c>
      <c r="F1136" s="1" t="str">
        <f>TEXT(CallLog[[#This Row],[Date]],"dddd")</f>
        <v>Thursday</v>
      </c>
      <c r="G1136" s="3">
        <f>HOUR(CallLog[[#This Row],[Time]])</f>
        <v>9</v>
      </c>
      <c r="H1136" t="s">
        <v>32</v>
      </c>
      <c r="I1136" t="s">
        <v>18</v>
      </c>
      <c r="J1136" t="s">
        <v>18</v>
      </c>
      <c r="L1136" t="str">
        <f>IF(AND(CallLog[[#This Row],[Answered (Y/N)]]="Y", CallLog[[#This Row],[Speed of answer in seconds]]&lt;=20),
    "Within",
    "Breach")</f>
        <v>Breach</v>
      </c>
    </row>
    <row r="1137" spans="1:14" x14ac:dyDescent="0.3">
      <c r="A1137" t="s">
        <v>1181</v>
      </c>
      <c r="B1137" t="s">
        <v>22</v>
      </c>
      <c r="C1137" t="s">
        <v>1178</v>
      </c>
      <c r="D1137" s="1">
        <v>0.40099537037037036</v>
      </c>
      <c r="E1137" s="2">
        <f>CallLog[[#This Row],[Date]]+CallLog[[#This Row],[Time]]</f>
        <v>44217.400995370372</v>
      </c>
      <c r="F1137" s="1" t="str">
        <f>TEXT(CallLog[[#This Row],[Date]],"dddd")</f>
        <v>Thursday</v>
      </c>
      <c r="G1137" s="3">
        <f>HOUR(CallLog[[#This Row],[Time]])</f>
        <v>9</v>
      </c>
      <c r="H1137" t="s">
        <v>17</v>
      </c>
      <c r="I1137" t="s">
        <v>14</v>
      </c>
      <c r="J1137" t="s">
        <v>14</v>
      </c>
      <c r="K1137">
        <v>79</v>
      </c>
      <c r="L1137" t="str">
        <f>IF(AND(CallLog[[#This Row],[Answered (Y/N)]]="Y", CallLog[[#This Row],[Speed of answer in seconds]]&lt;=20),
    "Within",
    "Breach")</f>
        <v>Breach</v>
      </c>
      <c r="M1137" s="1">
        <v>9.1435185185185185E-4</v>
      </c>
      <c r="N1137">
        <v>5</v>
      </c>
    </row>
    <row r="1138" spans="1:14" x14ac:dyDescent="0.3">
      <c r="A1138" t="s">
        <v>1182</v>
      </c>
      <c r="B1138" t="s">
        <v>38</v>
      </c>
      <c r="C1138" t="s">
        <v>1178</v>
      </c>
      <c r="D1138" s="1">
        <v>0.41400462962962964</v>
      </c>
      <c r="E1138" s="2">
        <f>CallLog[[#This Row],[Date]]+CallLog[[#This Row],[Time]]</f>
        <v>44217.414004629631</v>
      </c>
      <c r="F1138" s="1" t="str">
        <f>TEXT(CallLog[[#This Row],[Date]],"dddd")</f>
        <v>Thursday</v>
      </c>
      <c r="G1138" s="3">
        <f>HOUR(CallLog[[#This Row],[Time]])</f>
        <v>9</v>
      </c>
      <c r="H1138" t="s">
        <v>13</v>
      </c>
      <c r="I1138" t="s">
        <v>14</v>
      </c>
      <c r="J1138" t="s">
        <v>14</v>
      </c>
      <c r="K1138">
        <v>57</v>
      </c>
      <c r="L1138" t="str">
        <f>IF(AND(CallLog[[#This Row],[Answered (Y/N)]]="Y", CallLog[[#This Row],[Speed of answer in seconds]]&lt;=20),
    "Within",
    "Breach")</f>
        <v>Breach</v>
      </c>
      <c r="M1138" s="1">
        <v>3.7499999999999999E-3</v>
      </c>
      <c r="N1138">
        <v>3</v>
      </c>
    </row>
    <row r="1139" spans="1:14" x14ac:dyDescent="0.3">
      <c r="A1139" t="s">
        <v>1183</v>
      </c>
      <c r="B1139" t="s">
        <v>11</v>
      </c>
      <c r="C1139" t="s">
        <v>1178</v>
      </c>
      <c r="D1139" s="1">
        <v>0.41400462962962964</v>
      </c>
      <c r="E1139" s="2">
        <f>CallLog[[#This Row],[Date]]+CallLog[[#This Row],[Time]]</f>
        <v>44217.414004629631</v>
      </c>
      <c r="F1139" s="1" t="str">
        <f>TEXT(CallLog[[#This Row],[Date]],"dddd")</f>
        <v>Thursday</v>
      </c>
      <c r="G1139" s="3">
        <f>HOUR(CallLog[[#This Row],[Time]])</f>
        <v>9</v>
      </c>
      <c r="H1139" t="s">
        <v>29</v>
      </c>
      <c r="I1139" t="s">
        <v>14</v>
      </c>
      <c r="J1139" t="s">
        <v>14</v>
      </c>
      <c r="K1139">
        <v>82</v>
      </c>
      <c r="L1139" t="str">
        <f>IF(AND(CallLog[[#This Row],[Answered (Y/N)]]="Y", CallLog[[#This Row],[Speed of answer in seconds]]&lt;=20),
    "Within",
    "Breach")</f>
        <v>Breach</v>
      </c>
      <c r="M1139" s="1">
        <v>3.3912037037037036E-3</v>
      </c>
      <c r="N1139">
        <v>4</v>
      </c>
    </row>
    <row r="1140" spans="1:14" x14ac:dyDescent="0.3">
      <c r="A1140" t="s">
        <v>1184</v>
      </c>
      <c r="B1140" t="s">
        <v>31</v>
      </c>
      <c r="C1140" t="s">
        <v>1178</v>
      </c>
      <c r="D1140" s="1">
        <v>0.42700231481481482</v>
      </c>
      <c r="E1140" s="2">
        <f>CallLog[[#This Row],[Date]]+CallLog[[#This Row],[Time]]</f>
        <v>44217.427002314813</v>
      </c>
      <c r="F1140" s="1" t="str">
        <f>TEXT(CallLog[[#This Row],[Date]],"dddd")</f>
        <v>Thursday</v>
      </c>
      <c r="G1140" s="3">
        <f>HOUR(CallLog[[#This Row],[Time]])</f>
        <v>10</v>
      </c>
      <c r="H1140" t="s">
        <v>13</v>
      </c>
      <c r="I1140" t="s">
        <v>14</v>
      </c>
      <c r="J1140" t="s">
        <v>14</v>
      </c>
      <c r="K1140">
        <v>73</v>
      </c>
      <c r="L1140" t="str">
        <f>IF(AND(CallLog[[#This Row],[Answered (Y/N)]]="Y", CallLog[[#This Row],[Speed of answer in seconds]]&lt;=20),
    "Within",
    "Breach")</f>
        <v>Breach</v>
      </c>
      <c r="M1140" s="1">
        <v>2.2337962962962962E-3</v>
      </c>
      <c r="N1140">
        <v>1</v>
      </c>
    </row>
    <row r="1141" spans="1:14" x14ac:dyDescent="0.3">
      <c r="A1141" t="s">
        <v>1185</v>
      </c>
      <c r="B1141" t="s">
        <v>31</v>
      </c>
      <c r="C1141" t="s">
        <v>1178</v>
      </c>
      <c r="D1141" s="1">
        <v>0.42700231481481482</v>
      </c>
      <c r="E1141" s="2">
        <f>CallLog[[#This Row],[Date]]+CallLog[[#This Row],[Time]]</f>
        <v>44217.427002314813</v>
      </c>
      <c r="F1141" s="1" t="str">
        <f>TEXT(CallLog[[#This Row],[Date]],"dddd")</f>
        <v>Thursday</v>
      </c>
      <c r="G1141" s="3">
        <f>HOUR(CallLog[[#This Row],[Time]])</f>
        <v>10</v>
      </c>
      <c r="H1141" t="s">
        <v>17</v>
      </c>
      <c r="I1141" t="s">
        <v>14</v>
      </c>
      <c r="J1141" t="s">
        <v>14</v>
      </c>
      <c r="K1141">
        <v>110</v>
      </c>
      <c r="L1141" t="str">
        <f>IF(AND(CallLog[[#This Row],[Answered (Y/N)]]="Y", CallLog[[#This Row],[Speed of answer in seconds]]&lt;=20),
    "Within",
    "Breach")</f>
        <v>Breach</v>
      </c>
      <c r="M1141" s="1">
        <v>1.5162037037037036E-3</v>
      </c>
      <c r="N1141">
        <v>5</v>
      </c>
    </row>
    <row r="1142" spans="1:14" x14ac:dyDescent="0.3">
      <c r="A1142" t="s">
        <v>1186</v>
      </c>
      <c r="B1142" t="s">
        <v>38</v>
      </c>
      <c r="C1142" t="s">
        <v>1178</v>
      </c>
      <c r="D1142" s="1">
        <v>0.43</v>
      </c>
      <c r="E1142" s="2">
        <f>CallLog[[#This Row],[Date]]+CallLog[[#This Row],[Time]]</f>
        <v>44217.43</v>
      </c>
      <c r="F1142" s="1" t="str">
        <f>TEXT(CallLog[[#This Row],[Date]],"dddd")</f>
        <v>Thursday</v>
      </c>
      <c r="G1142" s="3">
        <f>HOUR(CallLog[[#This Row],[Time]])</f>
        <v>10</v>
      </c>
      <c r="H1142" t="s">
        <v>29</v>
      </c>
      <c r="I1142" t="s">
        <v>14</v>
      </c>
      <c r="J1142" t="s">
        <v>14</v>
      </c>
      <c r="K1142">
        <v>106</v>
      </c>
      <c r="L1142" t="str">
        <f>IF(AND(CallLog[[#This Row],[Answered (Y/N)]]="Y", CallLog[[#This Row],[Speed of answer in seconds]]&lt;=20),
    "Within",
    "Breach")</f>
        <v>Breach</v>
      </c>
      <c r="M1142" s="1">
        <v>1.261574074074074E-3</v>
      </c>
      <c r="N1142">
        <v>5</v>
      </c>
    </row>
    <row r="1143" spans="1:14" x14ac:dyDescent="0.3">
      <c r="A1143" t="s">
        <v>1187</v>
      </c>
      <c r="B1143" t="s">
        <v>31</v>
      </c>
      <c r="C1143" t="s">
        <v>1178</v>
      </c>
      <c r="D1143" s="1">
        <v>0.43</v>
      </c>
      <c r="E1143" s="2">
        <f>CallLog[[#This Row],[Date]]+CallLog[[#This Row],[Time]]</f>
        <v>44217.43</v>
      </c>
      <c r="F1143" s="1" t="str">
        <f>TEXT(CallLog[[#This Row],[Date]],"dddd")</f>
        <v>Thursday</v>
      </c>
      <c r="G1143" s="3">
        <f>HOUR(CallLog[[#This Row],[Time]])</f>
        <v>10</v>
      </c>
      <c r="H1143" t="s">
        <v>32</v>
      </c>
      <c r="I1143" t="s">
        <v>14</v>
      </c>
      <c r="J1143" t="s">
        <v>14</v>
      </c>
      <c r="K1143">
        <v>92</v>
      </c>
      <c r="L1143" t="str">
        <f>IF(AND(CallLog[[#This Row],[Answered (Y/N)]]="Y", CallLog[[#This Row],[Speed of answer in seconds]]&lt;=20),
    "Within",
    "Breach")</f>
        <v>Breach</v>
      </c>
      <c r="M1143" s="1">
        <v>1.5393518518518519E-3</v>
      </c>
      <c r="N1143">
        <v>4</v>
      </c>
    </row>
    <row r="1144" spans="1:14" x14ac:dyDescent="0.3">
      <c r="A1144" t="s">
        <v>1188</v>
      </c>
      <c r="B1144" t="s">
        <v>22</v>
      </c>
      <c r="C1144" t="s">
        <v>1178</v>
      </c>
      <c r="D1144" s="1">
        <v>0.43400462962962966</v>
      </c>
      <c r="E1144" s="2">
        <f>CallLog[[#This Row],[Date]]+CallLog[[#This Row],[Time]]</f>
        <v>44217.434004629627</v>
      </c>
      <c r="F1144" s="1" t="str">
        <f>TEXT(CallLog[[#This Row],[Date]],"dddd")</f>
        <v>Thursday</v>
      </c>
      <c r="G1144" s="3">
        <f>HOUR(CallLog[[#This Row],[Time]])</f>
        <v>10</v>
      </c>
      <c r="H1144" t="s">
        <v>32</v>
      </c>
      <c r="I1144" t="s">
        <v>14</v>
      </c>
      <c r="J1144" t="s">
        <v>14</v>
      </c>
      <c r="K1144">
        <v>28</v>
      </c>
      <c r="L1144" t="str">
        <f>IF(AND(CallLog[[#This Row],[Answered (Y/N)]]="Y", CallLog[[#This Row],[Speed of answer in seconds]]&lt;=20),
    "Within",
    "Breach")</f>
        <v>Breach</v>
      </c>
      <c r="M1144" s="1">
        <v>4.1666666666666666E-3</v>
      </c>
      <c r="N1144">
        <v>4</v>
      </c>
    </row>
    <row r="1145" spans="1:14" x14ac:dyDescent="0.3">
      <c r="A1145" t="s">
        <v>1189</v>
      </c>
      <c r="B1145" t="s">
        <v>38</v>
      </c>
      <c r="C1145" t="s">
        <v>1178</v>
      </c>
      <c r="D1145" s="1">
        <v>0.43400462962962966</v>
      </c>
      <c r="E1145" s="2">
        <f>CallLog[[#This Row],[Date]]+CallLog[[#This Row],[Time]]</f>
        <v>44217.434004629627</v>
      </c>
      <c r="F1145" s="1" t="str">
        <f>TEXT(CallLog[[#This Row],[Date]],"dddd")</f>
        <v>Thursday</v>
      </c>
      <c r="G1145" s="3">
        <f>HOUR(CallLog[[#This Row],[Time]])</f>
        <v>10</v>
      </c>
      <c r="H1145" t="s">
        <v>13</v>
      </c>
      <c r="I1145" t="s">
        <v>14</v>
      </c>
      <c r="J1145" t="s">
        <v>14</v>
      </c>
      <c r="K1145">
        <v>108</v>
      </c>
      <c r="L1145" t="str">
        <f>IF(AND(CallLog[[#This Row],[Answered (Y/N)]]="Y", CallLog[[#This Row],[Speed of answer in seconds]]&lt;=20),
    "Within",
    "Breach")</f>
        <v>Breach</v>
      </c>
      <c r="M1145" s="1">
        <v>4.1898148148148146E-3</v>
      </c>
      <c r="N1145">
        <v>1</v>
      </c>
    </row>
    <row r="1146" spans="1:14" x14ac:dyDescent="0.3">
      <c r="A1146" t="s">
        <v>1190</v>
      </c>
      <c r="B1146" t="s">
        <v>16</v>
      </c>
      <c r="C1146" t="s">
        <v>1178</v>
      </c>
      <c r="D1146" s="1">
        <v>0.45400462962962962</v>
      </c>
      <c r="E1146" s="2">
        <f>CallLog[[#This Row],[Date]]+CallLog[[#This Row],[Time]]</f>
        <v>44217.454004629632</v>
      </c>
      <c r="F1146" s="1" t="str">
        <f>TEXT(CallLog[[#This Row],[Date]],"dddd")</f>
        <v>Thursday</v>
      </c>
      <c r="G1146" s="3">
        <f>HOUR(CallLog[[#This Row],[Time]])</f>
        <v>10</v>
      </c>
      <c r="H1146" t="s">
        <v>32</v>
      </c>
      <c r="I1146" t="s">
        <v>14</v>
      </c>
      <c r="J1146" t="s">
        <v>14</v>
      </c>
      <c r="K1146">
        <v>57</v>
      </c>
      <c r="L1146" t="str">
        <f>IF(AND(CallLog[[#This Row],[Answered (Y/N)]]="Y", CallLog[[#This Row],[Speed of answer in seconds]]&lt;=20),
    "Within",
    "Breach")</f>
        <v>Breach</v>
      </c>
      <c r="M1146" s="1">
        <v>1.238425925925926E-3</v>
      </c>
      <c r="N1146">
        <v>4</v>
      </c>
    </row>
    <row r="1147" spans="1:14" x14ac:dyDescent="0.3">
      <c r="A1147" t="s">
        <v>1191</v>
      </c>
      <c r="B1147" t="s">
        <v>38</v>
      </c>
      <c r="C1147" t="s">
        <v>1178</v>
      </c>
      <c r="D1147" s="1">
        <v>0.45400462962962962</v>
      </c>
      <c r="E1147" s="2">
        <f>CallLog[[#This Row],[Date]]+CallLog[[#This Row],[Time]]</f>
        <v>44217.454004629632</v>
      </c>
      <c r="F1147" s="1" t="str">
        <f>TEXT(CallLog[[#This Row],[Date]],"dddd")</f>
        <v>Thursday</v>
      </c>
      <c r="G1147" s="3">
        <f>HOUR(CallLog[[#This Row],[Time]])</f>
        <v>10</v>
      </c>
      <c r="H1147" t="s">
        <v>13</v>
      </c>
      <c r="I1147" t="s">
        <v>14</v>
      </c>
      <c r="J1147" t="s">
        <v>14</v>
      </c>
      <c r="K1147">
        <v>109</v>
      </c>
      <c r="L1147" t="str">
        <f>IF(AND(CallLog[[#This Row],[Answered (Y/N)]]="Y", CallLog[[#This Row],[Speed of answer in seconds]]&lt;=20),
    "Within",
    "Breach")</f>
        <v>Breach</v>
      </c>
      <c r="M1147" s="1">
        <v>4.1203703703703706E-3</v>
      </c>
      <c r="N1147">
        <v>3</v>
      </c>
    </row>
    <row r="1148" spans="1:14" x14ac:dyDescent="0.3">
      <c r="A1148" t="s">
        <v>1192</v>
      </c>
      <c r="B1148" t="s">
        <v>22</v>
      </c>
      <c r="C1148" t="s">
        <v>1178</v>
      </c>
      <c r="D1148" s="1">
        <v>0.45799768518518519</v>
      </c>
      <c r="E1148" s="2">
        <f>CallLog[[#This Row],[Date]]+CallLog[[#This Row],[Time]]</f>
        <v>44217.457997685182</v>
      </c>
      <c r="F1148" s="1" t="str">
        <f>TEXT(CallLog[[#This Row],[Date]],"dddd")</f>
        <v>Thursday</v>
      </c>
      <c r="G1148" s="3">
        <f>HOUR(CallLog[[#This Row],[Time]])</f>
        <v>10</v>
      </c>
      <c r="H1148" t="s">
        <v>13</v>
      </c>
      <c r="I1148" t="s">
        <v>14</v>
      </c>
      <c r="J1148" t="s">
        <v>14</v>
      </c>
      <c r="K1148">
        <v>55</v>
      </c>
      <c r="L1148" t="str">
        <f>IF(AND(CallLog[[#This Row],[Answered (Y/N)]]="Y", CallLog[[#This Row],[Speed of answer in seconds]]&lt;=20),
    "Within",
    "Breach")</f>
        <v>Breach</v>
      </c>
      <c r="M1148" s="1">
        <v>1.1226851851851851E-3</v>
      </c>
      <c r="N1148">
        <v>2</v>
      </c>
    </row>
    <row r="1149" spans="1:14" x14ac:dyDescent="0.3">
      <c r="A1149" t="s">
        <v>1193</v>
      </c>
      <c r="B1149" t="s">
        <v>38</v>
      </c>
      <c r="C1149" t="s">
        <v>1178</v>
      </c>
      <c r="D1149" s="1">
        <v>0.45799768518518519</v>
      </c>
      <c r="E1149" s="2">
        <f>CallLog[[#This Row],[Date]]+CallLog[[#This Row],[Time]]</f>
        <v>44217.457997685182</v>
      </c>
      <c r="F1149" s="1" t="str">
        <f>TEXT(CallLog[[#This Row],[Date]],"dddd")</f>
        <v>Thursday</v>
      </c>
      <c r="G1149" s="3">
        <f>HOUR(CallLog[[#This Row],[Time]])</f>
        <v>10</v>
      </c>
      <c r="H1149" t="s">
        <v>17</v>
      </c>
      <c r="I1149" t="s">
        <v>18</v>
      </c>
      <c r="J1149" t="s">
        <v>18</v>
      </c>
      <c r="L1149" t="str">
        <f>IF(AND(CallLog[[#This Row],[Answered (Y/N)]]="Y", CallLog[[#This Row],[Speed of answer in seconds]]&lt;=20),
    "Within",
    "Breach")</f>
        <v>Breach</v>
      </c>
    </row>
    <row r="1150" spans="1:14" x14ac:dyDescent="0.3">
      <c r="A1150" t="s">
        <v>1194</v>
      </c>
      <c r="B1150" t="s">
        <v>47</v>
      </c>
      <c r="C1150" t="s">
        <v>1178</v>
      </c>
      <c r="D1150" s="1">
        <v>0.46900462962962963</v>
      </c>
      <c r="E1150" s="2">
        <f>CallLog[[#This Row],[Date]]+CallLog[[#This Row],[Time]]</f>
        <v>44217.469004629631</v>
      </c>
      <c r="F1150" s="1" t="str">
        <f>TEXT(CallLog[[#This Row],[Date]],"dddd")</f>
        <v>Thursday</v>
      </c>
      <c r="G1150" s="3">
        <f>HOUR(CallLog[[#This Row],[Time]])</f>
        <v>11</v>
      </c>
      <c r="H1150" t="s">
        <v>24</v>
      </c>
      <c r="I1150" t="s">
        <v>14</v>
      </c>
      <c r="J1150" t="s">
        <v>14</v>
      </c>
      <c r="K1150">
        <v>68</v>
      </c>
      <c r="L1150" t="str">
        <f>IF(AND(CallLog[[#This Row],[Answered (Y/N)]]="Y", CallLog[[#This Row],[Speed of answer in seconds]]&lt;=20),
    "Within",
    "Breach")</f>
        <v>Breach</v>
      </c>
      <c r="M1150" s="1">
        <v>4.7800925925925927E-3</v>
      </c>
      <c r="N1150">
        <v>1</v>
      </c>
    </row>
    <row r="1151" spans="1:14" x14ac:dyDescent="0.3">
      <c r="A1151" t="s">
        <v>1195</v>
      </c>
      <c r="B1151" t="s">
        <v>31</v>
      </c>
      <c r="C1151" t="s">
        <v>1178</v>
      </c>
      <c r="D1151" s="1">
        <v>0.46900462962962963</v>
      </c>
      <c r="E1151" s="2">
        <f>CallLog[[#This Row],[Date]]+CallLog[[#This Row],[Time]]</f>
        <v>44217.469004629631</v>
      </c>
      <c r="F1151" s="1" t="str">
        <f>TEXT(CallLog[[#This Row],[Date]],"dddd")</f>
        <v>Thursday</v>
      </c>
      <c r="G1151" s="3">
        <f>HOUR(CallLog[[#This Row],[Time]])</f>
        <v>11</v>
      </c>
      <c r="H1151" t="s">
        <v>29</v>
      </c>
      <c r="I1151" t="s">
        <v>14</v>
      </c>
      <c r="J1151" t="s">
        <v>18</v>
      </c>
      <c r="K1151">
        <v>46</v>
      </c>
      <c r="L1151" t="str">
        <f>IF(AND(CallLog[[#This Row],[Answered (Y/N)]]="Y", CallLog[[#This Row],[Speed of answer in seconds]]&lt;=20),
    "Within",
    "Breach")</f>
        <v>Breach</v>
      </c>
      <c r="M1151" s="1">
        <v>3.9351851851851852E-4</v>
      </c>
      <c r="N1151">
        <v>3</v>
      </c>
    </row>
    <row r="1152" spans="1:14" x14ac:dyDescent="0.3">
      <c r="A1152" t="s">
        <v>1196</v>
      </c>
      <c r="B1152" t="s">
        <v>31</v>
      </c>
      <c r="C1152" t="s">
        <v>1178</v>
      </c>
      <c r="D1152" s="1">
        <v>0.50200231481481483</v>
      </c>
      <c r="E1152" s="2">
        <f>CallLog[[#This Row],[Date]]+CallLog[[#This Row],[Time]]</f>
        <v>44217.502002314817</v>
      </c>
      <c r="F1152" s="1" t="str">
        <f>TEXT(CallLog[[#This Row],[Date]],"dddd")</f>
        <v>Thursday</v>
      </c>
      <c r="G1152" s="3">
        <f>HOUR(CallLog[[#This Row],[Time]])</f>
        <v>12</v>
      </c>
      <c r="H1152" t="s">
        <v>17</v>
      </c>
      <c r="I1152" t="s">
        <v>14</v>
      </c>
      <c r="J1152" t="s">
        <v>14</v>
      </c>
      <c r="K1152">
        <v>30</v>
      </c>
      <c r="L1152" t="str">
        <f>IF(AND(CallLog[[#This Row],[Answered (Y/N)]]="Y", CallLog[[#This Row],[Speed of answer in seconds]]&lt;=20),
    "Within",
    "Breach")</f>
        <v>Breach</v>
      </c>
      <c r="M1152" s="1">
        <v>3.460648148148148E-3</v>
      </c>
      <c r="N1152">
        <v>3</v>
      </c>
    </row>
    <row r="1153" spans="1:14" x14ac:dyDescent="0.3">
      <c r="A1153" t="s">
        <v>1197</v>
      </c>
      <c r="B1153" t="s">
        <v>38</v>
      </c>
      <c r="C1153" t="s">
        <v>1178</v>
      </c>
      <c r="D1153" s="1">
        <v>0.50200231481481483</v>
      </c>
      <c r="E1153" s="2">
        <f>CallLog[[#This Row],[Date]]+CallLog[[#This Row],[Time]]</f>
        <v>44217.502002314817</v>
      </c>
      <c r="F1153" s="1" t="str">
        <f>TEXT(CallLog[[#This Row],[Date]],"dddd")</f>
        <v>Thursday</v>
      </c>
      <c r="G1153" s="3">
        <f>HOUR(CallLog[[#This Row],[Time]])</f>
        <v>12</v>
      </c>
      <c r="H1153" t="s">
        <v>29</v>
      </c>
      <c r="I1153" t="s">
        <v>14</v>
      </c>
      <c r="J1153" t="s">
        <v>14</v>
      </c>
      <c r="K1153">
        <v>107</v>
      </c>
      <c r="L1153" t="str">
        <f>IF(AND(CallLog[[#This Row],[Answered (Y/N)]]="Y", CallLog[[#This Row],[Speed of answer in seconds]]&lt;=20),
    "Within",
    "Breach")</f>
        <v>Breach</v>
      </c>
      <c r="M1153" s="1">
        <v>5.7870370370370367E-4</v>
      </c>
      <c r="N1153">
        <v>4</v>
      </c>
    </row>
    <row r="1154" spans="1:14" x14ac:dyDescent="0.3">
      <c r="A1154" t="s">
        <v>1198</v>
      </c>
      <c r="B1154" t="s">
        <v>22</v>
      </c>
      <c r="C1154" t="s">
        <v>1178</v>
      </c>
      <c r="D1154" s="1">
        <v>0.50200231481481483</v>
      </c>
      <c r="E1154" s="2">
        <f>CallLog[[#This Row],[Date]]+CallLog[[#This Row],[Time]]</f>
        <v>44217.502002314817</v>
      </c>
      <c r="F1154" s="1" t="str">
        <f>TEXT(CallLog[[#This Row],[Date]],"dddd")</f>
        <v>Thursday</v>
      </c>
      <c r="G1154" s="3">
        <f>HOUR(CallLog[[#This Row],[Time]])</f>
        <v>12</v>
      </c>
      <c r="H1154" t="s">
        <v>17</v>
      </c>
      <c r="I1154" t="s">
        <v>14</v>
      </c>
      <c r="J1154" t="s">
        <v>14</v>
      </c>
      <c r="K1154">
        <v>122</v>
      </c>
      <c r="L1154" t="str">
        <f>IF(AND(CallLog[[#This Row],[Answered (Y/N)]]="Y", CallLog[[#This Row],[Speed of answer in seconds]]&lt;=20),
    "Within",
    "Breach")</f>
        <v>Breach</v>
      </c>
      <c r="M1154" s="1">
        <v>4.4560185185185189E-3</v>
      </c>
      <c r="N1154">
        <v>5</v>
      </c>
    </row>
    <row r="1155" spans="1:14" x14ac:dyDescent="0.3">
      <c r="A1155" t="s">
        <v>1199</v>
      </c>
      <c r="B1155" t="s">
        <v>38</v>
      </c>
      <c r="C1155" t="s">
        <v>1178</v>
      </c>
      <c r="D1155" s="1">
        <v>0.50200231481481483</v>
      </c>
      <c r="E1155" s="2">
        <f>CallLog[[#This Row],[Date]]+CallLog[[#This Row],[Time]]</f>
        <v>44217.502002314817</v>
      </c>
      <c r="F1155" s="1" t="str">
        <f>TEXT(CallLog[[#This Row],[Date]],"dddd")</f>
        <v>Thursday</v>
      </c>
      <c r="G1155" s="3">
        <f>HOUR(CallLog[[#This Row],[Time]])</f>
        <v>12</v>
      </c>
      <c r="H1155" t="s">
        <v>29</v>
      </c>
      <c r="I1155" t="s">
        <v>18</v>
      </c>
      <c r="J1155" t="s">
        <v>18</v>
      </c>
      <c r="L1155" t="str">
        <f>IF(AND(CallLog[[#This Row],[Answered (Y/N)]]="Y", CallLog[[#This Row],[Speed of answer in seconds]]&lt;=20),
    "Within",
    "Breach")</f>
        <v>Breach</v>
      </c>
    </row>
    <row r="1156" spans="1:14" x14ac:dyDescent="0.3">
      <c r="A1156" t="s">
        <v>1200</v>
      </c>
      <c r="B1156" t="s">
        <v>20</v>
      </c>
      <c r="C1156" t="s">
        <v>1178</v>
      </c>
      <c r="D1156" s="1">
        <v>0.505</v>
      </c>
      <c r="E1156" s="2">
        <f>CallLog[[#This Row],[Date]]+CallLog[[#This Row],[Time]]</f>
        <v>44217.504999999997</v>
      </c>
      <c r="F1156" s="1" t="str">
        <f>TEXT(CallLog[[#This Row],[Date]],"dddd")</f>
        <v>Thursday</v>
      </c>
      <c r="G1156" s="3">
        <f>HOUR(CallLog[[#This Row],[Time]])</f>
        <v>12</v>
      </c>
      <c r="H1156" t="s">
        <v>17</v>
      </c>
      <c r="I1156" t="s">
        <v>14</v>
      </c>
      <c r="J1156" t="s">
        <v>14</v>
      </c>
      <c r="K1156">
        <v>18</v>
      </c>
      <c r="L1156" t="str">
        <f>IF(AND(CallLog[[#This Row],[Answered (Y/N)]]="Y", CallLog[[#This Row],[Speed of answer in seconds]]&lt;=20),
    "Within",
    "Breach")</f>
        <v>Within</v>
      </c>
      <c r="M1156" s="1">
        <v>4.2824074074074081E-4</v>
      </c>
      <c r="N1156">
        <v>5</v>
      </c>
    </row>
    <row r="1157" spans="1:14" x14ac:dyDescent="0.3">
      <c r="A1157" t="s">
        <v>1201</v>
      </c>
      <c r="B1157" t="s">
        <v>34</v>
      </c>
      <c r="C1157" t="s">
        <v>1178</v>
      </c>
      <c r="D1157" s="1">
        <v>0.505</v>
      </c>
      <c r="E1157" s="2">
        <f>CallLog[[#This Row],[Date]]+CallLog[[#This Row],[Time]]</f>
        <v>44217.504999999997</v>
      </c>
      <c r="F1157" s="1" t="str">
        <f>TEXT(CallLog[[#This Row],[Date]],"dddd")</f>
        <v>Thursday</v>
      </c>
      <c r="G1157" s="3">
        <f>HOUR(CallLog[[#This Row],[Time]])</f>
        <v>12</v>
      </c>
      <c r="H1157" t="s">
        <v>32</v>
      </c>
      <c r="I1157" t="s">
        <v>18</v>
      </c>
      <c r="J1157" t="s">
        <v>18</v>
      </c>
      <c r="L1157" t="str">
        <f>IF(AND(CallLog[[#This Row],[Answered (Y/N)]]="Y", CallLog[[#This Row],[Speed of answer in seconds]]&lt;=20),
    "Within",
    "Breach")</f>
        <v>Breach</v>
      </c>
    </row>
    <row r="1158" spans="1:14" x14ac:dyDescent="0.3">
      <c r="A1158" t="s">
        <v>1202</v>
      </c>
      <c r="B1158" t="s">
        <v>34</v>
      </c>
      <c r="C1158" t="s">
        <v>1178</v>
      </c>
      <c r="D1158" s="1">
        <v>0.6579976851851852</v>
      </c>
      <c r="E1158" s="2">
        <f>CallLog[[#This Row],[Date]]+CallLog[[#This Row],[Time]]</f>
        <v>44217.657997685186</v>
      </c>
      <c r="F1158" s="1" t="str">
        <f>TEXT(CallLog[[#This Row],[Date]],"dddd")</f>
        <v>Thursday</v>
      </c>
      <c r="G1158" s="3">
        <f>HOUR(CallLog[[#This Row],[Time]])</f>
        <v>15</v>
      </c>
      <c r="H1158" t="s">
        <v>24</v>
      </c>
      <c r="I1158" t="s">
        <v>18</v>
      </c>
      <c r="J1158" t="s">
        <v>18</v>
      </c>
      <c r="L1158" t="str">
        <f>IF(AND(CallLog[[#This Row],[Answered (Y/N)]]="Y", CallLog[[#This Row],[Speed of answer in seconds]]&lt;=20),
    "Within",
    "Breach")</f>
        <v>Breach</v>
      </c>
    </row>
    <row r="1159" spans="1:14" x14ac:dyDescent="0.3">
      <c r="A1159" t="s">
        <v>1203</v>
      </c>
      <c r="B1159" t="s">
        <v>34</v>
      </c>
      <c r="C1159" t="s">
        <v>1178</v>
      </c>
      <c r="D1159" s="1">
        <v>0.6579976851851852</v>
      </c>
      <c r="E1159" s="2">
        <f>CallLog[[#This Row],[Date]]+CallLog[[#This Row],[Time]]</f>
        <v>44217.657997685186</v>
      </c>
      <c r="F1159" s="1" t="str">
        <f>TEXT(CallLog[[#This Row],[Date]],"dddd")</f>
        <v>Thursday</v>
      </c>
      <c r="G1159" s="3">
        <f>HOUR(CallLog[[#This Row],[Time]])</f>
        <v>15</v>
      </c>
      <c r="H1159" t="s">
        <v>17</v>
      </c>
      <c r="I1159" t="s">
        <v>18</v>
      </c>
      <c r="J1159" t="s">
        <v>18</v>
      </c>
      <c r="L1159" t="str">
        <f>IF(AND(CallLog[[#This Row],[Answered (Y/N)]]="Y", CallLog[[#This Row],[Speed of answer in seconds]]&lt;=20),
    "Within",
    "Breach")</f>
        <v>Breach</v>
      </c>
    </row>
    <row r="1160" spans="1:14" x14ac:dyDescent="0.3">
      <c r="A1160" t="s">
        <v>1204</v>
      </c>
      <c r="B1160" t="s">
        <v>38</v>
      </c>
      <c r="C1160" t="s">
        <v>1178</v>
      </c>
      <c r="D1160" s="1">
        <v>0.65900462962962958</v>
      </c>
      <c r="E1160" s="2">
        <f>CallLog[[#This Row],[Date]]+CallLog[[#This Row],[Time]]</f>
        <v>44217.659004629626</v>
      </c>
      <c r="F1160" s="1" t="str">
        <f>TEXT(CallLog[[#This Row],[Date]],"dddd")</f>
        <v>Thursday</v>
      </c>
      <c r="G1160" s="3">
        <f>HOUR(CallLog[[#This Row],[Time]])</f>
        <v>15</v>
      </c>
      <c r="H1160" t="s">
        <v>17</v>
      </c>
      <c r="I1160" t="s">
        <v>18</v>
      </c>
      <c r="J1160" t="s">
        <v>18</v>
      </c>
      <c r="L1160" t="str">
        <f>IF(AND(CallLog[[#This Row],[Answered (Y/N)]]="Y", CallLog[[#This Row],[Speed of answer in seconds]]&lt;=20),
    "Within",
    "Breach")</f>
        <v>Breach</v>
      </c>
    </row>
    <row r="1161" spans="1:14" x14ac:dyDescent="0.3">
      <c r="A1161" t="s">
        <v>1205</v>
      </c>
      <c r="B1161" t="s">
        <v>20</v>
      </c>
      <c r="C1161" t="s">
        <v>1178</v>
      </c>
      <c r="D1161" s="1">
        <v>0.65900462962962958</v>
      </c>
      <c r="E1161" s="2">
        <f>CallLog[[#This Row],[Date]]+CallLog[[#This Row],[Time]]</f>
        <v>44217.659004629626</v>
      </c>
      <c r="F1161" s="1" t="str">
        <f>TEXT(CallLog[[#This Row],[Date]],"dddd")</f>
        <v>Thursday</v>
      </c>
      <c r="G1161" s="3">
        <f>HOUR(CallLog[[#This Row],[Time]])</f>
        <v>15</v>
      </c>
      <c r="H1161" t="s">
        <v>32</v>
      </c>
      <c r="I1161" t="s">
        <v>14</v>
      </c>
      <c r="J1161" t="s">
        <v>14</v>
      </c>
      <c r="K1161">
        <v>99</v>
      </c>
      <c r="L1161" t="str">
        <f>IF(AND(CallLog[[#This Row],[Answered (Y/N)]]="Y", CallLog[[#This Row],[Speed of answer in seconds]]&lt;=20),
    "Within",
    "Breach")</f>
        <v>Breach</v>
      </c>
      <c r="M1161" s="1">
        <v>1.5509259259259259E-3</v>
      </c>
      <c r="N1161">
        <v>4</v>
      </c>
    </row>
    <row r="1162" spans="1:14" x14ac:dyDescent="0.3">
      <c r="A1162" t="s">
        <v>1206</v>
      </c>
      <c r="B1162" t="s">
        <v>47</v>
      </c>
      <c r="C1162" t="s">
        <v>1178</v>
      </c>
      <c r="D1162" s="1">
        <v>0.66900462962962959</v>
      </c>
      <c r="E1162" s="2">
        <f>CallLog[[#This Row],[Date]]+CallLog[[#This Row],[Time]]</f>
        <v>44217.669004629628</v>
      </c>
      <c r="F1162" s="1" t="str">
        <f>TEXT(CallLog[[#This Row],[Date]],"dddd")</f>
        <v>Thursday</v>
      </c>
      <c r="G1162" s="3">
        <f>HOUR(CallLog[[#This Row],[Time]])</f>
        <v>16</v>
      </c>
      <c r="H1162" t="s">
        <v>13</v>
      </c>
      <c r="I1162" t="s">
        <v>14</v>
      </c>
      <c r="J1162" t="s">
        <v>14</v>
      </c>
      <c r="K1162">
        <v>52</v>
      </c>
      <c r="L1162" t="str">
        <f>IF(AND(CallLog[[#This Row],[Answered (Y/N)]]="Y", CallLog[[#This Row],[Speed of answer in seconds]]&lt;=20),
    "Within",
    "Breach")</f>
        <v>Breach</v>
      </c>
      <c r="M1162" s="1">
        <v>1.238425925925926E-3</v>
      </c>
      <c r="N1162">
        <v>2</v>
      </c>
    </row>
    <row r="1163" spans="1:14" x14ac:dyDescent="0.3">
      <c r="A1163" t="s">
        <v>1207</v>
      </c>
      <c r="B1163" t="s">
        <v>38</v>
      </c>
      <c r="C1163" t="s">
        <v>1178</v>
      </c>
      <c r="D1163" s="1">
        <v>0.66900462962962959</v>
      </c>
      <c r="E1163" s="2">
        <f>CallLog[[#This Row],[Date]]+CallLog[[#This Row],[Time]]</f>
        <v>44217.669004629628</v>
      </c>
      <c r="F1163" s="1" t="str">
        <f>TEXT(CallLog[[#This Row],[Date]],"dddd")</f>
        <v>Thursday</v>
      </c>
      <c r="G1163" s="3">
        <f>HOUR(CallLog[[#This Row],[Time]])</f>
        <v>16</v>
      </c>
      <c r="H1163" t="s">
        <v>29</v>
      </c>
      <c r="I1163" t="s">
        <v>18</v>
      </c>
      <c r="J1163" t="s">
        <v>18</v>
      </c>
      <c r="L1163" t="str">
        <f>IF(AND(CallLog[[#This Row],[Answered (Y/N)]]="Y", CallLog[[#This Row],[Speed of answer in seconds]]&lt;=20),
    "Within",
    "Breach")</f>
        <v>Breach</v>
      </c>
    </row>
    <row r="1164" spans="1:14" x14ac:dyDescent="0.3">
      <c r="A1164" t="s">
        <v>1208</v>
      </c>
      <c r="B1164" t="s">
        <v>16</v>
      </c>
      <c r="C1164" t="s">
        <v>1178</v>
      </c>
      <c r="D1164" s="1">
        <v>0.68099537037037039</v>
      </c>
      <c r="E1164" s="2">
        <f>CallLog[[#This Row],[Date]]+CallLog[[#This Row],[Time]]</f>
        <v>44217.680995370371</v>
      </c>
      <c r="F1164" s="1" t="str">
        <f>TEXT(CallLog[[#This Row],[Date]],"dddd")</f>
        <v>Thursday</v>
      </c>
      <c r="G1164" s="3">
        <f>HOUR(CallLog[[#This Row],[Time]])</f>
        <v>16</v>
      </c>
      <c r="H1164" t="s">
        <v>24</v>
      </c>
      <c r="I1164" t="s">
        <v>18</v>
      </c>
      <c r="J1164" t="s">
        <v>18</v>
      </c>
      <c r="L1164" t="str">
        <f>IF(AND(CallLog[[#This Row],[Answered (Y/N)]]="Y", CallLog[[#This Row],[Speed of answer in seconds]]&lt;=20),
    "Within",
    "Breach")</f>
        <v>Breach</v>
      </c>
    </row>
    <row r="1165" spans="1:14" x14ac:dyDescent="0.3">
      <c r="A1165" t="s">
        <v>1209</v>
      </c>
      <c r="B1165" t="s">
        <v>31</v>
      </c>
      <c r="C1165" t="s">
        <v>1178</v>
      </c>
      <c r="D1165" s="1">
        <v>0.68099537037037039</v>
      </c>
      <c r="E1165" s="2">
        <f>CallLog[[#This Row],[Date]]+CallLog[[#This Row],[Time]]</f>
        <v>44217.680995370371</v>
      </c>
      <c r="F1165" s="1" t="str">
        <f>TEXT(CallLog[[#This Row],[Date]],"dddd")</f>
        <v>Thursday</v>
      </c>
      <c r="G1165" s="3">
        <f>HOUR(CallLog[[#This Row],[Time]])</f>
        <v>16</v>
      </c>
      <c r="H1165" t="s">
        <v>13</v>
      </c>
      <c r="I1165" t="s">
        <v>14</v>
      </c>
      <c r="J1165" t="s">
        <v>14</v>
      </c>
      <c r="K1165">
        <v>79</v>
      </c>
      <c r="L1165" t="str">
        <f>IF(AND(CallLog[[#This Row],[Answered (Y/N)]]="Y", CallLog[[#This Row],[Speed of answer in seconds]]&lt;=20),
    "Within",
    "Breach")</f>
        <v>Breach</v>
      </c>
      <c r="M1165" s="1">
        <v>5.4398148148148144E-4</v>
      </c>
      <c r="N1165">
        <v>3</v>
      </c>
    </row>
    <row r="1166" spans="1:14" x14ac:dyDescent="0.3">
      <c r="A1166" t="s">
        <v>1210</v>
      </c>
      <c r="B1166" t="s">
        <v>38</v>
      </c>
      <c r="C1166" t="s">
        <v>1178</v>
      </c>
      <c r="D1166" s="1">
        <v>0.68700231481481477</v>
      </c>
      <c r="E1166" s="2">
        <f>CallLog[[#This Row],[Date]]+CallLog[[#This Row],[Time]]</f>
        <v>44217.687002314815</v>
      </c>
      <c r="F1166" s="1" t="str">
        <f>TEXT(CallLog[[#This Row],[Date]],"dddd")</f>
        <v>Thursday</v>
      </c>
      <c r="G1166" s="3">
        <f>HOUR(CallLog[[#This Row],[Time]])</f>
        <v>16</v>
      </c>
      <c r="H1166" t="s">
        <v>32</v>
      </c>
      <c r="I1166" t="s">
        <v>14</v>
      </c>
      <c r="J1166" t="s">
        <v>14</v>
      </c>
      <c r="K1166">
        <v>112</v>
      </c>
      <c r="L1166" t="str">
        <f>IF(AND(CallLog[[#This Row],[Answered (Y/N)]]="Y", CallLog[[#This Row],[Speed of answer in seconds]]&lt;=20),
    "Within",
    "Breach")</f>
        <v>Breach</v>
      </c>
      <c r="M1166" s="1">
        <v>1.9791666666666668E-3</v>
      </c>
      <c r="N1166">
        <v>5</v>
      </c>
    </row>
    <row r="1167" spans="1:14" x14ac:dyDescent="0.3">
      <c r="A1167" t="s">
        <v>1211</v>
      </c>
      <c r="B1167" t="s">
        <v>11</v>
      </c>
      <c r="C1167" t="s">
        <v>1178</v>
      </c>
      <c r="D1167" s="1">
        <v>0.68700231481481477</v>
      </c>
      <c r="E1167" s="2">
        <f>CallLog[[#This Row],[Date]]+CallLog[[#This Row],[Time]]</f>
        <v>44217.687002314815</v>
      </c>
      <c r="F1167" s="1" t="str">
        <f>TEXT(CallLog[[#This Row],[Date]],"dddd")</f>
        <v>Thursday</v>
      </c>
      <c r="G1167" s="3">
        <f>HOUR(CallLog[[#This Row],[Time]])</f>
        <v>16</v>
      </c>
      <c r="H1167" t="s">
        <v>24</v>
      </c>
      <c r="I1167" t="s">
        <v>14</v>
      </c>
      <c r="J1167" t="s">
        <v>14</v>
      </c>
      <c r="K1167">
        <v>16</v>
      </c>
      <c r="L1167" t="str">
        <f>IF(AND(CallLog[[#This Row],[Answered (Y/N)]]="Y", CallLog[[#This Row],[Speed of answer in seconds]]&lt;=20),
    "Within",
    "Breach")</f>
        <v>Within</v>
      </c>
      <c r="M1167" s="1">
        <v>3.0439814814814813E-3</v>
      </c>
      <c r="N1167">
        <v>3</v>
      </c>
    </row>
    <row r="1168" spans="1:14" x14ac:dyDescent="0.3">
      <c r="A1168" t="s">
        <v>1212</v>
      </c>
      <c r="B1168" t="s">
        <v>34</v>
      </c>
      <c r="C1168" t="s">
        <v>1178</v>
      </c>
      <c r="D1168" s="1">
        <v>0.69900462962962961</v>
      </c>
      <c r="E1168" s="2">
        <f>CallLog[[#This Row],[Date]]+CallLog[[#This Row],[Time]]</f>
        <v>44217.699004629627</v>
      </c>
      <c r="F1168" s="1" t="str">
        <f>TEXT(CallLog[[#This Row],[Date]],"dddd")</f>
        <v>Thursday</v>
      </c>
      <c r="G1168" s="3">
        <f>HOUR(CallLog[[#This Row],[Time]])</f>
        <v>16</v>
      </c>
      <c r="H1168" t="s">
        <v>13</v>
      </c>
      <c r="I1168" t="s">
        <v>14</v>
      </c>
      <c r="J1168" t="s">
        <v>14</v>
      </c>
      <c r="K1168">
        <v>22</v>
      </c>
      <c r="L1168" t="str">
        <f>IF(AND(CallLog[[#This Row],[Answered (Y/N)]]="Y", CallLog[[#This Row],[Speed of answer in seconds]]&lt;=20),
    "Within",
    "Breach")</f>
        <v>Breach</v>
      </c>
      <c r="M1168" s="1">
        <v>4.8379629629629632E-3</v>
      </c>
      <c r="N1168">
        <v>3</v>
      </c>
    </row>
    <row r="1169" spans="1:14" x14ac:dyDescent="0.3">
      <c r="A1169" t="s">
        <v>1213</v>
      </c>
      <c r="B1169" t="s">
        <v>47</v>
      </c>
      <c r="C1169" t="s">
        <v>1178</v>
      </c>
      <c r="D1169" s="1">
        <v>0.69900462962962961</v>
      </c>
      <c r="E1169" s="2">
        <f>CallLog[[#This Row],[Date]]+CallLog[[#This Row],[Time]]</f>
        <v>44217.699004629627</v>
      </c>
      <c r="F1169" s="1" t="str">
        <f>TEXT(CallLog[[#This Row],[Date]],"dddd")</f>
        <v>Thursday</v>
      </c>
      <c r="G1169" s="3">
        <f>HOUR(CallLog[[#This Row],[Time]])</f>
        <v>16</v>
      </c>
      <c r="H1169" t="s">
        <v>13</v>
      </c>
      <c r="I1169" t="s">
        <v>14</v>
      </c>
      <c r="J1169" t="s">
        <v>14</v>
      </c>
      <c r="K1169">
        <v>115</v>
      </c>
      <c r="L1169" t="str">
        <f>IF(AND(CallLog[[#This Row],[Answered (Y/N)]]="Y", CallLog[[#This Row],[Speed of answer in seconds]]&lt;=20),
    "Within",
    "Breach")</f>
        <v>Breach</v>
      </c>
      <c r="M1169" s="1">
        <v>9.837962962962962E-4</v>
      </c>
      <c r="N1169">
        <v>1</v>
      </c>
    </row>
    <row r="1170" spans="1:14" x14ac:dyDescent="0.3">
      <c r="A1170" t="s">
        <v>1214</v>
      </c>
      <c r="B1170" t="s">
        <v>47</v>
      </c>
      <c r="C1170" t="s">
        <v>1178</v>
      </c>
      <c r="D1170" s="1">
        <v>0.71599537037037042</v>
      </c>
      <c r="E1170" s="2">
        <f>CallLog[[#This Row],[Date]]+CallLog[[#This Row],[Time]]</f>
        <v>44217.715995370374</v>
      </c>
      <c r="F1170" s="1" t="str">
        <f>TEXT(CallLog[[#This Row],[Date]],"dddd")</f>
        <v>Thursday</v>
      </c>
      <c r="G1170" s="3">
        <f>HOUR(CallLog[[#This Row],[Time]])</f>
        <v>17</v>
      </c>
      <c r="H1170" t="s">
        <v>17</v>
      </c>
      <c r="I1170" t="s">
        <v>14</v>
      </c>
      <c r="J1170" t="s">
        <v>14</v>
      </c>
      <c r="K1170">
        <v>125</v>
      </c>
      <c r="L1170" t="str">
        <f>IF(AND(CallLog[[#This Row],[Answered (Y/N)]]="Y", CallLog[[#This Row],[Speed of answer in seconds]]&lt;=20),
    "Within",
    "Breach")</f>
        <v>Breach</v>
      </c>
      <c r="M1170" s="1">
        <v>3.2060185185185186E-3</v>
      </c>
      <c r="N1170">
        <v>4</v>
      </c>
    </row>
    <row r="1171" spans="1:14" x14ac:dyDescent="0.3">
      <c r="A1171" t="s">
        <v>1215</v>
      </c>
      <c r="B1171" t="s">
        <v>38</v>
      </c>
      <c r="C1171" t="s">
        <v>1178</v>
      </c>
      <c r="D1171" s="1">
        <v>0.71599537037037042</v>
      </c>
      <c r="E1171" s="2">
        <f>CallLog[[#This Row],[Date]]+CallLog[[#This Row],[Time]]</f>
        <v>44217.715995370374</v>
      </c>
      <c r="F1171" s="1" t="str">
        <f>TEXT(CallLog[[#This Row],[Date]],"dddd")</f>
        <v>Thursday</v>
      </c>
      <c r="G1171" s="3">
        <f>HOUR(CallLog[[#This Row],[Time]])</f>
        <v>17</v>
      </c>
      <c r="H1171" t="s">
        <v>24</v>
      </c>
      <c r="I1171" t="s">
        <v>14</v>
      </c>
      <c r="J1171" t="s">
        <v>14</v>
      </c>
      <c r="K1171">
        <v>68</v>
      </c>
      <c r="L1171" t="str">
        <f>IF(AND(CallLog[[#This Row],[Answered (Y/N)]]="Y", CallLog[[#This Row],[Speed of answer in seconds]]&lt;=20),
    "Within",
    "Breach")</f>
        <v>Breach</v>
      </c>
      <c r="M1171" s="1">
        <v>3.5416666666666665E-3</v>
      </c>
      <c r="N1171">
        <v>3</v>
      </c>
    </row>
    <row r="1172" spans="1:14" x14ac:dyDescent="0.3">
      <c r="A1172" t="s">
        <v>1216</v>
      </c>
      <c r="B1172" t="s">
        <v>31</v>
      </c>
      <c r="C1172" t="s">
        <v>1178</v>
      </c>
      <c r="D1172" s="1">
        <v>0.72700231481481481</v>
      </c>
      <c r="E1172" s="2">
        <f>CallLog[[#This Row],[Date]]+CallLog[[#This Row],[Time]]</f>
        <v>44217.727002314816</v>
      </c>
      <c r="F1172" s="1" t="str">
        <f>TEXT(CallLog[[#This Row],[Date]],"dddd")</f>
        <v>Thursday</v>
      </c>
      <c r="G1172" s="3">
        <f>HOUR(CallLog[[#This Row],[Time]])</f>
        <v>17</v>
      </c>
      <c r="H1172" t="s">
        <v>17</v>
      </c>
      <c r="I1172" t="s">
        <v>14</v>
      </c>
      <c r="J1172" t="s">
        <v>14</v>
      </c>
      <c r="K1172">
        <v>44</v>
      </c>
      <c r="L1172" t="str">
        <f>IF(AND(CallLog[[#This Row],[Answered (Y/N)]]="Y", CallLog[[#This Row],[Speed of answer in seconds]]&lt;=20),
    "Within",
    "Breach")</f>
        <v>Breach</v>
      </c>
      <c r="M1172" s="1">
        <v>8.7962962962962962E-4</v>
      </c>
      <c r="N1172">
        <v>4</v>
      </c>
    </row>
    <row r="1173" spans="1:14" x14ac:dyDescent="0.3">
      <c r="A1173" t="s">
        <v>1217</v>
      </c>
      <c r="B1173" t="s">
        <v>16</v>
      </c>
      <c r="C1173" t="s">
        <v>1178</v>
      </c>
      <c r="D1173" s="1">
        <v>0.72700231481481481</v>
      </c>
      <c r="E1173" s="2">
        <f>CallLog[[#This Row],[Date]]+CallLog[[#This Row],[Time]]</f>
        <v>44217.727002314816</v>
      </c>
      <c r="F1173" s="1" t="str">
        <f>TEXT(CallLog[[#This Row],[Date]],"dddd")</f>
        <v>Thursday</v>
      </c>
      <c r="G1173" s="3">
        <f>HOUR(CallLog[[#This Row],[Time]])</f>
        <v>17</v>
      </c>
      <c r="H1173" t="s">
        <v>17</v>
      </c>
      <c r="I1173" t="s">
        <v>18</v>
      </c>
      <c r="J1173" t="s">
        <v>18</v>
      </c>
      <c r="L1173" t="str">
        <f>IF(AND(CallLog[[#This Row],[Answered (Y/N)]]="Y", CallLog[[#This Row],[Speed of answer in seconds]]&lt;=20),
    "Within",
    "Breach")</f>
        <v>Breach</v>
      </c>
    </row>
    <row r="1174" spans="1:14" x14ac:dyDescent="0.3">
      <c r="A1174" t="s">
        <v>1218</v>
      </c>
      <c r="B1174" t="s">
        <v>20</v>
      </c>
      <c r="C1174" t="s">
        <v>1178</v>
      </c>
      <c r="D1174" s="1">
        <v>0.72700231481481481</v>
      </c>
      <c r="E1174" s="2">
        <f>CallLog[[#This Row],[Date]]+CallLog[[#This Row],[Time]]</f>
        <v>44217.727002314816</v>
      </c>
      <c r="F1174" s="1" t="str">
        <f>TEXT(CallLog[[#This Row],[Date]],"dddd")</f>
        <v>Thursday</v>
      </c>
      <c r="G1174" s="3">
        <f>HOUR(CallLog[[#This Row],[Time]])</f>
        <v>17</v>
      </c>
      <c r="H1174" t="s">
        <v>32</v>
      </c>
      <c r="I1174" t="s">
        <v>14</v>
      </c>
      <c r="J1174" t="s">
        <v>14</v>
      </c>
      <c r="K1174">
        <v>119</v>
      </c>
      <c r="L1174" t="str">
        <f>IF(AND(CallLog[[#This Row],[Answered (Y/N)]]="Y", CallLog[[#This Row],[Speed of answer in seconds]]&lt;=20),
    "Within",
    "Breach")</f>
        <v>Breach</v>
      </c>
      <c r="M1174" s="1">
        <v>4.861111111111111E-4</v>
      </c>
      <c r="N1174">
        <v>4</v>
      </c>
    </row>
    <row r="1175" spans="1:14" x14ac:dyDescent="0.3">
      <c r="A1175" t="s">
        <v>1219</v>
      </c>
      <c r="B1175" t="s">
        <v>38</v>
      </c>
      <c r="C1175" t="s">
        <v>1178</v>
      </c>
      <c r="D1175" s="1">
        <v>0.72700231481481481</v>
      </c>
      <c r="E1175" s="2">
        <f>CallLog[[#This Row],[Date]]+CallLog[[#This Row],[Time]]</f>
        <v>44217.727002314816</v>
      </c>
      <c r="F1175" s="1" t="str">
        <f>TEXT(CallLog[[#This Row],[Date]],"dddd")</f>
        <v>Thursday</v>
      </c>
      <c r="G1175" s="3">
        <f>HOUR(CallLog[[#This Row],[Time]])</f>
        <v>17</v>
      </c>
      <c r="H1175" t="s">
        <v>32</v>
      </c>
      <c r="I1175" t="s">
        <v>14</v>
      </c>
      <c r="J1175" t="s">
        <v>14</v>
      </c>
      <c r="K1175">
        <v>62</v>
      </c>
      <c r="L1175" t="str">
        <f>IF(AND(CallLog[[#This Row],[Answered (Y/N)]]="Y", CallLog[[#This Row],[Speed of answer in seconds]]&lt;=20),
    "Within",
    "Breach")</f>
        <v>Breach</v>
      </c>
      <c r="M1175" s="1">
        <v>6.2500000000000001E-4</v>
      </c>
      <c r="N1175">
        <v>5</v>
      </c>
    </row>
    <row r="1176" spans="1:14" x14ac:dyDescent="0.3">
      <c r="A1176" t="s">
        <v>1220</v>
      </c>
      <c r="B1176" t="s">
        <v>22</v>
      </c>
      <c r="C1176" t="s">
        <v>1178</v>
      </c>
      <c r="D1176" s="1">
        <v>0.72700231481481481</v>
      </c>
      <c r="E1176" s="2">
        <f>CallLog[[#This Row],[Date]]+CallLog[[#This Row],[Time]]</f>
        <v>44217.727002314816</v>
      </c>
      <c r="F1176" s="1" t="str">
        <f>TEXT(CallLog[[#This Row],[Date]],"dddd")</f>
        <v>Thursday</v>
      </c>
      <c r="G1176" s="3">
        <f>HOUR(CallLog[[#This Row],[Time]])</f>
        <v>17</v>
      </c>
      <c r="H1176" t="s">
        <v>32</v>
      </c>
      <c r="I1176" t="s">
        <v>14</v>
      </c>
      <c r="J1176" t="s">
        <v>14</v>
      </c>
      <c r="K1176">
        <v>84</v>
      </c>
      <c r="L1176" t="str">
        <f>IF(AND(CallLog[[#This Row],[Answered (Y/N)]]="Y", CallLog[[#This Row],[Speed of answer in seconds]]&lt;=20),
    "Within",
    "Breach")</f>
        <v>Breach</v>
      </c>
      <c r="M1176" s="1">
        <v>4.2129629629629626E-3</v>
      </c>
      <c r="N1176">
        <v>5</v>
      </c>
    </row>
    <row r="1177" spans="1:14" x14ac:dyDescent="0.3">
      <c r="A1177" t="s">
        <v>1221</v>
      </c>
      <c r="B1177" t="s">
        <v>38</v>
      </c>
      <c r="C1177" t="s">
        <v>1178</v>
      </c>
      <c r="D1177" s="1">
        <v>0.72700231481481481</v>
      </c>
      <c r="E1177" s="2">
        <f>CallLog[[#This Row],[Date]]+CallLog[[#This Row],[Time]]</f>
        <v>44217.727002314816</v>
      </c>
      <c r="F1177" s="1" t="str">
        <f>TEXT(CallLog[[#This Row],[Date]],"dddd")</f>
        <v>Thursday</v>
      </c>
      <c r="G1177" s="3">
        <f>HOUR(CallLog[[#This Row],[Time]])</f>
        <v>17</v>
      </c>
      <c r="H1177" t="s">
        <v>17</v>
      </c>
      <c r="I1177" t="s">
        <v>18</v>
      </c>
      <c r="J1177" t="s">
        <v>18</v>
      </c>
      <c r="L1177" t="str">
        <f>IF(AND(CallLog[[#This Row],[Answered (Y/N)]]="Y", CallLog[[#This Row],[Speed of answer in seconds]]&lt;=20),
    "Within",
    "Breach")</f>
        <v>Breach</v>
      </c>
    </row>
    <row r="1178" spans="1:14" x14ac:dyDescent="0.3">
      <c r="A1178" t="s">
        <v>1222</v>
      </c>
      <c r="B1178" t="s">
        <v>22</v>
      </c>
      <c r="C1178" t="s">
        <v>1178</v>
      </c>
      <c r="D1178" s="1">
        <v>0.73400462962962965</v>
      </c>
      <c r="E1178" s="2">
        <f>CallLog[[#This Row],[Date]]+CallLog[[#This Row],[Time]]</f>
        <v>44217.73400462963</v>
      </c>
      <c r="F1178" s="1" t="str">
        <f>TEXT(CallLog[[#This Row],[Date]],"dddd")</f>
        <v>Thursday</v>
      </c>
      <c r="G1178" s="3">
        <f>HOUR(CallLog[[#This Row],[Time]])</f>
        <v>17</v>
      </c>
      <c r="H1178" t="s">
        <v>32</v>
      </c>
      <c r="I1178" t="s">
        <v>14</v>
      </c>
      <c r="J1178" t="s">
        <v>14</v>
      </c>
      <c r="K1178">
        <v>75</v>
      </c>
      <c r="L1178" t="str">
        <f>IF(AND(CallLog[[#This Row],[Answered (Y/N)]]="Y", CallLog[[#This Row],[Speed of answer in seconds]]&lt;=20),
    "Within",
    "Breach")</f>
        <v>Breach</v>
      </c>
      <c r="M1178" s="1">
        <v>4.4907407407407405E-3</v>
      </c>
      <c r="N1178">
        <v>4</v>
      </c>
    </row>
    <row r="1179" spans="1:14" x14ac:dyDescent="0.3">
      <c r="A1179" t="s">
        <v>1223</v>
      </c>
      <c r="B1179" t="s">
        <v>38</v>
      </c>
      <c r="C1179" t="s">
        <v>1178</v>
      </c>
      <c r="D1179" s="1">
        <v>0.73400462962962965</v>
      </c>
      <c r="E1179" s="2">
        <f>CallLog[[#This Row],[Date]]+CallLog[[#This Row],[Time]]</f>
        <v>44217.73400462963</v>
      </c>
      <c r="F1179" s="1" t="str">
        <f>TEXT(CallLog[[#This Row],[Date]],"dddd")</f>
        <v>Thursday</v>
      </c>
      <c r="G1179" s="3">
        <f>HOUR(CallLog[[#This Row],[Time]])</f>
        <v>17</v>
      </c>
      <c r="H1179" t="s">
        <v>24</v>
      </c>
      <c r="I1179" t="s">
        <v>14</v>
      </c>
      <c r="J1179" t="s">
        <v>14</v>
      </c>
      <c r="K1179">
        <v>114</v>
      </c>
      <c r="L1179" t="str">
        <f>IF(AND(CallLog[[#This Row],[Answered (Y/N)]]="Y", CallLog[[#This Row],[Speed of answer in seconds]]&lt;=20),
    "Within",
    "Breach")</f>
        <v>Breach</v>
      </c>
      <c r="M1179" s="1">
        <v>2.0138888888888888E-3</v>
      </c>
      <c r="N1179">
        <v>4</v>
      </c>
    </row>
    <row r="1180" spans="1:14" x14ac:dyDescent="0.3">
      <c r="A1180" t="s">
        <v>1224</v>
      </c>
      <c r="B1180" t="s">
        <v>47</v>
      </c>
      <c r="C1180" t="s">
        <v>1178</v>
      </c>
      <c r="D1180" s="1">
        <v>0.73499999999999999</v>
      </c>
      <c r="E1180" s="2">
        <f>CallLog[[#This Row],[Date]]+CallLog[[#This Row],[Time]]</f>
        <v>44217.735000000001</v>
      </c>
      <c r="F1180" s="1" t="str">
        <f>TEXT(CallLog[[#This Row],[Date]],"dddd")</f>
        <v>Thursday</v>
      </c>
      <c r="G1180" s="3">
        <f>HOUR(CallLog[[#This Row],[Time]])</f>
        <v>17</v>
      </c>
      <c r="H1180" t="s">
        <v>17</v>
      </c>
      <c r="I1180" t="s">
        <v>18</v>
      </c>
      <c r="J1180" t="s">
        <v>18</v>
      </c>
      <c r="L1180" t="str">
        <f>IF(AND(CallLog[[#This Row],[Answered (Y/N)]]="Y", CallLog[[#This Row],[Speed of answer in seconds]]&lt;=20),
    "Within",
    "Breach")</f>
        <v>Breach</v>
      </c>
    </row>
    <row r="1181" spans="1:14" x14ac:dyDescent="0.3">
      <c r="A1181" t="s">
        <v>1225</v>
      </c>
      <c r="B1181" t="s">
        <v>20</v>
      </c>
      <c r="C1181" t="s">
        <v>1178</v>
      </c>
      <c r="D1181" s="1">
        <v>0.73499999999999999</v>
      </c>
      <c r="E1181" s="2">
        <f>CallLog[[#This Row],[Date]]+CallLog[[#This Row],[Time]]</f>
        <v>44217.735000000001</v>
      </c>
      <c r="F1181" s="1" t="str">
        <f>TEXT(CallLog[[#This Row],[Date]],"dddd")</f>
        <v>Thursday</v>
      </c>
      <c r="G1181" s="3">
        <f>HOUR(CallLog[[#This Row],[Time]])</f>
        <v>17</v>
      </c>
      <c r="H1181" t="s">
        <v>29</v>
      </c>
      <c r="I1181" t="s">
        <v>14</v>
      </c>
      <c r="J1181" t="s">
        <v>14</v>
      </c>
      <c r="K1181">
        <v>21</v>
      </c>
      <c r="L1181" t="str">
        <f>IF(AND(CallLog[[#This Row],[Answered (Y/N)]]="Y", CallLog[[#This Row],[Speed of answer in seconds]]&lt;=20),
    "Within",
    "Breach")</f>
        <v>Breach</v>
      </c>
      <c r="M1181" s="1">
        <v>1.5046296296296296E-3</v>
      </c>
      <c r="N1181">
        <v>4</v>
      </c>
    </row>
    <row r="1182" spans="1:14" x14ac:dyDescent="0.3">
      <c r="A1182" t="s">
        <v>1226</v>
      </c>
      <c r="B1182" t="s">
        <v>20</v>
      </c>
      <c r="C1182" t="s">
        <v>1227</v>
      </c>
      <c r="D1182" s="1">
        <v>0.38299768518518518</v>
      </c>
      <c r="E1182" s="2">
        <f>CallLog[[#This Row],[Date]]+CallLog[[#This Row],[Time]]</f>
        <v>44218.382997685185</v>
      </c>
      <c r="F1182" s="1" t="str">
        <f>TEXT(CallLog[[#This Row],[Date]],"dddd")</f>
        <v>Friday</v>
      </c>
      <c r="G1182" s="3">
        <f>HOUR(CallLog[[#This Row],[Time]])</f>
        <v>9</v>
      </c>
      <c r="H1182" t="s">
        <v>17</v>
      </c>
      <c r="I1182" t="s">
        <v>18</v>
      </c>
      <c r="J1182" t="s">
        <v>18</v>
      </c>
      <c r="L1182" t="str">
        <f>IF(AND(CallLog[[#This Row],[Answered (Y/N)]]="Y", CallLog[[#This Row],[Speed of answer in seconds]]&lt;=20),
    "Within",
    "Breach")</f>
        <v>Breach</v>
      </c>
    </row>
    <row r="1183" spans="1:14" x14ac:dyDescent="0.3">
      <c r="A1183" t="s">
        <v>1228</v>
      </c>
      <c r="B1183" t="s">
        <v>11</v>
      </c>
      <c r="C1183" t="s">
        <v>1227</v>
      </c>
      <c r="D1183" s="1">
        <v>0.38299768518518518</v>
      </c>
      <c r="E1183" s="2">
        <f>CallLog[[#This Row],[Date]]+CallLog[[#This Row],[Time]]</f>
        <v>44218.382997685185</v>
      </c>
      <c r="F1183" s="1" t="str">
        <f>TEXT(CallLog[[#This Row],[Date]],"dddd")</f>
        <v>Friday</v>
      </c>
      <c r="G1183" s="3">
        <f>HOUR(CallLog[[#This Row],[Time]])</f>
        <v>9</v>
      </c>
      <c r="H1183" t="s">
        <v>29</v>
      </c>
      <c r="I1183" t="s">
        <v>14</v>
      </c>
      <c r="J1183" t="s">
        <v>14</v>
      </c>
      <c r="K1183">
        <v>20</v>
      </c>
      <c r="L1183" t="str">
        <f>IF(AND(CallLog[[#This Row],[Answered (Y/N)]]="Y", CallLog[[#This Row],[Speed of answer in seconds]]&lt;=20),
    "Within",
    "Breach")</f>
        <v>Within</v>
      </c>
      <c r="M1183" s="1">
        <v>7.8703703703703705E-4</v>
      </c>
      <c r="N1183">
        <v>3</v>
      </c>
    </row>
    <row r="1184" spans="1:14" x14ac:dyDescent="0.3">
      <c r="A1184" t="s">
        <v>1229</v>
      </c>
      <c r="B1184" t="s">
        <v>11</v>
      </c>
      <c r="C1184" t="s">
        <v>1227</v>
      </c>
      <c r="D1184" s="1">
        <v>0.38299768518518518</v>
      </c>
      <c r="E1184" s="2">
        <f>CallLog[[#This Row],[Date]]+CallLog[[#This Row],[Time]]</f>
        <v>44218.382997685185</v>
      </c>
      <c r="F1184" s="1" t="str">
        <f>TEXT(CallLog[[#This Row],[Date]],"dddd")</f>
        <v>Friday</v>
      </c>
      <c r="G1184" s="3">
        <f>HOUR(CallLog[[#This Row],[Time]])</f>
        <v>9</v>
      </c>
      <c r="H1184" t="s">
        <v>17</v>
      </c>
      <c r="I1184" t="s">
        <v>14</v>
      </c>
      <c r="J1184" t="s">
        <v>14</v>
      </c>
      <c r="K1184">
        <v>112</v>
      </c>
      <c r="L1184" t="str">
        <f>IF(AND(CallLog[[#This Row],[Answered (Y/N)]]="Y", CallLog[[#This Row],[Speed of answer in seconds]]&lt;=20),
    "Within",
    "Breach")</f>
        <v>Breach</v>
      </c>
      <c r="M1184" s="1">
        <v>2.5115740740740741E-3</v>
      </c>
      <c r="N1184">
        <v>1</v>
      </c>
    </row>
    <row r="1185" spans="1:14" x14ac:dyDescent="0.3">
      <c r="A1185" t="s">
        <v>1230</v>
      </c>
      <c r="B1185" t="s">
        <v>16</v>
      </c>
      <c r="C1185" t="s">
        <v>1227</v>
      </c>
      <c r="D1185" s="1">
        <v>0.38299768518518518</v>
      </c>
      <c r="E1185" s="2">
        <f>CallLog[[#This Row],[Date]]+CallLog[[#This Row],[Time]]</f>
        <v>44218.382997685185</v>
      </c>
      <c r="F1185" s="1" t="str">
        <f>TEXT(CallLog[[#This Row],[Date]],"dddd")</f>
        <v>Friday</v>
      </c>
      <c r="G1185" s="3">
        <f>HOUR(CallLog[[#This Row],[Time]])</f>
        <v>9</v>
      </c>
      <c r="H1185" t="s">
        <v>32</v>
      </c>
      <c r="I1185" t="s">
        <v>14</v>
      </c>
      <c r="J1185" t="s">
        <v>14</v>
      </c>
      <c r="K1185">
        <v>85</v>
      </c>
      <c r="L1185" t="str">
        <f>IF(AND(CallLog[[#This Row],[Answered (Y/N)]]="Y", CallLog[[#This Row],[Speed of answer in seconds]]&lt;=20),
    "Within",
    "Breach")</f>
        <v>Breach</v>
      </c>
      <c r="M1185" s="1">
        <v>3.7499999999999999E-3</v>
      </c>
      <c r="N1185">
        <v>4</v>
      </c>
    </row>
    <row r="1186" spans="1:14" x14ac:dyDescent="0.3">
      <c r="A1186" t="s">
        <v>1231</v>
      </c>
      <c r="B1186" t="s">
        <v>38</v>
      </c>
      <c r="C1186" t="s">
        <v>1227</v>
      </c>
      <c r="D1186" s="1">
        <v>0.39200231481481479</v>
      </c>
      <c r="E1186" s="2">
        <f>CallLog[[#This Row],[Date]]+CallLog[[#This Row],[Time]]</f>
        <v>44218.392002314817</v>
      </c>
      <c r="F1186" s="1" t="str">
        <f>TEXT(CallLog[[#This Row],[Date]],"dddd")</f>
        <v>Friday</v>
      </c>
      <c r="G1186" s="3">
        <f>HOUR(CallLog[[#This Row],[Time]])</f>
        <v>9</v>
      </c>
      <c r="H1186" t="s">
        <v>29</v>
      </c>
      <c r="I1186" t="s">
        <v>14</v>
      </c>
      <c r="J1186" t="s">
        <v>14</v>
      </c>
      <c r="K1186">
        <v>34</v>
      </c>
      <c r="L1186" t="str">
        <f>IF(AND(CallLog[[#This Row],[Answered (Y/N)]]="Y", CallLog[[#This Row],[Speed of answer in seconds]]&lt;=20),
    "Within",
    "Breach")</f>
        <v>Breach</v>
      </c>
      <c r="M1186" s="1">
        <v>4.2476851851851851E-3</v>
      </c>
      <c r="N1186">
        <v>3</v>
      </c>
    </row>
    <row r="1187" spans="1:14" x14ac:dyDescent="0.3">
      <c r="A1187" t="s">
        <v>1232</v>
      </c>
      <c r="B1187" t="s">
        <v>11</v>
      </c>
      <c r="C1187" t="s">
        <v>1227</v>
      </c>
      <c r="D1187" s="1">
        <v>0.39200231481481479</v>
      </c>
      <c r="E1187" s="2">
        <f>CallLog[[#This Row],[Date]]+CallLog[[#This Row],[Time]]</f>
        <v>44218.392002314817</v>
      </c>
      <c r="F1187" s="1" t="str">
        <f>TEXT(CallLog[[#This Row],[Date]],"dddd")</f>
        <v>Friday</v>
      </c>
      <c r="G1187" s="3">
        <f>HOUR(CallLog[[#This Row],[Time]])</f>
        <v>9</v>
      </c>
      <c r="H1187" t="s">
        <v>32</v>
      </c>
      <c r="I1187" t="s">
        <v>14</v>
      </c>
      <c r="J1187" t="s">
        <v>14</v>
      </c>
      <c r="K1187">
        <v>53</v>
      </c>
      <c r="L1187" t="str">
        <f>IF(AND(CallLog[[#This Row],[Answered (Y/N)]]="Y", CallLog[[#This Row],[Speed of answer in seconds]]&lt;=20),
    "Within",
    "Breach")</f>
        <v>Breach</v>
      </c>
      <c r="M1187" s="1">
        <v>3.4953703703703705E-3</v>
      </c>
      <c r="N1187">
        <v>4</v>
      </c>
    </row>
    <row r="1188" spans="1:14" x14ac:dyDescent="0.3">
      <c r="A1188" t="s">
        <v>1233</v>
      </c>
      <c r="B1188" t="s">
        <v>38</v>
      </c>
      <c r="C1188" t="s">
        <v>1227</v>
      </c>
      <c r="D1188" s="1">
        <v>0.40900462962962963</v>
      </c>
      <c r="E1188" s="2">
        <f>CallLog[[#This Row],[Date]]+CallLog[[#This Row],[Time]]</f>
        <v>44218.409004629626</v>
      </c>
      <c r="F1188" s="1" t="str">
        <f>TEXT(CallLog[[#This Row],[Date]],"dddd")</f>
        <v>Friday</v>
      </c>
      <c r="G1188" s="3">
        <f>HOUR(CallLog[[#This Row],[Time]])</f>
        <v>9</v>
      </c>
      <c r="H1188" t="s">
        <v>32</v>
      </c>
      <c r="I1188" t="s">
        <v>14</v>
      </c>
      <c r="J1188" t="s">
        <v>14</v>
      </c>
      <c r="K1188">
        <v>103</v>
      </c>
      <c r="L1188" t="str">
        <f>IF(AND(CallLog[[#This Row],[Answered (Y/N)]]="Y", CallLog[[#This Row],[Speed of answer in seconds]]&lt;=20),
    "Within",
    "Breach")</f>
        <v>Breach</v>
      </c>
      <c r="M1188" s="1">
        <v>1.5509259259259259E-3</v>
      </c>
      <c r="N1188">
        <v>5</v>
      </c>
    </row>
    <row r="1189" spans="1:14" x14ac:dyDescent="0.3">
      <c r="A1189" t="s">
        <v>1234</v>
      </c>
      <c r="B1189" t="s">
        <v>16</v>
      </c>
      <c r="C1189" t="s">
        <v>1227</v>
      </c>
      <c r="D1189" s="1">
        <v>0.40900462962962963</v>
      </c>
      <c r="E1189" s="2">
        <f>CallLog[[#This Row],[Date]]+CallLog[[#This Row],[Time]]</f>
        <v>44218.409004629626</v>
      </c>
      <c r="F1189" s="1" t="str">
        <f>TEXT(CallLog[[#This Row],[Date]],"dddd")</f>
        <v>Friday</v>
      </c>
      <c r="G1189" s="3">
        <f>HOUR(CallLog[[#This Row],[Time]])</f>
        <v>9</v>
      </c>
      <c r="H1189" t="s">
        <v>13</v>
      </c>
      <c r="I1189" t="s">
        <v>14</v>
      </c>
      <c r="J1189" t="s">
        <v>14</v>
      </c>
      <c r="K1189">
        <v>98</v>
      </c>
      <c r="L1189" t="str">
        <f>IF(AND(CallLog[[#This Row],[Answered (Y/N)]]="Y", CallLog[[#This Row],[Speed of answer in seconds]]&lt;=20),
    "Within",
    "Breach")</f>
        <v>Breach</v>
      </c>
      <c r="M1189" s="1">
        <v>4.7800925925925927E-3</v>
      </c>
      <c r="N1189">
        <v>4</v>
      </c>
    </row>
    <row r="1190" spans="1:14" x14ac:dyDescent="0.3">
      <c r="A1190" t="s">
        <v>1235</v>
      </c>
      <c r="B1190" t="s">
        <v>16</v>
      </c>
      <c r="C1190" t="s">
        <v>1227</v>
      </c>
      <c r="D1190" s="1">
        <v>0.41599537037037038</v>
      </c>
      <c r="E1190" s="2">
        <f>CallLog[[#This Row],[Date]]+CallLog[[#This Row],[Time]]</f>
        <v>44218.415995370371</v>
      </c>
      <c r="F1190" s="1" t="str">
        <f>TEXT(CallLog[[#This Row],[Date]],"dddd")</f>
        <v>Friday</v>
      </c>
      <c r="G1190" s="3">
        <f>HOUR(CallLog[[#This Row],[Time]])</f>
        <v>9</v>
      </c>
      <c r="H1190" t="s">
        <v>17</v>
      </c>
      <c r="I1190" t="s">
        <v>14</v>
      </c>
      <c r="J1190" t="s">
        <v>14</v>
      </c>
      <c r="K1190">
        <v>23</v>
      </c>
      <c r="L1190" t="str">
        <f>IF(AND(CallLog[[#This Row],[Answered (Y/N)]]="Y", CallLog[[#This Row],[Speed of answer in seconds]]&lt;=20),
    "Within",
    "Breach")</f>
        <v>Breach</v>
      </c>
      <c r="M1190" s="1">
        <v>3.2870370370370371E-3</v>
      </c>
      <c r="N1190">
        <v>1</v>
      </c>
    </row>
    <row r="1191" spans="1:14" x14ac:dyDescent="0.3">
      <c r="A1191" t="s">
        <v>1236</v>
      </c>
      <c r="B1191" t="s">
        <v>38</v>
      </c>
      <c r="C1191" t="s">
        <v>1227</v>
      </c>
      <c r="D1191" s="1">
        <v>0.41599537037037038</v>
      </c>
      <c r="E1191" s="2">
        <f>CallLog[[#This Row],[Date]]+CallLog[[#This Row],[Time]]</f>
        <v>44218.415995370371</v>
      </c>
      <c r="F1191" s="1" t="str">
        <f>TEXT(CallLog[[#This Row],[Date]],"dddd")</f>
        <v>Friday</v>
      </c>
      <c r="G1191" s="3">
        <f>HOUR(CallLog[[#This Row],[Time]])</f>
        <v>9</v>
      </c>
      <c r="H1191" t="s">
        <v>29</v>
      </c>
      <c r="I1191" t="s">
        <v>14</v>
      </c>
      <c r="J1191" t="s">
        <v>14</v>
      </c>
      <c r="K1191">
        <v>53</v>
      </c>
      <c r="L1191" t="str">
        <f>IF(AND(CallLog[[#This Row],[Answered (Y/N)]]="Y", CallLog[[#This Row],[Speed of answer in seconds]]&lt;=20),
    "Within",
    "Breach")</f>
        <v>Breach</v>
      </c>
      <c r="M1191" s="1">
        <v>8.9120370370370373E-4</v>
      </c>
      <c r="N1191">
        <v>2</v>
      </c>
    </row>
    <row r="1192" spans="1:14" x14ac:dyDescent="0.3">
      <c r="A1192" t="s">
        <v>1237</v>
      </c>
      <c r="B1192" t="s">
        <v>16</v>
      </c>
      <c r="C1192" t="s">
        <v>1227</v>
      </c>
      <c r="D1192" s="1">
        <v>0.44299768518518517</v>
      </c>
      <c r="E1192" s="2">
        <f>CallLog[[#This Row],[Date]]+CallLog[[#This Row],[Time]]</f>
        <v>44218.442997685182</v>
      </c>
      <c r="F1192" s="1" t="str">
        <f>TEXT(CallLog[[#This Row],[Date]],"dddd")</f>
        <v>Friday</v>
      </c>
      <c r="G1192" s="3">
        <f>HOUR(CallLog[[#This Row],[Time]])</f>
        <v>10</v>
      </c>
      <c r="H1192" t="s">
        <v>17</v>
      </c>
      <c r="I1192" t="s">
        <v>18</v>
      </c>
      <c r="J1192" t="s">
        <v>18</v>
      </c>
      <c r="L1192" t="str">
        <f>IF(AND(CallLog[[#This Row],[Answered (Y/N)]]="Y", CallLog[[#This Row],[Speed of answer in seconds]]&lt;=20),
    "Within",
    "Breach")</f>
        <v>Breach</v>
      </c>
    </row>
    <row r="1193" spans="1:14" x14ac:dyDescent="0.3">
      <c r="A1193" t="s">
        <v>1238</v>
      </c>
      <c r="B1193" t="s">
        <v>11</v>
      </c>
      <c r="C1193" t="s">
        <v>1227</v>
      </c>
      <c r="D1193" s="1">
        <v>0.44299768518518517</v>
      </c>
      <c r="E1193" s="2">
        <f>CallLog[[#This Row],[Date]]+CallLog[[#This Row],[Time]]</f>
        <v>44218.442997685182</v>
      </c>
      <c r="F1193" s="1" t="str">
        <f>TEXT(CallLog[[#This Row],[Date]],"dddd")</f>
        <v>Friday</v>
      </c>
      <c r="G1193" s="3">
        <f>HOUR(CallLog[[#This Row],[Time]])</f>
        <v>10</v>
      </c>
      <c r="H1193" t="s">
        <v>13</v>
      </c>
      <c r="I1193" t="s">
        <v>14</v>
      </c>
      <c r="J1193" t="s">
        <v>18</v>
      </c>
      <c r="K1193">
        <v>55</v>
      </c>
      <c r="L1193" t="str">
        <f>IF(AND(CallLog[[#This Row],[Answered (Y/N)]]="Y", CallLog[[#This Row],[Speed of answer in seconds]]&lt;=20),
    "Within",
    "Breach")</f>
        <v>Breach</v>
      </c>
      <c r="M1193" s="1">
        <v>3.2407407407407406E-3</v>
      </c>
      <c r="N1193">
        <v>4</v>
      </c>
    </row>
    <row r="1194" spans="1:14" x14ac:dyDescent="0.3">
      <c r="A1194" t="s">
        <v>1239</v>
      </c>
      <c r="B1194" t="s">
        <v>38</v>
      </c>
      <c r="C1194" t="s">
        <v>1227</v>
      </c>
      <c r="D1194" s="1">
        <v>0.48599537037037038</v>
      </c>
      <c r="E1194" s="2">
        <f>CallLog[[#This Row],[Date]]+CallLog[[#This Row],[Time]]</f>
        <v>44218.485995370371</v>
      </c>
      <c r="F1194" s="1" t="str">
        <f>TEXT(CallLog[[#This Row],[Date]],"dddd")</f>
        <v>Friday</v>
      </c>
      <c r="G1194" s="3">
        <f>HOUR(CallLog[[#This Row],[Time]])</f>
        <v>11</v>
      </c>
      <c r="H1194" t="s">
        <v>29</v>
      </c>
      <c r="I1194" t="s">
        <v>14</v>
      </c>
      <c r="J1194" t="s">
        <v>14</v>
      </c>
      <c r="K1194">
        <v>77</v>
      </c>
      <c r="L1194" t="str">
        <f>IF(AND(CallLog[[#This Row],[Answered (Y/N)]]="Y", CallLog[[#This Row],[Speed of answer in seconds]]&lt;=20),
    "Within",
    "Breach")</f>
        <v>Breach</v>
      </c>
      <c r="M1194" s="1">
        <v>3.4953703703703705E-3</v>
      </c>
      <c r="N1194">
        <v>5</v>
      </c>
    </row>
    <row r="1195" spans="1:14" x14ac:dyDescent="0.3">
      <c r="A1195" t="s">
        <v>1240</v>
      </c>
      <c r="B1195" t="s">
        <v>16</v>
      </c>
      <c r="C1195" t="s">
        <v>1227</v>
      </c>
      <c r="D1195" s="1">
        <v>0.48599537037037038</v>
      </c>
      <c r="E1195" s="2">
        <f>CallLog[[#This Row],[Date]]+CallLog[[#This Row],[Time]]</f>
        <v>44218.485995370371</v>
      </c>
      <c r="F1195" s="1" t="str">
        <f>TEXT(CallLog[[#This Row],[Date]],"dddd")</f>
        <v>Friday</v>
      </c>
      <c r="G1195" s="3">
        <f>HOUR(CallLog[[#This Row],[Time]])</f>
        <v>11</v>
      </c>
      <c r="H1195" t="s">
        <v>17</v>
      </c>
      <c r="I1195" t="s">
        <v>14</v>
      </c>
      <c r="J1195" t="s">
        <v>14</v>
      </c>
      <c r="K1195">
        <v>46</v>
      </c>
      <c r="L1195" t="str">
        <f>IF(AND(CallLog[[#This Row],[Answered (Y/N)]]="Y", CallLog[[#This Row],[Speed of answer in seconds]]&lt;=20),
    "Within",
    "Breach")</f>
        <v>Breach</v>
      </c>
      <c r="M1195" s="1">
        <v>4.2245370370370371E-3</v>
      </c>
      <c r="N1195">
        <v>3</v>
      </c>
    </row>
    <row r="1196" spans="1:14" x14ac:dyDescent="0.3">
      <c r="A1196" t="s">
        <v>1241</v>
      </c>
      <c r="B1196" t="s">
        <v>22</v>
      </c>
      <c r="C1196" t="s">
        <v>1227</v>
      </c>
      <c r="D1196" s="1">
        <v>0.48799768518518516</v>
      </c>
      <c r="E1196" s="2">
        <f>CallLog[[#This Row],[Date]]+CallLog[[#This Row],[Time]]</f>
        <v>44218.487997685188</v>
      </c>
      <c r="F1196" s="1" t="str">
        <f>TEXT(CallLog[[#This Row],[Date]],"dddd")</f>
        <v>Friday</v>
      </c>
      <c r="G1196" s="3">
        <f>HOUR(CallLog[[#This Row],[Time]])</f>
        <v>11</v>
      </c>
      <c r="H1196" t="s">
        <v>17</v>
      </c>
      <c r="I1196" t="s">
        <v>18</v>
      </c>
      <c r="J1196" t="s">
        <v>18</v>
      </c>
      <c r="L1196" t="str">
        <f>IF(AND(CallLog[[#This Row],[Answered (Y/N)]]="Y", CallLog[[#This Row],[Speed of answer in seconds]]&lt;=20),
    "Within",
    "Breach")</f>
        <v>Breach</v>
      </c>
    </row>
    <row r="1197" spans="1:14" x14ac:dyDescent="0.3">
      <c r="A1197" t="s">
        <v>1242</v>
      </c>
      <c r="B1197" t="s">
        <v>38</v>
      </c>
      <c r="C1197" t="s">
        <v>1227</v>
      </c>
      <c r="D1197" s="1">
        <v>0.48799768518518516</v>
      </c>
      <c r="E1197" s="2">
        <f>CallLog[[#This Row],[Date]]+CallLog[[#This Row],[Time]]</f>
        <v>44218.487997685188</v>
      </c>
      <c r="F1197" s="1" t="str">
        <f>TEXT(CallLog[[#This Row],[Date]],"dddd")</f>
        <v>Friday</v>
      </c>
      <c r="G1197" s="3">
        <f>HOUR(CallLog[[#This Row],[Time]])</f>
        <v>11</v>
      </c>
      <c r="H1197" t="s">
        <v>24</v>
      </c>
      <c r="I1197" t="s">
        <v>14</v>
      </c>
      <c r="J1197" t="s">
        <v>14</v>
      </c>
      <c r="K1197">
        <v>39</v>
      </c>
      <c r="L1197" t="str">
        <f>IF(AND(CallLog[[#This Row],[Answered (Y/N)]]="Y", CallLog[[#This Row],[Speed of answer in seconds]]&lt;=20),
    "Within",
    "Breach")</f>
        <v>Breach</v>
      </c>
      <c r="M1197" s="1">
        <v>3.5300925925925925E-3</v>
      </c>
      <c r="N1197">
        <v>4</v>
      </c>
    </row>
    <row r="1198" spans="1:14" x14ac:dyDescent="0.3">
      <c r="A1198" t="s">
        <v>1243</v>
      </c>
      <c r="B1198" t="s">
        <v>22</v>
      </c>
      <c r="C1198" t="s">
        <v>1227</v>
      </c>
      <c r="D1198" s="1">
        <v>0.49700231481481483</v>
      </c>
      <c r="E1198" s="2">
        <f>CallLog[[#This Row],[Date]]+CallLog[[#This Row],[Time]]</f>
        <v>44218.497002314813</v>
      </c>
      <c r="F1198" s="1" t="str">
        <f>TEXT(CallLog[[#This Row],[Date]],"dddd")</f>
        <v>Friday</v>
      </c>
      <c r="G1198" s="3">
        <f>HOUR(CallLog[[#This Row],[Time]])</f>
        <v>11</v>
      </c>
      <c r="H1198" t="s">
        <v>24</v>
      </c>
      <c r="I1198" t="s">
        <v>14</v>
      </c>
      <c r="J1198" t="s">
        <v>14</v>
      </c>
      <c r="K1198">
        <v>13</v>
      </c>
      <c r="L1198" t="str">
        <f>IF(AND(CallLog[[#This Row],[Answered (Y/N)]]="Y", CallLog[[#This Row],[Speed of answer in seconds]]&lt;=20),
    "Within",
    "Breach")</f>
        <v>Within</v>
      </c>
      <c r="M1198" s="1">
        <v>4.8611111111111112E-3</v>
      </c>
      <c r="N1198">
        <v>3</v>
      </c>
    </row>
    <row r="1199" spans="1:14" x14ac:dyDescent="0.3">
      <c r="A1199" t="s">
        <v>1244</v>
      </c>
      <c r="B1199" t="s">
        <v>31</v>
      </c>
      <c r="C1199" t="s">
        <v>1227</v>
      </c>
      <c r="D1199" s="1">
        <v>0.49700231481481483</v>
      </c>
      <c r="E1199" s="2">
        <f>CallLog[[#This Row],[Date]]+CallLog[[#This Row],[Time]]</f>
        <v>44218.497002314813</v>
      </c>
      <c r="F1199" s="1" t="str">
        <f>TEXT(CallLog[[#This Row],[Date]],"dddd")</f>
        <v>Friday</v>
      </c>
      <c r="G1199" s="3">
        <f>HOUR(CallLog[[#This Row],[Time]])</f>
        <v>11</v>
      </c>
      <c r="H1199" t="s">
        <v>29</v>
      </c>
      <c r="I1199" t="s">
        <v>14</v>
      </c>
      <c r="J1199" t="s">
        <v>14</v>
      </c>
      <c r="K1199">
        <v>84</v>
      </c>
      <c r="L1199" t="str">
        <f>IF(AND(CallLog[[#This Row],[Answered (Y/N)]]="Y", CallLog[[#This Row],[Speed of answer in seconds]]&lt;=20),
    "Within",
    "Breach")</f>
        <v>Breach</v>
      </c>
      <c r="M1199" s="1">
        <v>3.8657407407407408E-3</v>
      </c>
      <c r="N1199">
        <v>5</v>
      </c>
    </row>
    <row r="1200" spans="1:14" x14ac:dyDescent="0.3">
      <c r="A1200" t="s">
        <v>1245</v>
      </c>
      <c r="B1200" t="s">
        <v>47</v>
      </c>
      <c r="C1200" t="s">
        <v>1227</v>
      </c>
      <c r="D1200" s="1">
        <v>0.49700231481481483</v>
      </c>
      <c r="E1200" s="2">
        <f>CallLog[[#This Row],[Date]]+CallLog[[#This Row],[Time]]</f>
        <v>44218.497002314813</v>
      </c>
      <c r="F1200" s="1" t="str">
        <f>TEXT(CallLog[[#This Row],[Date]],"dddd")</f>
        <v>Friday</v>
      </c>
      <c r="G1200" s="3">
        <f>HOUR(CallLog[[#This Row],[Time]])</f>
        <v>11</v>
      </c>
      <c r="H1200" t="s">
        <v>29</v>
      </c>
      <c r="I1200" t="s">
        <v>14</v>
      </c>
      <c r="J1200" t="s">
        <v>14</v>
      </c>
      <c r="K1200">
        <v>60</v>
      </c>
      <c r="L1200" t="str">
        <f>IF(AND(CallLog[[#This Row],[Answered (Y/N)]]="Y", CallLog[[#This Row],[Speed of answer in seconds]]&lt;=20),
    "Within",
    "Breach")</f>
        <v>Breach</v>
      </c>
      <c r="M1200" s="1">
        <v>3.3101851851851851E-3</v>
      </c>
      <c r="N1200">
        <v>3</v>
      </c>
    </row>
    <row r="1201" spans="1:14" x14ac:dyDescent="0.3">
      <c r="A1201" t="s">
        <v>1246</v>
      </c>
      <c r="B1201" t="s">
        <v>47</v>
      </c>
      <c r="C1201" t="s">
        <v>1227</v>
      </c>
      <c r="D1201" s="1">
        <v>0.49700231481481483</v>
      </c>
      <c r="E1201" s="2">
        <f>CallLog[[#This Row],[Date]]+CallLog[[#This Row],[Time]]</f>
        <v>44218.497002314813</v>
      </c>
      <c r="F1201" s="1" t="str">
        <f>TEXT(CallLog[[#This Row],[Date]],"dddd")</f>
        <v>Friday</v>
      </c>
      <c r="G1201" s="3">
        <f>HOUR(CallLog[[#This Row],[Time]])</f>
        <v>11</v>
      </c>
      <c r="H1201" t="s">
        <v>29</v>
      </c>
      <c r="I1201" t="s">
        <v>14</v>
      </c>
      <c r="J1201" t="s">
        <v>14</v>
      </c>
      <c r="K1201">
        <v>32</v>
      </c>
      <c r="L1201" t="str">
        <f>IF(AND(CallLog[[#This Row],[Answered (Y/N)]]="Y", CallLog[[#This Row],[Speed of answer in seconds]]&lt;=20),
    "Within",
    "Breach")</f>
        <v>Breach</v>
      </c>
      <c r="M1201" s="1">
        <v>4.0509259259259258E-4</v>
      </c>
      <c r="N1201">
        <v>5</v>
      </c>
    </row>
    <row r="1202" spans="1:14" x14ac:dyDescent="0.3">
      <c r="A1202" t="s">
        <v>1247</v>
      </c>
      <c r="B1202" t="s">
        <v>20</v>
      </c>
      <c r="C1202" t="s">
        <v>1227</v>
      </c>
      <c r="D1202" s="1">
        <v>0.5329976851851852</v>
      </c>
      <c r="E1202" s="2">
        <f>CallLog[[#This Row],[Date]]+CallLog[[#This Row],[Time]]</f>
        <v>44218.532997685186</v>
      </c>
      <c r="F1202" s="1" t="str">
        <f>TEXT(CallLog[[#This Row],[Date]],"dddd")</f>
        <v>Friday</v>
      </c>
      <c r="G1202" s="3">
        <f>HOUR(CallLog[[#This Row],[Time]])</f>
        <v>12</v>
      </c>
      <c r="H1202" t="s">
        <v>17</v>
      </c>
      <c r="I1202" t="s">
        <v>18</v>
      </c>
      <c r="J1202" t="s">
        <v>18</v>
      </c>
      <c r="L1202" t="str">
        <f>IF(AND(CallLog[[#This Row],[Answered (Y/N)]]="Y", CallLog[[#This Row],[Speed of answer in seconds]]&lt;=20),
    "Within",
    "Breach")</f>
        <v>Breach</v>
      </c>
    </row>
    <row r="1203" spans="1:14" x14ac:dyDescent="0.3">
      <c r="A1203" t="s">
        <v>1248</v>
      </c>
      <c r="B1203" t="s">
        <v>22</v>
      </c>
      <c r="C1203" t="s">
        <v>1227</v>
      </c>
      <c r="D1203" s="1">
        <v>0.5329976851851852</v>
      </c>
      <c r="E1203" s="2">
        <f>CallLog[[#This Row],[Date]]+CallLog[[#This Row],[Time]]</f>
        <v>44218.532997685186</v>
      </c>
      <c r="F1203" s="1" t="str">
        <f>TEXT(CallLog[[#This Row],[Date]],"dddd")</f>
        <v>Friday</v>
      </c>
      <c r="G1203" s="3">
        <f>HOUR(CallLog[[#This Row],[Time]])</f>
        <v>12</v>
      </c>
      <c r="H1203" t="s">
        <v>13</v>
      </c>
      <c r="I1203" t="s">
        <v>18</v>
      </c>
      <c r="J1203" t="s">
        <v>18</v>
      </c>
      <c r="L1203" t="str">
        <f>IF(AND(CallLog[[#This Row],[Answered (Y/N)]]="Y", CallLog[[#This Row],[Speed of answer in seconds]]&lt;=20),
    "Within",
    "Breach")</f>
        <v>Breach</v>
      </c>
    </row>
    <row r="1204" spans="1:14" x14ac:dyDescent="0.3">
      <c r="A1204" t="s">
        <v>1249</v>
      </c>
      <c r="B1204" t="s">
        <v>34</v>
      </c>
      <c r="C1204" t="s">
        <v>1227</v>
      </c>
      <c r="D1204" s="1">
        <v>0.59700231481481481</v>
      </c>
      <c r="E1204" s="2">
        <f>CallLog[[#This Row],[Date]]+CallLog[[#This Row],[Time]]</f>
        <v>44218.597002314818</v>
      </c>
      <c r="F1204" s="1" t="str">
        <f>TEXT(CallLog[[#This Row],[Date]],"dddd")</f>
        <v>Friday</v>
      </c>
      <c r="G1204" s="3">
        <f>HOUR(CallLog[[#This Row],[Time]])</f>
        <v>14</v>
      </c>
      <c r="H1204" t="s">
        <v>29</v>
      </c>
      <c r="I1204" t="s">
        <v>18</v>
      </c>
      <c r="J1204" t="s">
        <v>18</v>
      </c>
      <c r="L1204" t="str">
        <f>IF(AND(CallLog[[#This Row],[Answered (Y/N)]]="Y", CallLog[[#This Row],[Speed of answer in seconds]]&lt;=20),
    "Within",
    "Breach")</f>
        <v>Breach</v>
      </c>
    </row>
    <row r="1205" spans="1:14" x14ac:dyDescent="0.3">
      <c r="A1205" t="s">
        <v>1250</v>
      </c>
      <c r="B1205" t="s">
        <v>47</v>
      </c>
      <c r="C1205" t="s">
        <v>1227</v>
      </c>
      <c r="D1205" s="1">
        <v>0.59700231481481481</v>
      </c>
      <c r="E1205" s="2">
        <f>CallLog[[#This Row],[Date]]+CallLog[[#This Row],[Time]]</f>
        <v>44218.597002314818</v>
      </c>
      <c r="F1205" s="1" t="str">
        <f>TEXT(CallLog[[#This Row],[Date]],"dddd")</f>
        <v>Friday</v>
      </c>
      <c r="G1205" s="3">
        <f>HOUR(CallLog[[#This Row],[Time]])</f>
        <v>14</v>
      </c>
      <c r="H1205" t="s">
        <v>24</v>
      </c>
      <c r="I1205" t="s">
        <v>14</v>
      </c>
      <c r="J1205" t="s">
        <v>14</v>
      </c>
      <c r="K1205">
        <v>67</v>
      </c>
      <c r="L1205" t="str">
        <f>IF(AND(CallLog[[#This Row],[Answered (Y/N)]]="Y", CallLog[[#This Row],[Speed of answer in seconds]]&lt;=20),
    "Within",
    "Breach")</f>
        <v>Breach</v>
      </c>
      <c r="M1205" s="1">
        <v>4.6527777777777774E-3</v>
      </c>
      <c r="N1205">
        <v>4</v>
      </c>
    </row>
    <row r="1206" spans="1:14" x14ac:dyDescent="0.3">
      <c r="A1206" t="s">
        <v>1251</v>
      </c>
      <c r="B1206" t="s">
        <v>20</v>
      </c>
      <c r="C1206" t="s">
        <v>1227</v>
      </c>
      <c r="D1206" s="1">
        <v>0.59900462962962964</v>
      </c>
      <c r="E1206" s="2">
        <f>CallLog[[#This Row],[Date]]+CallLog[[#This Row],[Time]]</f>
        <v>44218.599004629628</v>
      </c>
      <c r="F1206" s="1" t="str">
        <f>TEXT(CallLog[[#This Row],[Date]],"dddd")</f>
        <v>Friday</v>
      </c>
      <c r="G1206" s="3">
        <f>HOUR(CallLog[[#This Row],[Time]])</f>
        <v>14</v>
      </c>
      <c r="H1206" t="s">
        <v>32</v>
      </c>
      <c r="I1206" t="s">
        <v>14</v>
      </c>
      <c r="J1206" t="s">
        <v>18</v>
      </c>
      <c r="K1206">
        <v>94</v>
      </c>
      <c r="L1206" t="str">
        <f>IF(AND(CallLog[[#This Row],[Answered (Y/N)]]="Y", CallLog[[#This Row],[Speed of answer in seconds]]&lt;=20),
    "Within",
    "Breach")</f>
        <v>Breach</v>
      </c>
      <c r="M1206" s="1">
        <v>2.7546296296296294E-3</v>
      </c>
      <c r="N1206">
        <v>4</v>
      </c>
    </row>
    <row r="1207" spans="1:14" x14ac:dyDescent="0.3">
      <c r="A1207" t="s">
        <v>1252</v>
      </c>
      <c r="B1207" t="s">
        <v>20</v>
      </c>
      <c r="C1207" t="s">
        <v>1227</v>
      </c>
      <c r="D1207" s="1">
        <v>0.59900462962962964</v>
      </c>
      <c r="E1207" s="2">
        <f>CallLog[[#This Row],[Date]]+CallLog[[#This Row],[Time]]</f>
        <v>44218.599004629628</v>
      </c>
      <c r="F1207" s="1" t="str">
        <f>TEXT(CallLog[[#This Row],[Date]],"dddd")</f>
        <v>Friday</v>
      </c>
      <c r="G1207" s="3">
        <f>HOUR(CallLog[[#This Row],[Time]])</f>
        <v>14</v>
      </c>
      <c r="H1207" t="s">
        <v>32</v>
      </c>
      <c r="I1207" t="s">
        <v>14</v>
      </c>
      <c r="J1207" t="s">
        <v>14</v>
      </c>
      <c r="K1207">
        <v>92</v>
      </c>
      <c r="L1207" t="str">
        <f>IF(AND(CallLog[[#This Row],[Answered (Y/N)]]="Y", CallLog[[#This Row],[Speed of answer in seconds]]&lt;=20),
    "Within",
    "Breach")</f>
        <v>Breach</v>
      </c>
      <c r="M1207" s="1">
        <v>4.2824074074074075E-3</v>
      </c>
      <c r="N1207">
        <v>1</v>
      </c>
    </row>
    <row r="1208" spans="1:14" x14ac:dyDescent="0.3">
      <c r="A1208" t="s">
        <v>1253</v>
      </c>
      <c r="B1208" t="s">
        <v>16</v>
      </c>
      <c r="C1208" t="s">
        <v>1227</v>
      </c>
      <c r="D1208" s="1">
        <v>0.61400462962962965</v>
      </c>
      <c r="E1208" s="2">
        <f>CallLog[[#This Row],[Date]]+CallLog[[#This Row],[Time]]</f>
        <v>44218.614004629628</v>
      </c>
      <c r="F1208" s="1" t="str">
        <f>TEXT(CallLog[[#This Row],[Date]],"dddd")</f>
        <v>Friday</v>
      </c>
      <c r="G1208" s="3">
        <f>HOUR(CallLog[[#This Row],[Time]])</f>
        <v>14</v>
      </c>
      <c r="H1208" t="s">
        <v>32</v>
      </c>
      <c r="I1208" t="s">
        <v>14</v>
      </c>
      <c r="J1208" t="s">
        <v>14</v>
      </c>
      <c r="K1208">
        <v>35</v>
      </c>
      <c r="L1208" t="str">
        <f>IF(AND(CallLog[[#This Row],[Answered (Y/N)]]="Y", CallLog[[#This Row],[Speed of answer in seconds]]&lt;=20),
    "Within",
    "Breach")</f>
        <v>Breach</v>
      </c>
      <c r="M1208" s="1">
        <v>8.1018518518518516E-4</v>
      </c>
      <c r="N1208">
        <v>3</v>
      </c>
    </row>
    <row r="1209" spans="1:14" x14ac:dyDescent="0.3">
      <c r="A1209" t="s">
        <v>1254</v>
      </c>
      <c r="B1209" t="s">
        <v>11</v>
      </c>
      <c r="C1209" t="s">
        <v>1227</v>
      </c>
      <c r="D1209" s="1">
        <v>0.61400462962962965</v>
      </c>
      <c r="E1209" s="2">
        <f>CallLog[[#This Row],[Date]]+CallLog[[#This Row],[Time]]</f>
        <v>44218.614004629628</v>
      </c>
      <c r="F1209" s="1" t="str">
        <f>TEXT(CallLog[[#This Row],[Date]],"dddd")</f>
        <v>Friday</v>
      </c>
      <c r="G1209" s="3">
        <f>HOUR(CallLog[[#This Row],[Time]])</f>
        <v>14</v>
      </c>
      <c r="H1209" t="s">
        <v>29</v>
      </c>
      <c r="I1209" t="s">
        <v>14</v>
      </c>
      <c r="J1209" t="s">
        <v>14</v>
      </c>
      <c r="K1209">
        <v>57</v>
      </c>
      <c r="L1209" t="str">
        <f>IF(AND(CallLog[[#This Row],[Answered (Y/N)]]="Y", CallLog[[#This Row],[Speed of answer in seconds]]&lt;=20),
    "Within",
    "Breach")</f>
        <v>Breach</v>
      </c>
      <c r="M1209" s="1">
        <v>9.3749999999999997E-4</v>
      </c>
      <c r="N1209">
        <v>5</v>
      </c>
    </row>
    <row r="1210" spans="1:14" x14ac:dyDescent="0.3">
      <c r="A1210" t="s">
        <v>1255</v>
      </c>
      <c r="B1210" t="s">
        <v>20</v>
      </c>
      <c r="C1210" t="s">
        <v>1227</v>
      </c>
      <c r="D1210" s="1">
        <v>0.61700231481481482</v>
      </c>
      <c r="E1210" s="2">
        <f>CallLog[[#This Row],[Date]]+CallLog[[#This Row],[Time]]</f>
        <v>44218.617002314815</v>
      </c>
      <c r="F1210" s="1" t="str">
        <f>TEXT(CallLog[[#This Row],[Date]],"dddd")</f>
        <v>Friday</v>
      </c>
      <c r="G1210" s="3">
        <f>HOUR(CallLog[[#This Row],[Time]])</f>
        <v>14</v>
      </c>
      <c r="H1210" t="s">
        <v>32</v>
      </c>
      <c r="I1210" t="s">
        <v>18</v>
      </c>
      <c r="J1210" t="s">
        <v>18</v>
      </c>
      <c r="L1210" t="str">
        <f>IF(AND(CallLog[[#This Row],[Answered (Y/N)]]="Y", CallLog[[#This Row],[Speed of answer in seconds]]&lt;=20),
    "Within",
    "Breach")</f>
        <v>Breach</v>
      </c>
    </row>
    <row r="1211" spans="1:14" x14ac:dyDescent="0.3">
      <c r="A1211" t="s">
        <v>1256</v>
      </c>
      <c r="B1211" t="s">
        <v>31</v>
      </c>
      <c r="C1211" t="s">
        <v>1227</v>
      </c>
      <c r="D1211" s="1">
        <v>0.61700231481481482</v>
      </c>
      <c r="E1211" s="2">
        <f>CallLog[[#This Row],[Date]]+CallLog[[#This Row],[Time]]</f>
        <v>44218.617002314815</v>
      </c>
      <c r="F1211" s="1" t="str">
        <f>TEXT(CallLog[[#This Row],[Date]],"dddd")</f>
        <v>Friday</v>
      </c>
      <c r="G1211" s="3">
        <f>HOUR(CallLog[[#This Row],[Time]])</f>
        <v>14</v>
      </c>
      <c r="H1211" t="s">
        <v>29</v>
      </c>
      <c r="I1211" t="s">
        <v>14</v>
      </c>
      <c r="J1211" t="s">
        <v>14</v>
      </c>
      <c r="K1211">
        <v>15</v>
      </c>
      <c r="L1211" t="str">
        <f>IF(AND(CallLog[[#This Row],[Answered (Y/N)]]="Y", CallLog[[#This Row],[Speed of answer in seconds]]&lt;=20),
    "Within",
    "Breach")</f>
        <v>Within</v>
      </c>
      <c r="M1211" s="1">
        <v>3.414351851851852E-3</v>
      </c>
      <c r="N1211">
        <v>4</v>
      </c>
    </row>
    <row r="1212" spans="1:14" x14ac:dyDescent="0.3">
      <c r="A1212" t="s">
        <v>1257</v>
      </c>
      <c r="B1212" t="s">
        <v>16</v>
      </c>
      <c r="C1212" t="s">
        <v>1227</v>
      </c>
      <c r="D1212" s="1">
        <v>0.61799768518518516</v>
      </c>
      <c r="E1212" s="2">
        <f>CallLog[[#This Row],[Date]]+CallLog[[#This Row],[Time]]</f>
        <v>44218.617997685185</v>
      </c>
      <c r="F1212" s="1" t="str">
        <f>TEXT(CallLog[[#This Row],[Date]],"dddd")</f>
        <v>Friday</v>
      </c>
      <c r="G1212" s="3">
        <f>HOUR(CallLog[[#This Row],[Time]])</f>
        <v>14</v>
      </c>
      <c r="H1212" t="s">
        <v>29</v>
      </c>
      <c r="I1212" t="s">
        <v>14</v>
      </c>
      <c r="J1212" t="s">
        <v>18</v>
      </c>
      <c r="K1212">
        <v>54</v>
      </c>
      <c r="L1212" t="str">
        <f>IF(AND(CallLog[[#This Row],[Answered (Y/N)]]="Y", CallLog[[#This Row],[Speed of answer in seconds]]&lt;=20),
    "Within",
    "Breach")</f>
        <v>Breach</v>
      </c>
      <c r="M1212" s="1">
        <v>2.2569444444444442E-3</v>
      </c>
      <c r="N1212">
        <v>5</v>
      </c>
    </row>
    <row r="1213" spans="1:14" x14ac:dyDescent="0.3">
      <c r="A1213" t="s">
        <v>1258</v>
      </c>
      <c r="B1213" t="s">
        <v>22</v>
      </c>
      <c r="C1213" t="s">
        <v>1227</v>
      </c>
      <c r="D1213" s="1">
        <v>0.61799768518518516</v>
      </c>
      <c r="E1213" s="2">
        <f>CallLog[[#This Row],[Date]]+CallLog[[#This Row],[Time]]</f>
        <v>44218.617997685185</v>
      </c>
      <c r="F1213" s="1" t="str">
        <f>TEXT(CallLog[[#This Row],[Date]],"dddd")</f>
        <v>Friday</v>
      </c>
      <c r="G1213" s="3">
        <f>HOUR(CallLog[[#This Row],[Time]])</f>
        <v>14</v>
      </c>
      <c r="H1213" t="s">
        <v>24</v>
      </c>
      <c r="I1213" t="s">
        <v>14</v>
      </c>
      <c r="J1213" t="s">
        <v>14</v>
      </c>
      <c r="K1213">
        <v>99</v>
      </c>
      <c r="L1213" t="str">
        <f>IF(AND(CallLog[[#This Row],[Answered (Y/N)]]="Y", CallLog[[#This Row],[Speed of answer in seconds]]&lt;=20),
    "Within",
    "Breach")</f>
        <v>Breach</v>
      </c>
      <c r="M1213" s="1">
        <v>6.9444444444444447E-4</v>
      </c>
      <c r="N1213">
        <v>1</v>
      </c>
    </row>
    <row r="1214" spans="1:14" x14ac:dyDescent="0.3">
      <c r="A1214" t="s">
        <v>1259</v>
      </c>
      <c r="B1214" t="s">
        <v>38</v>
      </c>
      <c r="C1214" t="s">
        <v>1227</v>
      </c>
      <c r="D1214" s="1">
        <v>0.64599537037037036</v>
      </c>
      <c r="E1214" s="2">
        <f>CallLog[[#This Row],[Date]]+CallLog[[#This Row],[Time]]</f>
        <v>44218.645995370367</v>
      </c>
      <c r="F1214" s="1" t="str">
        <f>TEXT(CallLog[[#This Row],[Date]],"dddd")</f>
        <v>Friday</v>
      </c>
      <c r="G1214" s="3">
        <f>HOUR(CallLog[[#This Row],[Time]])</f>
        <v>15</v>
      </c>
      <c r="H1214" t="s">
        <v>13</v>
      </c>
      <c r="I1214" t="s">
        <v>18</v>
      </c>
      <c r="J1214" t="s">
        <v>18</v>
      </c>
      <c r="L1214" t="str">
        <f>IF(AND(CallLog[[#This Row],[Answered (Y/N)]]="Y", CallLog[[#This Row],[Speed of answer in seconds]]&lt;=20),
    "Within",
    "Breach")</f>
        <v>Breach</v>
      </c>
    </row>
    <row r="1215" spans="1:14" x14ac:dyDescent="0.3">
      <c r="A1215" t="s">
        <v>1260</v>
      </c>
      <c r="B1215" t="s">
        <v>31</v>
      </c>
      <c r="C1215" t="s">
        <v>1227</v>
      </c>
      <c r="D1215" s="1">
        <v>0.64599537037037036</v>
      </c>
      <c r="E1215" s="2">
        <f>CallLog[[#This Row],[Date]]+CallLog[[#This Row],[Time]]</f>
        <v>44218.645995370367</v>
      </c>
      <c r="F1215" s="1" t="str">
        <f>TEXT(CallLog[[#This Row],[Date]],"dddd")</f>
        <v>Friday</v>
      </c>
      <c r="G1215" s="3">
        <f>HOUR(CallLog[[#This Row],[Time]])</f>
        <v>15</v>
      </c>
      <c r="H1215" t="s">
        <v>32</v>
      </c>
      <c r="I1215" t="s">
        <v>18</v>
      </c>
      <c r="J1215" t="s">
        <v>18</v>
      </c>
      <c r="L1215" t="str">
        <f>IF(AND(CallLog[[#This Row],[Answered (Y/N)]]="Y", CallLog[[#This Row],[Speed of answer in seconds]]&lt;=20),
    "Within",
    "Breach")</f>
        <v>Breach</v>
      </c>
    </row>
    <row r="1216" spans="1:14" x14ac:dyDescent="0.3">
      <c r="A1216" t="s">
        <v>1261</v>
      </c>
      <c r="B1216" t="s">
        <v>38</v>
      </c>
      <c r="C1216" t="s">
        <v>1227</v>
      </c>
      <c r="D1216" s="1">
        <v>0.66400462962962958</v>
      </c>
      <c r="E1216" s="2">
        <f>CallLog[[#This Row],[Date]]+CallLog[[#This Row],[Time]]</f>
        <v>44218.664004629631</v>
      </c>
      <c r="F1216" s="1" t="str">
        <f>TEXT(CallLog[[#This Row],[Date]],"dddd")</f>
        <v>Friday</v>
      </c>
      <c r="G1216" s="3">
        <f>HOUR(CallLog[[#This Row],[Time]])</f>
        <v>15</v>
      </c>
      <c r="H1216" t="s">
        <v>32</v>
      </c>
      <c r="I1216" t="s">
        <v>18</v>
      </c>
      <c r="J1216" t="s">
        <v>18</v>
      </c>
      <c r="L1216" t="str">
        <f>IF(AND(CallLog[[#This Row],[Answered (Y/N)]]="Y", CallLog[[#This Row],[Speed of answer in seconds]]&lt;=20),
    "Within",
    "Breach")</f>
        <v>Breach</v>
      </c>
    </row>
    <row r="1217" spans="1:14" x14ac:dyDescent="0.3">
      <c r="A1217" t="s">
        <v>1262</v>
      </c>
      <c r="B1217" t="s">
        <v>38</v>
      </c>
      <c r="C1217" t="s">
        <v>1227</v>
      </c>
      <c r="D1217" s="1">
        <v>0.66400462962962958</v>
      </c>
      <c r="E1217" s="2">
        <f>CallLog[[#This Row],[Date]]+CallLog[[#This Row],[Time]]</f>
        <v>44218.664004629631</v>
      </c>
      <c r="F1217" s="1" t="str">
        <f>TEXT(CallLog[[#This Row],[Date]],"dddd")</f>
        <v>Friday</v>
      </c>
      <c r="G1217" s="3">
        <f>HOUR(CallLog[[#This Row],[Time]])</f>
        <v>15</v>
      </c>
      <c r="H1217" t="s">
        <v>29</v>
      </c>
      <c r="I1217" t="s">
        <v>18</v>
      </c>
      <c r="J1217" t="s">
        <v>18</v>
      </c>
      <c r="L1217" t="str">
        <f>IF(AND(CallLog[[#This Row],[Answered (Y/N)]]="Y", CallLog[[#This Row],[Speed of answer in seconds]]&lt;=20),
    "Within",
    "Breach")</f>
        <v>Breach</v>
      </c>
    </row>
    <row r="1218" spans="1:14" x14ac:dyDescent="0.3">
      <c r="A1218" t="s">
        <v>1263</v>
      </c>
      <c r="B1218" t="s">
        <v>38</v>
      </c>
      <c r="C1218" t="s">
        <v>1227</v>
      </c>
      <c r="D1218" s="1">
        <v>0.66799768518518521</v>
      </c>
      <c r="E1218" s="2">
        <f>CallLog[[#This Row],[Date]]+CallLog[[#This Row],[Time]]</f>
        <v>44218.667997685188</v>
      </c>
      <c r="F1218" s="1" t="str">
        <f>TEXT(CallLog[[#This Row],[Date]],"dddd")</f>
        <v>Friday</v>
      </c>
      <c r="G1218" s="3">
        <f>HOUR(CallLog[[#This Row],[Time]])</f>
        <v>16</v>
      </c>
      <c r="H1218" t="s">
        <v>24</v>
      </c>
      <c r="I1218" t="s">
        <v>18</v>
      </c>
      <c r="J1218" t="s">
        <v>18</v>
      </c>
      <c r="L1218" t="str">
        <f>IF(AND(CallLog[[#This Row],[Answered (Y/N)]]="Y", CallLog[[#This Row],[Speed of answer in seconds]]&lt;=20),
    "Within",
    "Breach")</f>
        <v>Breach</v>
      </c>
    </row>
    <row r="1219" spans="1:14" x14ac:dyDescent="0.3">
      <c r="A1219" t="s">
        <v>1264</v>
      </c>
      <c r="B1219" t="s">
        <v>16</v>
      </c>
      <c r="C1219" t="s">
        <v>1227</v>
      </c>
      <c r="D1219" s="1">
        <v>0.66799768518518521</v>
      </c>
      <c r="E1219" s="2">
        <f>CallLog[[#This Row],[Date]]+CallLog[[#This Row],[Time]]</f>
        <v>44218.667997685188</v>
      </c>
      <c r="F1219" s="1" t="str">
        <f>TEXT(CallLog[[#This Row],[Date]],"dddd")</f>
        <v>Friday</v>
      </c>
      <c r="G1219" s="3">
        <f>HOUR(CallLog[[#This Row],[Time]])</f>
        <v>16</v>
      </c>
      <c r="H1219" t="s">
        <v>32</v>
      </c>
      <c r="I1219" t="s">
        <v>14</v>
      </c>
      <c r="J1219" t="s">
        <v>14</v>
      </c>
      <c r="K1219">
        <v>78</v>
      </c>
      <c r="L1219" t="str">
        <f>IF(AND(CallLog[[#This Row],[Answered (Y/N)]]="Y", CallLog[[#This Row],[Speed of answer in seconds]]&lt;=20),
    "Within",
    "Breach")</f>
        <v>Breach</v>
      </c>
      <c r="M1219" s="1">
        <v>7.5231481481481482E-4</v>
      </c>
      <c r="N1219">
        <v>5</v>
      </c>
    </row>
    <row r="1220" spans="1:14" x14ac:dyDescent="0.3">
      <c r="A1220" t="s">
        <v>1265</v>
      </c>
      <c r="B1220" t="s">
        <v>22</v>
      </c>
      <c r="C1220" t="s">
        <v>1227</v>
      </c>
      <c r="D1220" s="1">
        <v>0.69400462962962961</v>
      </c>
      <c r="E1220" s="2">
        <f>CallLog[[#This Row],[Date]]+CallLog[[#This Row],[Time]]</f>
        <v>44218.694004629629</v>
      </c>
      <c r="F1220" s="1" t="str">
        <f>TEXT(CallLog[[#This Row],[Date]],"dddd")</f>
        <v>Friday</v>
      </c>
      <c r="G1220" s="3">
        <f>HOUR(CallLog[[#This Row],[Time]])</f>
        <v>16</v>
      </c>
      <c r="H1220" t="s">
        <v>29</v>
      </c>
      <c r="I1220" t="s">
        <v>18</v>
      </c>
      <c r="J1220" t="s">
        <v>18</v>
      </c>
      <c r="L1220" t="str">
        <f>IF(AND(CallLog[[#This Row],[Answered (Y/N)]]="Y", CallLog[[#This Row],[Speed of answer in seconds]]&lt;=20),
    "Within",
    "Breach")</f>
        <v>Breach</v>
      </c>
    </row>
    <row r="1221" spans="1:14" x14ac:dyDescent="0.3">
      <c r="A1221" t="s">
        <v>1266</v>
      </c>
      <c r="B1221" t="s">
        <v>31</v>
      </c>
      <c r="C1221" t="s">
        <v>1227</v>
      </c>
      <c r="D1221" s="1">
        <v>0.69400462962962961</v>
      </c>
      <c r="E1221" s="2">
        <f>CallLog[[#This Row],[Date]]+CallLog[[#This Row],[Time]]</f>
        <v>44218.694004629629</v>
      </c>
      <c r="F1221" s="1" t="str">
        <f>TEXT(CallLog[[#This Row],[Date]],"dddd")</f>
        <v>Friday</v>
      </c>
      <c r="G1221" s="3">
        <f>HOUR(CallLog[[#This Row],[Time]])</f>
        <v>16</v>
      </c>
      <c r="H1221" t="s">
        <v>24</v>
      </c>
      <c r="I1221" t="s">
        <v>14</v>
      </c>
      <c r="J1221" t="s">
        <v>18</v>
      </c>
      <c r="K1221">
        <v>35</v>
      </c>
      <c r="L1221" t="str">
        <f>IF(AND(CallLog[[#This Row],[Answered (Y/N)]]="Y", CallLog[[#This Row],[Speed of answer in seconds]]&lt;=20),
    "Within",
    "Breach")</f>
        <v>Breach</v>
      </c>
      <c r="M1221" s="1">
        <v>3.5763888888888889E-3</v>
      </c>
      <c r="N1221">
        <v>5</v>
      </c>
    </row>
    <row r="1222" spans="1:14" x14ac:dyDescent="0.3">
      <c r="A1222" t="s">
        <v>1267</v>
      </c>
      <c r="B1222" t="s">
        <v>16</v>
      </c>
      <c r="C1222" t="s">
        <v>1227</v>
      </c>
      <c r="D1222" s="1">
        <v>0.70200231481481479</v>
      </c>
      <c r="E1222" s="2">
        <f>CallLog[[#This Row],[Date]]+CallLog[[#This Row],[Time]]</f>
        <v>44218.702002314814</v>
      </c>
      <c r="F1222" s="1" t="str">
        <f>TEXT(CallLog[[#This Row],[Date]],"dddd")</f>
        <v>Friday</v>
      </c>
      <c r="G1222" s="3">
        <f>HOUR(CallLog[[#This Row],[Time]])</f>
        <v>16</v>
      </c>
      <c r="H1222" t="s">
        <v>13</v>
      </c>
      <c r="I1222" t="s">
        <v>18</v>
      </c>
      <c r="J1222" t="s">
        <v>18</v>
      </c>
      <c r="L1222" t="str">
        <f>IF(AND(CallLog[[#This Row],[Answered (Y/N)]]="Y", CallLog[[#This Row],[Speed of answer in seconds]]&lt;=20),
    "Within",
    "Breach")</f>
        <v>Breach</v>
      </c>
    </row>
    <row r="1223" spans="1:14" x14ac:dyDescent="0.3">
      <c r="A1223" t="s">
        <v>1268</v>
      </c>
      <c r="B1223" t="s">
        <v>20</v>
      </c>
      <c r="C1223" t="s">
        <v>1227</v>
      </c>
      <c r="D1223" s="1">
        <v>0.70200231481481479</v>
      </c>
      <c r="E1223" s="2">
        <f>CallLog[[#This Row],[Date]]+CallLog[[#This Row],[Time]]</f>
        <v>44218.702002314814</v>
      </c>
      <c r="F1223" s="1" t="str">
        <f>TEXT(CallLog[[#This Row],[Date]],"dddd")</f>
        <v>Friday</v>
      </c>
      <c r="G1223" s="3">
        <f>HOUR(CallLog[[#This Row],[Time]])</f>
        <v>16</v>
      </c>
      <c r="H1223" t="s">
        <v>13</v>
      </c>
      <c r="I1223" t="s">
        <v>14</v>
      </c>
      <c r="J1223" t="s">
        <v>14</v>
      </c>
      <c r="K1223">
        <v>33</v>
      </c>
      <c r="L1223" t="str">
        <f>IF(AND(CallLog[[#This Row],[Answered (Y/N)]]="Y", CallLog[[#This Row],[Speed of answer in seconds]]&lt;=20),
    "Within",
    "Breach")</f>
        <v>Breach</v>
      </c>
      <c r="M1223" s="1">
        <v>4.2708333333333331E-3</v>
      </c>
      <c r="N1223">
        <v>5</v>
      </c>
    </row>
    <row r="1224" spans="1:14" x14ac:dyDescent="0.3">
      <c r="A1224" t="s">
        <v>1269</v>
      </c>
      <c r="B1224" t="s">
        <v>22</v>
      </c>
      <c r="C1224" t="s">
        <v>1227</v>
      </c>
      <c r="D1224" s="1">
        <v>0.70599537037037041</v>
      </c>
      <c r="E1224" s="2">
        <f>CallLog[[#This Row],[Date]]+CallLog[[#This Row],[Time]]</f>
        <v>44218.705995370372</v>
      </c>
      <c r="F1224" s="1" t="str">
        <f>TEXT(CallLog[[#This Row],[Date]],"dddd")</f>
        <v>Friday</v>
      </c>
      <c r="G1224" s="3">
        <f>HOUR(CallLog[[#This Row],[Time]])</f>
        <v>16</v>
      </c>
      <c r="H1224" t="s">
        <v>32</v>
      </c>
      <c r="I1224" t="s">
        <v>14</v>
      </c>
      <c r="J1224" t="s">
        <v>14</v>
      </c>
      <c r="K1224">
        <v>72</v>
      </c>
      <c r="L1224" t="str">
        <f>IF(AND(CallLog[[#This Row],[Answered (Y/N)]]="Y", CallLog[[#This Row],[Speed of answer in seconds]]&lt;=20),
    "Within",
    "Breach")</f>
        <v>Breach</v>
      </c>
      <c r="M1224" s="1">
        <v>2.8819444444444444E-3</v>
      </c>
      <c r="N1224">
        <v>5</v>
      </c>
    </row>
    <row r="1225" spans="1:14" x14ac:dyDescent="0.3">
      <c r="A1225" t="s">
        <v>1270</v>
      </c>
      <c r="B1225" t="s">
        <v>34</v>
      </c>
      <c r="C1225" t="s">
        <v>1227</v>
      </c>
      <c r="D1225" s="1">
        <v>0.70599537037037041</v>
      </c>
      <c r="E1225" s="2">
        <f>CallLog[[#This Row],[Date]]+CallLog[[#This Row],[Time]]</f>
        <v>44218.705995370372</v>
      </c>
      <c r="F1225" s="1" t="str">
        <f>TEXT(CallLog[[#This Row],[Date]],"dddd")</f>
        <v>Friday</v>
      </c>
      <c r="G1225" s="3">
        <f>HOUR(CallLog[[#This Row],[Time]])</f>
        <v>16</v>
      </c>
      <c r="H1225" t="s">
        <v>17</v>
      </c>
      <c r="I1225" t="s">
        <v>14</v>
      </c>
      <c r="J1225" t="s">
        <v>18</v>
      </c>
      <c r="K1225">
        <v>82</v>
      </c>
      <c r="L1225" t="str">
        <f>IF(AND(CallLog[[#This Row],[Answered (Y/N)]]="Y", CallLog[[#This Row],[Speed of answer in seconds]]&lt;=20),
    "Within",
    "Breach")</f>
        <v>Breach</v>
      </c>
      <c r="M1225" s="1">
        <v>3.4953703703703705E-3</v>
      </c>
      <c r="N1225">
        <v>1</v>
      </c>
    </row>
    <row r="1226" spans="1:14" x14ac:dyDescent="0.3">
      <c r="A1226" t="s">
        <v>1271</v>
      </c>
      <c r="B1226" t="s">
        <v>22</v>
      </c>
      <c r="C1226" t="s">
        <v>1227</v>
      </c>
      <c r="D1226" s="1">
        <v>0.72599537037037032</v>
      </c>
      <c r="E1226" s="2">
        <f>CallLog[[#This Row],[Date]]+CallLog[[#This Row],[Time]]</f>
        <v>44218.725995370369</v>
      </c>
      <c r="F1226" s="1" t="str">
        <f>TEXT(CallLog[[#This Row],[Date]],"dddd")</f>
        <v>Friday</v>
      </c>
      <c r="G1226" s="3">
        <f>HOUR(CallLog[[#This Row],[Time]])</f>
        <v>17</v>
      </c>
      <c r="H1226" t="s">
        <v>29</v>
      </c>
      <c r="I1226" t="s">
        <v>18</v>
      </c>
      <c r="J1226" t="s">
        <v>18</v>
      </c>
      <c r="L1226" t="str">
        <f>IF(AND(CallLog[[#This Row],[Answered (Y/N)]]="Y", CallLog[[#This Row],[Speed of answer in seconds]]&lt;=20),
    "Within",
    "Breach")</f>
        <v>Breach</v>
      </c>
    </row>
    <row r="1227" spans="1:14" x14ac:dyDescent="0.3">
      <c r="A1227" t="s">
        <v>1272</v>
      </c>
      <c r="B1227" t="s">
        <v>22</v>
      </c>
      <c r="C1227" t="s">
        <v>1227</v>
      </c>
      <c r="D1227" s="1">
        <v>0.72599537037037032</v>
      </c>
      <c r="E1227" s="2">
        <f>CallLog[[#This Row],[Date]]+CallLog[[#This Row],[Time]]</f>
        <v>44218.725995370369</v>
      </c>
      <c r="F1227" s="1" t="str">
        <f>TEXT(CallLog[[#This Row],[Date]],"dddd")</f>
        <v>Friday</v>
      </c>
      <c r="G1227" s="3">
        <f>HOUR(CallLog[[#This Row],[Time]])</f>
        <v>17</v>
      </c>
      <c r="H1227" t="s">
        <v>24</v>
      </c>
      <c r="I1227" t="s">
        <v>14</v>
      </c>
      <c r="J1227" t="s">
        <v>14</v>
      </c>
      <c r="K1227">
        <v>115</v>
      </c>
      <c r="L1227" t="str">
        <f>IF(AND(CallLog[[#This Row],[Answered (Y/N)]]="Y", CallLog[[#This Row],[Speed of answer in seconds]]&lt;=20),
    "Within",
    "Breach")</f>
        <v>Breach</v>
      </c>
      <c r="M1227" s="1">
        <v>2.9166666666666668E-3</v>
      </c>
      <c r="N1227">
        <v>5</v>
      </c>
    </row>
    <row r="1228" spans="1:14" x14ac:dyDescent="0.3">
      <c r="A1228" t="s">
        <v>1273</v>
      </c>
      <c r="B1228" t="s">
        <v>11</v>
      </c>
      <c r="C1228" t="s">
        <v>1227</v>
      </c>
      <c r="D1228" s="1">
        <v>0.73499999999999999</v>
      </c>
      <c r="E1228" s="2">
        <f>CallLog[[#This Row],[Date]]+CallLog[[#This Row],[Time]]</f>
        <v>44218.735000000001</v>
      </c>
      <c r="F1228" s="1" t="str">
        <f>TEXT(CallLog[[#This Row],[Date]],"dddd")</f>
        <v>Friday</v>
      </c>
      <c r="G1228" s="3">
        <f>HOUR(CallLog[[#This Row],[Time]])</f>
        <v>17</v>
      </c>
      <c r="H1228" t="s">
        <v>32</v>
      </c>
      <c r="I1228" t="s">
        <v>14</v>
      </c>
      <c r="J1228" t="s">
        <v>14</v>
      </c>
      <c r="K1228">
        <v>64</v>
      </c>
      <c r="L1228" t="str">
        <f>IF(AND(CallLog[[#This Row],[Answered (Y/N)]]="Y", CallLog[[#This Row],[Speed of answer in seconds]]&lt;=20),
    "Within",
    "Breach")</f>
        <v>Breach</v>
      </c>
      <c r="M1228" s="1">
        <v>1.1805555555555556E-3</v>
      </c>
      <c r="N1228">
        <v>3</v>
      </c>
    </row>
    <row r="1229" spans="1:14" x14ac:dyDescent="0.3">
      <c r="A1229" t="s">
        <v>1274</v>
      </c>
      <c r="B1229" t="s">
        <v>38</v>
      </c>
      <c r="C1229" t="s">
        <v>1227</v>
      </c>
      <c r="D1229" s="1">
        <v>0.73499999999999999</v>
      </c>
      <c r="E1229" s="2">
        <f>CallLog[[#This Row],[Date]]+CallLog[[#This Row],[Time]]</f>
        <v>44218.735000000001</v>
      </c>
      <c r="F1229" s="1" t="str">
        <f>TEXT(CallLog[[#This Row],[Date]],"dddd")</f>
        <v>Friday</v>
      </c>
      <c r="G1229" s="3">
        <f>HOUR(CallLog[[#This Row],[Time]])</f>
        <v>17</v>
      </c>
      <c r="H1229" t="s">
        <v>17</v>
      </c>
      <c r="I1229" t="s">
        <v>18</v>
      </c>
      <c r="J1229" t="s">
        <v>18</v>
      </c>
      <c r="L1229" t="str">
        <f>IF(AND(CallLog[[#This Row],[Answered (Y/N)]]="Y", CallLog[[#This Row],[Speed of answer in seconds]]&lt;=20),
    "Within",
    "Breach")</f>
        <v>Breach</v>
      </c>
    </row>
    <row r="1230" spans="1:14" x14ac:dyDescent="0.3">
      <c r="A1230" t="s">
        <v>1275</v>
      </c>
      <c r="B1230" t="s">
        <v>31</v>
      </c>
      <c r="C1230" t="s">
        <v>1227</v>
      </c>
      <c r="D1230" s="1">
        <v>0.74099537037037033</v>
      </c>
      <c r="E1230" s="2">
        <f>CallLog[[#This Row],[Date]]+CallLog[[#This Row],[Time]]</f>
        <v>44218.740995370368</v>
      </c>
      <c r="F1230" s="1" t="str">
        <f>TEXT(CallLog[[#This Row],[Date]],"dddd")</f>
        <v>Friday</v>
      </c>
      <c r="G1230" s="3">
        <f>HOUR(CallLog[[#This Row],[Time]])</f>
        <v>17</v>
      </c>
      <c r="H1230" t="s">
        <v>24</v>
      </c>
      <c r="I1230" t="s">
        <v>14</v>
      </c>
      <c r="J1230" t="s">
        <v>14</v>
      </c>
      <c r="K1230">
        <v>71</v>
      </c>
      <c r="L1230" t="str">
        <f>IF(AND(CallLog[[#This Row],[Answered (Y/N)]]="Y", CallLog[[#This Row],[Speed of answer in seconds]]&lt;=20),
    "Within",
    "Breach")</f>
        <v>Breach</v>
      </c>
      <c r="M1230" s="1">
        <v>2.7893518518518519E-3</v>
      </c>
      <c r="N1230">
        <v>2</v>
      </c>
    </row>
    <row r="1231" spans="1:14" x14ac:dyDescent="0.3">
      <c r="A1231" t="s">
        <v>1276</v>
      </c>
      <c r="B1231" t="s">
        <v>16</v>
      </c>
      <c r="C1231" t="s">
        <v>1227</v>
      </c>
      <c r="D1231" s="1">
        <v>0.74099537037037033</v>
      </c>
      <c r="E1231" s="2">
        <f>CallLog[[#This Row],[Date]]+CallLog[[#This Row],[Time]]</f>
        <v>44218.740995370368</v>
      </c>
      <c r="F1231" s="1" t="str">
        <f>TEXT(CallLog[[#This Row],[Date]],"dddd")</f>
        <v>Friday</v>
      </c>
      <c r="G1231" s="3">
        <f>HOUR(CallLog[[#This Row],[Time]])</f>
        <v>17</v>
      </c>
      <c r="H1231" t="s">
        <v>32</v>
      </c>
      <c r="I1231" t="s">
        <v>14</v>
      </c>
      <c r="J1231" t="s">
        <v>18</v>
      </c>
      <c r="K1231">
        <v>50</v>
      </c>
      <c r="L1231" t="str">
        <f>IF(AND(CallLog[[#This Row],[Answered (Y/N)]]="Y", CallLog[[#This Row],[Speed of answer in seconds]]&lt;=20),
    "Within",
    "Breach")</f>
        <v>Breach</v>
      </c>
      <c r="M1231" s="1">
        <v>3.5648148148148149E-3</v>
      </c>
      <c r="N1231">
        <v>3</v>
      </c>
    </row>
    <row r="1232" spans="1:14" x14ac:dyDescent="0.3">
      <c r="A1232" t="s">
        <v>1277</v>
      </c>
      <c r="B1232" t="s">
        <v>22</v>
      </c>
      <c r="C1232" t="s">
        <v>1278</v>
      </c>
      <c r="D1232" s="1">
        <v>0.39700231481481479</v>
      </c>
      <c r="E1232" s="2">
        <f>CallLog[[#This Row],[Date]]+CallLog[[#This Row],[Time]]</f>
        <v>44219.397002314814</v>
      </c>
      <c r="F1232" s="1" t="str">
        <f>TEXT(CallLog[[#This Row],[Date]],"dddd")</f>
        <v>Saturday</v>
      </c>
      <c r="G1232" s="3">
        <f>HOUR(CallLog[[#This Row],[Time]])</f>
        <v>9</v>
      </c>
      <c r="H1232" t="s">
        <v>32</v>
      </c>
      <c r="I1232" t="s">
        <v>14</v>
      </c>
      <c r="J1232" t="s">
        <v>14</v>
      </c>
      <c r="K1232">
        <v>116</v>
      </c>
      <c r="L1232" t="str">
        <f>IF(AND(CallLog[[#This Row],[Answered (Y/N)]]="Y", CallLog[[#This Row],[Speed of answer in seconds]]&lt;=20),
    "Within",
    "Breach")</f>
        <v>Breach</v>
      </c>
      <c r="M1232" s="1">
        <v>8.4490740740740739E-4</v>
      </c>
      <c r="N1232">
        <v>2</v>
      </c>
    </row>
    <row r="1233" spans="1:14" x14ac:dyDescent="0.3">
      <c r="A1233" t="s">
        <v>1279</v>
      </c>
      <c r="B1233" t="s">
        <v>38</v>
      </c>
      <c r="C1233" t="s">
        <v>1278</v>
      </c>
      <c r="D1233" s="1">
        <v>0.39700231481481479</v>
      </c>
      <c r="E1233" s="2">
        <f>CallLog[[#This Row],[Date]]+CallLog[[#This Row],[Time]]</f>
        <v>44219.397002314814</v>
      </c>
      <c r="F1233" s="1" t="str">
        <f>TEXT(CallLog[[#This Row],[Date]],"dddd")</f>
        <v>Saturday</v>
      </c>
      <c r="G1233" s="3">
        <f>HOUR(CallLog[[#This Row],[Time]])</f>
        <v>9</v>
      </c>
      <c r="H1233" t="s">
        <v>29</v>
      </c>
      <c r="I1233" t="s">
        <v>14</v>
      </c>
      <c r="J1233" t="s">
        <v>14</v>
      </c>
      <c r="K1233">
        <v>52</v>
      </c>
      <c r="L1233" t="str">
        <f>IF(AND(CallLog[[#This Row],[Answered (Y/N)]]="Y", CallLog[[#This Row],[Speed of answer in seconds]]&lt;=20),
    "Within",
    "Breach")</f>
        <v>Breach</v>
      </c>
      <c r="M1233" s="1">
        <v>1.0069444444444444E-3</v>
      </c>
      <c r="N1233">
        <v>5</v>
      </c>
    </row>
    <row r="1234" spans="1:14" x14ac:dyDescent="0.3">
      <c r="A1234" t="s">
        <v>1280</v>
      </c>
      <c r="B1234" t="s">
        <v>22</v>
      </c>
      <c r="C1234" t="s">
        <v>1278</v>
      </c>
      <c r="D1234" s="1">
        <v>0.40299768518518519</v>
      </c>
      <c r="E1234" s="2">
        <f>CallLog[[#This Row],[Date]]+CallLog[[#This Row],[Time]]</f>
        <v>44219.402997685182</v>
      </c>
      <c r="F1234" s="1" t="str">
        <f>TEXT(CallLog[[#This Row],[Date]],"dddd")</f>
        <v>Saturday</v>
      </c>
      <c r="G1234" s="3">
        <f>HOUR(CallLog[[#This Row],[Time]])</f>
        <v>9</v>
      </c>
      <c r="H1234" t="s">
        <v>17</v>
      </c>
      <c r="I1234" t="s">
        <v>14</v>
      </c>
      <c r="J1234" t="s">
        <v>14</v>
      </c>
      <c r="K1234">
        <v>112</v>
      </c>
      <c r="L1234" t="str">
        <f>IF(AND(CallLog[[#This Row],[Answered (Y/N)]]="Y", CallLog[[#This Row],[Speed of answer in seconds]]&lt;=20),
    "Within",
    "Breach")</f>
        <v>Breach</v>
      </c>
      <c r="M1234" s="1">
        <v>2.5115740740740741E-3</v>
      </c>
      <c r="N1234">
        <v>5</v>
      </c>
    </row>
    <row r="1235" spans="1:14" x14ac:dyDescent="0.3">
      <c r="A1235" t="s">
        <v>1281</v>
      </c>
      <c r="B1235" t="s">
        <v>20</v>
      </c>
      <c r="C1235" t="s">
        <v>1278</v>
      </c>
      <c r="D1235" s="1">
        <v>0.40299768518518519</v>
      </c>
      <c r="E1235" s="2">
        <f>CallLog[[#This Row],[Date]]+CallLog[[#This Row],[Time]]</f>
        <v>44219.402997685182</v>
      </c>
      <c r="F1235" s="1" t="str">
        <f>TEXT(CallLog[[#This Row],[Date]],"dddd")</f>
        <v>Saturday</v>
      </c>
      <c r="G1235" s="3">
        <f>HOUR(CallLog[[#This Row],[Time]])</f>
        <v>9</v>
      </c>
      <c r="H1235" t="s">
        <v>29</v>
      </c>
      <c r="I1235" t="s">
        <v>14</v>
      </c>
      <c r="J1235" t="s">
        <v>14</v>
      </c>
      <c r="K1235">
        <v>116</v>
      </c>
      <c r="L1235" t="str">
        <f>IF(AND(CallLog[[#This Row],[Answered (Y/N)]]="Y", CallLog[[#This Row],[Speed of answer in seconds]]&lt;=20),
    "Within",
    "Breach")</f>
        <v>Breach</v>
      </c>
      <c r="M1235" s="1">
        <v>1.8749999999999999E-3</v>
      </c>
      <c r="N1235">
        <v>3</v>
      </c>
    </row>
    <row r="1236" spans="1:14" x14ac:dyDescent="0.3">
      <c r="A1236" t="s">
        <v>1282</v>
      </c>
      <c r="B1236" t="s">
        <v>16</v>
      </c>
      <c r="C1236" t="s">
        <v>1278</v>
      </c>
      <c r="D1236" s="1">
        <v>0.41099537037037037</v>
      </c>
      <c r="E1236" s="2">
        <f>CallLog[[#This Row],[Date]]+CallLog[[#This Row],[Time]]</f>
        <v>44219.410995370374</v>
      </c>
      <c r="F1236" s="1" t="str">
        <f>TEXT(CallLog[[#This Row],[Date]],"dddd")</f>
        <v>Saturday</v>
      </c>
      <c r="G1236" s="3">
        <f>HOUR(CallLog[[#This Row],[Time]])</f>
        <v>9</v>
      </c>
      <c r="H1236" t="s">
        <v>24</v>
      </c>
      <c r="I1236" t="s">
        <v>14</v>
      </c>
      <c r="J1236" t="s">
        <v>18</v>
      </c>
      <c r="K1236">
        <v>112</v>
      </c>
      <c r="L1236" t="str">
        <f>IF(AND(CallLog[[#This Row],[Answered (Y/N)]]="Y", CallLog[[#This Row],[Speed of answer in seconds]]&lt;=20),
    "Within",
    "Breach")</f>
        <v>Breach</v>
      </c>
      <c r="M1236" s="1">
        <v>4.3750000000000004E-3</v>
      </c>
      <c r="N1236">
        <v>2</v>
      </c>
    </row>
    <row r="1237" spans="1:14" x14ac:dyDescent="0.3">
      <c r="A1237" t="s">
        <v>1283</v>
      </c>
      <c r="B1237" t="s">
        <v>47</v>
      </c>
      <c r="C1237" t="s">
        <v>1278</v>
      </c>
      <c r="D1237" s="1">
        <v>0.41099537037037037</v>
      </c>
      <c r="E1237" s="2">
        <f>CallLog[[#This Row],[Date]]+CallLog[[#This Row],[Time]]</f>
        <v>44219.410995370374</v>
      </c>
      <c r="F1237" s="1" t="str">
        <f>TEXT(CallLog[[#This Row],[Date]],"dddd")</f>
        <v>Saturday</v>
      </c>
      <c r="G1237" s="3">
        <f>HOUR(CallLog[[#This Row],[Time]])</f>
        <v>9</v>
      </c>
      <c r="H1237" t="s">
        <v>32</v>
      </c>
      <c r="I1237" t="s">
        <v>14</v>
      </c>
      <c r="J1237" t="s">
        <v>14</v>
      </c>
      <c r="K1237">
        <v>53</v>
      </c>
      <c r="L1237" t="str">
        <f>IF(AND(CallLog[[#This Row],[Answered (Y/N)]]="Y", CallLog[[#This Row],[Speed of answer in seconds]]&lt;=20),
    "Within",
    "Breach")</f>
        <v>Breach</v>
      </c>
      <c r="M1237" s="1">
        <v>4.0046296296296297E-3</v>
      </c>
      <c r="N1237">
        <v>4</v>
      </c>
    </row>
    <row r="1238" spans="1:14" x14ac:dyDescent="0.3">
      <c r="A1238" t="s">
        <v>1284</v>
      </c>
      <c r="B1238" t="s">
        <v>11</v>
      </c>
      <c r="C1238" t="s">
        <v>1278</v>
      </c>
      <c r="D1238" s="1">
        <v>0.41499999999999998</v>
      </c>
      <c r="E1238" s="2">
        <f>CallLog[[#This Row],[Date]]+CallLog[[#This Row],[Time]]</f>
        <v>44219.415000000001</v>
      </c>
      <c r="F1238" s="1" t="str">
        <f>TEXT(CallLog[[#This Row],[Date]],"dddd")</f>
        <v>Saturday</v>
      </c>
      <c r="G1238" s="3">
        <f>HOUR(CallLog[[#This Row],[Time]])</f>
        <v>9</v>
      </c>
      <c r="H1238" t="s">
        <v>29</v>
      </c>
      <c r="I1238" t="s">
        <v>14</v>
      </c>
      <c r="J1238" t="s">
        <v>14</v>
      </c>
      <c r="K1238">
        <v>12</v>
      </c>
      <c r="L1238" t="str">
        <f>IF(AND(CallLog[[#This Row],[Answered (Y/N)]]="Y", CallLog[[#This Row],[Speed of answer in seconds]]&lt;=20),
    "Within",
    "Breach")</f>
        <v>Within</v>
      </c>
      <c r="M1238" s="1">
        <v>3.8310185185185183E-3</v>
      </c>
      <c r="N1238">
        <v>3</v>
      </c>
    </row>
    <row r="1239" spans="1:14" x14ac:dyDescent="0.3">
      <c r="A1239" t="s">
        <v>1285</v>
      </c>
      <c r="B1239" t="s">
        <v>34</v>
      </c>
      <c r="C1239" t="s">
        <v>1278</v>
      </c>
      <c r="D1239" s="1">
        <v>0.41499999999999998</v>
      </c>
      <c r="E1239" s="2">
        <f>CallLog[[#This Row],[Date]]+CallLog[[#This Row],[Time]]</f>
        <v>44219.415000000001</v>
      </c>
      <c r="F1239" s="1" t="str">
        <f>TEXT(CallLog[[#This Row],[Date]],"dddd")</f>
        <v>Saturday</v>
      </c>
      <c r="G1239" s="3">
        <f>HOUR(CallLog[[#This Row],[Time]])</f>
        <v>9</v>
      </c>
      <c r="H1239" t="s">
        <v>17</v>
      </c>
      <c r="I1239" t="s">
        <v>14</v>
      </c>
      <c r="J1239" t="s">
        <v>18</v>
      </c>
      <c r="K1239">
        <v>120</v>
      </c>
      <c r="L1239" t="str">
        <f>IF(AND(CallLog[[#This Row],[Answered (Y/N)]]="Y", CallLog[[#This Row],[Speed of answer in seconds]]&lt;=20),
    "Within",
    "Breach")</f>
        <v>Breach</v>
      </c>
      <c r="M1239" s="1">
        <v>6.2500000000000001E-4</v>
      </c>
      <c r="N1239">
        <v>4</v>
      </c>
    </row>
    <row r="1240" spans="1:14" x14ac:dyDescent="0.3">
      <c r="A1240" t="s">
        <v>1286</v>
      </c>
      <c r="B1240" t="s">
        <v>11</v>
      </c>
      <c r="C1240" t="s">
        <v>1278</v>
      </c>
      <c r="D1240" s="1">
        <v>0.45099537037037035</v>
      </c>
      <c r="E1240" s="2">
        <f>CallLog[[#This Row],[Date]]+CallLog[[#This Row],[Time]]</f>
        <v>44219.450995370367</v>
      </c>
      <c r="F1240" s="1" t="str">
        <f>TEXT(CallLog[[#This Row],[Date]],"dddd")</f>
        <v>Saturday</v>
      </c>
      <c r="G1240" s="3">
        <f>HOUR(CallLog[[#This Row],[Time]])</f>
        <v>10</v>
      </c>
      <c r="H1240" t="s">
        <v>29</v>
      </c>
      <c r="I1240" t="s">
        <v>18</v>
      </c>
      <c r="J1240" t="s">
        <v>18</v>
      </c>
      <c r="L1240" t="str">
        <f>IF(AND(CallLog[[#This Row],[Answered (Y/N)]]="Y", CallLog[[#This Row],[Speed of answer in seconds]]&lt;=20),
    "Within",
    "Breach")</f>
        <v>Breach</v>
      </c>
    </row>
    <row r="1241" spans="1:14" x14ac:dyDescent="0.3">
      <c r="A1241" t="s">
        <v>1287</v>
      </c>
      <c r="B1241" t="s">
        <v>47</v>
      </c>
      <c r="C1241" t="s">
        <v>1278</v>
      </c>
      <c r="D1241" s="1">
        <v>0.45099537037037035</v>
      </c>
      <c r="E1241" s="2">
        <f>CallLog[[#This Row],[Date]]+CallLog[[#This Row],[Time]]</f>
        <v>44219.450995370367</v>
      </c>
      <c r="F1241" s="1" t="str">
        <f>TEXT(CallLog[[#This Row],[Date]],"dddd")</f>
        <v>Saturday</v>
      </c>
      <c r="G1241" s="3">
        <f>HOUR(CallLog[[#This Row],[Time]])</f>
        <v>10</v>
      </c>
      <c r="H1241" t="s">
        <v>17</v>
      </c>
      <c r="I1241" t="s">
        <v>14</v>
      </c>
      <c r="J1241" t="s">
        <v>14</v>
      </c>
      <c r="K1241">
        <v>118</v>
      </c>
      <c r="L1241" t="str">
        <f>IF(AND(CallLog[[#This Row],[Answered (Y/N)]]="Y", CallLog[[#This Row],[Speed of answer in seconds]]&lt;=20),
    "Within",
    "Breach")</f>
        <v>Breach</v>
      </c>
      <c r="M1241" s="1">
        <v>1.9560185185185184E-3</v>
      </c>
      <c r="N1241">
        <v>4</v>
      </c>
    </row>
    <row r="1242" spans="1:14" x14ac:dyDescent="0.3">
      <c r="A1242" t="s">
        <v>1288</v>
      </c>
      <c r="B1242" t="s">
        <v>31</v>
      </c>
      <c r="C1242" t="s">
        <v>1278</v>
      </c>
      <c r="D1242" s="1">
        <v>0.45900462962962962</v>
      </c>
      <c r="E1242" s="2">
        <f>CallLog[[#This Row],[Date]]+CallLog[[#This Row],[Time]]</f>
        <v>44219.459004629629</v>
      </c>
      <c r="F1242" s="1" t="str">
        <f>TEXT(CallLog[[#This Row],[Date]],"dddd")</f>
        <v>Saturday</v>
      </c>
      <c r="G1242" s="3">
        <f>HOUR(CallLog[[#This Row],[Time]])</f>
        <v>11</v>
      </c>
      <c r="H1242" t="s">
        <v>13</v>
      </c>
      <c r="I1242" t="s">
        <v>14</v>
      </c>
      <c r="J1242" t="s">
        <v>14</v>
      </c>
      <c r="K1242">
        <v>121</v>
      </c>
      <c r="L1242" t="str">
        <f>IF(AND(CallLog[[#This Row],[Answered (Y/N)]]="Y", CallLog[[#This Row],[Speed of answer in seconds]]&lt;=20),
    "Within",
    "Breach")</f>
        <v>Breach</v>
      </c>
      <c r="M1242" s="1">
        <v>1.9560185185185184E-3</v>
      </c>
      <c r="N1242">
        <v>2</v>
      </c>
    </row>
    <row r="1243" spans="1:14" x14ac:dyDescent="0.3">
      <c r="A1243" t="s">
        <v>1289</v>
      </c>
      <c r="B1243" t="s">
        <v>38</v>
      </c>
      <c r="C1243" t="s">
        <v>1278</v>
      </c>
      <c r="D1243" s="1">
        <v>0.45900462962962962</v>
      </c>
      <c r="E1243" s="2">
        <f>CallLog[[#This Row],[Date]]+CallLog[[#This Row],[Time]]</f>
        <v>44219.459004629629</v>
      </c>
      <c r="F1243" s="1" t="str">
        <f>TEXT(CallLog[[#This Row],[Date]],"dddd")</f>
        <v>Saturday</v>
      </c>
      <c r="G1243" s="3">
        <f>HOUR(CallLog[[#This Row],[Time]])</f>
        <v>11</v>
      </c>
      <c r="H1243" t="s">
        <v>32</v>
      </c>
      <c r="I1243" t="s">
        <v>14</v>
      </c>
      <c r="J1243" t="s">
        <v>14</v>
      </c>
      <c r="K1243">
        <v>83</v>
      </c>
      <c r="L1243" t="str">
        <f>IF(AND(CallLog[[#This Row],[Answered (Y/N)]]="Y", CallLog[[#This Row],[Speed of answer in seconds]]&lt;=20),
    "Within",
    "Breach")</f>
        <v>Breach</v>
      </c>
      <c r="M1243" s="1">
        <v>4.7222222222222223E-3</v>
      </c>
      <c r="N1243">
        <v>5</v>
      </c>
    </row>
    <row r="1244" spans="1:14" x14ac:dyDescent="0.3">
      <c r="A1244" t="s">
        <v>1290</v>
      </c>
      <c r="B1244" t="s">
        <v>34</v>
      </c>
      <c r="C1244" t="s">
        <v>1278</v>
      </c>
      <c r="D1244" s="1">
        <v>0.47099537037037037</v>
      </c>
      <c r="E1244" s="2">
        <f>CallLog[[#This Row],[Date]]+CallLog[[#This Row],[Time]]</f>
        <v>44219.470995370371</v>
      </c>
      <c r="F1244" s="1" t="str">
        <f>TEXT(CallLog[[#This Row],[Date]],"dddd")</f>
        <v>Saturday</v>
      </c>
      <c r="G1244" s="3">
        <f>HOUR(CallLog[[#This Row],[Time]])</f>
        <v>11</v>
      </c>
      <c r="H1244" t="s">
        <v>32</v>
      </c>
      <c r="I1244" t="s">
        <v>14</v>
      </c>
      <c r="J1244" t="s">
        <v>14</v>
      </c>
      <c r="K1244">
        <v>84</v>
      </c>
      <c r="L1244" t="str">
        <f>IF(AND(CallLog[[#This Row],[Answered (Y/N)]]="Y", CallLog[[#This Row],[Speed of answer in seconds]]&lt;=20),
    "Within",
    "Breach")</f>
        <v>Breach</v>
      </c>
      <c r="M1244" s="1">
        <v>9.3749999999999997E-4</v>
      </c>
      <c r="N1244">
        <v>5</v>
      </c>
    </row>
    <row r="1245" spans="1:14" x14ac:dyDescent="0.3">
      <c r="A1245" t="s">
        <v>1291</v>
      </c>
      <c r="B1245" t="s">
        <v>16</v>
      </c>
      <c r="C1245" t="s">
        <v>1278</v>
      </c>
      <c r="D1245" s="1">
        <v>0.47099537037037037</v>
      </c>
      <c r="E1245" s="2">
        <f>CallLog[[#This Row],[Date]]+CallLog[[#This Row],[Time]]</f>
        <v>44219.470995370371</v>
      </c>
      <c r="F1245" s="1" t="str">
        <f>TEXT(CallLog[[#This Row],[Date]],"dddd")</f>
        <v>Saturday</v>
      </c>
      <c r="G1245" s="3">
        <f>HOUR(CallLog[[#This Row],[Time]])</f>
        <v>11</v>
      </c>
      <c r="H1245" t="s">
        <v>24</v>
      </c>
      <c r="I1245" t="s">
        <v>14</v>
      </c>
      <c r="J1245" t="s">
        <v>18</v>
      </c>
      <c r="K1245">
        <v>63</v>
      </c>
      <c r="L1245" t="str">
        <f>IF(AND(CallLog[[#This Row],[Answered (Y/N)]]="Y", CallLog[[#This Row],[Speed of answer in seconds]]&lt;=20),
    "Within",
    "Breach")</f>
        <v>Breach</v>
      </c>
      <c r="M1245" s="1">
        <v>3.472222222222222E-3</v>
      </c>
      <c r="N1245">
        <v>4</v>
      </c>
    </row>
    <row r="1246" spans="1:14" x14ac:dyDescent="0.3">
      <c r="A1246" t="s">
        <v>1292</v>
      </c>
      <c r="B1246" t="s">
        <v>31</v>
      </c>
      <c r="C1246" t="s">
        <v>1278</v>
      </c>
      <c r="D1246" s="1">
        <v>0.47900462962962964</v>
      </c>
      <c r="E1246" s="2">
        <f>CallLog[[#This Row],[Date]]+CallLog[[#This Row],[Time]]</f>
        <v>44219.479004629633</v>
      </c>
      <c r="F1246" s="1" t="str">
        <f>TEXT(CallLog[[#This Row],[Date]],"dddd")</f>
        <v>Saturday</v>
      </c>
      <c r="G1246" s="3">
        <f>HOUR(CallLog[[#This Row],[Time]])</f>
        <v>11</v>
      </c>
      <c r="H1246" t="s">
        <v>17</v>
      </c>
      <c r="I1246" t="s">
        <v>14</v>
      </c>
      <c r="J1246" t="s">
        <v>14</v>
      </c>
      <c r="K1246">
        <v>33</v>
      </c>
      <c r="L1246" t="str">
        <f>IF(AND(CallLog[[#This Row],[Answered (Y/N)]]="Y", CallLog[[#This Row],[Speed of answer in seconds]]&lt;=20),
    "Within",
    "Breach")</f>
        <v>Breach</v>
      </c>
      <c r="M1246" s="1">
        <v>2.4189814814814816E-3</v>
      </c>
      <c r="N1246">
        <v>3</v>
      </c>
    </row>
    <row r="1247" spans="1:14" x14ac:dyDescent="0.3">
      <c r="A1247" t="s">
        <v>1293</v>
      </c>
      <c r="B1247" t="s">
        <v>47</v>
      </c>
      <c r="C1247" t="s">
        <v>1278</v>
      </c>
      <c r="D1247" s="1">
        <v>0.47900462962962964</v>
      </c>
      <c r="E1247" s="2">
        <f>CallLog[[#This Row],[Date]]+CallLog[[#This Row],[Time]]</f>
        <v>44219.479004629633</v>
      </c>
      <c r="F1247" s="1" t="str">
        <f>TEXT(CallLog[[#This Row],[Date]],"dddd")</f>
        <v>Saturday</v>
      </c>
      <c r="G1247" s="3">
        <f>HOUR(CallLog[[#This Row],[Time]])</f>
        <v>11</v>
      </c>
      <c r="H1247" t="s">
        <v>13</v>
      </c>
      <c r="I1247" t="s">
        <v>18</v>
      </c>
      <c r="J1247" t="s">
        <v>18</v>
      </c>
      <c r="L1247" t="str">
        <f>IF(AND(CallLog[[#This Row],[Answered (Y/N)]]="Y", CallLog[[#This Row],[Speed of answer in seconds]]&lt;=20),
    "Within",
    "Breach")</f>
        <v>Breach</v>
      </c>
    </row>
    <row r="1248" spans="1:14" x14ac:dyDescent="0.3">
      <c r="A1248" t="s">
        <v>1294</v>
      </c>
      <c r="B1248" t="s">
        <v>22</v>
      </c>
      <c r="C1248" t="s">
        <v>1278</v>
      </c>
      <c r="D1248" s="1">
        <v>0.48099537037037038</v>
      </c>
      <c r="E1248" s="2">
        <f>CallLog[[#This Row],[Date]]+CallLog[[#This Row],[Time]]</f>
        <v>44219.480995370373</v>
      </c>
      <c r="F1248" s="1" t="str">
        <f>TEXT(CallLog[[#This Row],[Date]],"dddd")</f>
        <v>Saturday</v>
      </c>
      <c r="G1248" s="3">
        <f>HOUR(CallLog[[#This Row],[Time]])</f>
        <v>11</v>
      </c>
      <c r="H1248" t="s">
        <v>29</v>
      </c>
      <c r="I1248" t="s">
        <v>14</v>
      </c>
      <c r="J1248" t="s">
        <v>18</v>
      </c>
      <c r="K1248">
        <v>10</v>
      </c>
      <c r="L1248" t="str">
        <f>IF(AND(CallLog[[#This Row],[Answered (Y/N)]]="Y", CallLog[[#This Row],[Speed of answer in seconds]]&lt;=20),
    "Within",
    "Breach")</f>
        <v>Within</v>
      </c>
      <c r="M1248" s="1">
        <v>7.0601851851851847E-4</v>
      </c>
      <c r="N1248">
        <v>5</v>
      </c>
    </row>
    <row r="1249" spans="1:14" x14ac:dyDescent="0.3">
      <c r="A1249" t="s">
        <v>1295</v>
      </c>
      <c r="B1249" t="s">
        <v>34</v>
      </c>
      <c r="C1249" t="s">
        <v>1278</v>
      </c>
      <c r="D1249" s="1">
        <v>0.48099537037037038</v>
      </c>
      <c r="E1249" s="2">
        <f>CallLog[[#This Row],[Date]]+CallLog[[#This Row],[Time]]</f>
        <v>44219.480995370373</v>
      </c>
      <c r="F1249" s="1" t="str">
        <f>TEXT(CallLog[[#This Row],[Date]],"dddd")</f>
        <v>Saturday</v>
      </c>
      <c r="G1249" s="3">
        <f>HOUR(CallLog[[#This Row],[Time]])</f>
        <v>11</v>
      </c>
      <c r="H1249" t="s">
        <v>29</v>
      </c>
      <c r="I1249" t="s">
        <v>14</v>
      </c>
      <c r="J1249" t="s">
        <v>14</v>
      </c>
      <c r="K1249">
        <v>100</v>
      </c>
      <c r="L1249" t="str">
        <f>IF(AND(CallLog[[#This Row],[Answered (Y/N)]]="Y", CallLog[[#This Row],[Speed of answer in seconds]]&lt;=20),
    "Within",
    "Breach")</f>
        <v>Breach</v>
      </c>
      <c r="M1249" s="1">
        <v>4.861111111111111E-4</v>
      </c>
      <c r="N1249">
        <v>5</v>
      </c>
    </row>
    <row r="1250" spans="1:14" x14ac:dyDescent="0.3">
      <c r="A1250" t="s">
        <v>1296</v>
      </c>
      <c r="B1250" t="s">
        <v>11</v>
      </c>
      <c r="C1250" t="s">
        <v>1278</v>
      </c>
      <c r="D1250" s="1">
        <v>0.48299768518518521</v>
      </c>
      <c r="E1250" s="2">
        <f>CallLog[[#This Row],[Date]]+CallLog[[#This Row],[Time]]</f>
        <v>44219.482997685183</v>
      </c>
      <c r="F1250" s="1" t="str">
        <f>TEXT(CallLog[[#This Row],[Date]],"dddd")</f>
        <v>Saturday</v>
      </c>
      <c r="G1250" s="3">
        <f>HOUR(CallLog[[#This Row],[Time]])</f>
        <v>11</v>
      </c>
      <c r="H1250" t="s">
        <v>13</v>
      </c>
      <c r="I1250" t="s">
        <v>14</v>
      </c>
      <c r="J1250" t="s">
        <v>14</v>
      </c>
      <c r="K1250">
        <v>110</v>
      </c>
      <c r="L1250" t="str">
        <f>IF(AND(CallLog[[#This Row],[Answered (Y/N)]]="Y", CallLog[[#This Row],[Speed of answer in seconds]]&lt;=20),
    "Within",
    "Breach")</f>
        <v>Breach</v>
      </c>
      <c r="M1250" s="1">
        <v>3.5069444444444445E-3</v>
      </c>
      <c r="N1250">
        <v>5</v>
      </c>
    </row>
    <row r="1251" spans="1:14" x14ac:dyDescent="0.3">
      <c r="A1251" t="s">
        <v>1297</v>
      </c>
      <c r="B1251" t="s">
        <v>20</v>
      </c>
      <c r="C1251" t="s">
        <v>1278</v>
      </c>
      <c r="D1251" s="1">
        <v>0.48299768518518521</v>
      </c>
      <c r="E1251" s="2">
        <f>CallLog[[#This Row],[Date]]+CallLog[[#This Row],[Time]]</f>
        <v>44219.482997685183</v>
      </c>
      <c r="F1251" s="1" t="str">
        <f>TEXT(CallLog[[#This Row],[Date]],"dddd")</f>
        <v>Saturday</v>
      </c>
      <c r="G1251" s="3">
        <f>HOUR(CallLog[[#This Row],[Time]])</f>
        <v>11</v>
      </c>
      <c r="H1251" t="s">
        <v>24</v>
      </c>
      <c r="I1251" t="s">
        <v>14</v>
      </c>
      <c r="J1251" t="s">
        <v>14</v>
      </c>
      <c r="K1251">
        <v>28</v>
      </c>
      <c r="L1251" t="str">
        <f>IF(AND(CallLog[[#This Row],[Answered (Y/N)]]="Y", CallLog[[#This Row],[Speed of answer in seconds]]&lt;=20),
    "Within",
    "Breach")</f>
        <v>Breach</v>
      </c>
      <c r="M1251" s="1">
        <v>3.6574074074074074E-3</v>
      </c>
      <c r="N1251">
        <v>2</v>
      </c>
    </row>
    <row r="1252" spans="1:14" x14ac:dyDescent="0.3">
      <c r="A1252" t="s">
        <v>1298</v>
      </c>
      <c r="B1252" t="s">
        <v>34</v>
      </c>
      <c r="C1252" t="s">
        <v>1278</v>
      </c>
      <c r="D1252" s="1">
        <v>0.48400462962962965</v>
      </c>
      <c r="E1252" s="2">
        <f>CallLog[[#This Row],[Date]]+CallLog[[#This Row],[Time]]</f>
        <v>44219.48400462963</v>
      </c>
      <c r="F1252" s="1" t="str">
        <f>TEXT(CallLog[[#This Row],[Date]],"dddd")</f>
        <v>Saturday</v>
      </c>
      <c r="G1252" s="3">
        <f>HOUR(CallLog[[#This Row],[Time]])</f>
        <v>11</v>
      </c>
      <c r="H1252" t="s">
        <v>29</v>
      </c>
      <c r="I1252" t="s">
        <v>14</v>
      </c>
      <c r="J1252" t="s">
        <v>14</v>
      </c>
      <c r="K1252">
        <v>74</v>
      </c>
      <c r="L1252" t="str">
        <f>IF(AND(CallLog[[#This Row],[Answered (Y/N)]]="Y", CallLog[[#This Row],[Speed of answer in seconds]]&lt;=20),
    "Within",
    "Breach")</f>
        <v>Breach</v>
      </c>
      <c r="M1252" s="1">
        <v>8.6805555555555551E-4</v>
      </c>
      <c r="N1252">
        <v>3</v>
      </c>
    </row>
    <row r="1253" spans="1:14" x14ac:dyDescent="0.3">
      <c r="A1253" t="s">
        <v>1299</v>
      </c>
      <c r="B1253" t="s">
        <v>31</v>
      </c>
      <c r="C1253" t="s">
        <v>1278</v>
      </c>
      <c r="D1253" s="1">
        <v>0.48400462962962965</v>
      </c>
      <c r="E1253" s="2">
        <f>CallLog[[#This Row],[Date]]+CallLog[[#This Row],[Time]]</f>
        <v>44219.48400462963</v>
      </c>
      <c r="F1253" s="1" t="str">
        <f>TEXT(CallLog[[#This Row],[Date]],"dddd")</f>
        <v>Saturday</v>
      </c>
      <c r="G1253" s="3">
        <f>HOUR(CallLog[[#This Row],[Time]])</f>
        <v>11</v>
      </c>
      <c r="H1253" t="s">
        <v>29</v>
      </c>
      <c r="I1253" t="s">
        <v>14</v>
      </c>
      <c r="J1253" t="s">
        <v>14</v>
      </c>
      <c r="K1253">
        <v>18</v>
      </c>
      <c r="L1253" t="str">
        <f>IF(AND(CallLog[[#This Row],[Answered (Y/N)]]="Y", CallLog[[#This Row],[Speed of answer in seconds]]&lt;=20),
    "Within",
    "Breach")</f>
        <v>Within</v>
      </c>
      <c r="M1253" s="1">
        <v>9.3749999999999997E-4</v>
      </c>
      <c r="N1253">
        <v>3</v>
      </c>
    </row>
    <row r="1254" spans="1:14" x14ac:dyDescent="0.3">
      <c r="A1254" t="s">
        <v>1300</v>
      </c>
      <c r="B1254" t="s">
        <v>16</v>
      </c>
      <c r="C1254" t="s">
        <v>1278</v>
      </c>
      <c r="D1254" s="1">
        <v>0.48900462962962965</v>
      </c>
      <c r="E1254" s="2">
        <f>CallLog[[#This Row],[Date]]+CallLog[[#This Row],[Time]]</f>
        <v>44219.489004629628</v>
      </c>
      <c r="F1254" s="1" t="str">
        <f>TEXT(CallLog[[#This Row],[Date]],"dddd")</f>
        <v>Saturday</v>
      </c>
      <c r="G1254" s="3">
        <f>HOUR(CallLog[[#This Row],[Time]])</f>
        <v>11</v>
      </c>
      <c r="H1254" t="s">
        <v>32</v>
      </c>
      <c r="I1254" t="s">
        <v>14</v>
      </c>
      <c r="J1254" t="s">
        <v>14</v>
      </c>
      <c r="K1254">
        <v>22</v>
      </c>
      <c r="L1254" t="str">
        <f>IF(AND(CallLog[[#This Row],[Answered (Y/N)]]="Y", CallLog[[#This Row],[Speed of answer in seconds]]&lt;=20),
    "Within",
    "Breach")</f>
        <v>Breach</v>
      </c>
      <c r="M1254" s="1">
        <v>4.3055555555555555E-3</v>
      </c>
      <c r="N1254">
        <v>3</v>
      </c>
    </row>
    <row r="1255" spans="1:14" x14ac:dyDescent="0.3">
      <c r="A1255" t="s">
        <v>1301</v>
      </c>
      <c r="B1255" t="s">
        <v>11</v>
      </c>
      <c r="C1255" t="s">
        <v>1278</v>
      </c>
      <c r="D1255" s="1">
        <v>0.48900462962962965</v>
      </c>
      <c r="E1255" s="2">
        <f>CallLog[[#This Row],[Date]]+CallLog[[#This Row],[Time]]</f>
        <v>44219.489004629628</v>
      </c>
      <c r="F1255" s="1" t="str">
        <f>TEXT(CallLog[[#This Row],[Date]],"dddd")</f>
        <v>Saturday</v>
      </c>
      <c r="G1255" s="3">
        <f>HOUR(CallLog[[#This Row],[Time]])</f>
        <v>11</v>
      </c>
      <c r="H1255" t="s">
        <v>32</v>
      </c>
      <c r="I1255" t="s">
        <v>18</v>
      </c>
      <c r="J1255" t="s">
        <v>18</v>
      </c>
      <c r="L1255" t="str">
        <f>IF(AND(CallLog[[#This Row],[Answered (Y/N)]]="Y", CallLog[[#This Row],[Speed of answer in seconds]]&lt;=20),
    "Within",
    "Breach")</f>
        <v>Breach</v>
      </c>
    </row>
    <row r="1256" spans="1:14" x14ac:dyDescent="0.3">
      <c r="A1256" t="s">
        <v>1302</v>
      </c>
      <c r="B1256" t="s">
        <v>38</v>
      </c>
      <c r="C1256" t="s">
        <v>1278</v>
      </c>
      <c r="D1256" s="1">
        <v>0.49700231481481483</v>
      </c>
      <c r="E1256" s="2">
        <f>CallLog[[#This Row],[Date]]+CallLog[[#This Row],[Time]]</f>
        <v>44219.497002314813</v>
      </c>
      <c r="F1256" s="1" t="str">
        <f>TEXT(CallLog[[#This Row],[Date]],"dddd")</f>
        <v>Saturday</v>
      </c>
      <c r="G1256" s="3">
        <f>HOUR(CallLog[[#This Row],[Time]])</f>
        <v>11</v>
      </c>
      <c r="H1256" t="s">
        <v>13</v>
      </c>
      <c r="I1256" t="s">
        <v>14</v>
      </c>
      <c r="J1256" t="s">
        <v>14</v>
      </c>
      <c r="K1256">
        <v>15</v>
      </c>
      <c r="L1256" t="str">
        <f>IF(AND(CallLog[[#This Row],[Answered (Y/N)]]="Y", CallLog[[#This Row],[Speed of answer in seconds]]&lt;=20),
    "Within",
    "Breach")</f>
        <v>Within</v>
      </c>
      <c r="M1256" s="1">
        <v>2.5115740740740741E-3</v>
      </c>
      <c r="N1256">
        <v>3</v>
      </c>
    </row>
    <row r="1257" spans="1:14" x14ac:dyDescent="0.3">
      <c r="A1257" t="s">
        <v>1303</v>
      </c>
      <c r="B1257" t="s">
        <v>38</v>
      </c>
      <c r="C1257" t="s">
        <v>1278</v>
      </c>
      <c r="D1257" s="1">
        <v>0.49700231481481483</v>
      </c>
      <c r="E1257" s="2">
        <f>CallLog[[#This Row],[Date]]+CallLog[[#This Row],[Time]]</f>
        <v>44219.497002314813</v>
      </c>
      <c r="F1257" s="1" t="str">
        <f>TEXT(CallLog[[#This Row],[Date]],"dddd")</f>
        <v>Saturday</v>
      </c>
      <c r="G1257" s="3">
        <f>HOUR(CallLog[[#This Row],[Time]])</f>
        <v>11</v>
      </c>
      <c r="H1257" t="s">
        <v>29</v>
      </c>
      <c r="I1257" t="s">
        <v>14</v>
      </c>
      <c r="J1257" t="s">
        <v>14</v>
      </c>
      <c r="K1257">
        <v>120</v>
      </c>
      <c r="L1257" t="str">
        <f>IF(AND(CallLog[[#This Row],[Answered (Y/N)]]="Y", CallLog[[#This Row],[Speed of answer in seconds]]&lt;=20),
    "Within",
    "Breach")</f>
        <v>Breach</v>
      </c>
      <c r="M1257" s="1">
        <v>2.9166666666666668E-3</v>
      </c>
      <c r="N1257">
        <v>2</v>
      </c>
    </row>
    <row r="1258" spans="1:14" x14ac:dyDescent="0.3">
      <c r="A1258" t="s">
        <v>1304</v>
      </c>
      <c r="B1258" t="s">
        <v>38</v>
      </c>
      <c r="C1258" t="s">
        <v>1278</v>
      </c>
      <c r="D1258" s="1">
        <v>0.51</v>
      </c>
      <c r="E1258" s="2">
        <f>CallLog[[#This Row],[Date]]+CallLog[[#This Row],[Time]]</f>
        <v>44219.51</v>
      </c>
      <c r="F1258" s="1" t="str">
        <f>TEXT(CallLog[[#This Row],[Date]],"dddd")</f>
        <v>Saturday</v>
      </c>
      <c r="G1258" s="3">
        <f>HOUR(CallLog[[#This Row],[Time]])</f>
        <v>12</v>
      </c>
      <c r="H1258" t="s">
        <v>13</v>
      </c>
      <c r="I1258" t="s">
        <v>14</v>
      </c>
      <c r="J1258" t="s">
        <v>14</v>
      </c>
      <c r="K1258">
        <v>26</v>
      </c>
      <c r="L1258" t="str">
        <f>IF(AND(CallLog[[#This Row],[Answered (Y/N)]]="Y", CallLog[[#This Row],[Speed of answer in seconds]]&lt;=20),
    "Within",
    "Breach")</f>
        <v>Breach</v>
      </c>
      <c r="M1258" s="1">
        <v>2.627314814814815E-3</v>
      </c>
      <c r="N1258">
        <v>3</v>
      </c>
    </row>
    <row r="1259" spans="1:14" x14ac:dyDescent="0.3">
      <c r="A1259" t="s">
        <v>1305</v>
      </c>
      <c r="B1259" t="s">
        <v>11</v>
      </c>
      <c r="C1259" t="s">
        <v>1278</v>
      </c>
      <c r="D1259" s="1">
        <v>0.51</v>
      </c>
      <c r="E1259" s="2">
        <f>CallLog[[#This Row],[Date]]+CallLog[[#This Row],[Time]]</f>
        <v>44219.51</v>
      </c>
      <c r="F1259" s="1" t="str">
        <f>TEXT(CallLog[[#This Row],[Date]],"dddd")</f>
        <v>Saturday</v>
      </c>
      <c r="G1259" s="3">
        <f>HOUR(CallLog[[#This Row],[Time]])</f>
        <v>12</v>
      </c>
      <c r="H1259" t="s">
        <v>24</v>
      </c>
      <c r="I1259" t="s">
        <v>14</v>
      </c>
      <c r="J1259" t="s">
        <v>14</v>
      </c>
      <c r="K1259">
        <v>33</v>
      </c>
      <c r="L1259" t="str">
        <f>IF(AND(CallLog[[#This Row],[Answered (Y/N)]]="Y", CallLog[[#This Row],[Speed of answer in seconds]]&lt;=20),
    "Within",
    "Breach")</f>
        <v>Breach</v>
      </c>
      <c r="M1259" s="1">
        <v>1.2037037037037038E-3</v>
      </c>
      <c r="N1259">
        <v>5</v>
      </c>
    </row>
    <row r="1260" spans="1:14" x14ac:dyDescent="0.3">
      <c r="A1260" t="s">
        <v>1306</v>
      </c>
      <c r="B1260" t="s">
        <v>47</v>
      </c>
      <c r="C1260" t="s">
        <v>1278</v>
      </c>
      <c r="D1260" s="1">
        <v>0.53</v>
      </c>
      <c r="E1260" s="2">
        <f>CallLog[[#This Row],[Date]]+CallLog[[#This Row],[Time]]</f>
        <v>44219.53</v>
      </c>
      <c r="F1260" s="1" t="str">
        <f>TEXT(CallLog[[#This Row],[Date]],"dddd")</f>
        <v>Saturday</v>
      </c>
      <c r="G1260" s="3">
        <f>HOUR(CallLog[[#This Row],[Time]])</f>
        <v>12</v>
      </c>
      <c r="H1260" t="s">
        <v>32</v>
      </c>
      <c r="I1260" t="s">
        <v>14</v>
      </c>
      <c r="J1260" t="s">
        <v>14</v>
      </c>
      <c r="K1260">
        <v>18</v>
      </c>
      <c r="L1260" t="str">
        <f>IF(AND(CallLog[[#This Row],[Answered (Y/N)]]="Y", CallLog[[#This Row],[Speed of answer in seconds]]&lt;=20),
    "Within",
    "Breach")</f>
        <v>Within</v>
      </c>
      <c r="M1260" s="1">
        <v>8.564814814814815E-4</v>
      </c>
      <c r="N1260">
        <v>4</v>
      </c>
    </row>
    <row r="1261" spans="1:14" x14ac:dyDescent="0.3">
      <c r="A1261" t="s">
        <v>1307</v>
      </c>
      <c r="B1261" t="s">
        <v>22</v>
      </c>
      <c r="C1261" t="s">
        <v>1278</v>
      </c>
      <c r="D1261" s="1">
        <v>0.53</v>
      </c>
      <c r="E1261" s="2">
        <f>CallLog[[#This Row],[Date]]+CallLog[[#This Row],[Time]]</f>
        <v>44219.53</v>
      </c>
      <c r="F1261" s="1" t="str">
        <f>TEXT(CallLog[[#This Row],[Date]],"dddd")</f>
        <v>Saturday</v>
      </c>
      <c r="G1261" s="3">
        <f>HOUR(CallLog[[#This Row],[Time]])</f>
        <v>12</v>
      </c>
      <c r="H1261" t="s">
        <v>24</v>
      </c>
      <c r="I1261" t="s">
        <v>14</v>
      </c>
      <c r="J1261" t="s">
        <v>14</v>
      </c>
      <c r="K1261">
        <v>29</v>
      </c>
      <c r="L1261" t="str">
        <f>IF(AND(CallLog[[#This Row],[Answered (Y/N)]]="Y", CallLog[[#This Row],[Speed of answer in seconds]]&lt;=20),
    "Within",
    "Breach")</f>
        <v>Breach</v>
      </c>
      <c r="M1261" s="1">
        <v>4.1087962962962962E-3</v>
      </c>
      <c r="N1261">
        <v>5</v>
      </c>
    </row>
    <row r="1262" spans="1:14" x14ac:dyDescent="0.3">
      <c r="A1262" t="s">
        <v>1308</v>
      </c>
      <c r="B1262" t="s">
        <v>22</v>
      </c>
      <c r="C1262" t="s">
        <v>1278</v>
      </c>
      <c r="D1262" s="1">
        <v>0.5379976851851852</v>
      </c>
      <c r="E1262" s="2">
        <f>CallLog[[#This Row],[Date]]+CallLog[[#This Row],[Time]]</f>
        <v>44219.537997685184</v>
      </c>
      <c r="F1262" s="1" t="str">
        <f>TEXT(CallLog[[#This Row],[Date]],"dddd")</f>
        <v>Saturday</v>
      </c>
      <c r="G1262" s="3">
        <f>HOUR(CallLog[[#This Row],[Time]])</f>
        <v>12</v>
      </c>
      <c r="H1262" t="s">
        <v>24</v>
      </c>
      <c r="I1262" t="s">
        <v>14</v>
      </c>
      <c r="J1262" t="s">
        <v>14</v>
      </c>
      <c r="K1262">
        <v>89</v>
      </c>
      <c r="L1262" t="str">
        <f>IF(AND(CallLog[[#This Row],[Answered (Y/N)]]="Y", CallLog[[#This Row],[Speed of answer in seconds]]&lt;=20),
    "Within",
    "Breach")</f>
        <v>Breach</v>
      </c>
      <c r="M1262" s="1">
        <v>1.0879629629629629E-3</v>
      </c>
      <c r="N1262">
        <v>2</v>
      </c>
    </row>
    <row r="1263" spans="1:14" x14ac:dyDescent="0.3">
      <c r="A1263" t="s">
        <v>1309</v>
      </c>
      <c r="B1263" t="s">
        <v>38</v>
      </c>
      <c r="C1263" t="s">
        <v>1278</v>
      </c>
      <c r="D1263" s="1">
        <v>0.5379976851851852</v>
      </c>
      <c r="E1263" s="2">
        <f>CallLog[[#This Row],[Date]]+CallLog[[#This Row],[Time]]</f>
        <v>44219.537997685184</v>
      </c>
      <c r="F1263" s="1" t="str">
        <f>TEXT(CallLog[[#This Row],[Date]],"dddd")</f>
        <v>Saturday</v>
      </c>
      <c r="G1263" s="3">
        <f>HOUR(CallLog[[#This Row],[Time]])</f>
        <v>12</v>
      </c>
      <c r="H1263" t="s">
        <v>17</v>
      </c>
      <c r="I1263" t="s">
        <v>18</v>
      </c>
      <c r="J1263" t="s">
        <v>18</v>
      </c>
      <c r="L1263" t="str">
        <f>IF(AND(CallLog[[#This Row],[Answered (Y/N)]]="Y", CallLog[[#This Row],[Speed of answer in seconds]]&lt;=20),
    "Within",
    "Breach")</f>
        <v>Breach</v>
      </c>
    </row>
    <row r="1264" spans="1:14" x14ac:dyDescent="0.3">
      <c r="A1264" t="s">
        <v>1310</v>
      </c>
      <c r="B1264" t="s">
        <v>11</v>
      </c>
      <c r="C1264" t="s">
        <v>1278</v>
      </c>
      <c r="D1264" s="1">
        <v>0.56499999999999995</v>
      </c>
      <c r="E1264" s="2">
        <f>CallLog[[#This Row],[Date]]+CallLog[[#This Row],[Time]]</f>
        <v>44219.565000000002</v>
      </c>
      <c r="F1264" s="1" t="str">
        <f>TEXT(CallLog[[#This Row],[Date]],"dddd")</f>
        <v>Saturday</v>
      </c>
      <c r="G1264" s="3">
        <f>HOUR(CallLog[[#This Row],[Time]])</f>
        <v>13</v>
      </c>
      <c r="H1264" t="s">
        <v>29</v>
      </c>
      <c r="I1264" t="s">
        <v>14</v>
      </c>
      <c r="J1264" t="s">
        <v>14</v>
      </c>
      <c r="K1264">
        <v>44</v>
      </c>
      <c r="L1264" t="str">
        <f>IF(AND(CallLog[[#This Row],[Answered (Y/N)]]="Y", CallLog[[#This Row],[Speed of answer in seconds]]&lt;=20),
    "Within",
    "Breach")</f>
        <v>Breach</v>
      </c>
      <c r="M1264" s="1">
        <v>2.2222222222222222E-3</v>
      </c>
      <c r="N1264">
        <v>5</v>
      </c>
    </row>
    <row r="1265" spans="1:14" x14ac:dyDescent="0.3">
      <c r="A1265" t="s">
        <v>1311</v>
      </c>
      <c r="B1265" t="s">
        <v>11</v>
      </c>
      <c r="C1265" t="s">
        <v>1278</v>
      </c>
      <c r="D1265" s="1">
        <v>0.56499999999999995</v>
      </c>
      <c r="E1265" s="2">
        <f>CallLog[[#This Row],[Date]]+CallLog[[#This Row],[Time]]</f>
        <v>44219.565000000002</v>
      </c>
      <c r="F1265" s="1" t="str">
        <f>TEXT(CallLog[[#This Row],[Date]],"dddd")</f>
        <v>Saturday</v>
      </c>
      <c r="G1265" s="3">
        <f>HOUR(CallLog[[#This Row],[Time]])</f>
        <v>13</v>
      </c>
      <c r="H1265" t="s">
        <v>13</v>
      </c>
      <c r="I1265" t="s">
        <v>14</v>
      </c>
      <c r="J1265" t="s">
        <v>18</v>
      </c>
      <c r="K1265">
        <v>62</v>
      </c>
      <c r="L1265" t="str">
        <f>IF(AND(CallLog[[#This Row],[Answered (Y/N)]]="Y", CallLog[[#This Row],[Speed of answer in seconds]]&lt;=20),
    "Within",
    "Breach")</f>
        <v>Breach</v>
      </c>
      <c r="M1265" s="1">
        <v>2.4652777777777776E-3</v>
      </c>
      <c r="N1265">
        <v>4</v>
      </c>
    </row>
    <row r="1266" spans="1:14" x14ac:dyDescent="0.3">
      <c r="A1266" t="s">
        <v>1312</v>
      </c>
      <c r="B1266" t="s">
        <v>47</v>
      </c>
      <c r="C1266" t="s">
        <v>1278</v>
      </c>
      <c r="D1266" s="1">
        <v>0.56799768518518523</v>
      </c>
      <c r="E1266" s="2">
        <f>CallLog[[#This Row],[Date]]+CallLog[[#This Row],[Time]]</f>
        <v>44219.567997685182</v>
      </c>
      <c r="F1266" s="1" t="str">
        <f>TEXT(CallLog[[#This Row],[Date]],"dddd")</f>
        <v>Saturday</v>
      </c>
      <c r="G1266" s="3">
        <f>HOUR(CallLog[[#This Row],[Time]])</f>
        <v>13</v>
      </c>
      <c r="H1266" t="s">
        <v>29</v>
      </c>
      <c r="I1266" t="s">
        <v>14</v>
      </c>
      <c r="J1266" t="s">
        <v>14</v>
      </c>
      <c r="K1266">
        <v>29</v>
      </c>
      <c r="L1266" t="str">
        <f>IF(AND(CallLog[[#This Row],[Answered (Y/N)]]="Y", CallLog[[#This Row],[Speed of answer in seconds]]&lt;=20),
    "Within",
    "Breach")</f>
        <v>Breach</v>
      </c>
      <c r="M1266" s="1">
        <v>1.2731481481481483E-3</v>
      </c>
      <c r="N1266">
        <v>5</v>
      </c>
    </row>
    <row r="1267" spans="1:14" x14ac:dyDescent="0.3">
      <c r="A1267" t="s">
        <v>1313</v>
      </c>
      <c r="B1267" t="s">
        <v>34</v>
      </c>
      <c r="C1267" t="s">
        <v>1278</v>
      </c>
      <c r="D1267" s="1">
        <v>0.56799768518518523</v>
      </c>
      <c r="E1267" s="2">
        <f>CallLog[[#This Row],[Date]]+CallLog[[#This Row],[Time]]</f>
        <v>44219.567997685182</v>
      </c>
      <c r="F1267" s="1" t="str">
        <f>TEXT(CallLog[[#This Row],[Date]],"dddd")</f>
        <v>Saturday</v>
      </c>
      <c r="G1267" s="3">
        <f>HOUR(CallLog[[#This Row],[Time]])</f>
        <v>13</v>
      </c>
      <c r="H1267" t="s">
        <v>29</v>
      </c>
      <c r="I1267" t="s">
        <v>14</v>
      </c>
      <c r="J1267" t="s">
        <v>14</v>
      </c>
      <c r="K1267">
        <v>10</v>
      </c>
      <c r="L1267" t="str">
        <f>IF(AND(CallLog[[#This Row],[Answered (Y/N)]]="Y", CallLog[[#This Row],[Speed of answer in seconds]]&lt;=20),
    "Within",
    "Breach")</f>
        <v>Within</v>
      </c>
      <c r="M1267" s="1">
        <v>4.6527777777777774E-3</v>
      </c>
      <c r="N1267">
        <v>5</v>
      </c>
    </row>
    <row r="1268" spans="1:14" x14ac:dyDescent="0.3">
      <c r="A1268" t="s">
        <v>1314</v>
      </c>
      <c r="B1268" t="s">
        <v>47</v>
      </c>
      <c r="C1268" t="s">
        <v>1278</v>
      </c>
      <c r="D1268" s="1">
        <v>0.59299768518518514</v>
      </c>
      <c r="E1268" s="2">
        <f>CallLog[[#This Row],[Date]]+CallLog[[#This Row],[Time]]</f>
        <v>44219.592997685184</v>
      </c>
      <c r="F1268" s="1" t="str">
        <f>TEXT(CallLog[[#This Row],[Date]],"dddd")</f>
        <v>Saturday</v>
      </c>
      <c r="G1268" s="3">
        <f>HOUR(CallLog[[#This Row],[Time]])</f>
        <v>14</v>
      </c>
      <c r="H1268" t="s">
        <v>24</v>
      </c>
      <c r="I1268" t="s">
        <v>14</v>
      </c>
      <c r="J1268" t="s">
        <v>14</v>
      </c>
      <c r="K1268">
        <v>75</v>
      </c>
      <c r="L1268" t="str">
        <f>IF(AND(CallLog[[#This Row],[Answered (Y/N)]]="Y", CallLog[[#This Row],[Speed of answer in seconds]]&lt;=20),
    "Within",
    "Breach")</f>
        <v>Breach</v>
      </c>
      <c r="M1268" s="1">
        <v>1.3888888888888889E-3</v>
      </c>
      <c r="N1268">
        <v>4</v>
      </c>
    </row>
    <row r="1269" spans="1:14" x14ac:dyDescent="0.3">
      <c r="A1269" t="s">
        <v>1315</v>
      </c>
      <c r="B1269" t="s">
        <v>38</v>
      </c>
      <c r="C1269" t="s">
        <v>1278</v>
      </c>
      <c r="D1269" s="1">
        <v>0.59299768518518514</v>
      </c>
      <c r="E1269" s="2">
        <f>CallLog[[#This Row],[Date]]+CallLog[[#This Row],[Time]]</f>
        <v>44219.592997685184</v>
      </c>
      <c r="F1269" s="1" t="str">
        <f>TEXT(CallLog[[#This Row],[Date]],"dddd")</f>
        <v>Saturday</v>
      </c>
      <c r="G1269" s="3">
        <f>HOUR(CallLog[[#This Row],[Time]])</f>
        <v>14</v>
      </c>
      <c r="H1269" t="s">
        <v>32</v>
      </c>
      <c r="I1269" t="s">
        <v>18</v>
      </c>
      <c r="J1269" t="s">
        <v>18</v>
      </c>
      <c r="L1269" t="str">
        <f>IF(AND(CallLog[[#This Row],[Answered (Y/N)]]="Y", CallLog[[#This Row],[Speed of answer in seconds]]&lt;=20),
    "Within",
    "Breach")</f>
        <v>Breach</v>
      </c>
    </row>
    <row r="1270" spans="1:14" x14ac:dyDescent="0.3">
      <c r="A1270" t="s">
        <v>1316</v>
      </c>
      <c r="B1270" t="s">
        <v>47</v>
      </c>
      <c r="C1270" t="s">
        <v>1278</v>
      </c>
      <c r="D1270" s="1">
        <v>0.62</v>
      </c>
      <c r="E1270" s="2">
        <f>CallLog[[#This Row],[Date]]+CallLog[[#This Row],[Time]]</f>
        <v>44219.62</v>
      </c>
      <c r="F1270" s="1" t="str">
        <f>TEXT(CallLog[[#This Row],[Date]],"dddd")</f>
        <v>Saturday</v>
      </c>
      <c r="G1270" s="3">
        <f>HOUR(CallLog[[#This Row],[Time]])</f>
        <v>14</v>
      </c>
      <c r="H1270" t="s">
        <v>17</v>
      </c>
      <c r="I1270" t="s">
        <v>14</v>
      </c>
      <c r="J1270" t="s">
        <v>14</v>
      </c>
      <c r="K1270">
        <v>33</v>
      </c>
      <c r="L1270" t="str">
        <f>IF(AND(CallLog[[#This Row],[Answered (Y/N)]]="Y", CallLog[[#This Row],[Speed of answer in seconds]]&lt;=20),
    "Within",
    "Breach")</f>
        <v>Breach</v>
      </c>
      <c r="M1270" s="1">
        <v>7.6388888888888893E-4</v>
      </c>
      <c r="N1270">
        <v>5</v>
      </c>
    </row>
    <row r="1271" spans="1:14" x14ac:dyDescent="0.3">
      <c r="A1271" t="s">
        <v>1317</v>
      </c>
      <c r="B1271" t="s">
        <v>16</v>
      </c>
      <c r="C1271" t="s">
        <v>1278</v>
      </c>
      <c r="D1271" s="1">
        <v>0.62</v>
      </c>
      <c r="E1271" s="2">
        <f>CallLog[[#This Row],[Date]]+CallLog[[#This Row],[Time]]</f>
        <v>44219.62</v>
      </c>
      <c r="F1271" s="1" t="str">
        <f>TEXT(CallLog[[#This Row],[Date]],"dddd")</f>
        <v>Saturday</v>
      </c>
      <c r="G1271" s="3">
        <f>HOUR(CallLog[[#This Row],[Time]])</f>
        <v>14</v>
      </c>
      <c r="H1271" t="s">
        <v>17</v>
      </c>
      <c r="I1271" t="s">
        <v>18</v>
      </c>
      <c r="J1271" t="s">
        <v>18</v>
      </c>
      <c r="L1271" t="str">
        <f>IF(AND(CallLog[[#This Row],[Answered (Y/N)]]="Y", CallLog[[#This Row],[Speed of answer in seconds]]&lt;=20),
    "Within",
    "Breach")</f>
        <v>Breach</v>
      </c>
    </row>
    <row r="1272" spans="1:14" x14ac:dyDescent="0.3">
      <c r="A1272" t="s">
        <v>1318</v>
      </c>
      <c r="B1272" t="s">
        <v>16</v>
      </c>
      <c r="C1272" t="s">
        <v>1278</v>
      </c>
      <c r="D1272" s="1">
        <v>0.66799768518518521</v>
      </c>
      <c r="E1272" s="2">
        <f>CallLog[[#This Row],[Date]]+CallLog[[#This Row],[Time]]</f>
        <v>44219.667997685188</v>
      </c>
      <c r="F1272" s="1" t="str">
        <f>TEXT(CallLog[[#This Row],[Date]],"dddd")</f>
        <v>Saturday</v>
      </c>
      <c r="G1272" s="3">
        <f>HOUR(CallLog[[#This Row],[Time]])</f>
        <v>16</v>
      </c>
      <c r="H1272" t="s">
        <v>24</v>
      </c>
      <c r="I1272" t="s">
        <v>14</v>
      </c>
      <c r="J1272" t="s">
        <v>18</v>
      </c>
      <c r="K1272">
        <v>56</v>
      </c>
      <c r="L1272" t="str">
        <f>IF(AND(CallLog[[#This Row],[Answered (Y/N)]]="Y", CallLog[[#This Row],[Speed of answer in seconds]]&lt;=20),
    "Within",
    "Breach")</f>
        <v>Breach</v>
      </c>
      <c r="M1272" s="1">
        <v>1.3657407407407407E-3</v>
      </c>
      <c r="N1272">
        <v>4</v>
      </c>
    </row>
    <row r="1273" spans="1:14" x14ac:dyDescent="0.3">
      <c r="A1273" t="s">
        <v>1319</v>
      </c>
      <c r="B1273" t="s">
        <v>38</v>
      </c>
      <c r="C1273" t="s">
        <v>1278</v>
      </c>
      <c r="D1273" s="1">
        <v>0.66799768518518521</v>
      </c>
      <c r="E1273" s="2">
        <f>CallLog[[#This Row],[Date]]+CallLog[[#This Row],[Time]]</f>
        <v>44219.667997685188</v>
      </c>
      <c r="F1273" s="1" t="str">
        <f>TEXT(CallLog[[#This Row],[Date]],"dddd")</f>
        <v>Saturday</v>
      </c>
      <c r="G1273" s="3">
        <f>HOUR(CallLog[[#This Row],[Time]])</f>
        <v>16</v>
      </c>
      <c r="H1273" t="s">
        <v>29</v>
      </c>
      <c r="I1273" t="s">
        <v>18</v>
      </c>
      <c r="J1273" t="s">
        <v>18</v>
      </c>
      <c r="L1273" t="str">
        <f>IF(AND(CallLog[[#This Row],[Answered (Y/N)]]="Y", CallLog[[#This Row],[Speed of answer in seconds]]&lt;=20),
    "Within",
    "Breach")</f>
        <v>Breach</v>
      </c>
    </row>
    <row r="1274" spans="1:14" x14ac:dyDescent="0.3">
      <c r="A1274" t="s">
        <v>1320</v>
      </c>
      <c r="B1274" t="s">
        <v>20</v>
      </c>
      <c r="C1274" t="s">
        <v>1278</v>
      </c>
      <c r="D1274" s="1">
        <v>0.67599537037037039</v>
      </c>
      <c r="E1274" s="2">
        <f>CallLog[[#This Row],[Date]]+CallLog[[#This Row],[Time]]</f>
        <v>44219.675995370373</v>
      </c>
      <c r="F1274" s="1" t="str">
        <f>TEXT(CallLog[[#This Row],[Date]],"dddd")</f>
        <v>Saturday</v>
      </c>
      <c r="G1274" s="3">
        <f>HOUR(CallLog[[#This Row],[Time]])</f>
        <v>16</v>
      </c>
      <c r="H1274" t="s">
        <v>13</v>
      </c>
      <c r="I1274" t="s">
        <v>14</v>
      </c>
      <c r="J1274" t="s">
        <v>18</v>
      </c>
      <c r="K1274">
        <v>31</v>
      </c>
      <c r="L1274" t="str">
        <f>IF(AND(CallLog[[#This Row],[Answered (Y/N)]]="Y", CallLog[[#This Row],[Speed of answer in seconds]]&lt;=20),
    "Within",
    "Breach")</f>
        <v>Breach</v>
      </c>
      <c r="M1274" s="1">
        <v>3.5879629629629629E-4</v>
      </c>
      <c r="N1274">
        <v>3</v>
      </c>
    </row>
    <row r="1275" spans="1:14" x14ac:dyDescent="0.3">
      <c r="A1275" t="s">
        <v>1321</v>
      </c>
      <c r="B1275" t="s">
        <v>22</v>
      </c>
      <c r="C1275" t="s">
        <v>1278</v>
      </c>
      <c r="D1275" s="1">
        <v>0.67599537037037039</v>
      </c>
      <c r="E1275" s="2">
        <f>CallLog[[#This Row],[Date]]+CallLog[[#This Row],[Time]]</f>
        <v>44219.675995370373</v>
      </c>
      <c r="F1275" s="1" t="str">
        <f>TEXT(CallLog[[#This Row],[Date]],"dddd")</f>
        <v>Saturday</v>
      </c>
      <c r="G1275" s="3">
        <f>HOUR(CallLog[[#This Row],[Time]])</f>
        <v>16</v>
      </c>
      <c r="H1275" t="s">
        <v>32</v>
      </c>
      <c r="I1275" t="s">
        <v>14</v>
      </c>
      <c r="J1275" t="s">
        <v>14</v>
      </c>
      <c r="K1275">
        <v>56</v>
      </c>
      <c r="L1275" t="str">
        <f>IF(AND(CallLog[[#This Row],[Answered (Y/N)]]="Y", CallLog[[#This Row],[Speed of answer in seconds]]&lt;=20),
    "Within",
    "Breach")</f>
        <v>Breach</v>
      </c>
      <c r="M1275" s="1">
        <v>9.2592592592592596E-4</v>
      </c>
      <c r="N1275">
        <v>2</v>
      </c>
    </row>
    <row r="1276" spans="1:14" x14ac:dyDescent="0.3">
      <c r="A1276" t="s">
        <v>1322</v>
      </c>
      <c r="B1276" t="s">
        <v>31</v>
      </c>
      <c r="C1276" t="s">
        <v>1278</v>
      </c>
      <c r="D1276" s="1">
        <v>0.69299768518518523</v>
      </c>
      <c r="E1276" s="2">
        <f>CallLog[[#This Row],[Date]]+CallLog[[#This Row],[Time]]</f>
        <v>44219.692997685182</v>
      </c>
      <c r="F1276" s="1" t="str">
        <f>TEXT(CallLog[[#This Row],[Date]],"dddd")</f>
        <v>Saturday</v>
      </c>
      <c r="G1276" s="3">
        <f>HOUR(CallLog[[#This Row],[Time]])</f>
        <v>16</v>
      </c>
      <c r="H1276" t="s">
        <v>24</v>
      </c>
      <c r="I1276" t="s">
        <v>14</v>
      </c>
      <c r="J1276" t="s">
        <v>14</v>
      </c>
      <c r="K1276">
        <v>53</v>
      </c>
      <c r="L1276" t="str">
        <f>IF(AND(CallLog[[#This Row],[Answered (Y/N)]]="Y", CallLog[[#This Row],[Speed of answer in seconds]]&lt;=20),
    "Within",
    "Breach")</f>
        <v>Breach</v>
      </c>
      <c r="M1276" s="1">
        <v>1.1921296296296296E-3</v>
      </c>
      <c r="N1276">
        <v>4</v>
      </c>
    </row>
    <row r="1277" spans="1:14" x14ac:dyDescent="0.3">
      <c r="A1277" t="s">
        <v>1323</v>
      </c>
      <c r="B1277" t="s">
        <v>11</v>
      </c>
      <c r="C1277" t="s">
        <v>1278</v>
      </c>
      <c r="D1277" s="1">
        <v>0.69299768518518523</v>
      </c>
      <c r="E1277" s="2">
        <f>CallLog[[#This Row],[Date]]+CallLog[[#This Row],[Time]]</f>
        <v>44219.692997685182</v>
      </c>
      <c r="F1277" s="1" t="str">
        <f>TEXT(CallLog[[#This Row],[Date]],"dddd")</f>
        <v>Saturday</v>
      </c>
      <c r="G1277" s="3">
        <f>HOUR(CallLog[[#This Row],[Time]])</f>
        <v>16</v>
      </c>
      <c r="H1277" t="s">
        <v>17</v>
      </c>
      <c r="I1277" t="s">
        <v>14</v>
      </c>
      <c r="J1277" t="s">
        <v>14</v>
      </c>
      <c r="K1277">
        <v>12</v>
      </c>
      <c r="L1277" t="str">
        <f>IF(AND(CallLog[[#This Row],[Answered (Y/N)]]="Y", CallLog[[#This Row],[Speed of answer in seconds]]&lt;=20),
    "Within",
    "Breach")</f>
        <v>Within</v>
      </c>
      <c r="M1277" s="1">
        <v>4.0277777777777777E-3</v>
      </c>
      <c r="N1277">
        <v>3</v>
      </c>
    </row>
    <row r="1278" spans="1:14" x14ac:dyDescent="0.3">
      <c r="A1278" t="s">
        <v>1324</v>
      </c>
      <c r="B1278" t="s">
        <v>20</v>
      </c>
      <c r="C1278" t="s">
        <v>1278</v>
      </c>
      <c r="D1278" s="1">
        <v>0.69799768518518523</v>
      </c>
      <c r="E1278" s="2">
        <f>CallLog[[#This Row],[Date]]+CallLog[[#This Row],[Time]]</f>
        <v>44219.697997685187</v>
      </c>
      <c r="F1278" s="1" t="str">
        <f>TEXT(CallLog[[#This Row],[Date]],"dddd")</f>
        <v>Saturday</v>
      </c>
      <c r="G1278" s="3">
        <f>HOUR(CallLog[[#This Row],[Time]])</f>
        <v>16</v>
      </c>
      <c r="H1278" t="s">
        <v>32</v>
      </c>
      <c r="I1278" t="s">
        <v>14</v>
      </c>
      <c r="J1278" t="s">
        <v>14</v>
      </c>
      <c r="K1278">
        <v>53</v>
      </c>
      <c r="L1278" t="str">
        <f>IF(AND(CallLog[[#This Row],[Answered (Y/N)]]="Y", CallLog[[#This Row],[Speed of answer in seconds]]&lt;=20),
    "Within",
    "Breach")</f>
        <v>Breach</v>
      </c>
      <c r="M1278" s="1">
        <v>4.2013888888888891E-3</v>
      </c>
      <c r="N1278">
        <v>3</v>
      </c>
    </row>
    <row r="1279" spans="1:14" x14ac:dyDescent="0.3">
      <c r="A1279" t="s">
        <v>1325</v>
      </c>
      <c r="B1279" t="s">
        <v>11</v>
      </c>
      <c r="C1279" t="s">
        <v>1278</v>
      </c>
      <c r="D1279" s="1">
        <v>0.69799768518518523</v>
      </c>
      <c r="E1279" s="2">
        <f>CallLog[[#This Row],[Date]]+CallLog[[#This Row],[Time]]</f>
        <v>44219.697997685187</v>
      </c>
      <c r="F1279" s="1" t="str">
        <f>TEXT(CallLog[[#This Row],[Date]],"dddd")</f>
        <v>Saturday</v>
      </c>
      <c r="G1279" s="3">
        <f>HOUR(CallLog[[#This Row],[Time]])</f>
        <v>16</v>
      </c>
      <c r="H1279" t="s">
        <v>32</v>
      </c>
      <c r="I1279" t="s">
        <v>14</v>
      </c>
      <c r="J1279" t="s">
        <v>14</v>
      </c>
      <c r="K1279">
        <v>116</v>
      </c>
      <c r="L1279" t="str">
        <f>IF(AND(CallLog[[#This Row],[Answered (Y/N)]]="Y", CallLog[[#This Row],[Speed of answer in seconds]]&lt;=20),
    "Within",
    "Breach")</f>
        <v>Breach</v>
      </c>
      <c r="M1279" s="1">
        <v>3.449074074074074E-3</v>
      </c>
      <c r="N1279">
        <v>3</v>
      </c>
    </row>
    <row r="1280" spans="1:14" x14ac:dyDescent="0.3">
      <c r="A1280" t="s">
        <v>1326</v>
      </c>
      <c r="B1280" t="s">
        <v>34</v>
      </c>
      <c r="C1280" t="s">
        <v>1278</v>
      </c>
      <c r="D1280" s="1">
        <v>0.72499999999999998</v>
      </c>
      <c r="E1280" s="2">
        <f>CallLog[[#This Row],[Date]]+CallLog[[#This Row],[Time]]</f>
        <v>44219.724999999999</v>
      </c>
      <c r="F1280" s="1" t="str">
        <f>TEXT(CallLog[[#This Row],[Date]],"dddd")</f>
        <v>Saturday</v>
      </c>
      <c r="G1280" s="3">
        <f>HOUR(CallLog[[#This Row],[Time]])</f>
        <v>17</v>
      </c>
      <c r="H1280" t="s">
        <v>24</v>
      </c>
      <c r="I1280" t="s">
        <v>14</v>
      </c>
      <c r="J1280" t="s">
        <v>14</v>
      </c>
      <c r="K1280">
        <v>19</v>
      </c>
      <c r="L1280" t="str">
        <f>IF(AND(CallLog[[#This Row],[Answered (Y/N)]]="Y", CallLog[[#This Row],[Speed of answer in seconds]]&lt;=20),
    "Within",
    "Breach")</f>
        <v>Within</v>
      </c>
      <c r="M1280" s="1">
        <v>8.2175925925925927E-4</v>
      </c>
      <c r="N1280">
        <v>4</v>
      </c>
    </row>
    <row r="1281" spans="1:14" x14ac:dyDescent="0.3">
      <c r="A1281" t="s">
        <v>1327</v>
      </c>
      <c r="B1281" t="s">
        <v>47</v>
      </c>
      <c r="C1281" t="s">
        <v>1278</v>
      </c>
      <c r="D1281" s="1">
        <v>0.72499999999999998</v>
      </c>
      <c r="E1281" s="2">
        <f>CallLog[[#This Row],[Date]]+CallLog[[#This Row],[Time]]</f>
        <v>44219.724999999999</v>
      </c>
      <c r="F1281" s="1" t="str">
        <f>TEXT(CallLog[[#This Row],[Date]],"dddd")</f>
        <v>Saturday</v>
      </c>
      <c r="G1281" s="3">
        <f>HOUR(CallLog[[#This Row],[Time]])</f>
        <v>17</v>
      </c>
      <c r="H1281" t="s">
        <v>13</v>
      </c>
      <c r="I1281" t="s">
        <v>18</v>
      </c>
      <c r="J1281" t="s">
        <v>18</v>
      </c>
      <c r="L1281" t="str">
        <f>IF(AND(CallLog[[#This Row],[Answered (Y/N)]]="Y", CallLog[[#This Row],[Speed of answer in seconds]]&lt;=20),
    "Within",
    "Breach")</f>
        <v>Breach</v>
      </c>
    </row>
    <row r="1282" spans="1:14" x14ac:dyDescent="0.3">
      <c r="A1282" t="s">
        <v>1328</v>
      </c>
      <c r="B1282" t="s">
        <v>34</v>
      </c>
      <c r="C1282" t="s">
        <v>1278</v>
      </c>
      <c r="D1282" s="1">
        <v>0.73700231481481482</v>
      </c>
      <c r="E1282" s="2">
        <f>CallLog[[#This Row],[Date]]+CallLog[[#This Row],[Time]]</f>
        <v>44219.737002314818</v>
      </c>
      <c r="F1282" s="1" t="str">
        <f>TEXT(CallLog[[#This Row],[Date]],"dddd")</f>
        <v>Saturday</v>
      </c>
      <c r="G1282" s="3">
        <f>HOUR(CallLog[[#This Row],[Time]])</f>
        <v>17</v>
      </c>
      <c r="H1282" t="s">
        <v>32</v>
      </c>
      <c r="I1282" t="s">
        <v>14</v>
      </c>
      <c r="J1282" t="s">
        <v>14</v>
      </c>
      <c r="K1282">
        <v>74</v>
      </c>
      <c r="L1282" t="str">
        <f>IF(AND(CallLog[[#This Row],[Answered (Y/N)]]="Y", CallLog[[#This Row],[Speed of answer in seconds]]&lt;=20),
    "Within",
    "Breach")</f>
        <v>Breach</v>
      </c>
      <c r="M1282" s="1">
        <v>4.0972222222222226E-3</v>
      </c>
      <c r="N1282">
        <v>2</v>
      </c>
    </row>
    <row r="1283" spans="1:14" x14ac:dyDescent="0.3">
      <c r="A1283" t="s">
        <v>1329</v>
      </c>
      <c r="B1283" t="s">
        <v>22</v>
      </c>
      <c r="C1283" t="s">
        <v>1278</v>
      </c>
      <c r="D1283" s="1">
        <v>0.73700231481481482</v>
      </c>
      <c r="E1283" s="2">
        <f>CallLog[[#This Row],[Date]]+CallLog[[#This Row],[Time]]</f>
        <v>44219.737002314818</v>
      </c>
      <c r="F1283" s="1" t="str">
        <f>TEXT(CallLog[[#This Row],[Date]],"dddd")</f>
        <v>Saturday</v>
      </c>
      <c r="G1283" s="3">
        <f>HOUR(CallLog[[#This Row],[Time]])</f>
        <v>17</v>
      </c>
      <c r="H1283" t="s">
        <v>32</v>
      </c>
      <c r="I1283" t="s">
        <v>14</v>
      </c>
      <c r="J1283" t="s">
        <v>14</v>
      </c>
      <c r="K1283">
        <v>85</v>
      </c>
      <c r="L1283" t="str">
        <f>IF(AND(CallLog[[#This Row],[Answered (Y/N)]]="Y", CallLog[[#This Row],[Speed of answer in seconds]]&lt;=20),
    "Within",
    "Breach")</f>
        <v>Breach</v>
      </c>
      <c r="M1283" s="1">
        <v>1.8981481481481482E-3</v>
      </c>
      <c r="N1283">
        <v>3</v>
      </c>
    </row>
    <row r="1284" spans="1:14" x14ac:dyDescent="0.3">
      <c r="A1284" t="s">
        <v>1330</v>
      </c>
      <c r="B1284" t="s">
        <v>22</v>
      </c>
      <c r="C1284" t="s">
        <v>1278</v>
      </c>
      <c r="D1284" s="1">
        <v>0.73900462962962965</v>
      </c>
      <c r="E1284" s="2">
        <f>CallLog[[#This Row],[Date]]+CallLog[[#This Row],[Time]]</f>
        <v>44219.739004629628</v>
      </c>
      <c r="F1284" s="1" t="str">
        <f>TEXT(CallLog[[#This Row],[Date]],"dddd")</f>
        <v>Saturday</v>
      </c>
      <c r="G1284" s="3">
        <f>HOUR(CallLog[[#This Row],[Time]])</f>
        <v>17</v>
      </c>
      <c r="H1284" t="s">
        <v>13</v>
      </c>
      <c r="I1284" t="s">
        <v>18</v>
      </c>
      <c r="J1284" t="s">
        <v>18</v>
      </c>
      <c r="L1284" t="str">
        <f>IF(AND(CallLog[[#This Row],[Answered (Y/N)]]="Y", CallLog[[#This Row],[Speed of answer in seconds]]&lt;=20),
    "Within",
    "Breach")</f>
        <v>Breach</v>
      </c>
    </row>
    <row r="1285" spans="1:14" x14ac:dyDescent="0.3">
      <c r="A1285" t="s">
        <v>1331</v>
      </c>
      <c r="B1285" t="s">
        <v>20</v>
      </c>
      <c r="C1285" t="s">
        <v>1278</v>
      </c>
      <c r="D1285" s="1">
        <v>0.73900462962962965</v>
      </c>
      <c r="E1285" s="2">
        <f>CallLog[[#This Row],[Date]]+CallLog[[#This Row],[Time]]</f>
        <v>44219.739004629628</v>
      </c>
      <c r="F1285" s="1" t="str">
        <f>TEXT(CallLog[[#This Row],[Date]],"dddd")</f>
        <v>Saturday</v>
      </c>
      <c r="G1285" s="3">
        <f>HOUR(CallLog[[#This Row],[Time]])</f>
        <v>17</v>
      </c>
      <c r="H1285" t="s">
        <v>24</v>
      </c>
      <c r="I1285" t="s">
        <v>18</v>
      </c>
      <c r="J1285" t="s">
        <v>18</v>
      </c>
      <c r="L1285" t="str">
        <f>IF(AND(CallLog[[#This Row],[Answered (Y/N)]]="Y", CallLog[[#This Row],[Speed of answer in seconds]]&lt;=20),
    "Within",
    "Breach")</f>
        <v>Breach</v>
      </c>
    </row>
    <row r="1286" spans="1:14" x14ac:dyDescent="0.3">
      <c r="A1286" t="s">
        <v>1332</v>
      </c>
      <c r="B1286" t="s">
        <v>47</v>
      </c>
      <c r="C1286" t="s">
        <v>1333</v>
      </c>
      <c r="D1286" s="1">
        <v>0.37900462962962961</v>
      </c>
      <c r="E1286" s="2">
        <f>CallLog[[#This Row],[Date]]+CallLog[[#This Row],[Time]]</f>
        <v>44220.379004629627</v>
      </c>
      <c r="F1286" s="1" t="str">
        <f>TEXT(CallLog[[#This Row],[Date]],"dddd")</f>
        <v>Sunday</v>
      </c>
      <c r="G1286" s="3">
        <f>HOUR(CallLog[[#This Row],[Time]])</f>
        <v>9</v>
      </c>
      <c r="H1286" t="s">
        <v>24</v>
      </c>
      <c r="I1286" t="s">
        <v>18</v>
      </c>
      <c r="J1286" t="s">
        <v>18</v>
      </c>
      <c r="L1286" t="str">
        <f>IF(AND(CallLog[[#This Row],[Answered (Y/N)]]="Y", CallLog[[#This Row],[Speed of answer in seconds]]&lt;=20),
    "Within",
    "Breach")</f>
        <v>Breach</v>
      </c>
    </row>
    <row r="1287" spans="1:14" x14ac:dyDescent="0.3">
      <c r="A1287" t="s">
        <v>1334</v>
      </c>
      <c r="B1287" t="s">
        <v>11</v>
      </c>
      <c r="C1287" t="s">
        <v>1333</v>
      </c>
      <c r="D1287" s="1">
        <v>0.37900462962962961</v>
      </c>
      <c r="E1287" s="2">
        <f>CallLog[[#This Row],[Date]]+CallLog[[#This Row],[Time]]</f>
        <v>44220.379004629627</v>
      </c>
      <c r="F1287" s="1" t="str">
        <f>TEXT(CallLog[[#This Row],[Date]],"dddd")</f>
        <v>Sunday</v>
      </c>
      <c r="G1287" s="3">
        <f>HOUR(CallLog[[#This Row],[Time]])</f>
        <v>9</v>
      </c>
      <c r="H1287" t="s">
        <v>32</v>
      </c>
      <c r="I1287" t="s">
        <v>14</v>
      </c>
      <c r="J1287" t="s">
        <v>14</v>
      </c>
      <c r="K1287">
        <v>48</v>
      </c>
      <c r="L1287" t="str">
        <f>IF(AND(CallLog[[#This Row],[Answered (Y/N)]]="Y", CallLog[[#This Row],[Speed of answer in seconds]]&lt;=20),
    "Within",
    "Breach")</f>
        <v>Breach</v>
      </c>
      <c r="M1287" s="1">
        <v>4.5833333333333334E-3</v>
      </c>
      <c r="N1287">
        <v>2</v>
      </c>
    </row>
    <row r="1288" spans="1:14" x14ac:dyDescent="0.3">
      <c r="A1288" t="s">
        <v>1335</v>
      </c>
      <c r="B1288" t="s">
        <v>34</v>
      </c>
      <c r="C1288" t="s">
        <v>1333</v>
      </c>
      <c r="D1288" s="1">
        <v>0.37900462962962961</v>
      </c>
      <c r="E1288" s="2">
        <f>CallLog[[#This Row],[Date]]+CallLog[[#This Row],[Time]]</f>
        <v>44220.379004629627</v>
      </c>
      <c r="F1288" s="1" t="str">
        <f>TEXT(CallLog[[#This Row],[Date]],"dddd")</f>
        <v>Sunday</v>
      </c>
      <c r="G1288" s="3">
        <f>HOUR(CallLog[[#This Row],[Time]])</f>
        <v>9</v>
      </c>
      <c r="H1288" t="s">
        <v>24</v>
      </c>
      <c r="I1288" t="s">
        <v>14</v>
      </c>
      <c r="J1288" t="s">
        <v>14</v>
      </c>
      <c r="K1288">
        <v>57</v>
      </c>
      <c r="L1288" t="str">
        <f>IF(AND(CallLog[[#This Row],[Answered (Y/N)]]="Y", CallLog[[#This Row],[Speed of answer in seconds]]&lt;=20),
    "Within",
    "Breach")</f>
        <v>Breach</v>
      </c>
      <c r="M1288" s="1">
        <v>3.1481481481481482E-3</v>
      </c>
      <c r="N1288">
        <v>3</v>
      </c>
    </row>
    <row r="1289" spans="1:14" x14ac:dyDescent="0.3">
      <c r="A1289" t="s">
        <v>1336</v>
      </c>
      <c r="B1289" t="s">
        <v>31</v>
      </c>
      <c r="C1289" t="s">
        <v>1333</v>
      </c>
      <c r="D1289" s="1">
        <v>0.37900462962962961</v>
      </c>
      <c r="E1289" s="2">
        <f>CallLog[[#This Row],[Date]]+CallLog[[#This Row],[Time]]</f>
        <v>44220.379004629627</v>
      </c>
      <c r="F1289" s="1" t="str">
        <f>TEXT(CallLog[[#This Row],[Date]],"dddd")</f>
        <v>Sunday</v>
      </c>
      <c r="G1289" s="3">
        <f>HOUR(CallLog[[#This Row],[Time]])</f>
        <v>9</v>
      </c>
      <c r="H1289" t="s">
        <v>29</v>
      </c>
      <c r="I1289" t="s">
        <v>14</v>
      </c>
      <c r="J1289" t="s">
        <v>18</v>
      </c>
      <c r="K1289">
        <v>116</v>
      </c>
      <c r="L1289" t="str">
        <f>IF(AND(CallLog[[#This Row],[Answered (Y/N)]]="Y", CallLog[[#This Row],[Speed of answer in seconds]]&lt;=20),
    "Within",
    "Breach")</f>
        <v>Breach</v>
      </c>
      <c r="M1289" s="1">
        <v>3.5763888888888889E-3</v>
      </c>
      <c r="N1289">
        <v>3</v>
      </c>
    </row>
    <row r="1290" spans="1:14" x14ac:dyDescent="0.3">
      <c r="A1290" t="s">
        <v>1337</v>
      </c>
      <c r="B1290" t="s">
        <v>22</v>
      </c>
      <c r="C1290" t="s">
        <v>1333</v>
      </c>
      <c r="D1290" s="1">
        <v>0.38400462962962961</v>
      </c>
      <c r="E1290" s="2">
        <f>CallLog[[#This Row],[Date]]+CallLog[[#This Row],[Time]]</f>
        <v>44220.384004629632</v>
      </c>
      <c r="F1290" s="1" t="str">
        <f>TEXT(CallLog[[#This Row],[Date]],"dddd")</f>
        <v>Sunday</v>
      </c>
      <c r="G1290" s="3">
        <f>HOUR(CallLog[[#This Row],[Time]])</f>
        <v>9</v>
      </c>
      <c r="H1290" t="s">
        <v>29</v>
      </c>
      <c r="I1290" t="s">
        <v>14</v>
      </c>
      <c r="J1290" t="s">
        <v>14</v>
      </c>
      <c r="K1290">
        <v>21</v>
      </c>
      <c r="L1290" t="str">
        <f>IF(AND(CallLog[[#This Row],[Answered (Y/N)]]="Y", CallLog[[#This Row],[Speed of answer in seconds]]&lt;=20),
    "Within",
    "Breach")</f>
        <v>Breach</v>
      </c>
      <c r="M1290" s="1">
        <v>5.7870370370370367E-4</v>
      </c>
      <c r="N1290">
        <v>1</v>
      </c>
    </row>
    <row r="1291" spans="1:14" x14ac:dyDescent="0.3">
      <c r="A1291" t="s">
        <v>1338</v>
      </c>
      <c r="B1291" t="s">
        <v>38</v>
      </c>
      <c r="C1291" t="s">
        <v>1333</v>
      </c>
      <c r="D1291" s="1">
        <v>0.38400462962962961</v>
      </c>
      <c r="E1291" s="2">
        <f>CallLog[[#This Row],[Date]]+CallLog[[#This Row],[Time]]</f>
        <v>44220.384004629632</v>
      </c>
      <c r="F1291" s="1" t="str">
        <f>TEXT(CallLog[[#This Row],[Date]],"dddd")</f>
        <v>Sunday</v>
      </c>
      <c r="G1291" s="3">
        <f>HOUR(CallLog[[#This Row],[Time]])</f>
        <v>9</v>
      </c>
      <c r="H1291" t="s">
        <v>13</v>
      </c>
      <c r="I1291" t="s">
        <v>14</v>
      </c>
      <c r="J1291" t="s">
        <v>14</v>
      </c>
      <c r="K1291">
        <v>87</v>
      </c>
      <c r="L1291" t="str">
        <f>IF(AND(CallLog[[#This Row],[Answered (Y/N)]]="Y", CallLog[[#This Row],[Speed of answer in seconds]]&lt;=20),
    "Within",
    "Breach")</f>
        <v>Breach</v>
      </c>
      <c r="M1291" s="1">
        <v>1.5162037037037036E-3</v>
      </c>
      <c r="N1291">
        <v>3</v>
      </c>
    </row>
    <row r="1292" spans="1:14" x14ac:dyDescent="0.3">
      <c r="A1292" t="s">
        <v>1339</v>
      </c>
      <c r="B1292" t="s">
        <v>34</v>
      </c>
      <c r="C1292" t="s">
        <v>1333</v>
      </c>
      <c r="D1292" s="1">
        <v>0.38900462962962962</v>
      </c>
      <c r="E1292" s="2">
        <f>CallLog[[#This Row],[Date]]+CallLog[[#This Row],[Time]]</f>
        <v>44220.389004629629</v>
      </c>
      <c r="F1292" s="1" t="str">
        <f>TEXT(CallLog[[#This Row],[Date]],"dddd")</f>
        <v>Sunday</v>
      </c>
      <c r="G1292" s="3">
        <f>HOUR(CallLog[[#This Row],[Time]])</f>
        <v>9</v>
      </c>
      <c r="H1292" t="s">
        <v>17</v>
      </c>
      <c r="I1292" t="s">
        <v>14</v>
      </c>
      <c r="J1292" t="s">
        <v>14</v>
      </c>
      <c r="K1292">
        <v>42</v>
      </c>
      <c r="L1292" t="str">
        <f>IF(AND(CallLog[[#This Row],[Answered (Y/N)]]="Y", CallLog[[#This Row],[Speed of answer in seconds]]&lt;=20),
    "Within",
    "Breach")</f>
        <v>Breach</v>
      </c>
      <c r="M1292" s="1">
        <v>2.7314814814814814E-3</v>
      </c>
      <c r="N1292">
        <v>3</v>
      </c>
    </row>
    <row r="1293" spans="1:14" x14ac:dyDescent="0.3">
      <c r="A1293" t="s">
        <v>1340</v>
      </c>
      <c r="B1293" t="s">
        <v>22</v>
      </c>
      <c r="C1293" t="s">
        <v>1333</v>
      </c>
      <c r="D1293" s="1">
        <v>0.38900462962962962</v>
      </c>
      <c r="E1293" s="2">
        <f>CallLog[[#This Row],[Date]]+CallLog[[#This Row],[Time]]</f>
        <v>44220.389004629629</v>
      </c>
      <c r="F1293" s="1" t="str">
        <f>TEXT(CallLog[[#This Row],[Date]],"dddd")</f>
        <v>Sunday</v>
      </c>
      <c r="G1293" s="3">
        <f>HOUR(CallLog[[#This Row],[Time]])</f>
        <v>9</v>
      </c>
      <c r="H1293" t="s">
        <v>17</v>
      </c>
      <c r="I1293" t="s">
        <v>14</v>
      </c>
      <c r="J1293" t="s">
        <v>14</v>
      </c>
      <c r="K1293">
        <v>86</v>
      </c>
      <c r="L1293" t="str">
        <f>IF(AND(CallLog[[#This Row],[Answered (Y/N)]]="Y", CallLog[[#This Row],[Speed of answer in seconds]]&lt;=20),
    "Within",
    "Breach")</f>
        <v>Breach</v>
      </c>
      <c r="M1293" s="1">
        <v>1.0185185185185184E-3</v>
      </c>
      <c r="N1293">
        <v>1</v>
      </c>
    </row>
    <row r="1294" spans="1:14" x14ac:dyDescent="0.3">
      <c r="A1294" t="s">
        <v>1341</v>
      </c>
      <c r="B1294" t="s">
        <v>34</v>
      </c>
      <c r="C1294" t="s">
        <v>1333</v>
      </c>
      <c r="D1294" s="1">
        <v>0.39200231481481479</v>
      </c>
      <c r="E1294" s="2">
        <f>CallLog[[#This Row],[Date]]+CallLog[[#This Row],[Time]]</f>
        <v>44220.392002314817</v>
      </c>
      <c r="F1294" s="1" t="str">
        <f>TEXT(CallLog[[#This Row],[Date]],"dddd")</f>
        <v>Sunday</v>
      </c>
      <c r="G1294" s="3">
        <f>HOUR(CallLog[[#This Row],[Time]])</f>
        <v>9</v>
      </c>
      <c r="H1294" t="s">
        <v>24</v>
      </c>
      <c r="I1294" t="s">
        <v>14</v>
      </c>
      <c r="J1294" t="s">
        <v>14</v>
      </c>
      <c r="K1294">
        <v>95</v>
      </c>
      <c r="L1294" t="str">
        <f>IF(AND(CallLog[[#This Row],[Answered (Y/N)]]="Y", CallLog[[#This Row],[Speed of answer in seconds]]&lt;=20),
    "Within",
    "Breach")</f>
        <v>Breach</v>
      </c>
      <c r="M1294" s="1">
        <v>2.1412037037037038E-3</v>
      </c>
      <c r="N1294">
        <v>5</v>
      </c>
    </row>
    <row r="1295" spans="1:14" x14ac:dyDescent="0.3">
      <c r="A1295" t="s">
        <v>1342</v>
      </c>
      <c r="B1295" t="s">
        <v>34</v>
      </c>
      <c r="C1295" t="s">
        <v>1333</v>
      </c>
      <c r="D1295" s="1">
        <v>0.39200231481481479</v>
      </c>
      <c r="E1295" s="2">
        <f>CallLog[[#This Row],[Date]]+CallLog[[#This Row],[Time]]</f>
        <v>44220.392002314817</v>
      </c>
      <c r="F1295" s="1" t="str">
        <f>TEXT(CallLog[[#This Row],[Date]],"dddd")</f>
        <v>Sunday</v>
      </c>
      <c r="G1295" s="3">
        <f>HOUR(CallLog[[#This Row],[Time]])</f>
        <v>9</v>
      </c>
      <c r="H1295" t="s">
        <v>13</v>
      </c>
      <c r="I1295" t="s">
        <v>18</v>
      </c>
      <c r="J1295" t="s">
        <v>18</v>
      </c>
      <c r="L1295" t="str">
        <f>IF(AND(CallLog[[#This Row],[Answered (Y/N)]]="Y", CallLog[[#This Row],[Speed of answer in seconds]]&lt;=20),
    "Within",
    "Breach")</f>
        <v>Breach</v>
      </c>
    </row>
    <row r="1296" spans="1:14" x14ac:dyDescent="0.3">
      <c r="A1296" t="s">
        <v>1343</v>
      </c>
      <c r="B1296" t="s">
        <v>31</v>
      </c>
      <c r="C1296" t="s">
        <v>1333</v>
      </c>
      <c r="D1296" s="1">
        <v>0.4129976851851852</v>
      </c>
      <c r="E1296" s="2">
        <f>CallLog[[#This Row],[Date]]+CallLog[[#This Row],[Time]]</f>
        <v>44220.412997685184</v>
      </c>
      <c r="F1296" s="1" t="str">
        <f>TEXT(CallLog[[#This Row],[Date]],"dddd")</f>
        <v>Sunday</v>
      </c>
      <c r="G1296" s="3">
        <f>HOUR(CallLog[[#This Row],[Time]])</f>
        <v>9</v>
      </c>
      <c r="H1296" t="s">
        <v>17</v>
      </c>
      <c r="I1296" t="s">
        <v>14</v>
      </c>
      <c r="J1296" t="s">
        <v>14</v>
      </c>
      <c r="K1296">
        <v>109</v>
      </c>
      <c r="L1296" t="str">
        <f>IF(AND(CallLog[[#This Row],[Answered (Y/N)]]="Y", CallLog[[#This Row],[Speed of answer in seconds]]&lt;=20),
    "Within",
    "Breach")</f>
        <v>Breach</v>
      </c>
      <c r="M1296" s="1">
        <v>4.0162037037037041E-3</v>
      </c>
      <c r="N1296">
        <v>3</v>
      </c>
    </row>
    <row r="1297" spans="1:14" x14ac:dyDescent="0.3">
      <c r="A1297" t="s">
        <v>1344</v>
      </c>
      <c r="B1297" t="s">
        <v>22</v>
      </c>
      <c r="C1297" t="s">
        <v>1333</v>
      </c>
      <c r="D1297" s="1">
        <v>0.4129976851851852</v>
      </c>
      <c r="E1297" s="2">
        <f>CallLog[[#This Row],[Date]]+CallLog[[#This Row],[Time]]</f>
        <v>44220.412997685184</v>
      </c>
      <c r="F1297" s="1" t="str">
        <f>TEXT(CallLog[[#This Row],[Date]],"dddd")</f>
        <v>Sunday</v>
      </c>
      <c r="G1297" s="3">
        <f>HOUR(CallLog[[#This Row],[Time]])</f>
        <v>9</v>
      </c>
      <c r="H1297" t="s">
        <v>24</v>
      </c>
      <c r="I1297" t="s">
        <v>18</v>
      </c>
      <c r="J1297" t="s">
        <v>18</v>
      </c>
      <c r="L1297" t="str">
        <f>IF(AND(CallLog[[#This Row],[Answered (Y/N)]]="Y", CallLog[[#This Row],[Speed of answer in seconds]]&lt;=20),
    "Within",
    "Breach")</f>
        <v>Breach</v>
      </c>
    </row>
    <row r="1298" spans="1:14" x14ac:dyDescent="0.3">
      <c r="A1298" t="s">
        <v>1345</v>
      </c>
      <c r="B1298" t="s">
        <v>22</v>
      </c>
      <c r="C1298" t="s">
        <v>1333</v>
      </c>
      <c r="D1298" s="1">
        <v>0.41900462962962964</v>
      </c>
      <c r="E1298" s="2">
        <f>CallLog[[#This Row],[Date]]+CallLog[[#This Row],[Time]]</f>
        <v>44220.419004629628</v>
      </c>
      <c r="F1298" s="1" t="str">
        <f>TEXT(CallLog[[#This Row],[Date]],"dddd")</f>
        <v>Sunday</v>
      </c>
      <c r="G1298" s="3">
        <f>HOUR(CallLog[[#This Row],[Time]])</f>
        <v>10</v>
      </c>
      <c r="H1298" t="s">
        <v>29</v>
      </c>
      <c r="I1298" t="s">
        <v>14</v>
      </c>
      <c r="J1298" t="s">
        <v>14</v>
      </c>
      <c r="K1298">
        <v>104</v>
      </c>
      <c r="L1298" t="str">
        <f>IF(AND(CallLog[[#This Row],[Answered (Y/N)]]="Y", CallLog[[#This Row],[Speed of answer in seconds]]&lt;=20),
    "Within",
    "Breach")</f>
        <v>Breach</v>
      </c>
      <c r="M1298" s="1">
        <v>3.8773148148148148E-3</v>
      </c>
      <c r="N1298">
        <v>2</v>
      </c>
    </row>
    <row r="1299" spans="1:14" x14ac:dyDescent="0.3">
      <c r="A1299" t="s">
        <v>1346</v>
      </c>
      <c r="B1299" t="s">
        <v>38</v>
      </c>
      <c r="C1299" t="s">
        <v>1333</v>
      </c>
      <c r="D1299" s="1">
        <v>0.41900462962962964</v>
      </c>
      <c r="E1299" s="2">
        <f>CallLog[[#This Row],[Date]]+CallLog[[#This Row],[Time]]</f>
        <v>44220.419004629628</v>
      </c>
      <c r="F1299" s="1" t="str">
        <f>TEXT(CallLog[[#This Row],[Date]],"dddd")</f>
        <v>Sunday</v>
      </c>
      <c r="G1299" s="3">
        <f>HOUR(CallLog[[#This Row],[Time]])</f>
        <v>10</v>
      </c>
      <c r="H1299" t="s">
        <v>24</v>
      </c>
      <c r="I1299" t="s">
        <v>14</v>
      </c>
      <c r="J1299" t="s">
        <v>14</v>
      </c>
      <c r="K1299">
        <v>123</v>
      </c>
      <c r="L1299" t="str">
        <f>IF(AND(CallLog[[#This Row],[Answered (Y/N)]]="Y", CallLog[[#This Row],[Speed of answer in seconds]]&lt;=20),
    "Within",
    "Breach")</f>
        <v>Breach</v>
      </c>
      <c r="M1299" s="1">
        <v>1.3310185185185185E-3</v>
      </c>
      <c r="N1299">
        <v>1</v>
      </c>
    </row>
    <row r="1300" spans="1:14" x14ac:dyDescent="0.3">
      <c r="A1300" t="s">
        <v>1347</v>
      </c>
      <c r="B1300" t="s">
        <v>38</v>
      </c>
      <c r="C1300" t="s">
        <v>1333</v>
      </c>
      <c r="D1300" s="1">
        <v>0.42</v>
      </c>
      <c r="E1300" s="2">
        <f>CallLog[[#This Row],[Date]]+CallLog[[#This Row],[Time]]</f>
        <v>44220.42</v>
      </c>
      <c r="F1300" s="1" t="str">
        <f>TEXT(CallLog[[#This Row],[Date]],"dddd")</f>
        <v>Sunday</v>
      </c>
      <c r="G1300" s="3">
        <f>HOUR(CallLog[[#This Row],[Time]])</f>
        <v>10</v>
      </c>
      <c r="H1300" t="s">
        <v>32</v>
      </c>
      <c r="I1300" t="s">
        <v>14</v>
      </c>
      <c r="J1300" t="s">
        <v>14</v>
      </c>
      <c r="K1300">
        <v>72</v>
      </c>
      <c r="L1300" t="str">
        <f>IF(AND(CallLog[[#This Row],[Answered (Y/N)]]="Y", CallLog[[#This Row],[Speed of answer in seconds]]&lt;=20),
    "Within",
    "Breach")</f>
        <v>Breach</v>
      </c>
      <c r="M1300" s="1">
        <v>3.5995370370370369E-3</v>
      </c>
      <c r="N1300">
        <v>5</v>
      </c>
    </row>
    <row r="1301" spans="1:14" x14ac:dyDescent="0.3">
      <c r="A1301" t="s">
        <v>1348</v>
      </c>
      <c r="B1301" t="s">
        <v>31</v>
      </c>
      <c r="C1301" t="s">
        <v>1333</v>
      </c>
      <c r="D1301" s="1">
        <v>0.42</v>
      </c>
      <c r="E1301" s="2">
        <f>CallLog[[#This Row],[Date]]+CallLog[[#This Row],[Time]]</f>
        <v>44220.42</v>
      </c>
      <c r="F1301" s="1" t="str">
        <f>TEXT(CallLog[[#This Row],[Date]],"dddd")</f>
        <v>Sunday</v>
      </c>
      <c r="G1301" s="3">
        <f>HOUR(CallLog[[#This Row],[Time]])</f>
        <v>10</v>
      </c>
      <c r="H1301" t="s">
        <v>17</v>
      </c>
      <c r="I1301" t="s">
        <v>18</v>
      </c>
      <c r="J1301" t="s">
        <v>18</v>
      </c>
      <c r="L1301" t="str">
        <f>IF(AND(CallLog[[#This Row],[Answered (Y/N)]]="Y", CallLog[[#This Row],[Speed of answer in seconds]]&lt;=20),
    "Within",
    "Breach")</f>
        <v>Breach</v>
      </c>
    </row>
    <row r="1302" spans="1:14" x14ac:dyDescent="0.3">
      <c r="A1302" t="s">
        <v>1349</v>
      </c>
      <c r="B1302" t="s">
        <v>20</v>
      </c>
      <c r="C1302" t="s">
        <v>1333</v>
      </c>
      <c r="D1302" s="1">
        <v>0.42</v>
      </c>
      <c r="E1302" s="2">
        <f>CallLog[[#This Row],[Date]]+CallLog[[#This Row],[Time]]</f>
        <v>44220.42</v>
      </c>
      <c r="F1302" s="1" t="str">
        <f>TEXT(CallLog[[#This Row],[Date]],"dddd")</f>
        <v>Sunday</v>
      </c>
      <c r="G1302" s="3">
        <f>HOUR(CallLog[[#This Row],[Time]])</f>
        <v>10</v>
      </c>
      <c r="H1302" t="s">
        <v>13</v>
      </c>
      <c r="I1302" t="s">
        <v>14</v>
      </c>
      <c r="J1302" t="s">
        <v>18</v>
      </c>
      <c r="K1302">
        <v>28</v>
      </c>
      <c r="L1302" t="str">
        <f>IF(AND(CallLog[[#This Row],[Answered (Y/N)]]="Y", CallLog[[#This Row],[Speed of answer in seconds]]&lt;=20),
    "Within",
    "Breach")</f>
        <v>Breach</v>
      </c>
      <c r="M1302" s="1">
        <v>6.018518518518519E-4</v>
      </c>
      <c r="N1302">
        <v>4</v>
      </c>
    </row>
    <row r="1303" spans="1:14" x14ac:dyDescent="0.3">
      <c r="A1303" t="s">
        <v>1350</v>
      </c>
      <c r="B1303" t="s">
        <v>47</v>
      </c>
      <c r="C1303" t="s">
        <v>1333</v>
      </c>
      <c r="D1303" s="1">
        <v>0.42</v>
      </c>
      <c r="E1303" s="2">
        <f>CallLog[[#This Row],[Date]]+CallLog[[#This Row],[Time]]</f>
        <v>44220.42</v>
      </c>
      <c r="F1303" s="1" t="str">
        <f>TEXT(CallLog[[#This Row],[Date]],"dddd")</f>
        <v>Sunday</v>
      </c>
      <c r="G1303" s="3">
        <f>HOUR(CallLog[[#This Row],[Time]])</f>
        <v>10</v>
      </c>
      <c r="H1303" t="s">
        <v>32</v>
      </c>
      <c r="I1303" t="s">
        <v>14</v>
      </c>
      <c r="J1303" t="s">
        <v>14</v>
      </c>
      <c r="K1303">
        <v>124</v>
      </c>
      <c r="L1303" t="str">
        <f>IF(AND(CallLog[[#This Row],[Answered (Y/N)]]="Y", CallLog[[#This Row],[Speed of answer in seconds]]&lt;=20),
    "Within",
    "Breach")</f>
        <v>Breach</v>
      </c>
      <c r="M1303" s="1">
        <v>2.2337962962962962E-3</v>
      </c>
      <c r="N1303">
        <v>4</v>
      </c>
    </row>
    <row r="1304" spans="1:14" x14ac:dyDescent="0.3">
      <c r="A1304" t="s">
        <v>1351</v>
      </c>
      <c r="B1304" t="s">
        <v>31</v>
      </c>
      <c r="C1304" t="s">
        <v>1333</v>
      </c>
      <c r="D1304" s="1">
        <v>0.43700231481481483</v>
      </c>
      <c r="E1304" s="2">
        <f>CallLog[[#This Row],[Date]]+CallLog[[#This Row],[Time]]</f>
        <v>44220.437002314815</v>
      </c>
      <c r="F1304" s="1" t="str">
        <f>TEXT(CallLog[[#This Row],[Date]],"dddd")</f>
        <v>Sunday</v>
      </c>
      <c r="G1304" s="3">
        <f>HOUR(CallLog[[#This Row],[Time]])</f>
        <v>10</v>
      </c>
      <c r="H1304" t="s">
        <v>24</v>
      </c>
      <c r="I1304" t="s">
        <v>14</v>
      </c>
      <c r="J1304" t="s">
        <v>14</v>
      </c>
      <c r="K1304">
        <v>16</v>
      </c>
      <c r="L1304" t="str">
        <f>IF(AND(CallLog[[#This Row],[Answered (Y/N)]]="Y", CallLog[[#This Row],[Speed of answer in seconds]]&lt;=20),
    "Within",
    "Breach")</f>
        <v>Within</v>
      </c>
      <c r="M1304" s="1">
        <v>3.1828703703703702E-3</v>
      </c>
      <c r="N1304">
        <v>4</v>
      </c>
    </row>
    <row r="1305" spans="1:14" x14ac:dyDescent="0.3">
      <c r="A1305" t="s">
        <v>1352</v>
      </c>
      <c r="B1305" t="s">
        <v>38</v>
      </c>
      <c r="C1305" t="s">
        <v>1333</v>
      </c>
      <c r="D1305" s="1">
        <v>0.43700231481481483</v>
      </c>
      <c r="E1305" s="2">
        <f>CallLog[[#This Row],[Date]]+CallLog[[#This Row],[Time]]</f>
        <v>44220.437002314815</v>
      </c>
      <c r="F1305" s="1" t="str">
        <f>TEXT(CallLog[[#This Row],[Date]],"dddd")</f>
        <v>Sunday</v>
      </c>
      <c r="G1305" s="3">
        <f>HOUR(CallLog[[#This Row],[Time]])</f>
        <v>10</v>
      </c>
      <c r="H1305" t="s">
        <v>29</v>
      </c>
      <c r="I1305" t="s">
        <v>18</v>
      </c>
      <c r="J1305" t="s">
        <v>18</v>
      </c>
      <c r="L1305" t="str">
        <f>IF(AND(CallLog[[#This Row],[Answered (Y/N)]]="Y", CallLog[[#This Row],[Speed of answer in seconds]]&lt;=20),
    "Within",
    "Breach")</f>
        <v>Breach</v>
      </c>
    </row>
    <row r="1306" spans="1:14" x14ac:dyDescent="0.3">
      <c r="A1306" t="s">
        <v>1353</v>
      </c>
      <c r="B1306" t="s">
        <v>34</v>
      </c>
      <c r="C1306" t="s">
        <v>1333</v>
      </c>
      <c r="D1306" s="1">
        <v>0.43900462962962961</v>
      </c>
      <c r="E1306" s="2">
        <f>CallLog[[#This Row],[Date]]+CallLog[[#This Row],[Time]]</f>
        <v>44220.439004629632</v>
      </c>
      <c r="F1306" s="1" t="str">
        <f>TEXT(CallLog[[#This Row],[Date]],"dddd")</f>
        <v>Sunday</v>
      </c>
      <c r="G1306" s="3">
        <f>HOUR(CallLog[[#This Row],[Time]])</f>
        <v>10</v>
      </c>
      <c r="H1306" t="s">
        <v>29</v>
      </c>
      <c r="I1306" t="s">
        <v>14</v>
      </c>
      <c r="J1306" t="s">
        <v>14</v>
      </c>
      <c r="K1306">
        <v>125</v>
      </c>
      <c r="L1306" t="str">
        <f>IF(AND(CallLog[[#This Row],[Answered (Y/N)]]="Y", CallLog[[#This Row],[Speed of answer in seconds]]&lt;=20),
    "Within",
    "Breach")</f>
        <v>Breach</v>
      </c>
      <c r="M1306" s="1">
        <v>3.5879629629629629E-4</v>
      </c>
      <c r="N1306">
        <v>3</v>
      </c>
    </row>
    <row r="1307" spans="1:14" x14ac:dyDescent="0.3">
      <c r="A1307" t="s">
        <v>1354</v>
      </c>
      <c r="B1307" t="s">
        <v>16</v>
      </c>
      <c r="C1307" t="s">
        <v>1333</v>
      </c>
      <c r="D1307" s="1">
        <v>0.43900462962962961</v>
      </c>
      <c r="E1307" s="2">
        <f>CallLog[[#This Row],[Date]]+CallLog[[#This Row],[Time]]</f>
        <v>44220.439004629632</v>
      </c>
      <c r="F1307" s="1" t="str">
        <f>TEXT(CallLog[[#This Row],[Date]],"dddd")</f>
        <v>Sunday</v>
      </c>
      <c r="G1307" s="3">
        <f>HOUR(CallLog[[#This Row],[Time]])</f>
        <v>10</v>
      </c>
      <c r="H1307" t="s">
        <v>13</v>
      </c>
      <c r="I1307" t="s">
        <v>18</v>
      </c>
      <c r="J1307" t="s">
        <v>18</v>
      </c>
      <c r="L1307" t="str">
        <f>IF(AND(CallLog[[#This Row],[Answered (Y/N)]]="Y", CallLog[[#This Row],[Speed of answer in seconds]]&lt;=20),
    "Within",
    "Breach")</f>
        <v>Breach</v>
      </c>
    </row>
    <row r="1308" spans="1:14" x14ac:dyDescent="0.3">
      <c r="A1308" t="s">
        <v>1355</v>
      </c>
      <c r="B1308" t="s">
        <v>47</v>
      </c>
      <c r="C1308" t="s">
        <v>1333</v>
      </c>
      <c r="D1308" s="1">
        <v>0.46599537037037037</v>
      </c>
      <c r="E1308" s="2">
        <f>CallLog[[#This Row],[Date]]+CallLog[[#This Row],[Time]]</f>
        <v>44220.465995370374</v>
      </c>
      <c r="F1308" s="1" t="str">
        <f>TEXT(CallLog[[#This Row],[Date]],"dddd")</f>
        <v>Sunday</v>
      </c>
      <c r="G1308" s="3">
        <f>HOUR(CallLog[[#This Row],[Time]])</f>
        <v>11</v>
      </c>
      <c r="H1308" t="s">
        <v>13</v>
      </c>
      <c r="I1308" t="s">
        <v>14</v>
      </c>
      <c r="J1308" t="s">
        <v>14</v>
      </c>
      <c r="K1308">
        <v>61</v>
      </c>
      <c r="L1308" t="str">
        <f>IF(AND(CallLog[[#This Row],[Answered (Y/N)]]="Y", CallLog[[#This Row],[Speed of answer in seconds]]&lt;=20),
    "Within",
    "Breach")</f>
        <v>Breach</v>
      </c>
      <c r="M1308" s="1">
        <v>2.1412037037037038E-3</v>
      </c>
      <c r="N1308">
        <v>3</v>
      </c>
    </row>
    <row r="1309" spans="1:14" x14ac:dyDescent="0.3">
      <c r="A1309" t="s">
        <v>1356</v>
      </c>
      <c r="B1309" t="s">
        <v>11</v>
      </c>
      <c r="C1309" t="s">
        <v>1333</v>
      </c>
      <c r="D1309" s="1">
        <v>0.46599537037037037</v>
      </c>
      <c r="E1309" s="2">
        <f>CallLog[[#This Row],[Date]]+CallLog[[#This Row],[Time]]</f>
        <v>44220.465995370374</v>
      </c>
      <c r="F1309" s="1" t="str">
        <f>TEXT(CallLog[[#This Row],[Date]],"dddd")</f>
        <v>Sunday</v>
      </c>
      <c r="G1309" s="3">
        <f>HOUR(CallLog[[#This Row],[Time]])</f>
        <v>11</v>
      </c>
      <c r="H1309" t="s">
        <v>32</v>
      </c>
      <c r="I1309" t="s">
        <v>14</v>
      </c>
      <c r="J1309" t="s">
        <v>14</v>
      </c>
      <c r="K1309">
        <v>55</v>
      </c>
      <c r="L1309" t="str">
        <f>IF(AND(CallLog[[#This Row],[Answered (Y/N)]]="Y", CallLog[[#This Row],[Speed of answer in seconds]]&lt;=20),
    "Within",
    "Breach")</f>
        <v>Breach</v>
      </c>
      <c r="M1309" s="1">
        <v>4.5138888888888885E-3</v>
      </c>
      <c r="N1309">
        <v>1</v>
      </c>
    </row>
    <row r="1310" spans="1:14" x14ac:dyDescent="0.3">
      <c r="A1310" t="s">
        <v>1357</v>
      </c>
      <c r="B1310" t="s">
        <v>16</v>
      </c>
      <c r="C1310" t="s">
        <v>1333</v>
      </c>
      <c r="D1310" s="1">
        <v>0.48799768518518516</v>
      </c>
      <c r="E1310" s="2">
        <f>CallLog[[#This Row],[Date]]+CallLog[[#This Row],[Time]]</f>
        <v>44220.487997685188</v>
      </c>
      <c r="F1310" s="1" t="str">
        <f>TEXT(CallLog[[#This Row],[Date]],"dddd")</f>
        <v>Sunday</v>
      </c>
      <c r="G1310" s="3">
        <f>HOUR(CallLog[[#This Row],[Time]])</f>
        <v>11</v>
      </c>
      <c r="H1310" t="s">
        <v>17</v>
      </c>
      <c r="I1310" t="s">
        <v>14</v>
      </c>
      <c r="J1310" t="s">
        <v>14</v>
      </c>
      <c r="K1310">
        <v>41</v>
      </c>
      <c r="L1310" t="str">
        <f>IF(AND(CallLog[[#This Row],[Answered (Y/N)]]="Y", CallLog[[#This Row],[Speed of answer in seconds]]&lt;=20),
    "Within",
    "Breach")</f>
        <v>Breach</v>
      </c>
      <c r="M1310" s="1">
        <v>2.7083333333333334E-3</v>
      </c>
      <c r="N1310">
        <v>4</v>
      </c>
    </row>
    <row r="1311" spans="1:14" x14ac:dyDescent="0.3">
      <c r="A1311" t="s">
        <v>1358</v>
      </c>
      <c r="B1311" t="s">
        <v>22</v>
      </c>
      <c r="C1311" t="s">
        <v>1333</v>
      </c>
      <c r="D1311" s="1">
        <v>0.48799768518518516</v>
      </c>
      <c r="E1311" s="2">
        <f>CallLog[[#This Row],[Date]]+CallLog[[#This Row],[Time]]</f>
        <v>44220.487997685188</v>
      </c>
      <c r="F1311" s="1" t="str">
        <f>TEXT(CallLog[[#This Row],[Date]],"dddd")</f>
        <v>Sunday</v>
      </c>
      <c r="G1311" s="3">
        <f>HOUR(CallLog[[#This Row],[Time]])</f>
        <v>11</v>
      </c>
      <c r="H1311" t="s">
        <v>13</v>
      </c>
      <c r="I1311" t="s">
        <v>14</v>
      </c>
      <c r="J1311" t="s">
        <v>14</v>
      </c>
      <c r="K1311">
        <v>81</v>
      </c>
      <c r="L1311" t="str">
        <f>IF(AND(CallLog[[#This Row],[Answered (Y/N)]]="Y", CallLog[[#This Row],[Speed of answer in seconds]]&lt;=20),
    "Within",
    "Breach")</f>
        <v>Breach</v>
      </c>
      <c r="M1311" s="1">
        <v>4.386574074074074E-3</v>
      </c>
      <c r="N1311">
        <v>3</v>
      </c>
    </row>
    <row r="1312" spans="1:14" x14ac:dyDescent="0.3">
      <c r="A1312" t="s">
        <v>1359</v>
      </c>
      <c r="B1312" t="s">
        <v>20</v>
      </c>
      <c r="C1312" t="s">
        <v>1333</v>
      </c>
      <c r="D1312" s="1">
        <v>0.51500000000000001</v>
      </c>
      <c r="E1312" s="2">
        <f>CallLog[[#This Row],[Date]]+CallLog[[#This Row],[Time]]</f>
        <v>44220.514999999999</v>
      </c>
      <c r="F1312" s="1" t="str">
        <f>TEXT(CallLog[[#This Row],[Date]],"dddd")</f>
        <v>Sunday</v>
      </c>
      <c r="G1312" s="3">
        <f>HOUR(CallLog[[#This Row],[Time]])</f>
        <v>12</v>
      </c>
      <c r="H1312" t="s">
        <v>13</v>
      </c>
      <c r="I1312" t="s">
        <v>14</v>
      </c>
      <c r="J1312" t="s">
        <v>14</v>
      </c>
      <c r="K1312">
        <v>112</v>
      </c>
      <c r="L1312" t="str">
        <f>IF(AND(CallLog[[#This Row],[Answered (Y/N)]]="Y", CallLog[[#This Row],[Speed of answer in seconds]]&lt;=20),
    "Within",
    "Breach")</f>
        <v>Breach</v>
      </c>
      <c r="M1312" s="1">
        <v>2.5810185185185185E-3</v>
      </c>
      <c r="N1312">
        <v>3</v>
      </c>
    </row>
    <row r="1313" spans="1:14" x14ac:dyDescent="0.3">
      <c r="A1313" t="s">
        <v>1360</v>
      </c>
      <c r="B1313" t="s">
        <v>11</v>
      </c>
      <c r="C1313" t="s">
        <v>1333</v>
      </c>
      <c r="D1313" s="1">
        <v>0.51500000000000001</v>
      </c>
      <c r="E1313" s="2">
        <f>CallLog[[#This Row],[Date]]+CallLog[[#This Row],[Time]]</f>
        <v>44220.514999999999</v>
      </c>
      <c r="F1313" s="1" t="str">
        <f>TEXT(CallLog[[#This Row],[Date]],"dddd")</f>
        <v>Sunday</v>
      </c>
      <c r="G1313" s="3">
        <f>HOUR(CallLog[[#This Row],[Time]])</f>
        <v>12</v>
      </c>
      <c r="H1313" t="s">
        <v>32</v>
      </c>
      <c r="I1313" t="s">
        <v>14</v>
      </c>
      <c r="J1313" t="s">
        <v>14</v>
      </c>
      <c r="K1313">
        <v>58</v>
      </c>
      <c r="L1313" t="str">
        <f>IF(AND(CallLog[[#This Row],[Answered (Y/N)]]="Y", CallLog[[#This Row],[Speed of answer in seconds]]&lt;=20),
    "Within",
    "Breach")</f>
        <v>Breach</v>
      </c>
      <c r="M1313" s="1">
        <v>2.9976851851851853E-3</v>
      </c>
      <c r="N1313">
        <v>4</v>
      </c>
    </row>
    <row r="1314" spans="1:14" x14ac:dyDescent="0.3">
      <c r="A1314" t="s">
        <v>1361</v>
      </c>
      <c r="B1314" t="s">
        <v>31</v>
      </c>
      <c r="C1314" t="s">
        <v>1333</v>
      </c>
      <c r="D1314" s="1">
        <v>0.51799768518518519</v>
      </c>
      <c r="E1314" s="2">
        <f>CallLog[[#This Row],[Date]]+CallLog[[#This Row],[Time]]</f>
        <v>44220.517997685187</v>
      </c>
      <c r="F1314" s="1" t="str">
        <f>TEXT(CallLog[[#This Row],[Date]],"dddd")</f>
        <v>Sunday</v>
      </c>
      <c r="G1314" s="3">
        <f>HOUR(CallLog[[#This Row],[Time]])</f>
        <v>12</v>
      </c>
      <c r="H1314" t="s">
        <v>32</v>
      </c>
      <c r="I1314" t="s">
        <v>14</v>
      </c>
      <c r="J1314" t="s">
        <v>18</v>
      </c>
      <c r="K1314">
        <v>61</v>
      </c>
      <c r="L1314" t="str">
        <f>IF(AND(CallLog[[#This Row],[Answered (Y/N)]]="Y", CallLog[[#This Row],[Speed of answer in seconds]]&lt;=20),
    "Within",
    "Breach")</f>
        <v>Breach</v>
      </c>
      <c r="M1314" s="1">
        <v>4.861111111111111E-4</v>
      </c>
      <c r="N1314">
        <v>5</v>
      </c>
    </row>
    <row r="1315" spans="1:14" x14ac:dyDescent="0.3">
      <c r="A1315" t="s">
        <v>1362</v>
      </c>
      <c r="B1315" t="s">
        <v>16</v>
      </c>
      <c r="C1315" t="s">
        <v>1333</v>
      </c>
      <c r="D1315" s="1">
        <v>0.51799768518518519</v>
      </c>
      <c r="E1315" s="2">
        <f>CallLog[[#This Row],[Date]]+CallLog[[#This Row],[Time]]</f>
        <v>44220.517997685187</v>
      </c>
      <c r="F1315" s="1" t="str">
        <f>TEXT(CallLog[[#This Row],[Date]],"dddd")</f>
        <v>Sunday</v>
      </c>
      <c r="G1315" s="3">
        <f>HOUR(CallLog[[#This Row],[Time]])</f>
        <v>12</v>
      </c>
      <c r="H1315" t="s">
        <v>24</v>
      </c>
      <c r="I1315" t="s">
        <v>14</v>
      </c>
      <c r="J1315" t="s">
        <v>14</v>
      </c>
      <c r="K1315">
        <v>51</v>
      </c>
      <c r="L1315" t="str">
        <f>IF(AND(CallLog[[#This Row],[Answered (Y/N)]]="Y", CallLog[[#This Row],[Speed of answer in seconds]]&lt;=20),
    "Within",
    "Breach")</f>
        <v>Breach</v>
      </c>
      <c r="M1315" s="1">
        <v>4.6759259259259263E-3</v>
      </c>
      <c r="N1315">
        <v>3</v>
      </c>
    </row>
    <row r="1316" spans="1:14" x14ac:dyDescent="0.3">
      <c r="A1316" t="s">
        <v>1363</v>
      </c>
      <c r="B1316" t="s">
        <v>31</v>
      </c>
      <c r="C1316" t="s">
        <v>1333</v>
      </c>
      <c r="D1316" s="1">
        <v>0.54200231481481487</v>
      </c>
      <c r="E1316" s="2">
        <f>CallLog[[#This Row],[Date]]+CallLog[[#This Row],[Time]]</f>
        <v>44220.542002314818</v>
      </c>
      <c r="F1316" s="1" t="str">
        <f>TEXT(CallLog[[#This Row],[Date]],"dddd")</f>
        <v>Sunday</v>
      </c>
      <c r="G1316" s="3">
        <f>HOUR(CallLog[[#This Row],[Time]])</f>
        <v>13</v>
      </c>
      <c r="H1316" t="s">
        <v>32</v>
      </c>
      <c r="I1316" t="s">
        <v>14</v>
      </c>
      <c r="J1316" t="s">
        <v>14</v>
      </c>
      <c r="K1316">
        <v>102</v>
      </c>
      <c r="L1316" t="str">
        <f>IF(AND(CallLog[[#This Row],[Answered (Y/N)]]="Y", CallLog[[#This Row],[Speed of answer in seconds]]&lt;=20),
    "Within",
    "Breach")</f>
        <v>Breach</v>
      </c>
      <c r="M1316" s="1">
        <v>2.7662037037037039E-3</v>
      </c>
      <c r="N1316">
        <v>4</v>
      </c>
    </row>
    <row r="1317" spans="1:14" x14ac:dyDescent="0.3">
      <c r="A1317" t="s">
        <v>1364</v>
      </c>
      <c r="B1317" t="s">
        <v>34</v>
      </c>
      <c r="C1317" t="s">
        <v>1333</v>
      </c>
      <c r="D1317" s="1">
        <v>0.54200231481481487</v>
      </c>
      <c r="E1317" s="2">
        <f>CallLog[[#This Row],[Date]]+CallLog[[#This Row],[Time]]</f>
        <v>44220.542002314818</v>
      </c>
      <c r="F1317" s="1" t="str">
        <f>TEXT(CallLog[[#This Row],[Date]],"dddd")</f>
        <v>Sunday</v>
      </c>
      <c r="G1317" s="3">
        <f>HOUR(CallLog[[#This Row],[Time]])</f>
        <v>13</v>
      </c>
      <c r="H1317" t="s">
        <v>24</v>
      </c>
      <c r="I1317" t="s">
        <v>14</v>
      </c>
      <c r="J1317" t="s">
        <v>14</v>
      </c>
      <c r="K1317">
        <v>19</v>
      </c>
      <c r="L1317" t="str">
        <f>IF(AND(CallLog[[#This Row],[Answered (Y/N)]]="Y", CallLog[[#This Row],[Speed of answer in seconds]]&lt;=20),
    "Within",
    "Breach")</f>
        <v>Within</v>
      </c>
      <c r="M1317" s="1">
        <v>3.9699074074074072E-3</v>
      </c>
      <c r="N1317">
        <v>4</v>
      </c>
    </row>
    <row r="1318" spans="1:14" x14ac:dyDescent="0.3">
      <c r="A1318" t="s">
        <v>1365</v>
      </c>
      <c r="B1318" t="s">
        <v>47</v>
      </c>
      <c r="C1318" t="s">
        <v>1333</v>
      </c>
      <c r="D1318" s="1">
        <v>0.55099537037037039</v>
      </c>
      <c r="E1318" s="2">
        <f>CallLog[[#This Row],[Date]]+CallLog[[#This Row],[Time]]</f>
        <v>44220.550995370373</v>
      </c>
      <c r="F1318" s="1" t="str">
        <f>TEXT(CallLog[[#This Row],[Date]],"dddd")</f>
        <v>Sunday</v>
      </c>
      <c r="G1318" s="3">
        <f>HOUR(CallLog[[#This Row],[Time]])</f>
        <v>13</v>
      </c>
      <c r="H1318" t="s">
        <v>32</v>
      </c>
      <c r="I1318" t="s">
        <v>14</v>
      </c>
      <c r="J1318" t="s">
        <v>14</v>
      </c>
      <c r="K1318">
        <v>33</v>
      </c>
      <c r="L1318" t="str">
        <f>IF(AND(CallLog[[#This Row],[Answered (Y/N)]]="Y", CallLog[[#This Row],[Speed of answer in seconds]]&lt;=20),
    "Within",
    "Breach")</f>
        <v>Breach</v>
      </c>
      <c r="M1318" s="1">
        <v>2.1527777777777778E-3</v>
      </c>
      <c r="N1318">
        <v>2</v>
      </c>
    </row>
    <row r="1319" spans="1:14" x14ac:dyDescent="0.3">
      <c r="A1319" t="s">
        <v>1366</v>
      </c>
      <c r="B1319" t="s">
        <v>34</v>
      </c>
      <c r="C1319" t="s">
        <v>1333</v>
      </c>
      <c r="D1319" s="1">
        <v>0.55099537037037039</v>
      </c>
      <c r="E1319" s="2">
        <f>CallLog[[#This Row],[Date]]+CallLog[[#This Row],[Time]]</f>
        <v>44220.550995370373</v>
      </c>
      <c r="F1319" s="1" t="str">
        <f>TEXT(CallLog[[#This Row],[Date]],"dddd")</f>
        <v>Sunday</v>
      </c>
      <c r="G1319" s="3">
        <f>HOUR(CallLog[[#This Row],[Time]])</f>
        <v>13</v>
      </c>
      <c r="H1319" t="s">
        <v>17</v>
      </c>
      <c r="I1319" t="s">
        <v>14</v>
      </c>
      <c r="J1319" t="s">
        <v>14</v>
      </c>
      <c r="K1319">
        <v>113</v>
      </c>
      <c r="L1319" t="str">
        <f>IF(AND(CallLog[[#This Row],[Answered (Y/N)]]="Y", CallLog[[#This Row],[Speed of answer in seconds]]&lt;=20),
    "Within",
    "Breach")</f>
        <v>Breach</v>
      </c>
      <c r="M1319" s="1">
        <v>4.2129629629629626E-3</v>
      </c>
      <c r="N1319">
        <v>3</v>
      </c>
    </row>
    <row r="1320" spans="1:14" x14ac:dyDescent="0.3">
      <c r="A1320" t="s">
        <v>1367</v>
      </c>
      <c r="B1320" t="s">
        <v>11</v>
      </c>
      <c r="C1320" t="s">
        <v>1333</v>
      </c>
      <c r="D1320" s="1">
        <v>0.59400462962962963</v>
      </c>
      <c r="E1320" s="2">
        <f>CallLog[[#This Row],[Date]]+CallLog[[#This Row],[Time]]</f>
        <v>44220.594004629631</v>
      </c>
      <c r="F1320" s="1" t="str">
        <f>TEXT(CallLog[[#This Row],[Date]],"dddd")</f>
        <v>Sunday</v>
      </c>
      <c r="G1320" s="3">
        <f>HOUR(CallLog[[#This Row],[Time]])</f>
        <v>14</v>
      </c>
      <c r="H1320" t="s">
        <v>17</v>
      </c>
      <c r="I1320" t="s">
        <v>14</v>
      </c>
      <c r="J1320" t="s">
        <v>14</v>
      </c>
      <c r="K1320">
        <v>28</v>
      </c>
      <c r="L1320" t="str">
        <f>IF(AND(CallLog[[#This Row],[Answered (Y/N)]]="Y", CallLog[[#This Row],[Speed of answer in seconds]]&lt;=20),
    "Within",
    "Breach")</f>
        <v>Breach</v>
      </c>
      <c r="M1320" s="1">
        <v>2.662037037037037E-3</v>
      </c>
      <c r="N1320">
        <v>5</v>
      </c>
    </row>
    <row r="1321" spans="1:14" x14ac:dyDescent="0.3">
      <c r="A1321" t="s">
        <v>1368</v>
      </c>
      <c r="B1321" t="s">
        <v>47</v>
      </c>
      <c r="C1321" t="s">
        <v>1333</v>
      </c>
      <c r="D1321" s="1">
        <v>0.59400462962962963</v>
      </c>
      <c r="E1321" s="2">
        <f>CallLog[[#This Row],[Date]]+CallLog[[#This Row],[Time]]</f>
        <v>44220.594004629631</v>
      </c>
      <c r="F1321" s="1" t="str">
        <f>TEXT(CallLog[[#This Row],[Date]],"dddd")</f>
        <v>Sunday</v>
      </c>
      <c r="G1321" s="3">
        <f>HOUR(CallLog[[#This Row],[Time]])</f>
        <v>14</v>
      </c>
      <c r="H1321" t="s">
        <v>17</v>
      </c>
      <c r="I1321" t="s">
        <v>14</v>
      </c>
      <c r="J1321" t="s">
        <v>14</v>
      </c>
      <c r="K1321">
        <v>46</v>
      </c>
      <c r="L1321" t="str">
        <f>IF(AND(CallLog[[#This Row],[Answered (Y/N)]]="Y", CallLog[[#This Row],[Speed of answer in seconds]]&lt;=20),
    "Within",
    "Breach")</f>
        <v>Breach</v>
      </c>
      <c r="M1321" s="1">
        <v>3.2754629629629631E-3</v>
      </c>
      <c r="N1321">
        <v>1</v>
      </c>
    </row>
    <row r="1322" spans="1:14" x14ac:dyDescent="0.3">
      <c r="A1322" t="s">
        <v>1369</v>
      </c>
      <c r="B1322" t="s">
        <v>34</v>
      </c>
      <c r="C1322" t="s">
        <v>1333</v>
      </c>
      <c r="D1322" s="1">
        <v>0.61499999999999999</v>
      </c>
      <c r="E1322" s="2">
        <f>CallLog[[#This Row],[Date]]+CallLog[[#This Row],[Time]]</f>
        <v>44220.614999999998</v>
      </c>
      <c r="F1322" s="1" t="str">
        <f>TEXT(CallLog[[#This Row],[Date]],"dddd")</f>
        <v>Sunday</v>
      </c>
      <c r="G1322" s="3">
        <f>HOUR(CallLog[[#This Row],[Time]])</f>
        <v>14</v>
      </c>
      <c r="H1322" t="s">
        <v>17</v>
      </c>
      <c r="I1322" t="s">
        <v>14</v>
      </c>
      <c r="J1322" t="s">
        <v>14</v>
      </c>
      <c r="K1322">
        <v>76</v>
      </c>
      <c r="L1322" t="str">
        <f>IF(AND(CallLog[[#This Row],[Answered (Y/N)]]="Y", CallLog[[#This Row],[Speed of answer in seconds]]&lt;=20),
    "Within",
    "Breach")</f>
        <v>Breach</v>
      </c>
      <c r="M1322" s="1">
        <v>7.9861111111111116E-4</v>
      </c>
      <c r="N1322">
        <v>3</v>
      </c>
    </row>
    <row r="1323" spans="1:14" x14ac:dyDescent="0.3">
      <c r="A1323" t="s">
        <v>1370</v>
      </c>
      <c r="B1323" t="s">
        <v>11</v>
      </c>
      <c r="C1323" t="s">
        <v>1333</v>
      </c>
      <c r="D1323" s="1">
        <v>0.61499999999999999</v>
      </c>
      <c r="E1323" s="2">
        <f>CallLog[[#This Row],[Date]]+CallLog[[#This Row],[Time]]</f>
        <v>44220.614999999998</v>
      </c>
      <c r="F1323" s="1" t="str">
        <f>TEXT(CallLog[[#This Row],[Date]],"dddd")</f>
        <v>Sunday</v>
      </c>
      <c r="G1323" s="3">
        <f>HOUR(CallLog[[#This Row],[Time]])</f>
        <v>14</v>
      </c>
      <c r="H1323" t="s">
        <v>17</v>
      </c>
      <c r="I1323" t="s">
        <v>14</v>
      </c>
      <c r="J1323" t="s">
        <v>14</v>
      </c>
      <c r="K1323">
        <v>124</v>
      </c>
      <c r="L1323" t="str">
        <f>IF(AND(CallLog[[#This Row],[Answered (Y/N)]]="Y", CallLog[[#This Row],[Speed of answer in seconds]]&lt;=20),
    "Within",
    "Breach")</f>
        <v>Breach</v>
      </c>
      <c r="M1323" s="1">
        <v>2.1875000000000002E-3</v>
      </c>
      <c r="N1323">
        <v>2</v>
      </c>
    </row>
    <row r="1324" spans="1:14" x14ac:dyDescent="0.3">
      <c r="A1324" t="s">
        <v>1371</v>
      </c>
      <c r="B1324" t="s">
        <v>38</v>
      </c>
      <c r="C1324" t="s">
        <v>1333</v>
      </c>
      <c r="D1324" s="1">
        <v>0.61599537037037033</v>
      </c>
      <c r="E1324" s="2">
        <f>CallLog[[#This Row],[Date]]+CallLog[[#This Row],[Time]]</f>
        <v>44220.615995370368</v>
      </c>
      <c r="F1324" s="1" t="str">
        <f>TEXT(CallLog[[#This Row],[Date]],"dddd")</f>
        <v>Sunday</v>
      </c>
      <c r="G1324" s="3">
        <f>HOUR(CallLog[[#This Row],[Time]])</f>
        <v>14</v>
      </c>
      <c r="H1324" t="s">
        <v>17</v>
      </c>
      <c r="I1324" t="s">
        <v>14</v>
      </c>
      <c r="J1324" t="s">
        <v>14</v>
      </c>
      <c r="K1324">
        <v>96</v>
      </c>
      <c r="L1324" t="str">
        <f>IF(AND(CallLog[[#This Row],[Answered (Y/N)]]="Y", CallLog[[#This Row],[Speed of answer in seconds]]&lt;=20),
    "Within",
    "Breach")</f>
        <v>Breach</v>
      </c>
      <c r="M1324" s="1">
        <v>3.1250000000000002E-3</v>
      </c>
      <c r="N1324">
        <v>2</v>
      </c>
    </row>
    <row r="1325" spans="1:14" x14ac:dyDescent="0.3">
      <c r="A1325" t="s">
        <v>1372</v>
      </c>
      <c r="B1325" t="s">
        <v>22</v>
      </c>
      <c r="C1325" t="s">
        <v>1333</v>
      </c>
      <c r="D1325" s="1">
        <v>0.61599537037037033</v>
      </c>
      <c r="E1325" s="2">
        <f>CallLog[[#This Row],[Date]]+CallLog[[#This Row],[Time]]</f>
        <v>44220.615995370368</v>
      </c>
      <c r="F1325" s="1" t="str">
        <f>TEXT(CallLog[[#This Row],[Date]],"dddd")</f>
        <v>Sunday</v>
      </c>
      <c r="G1325" s="3">
        <f>HOUR(CallLog[[#This Row],[Time]])</f>
        <v>14</v>
      </c>
      <c r="H1325" t="s">
        <v>32</v>
      </c>
      <c r="I1325" t="s">
        <v>14</v>
      </c>
      <c r="J1325" t="s">
        <v>18</v>
      </c>
      <c r="K1325">
        <v>110</v>
      </c>
      <c r="L1325" t="str">
        <f>IF(AND(CallLog[[#This Row],[Answered (Y/N)]]="Y", CallLog[[#This Row],[Speed of answer in seconds]]&lt;=20),
    "Within",
    "Breach")</f>
        <v>Breach</v>
      </c>
      <c r="M1325" s="1">
        <v>3.5069444444444445E-3</v>
      </c>
      <c r="N1325">
        <v>5</v>
      </c>
    </row>
    <row r="1326" spans="1:14" x14ac:dyDescent="0.3">
      <c r="A1326" t="s">
        <v>1373</v>
      </c>
      <c r="B1326" t="s">
        <v>47</v>
      </c>
      <c r="C1326" t="s">
        <v>1333</v>
      </c>
      <c r="D1326" s="1">
        <v>0.65900462962962958</v>
      </c>
      <c r="E1326" s="2">
        <f>CallLog[[#This Row],[Date]]+CallLog[[#This Row],[Time]]</f>
        <v>44220.659004629626</v>
      </c>
      <c r="F1326" s="1" t="str">
        <f>TEXT(CallLog[[#This Row],[Date]],"dddd")</f>
        <v>Sunday</v>
      </c>
      <c r="G1326" s="3">
        <f>HOUR(CallLog[[#This Row],[Time]])</f>
        <v>15</v>
      </c>
      <c r="H1326" t="s">
        <v>24</v>
      </c>
      <c r="I1326" t="s">
        <v>14</v>
      </c>
      <c r="J1326" t="s">
        <v>14</v>
      </c>
      <c r="K1326">
        <v>116</v>
      </c>
      <c r="L1326" t="str">
        <f>IF(AND(CallLog[[#This Row],[Answered (Y/N)]]="Y", CallLog[[#This Row],[Speed of answer in seconds]]&lt;=20),
    "Within",
    "Breach")</f>
        <v>Breach</v>
      </c>
      <c r="M1326" s="1">
        <v>2.5347222222222221E-3</v>
      </c>
      <c r="N1326">
        <v>5</v>
      </c>
    </row>
    <row r="1327" spans="1:14" x14ac:dyDescent="0.3">
      <c r="A1327" t="s">
        <v>1374</v>
      </c>
      <c r="B1327" t="s">
        <v>47</v>
      </c>
      <c r="C1327" t="s">
        <v>1333</v>
      </c>
      <c r="D1327" s="1">
        <v>0.65900462962962958</v>
      </c>
      <c r="E1327" s="2">
        <f>CallLog[[#This Row],[Date]]+CallLog[[#This Row],[Time]]</f>
        <v>44220.659004629626</v>
      </c>
      <c r="F1327" s="1" t="str">
        <f>TEXT(CallLog[[#This Row],[Date]],"dddd")</f>
        <v>Sunday</v>
      </c>
      <c r="G1327" s="3">
        <f>HOUR(CallLog[[#This Row],[Time]])</f>
        <v>15</v>
      </c>
      <c r="H1327" t="s">
        <v>24</v>
      </c>
      <c r="I1327" t="s">
        <v>14</v>
      </c>
      <c r="J1327" t="s">
        <v>14</v>
      </c>
      <c r="K1327">
        <v>14</v>
      </c>
      <c r="L1327" t="str">
        <f>IF(AND(CallLog[[#This Row],[Answered (Y/N)]]="Y", CallLog[[#This Row],[Speed of answer in seconds]]&lt;=20),
    "Within",
    "Breach")</f>
        <v>Within</v>
      </c>
      <c r="M1327" s="1">
        <v>4.2939814814814811E-3</v>
      </c>
      <c r="N1327">
        <v>5</v>
      </c>
    </row>
    <row r="1328" spans="1:14" x14ac:dyDescent="0.3">
      <c r="A1328" t="s">
        <v>1375</v>
      </c>
      <c r="B1328" t="s">
        <v>20</v>
      </c>
      <c r="C1328" t="s">
        <v>1333</v>
      </c>
      <c r="D1328" s="1">
        <v>0.66599537037037038</v>
      </c>
      <c r="E1328" s="2">
        <f>CallLog[[#This Row],[Date]]+CallLog[[#This Row],[Time]]</f>
        <v>44220.665995370371</v>
      </c>
      <c r="F1328" s="1" t="str">
        <f>TEXT(CallLog[[#This Row],[Date]],"dddd")</f>
        <v>Sunday</v>
      </c>
      <c r="G1328" s="3">
        <f>HOUR(CallLog[[#This Row],[Time]])</f>
        <v>15</v>
      </c>
      <c r="H1328" t="s">
        <v>29</v>
      </c>
      <c r="I1328" t="s">
        <v>14</v>
      </c>
      <c r="J1328" t="s">
        <v>14</v>
      </c>
      <c r="K1328">
        <v>53</v>
      </c>
      <c r="L1328" t="str">
        <f>IF(AND(CallLog[[#This Row],[Answered (Y/N)]]="Y", CallLog[[#This Row],[Speed of answer in seconds]]&lt;=20),
    "Within",
    "Breach")</f>
        <v>Breach</v>
      </c>
      <c r="M1328" s="1">
        <v>4.178240740740741E-3</v>
      </c>
      <c r="N1328">
        <v>4</v>
      </c>
    </row>
    <row r="1329" spans="1:14" x14ac:dyDescent="0.3">
      <c r="A1329" t="s">
        <v>1376</v>
      </c>
      <c r="B1329" t="s">
        <v>34</v>
      </c>
      <c r="C1329" t="s">
        <v>1333</v>
      </c>
      <c r="D1329" s="1">
        <v>0.66599537037037038</v>
      </c>
      <c r="E1329" s="2">
        <f>CallLog[[#This Row],[Date]]+CallLog[[#This Row],[Time]]</f>
        <v>44220.665995370371</v>
      </c>
      <c r="F1329" s="1" t="str">
        <f>TEXT(CallLog[[#This Row],[Date]],"dddd")</f>
        <v>Sunday</v>
      </c>
      <c r="G1329" s="3">
        <f>HOUR(CallLog[[#This Row],[Time]])</f>
        <v>15</v>
      </c>
      <c r="H1329" t="s">
        <v>32</v>
      </c>
      <c r="I1329" t="s">
        <v>14</v>
      </c>
      <c r="J1329" t="s">
        <v>14</v>
      </c>
      <c r="K1329">
        <v>37</v>
      </c>
      <c r="L1329" t="str">
        <f>IF(AND(CallLog[[#This Row],[Answered (Y/N)]]="Y", CallLog[[#This Row],[Speed of answer in seconds]]&lt;=20),
    "Within",
    "Breach")</f>
        <v>Breach</v>
      </c>
      <c r="M1329" s="1">
        <v>3.3449074074074076E-3</v>
      </c>
      <c r="N1329">
        <v>2</v>
      </c>
    </row>
    <row r="1330" spans="1:14" x14ac:dyDescent="0.3">
      <c r="A1330" t="s">
        <v>1377</v>
      </c>
      <c r="B1330" t="s">
        <v>22</v>
      </c>
      <c r="C1330" t="s">
        <v>1333</v>
      </c>
      <c r="D1330" s="1">
        <v>0.66799768518518521</v>
      </c>
      <c r="E1330" s="2">
        <f>CallLog[[#This Row],[Date]]+CallLog[[#This Row],[Time]]</f>
        <v>44220.667997685188</v>
      </c>
      <c r="F1330" s="1" t="str">
        <f>TEXT(CallLog[[#This Row],[Date]],"dddd")</f>
        <v>Sunday</v>
      </c>
      <c r="G1330" s="3">
        <f>HOUR(CallLog[[#This Row],[Time]])</f>
        <v>16</v>
      </c>
      <c r="H1330" t="s">
        <v>29</v>
      </c>
      <c r="I1330" t="s">
        <v>14</v>
      </c>
      <c r="J1330" t="s">
        <v>14</v>
      </c>
      <c r="K1330">
        <v>68</v>
      </c>
      <c r="L1330" t="str">
        <f>IF(AND(CallLog[[#This Row],[Answered (Y/N)]]="Y", CallLog[[#This Row],[Speed of answer in seconds]]&lt;=20),
    "Within",
    "Breach")</f>
        <v>Breach</v>
      </c>
      <c r="M1330" s="1">
        <v>4.9768518518518521E-4</v>
      </c>
      <c r="N1330">
        <v>1</v>
      </c>
    </row>
    <row r="1331" spans="1:14" x14ac:dyDescent="0.3">
      <c r="A1331" t="s">
        <v>1378</v>
      </c>
      <c r="B1331" t="s">
        <v>22</v>
      </c>
      <c r="C1331" t="s">
        <v>1333</v>
      </c>
      <c r="D1331" s="1">
        <v>0.66799768518518521</v>
      </c>
      <c r="E1331" s="2">
        <f>CallLog[[#This Row],[Date]]+CallLog[[#This Row],[Time]]</f>
        <v>44220.667997685188</v>
      </c>
      <c r="F1331" s="1" t="str">
        <f>TEXT(CallLog[[#This Row],[Date]],"dddd")</f>
        <v>Sunday</v>
      </c>
      <c r="G1331" s="3">
        <f>HOUR(CallLog[[#This Row],[Time]])</f>
        <v>16</v>
      </c>
      <c r="H1331" t="s">
        <v>32</v>
      </c>
      <c r="I1331" t="s">
        <v>14</v>
      </c>
      <c r="J1331" t="s">
        <v>14</v>
      </c>
      <c r="K1331">
        <v>43</v>
      </c>
      <c r="L1331" t="str">
        <f>IF(AND(CallLog[[#This Row],[Answered (Y/N)]]="Y", CallLog[[#This Row],[Speed of answer in seconds]]&lt;=20),
    "Within",
    "Breach")</f>
        <v>Breach</v>
      </c>
      <c r="M1331" s="1">
        <v>2.1990740740740742E-3</v>
      </c>
      <c r="N1331">
        <v>3</v>
      </c>
    </row>
    <row r="1332" spans="1:14" x14ac:dyDescent="0.3">
      <c r="A1332" t="s">
        <v>1379</v>
      </c>
      <c r="B1332" t="s">
        <v>22</v>
      </c>
      <c r="C1332" t="s">
        <v>1333</v>
      </c>
      <c r="D1332" s="1">
        <v>0.69799768518518523</v>
      </c>
      <c r="E1332" s="2">
        <f>CallLog[[#This Row],[Date]]+CallLog[[#This Row],[Time]]</f>
        <v>44220.697997685187</v>
      </c>
      <c r="F1332" s="1" t="str">
        <f>TEXT(CallLog[[#This Row],[Date]],"dddd")</f>
        <v>Sunday</v>
      </c>
      <c r="G1332" s="3">
        <f>HOUR(CallLog[[#This Row],[Time]])</f>
        <v>16</v>
      </c>
      <c r="H1332" t="s">
        <v>17</v>
      </c>
      <c r="I1332" t="s">
        <v>14</v>
      </c>
      <c r="J1332" t="s">
        <v>14</v>
      </c>
      <c r="K1332">
        <v>19</v>
      </c>
      <c r="L1332" t="str">
        <f>IF(AND(CallLog[[#This Row],[Answered (Y/N)]]="Y", CallLog[[#This Row],[Speed of answer in seconds]]&lt;=20),
    "Within",
    "Breach")</f>
        <v>Within</v>
      </c>
      <c r="M1332" s="1">
        <v>1.6319444444444445E-3</v>
      </c>
      <c r="N1332">
        <v>3</v>
      </c>
    </row>
    <row r="1333" spans="1:14" x14ac:dyDescent="0.3">
      <c r="A1333" t="s">
        <v>1380</v>
      </c>
      <c r="B1333" t="s">
        <v>20</v>
      </c>
      <c r="C1333" t="s">
        <v>1333</v>
      </c>
      <c r="D1333" s="1">
        <v>0.69799768518518523</v>
      </c>
      <c r="E1333" s="2">
        <f>CallLog[[#This Row],[Date]]+CallLog[[#This Row],[Time]]</f>
        <v>44220.697997685187</v>
      </c>
      <c r="F1333" s="1" t="str">
        <f>TEXT(CallLog[[#This Row],[Date]],"dddd")</f>
        <v>Sunday</v>
      </c>
      <c r="G1333" s="3">
        <f>HOUR(CallLog[[#This Row],[Time]])</f>
        <v>16</v>
      </c>
      <c r="H1333" t="s">
        <v>17</v>
      </c>
      <c r="I1333" t="s">
        <v>14</v>
      </c>
      <c r="J1333" t="s">
        <v>14</v>
      </c>
      <c r="K1333">
        <v>47</v>
      </c>
      <c r="L1333" t="str">
        <f>IF(AND(CallLog[[#This Row],[Answered (Y/N)]]="Y", CallLog[[#This Row],[Speed of answer in seconds]]&lt;=20),
    "Within",
    "Breach")</f>
        <v>Breach</v>
      </c>
      <c r="M1333" s="1">
        <v>3.0787037037037037E-3</v>
      </c>
      <c r="N1333">
        <v>3</v>
      </c>
    </row>
    <row r="1334" spans="1:14" x14ac:dyDescent="0.3">
      <c r="A1334" t="s">
        <v>1381</v>
      </c>
      <c r="B1334" t="s">
        <v>16</v>
      </c>
      <c r="C1334" t="s">
        <v>1333</v>
      </c>
      <c r="D1334" s="1">
        <v>0.72</v>
      </c>
      <c r="E1334" s="2">
        <f>CallLog[[#This Row],[Date]]+CallLog[[#This Row],[Time]]</f>
        <v>44220.72</v>
      </c>
      <c r="F1334" s="1" t="str">
        <f>TEXT(CallLog[[#This Row],[Date]],"dddd")</f>
        <v>Sunday</v>
      </c>
      <c r="G1334" s="3">
        <f>HOUR(CallLog[[#This Row],[Time]])</f>
        <v>17</v>
      </c>
      <c r="H1334" t="s">
        <v>13</v>
      </c>
      <c r="I1334" t="s">
        <v>18</v>
      </c>
      <c r="J1334" t="s">
        <v>18</v>
      </c>
      <c r="L1334" t="str">
        <f>IF(AND(CallLog[[#This Row],[Answered (Y/N)]]="Y", CallLog[[#This Row],[Speed of answer in seconds]]&lt;=20),
    "Within",
    "Breach")</f>
        <v>Breach</v>
      </c>
    </row>
    <row r="1335" spans="1:14" x14ac:dyDescent="0.3">
      <c r="A1335" t="s">
        <v>1382</v>
      </c>
      <c r="B1335" t="s">
        <v>22</v>
      </c>
      <c r="C1335" t="s">
        <v>1333</v>
      </c>
      <c r="D1335" s="1">
        <v>0.72</v>
      </c>
      <c r="E1335" s="2">
        <f>CallLog[[#This Row],[Date]]+CallLog[[#This Row],[Time]]</f>
        <v>44220.72</v>
      </c>
      <c r="F1335" s="1" t="str">
        <f>TEXT(CallLog[[#This Row],[Date]],"dddd")</f>
        <v>Sunday</v>
      </c>
      <c r="G1335" s="3">
        <f>HOUR(CallLog[[#This Row],[Time]])</f>
        <v>17</v>
      </c>
      <c r="H1335" t="s">
        <v>24</v>
      </c>
      <c r="I1335" t="s">
        <v>14</v>
      </c>
      <c r="J1335" t="s">
        <v>14</v>
      </c>
      <c r="K1335">
        <v>84</v>
      </c>
      <c r="L1335" t="str">
        <f>IF(AND(CallLog[[#This Row],[Answered (Y/N)]]="Y", CallLog[[#This Row],[Speed of answer in seconds]]&lt;=20),
    "Within",
    "Breach")</f>
        <v>Breach</v>
      </c>
      <c r="M1335" s="1">
        <v>4.409722222222222E-3</v>
      </c>
      <c r="N1335">
        <v>4</v>
      </c>
    </row>
    <row r="1336" spans="1:14" x14ac:dyDescent="0.3">
      <c r="A1336" t="s">
        <v>1383</v>
      </c>
      <c r="B1336" t="s">
        <v>31</v>
      </c>
      <c r="C1336" t="s">
        <v>1333</v>
      </c>
      <c r="D1336" s="1">
        <v>0.72599537037037032</v>
      </c>
      <c r="E1336" s="2">
        <f>CallLog[[#This Row],[Date]]+CallLog[[#This Row],[Time]]</f>
        <v>44220.725995370369</v>
      </c>
      <c r="F1336" s="1" t="str">
        <f>TEXT(CallLog[[#This Row],[Date]],"dddd")</f>
        <v>Sunday</v>
      </c>
      <c r="G1336" s="3">
        <f>HOUR(CallLog[[#This Row],[Time]])</f>
        <v>17</v>
      </c>
      <c r="H1336" t="s">
        <v>24</v>
      </c>
      <c r="I1336" t="s">
        <v>14</v>
      </c>
      <c r="J1336" t="s">
        <v>14</v>
      </c>
      <c r="K1336">
        <v>17</v>
      </c>
      <c r="L1336" t="str">
        <f>IF(AND(CallLog[[#This Row],[Answered (Y/N)]]="Y", CallLog[[#This Row],[Speed of answer in seconds]]&lt;=20),
    "Within",
    "Breach")</f>
        <v>Within</v>
      </c>
      <c r="M1336" s="1">
        <v>1.7939814814814815E-3</v>
      </c>
      <c r="N1336">
        <v>1</v>
      </c>
    </row>
    <row r="1337" spans="1:14" x14ac:dyDescent="0.3">
      <c r="A1337" t="s">
        <v>1384</v>
      </c>
      <c r="B1337" t="s">
        <v>16</v>
      </c>
      <c r="C1337" t="s">
        <v>1333</v>
      </c>
      <c r="D1337" s="1">
        <v>0.72599537037037032</v>
      </c>
      <c r="E1337" s="2">
        <f>CallLog[[#This Row],[Date]]+CallLog[[#This Row],[Time]]</f>
        <v>44220.725995370369</v>
      </c>
      <c r="F1337" s="1" t="str">
        <f>TEXT(CallLog[[#This Row],[Date]],"dddd")</f>
        <v>Sunday</v>
      </c>
      <c r="G1337" s="3">
        <f>HOUR(CallLog[[#This Row],[Time]])</f>
        <v>17</v>
      </c>
      <c r="H1337" t="s">
        <v>24</v>
      </c>
      <c r="I1337" t="s">
        <v>14</v>
      </c>
      <c r="J1337" t="s">
        <v>14</v>
      </c>
      <c r="K1337">
        <v>116</v>
      </c>
      <c r="L1337" t="str">
        <f>IF(AND(CallLog[[#This Row],[Answered (Y/N)]]="Y", CallLog[[#This Row],[Speed of answer in seconds]]&lt;=20),
    "Within",
    "Breach")</f>
        <v>Breach</v>
      </c>
      <c r="M1337" s="1">
        <v>8.9120370370370373E-4</v>
      </c>
      <c r="N1337">
        <v>4</v>
      </c>
    </row>
    <row r="1338" spans="1:14" x14ac:dyDescent="0.3">
      <c r="A1338" t="s">
        <v>1385</v>
      </c>
      <c r="B1338" t="s">
        <v>11</v>
      </c>
      <c r="C1338" t="s">
        <v>1333</v>
      </c>
      <c r="D1338" s="1">
        <v>0.74599537037037034</v>
      </c>
      <c r="E1338" s="2">
        <f>CallLog[[#This Row],[Date]]+CallLog[[#This Row],[Time]]</f>
        <v>44220.745995370373</v>
      </c>
      <c r="F1338" s="1" t="str">
        <f>TEXT(CallLog[[#This Row],[Date]],"dddd")</f>
        <v>Sunday</v>
      </c>
      <c r="G1338" s="3">
        <f>HOUR(CallLog[[#This Row],[Time]])</f>
        <v>17</v>
      </c>
      <c r="H1338" t="s">
        <v>29</v>
      </c>
      <c r="I1338" t="s">
        <v>14</v>
      </c>
      <c r="J1338" t="s">
        <v>14</v>
      </c>
      <c r="K1338">
        <v>22</v>
      </c>
      <c r="L1338" t="str">
        <f>IF(AND(CallLog[[#This Row],[Answered (Y/N)]]="Y", CallLog[[#This Row],[Speed of answer in seconds]]&lt;=20),
    "Within",
    "Breach")</f>
        <v>Breach</v>
      </c>
      <c r="M1338" s="1">
        <v>1.2268518518518518E-3</v>
      </c>
      <c r="N1338">
        <v>4</v>
      </c>
    </row>
    <row r="1339" spans="1:14" x14ac:dyDescent="0.3">
      <c r="A1339" t="s">
        <v>1386</v>
      </c>
      <c r="B1339" t="s">
        <v>31</v>
      </c>
      <c r="C1339" t="s">
        <v>1333</v>
      </c>
      <c r="D1339" s="1">
        <v>0.74599537037037034</v>
      </c>
      <c r="E1339" s="2">
        <f>CallLog[[#This Row],[Date]]+CallLog[[#This Row],[Time]]</f>
        <v>44220.745995370373</v>
      </c>
      <c r="F1339" s="1" t="str">
        <f>TEXT(CallLog[[#This Row],[Date]],"dddd")</f>
        <v>Sunday</v>
      </c>
      <c r="G1339" s="3">
        <f>HOUR(CallLog[[#This Row],[Time]])</f>
        <v>17</v>
      </c>
      <c r="H1339" t="s">
        <v>17</v>
      </c>
      <c r="I1339" t="s">
        <v>14</v>
      </c>
      <c r="J1339" t="s">
        <v>14</v>
      </c>
      <c r="K1339">
        <v>10</v>
      </c>
      <c r="L1339" t="str">
        <f>IF(AND(CallLog[[#This Row],[Answered (Y/N)]]="Y", CallLog[[#This Row],[Speed of answer in seconds]]&lt;=20),
    "Within",
    "Breach")</f>
        <v>Within</v>
      </c>
      <c r="M1339" s="1">
        <v>4.31712962962963E-3</v>
      </c>
      <c r="N1339">
        <v>4</v>
      </c>
    </row>
    <row r="1340" spans="1:14" x14ac:dyDescent="0.3">
      <c r="A1340" t="s">
        <v>1387</v>
      </c>
      <c r="B1340" t="s">
        <v>47</v>
      </c>
      <c r="C1340" t="s">
        <v>1388</v>
      </c>
      <c r="D1340" s="1">
        <v>0.38599537037037035</v>
      </c>
      <c r="E1340" s="2">
        <f>CallLog[[#This Row],[Date]]+CallLog[[#This Row],[Time]]</f>
        <v>44221.385995370372</v>
      </c>
      <c r="F1340" s="1" t="str">
        <f>TEXT(CallLog[[#This Row],[Date]],"dddd")</f>
        <v>Monday</v>
      </c>
      <c r="G1340" s="3">
        <f>HOUR(CallLog[[#This Row],[Time]])</f>
        <v>9</v>
      </c>
      <c r="H1340" t="s">
        <v>32</v>
      </c>
      <c r="I1340" t="s">
        <v>14</v>
      </c>
      <c r="J1340" t="s">
        <v>14</v>
      </c>
      <c r="K1340">
        <v>76</v>
      </c>
      <c r="L1340" t="str">
        <f>IF(AND(CallLog[[#This Row],[Answered (Y/N)]]="Y", CallLog[[#This Row],[Speed of answer in seconds]]&lt;=20),
    "Within",
    "Breach")</f>
        <v>Breach</v>
      </c>
      <c r="M1340" s="1">
        <v>1.0648148148148149E-3</v>
      </c>
      <c r="N1340">
        <v>4</v>
      </c>
    </row>
    <row r="1341" spans="1:14" x14ac:dyDescent="0.3">
      <c r="A1341" t="s">
        <v>1389</v>
      </c>
      <c r="B1341" t="s">
        <v>34</v>
      </c>
      <c r="C1341" t="s">
        <v>1388</v>
      </c>
      <c r="D1341" s="1">
        <v>0.38599537037037035</v>
      </c>
      <c r="E1341" s="2">
        <f>CallLog[[#This Row],[Date]]+CallLog[[#This Row],[Time]]</f>
        <v>44221.385995370372</v>
      </c>
      <c r="F1341" s="1" t="str">
        <f>TEXT(CallLog[[#This Row],[Date]],"dddd")</f>
        <v>Monday</v>
      </c>
      <c r="G1341" s="3">
        <f>HOUR(CallLog[[#This Row],[Time]])</f>
        <v>9</v>
      </c>
      <c r="H1341" t="s">
        <v>24</v>
      </c>
      <c r="I1341" t="s">
        <v>14</v>
      </c>
      <c r="J1341" t="s">
        <v>14</v>
      </c>
      <c r="K1341">
        <v>104</v>
      </c>
      <c r="L1341" t="str">
        <f>IF(AND(CallLog[[#This Row],[Answered (Y/N)]]="Y", CallLog[[#This Row],[Speed of answer in seconds]]&lt;=20),
    "Within",
    "Breach")</f>
        <v>Breach</v>
      </c>
      <c r="M1341" s="1">
        <v>4.5833333333333334E-3</v>
      </c>
      <c r="N1341">
        <v>4</v>
      </c>
    </row>
    <row r="1342" spans="1:14" x14ac:dyDescent="0.3">
      <c r="A1342" t="s">
        <v>1390</v>
      </c>
      <c r="B1342" t="s">
        <v>31</v>
      </c>
      <c r="C1342" t="s">
        <v>1388</v>
      </c>
      <c r="D1342" s="1">
        <v>0.39299768518518519</v>
      </c>
      <c r="E1342" s="2">
        <f>CallLog[[#This Row],[Date]]+CallLog[[#This Row],[Time]]</f>
        <v>44221.392997685187</v>
      </c>
      <c r="F1342" s="1" t="str">
        <f>TEXT(CallLog[[#This Row],[Date]],"dddd")</f>
        <v>Monday</v>
      </c>
      <c r="G1342" s="3">
        <f>HOUR(CallLog[[#This Row],[Time]])</f>
        <v>9</v>
      </c>
      <c r="H1342" t="s">
        <v>32</v>
      </c>
      <c r="I1342" t="s">
        <v>14</v>
      </c>
      <c r="J1342" t="s">
        <v>14</v>
      </c>
      <c r="K1342">
        <v>44</v>
      </c>
      <c r="L1342" t="str">
        <f>IF(AND(CallLog[[#This Row],[Answered (Y/N)]]="Y", CallLog[[#This Row],[Speed of answer in seconds]]&lt;=20),
    "Within",
    "Breach")</f>
        <v>Breach</v>
      </c>
      <c r="M1342" s="1">
        <v>4.7453703703703703E-3</v>
      </c>
      <c r="N1342">
        <v>3</v>
      </c>
    </row>
    <row r="1343" spans="1:14" x14ac:dyDescent="0.3">
      <c r="A1343" t="s">
        <v>1391</v>
      </c>
      <c r="B1343" t="s">
        <v>31</v>
      </c>
      <c r="C1343" t="s">
        <v>1388</v>
      </c>
      <c r="D1343" s="1">
        <v>0.39299768518518519</v>
      </c>
      <c r="E1343" s="2">
        <f>CallLog[[#This Row],[Date]]+CallLog[[#This Row],[Time]]</f>
        <v>44221.392997685187</v>
      </c>
      <c r="F1343" s="1" t="str">
        <f>TEXT(CallLog[[#This Row],[Date]],"dddd")</f>
        <v>Monday</v>
      </c>
      <c r="G1343" s="3">
        <f>HOUR(CallLog[[#This Row],[Time]])</f>
        <v>9</v>
      </c>
      <c r="H1343" t="s">
        <v>29</v>
      </c>
      <c r="I1343" t="s">
        <v>14</v>
      </c>
      <c r="J1343" t="s">
        <v>14</v>
      </c>
      <c r="K1343">
        <v>24</v>
      </c>
      <c r="L1343" t="str">
        <f>IF(AND(CallLog[[#This Row],[Answered (Y/N)]]="Y", CallLog[[#This Row],[Speed of answer in seconds]]&lt;=20),
    "Within",
    "Breach")</f>
        <v>Breach</v>
      </c>
      <c r="M1343" s="1">
        <v>2.5462962962962965E-3</v>
      </c>
      <c r="N1343">
        <v>5</v>
      </c>
    </row>
    <row r="1344" spans="1:14" x14ac:dyDescent="0.3">
      <c r="A1344" t="s">
        <v>1392</v>
      </c>
      <c r="B1344" t="s">
        <v>47</v>
      </c>
      <c r="C1344" t="s">
        <v>1388</v>
      </c>
      <c r="D1344" s="1">
        <v>0.39799768518518519</v>
      </c>
      <c r="E1344" s="2">
        <f>CallLog[[#This Row],[Date]]+CallLog[[#This Row],[Time]]</f>
        <v>44221.397997685184</v>
      </c>
      <c r="F1344" s="1" t="str">
        <f>TEXT(CallLog[[#This Row],[Date]],"dddd")</f>
        <v>Monday</v>
      </c>
      <c r="G1344" s="3">
        <f>HOUR(CallLog[[#This Row],[Time]])</f>
        <v>9</v>
      </c>
      <c r="H1344" t="s">
        <v>17</v>
      </c>
      <c r="I1344" t="s">
        <v>14</v>
      </c>
      <c r="J1344" t="s">
        <v>14</v>
      </c>
      <c r="K1344">
        <v>40</v>
      </c>
      <c r="L1344" t="str">
        <f>IF(AND(CallLog[[#This Row],[Answered (Y/N)]]="Y", CallLog[[#This Row],[Speed of answer in seconds]]&lt;=20),
    "Within",
    "Breach")</f>
        <v>Breach</v>
      </c>
      <c r="M1344" s="1">
        <v>4.8263888888888887E-3</v>
      </c>
      <c r="N1344">
        <v>3</v>
      </c>
    </row>
    <row r="1345" spans="1:14" x14ac:dyDescent="0.3">
      <c r="A1345" t="s">
        <v>1393</v>
      </c>
      <c r="B1345" t="s">
        <v>16</v>
      </c>
      <c r="C1345" t="s">
        <v>1388</v>
      </c>
      <c r="D1345" s="1">
        <v>0.39799768518518519</v>
      </c>
      <c r="E1345" s="2">
        <f>CallLog[[#This Row],[Date]]+CallLog[[#This Row],[Time]]</f>
        <v>44221.397997685184</v>
      </c>
      <c r="F1345" s="1" t="str">
        <f>TEXT(CallLog[[#This Row],[Date]],"dddd")</f>
        <v>Monday</v>
      </c>
      <c r="G1345" s="3">
        <f>HOUR(CallLog[[#This Row],[Time]])</f>
        <v>9</v>
      </c>
      <c r="H1345" t="s">
        <v>24</v>
      </c>
      <c r="I1345" t="s">
        <v>14</v>
      </c>
      <c r="J1345" t="s">
        <v>14</v>
      </c>
      <c r="K1345">
        <v>57</v>
      </c>
      <c r="L1345" t="str">
        <f>IF(AND(CallLog[[#This Row],[Answered (Y/N)]]="Y", CallLog[[#This Row],[Speed of answer in seconds]]&lt;=20),
    "Within",
    "Breach")</f>
        <v>Breach</v>
      </c>
      <c r="M1345" s="1">
        <v>3.9930555555555552E-3</v>
      </c>
      <c r="N1345">
        <v>4</v>
      </c>
    </row>
    <row r="1346" spans="1:14" x14ac:dyDescent="0.3">
      <c r="A1346" t="s">
        <v>1394</v>
      </c>
      <c r="B1346" t="s">
        <v>20</v>
      </c>
      <c r="C1346" t="s">
        <v>1388</v>
      </c>
      <c r="D1346" s="1">
        <v>0.40099537037037036</v>
      </c>
      <c r="E1346" s="2">
        <f>CallLog[[#This Row],[Date]]+CallLog[[#This Row],[Time]]</f>
        <v>44221.400995370372</v>
      </c>
      <c r="F1346" s="1" t="str">
        <f>TEXT(CallLog[[#This Row],[Date]],"dddd")</f>
        <v>Monday</v>
      </c>
      <c r="G1346" s="3">
        <f>HOUR(CallLog[[#This Row],[Time]])</f>
        <v>9</v>
      </c>
      <c r="H1346" t="s">
        <v>17</v>
      </c>
      <c r="I1346" t="s">
        <v>14</v>
      </c>
      <c r="J1346" t="s">
        <v>14</v>
      </c>
      <c r="K1346">
        <v>19</v>
      </c>
      <c r="L1346" t="str">
        <f>IF(AND(CallLog[[#This Row],[Answered (Y/N)]]="Y", CallLog[[#This Row],[Speed of answer in seconds]]&lt;=20),
    "Within",
    "Breach")</f>
        <v>Within</v>
      </c>
      <c r="M1346" s="1">
        <v>4.43287037037037E-3</v>
      </c>
      <c r="N1346">
        <v>3</v>
      </c>
    </row>
    <row r="1347" spans="1:14" x14ac:dyDescent="0.3">
      <c r="A1347" t="s">
        <v>1395</v>
      </c>
      <c r="B1347" t="s">
        <v>38</v>
      </c>
      <c r="C1347" t="s">
        <v>1388</v>
      </c>
      <c r="D1347" s="1">
        <v>0.40099537037037036</v>
      </c>
      <c r="E1347" s="2">
        <f>CallLog[[#This Row],[Date]]+CallLog[[#This Row],[Time]]</f>
        <v>44221.400995370372</v>
      </c>
      <c r="F1347" s="1" t="str">
        <f>TEXT(CallLog[[#This Row],[Date]],"dddd")</f>
        <v>Monday</v>
      </c>
      <c r="G1347" s="3">
        <f>HOUR(CallLog[[#This Row],[Time]])</f>
        <v>9</v>
      </c>
      <c r="H1347" t="s">
        <v>32</v>
      </c>
      <c r="I1347" t="s">
        <v>14</v>
      </c>
      <c r="J1347" t="s">
        <v>14</v>
      </c>
      <c r="K1347">
        <v>55</v>
      </c>
      <c r="L1347" t="str">
        <f>IF(AND(CallLog[[#This Row],[Answered (Y/N)]]="Y", CallLog[[#This Row],[Speed of answer in seconds]]&lt;=20),
    "Within",
    "Breach")</f>
        <v>Breach</v>
      </c>
      <c r="M1347" s="1">
        <v>4.5717592592592589E-3</v>
      </c>
      <c r="N1347">
        <v>3</v>
      </c>
    </row>
    <row r="1348" spans="1:14" x14ac:dyDescent="0.3">
      <c r="A1348" t="s">
        <v>1396</v>
      </c>
      <c r="B1348" t="s">
        <v>38</v>
      </c>
      <c r="C1348" t="s">
        <v>1388</v>
      </c>
      <c r="D1348" s="1">
        <v>0.42400462962962965</v>
      </c>
      <c r="E1348" s="2">
        <f>CallLog[[#This Row],[Date]]+CallLog[[#This Row],[Time]]</f>
        <v>44221.424004629633</v>
      </c>
      <c r="F1348" s="1" t="str">
        <f>TEXT(CallLog[[#This Row],[Date]],"dddd")</f>
        <v>Monday</v>
      </c>
      <c r="G1348" s="3">
        <f>HOUR(CallLog[[#This Row],[Time]])</f>
        <v>10</v>
      </c>
      <c r="H1348" t="s">
        <v>13</v>
      </c>
      <c r="I1348" t="s">
        <v>14</v>
      </c>
      <c r="J1348" t="s">
        <v>14</v>
      </c>
      <c r="K1348">
        <v>102</v>
      </c>
      <c r="L1348" t="str">
        <f>IF(AND(CallLog[[#This Row],[Answered (Y/N)]]="Y", CallLog[[#This Row],[Speed of answer in seconds]]&lt;=20),
    "Within",
    "Breach")</f>
        <v>Breach</v>
      </c>
      <c r="M1348" s="1">
        <v>3.6226851851851854E-3</v>
      </c>
      <c r="N1348">
        <v>5</v>
      </c>
    </row>
    <row r="1349" spans="1:14" x14ac:dyDescent="0.3">
      <c r="A1349" t="s">
        <v>1397</v>
      </c>
      <c r="B1349" t="s">
        <v>34</v>
      </c>
      <c r="C1349" t="s">
        <v>1388</v>
      </c>
      <c r="D1349" s="1">
        <v>0.42400462962962965</v>
      </c>
      <c r="E1349" s="2">
        <f>CallLog[[#This Row],[Date]]+CallLog[[#This Row],[Time]]</f>
        <v>44221.424004629633</v>
      </c>
      <c r="F1349" s="1" t="str">
        <f>TEXT(CallLog[[#This Row],[Date]],"dddd")</f>
        <v>Monday</v>
      </c>
      <c r="G1349" s="3">
        <f>HOUR(CallLog[[#This Row],[Time]])</f>
        <v>10</v>
      </c>
      <c r="H1349" t="s">
        <v>24</v>
      </c>
      <c r="I1349" t="s">
        <v>14</v>
      </c>
      <c r="J1349" t="s">
        <v>18</v>
      </c>
      <c r="K1349">
        <v>123</v>
      </c>
      <c r="L1349" t="str">
        <f>IF(AND(CallLog[[#This Row],[Answered (Y/N)]]="Y", CallLog[[#This Row],[Speed of answer in seconds]]&lt;=20),
    "Within",
    "Breach")</f>
        <v>Breach</v>
      </c>
      <c r="M1349" s="1">
        <v>4.3981481481481481E-4</v>
      </c>
      <c r="N1349">
        <v>3</v>
      </c>
    </row>
    <row r="1350" spans="1:14" x14ac:dyDescent="0.3">
      <c r="A1350" t="s">
        <v>1398</v>
      </c>
      <c r="B1350" t="s">
        <v>11</v>
      </c>
      <c r="C1350" t="s">
        <v>1388</v>
      </c>
      <c r="D1350" s="1">
        <v>0.43599537037037039</v>
      </c>
      <c r="E1350" s="2">
        <f>CallLog[[#This Row],[Date]]+CallLog[[#This Row],[Time]]</f>
        <v>44221.435995370368</v>
      </c>
      <c r="F1350" s="1" t="str">
        <f>TEXT(CallLog[[#This Row],[Date]],"dddd")</f>
        <v>Monday</v>
      </c>
      <c r="G1350" s="3">
        <f>HOUR(CallLog[[#This Row],[Time]])</f>
        <v>10</v>
      </c>
      <c r="H1350" t="s">
        <v>29</v>
      </c>
      <c r="I1350" t="s">
        <v>18</v>
      </c>
      <c r="J1350" t="s">
        <v>18</v>
      </c>
      <c r="L1350" t="str">
        <f>IF(AND(CallLog[[#This Row],[Answered (Y/N)]]="Y", CallLog[[#This Row],[Speed of answer in seconds]]&lt;=20),
    "Within",
    "Breach")</f>
        <v>Breach</v>
      </c>
    </row>
    <row r="1351" spans="1:14" x14ac:dyDescent="0.3">
      <c r="A1351" t="s">
        <v>1399</v>
      </c>
      <c r="B1351" t="s">
        <v>34</v>
      </c>
      <c r="C1351" t="s">
        <v>1388</v>
      </c>
      <c r="D1351" s="1">
        <v>0.43599537037037039</v>
      </c>
      <c r="E1351" s="2">
        <f>CallLog[[#This Row],[Date]]+CallLog[[#This Row],[Time]]</f>
        <v>44221.435995370368</v>
      </c>
      <c r="F1351" s="1" t="str">
        <f>TEXT(CallLog[[#This Row],[Date]],"dddd")</f>
        <v>Monday</v>
      </c>
      <c r="G1351" s="3">
        <f>HOUR(CallLog[[#This Row],[Time]])</f>
        <v>10</v>
      </c>
      <c r="H1351" t="s">
        <v>13</v>
      </c>
      <c r="I1351" t="s">
        <v>18</v>
      </c>
      <c r="J1351" t="s">
        <v>18</v>
      </c>
      <c r="L1351" t="str">
        <f>IF(AND(CallLog[[#This Row],[Answered (Y/N)]]="Y", CallLog[[#This Row],[Speed of answer in seconds]]&lt;=20),
    "Within",
    "Breach")</f>
        <v>Breach</v>
      </c>
    </row>
    <row r="1352" spans="1:14" x14ac:dyDescent="0.3">
      <c r="A1352" t="s">
        <v>1400</v>
      </c>
      <c r="B1352" t="s">
        <v>34</v>
      </c>
      <c r="C1352" t="s">
        <v>1388</v>
      </c>
      <c r="D1352" s="1">
        <v>0.44599537037037035</v>
      </c>
      <c r="E1352" s="2">
        <f>CallLog[[#This Row],[Date]]+CallLog[[#This Row],[Time]]</f>
        <v>44221.44599537037</v>
      </c>
      <c r="F1352" s="1" t="str">
        <f>TEXT(CallLog[[#This Row],[Date]],"dddd")</f>
        <v>Monday</v>
      </c>
      <c r="G1352" s="3">
        <f>HOUR(CallLog[[#This Row],[Time]])</f>
        <v>10</v>
      </c>
      <c r="H1352" t="s">
        <v>32</v>
      </c>
      <c r="I1352" t="s">
        <v>14</v>
      </c>
      <c r="J1352" t="s">
        <v>14</v>
      </c>
      <c r="K1352">
        <v>115</v>
      </c>
      <c r="L1352" t="str">
        <f>IF(AND(CallLog[[#This Row],[Answered (Y/N)]]="Y", CallLog[[#This Row],[Speed of answer in seconds]]&lt;=20),
    "Within",
    "Breach")</f>
        <v>Breach</v>
      </c>
      <c r="M1352" s="1">
        <v>4.1435185185185186E-3</v>
      </c>
      <c r="N1352">
        <v>4</v>
      </c>
    </row>
    <row r="1353" spans="1:14" x14ac:dyDescent="0.3">
      <c r="A1353" t="s">
        <v>1401</v>
      </c>
      <c r="B1353" t="s">
        <v>47</v>
      </c>
      <c r="C1353" t="s">
        <v>1388</v>
      </c>
      <c r="D1353" s="1">
        <v>0.44599537037037035</v>
      </c>
      <c r="E1353" s="2">
        <f>CallLog[[#This Row],[Date]]+CallLog[[#This Row],[Time]]</f>
        <v>44221.44599537037</v>
      </c>
      <c r="F1353" s="1" t="str">
        <f>TEXT(CallLog[[#This Row],[Date]],"dddd")</f>
        <v>Monday</v>
      </c>
      <c r="G1353" s="3">
        <f>HOUR(CallLog[[#This Row],[Time]])</f>
        <v>10</v>
      </c>
      <c r="H1353" t="s">
        <v>17</v>
      </c>
      <c r="I1353" t="s">
        <v>14</v>
      </c>
      <c r="J1353" t="s">
        <v>14</v>
      </c>
      <c r="K1353">
        <v>53</v>
      </c>
      <c r="L1353" t="str">
        <f>IF(AND(CallLog[[#This Row],[Answered (Y/N)]]="Y", CallLog[[#This Row],[Speed of answer in seconds]]&lt;=20),
    "Within",
    "Breach")</f>
        <v>Breach</v>
      </c>
      <c r="M1353" s="1">
        <v>4.2245370370370371E-3</v>
      </c>
      <c r="N1353">
        <v>5</v>
      </c>
    </row>
    <row r="1354" spans="1:14" x14ac:dyDescent="0.3">
      <c r="A1354" t="s">
        <v>1402</v>
      </c>
      <c r="B1354" t="s">
        <v>11</v>
      </c>
      <c r="C1354" t="s">
        <v>1388</v>
      </c>
      <c r="D1354" s="1">
        <v>0.46099537037037036</v>
      </c>
      <c r="E1354" s="2">
        <f>CallLog[[#This Row],[Date]]+CallLog[[#This Row],[Time]]</f>
        <v>44221.460995370369</v>
      </c>
      <c r="F1354" s="1" t="str">
        <f>TEXT(CallLog[[#This Row],[Date]],"dddd")</f>
        <v>Monday</v>
      </c>
      <c r="G1354" s="3">
        <f>HOUR(CallLog[[#This Row],[Time]])</f>
        <v>11</v>
      </c>
      <c r="H1354" t="s">
        <v>17</v>
      </c>
      <c r="I1354" t="s">
        <v>14</v>
      </c>
      <c r="J1354" t="s">
        <v>14</v>
      </c>
      <c r="K1354">
        <v>61</v>
      </c>
      <c r="L1354" t="str">
        <f>IF(AND(CallLog[[#This Row],[Answered (Y/N)]]="Y", CallLog[[#This Row],[Speed of answer in seconds]]&lt;=20),
    "Within",
    "Breach")</f>
        <v>Breach</v>
      </c>
      <c r="M1354" s="1">
        <v>1.4467592592592592E-3</v>
      </c>
      <c r="N1354">
        <v>5</v>
      </c>
    </row>
    <row r="1355" spans="1:14" x14ac:dyDescent="0.3">
      <c r="A1355" t="s">
        <v>1403</v>
      </c>
      <c r="B1355" t="s">
        <v>11</v>
      </c>
      <c r="C1355" t="s">
        <v>1388</v>
      </c>
      <c r="D1355" s="1">
        <v>0.46099537037037036</v>
      </c>
      <c r="E1355" s="2">
        <f>CallLog[[#This Row],[Date]]+CallLog[[#This Row],[Time]]</f>
        <v>44221.460995370369</v>
      </c>
      <c r="F1355" s="1" t="str">
        <f>TEXT(CallLog[[#This Row],[Date]],"dddd")</f>
        <v>Monday</v>
      </c>
      <c r="G1355" s="3">
        <f>HOUR(CallLog[[#This Row],[Time]])</f>
        <v>11</v>
      </c>
      <c r="H1355" t="s">
        <v>17</v>
      </c>
      <c r="I1355" t="s">
        <v>14</v>
      </c>
      <c r="J1355" t="s">
        <v>14</v>
      </c>
      <c r="K1355">
        <v>99</v>
      </c>
      <c r="L1355" t="str">
        <f>IF(AND(CallLog[[#This Row],[Answered (Y/N)]]="Y", CallLog[[#This Row],[Speed of answer in seconds]]&lt;=20),
    "Within",
    "Breach")</f>
        <v>Breach</v>
      </c>
      <c r="M1355" s="1">
        <v>3.8541666666666668E-3</v>
      </c>
      <c r="N1355">
        <v>5</v>
      </c>
    </row>
    <row r="1356" spans="1:14" x14ac:dyDescent="0.3">
      <c r="A1356" t="s">
        <v>1404</v>
      </c>
      <c r="B1356" t="s">
        <v>22</v>
      </c>
      <c r="C1356" t="s">
        <v>1388</v>
      </c>
      <c r="D1356" s="1">
        <v>0.48799768518518516</v>
      </c>
      <c r="E1356" s="2">
        <f>CallLog[[#This Row],[Date]]+CallLog[[#This Row],[Time]]</f>
        <v>44221.487997685188</v>
      </c>
      <c r="F1356" s="1" t="str">
        <f>TEXT(CallLog[[#This Row],[Date]],"dddd")</f>
        <v>Monday</v>
      </c>
      <c r="G1356" s="3">
        <f>HOUR(CallLog[[#This Row],[Time]])</f>
        <v>11</v>
      </c>
      <c r="H1356" t="s">
        <v>29</v>
      </c>
      <c r="I1356" t="s">
        <v>18</v>
      </c>
      <c r="J1356" t="s">
        <v>18</v>
      </c>
      <c r="L1356" t="str">
        <f>IF(AND(CallLog[[#This Row],[Answered (Y/N)]]="Y", CallLog[[#This Row],[Speed of answer in seconds]]&lt;=20),
    "Within",
    "Breach")</f>
        <v>Breach</v>
      </c>
    </row>
    <row r="1357" spans="1:14" x14ac:dyDescent="0.3">
      <c r="A1357" t="s">
        <v>1405</v>
      </c>
      <c r="B1357" t="s">
        <v>22</v>
      </c>
      <c r="C1357" t="s">
        <v>1388</v>
      </c>
      <c r="D1357" s="1">
        <v>0.48799768518518516</v>
      </c>
      <c r="E1357" s="2">
        <f>CallLog[[#This Row],[Date]]+CallLog[[#This Row],[Time]]</f>
        <v>44221.487997685188</v>
      </c>
      <c r="F1357" s="1" t="str">
        <f>TEXT(CallLog[[#This Row],[Date]],"dddd")</f>
        <v>Monday</v>
      </c>
      <c r="G1357" s="3">
        <f>HOUR(CallLog[[#This Row],[Time]])</f>
        <v>11</v>
      </c>
      <c r="H1357" t="s">
        <v>24</v>
      </c>
      <c r="I1357" t="s">
        <v>14</v>
      </c>
      <c r="J1357" t="s">
        <v>18</v>
      </c>
      <c r="K1357">
        <v>57</v>
      </c>
      <c r="L1357" t="str">
        <f>IF(AND(CallLog[[#This Row],[Answered (Y/N)]]="Y", CallLog[[#This Row],[Speed of answer in seconds]]&lt;=20),
    "Within",
    "Breach")</f>
        <v>Breach</v>
      </c>
      <c r="M1357" s="1">
        <v>1.6898148148148148E-3</v>
      </c>
      <c r="N1357">
        <v>3</v>
      </c>
    </row>
    <row r="1358" spans="1:14" x14ac:dyDescent="0.3">
      <c r="A1358" t="s">
        <v>1406</v>
      </c>
      <c r="B1358" t="s">
        <v>11</v>
      </c>
      <c r="C1358" t="s">
        <v>1388</v>
      </c>
      <c r="D1358" s="1">
        <v>0.49200231481481482</v>
      </c>
      <c r="E1358" s="2">
        <f>CallLog[[#This Row],[Date]]+CallLog[[#This Row],[Time]]</f>
        <v>44221.492002314815</v>
      </c>
      <c r="F1358" s="1" t="str">
        <f>TEXT(CallLog[[#This Row],[Date]],"dddd")</f>
        <v>Monday</v>
      </c>
      <c r="G1358" s="3">
        <f>HOUR(CallLog[[#This Row],[Time]])</f>
        <v>11</v>
      </c>
      <c r="H1358" t="s">
        <v>13</v>
      </c>
      <c r="I1358" t="s">
        <v>14</v>
      </c>
      <c r="J1358" t="s">
        <v>14</v>
      </c>
      <c r="K1358">
        <v>24</v>
      </c>
      <c r="L1358" t="str">
        <f>IF(AND(CallLog[[#This Row],[Answered (Y/N)]]="Y", CallLog[[#This Row],[Speed of answer in seconds]]&lt;=20),
    "Within",
    "Breach")</f>
        <v>Breach</v>
      </c>
      <c r="M1358" s="1">
        <v>3.2754629629629631E-3</v>
      </c>
      <c r="N1358">
        <v>3</v>
      </c>
    </row>
    <row r="1359" spans="1:14" x14ac:dyDescent="0.3">
      <c r="A1359" t="s">
        <v>1407</v>
      </c>
      <c r="B1359" t="s">
        <v>20</v>
      </c>
      <c r="C1359" t="s">
        <v>1388</v>
      </c>
      <c r="D1359" s="1">
        <v>0.49200231481481482</v>
      </c>
      <c r="E1359" s="2">
        <f>CallLog[[#This Row],[Date]]+CallLog[[#This Row],[Time]]</f>
        <v>44221.492002314815</v>
      </c>
      <c r="F1359" s="1" t="str">
        <f>TEXT(CallLog[[#This Row],[Date]],"dddd")</f>
        <v>Monday</v>
      </c>
      <c r="G1359" s="3">
        <f>HOUR(CallLog[[#This Row],[Time]])</f>
        <v>11</v>
      </c>
      <c r="H1359" t="s">
        <v>13</v>
      </c>
      <c r="I1359" t="s">
        <v>14</v>
      </c>
      <c r="J1359" t="s">
        <v>14</v>
      </c>
      <c r="K1359">
        <v>75</v>
      </c>
      <c r="L1359" t="str">
        <f>IF(AND(CallLog[[#This Row],[Answered (Y/N)]]="Y", CallLog[[#This Row],[Speed of answer in seconds]]&lt;=20),
    "Within",
    "Breach")</f>
        <v>Breach</v>
      </c>
      <c r="M1359" s="1">
        <v>1.1921296296296296E-3</v>
      </c>
      <c r="N1359">
        <v>4</v>
      </c>
    </row>
    <row r="1360" spans="1:14" x14ac:dyDescent="0.3">
      <c r="A1360" t="s">
        <v>1408</v>
      </c>
      <c r="B1360" t="s">
        <v>34</v>
      </c>
      <c r="C1360" t="s">
        <v>1388</v>
      </c>
      <c r="D1360" s="1">
        <v>0.49599537037037039</v>
      </c>
      <c r="E1360" s="2">
        <f>CallLog[[#This Row],[Date]]+CallLog[[#This Row],[Time]]</f>
        <v>44221.495995370373</v>
      </c>
      <c r="F1360" s="1" t="str">
        <f>TEXT(CallLog[[#This Row],[Date]],"dddd")</f>
        <v>Monday</v>
      </c>
      <c r="G1360" s="3">
        <f>HOUR(CallLog[[#This Row],[Time]])</f>
        <v>11</v>
      </c>
      <c r="H1360" t="s">
        <v>13</v>
      </c>
      <c r="I1360" t="s">
        <v>14</v>
      </c>
      <c r="J1360" t="s">
        <v>14</v>
      </c>
      <c r="K1360">
        <v>72</v>
      </c>
      <c r="L1360" t="str">
        <f>IF(AND(CallLog[[#This Row],[Answered (Y/N)]]="Y", CallLog[[#This Row],[Speed of answer in seconds]]&lt;=20),
    "Within",
    "Breach")</f>
        <v>Breach</v>
      </c>
      <c r="M1360" s="1">
        <v>3.8310185185185183E-3</v>
      </c>
      <c r="N1360">
        <v>4</v>
      </c>
    </row>
    <row r="1361" spans="1:14" x14ac:dyDescent="0.3">
      <c r="A1361" t="s">
        <v>1409</v>
      </c>
      <c r="B1361" t="s">
        <v>20</v>
      </c>
      <c r="C1361" t="s">
        <v>1388</v>
      </c>
      <c r="D1361" s="1">
        <v>0.49599537037037039</v>
      </c>
      <c r="E1361" s="2">
        <f>CallLog[[#This Row],[Date]]+CallLog[[#This Row],[Time]]</f>
        <v>44221.495995370373</v>
      </c>
      <c r="F1361" s="1" t="str">
        <f>TEXT(CallLog[[#This Row],[Date]],"dddd")</f>
        <v>Monday</v>
      </c>
      <c r="G1361" s="3">
        <f>HOUR(CallLog[[#This Row],[Time]])</f>
        <v>11</v>
      </c>
      <c r="H1361" t="s">
        <v>24</v>
      </c>
      <c r="I1361" t="s">
        <v>14</v>
      </c>
      <c r="J1361" t="s">
        <v>14</v>
      </c>
      <c r="K1361">
        <v>73</v>
      </c>
      <c r="L1361" t="str">
        <f>IF(AND(CallLog[[#This Row],[Answered (Y/N)]]="Y", CallLog[[#This Row],[Speed of answer in seconds]]&lt;=20),
    "Within",
    "Breach")</f>
        <v>Breach</v>
      </c>
      <c r="M1361" s="1">
        <v>2.2453703703703702E-3</v>
      </c>
      <c r="N1361">
        <v>4</v>
      </c>
    </row>
    <row r="1362" spans="1:14" x14ac:dyDescent="0.3">
      <c r="A1362" t="s">
        <v>1410</v>
      </c>
      <c r="B1362" t="s">
        <v>38</v>
      </c>
      <c r="C1362" t="s">
        <v>1388</v>
      </c>
      <c r="D1362" s="1">
        <v>0.49599537037037039</v>
      </c>
      <c r="E1362" s="2">
        <f>CallLog[[#This Row],[Date]]+CallLog[[#This Row],[Time]]</f>
        <v>44221.495995370373</v>
      </c>
      <c r="F1362" s="1" t="str">
        <f>TEXT(CallLog[[#This Row],[Date]],"dddd")</f>
        <v>Monday</v>
      </c>
      <c r="G1362" s="3">
        <f>HOUR(CallLog[[#This Row],[Time]])</f>
        <v>11</v>
      </c>
      <c r="H1362" t="s">
        <v>24</v>
      </c>
      <c r="I1362" t="s">
        <v>14</v>
      </c>
      <c r="J1362" t="s">
        <v>18</v>
      </c>
      <c r="K1362">
        <v>105</v>
      </c>
      <c r="L1362" t="str">
        <f>IF(AND(CallLog[[#This Row],[Answered (Y/N)]]="Y", CallLog[[#This Row],[Speed of answer in seconds]]&lt;=20),
    "Within",
    "Breach")</f>
        <v>Breach</v>
      </c>
      <c r="M1362" s="1">
        <v>2.1412037037037038E-3</v>
      </c>
      <c r="N1362">
        <v>4</v>
      </c>
    </row>
    <row r="1363" spans="1:14" x14ac:dyDescent="0.3">
      <c r="A1363" t="s">
        <v>1411</v>
      </c>
      <c r="B1363" t="s">
        <v>22</v>
      </c>
      <c r="C1363" t="s">
        <v>1388</v>
      </c>
      <c r="D1363" s="1">
        <v>0.49599537037037039</v>
      </c>
      <c r="E1363" s="2">
        <f>CallLog[[#This Row],[Date]]+CallLog[[#This Row],[Time]]</f>
        <v>44221.495995370373</v>
      </c>
      <c r="F1363" s="1" t="str">
        <f>TEXT(CallLog[[#This Row],[Date]],"dddd")</f>
        <v>Monday</v>
      </c>
      <c r="G1363" s="3">
        <f>HOUR(CallLog[[#This Row],[Time]])</f>
        <v>11</v>
      </c>
      <c r="H1363" t="s">
        <v>17</v>
      </c>
      <c r="I1363" t="s">
        <v>14</v>
      </c>
      <c r="J1363" t="s">
        <v>14</v>
      </c>
      <c r="K1363">
        <v>75</v>
      </c>
      <c r="L1363" t="str">
        <f>IF(AND(CallLog[[#This Row],[Answered (Y/N)]]="Y", CallLog[[#This Row],[Speed of answer in seconds]]&lt;=20),
    "Within",
    "Breach")</f>
        <v>Breach</v>
      </c>
      <c r="M1363" s="1">
        <v>2.6041666666666665E-3</v>
      </c>
      <c r="N1363">
        <v>3</v>
      </c>
    </row>
    <row r="1364" spans="1:14" x14ac:dyDescent="0.3">
      <c r="A1364" t="s">
        <v>1412</v>
      </c>
      <c r="B1364" t="s">
        <v>16</v>
      </c>
      <c r="C1364" t="s">
        <v>1388</v>
      </c>
      <c r="D1364" s="1">
        <v>0.5</v>
      </c>
      <c r="E1364" s="2">
        <f>CallLog[[#This Row],[Date]]+CallLog[[#This Row],[Time]]</f>
        <v>44221.5</v>
      </c>
      <c r="F1364" s="1" t="str">
        <f>TEXT(CallLog[[#This Row],[Date]],"dddd")</f>
        <v>Monday</v>
      </c>
      <c r="G1364" s="3">
        <f>HOUR(CallLog[[#This Row],[Time]])</f>
        <v>12</v>
      </c>
      <c r="H1364" t="s">
        <v>24</v>
      </c>
      <c r="I1364" t="s">
        <v>14</v>
      </c>
      <c r="J1364" t="s">
        <v>14</v>
      </c>
      <c r="K1364">
        <v>29</v>
      </c>
      <c r="L1364" t="str">
        <f>IF(AND(CallLog[[#This Row],[Answered (Y/N)]]="Y", CallLog[[#This Row],[Speed of answer in seconds]]&lt;=20),
    "Within",
    "Breach")</f>
        <v>Breach</v>
      </c>
      <c r="M1364" s="1">
        <v>3.3449074074074076E-3</v>
      </c>
      <c r="N1364">
        <v>4</v>
      </c>
    </row>
    <row r="1365" spans="1:14" x14ac:dyDescent="0.3">
      <c r="A1365" t="s">
        <v>1413</v>
      </c>
      <c r="B1365" t="s">
        <v>20</v>
      </c>
      <c r="C1365" t="s">
        <v>1388</v>
      </c>
      <c r="D1365" s="1">
        <v>0.5</v>
      </c>
      <c r="E1365" s="2">
        <f>CallLog[[#This Row],[Date]]+CallLog[[#This Row],[Time]]</f>
        <v>44221.5</v>
      </c>
      <c r="F1365" s="1" t="str">
        <f>TEXT(CallLog[[#This Row],[Date]],"dddd")</f>
        <v>Monday</v>
      </c>
      <c r="G1365" s="3">
        <f>HOUR(CallLog[[#This Row],[Time]])</f>
        <v>12</v>
      </c>
      <c r="H1365" t="s">
        <v>17</v>
      </c>
      <c r="I1365" t="s">
        <v>14</v>
      </c>
      <c r="J1365" t="s">
        <v>14</v>
      </c>
      <c r="K1365">
        <v>41</v>
      </c>
      <c r="L1365" t="str">
        <f>IF(AND(CallLog[[#This Row],[Answered (Y/N)]]="Y", CallLog[[#This Row],[Speed of answer in seconds]]&lt;=20),
    "Within",
    "Breach")</f>
        <v>Breach</v>
      </c>
      <c r="M1365" s="1">
        <v>1.1921296296296296E-3</v>
      </c>
      <c r="N1365">
        <v>1</v>
      </c>
    </row>
    <row r="1366" spans="1:14" x14ac:dyDescent="0.3">
      <c r="A1366" t="s">
        <v>1414</v>
      </c>
      <c r="B1366" t="s">
        <v>38</v>
      </c>
      <c r="C1366" t="s">
        <v>1388</v>
      </c>
      <c r="D1366" s="1">
        <v>0.50700231481481484</v>
      </c>
      <c r="E1366" s="2">
        <f>CallLog[[#This Row],[Date]]+CallLog[[#This Row],[Time]]</f>
        <v>44221.507002314815</v>
      </c>
      <c r="F1366" s="1" t="str">
        <f>TEXT(CallLog[[#This Row],[Date]],"dddd")</f>
        <v>Monday</v>
      </c>
      <c r="G1366" s="3">
        <f>HOUR(CallLog[[#This Row],[Time]])</f>
        <v>12</v>
      </c>
      <c r="H1366" t="s">
        <v>29</v>
      </c>
      <c r="I1366" t="s">
        <v>14</v>
      </c>
      <c r="J1366" t="s">
        <v>14</v>
      </c>
      <c r="K1366">
        <v>93</v>
      </c>
      <c r="L1366" t="str">
        <f>IF(AND(CallLog[[#This Row],[Answered (Y/N)]]="Y", CallLog[[#This Row],[Speed of answer in seconds]]&lt;=20),
    "Within",
    "Breach")</f>
        <v>Breach</v>
      </c>
      <c r="M1366" s="1">
        <v>2.2106481481481482E-3</v>
      </c>
      <c r="N1366">
        <v>4</v>
      </c>
    </row>
    <row r="1367" spans="1:14" x14ac:dyDescent="0.3">
      <c r="A1367" t="s">
        <v>1415</v>
      </c>
      <c r="B1367" t="s">
        <v>31</v>
      </c>
      <c r="C1367" t="s">
        <v>1388</v>
      </c>
      <c r="D1367" s="1">
        <v>0.50700231481481484</v>
      </c>
      <c r="E1367" s="2">
        <f>CallLog[[#This Row],[Date]]+CallLog[[#This Row],[Time]]</f>
        <v>44221.507002314815</v>
      </c>
      <c r="F1367" s="1" t="str">
        <f>TEXT(CallLog[[#This Row],[Date]],"dddd")</f>
        <v>Monday</v>
      </c>
      <c r="G1367" s="3">
        <f>HOUR(CallLog[[#This Row],[Time]])</f>
        <v>12</v>
      </c>
      <c r="H1367" t="s">
        <v>29</v>
      </c>
      <c r="I1367" t="s">
        <v>18</v>
      </c>
      <c r="J1367" t="s">
        <v>18</v>
      </c>
      <c r="L1367" t="str">
        <f>IF(AND(CallLog[[#This Row],[Answered (Y/N)]]="Y", CallLog[[#This Row],[Speed of answer in seconds]]&lt;=20),
    "Within",
    "Breach")</f>
        <v>Breach</v>
      </c>
    </row>
    <row r="1368" spans="1:14" x14ac:dyDescent="0.3">
      <c r="A1368" t="s">
        <v>1416</v>
      </c>
      <c r="B1368" t="s">
        <v>47</v>
      </c>
      <c r="C1368" t="s">
        <v>1388</v>
      </c>
      <c r="D1368" s="1">
        <v>0.50900462962962967</v>
      </c>
      <c r="E1368" s="2">
        <f>CallLog[[#This Row],[Date]]+CallLog[[#This Row],[Time]]</f>
        <v>44221.509004629632</v>
      </c>
      <c r="F1368" s="1" t="str">
        <f>TEXT(CallLog[[#This Row],[Date]],"dddd")</f>
        <v>Monday</v>
      </c>
      <c r="G1368" s="3">
        <f>HOUR(CallLog[[#This Row],[Time]])</f>
        <v>12</v>
      </c>
      <c r="H1368" t="s">
        <v>29</v>
      </c>
      <c r="I1368" t="s">
        <v>14</v>
      </c>
      <c r="J1368" t="s">
        <v>14</v>
      </c>
      <c r="K1368">
        <v>73</v>
      </c>
      <c r="L1368" t="str">
        <f>IF(AND(CallLog[[#This Row],[Answered (Y/N)]]="Y", CallLog[[#This Row],[Speed of answer in seconds]]&lt;=20),
    "Within",
    "Breach")</f>
        <v>Breach</v>
      </c>
      <c r="M1368" s="1">
        <v>3.8773148148148148E-3</v>
      </c>
      <c r="N1368">
        <v>3</v>
      </c>
    </row>
    <row r="1369" spans="1:14" x14ac:dyDescent="0.3">
      <c r="A1369" t="s">
        <v>1417</v>
      </c>
      <c r="B1369" t="s">
        <v>20</v>
      </c>
      <c r="C1369" t="s">
        <v>1388</v>
      </c>
      <c r="D1369" s="1">
        <v>0.50900462962962967</v>
      </c>
      <c r="E1369" s="2">
        <f>CallLog[[#This Row],[Date]]+CallLog[[#This Row],[Time]]</f>
        <v>44221.509004629632</v>
      </c>
      <c r="F1369" s="1" t="str">
        <f>TEXT(CallLog[[#This Row],[Date]],"dddd")</f>
        <v>Monday</v>
      </c>
      <c r="G1369" s="3">
        <f>HOUR(CallLog[[#This Row],[Time]])</f>
        <v>12</v>
      </c>
      <c r="H1369" t="s">
        <v>32</v>
      </c>
      <c r="I1369" t="s">
        <v>18</v>
      </c>
      <c r="J1369" t="s">
        <v>18</v>
      </c>
      <c r="L1369" t="str">
        <f>IF(AND(CallLog[[#This Row],[Answered (Y/N)]]="Y", CallLog[[#This Row],[Speed of answer in seconds]]&lt;=20),
    "Within",
    "Breach")</f>
        <v>Breach</v>
      </c>
    </row>
    <row r="1370" spans="1:14" x14ac:dyDescent="0.3">
      <c r="A1370" t="s">
        <v>1418</v>
      </c>
      <c r="B1370" t="s">
        <v>22</v>
      </c>
      <c r="C1370" t="s">
        <v>1388</v>
      </c>
      <c r="D1370" s="1">
        <v>0.51299768518518518</v>
      </c>
      <c r="E1370" s="2">
        <f>CallLog[[#This Row],[Date]]+CallLog[[#This Row],[Time]]</f>
        <v>44221.512997685182</v>
      </c>
      <c r="F1370" s="1" t="str">
        <f>TEXT(CallLog[[#This Row],[Date]],"dddd")</f>
        <v>Monday</v>
      </c>
      <c r="G1370" s="3">
        <f>HOUR(CallLog[[#This Row],[Time]])</f>
        <v>12</v>
      </c>
      <c r="H1370" t="s">
        <v>24</v>
      </c>
      <c r="I1370" t="s">
        <v>14</v>
      </c>
      <c r="J1370" t="s">
        <v>14</v>
      </c>
      <c r="K1370">
        <v>112</v>
      </c>
      <c r="L1370" t="str">
        <f>IF(AND(CallLog[[#This Row],[Answered (Y/N)]]="Y", CallLog[[#This Row],[Speed of answer in seconds]]&lt;=20),
    "Within",
    "Breach")</f>
        <v>Breach</v>
      </c>
      <c r="M1370" s="1">
        <v>9.3749999999999997E-4</v>
      </c>
      <c r="N1370">
        <v>4</v>
      </c>
    </row>
    <row r="1371" spans="1:14" x14ac:dyDescent="0.3">
      <c r="A1371" t="s">
        <v>1419</v>
      </c>
      <c r="B1371" t="s">
        <v>11</v>
      </c>
      <c r="C1371" t="s">
        <v>1388</v>
      </c>
      <c r="D1371" s="1">
        <v>0.51299768518518518</v>
      </c>
      <c r="E1371" s="2">
        <f>CallLog[[#This Row],[Date]]+CallLog[[#This Row],[Time]]</f>
        <v>44221.512997685182</v>
      </c>
      <c r="F1371" s="1" t="str">
        <f>TEXT(CallLog[[#This Row],[Date]],"dddd")</f>
        <v>Monday</v>
      </c>
      <c r="G1371" s="3">
        <f>HOUR(CallLog[[#This Row],[Time]])</f>
        <v>12</v>
      </c>
      <c r="H1371" t="s">
        <v>24</v>
      </c>
      <c r="I1371" t="s">
        <v>14</v>
      </c>
      <c r="J1371" t="s">
        <v>14</v>
      </c>
      <c r="K1371">
        <v>37</v>
      </c>
      <c r="L1371" t="str">
        <f>IF(AND(CallLog[[#This Row],[Answered (Y/N)]]="Y", CallLog[[#This Row],[Speed of answer in seconds]]&lt;=20),
    "Within",
    "Breach")</f>
        <v>Breach</v>
      </c>
      <c r="M1371" s="1">
        <v>3.9236111111111112E-3</v>
      </c>
      <c r="N1371">
        <v>4</v>
      </c>
    </row>
    <row r="1372" spans="1:14" x14ac:dyDescent="0.3">
      <c r="A1372" t="s">
        <v>1420</v>
      </c>
      <c r="B1372" t="s">
        <v>22</v>
      </c>
      <c r="C1372" t="s">
        <v>1388</v>
      </c>
      <c r="D1372" s="1">
        <v>0.51500000000000001</v>
      </c>
      <c r="E1372" s="2">
        <f>CallLog[[#This Row],[Date]]+CallLog[[#This Row],[Time]]</f>
        <v>44221.514999999999</v>
      </c>
      <c r="F1372" s="1" t="str">
        <f>TEXT(CallLog[[#This Row],[Date]],"dddd")</f>
        <v>Monday</v>
      </c>
      <c r="G1372" s="3">
        <f>HOUR(CallLog[[#This Row],[Time]])</f>
        <v>12</v>
      </c>
      <c r="H1372" t="s">
        <v>13</v>
      </c>
      <c r="I1372" t="s">
        <v>14</v>
      </c>
      <c r="J1372" t="s">
        <v>14</v>
      </c>
      <c r="K1372">
        <v>59</v>
      </c>
      <c r="L1372" t="str">
        <f>IF(AND(CallLog[[#This Row],[Answered (Y/N)]]="Y", CallLog[[#This Row],[Speed of answer in seconds]]&lt;=20),
    "Within",
    "Breach")</f>
        <v>Breach</v>
      </c>
      <c r="M1372" s="1">
        <v>4.0509259259259257E-3</v>
      </c>
      <c r="N1372">
        <v>5</v>
      </c>
    </row>
    <row r="1373" spans="1:14" x14ac:dyDescent="0.3">
      <c r="A1373" t="s">
        <v>1421</v>
      </c>
      <c r="B1373" t="s">
        <v>31</v>
      </c>
      <c r="C1373" t="s">
        <v>1388</v>
      </c>
      <c r="D1373" s="1">
        <v>0.51500000000000001</v>
      </c>
      <c r="E1373" s="2">
        <f>CallLog[[#This Row],[Date]]+CallLog[[#This Row],[Time]]</f>
        <v>44221.514999999999</v>
      </c>
      <c r="F1373" s="1" t="str">
        <f>TEXT(CallLog[[#This Row],[Date]],"dddd")</f>
        <v>Monday</v>
      </c>
      <c r="G1373" s="3">
        <f>HOUR(CallLog[[#This Row],[Time]])</f>
        <v>12</v>
      </c>
      <c r="H1373" t="s">
        <v>17</v>
      </c>
      <c r="I1373" t="s">
        <v>18</v>
      </c>
      <c r="J1373" t="s">
        <v>18</v>
      </c>
      <c r="L1373" t="str">
        <f>IF(AND(CallLog[[#This Row],[Answered (Y/N)]]="Y", CallLog[[#This Row],[Speed of answer in seconds]]&lt;=20),
    "Within",
    "Breach")</f>
        <v>Breach</v>
      </c>
    </row>
    <row r="1374" spans="1:14" x14ac:dyDescent="0.3">
      <c r="A1374" t="s">
        <v>1422</v>
      </c>
      <c r="B1374" t="s">
        <v>16</v>
      </c>
      <c r="C1374" t="s">
        <v>1388</v>
      </c>
      <c r="D1374" s="1">
        <v>0.51500000000000001</v>
      </c>
      <c r="E1374" s="2">
        <f>CallLog[[#This Row],[Date]]+CallLog[[#This Row],[Time]]</f>
        <v>44221.514999999999</v>
      </c>
      <c r="F1374" s="1" t="str">
        <f>TEXT(CallLog[[#This Row],[Date]],"dddd")</f>
        <v>Monday</v>
      </c>
      <c r="G1374" s="3">
        <f>HOUR(CallLog[[#This Row],[Time]])</f>
        <v>12</v>
      </c>
      <c r="H1374" t="s">
        <v>17</v>
      </c>
      <c r="I1374" t="s">
        <v>14</v>
      </c>
      <c r="J1374" t="s">
        <v>14</v>
      </c>
      <c r="K1374">
        <v>56</v>
      </c>
      <c r="L1374" t="str">
        <f>IF(AND(CallLog[[#This Row],[Answered (Y/N)]]="Y", CallLog[[#This Row],[Speed of answer in seconds]]&lt;=20),
    "Within",
    "Breach")</f>
        <v>Breach</v>
      </c>
      <c r="M1374" s="1">
        <v>9.6064814814814819E-4</v>
      </c>
      <c r="N1374">
        <v>3</v>
      </c>
    </row>
    <row r="1375" spans="1:14" x14ac:dyDescent="0.3">
      <c r="A1375" t="s">
        <v>1423</v>
      </c>
      <c r="B1375" t="s">
        <v>22</v>
      </c>
      <c r="C1375" t="s">
        <v>1388</v>
      </c>
      <c r="D1375" s="1">
        <v>0.51500000000000001</v>
      </c>
      <c r="E1375" s="2">
        <f>CallLog[[#This Row],[Date]]+CallLog[[#This Row],[Time]]</f>
        <v>44221.514999999999</v>
      </c>
      <c r="F1375" s="1" t="str">
        <f>TEXT(CallLog[[#This Row],[Date]],"dddd")</f>
        <v>Monday</v>
      </c>
      <c r="G1375" s="3">
        <f>HOUR(CallLog[[#This Row],[Time]])</f>
        <v>12</v>
      </c>
      <c r="H1375" t="s">
        <v>13</v>
      </c>
      <c r="I1375" t="s">
        <v>14</v>
      </c>
      <c r="J1375" t="s">
        <v>14</v>
      </c>
      <c r="K1375">
        <v>56</v>
      </c>
      <c r="L1375" t="str">
        <f>IF(AND(CallLog[[#This Row],[Answered (Y/N)]]="Y", CallLog[[#This Row],[Speed of answer in seconds]]&lt;=20),
    "Within",
    "Breach")</f>
        <v>Breach</v>
      </c>
      <c r="M1375" s="1">
        <v>3.6111111111111109E-3</v>
      </c>
      <c r="N1375">
        <v>3</v>
      </c>
    </row>
    <row r="1376" spans="1:14" x14ac:dyDescent="0.3">
      <c r="A1376" t="s">
        <v>1424</v>
      </c>
      <c r="B1376" t="s">
        <v>31</v>
      </c>
      <c r="C1376" t="s">
        <v>1388</v>
      </c>
      <c r="D1376" s="1">
        <v>0.53</v>
      </c>
      <c r="E1376" s="2">
        <f>CallLog[[#This Row],[Date]]+CallLog[[#This Row],[Time]]</f>
        <v>44221.53</v>
      </c>
      <c r="F1376" s="1" t="str">
        <f>TEXT(CallLog[[#This Row],[Date]],"dddd")</f>
        <v>Monday</v>
      </c>
      <c r="G1376" s="3">
        <f>HOUR(CallLog[[#This Row],[Time]])</f>
        <v>12</v>
      </c>
      <c r="H1376" t="s">
        <v>29</v>
      </c>
      <c r="I1376" t="s">
        <v>18</v>
      </c>
      <c r="J1376" t="s">
        <v>18</v>
      </c>
      <c r="L1376" t="str">
        <f>IF(AND(CallLog[[#This Row],[Answered (Y/N)]]="Y", CallLog[[#This Row],[Speed of answer in seconds]]&lt;=20),
    "Within",
    "Breach")</f>
        <v>Breach</v>
      </c>
    </row>
    <row r="1377" spans="1:14" x14ac:dyDescent="0.3">
      <c r="A1377" t="s">
        <v>1425</v>
      </c>
      <c r="B1377" t="s">
        <v>20</v>
      </c>
      <c r="C1377" t="s">
        <v>1388</v>
      </c>
      <c r="D1377" s="1">
        <v>0.53</v>
      </c>
      <c r="E1377" s="2">
        <f>CallLog[[#This Row],[Date]]+CallLog[[#This Row],[Time]]</f>
        <v>44221.53</v>
      </c>
      <c r="F1377" s="1" t="str">
        <f>TEXT(CallLog[[#This Row],[Date]],"dddd")</f>
        <v>Monday</v>
      </c>
      <c r="G1377" s="3">
        <f>HOUR(CallLog[[#This Row],[Time]])</f>
        <v>12</v>
      </c>
      <c r="H1377" t="s">
        <v>29</v>
      </c>
      <c r="I1377" t="s">
        <v>14</v>
      </c>
      <c r="J1377" t="s">
        <v>14</v>
      </c>
      <c r="K1377">
        <v>43</v>
      </c>
      <c r="L1377" t="str">
        <f>IF(AND(CallLog[[#This Row],[Answered (Y/N)]]="Y", CallLog[[#This Row],[Speed of answer in seconds]]&lt;=20),
    "Within",
    "Breach")</f>
        <v>Breach</v>
      </c>
      <c r="M1377" s="1">
        <v>4.5138888888888885E-3</v>
      </c>
      <c r="N1377">
        <v>5</v>
      </c>
    </row>
    <row r="1378" spans="1:14" x14ac:dyDescent="0.3">
      <c r="A1378" t="s">
        <v>1426</v>
      </c>
      <c r="B1378" t="s">
        <v>47</v>
      </c>
      <c r="C1378" t="s">
        <v>1388</v>
      </c>
      <c r="D1378" s="1">
        <v>0.53700231481481486</v>
      </c>
      <c r="E1378" s="2">
        <f>CallLog[[#This Row],[Date]]+CallLog[[#This Row],[Time]]</f>
        <v>44221.537002314813</v>
      </c>
      <c r="F1378" s="1" t="str">
        <f>TEXT(CallLog[[#This Row],[Date]],"dddd")</f>
        <v>Monday</v>
      </c>
      <c r="G1378" s="3">
        <f>HOUR(CallLog[[#This Row],[Time]])</f>
        <v>12</v>
      </c>
      <c r="H1378" t="s">
        <v>24</v>
      </c>
      <c r="I1378" t="s">
        <v>14</v>
      </c>
      <c r="J1378" t="s">
        <v>14</v>
      </c>
      <c r="K1378">
        <v>80</v>
      </c>
      <c r="L1378" t="str">
        <f>IF(AND(CallLog[[#This Row],[Answered (Y/N)]]="Y", CallLog[[#This Row],[Speed of answer in seconds]]&lt;=20),
    "Within",
    "Breach")</f>
        <v>Breach</v>
      </c>
      <c r="M1378" s="1">
        <v>4.2708333333333331E-3</v>
      </c>
      <c r="N1378">
        <v>2</v>
      </c>
    </row>
    <row r="1379" spans="1:14" x14ac:dyDescent="0.3">
      <c r="A1379" t="s">
        <v>1427</v>
      </c>
      <c r="B1379" t="s">
        <v>31</v>
      </c>
      <c r="C1379" t="s">
        <v>1388</v>
      </c>
      <c r="D1379" s="1">
        <v>0.53700231481481486</v>
      </c>
      <c r="E1379" s="2">
        <f>CallLog[[#This Row],[Date]]+CallLog[[#This Row],[Time]]</f>
        <v>44221.537002314813</v>
      </c>
      <c r="F1379" s="1" t="str">
        <f>TEXT(CallLog[[#This Row],[Date]],"dddd")</f>
        <v>Monday</v>
      </c>
      <c r="G1379" s="3">
        <f>HOUR(CallLog[[#This Row],[Time]])</f>
        <v>12</v>
      </c>
      <c r="H1379" t="s">
        <v>29</v>
      </c>
      <c r="I1379" t="s">
        <v>14</v>
      </c>
      <c r="J1379" t="s">
        <v>14</v>
      </c>
      <c r="K1379">
        <v>66</v>
      </c>
      <c r="L1379" t="str">
        <f>IF(AND(CallLog[[#This Row],[Answered (Y/N)]]="Y", CallLog[[#This Row],[Speed of answer in seconds]]&lt;=20),
    "Within",
    "Breach")</f>
        <v>Breach</v>
      </c>
      <c r="M1379" s="1">
        <v>4.2013888888888891E-3</v>
      </c>
      <c r="N1379">
        <v>3</v>
      </c>
    </row>
    <row r="1380" spans="1:14" x14ac:dyDescent="0.3">
      <c r="A1380" t="s">
        <v>1428</v>
      </c>
      <c r="B1380" t="s">
        <v>16</v>
      </c>
      <c r="C1380" t="s">
        <v>1388</v>
      </c>
      <c r="D1380" s="1">
        <v>0.59099537037037042</v>
      </c>
      <c r="E1380" s="2">
        <f>CallLog[[#This Row],[Date]]+CallLog[[#This Row],[Time]]</f>
        <v>44221.590995370374</v>
      </c>
      <c r="F1380" s="1" t="str">
        <f>TEXT(CallLog[[#This Row],[Date]],"dddd")</f>
        <v>Monday</v>
      </c>
      <c r="G1380" s="3">
        <f>HOUR(CallLog[[#This Row],[Time]])</f>
        <v>14</v>
      </c>
      <c r="H1380" t="s">
        <v>13</v>
      </c>
      <c r="I1380" t="s">
        <v>14</v>
      </c>
      <c r="J1380" t="s">
        <v>14</v>
      </c>
      <c r="K1380">
        <v>54</v>
      </c>
      <c r="L1380" t="str">
        <f>IF(AND(CallLog[[#This Row],[Answered (Y/N)]]="Y", CallLog[[#This Row],[Speed of answer in seconds]]&lt;=20),
    "Within",
    "Breach")</f>
        <v>Breach</v>
      </c>
      <c r="M1380" s="1">
        <v>2.9050925925925928E-3</v>
      </c>
      <c r="N1380">
        <v>3</v>
      </c>
    </row>
    <row r="1381" spans="1:14" x14ac:dyDescent="0.3">
      <c r="A1381" t="s">
        <v>1429</v>
      </c>
      <c r="B1381" t="s">
        <v>34</v>
      </c>
      <c r="C1381" t="s">
        <v>1388</v>
      </c>
      <c r="D1381" s="1">
        <v>0.59099537037037042</v>
      </c>
      <c r="E1381" s="2">
        <f>CallLog[[#This Row],[Date]]+CallLog[[#This Row],[Time]]</f>
        <v>44221.590995370374</v>
      </c>
      <c r="F1381" s="1" t="str">
        <f>TEXT(CallLog[[#This Row],[Date]],"dddd")</f>
        <v>Monday</v>
      </c>
      <c r="G1381" s="3">
        <f>HOUR(CallLog[[#This Row],[Time]])</f>
        <v>14</v>
      </c>
      <c r="H1381" t="s">
        <v>32</v>
      </c>
      <c r="I1381" t="s">
        <v>14</v>
      </c>
      <c r="J1381" t="s">
        <v>14</v>
      </c>
      <c r="K1381">
        <v>94</v>
      </c>
      <c r="L1381" t="str">
        <f>IF(AND(CallLog[[#This Row],[Answered (Y/N)]]="Y", CallLog[[#This Row],[Speed of answer in seconds]]&lt;=20),
    "Within",
    "Breach")</f>
        <v>Breach</v>
      </c>
      <c r="M1381" s="1">
        <v>3.5069444444444445E-3</v>
      </c>
      <c r="N1381">
        <v>2</v>
      </c>
    </row>
    <row r="1382" spans="1:14" x14ac:dyDescent="0.3">
      <c r="A1382" t="s">
        <v>1430</v>
      </c>
      <c r="B1382" t="s">
        <v>16</v>
      </c>
      <c r="C1382" t="s">
        <v>1388</v>
      </c>
      <c r="D1382" s="1">
        <v>0.59099537037037042</v>
      </c>
      <c r="E1382" s="2">
        <f>CallLog[[#This Row],[Date]]+CallLog[[#This Row],[Time]]</f>
        <v>44221.590995370374</v>
      </c>
      <c r="F1382" s="1" t="str">
        <f>TEXT(CallLog[[#This Row],[Date]],"dddd")</f>
        <v>Monday</v>
      </c>
      <c r="G1382" s="3">
        <f>HOUR(CallLog[[#This Row],[Time]])</f>
        <v>14</v>
      </c>
      <c r="H1382" t="s">
        <v>32</v>
      </c>
      <c r="I1382" t="s">
        <v>18</v>
      </c>
      <c r="J1382" t="s">
        <v>18</v>
      </c>
      <c r="L1382" t="str">
        <f>IF(AND(CallLog[[#This Row],[Answered (Y/N)]]="Y", CallLog[[#This Row],[Speed of answer in seconds]]&lt;=20),
    "Within",
    "Breach")</f>
        <v>Breach</v>
      </c>
    </row>
    <row r="1383" spans="1:14" x14ac:dyDescent="0.3">
      <c r="A1383" t="s">
        <v>1431</v>
      </c>
      <c r="B1383" t="s">
        <v>38</v>
      </c>
      <c r="C1383" t="s">
        <v>1388</v>
      </c>
      <c r="D1383" s="1">
        <v>0.59099537037037042</v>
      </c>
      <c r="E1383" s="2">
        <f>CallLog[[#This Row],[Date]]+CallLog[[#This Row],[Time]]</f>
        <v>44221.590995370374</v>
      </c>
      <c r="F1383" s="1" t="str">
        <f>TEXT(CallLog[[#This Row],[Date]],"dddd")</f>
        <v>Monday</v>
      </c>
      <c r="G1383" s="3">
        <f>HOUR(CallLog[[#This Row],[Time]])</f>
        <v>14</v>
      </c>
      <c r="H1383" t="s">
        <v>32</v>
      </c>
      <c r="I1383" t="s">
        <v>14</v>
      </c>
      <c r="J1383" t="s">
        <v>14</v>
      </c>
      <c r="K1383">
        <v>24</v>
      </c>
      <c r="L1383" t="str">
        <f>IF(AND(CallLog[[#This Row],[Answered (Y/N)]]="Y", CallLog[[#This Row],[Speed of answer in seconds]]&lt;=20),
    "Within",
    "Breach")</f>
        <v>Breach</v>
      </c>
      <c r="M1383" s="1">
        <v>2.8240740740740739E-3</v>
      </c>
      <c r="N1383">
        <v>4</v>
      </c>
    </row>
    <row r="1384" spans="1:14" x14ac:dyDescent="0.3">
      <c r="A1384" t="s">
        <v>1432</v>
      </c>
      <c r="B1384" t="s">
        <v>11</v>
      </c>
      <c r="C1384" t="s">
        <v>1388</v>
      </c>
      <c r="D1384" s="1">
        <v>0.5920023148148148</v>
      </c>
      <c r="E1384" s="2">
        <f>CallLog[[#This Row],[Date]]+CallLog[[#This Row],[Time]]</f>
        <v>44221.592002314814</v>
      </c>
      <c r="F1384" s="1" t="str">
        <f>TEXT(CallLog[[#This Row],[Date]],"dddd")</f>
        <v>Monday</v>
      </c>
      <c r="G1384" s="3">
        <f>HOUR(CallLog[[#This Row],[Time]])</f>
        <v>14</v>
      </c>
      <c r="H1384" t="s">
        <v>32</v>
      </c>
      <c r="I1384" t="s">
        <v>18</v>
      </c>
      <c r="J1384" t="s">
        <v>18</v>
      </c>
      <c r="L1384" t="str">
        <f>IF(AND(CallLog[[#This Row],[Answered (Y/N)]]="Y", CallLog[[#This Row],[Speed of answer in seconds]]&lt;=20),
    "Within",
    "Breach")</f>
        <v>Breach</v>
      </c>
    </row>
    <row r="1385" spans="1:14" x14ac:dyDescent="0.3">
      <c r="A1385" t="s">
        <v>1433</v>
      </c>
      <c r="B1385" t="s">
        <v>38</v>
      </c>
      <c r="C1385" t="s">
        <v>1388</v>
      </c>
      <c r="D1385" s="1">
        <v>0.5920023148148148</v>
      </c>
      <c r="E1385" s="2">
        <f>CallLog[[#This Row],[Date]]+CallLog[[#This Row],[Time]]</f>
        <v>44221.592002314814</v>
      </c>
      <c r="F1385" s="1" t="str">
        <f>TEXT(CallLog[[#This Row],[Date]],"dddd")</f>
        <v>Monday</v>
      </c>
      <c r="G1385" s="3">
        <f>HOUR(CallLog[[#This Row],[Time]])</f>
        <v>14</v>
      </c>
      <c r="H1385" t="s">
        <v>13</v>
      </c>
      <c r="I1385" t="s">
        <v>14</v>
      </c>
      <c r="J1385" t="s">
        <v>14</v>
      </c>
      <c r="K1385">
        <v>108</v>
      </c>
      <c r="L1385" t="str">
        <f>IF(AND(CallLog[[#This Row],[Answered (Y/N)]]="Y", CallLog[[#This Row],[Speed of answer in seconds]]&lt;=20),
    "Within",
    "Breach")</f>
        <v>Breach</v>
      </c>
      <c r="M1385" s="1">
        <v>4.5833333333333334E-3</v>
      </c>
      <c r="N1385">
        <v>3</v>
      </c>
    </row>
    <row r="1386" spans="1:14" x14ac:dyDescent="0.3">
      <c r="A1386" t="s">
        <v>1434</v>
      </c>
      <c r="B1386" t="s">
        <v>34</v>
      </c>
      <c r="C1386" t="s">
        <v>1388</v>
      </c>
      <c r="D1386" s="1">
        <v>0.60200231481481481</v>
      </c>
      <c r="E1386" s="2">
        <f>CallLog[[#This Row],[Date]]+CallLog[[#This Row],[Time]]</f>
        <v>44221.602002314816</v>
      </c>
      <c r="F1386" s="1" t="str">
        <f>TEXT(CallLog[[#This Row],[Date]],"dddd")</f>
        <v>Monday</v>
      </c>
      <c r="G1386" s="3">
        <f>HOUR(CallLog[[#This Row],[Time]])</f>
        <v>14</v>
      </c>
      <c r="H1386" t="s">
        <v>24</v>
      </c>
      <c r="I1386" t="s">
        <v>14</v>
      </c>
      <c r="J1386" t="s">
        <v>14</v>
      </c>
      <c r="K1386">
        <v>106</v>
      </c>
      <c r="L1386" t="str">
        <f>IF(AND(CallLog[[#This Row],[Answered (Y/N)]]="Y", CallLog[[#This Row],[Speed of answer in seconds]]&lt;=20),
    "Within",
    "Breach")</f>
        <v>Breach</v>
      </c>
      <c r="M1386" s="1">
        <v>6.2500000000000001E-4</v>
      </c>
      <c r="N1386">
        <v>3</v>
      </c>
    </row>
    <row r="1387" spans="1:14" x14ac:dyDescent="0.3">
      <c r="A1387" t="s">
        <v>1435</v>
      </c>
      <c r="B1387" t="s">
        <v>34</v>
      </c>
      <c r="C1387" t="s">
        <v>1388</v>
      </c>
      <c r="D1387" s="1">
        <v>0.60200231481481481</v>
      </c>
      <c r="E1387" s="2">
        <f>CallLog[[#This Row],[Date]]+CallLog[[#This Row],[Time]]</f>
        <v>44221.602002314816</v>
      </c>
      <c r="F1387" s="1" t="str">
        <f>TEXT(CallLog[[#This Row],[Date]],"dddd")</f>
        <v>Monday</v>
      </c>
      <c r="G1387" s="3">
        <f>HOUR(CallLog[[#This Row],[Time]])</f>
        <v>14</v>
      </c>
      <c r="H1387" t="s">
        <v>17</v>
      </c>
      <c r="I1387" t="s">
        <v>18</v>
      </c>
      <c r="J1387" t="s">
        <v>18</v>
      </c>
      <c r="L1387" t="str">
        <f>IF(AND(CallLog[[#This Row],[Answered (Y/N)]]="Y", CallLog[[#This Row],[Speed of answer in seconds]]&lt;=20),
    "Within",
    "Breach")</f>
        <v>Breach</v>
      </c>
    </row>
    <row r="1388" spans="1:14" x14ac:dyDescent="0.3">
      <c r="A1388" t="s">
        <v>1436</v>
      </c>
      <c r="B1388" t="s">
        <v>16</v>
      </c>
      <c r="C1388" t="s">
        <v>1388</v>
      </c>
      <c r="D1388" s="1">
        <v>0.60700231481481481</v>
      </c>
      <c r="E1388" s="2">
        <f>CallLog[[#This Row],[Date]]+CallLog[[#This Row],[Time]]</f>
        <v>44221.607002314813</v>
      </c>
      <c r="F1388" s="1" t="str">
        <f>TEXT(CallLog[[#This Row],[Date]],"dddd")</f>
        <v>Monday</v>
      </c>
      <c r="G1388" s="3">
        <f>HOUR(CallLog[[#This Row],[Time]])</f>
        <v>14</v>
      </c>
      <c r="H1388" t="s">
        <v>24</v>
      </c>
      <c r="I1388" t="s">
        <v>14</v>
      </c>
      <c r="J1388" t="s">
        <v>14</v>
      </c>
      <c r="K1388">
        <v>111</v>
      </c>
      <c r="L1388" t="str">
        <f>IF(AND(CallLog[[#This Row],[Answered (Y/N)]]="Y", CallLog[[#This Row],[Speed of answer in seconds]]&lt;=20),
    "Within",
    "Breach")</f>
        <v>Breach</v>
      </c>
      <c r="M1388" s="1">
        <v>4.2013888888888891E-3</v>
      </c>
      <c r="N1388">
        <v>3</v>
      </c>
    </row>
    <row r="1389" spans="1:14" x14ac:dyDescent="0.3">
      <c r="A1389" t="s">
        <v>1437</v>
      </c>
      <c r="B1389" t="s">
        <v>34</v>
      </c>
      <c r="C1389" t="s">
        <v>1388</v>
      </c>
      <c r="D1389" s="1">
        <v>0.60700231481481481</v>
      </c>
      <c r="E1389" s="2">
        <f>CallLog[[#This Row],[Date]]+CallLog[[#This Row],[Time]]</f>
        <v>44221.607002314813</v>
      </c>
      <c r="F1389" s="1" t="str">
        <f>TEXT(CallLog[[#This Row],[Date]],"dddd")</f>
        <v>Monday</v>
      </c>
      <c r="G1389" s="3">
        <f>HOUR(CallLog[[#This Row],[Time]])</f>
        <v>14</v>
      </c>
      <c r="H1389" t="s">
        <v>29</v>
      </c>
      <c r="I1389" t="s">
        <v>14</v>
      </c>
      <c r="J1389" t="s">
        <v>14</v>
      </c>
      <c r="K1389">
        <v>56</v>
      </c>
      <c r="L1389" t="str">
        <f>IF(AND(CallLog[[#This Row],[Answered (Y/N)]]="Y", CallLog[[#This Row],[Speed of answer in seconds]]&lt;=20),
    "Within",
    "Breach")</f>
        <v>Breach</v>
      </c>
      <c r="M1389" s="1">
        <v>2.2916666666666667E-3</v>
      </c>
      <c r="N1389">
        <v>3</v>
      </c>
    </row>
    <row r="1390" spans="1:14" x14ac:dyDescent="0.3">
      <c r="A1390" t="s">
        <v>1438</v>
      </c>
      <c r="B1390" t="s">
        <v>47</v>
      </c>
      <c r="C1390" t="s">
        <v>1388</v>
      </c>
      <c r="D1390" s="1">
        <v>0.62799768518518517</v>
      </c>
      <c r="E1390" s="2">
        <f>CallLog[[#This Row],[Date]]+CallLog[[#This Row],[Time]]</f>
        <v>44221.627997685187</v>
      </c>
      <c r="F1390" s="1" t="str">
        <f>TEXT(CallLog[[#This Row],[Date]],"dddd")</f>
        <v>Monday</v>
      </c>
      <c r="G1390" s="3">
        <f>HOUR(CallLog[[#This Row],[Time]])</f>
        <v>15</v>
      </c>
      <c r="H1390" t="s">
        <v>13</v>
      </c>
      <c r="I1390" t="s">
        <v>14</v>
      </c>
      <c r="J1390" t="s">
        <v>14</v>
      </c>
      <c r="K1390">
        <v>78</v>
      </c>
      <c r="L1390" t="str">
        <f>IF(AND(CallLog[[#This Row],[Answered (Y/N)]]="Y", CallLog[[#This Row],[Speed of answer in seconds]]&lt;=20),
    "Within",
    "Breach")</f>
        <v>Breach</v>
      </c>
      <c r="M1390" s="1">
        <v>3.5879629629629629E-3</v>
      </c>
      <c r="N1390">
        <v>4</v>
      </c>
    </row>
    <row r="1391" spans="1:14" x14ac:dyDescent="0.3">
      <c r="A1391" t="s">
        <v>1439</v>
      </c>
      <c r="B1391" t="s">
        <v>20</v>
      </c>
      <c r="C1391" t="s">
        <v>1388</v>
      </c>
      <c r="D1391" s="1">
        <v>0.62799768518518517</v>
      </c>
      <c r="E1391" s="2">
        <f>CallLog[[#This Row],[Date]]+CallLog[[#This Row],[Time]]</f>
        <v>44221.627997685187</v>
      </c>
      <c r="F1391" s="1" t="str">
        <f>TEXT(CallLog[[#This Row],[Date]],"dddd")</f>
        <v>Monday</v>
      </c>
      <c r="G1391" s="3">
        <f>HOUR(CallLog[[#This Row],[Time]])</f>
        <v>15</v>
      </c>
      <c r="H1391" t="s">
        <v>32</v>
      </c>
      <c r="I1391" t="s">
        <v>14</v>
      </c>
      <c r="J1391" t="s">
        <v>14</v>
      </c>
      <c r="K1391">
        <v>15</v>
      </c>
      <c r="L1391" t="str">
        <f>IF(AND(CallLog[[#This Row],[Answered (Y/N)]]="Y", CallLog[[#This Row],[Speed of answer in seconds]]&lt;=20),
    "Within",
    "Breach")</f>
        <v>Within</v>
      </c>
      <c r="M1391" s="1">
        <v>1.5046296296296296E-3</v>
      </c>
      <c r="N1391">
        <v>3</v>
      </c>
    </row>
    <row r="1392" spans="1:14" x14ac:dyDescent="0.3">
      <c r="A1392" t="s">
        <v>1440</v>
      </c>
      <c r="B1392" t="s">
        <v>16</v>
      </c>
      <c r="C1392" t="s">
        <v>1388</v>
      </c>
      <c r="D1392" s="1">
        <v>0.62900462962962966</v>
      </c>
      <c r="E1392" s="2">
        <f>CallLog[[#This Row],[Date]]+CallLog[[#This Row],[Time]]</f>
        <v>44221.629004629627</v>
      </c>
      <c r="F1392" s="1" t="str">
        <f>TEXT(CallLog[[#This Row],[Date]],"dddd")</f>
        <v>Monday</v>
      </c>
      <c r="G1392" s="3">
        <f>HOUR(CallLog[[#This Row],[Time]])</f>
        <v>15</v>
      </c>
      <c r="H1392" t="s">
        <v>24</v>
      </c>
      <c r="I1392" t="s">
        <v>18</v>
      </c>
      <c r="J1392" t="s">
        <v>18</v>
      </c>
      <c r="L1392" t="str">
        <f>IF(AND(CallLog[[#This Row],[Answered (Y/N)]]="Y", CallLog[[#This Row],[Speed of answer in seconds]]&lt;=20),
    "Within",
    "Breach")</f>
        <v>Breach</v>
      </c>
    </row>
    <row r="1393" spans="1:14" x14ac:dyDescent="0.3">
      <c r="A1393" t="s">
        <v>1441</v>
      </c>
      <c r="B1393" t="s">
        <v>38</v>
      </c>
      <c r="C1393" t="s">
        <v>1388</v>
      </c>
      <c r="D1393" s="1">
        <v>0.62900462962962966</v>
      </c>
      <c r="E1393" s="2">
        <f>CallLog[[#This Row],[Date]]+CallLog[[#This Row],[Time]]</f>
        <v>44221.629004629627</v>
      </c>
      <c r="F1393" s="1" t="str">
        <f>TEXT(CallLog[[#This Row],[Date]],"dddd")</f>
        <v>Monday</v>
      </c>
      <c r="G1393" s="3">
        <f>HOUR(CallLog[[#This Row],[Time]])</f>
        <v>15</v>
      </c>
      <c r="H1393" t="s">
        <v>32</v>
      </c>
      <c r="I1393" t="s">
        <v>14</v>
      </c>
      <c r="J1393" t="s">
        <v>14</v>
      </c>
      <c r="K1393">
        <v>50</v>
      </c>
      <c r="L1393" t="str">
        <f>IF(AND(CallLog[[#This Row],[Answered (Y/N)]]="Y", CallLog[[#This Row],[Speed of answer in seconds]]&lt;=20),
    "Within",
    "Breach")</f>
        <v>Breach</v>
      </c>
      <c r="M1393" s="1">
        <v>3.7037037037037041E-4</v>
      </c>
      <c r="N1393">
        <v>3</v>
      </c>
    </row>
    <row r="1394" spans="1:14" x14ac:dyDescent="0.3">
      <c r="A1394" t="s">
        <v>1442</v>
      </c>
      <c r="B1394" t="s">
        <v>47</v>
      </c>
      <c r="C1394" t="s">
        <v>1388</v>
      </c>
      <c r="D1394" s="1">
        <v>0.63900462962962967</v>
      </c>
      <c r="E1394" s="2">
        <f>CallLog[[#This Row],[Date]]+CallLog[[#This Row],[Time]]</f>
        <v>44221.639004629629</v>
      </c>
      <c r="F1394" s="1" t="str">
        <f>TEXT(CallLog[[#This Row],[Date]],"dddd")</f>
        <v>Monday</v>
      </c>
      <c r="G1394" s="3">
        <f>HOUR(CallLog[[#This Row],[Time]])</f>
        <v>15</v>
      </c>
      <c r="H1394" t="s">
        <v>32</v>
      </c>
      <c r="I1394" t="s">
        <v>14</v>
      </c>
      <c r="J1394" t="s">
        <v>14</v>
      </c>
      <c r="K1394">
        <v>53</v>
      </c>
      <c r="L1394" t="str">
        <f>IF(AND(CallLog[[#This Row],[Answered (Y/N)]]="Y", CallLog[[#This Row],[Speed of answer in seconds]]&lt;=20),
    "Within",
    "Breach")</f>
        <v>Breach</v>
      </c>
      <c r="M1394" s="1">
        <v>2.638888888888889E-3</v>
      </c>
      <c r="N1394">
        <v>3</v>
      </c>
    </row>
    <row r="1395" spans="1:14" x14ac:dyDescent="0.3">
      <c r="A1395" t="s">
        <v>1443</v>
      </c>
      <c r="B1395" t="s">
        <v>34</v>
      </c>
      <c r="C1395" t="s">
        <v>1388</v>
      </c>
      <c r="D1395" s="1">
        <v>0.63900462962962967</v>
      </c>
      <c r="E1395" s="2">
        <f>CallLog[[#This Row],[Date]]+CallLog[[#This Row],[Time]]</f>
        <v>44221.639004629629</v>
      </c>
      <c r="F1395" s="1" t="str">
        <f>TEXT(CallLog[[#This Row],[Date]],"dddd")</f>
        <v>Monday</v>
      </c>
      <c r="G1395" s="3">
        <f>HOUR(CallLog[[#This Row],[Time]])</f>
        <v>15</v>
      </c>
      <c r="H1395" t="s">
        <v>17</v>
      </c>
      <c r="I1395" t="s">
        <v>14</v>
      </c>
      <c r="J1395" t="s">
        <v>14</v>
      </c>
      <c r="K1395">
        <v>106</v>
      </c>
      <c r="L1395" t="str">
        <f>IF(AND(CallLog[[#This Row],[Answered (Y/N)]]="Y", CallLog[[#This Row],[Speed of answer in seconds]]&lt;=20),
    "Within",
    "Breach")</f>
        <v>Breach</v>
      </c>
      <c r="M1395" s="1">
        <v>4.5717592592592589E-3</v>
      </c>
      <c r="N1395">
        <v>1</v>
      </c>
    </row>
    <row r="1396" spans="1:14" x14ac:dyDescent="0.3">
      <c r="A1396" t="s">
        <v>1444</v>
      </c>
      <c r="B1396" t="s">
        <v>11</v>
      </c>
      <c r="C1396" t="s">
        <v>1388</v>
      </c>
      <c r="D1396" s="1">
        <v>0.66099537037037037</v>
      </c>
      <c r="E1396" s="2">
        <f>CallLog[[#This Row],[Date]]+CallLog[[#This Row],[Time]]</f>
        <v>44221.660995370374</v>
      </c>
      <c r="F1396" s="1" t="str">
        <f>TEXT(CallLog[[#This Row],[Date]],"dddd")</f>
        <v>Monday</v>
      </c>
      <c r="G1396" s="3">
        <f>HOUR(CallLog[[#This Row],[Time]])</f>
        <v>15</v>
      </c>
      <c r="H1396" t="s">
        <v>29</v>
      </c>
      <c r="I1396" t="s">
        <v>14</v>
      </c>
      <c r="J1396" t="s">
        <v>14</v>
      </c>
      <c r="K1396">
        <v>44</v>
      </c>
      <c r="L1396" t="str">
        <f>IF(AND(CallLog[[#This Row],[Answered (Y/N)]]="Y", CallLog[[#This Row],[Speed of answer in seconds]]&lt;=20),
    "Within",
    "Breach")</f>
        <v>Breach</v>
      </c>
      <c r="M1396" s="1">
        <v>4.1319444444444442E-3</v>
      </c>
      <c r="N1396">
        <v>5</v>
      </c>
    </row>
    <row r="1397" spans="1:14" x14ac:dyDescent="0.3">
      <c r="A1397" t="s">
        <v>1445</v>
      </c>
      <c r="B1397" t="s">
        <v>16</v>
      </c>
      <c r="C1397" t="s">
        <v>1388</v>
      </c>
      <c r="D1397" s="1">
        <v>0.66099537037037037</v>
      </c>
      <c r="E1397" s="2">
        <f>CallLog[[#This Row],[Date]]+CallLog[[#This Row],[Time]]</f>
        <v>44221.660995370374</v>
      </c>
      <c r="F1397" s="1" t="str">
        <f>TEXT(CallLog[[#This Row],[Date]],"dddd")</f>
        <v>Monday</v>
      </c>
      <c r="G1397" s="3">
        <f>HOUR(CallLog[[#This Row],[Time]])</f>
        <v>15</v>
      </c>
      <c r="H1397" t="s">
        <v>13</v>
      </c>
      <c r="I1397" t="s">
        <v>18</v>
      </c>
      <c r="J1397" t="s">
        <v>18</v>
      </c>
      <c r="L1397" t="str">
        <f>IF(AND(CallLog[[#This Row],[Answered (Y/N)]]="Y", CallLog[[#This Row],[Speed of answer in seconds]]&lt;=20),
    "Within",
    "Breach")</f>
        <v>Breach</v>
      </c>
    </row>
    <row r="1398" spans="1:14" x14ac:dyDescent="0.3">
      <c r="A1398" t="s">
        <v>1446</v>
      </c>
      <c r="B1398" t="s">
        <v>22</v>
      </c>
      <c r="C1398" t="s">
        <v>1388</v>
      </c>
      <c r="D1398" s="1">
        <v>0.66200231481481486</v>
      </c>
      <c r="E1398" s="2">
        <f>CallLog[[#This Row],[Date]]+CallLog[[#This Row],[Time]]</f>
        <v>44221.662002314813</v>
      </c>
      <c r="F1398" s="1" t="str">
        <f>TEXT(CallLog[[#This Row],[Date]],"dddd")</f>
        <v>Monday</v>
      </c>
      <c r="G1398" s="3">
        <f>HOUR(CallLog[[#This Row],[Time]])</f>
        <v>15</v>
      </c>
      <c r="H1398" t="s">
        <v>29</v>
      </c>
      <c r="I1398" t="s">
        <v>14</v>
      </c>
      <c r="J1398" t="s">
        <v>14</v>
      </c>
      <c r="K1398">
        <v>31</v>
      </c>
      <c r="L1398" t="str">
        <f>IF(AND(CallLog[[#This Row],[Answered (Y/N)]]="Y", CallLog[[#This Row],[Speed of answer in seconds]]&lt;=20),
    "Within",
    "Breach")</f>
        <v>Breach</v>
      </c>
      <c r="M1398" s="1">
        <v>3.3912037037037036E-3</v>
      </c>
      <c r="N1398">
        <v>3</v>
      </c>
    </row>
    <row r="1399" spans="1:14" x14ac:dyDescent="0.3">
      <c r="A1399" t="s">
        <v>1447</v>
      </c>
      <c r="B1399" t="s">
        <v>34</v>
      </c>
      <c r="C1399" t="s">
        <v>1388</v>
      </c>
      <c r="D1399" s="1">
        <v>0.66200231481481486</v>
      </c>
      <c r="E1399" s="2">
        <f>CallLog[[#This Row],[Date]]+CallLog[[#This Row],[Time]]</f>
        <v>44221.662002314813</v>
      </c>
      <c r="F1399" s="1" t="str">
        <f>TEXT(CallLog[[#This Row],[Date]],"dddd")</f>
        <v>Monday</v>
      </c>
      <c r="G1399" s="3">
        <f>HOUR(CallLog[[#This Row],[Time]])</f>
        <v>15</v>
      </c>
      <c r="H1399" t="s">
        <v>29</v>
      </c>
      <c r="I1399" t="s">
        <v>14</v>
      </c>
      <c r="J1399" t="s">
        <v>14</v>
      </c>
      <c r="K1399">
        <v>41</v>
      </c>
      <c r="L1399" t="str">
        <f>IF(AND(CallLog[[#This Row],[Answered (Y/N)]]="Y", CallLog[[#This Row],[Speed of answer in seconds]]&lt;=20),
    "Within",
    "Breach")</f>
        <v>Breach</v>
      </c>
      <c r="M1399" s="1">
        <v>3.4953703703703705E-3</v>
      </c>
      <c r="N1399">
        <v>5</v>
      </c>
    </row>
    <row r="1400" spans="1:14" x14ac:dyDescent="0.3">
      <c r="A1400" t="s">
        <v>1448</v>
      </c>
      <c r="B1400" t="s">
        <v>16</v>
      </c>
      <c r="C1400" t="s">
        <v>1388</v>
      </c>
      <c r="D1400" s="1">
        <v>0.67599537037037039</v>
      </c>
      <c r="E1400" s="2">
        <f>CallLog[[#This Row],[Date]]+CallLog[[#This Row],[Time]]</f>
        <v>44221.675995370373</v>
      </c>
      <c r="F1400" s="1" t="str">
        <f>TEXT(CallLog[[#This Row],[Date]],"dddd")</f>
        <v>Monday</v>
      </c>
      <c r="G1400" s="3">
        <f>HOUR(CallLog[[#This Row],[Time]])</f>
        <v>16</v>
      </c>
      <c r="H1400" t="s">
        <v>32</v>
      </c>
      <c r="I1400" t="s">
        <v>14</v>
      </c>
      <c r="J1400" t="s">
        <v>14</v>
      </c>
      <c r="K1400">
        <v>109</v>
      </c>
      <c r="L1400" t="str">
        <f>IF(AND(CallLog[[#This Row],[Answered (Y/N)]]="Y", CallLog[[#This Row],[Speed of answer in seconds]]&lt;=20),
    "Within",
    "Breach")</f>
        <v>Breach</v>
      </c>
      <c r="M1400" s="1">
        <v>4.0046296296296297E-3</v>
      </c>
      <c r="N1400">
        <v>3</v>
      </c>
    </row>
    <row r="1401" spans="1:14" x14ac:dyDescent="0.3">
      <c r="A1401" t="s">
        <v>1449</v>
      </c>
      <c r="B1401" t="s">
        <v>38</v>
      </c>
      <c r="C1401" t="s">
        <v>1388</v>
      </c>
      <c r="D1401" s="1">
        <v>0.67599537037037039</v>
      </c>
      <c r="E1401" s="2">
        <f>CallLog[[#This Row],[Date]]+CallLog[[#This Row],[Time]]</f>
        <v>44221.675995370373</v>
      </c>
      <c r="F1401" s="1" t="str">
        <f>TEXT(CallLog[[#This Row],[Date]],"dddd")</f>
        <v>Monday</v>
      </c>
      <c r="G1401" s="3">
        <f>HOUR(CallLog[[#This Row],[Time]])</f>
        <v>16</v>
      </c>
      <c r="H1401" t="s">
        <v>29</v>
      </c>
      <c r="I1401" t="s">
        <v>14</v>
      </c>
      <c r="J1401" t="s">
        <v>14</v>
      </c>
      <c r="K1401">
        <v>13</v>
      </c>
      <c r="L1401" t="str">
        <f>IF(AND(CallLog[[#This Row],[Answered (Y/N)]]="Y", CallLog[[#This Row],[Speed of answer in seconds]]&lt;=20),
    "Within",
    "Breach")</f>
        <v>Within</v>
      </c>
      <c r="M1401" s="1">
        <v>7.9861111111111116E-4</v>
      </c>
      <c r="N1401">
        <v>3</v>
      </c>
    </row>
    <row r="1402" spans="1:14" x14ac:dyDescent="0.3">
      <c r="A1402" t="s">
        <v>1450</v>
      </c>
      <c r="B1402" t="s">
        <v>11</v>
      </c>
      <c r="C1402" t="s">
        <v>1388</v>
      </c>
      <c r="D1402" s="1">
        <v>0.73099537037037032</v>
      </c>
      <c r="E1402" s="2">
        <f>CallLog[[#This Row],[Date]]+CallLog[[#This Row],[Time]]</f>
        <v>44221.730995370373</v>
      </c>
      <c r="F1402" s="1" t="str">
        <f>TEXT(CallLog[[#This Row],[Date]],"dddd")</f>
        <v>Monday</v>
      </c>
      <c r="G1402" s="3">
        <f>HOUR(CallLog[[#This Row],[Time]])</f>
        <v>17</v>
      </c>
      <c r="H1402" t="s">
        <v>24</v>
      </c>
      <c r="I1402" t="s">
        <v>14</v>
      </c>
      <c r="J1402" t="s">
        <v>14</v>
      </c>
      <c r="K1402">
        <v>19</v>
      </c>
      <c r="L1402" t="str">
        <f>IF(AND(CallLog[[#This Row],[Answered (Y/N)]]="Y", CallLog[[#This Row],[Speed of answer in seconds]]&lt;=20),
    "Within",
    "Breach")</f>
        <v>Within</v>
      </c>
      <c r="M1402" s="1">
        <v>4.6064814814814814E-3</v>
      </c>
      <c r="N1402">
        <v>5</v>
      </c>
    </row>
    <row r="1403" spans="1:14" x14ac:dyDescent="0.3">
      <c r="A1403" t="s">
        <v>1451</v>
      </c>
      <c r="B1403" t="s">
        <v>20</v>
      </c>
      <c r="C1403" t="s">
        <v>1388</v>
      </c>
      <c r="D1403" s="1">
        <v>0.73099537037037032</v>
      </c>
      <c r="E1403" s="2">
        <f>CallLog[[#This Row],[Date]]+CallLog[[#This Row],[Time]]</f>
        <v>44221.730995370373</v>
      </c>
      <c r="F1403" s="1" t="str">
        <f>TEXT(CallLog[[#This Row],[Date]],"dddd")</f>
        <v>Monday</v>
      </c>
      <c r="G1403" s="3">
        <f>HOUR(CallLog[[#This Row],[Time]])</f>
        <v>17</v>
      </c>
      <c r="H1403" t="s">
        <v>13</v>
      </c>
      <c r="I1403" t="s">
        <v>14</v>
      </c>
      <c r="J1403" t="s">
        <v>14</v>
      </c>
      <c r="K1403">
        <v>76</v>
      </c>
      <c r="L1403" t="str">
        <f>IF(AND(CallLog[[#This Row],[Answered (Y/N)]]="Y", CallLog[[#This Row],[Speed of answer in seconds]]&lt;=20),
    "Within",
    "Breach")</f>
        <v>Breach</v>
      </c>
      <c r="M1403" s="1">
        <v>3.9814814814814817E-3</v>
      </c>
      <c r="N1403">
        <v>5</v>
      </c>
    </row>
    <row r="1404" spans="1:14" x14ac:dyDescent="0.3">
      <c r="A1404" t="s">
        <v>1452</v>
      </c>
      <c r="B1404" t="s">
        <v>16</v>
      </c>
      <c r="C1404" t="s">
        <v>1453</v>
      </c>
      <c r="D1404" s="1">
        <v>0.37900462962962961</v>
      </c>
      <c r="E1404" s="2">
        <f>CallLog[[#This Row],[Date]]+CallLog[[#This Row],[Time]]</f>
        <v>44222.379004629627</v>
      </c>
      <c r="F1404" s="1" t="str">
        <f>TEXT(CallLog[[#This Row],[Date]],"dddd")</f>
        <v>Tuesday</v>
      </c>
      <c r="G1404" s="3">
        <f>HOUR(CallLog[[#This Row],[Time]])</f>
        <v>9</v>
      </c>
      <c r="H1404" t="s">
        <v>13</v>
      </c>
      <c r="I1404" t="s">
        <v>14</v>
      </c>
      <c r="J1404" t="s">
        <v>14</v>
      </c>
      <c r="K1404">
        <v>86</v>
      </c>
      <c r="L1404" t="str">
        <f>IF(AND(CallLog[[#This Row],[Answered (Y/N)]]="Y", CallLog[[#This Row],[Speed of answer in seconds]]&lt;=20),
    "Within",
    "Breach")</f>
        <v>Breach</v>
      </c>
      <c r="M1404" s="1">
        <v>7.1759259259259259E-4</v>
      </c>
      <c r="N1404">
        <v>4</v>
      </c>
    </row>
    <row r="1405" spans="1:14" x14ac:dyDescent="0.3">
      <c r="A1405" t="s">
        <v>1454</v>
      </c>
      <c r="B1405" t="s">
        <v>38</v>
      </c>
      <c r="C1405" t="s">
        <v>1453</v>
      </c>
      <c r="D1405" s="1">
        <v>0.37900462962962961</v>
      </c>
      <c r="E1405" s="2">
        <f>CallLog[[#This Row],[Date]]+CallLog[[#This Row],[Time]]</f>
        <v>44222.379004629627</v>
      </c>
      <c r="F1405" s="1" t="str">
        <f>TEXT(CallLog[[#This Row],[Date]],"dddd")</f>
        <v>Tuesday</v>
      </c>
      <c r="G1405" s="3">
        <f>HOUR(CallLog[[#This Row],[Time]])</f>
        <v>9</v>
      </c>
      <c r="H1405" t="s">
        <v>13</v>
      </c>
      <c r="I1405" t="s">
        <v>14</v>
      </c>
      <c r="J1405" t="s">
        <v>14</v>
      </c>
      <c r="K1405">
        <v>63</v>
      </c>
      <c r="L1405" t="str">
        <f>IF(AND(CallLog[[#This Row],[Answered (Y/N)]]="Y", CallLog[[#This Row],[Speed of answer in seconds]]&lt;=20),
    "Within",
    "Breach")</f>
        <v>Breach</v>
      </c>
      <c r="M1405" s="1">
        <v>1.6782407407407408E-3</v>
      </c>
      <c r="N1405">
        <v>4</v>
      </c>
    </row>
    <row r="1406" spans="1:14" x14ac:dyDescent="0.3">
      <c r="A1406" t="s">
        <v>1455</v>
      </c>
      <c r="B1406" t="s">
        <v>47</v>
      </c>
      <c r="C1406" t="s">
        <v>1453</v>
      </c>
      <c r="D1406" s="1">
        <v>0.39599537037037036</v>
      </c>
      <c r="E1406" s="2">
        <f>CallLog[[#This Row],[Date]]+CallLog[[#This Row],[Time]]</f>
        <v>44222.395995370367</v>
      </c>
      <c r="F1406" s="1" t="str">
        <f>TEXT(CallLog[[#This Row],[Date]],"dddd")</f>
        <v>Tuesday</v>
      </c>
      <c r="G1406" s="3">
        <f>HOUR(CallLog[[#This Row],[Time]])</f>
        <v>9</v>
      </c>
      <c r="H1406" t="s">
        <v>24</v>
      </c>
      <c r="I1406" t="s">
        <v>14</v>
      </c>
      <c r="J1406" t="s">
        <v>14</v>
      </c>
      <c r="K1406">
        <v>113</v>
      </c>
      <c r="L1406" t="str">
        <f>IF(AND(CallLog[[#This Row],[Answered (Y/N)]]="Y", CallLog[[#This Row],[Speed of answer in seconds]]&lt;=20),
    "Within",
    "Breach")</f>
        <v>Breach</v>
      </c>
      <c r="M1406" s="1">
        <v>5.9027777777777778E-4</v>
      </c>
      <c r="N1406">
        <v>5</v>
      </c>
    </row>
    <row r="1407" spans="1:14" x14ac:dyDescent="0.3">
      <c r="A1407" t="s">
        <v>1456</v>
      </c>
      <c r="B1407" t="s">
        <v>22</v>
      </c>
      <c r="C1407" t="s">
        <v>1453</v>
      </c>
      <c r="D1407" s="1">
        <v>0.39599537037037036</v>
      </c>
      <c r="E1407" s="2">
        <f>CallLog[[#This Row],[Date]]+CallLog[[#This Row],[Time]]</f>
        <v>44222.395995370367</v>
      </c>
      <c r="F1407" s="1" t="str">
        <f>TEXT(CallLog[[#This Row],[Date]],"dddd")</f>
        <v>Tuesday</v>
      </c>
      <c r="G1407" s="3">
        <f>HOUR(CallLog[[#This Row],[Time]])</f>
        <v>9</v>
      </c>
      <c r="H1407" t="s">
        <v>29</v>
      </c>
      <c r="I1407" t="s">
        <v>14</v>
      </c>
      <c r="J1407" t="s">
        <v>14</v>
      </c>
      <c r="K1407">
        <v>84</v>
      </c>
      <c r="L1407" t="str">
        <f>IF(AND(CallLog[[#This Row],[Answered (Y/N)]]="Y", CallLog[[#This Row],[Speed of answer in seconds]]&lt;=20),
    "Within",
    "Breach")</f>
        <v>Breach</v>
      </c>
      <c r="M1407" s="1">
        <v>8.9120370370370373E-4</v>
      </c>
      <c r="N1407">
        <v>3</v>
      </c>
    </row>
    <row r="1408" spans="1:14" x14ac:dyDescent="0.3">
      <c r="A1408" t="s">
        <v>1457</v>
      </c>
      <c r="B1408" t="s">
        <v>31</v>
      </c>
      <c r="C1408" t="s">
        <v>1453</v>
      </c>
      <c r="D1408" s="1">
        <v>0.40400462962962963</v>
      </c>
      <c r="E1408" s="2">
        <f>CallLog[[#This Row],[Date]]+CallLog[[#This Row],[Time]]</f>
        <v>44222.404004629629</v>
      </c>
      <c r="F1408" s="1" t="str">
        <f>TEXT(CallLog[[#This Row],[Date]],"dddd")</f>
        <v>Tuesday</v>
      </c>
      <c r="G1408" s="3">
        <f>HOUR(CallLog[[#This Row],[Time]])</f>
        <v>9</v>
      </c>
      <c r="H1408" t="s">
        <v>29</v>
      </c>
      <c r="I1408" t="s">
        <v>14</v>
      </c>
      <c r="J1408" t="s">
        <v>18</v>
      </c>
      <c r="K1408">
        <v>41</v>
      </c>
      <c r="L1408" t="str">
        <f>IF(AND(CallLog[[#This Row],[Answered (Y/N)]]="Y", CallLog[[#This Row],[Speed of answer in seconds]]&lt;=20),
    "Within",
    "Breach")</f>
        <v>Breach</v>
      </c>
      <c r="M1408" s="1">
        <v>2.3842592592592591E-3</v>
      </c>
      <c r="N1408">
        <v>4</v>
      </c>
    </row>
    <row r="1409" spans="1:14" x14ac:dyDescent="0.3">
      <c r="A1409" t="s">
        <v>1458</v>
      </c>
      <c r="B1409" t="s">
        <v>16</v>
      </c>
      <c r="C1409" t="s">
        <v>1453</v>
      </c>
      <c r="D1409" s="1">
        <v>0.40400462962962963</v>
      </c>
      <c r="E1409" s="2">
        <f>CallLog[[#This Row],[Date]]+CallLog[[#This Row],[Time]]</f>
        <v>44222.404004629629</v>
      </c>
      <c r="F1409" s="1" t="str">
        <f>TEXT(CallLog[[#This Row],[Date]],"dddd")</f>
        <v>Tuesday</v>
      </c>
      <c r="G1409" s="3">
        <f>HOUR(CallLog[[#This Row],[Time]])</f>
        <v>9</v>
      </c>
      <c r="H1409" t="s">
        <v>24</v>
      </c>
      <c r="I1409" t="s">
        <v>14</v>
      </c>
      <c r="J1409" t="s">
        <v>14</v>
      </c>
      <c r="K1409">
        <v>13</v>
      </c>
      <c r="L1409" t="str">
        <f>IF(AND(CallLog[[#This Row],[Answered (Y/N)]]="Y", CallLog[[#This Row],[Speed of answer in seconds]]&lt;=20),
    "Within",
    "Breach")</f>
        <v>Within</v>
      </c>
      <c r="M1409" s="1">
        <v>2.6967592592592594E-3</v>
      </c>
      <c r="N1409">
        <v>3</v>
      </c>
    </row>
    <row r="1410" spans="1:14" x14ac:dyDescent="0.3">
      <c r="A1410" t="s">
        <v>1459</v>
      </c>
      <c r="B1410" t="s">
        <v>20</v>
      </c>
      <c r="C1410" t="s">
        <v>1453</v>
      </c>
      <c r="D1410" s="1">
        <v>0.41099537037037037</v>
      </c>
      <c r="E1410" s="2">
        <f>CallLog[[#This Row],[Date]]+CallLog[[#This Row],[Time]]</f>
        <v>44222.410995370374</v>
      </c>
      <c r="F1410" s="1" t="str">
        <f>TEXT(CallLog[[#This Row],[Date]],"dddd")</f>
        <v>Tuesday</v>
      </c>
      <c r="G1410" s="3">
        <f>HOUR(CallLog[[#This Row],[Time]])</f>
        <v>9</v>
      </c>
      <c r="H1410" t="s">
        <v>17</v>
      </c>
      <c r="I1410" t="s">
        <v>18</v>
      </c>
      <c r="J1410" t="s">
        <v>18</v>
      </c>
      <c r="L1410" t="str">
        <f>IF(AND(CallLog[[#This Row],[Answered (Y/N)]]="Y", CallLog[[#This Row],[Speed of answer in seconds]]&lt;=20),
    "Within",
    "Breach")</f>
        <v>Breach</v>
      </c>
    </row>
    <row r="1411" spans="1:14" x14ac:dyDescent="0.3">
      <c r="A1411" t="s">
        <v>1460</v>
      </c>
      <c r="B1411" t="s">
        <v>31</v>
      </c>
      <c r="C1411" t="s">
        <v>1453</v>
      </c>
      <c r="D1411" s="1">
        <v>0.41099537037037037</v>
      </c>
      <c r="E1411" s="2">
        <f>CallLog[[#This Row],[Date]]+CallLog[[#This Row],[Time]]</f>
        <v>44222.410995370374</v>
      </c>
      <c r="F1411" s="1" t="str">
        <f>TEXT(CallLog[[#This Row],[Date]],"dddd")</f>
        <v>Tuesday</v>
      </c>
      <c r="G1411" s="3">
        <f>HOUR(CallLog[[#This Row],[Time]])</f>
        <v>9</v>
      </c>
      <c r="H1411" t="s">
        <v>24</v>
      </c>
      <c r="I1411" t="s">
        <v>14</v>
      </c>
      <c r="J1411" t="s">
        <v>14</v>
      </c>
      <c r="K1411">
        <v>79</v>
      </c>
      <c r="L1411" t="str">
        <f>IF(AND(CallLog[[#This Row],[Answered (Y/N)]]="Y", CallLog[[#This Row],[Speed of answer in seconds]]&lt;=20),
    "Within",
    "Breach")</f>
        <v>Breach</v>
      </c>
      <c r="M1411" s="1">
        <v>1.9675925925925924E-3</v>
      </c>
      <c r="N1411">
        <v>3</v>
      </c>
    </row>
    <row r="1412" spans="1:14" x14ac:dyDescent="0.3">
      <c r="A1412" t="s">
        <v>1461</v>
      </c>
      <c r="B1412" t="s">
        <v>11</v>
      </c>
      <c r="C1412" t="s">
        <v>1453</v>
      </c>
      <c r="D1412" s="1">
        <v>0.43599537037037039</v>
      </c>
      <c r="E1412" s="2">
        <f>CallLog[[#This Row],[Date]]+CallLog[[#This Row],[Time]]</f>
        <v>44222.435995370368</v>
      </c>
      <c r="F1412" s="1" t="str">
        <f>TEXT(CallLog[[#This Row],[Date]],"dddd")</f>
        <v>Tuesday</v>
      </c>
      <c r="G1412" s="3">
        <f>HOUR(CallLog[[#This Row],[Time]])</f>
        <v>10</v>
      </c>
      <c r="H1412" t="s">
        <v>13</v>
      </c>
      <c r="I1412" t="s">
        <v>14</v>
      </c>
      <c r="J1412" t="s">
        <v>14</v>
      </c>
      <c r="K1412">
        <v>103</v>
      </c>
      <c r="L1412" t="str">
        <f>IF(AND(CallLog[[#This Row],[Answered (Y/N)]]="Y", CallLog[[#This Row],[Speed of answer in seconds]]&lt;=20),
    "Within",
    "Breach")</f>
        <v>Breach</v>
      </c>
      <c r="M1412" s="1">
        <v>1.7476851851851852E-3</v>
      </c>
      <c r="N1412">
        <v>3</v>
      </c>
    </row>
    <row r="1413" spans="1:14" x14ac:dyDescent="0.3">
      <c r="A1413" t="s">
        <v>1462</v>
      </c>
      <c r="B1413" t="s">
        <v>11</v>
      </c>
      <c r="C1413" t="s">
        <v>1453</v>
      </c>
      <c r="D1413" s="1">
        <v>0.43599537037037039</v>
      </c>
      <c r="E1413" s="2">
        <f>CallLog[[#This Row],[Date]]+CallLog[[#This Row],[Time]]</f>
        <v>44222.435995370368</v>
      </c>
      <c r="F1413" s="1" t="str">
        <f>TEXT(CallLog[[#This Row],[Date]],"dddd")</f>
        <v>Tuesday</v>
      </c>
      <c r="G1413" s="3">
        <f>HOUR(CallLog[[#This Row],[Time]])</f>
        <v>10</v>
      </c>
      <c r="H1413" t="s">
        <v>13</v>
      </c>
      <c r="I1413" t="s">
        <v>14</v>
      </c>
      <c r="J1413" t="s">
        <v>14</v>
      </c>
      <c r="K1413">
        <v>68</v>
      </c>
      <c r="L1413" t="str">
        <f>IF(AND(CallLog[[#This Row],[Answered (Y/N)]]="Y", CallLog[[#This Row],[Speed of answer in seconds]]&lt;=20),
    "Within",
    "Breach")</f>
        <v>Breach</v>
      </c>
      <c r="M1413" s="1">
        <v>1.5972222222222223E-3</v>
      </c>
      <c r="N1413">
        <v>3</v>
      </c>
    </row>
    <row r="1414" spans="1:14" x14ac:dyDescent="0.3">
      <c r="A1414" t="s">
        <v>1463</v>
      </c>
      <c r="B1414" t="s">
        <v>11</v>
      </c>
      <c r="C1414" t="s">
        <v>1453</v>
      </c>
      <c r="D1414" s="1">
        <v>0.44500000000000001</v>
      </c>
      <c r="E1414" s="2">
        <f>CallLog[[#This Row],[Date]]+CallLog[[#This Row],[Time]]</f>
        <v>44222.445</v>
      </c>
      <c r="F1414" s="1" t="str">
        <f>TEXT(CallLog[[#This Row],[Date]],"dddd")</f>
        <v>Tuesday</v>
      </c>
      <c r="G1414" s="3">
        <f>HOUR(CallLog[[#This Row],[Time]])</f>
        <v>10</v>
      </c>
      <c r="H1414" t="s">
        <v>13</v>
      </c>
      <c r="I1414" t="s">
        <v>14</v>
      </c>
      <c r="J1414" t="s">
        <v>14</v>
      </c>
      <c r="K1414">
        <v>57</v>
      </c>
      <c r="L1414" t="str">
        <f>IF(AND(CallLog[[#This Row],[Answered (Y/N)]]="Y", CallLog[[#This Row],[Speed of answer in seconds]]&lt;=20),
    "Within",
    "Breach")</f>
        <v>Breach</v>
      </c>
      <c r="M1414" s="1">
        <v>3.8078703703703703E-3</v>
      </c>
      <c r="N1414">
        <v>2</v>
      </c>
    </row>
    <row r="1415" spans="1:14" x14ac:dyDescent="0.3">
      <c r="A1415" t="s">
        <v>1464</v>
      </c>
      <c r="B1415" t="s">
        <v>20</v>
      </c>
      <c r="C1415" t="s">
        <v>1453</v>
      </c>
      <c r="D1415" s="1">
        <v>0.44500000000000001</v>
      </c>
      <c r="E1415" s="2">
        <f>CallLog[[#This Row],[Date]]+CallLog[[#This Row],[Time]]</f>
        <v>44222.445</v>
      </c>
      <c r="F1415" s="1" t="str">
        <f>TEXT(CallLog[[#This Row],[Date]],"dddd")</f>
        <v>Tuesday</v>
      </c>
      <c r="G1415" s="3">
        <f>HOUR(CallLog[[#This Row],[Time]])</f>
        <v>10</v>
      </c>
      <c r="H1415" t="s">
        <v>24</v>
      </c>
      <c r="I1415" t="s">
        <v>18</v>
      </c>
      <c r="J1415" t="s">
        <v>18</v>
      </c>
      <c r="L1415" t="str">
        <f>IF(AND(CallLog[[#This Row],[Answered (Y/N)]]="Y", CallLog[[#This Row],[Speed of answer in seconds]]&lt;=20),
    "Within",
    "Breach")</f>
        <v>Breach</v>
      </c>
    </row>
    <row r="1416" spans="1:14" x14ac:dyDescent="0.3">
      <c r="A1416" t="s">
        <v>1465</v>
      </c>
      <c r="B1416" t="s">
        <v>11</v>
      </c>
      <c r="C1416" t="s">
        <v>1453</v>
      </c>
      <c r="D1416" s="1">
        <v>0.45200231481481479</v>
      </c>
      <c r="E1416" s="2">
        <f>CallLog[[#This Row],[Date]]+CallLog[[#This Row],[Time]]</f>
        <v>44222.452002314814</v>
      </c>
      <c r="F1416" s="1" t="str">
        <f>TEXT(CallLog[[#This Row],[Date]],"dddd")</f>
        <v>Tuesday</v>
      </c>
      <c r="G1416" s="3">
        <f>HOUR(CallLog[[#This Row],[Time]])</f>
        <v>10</v>
      </c>
      <c r="H1416" t="s">
        <v>24</v>
      </c>
      <c r="I1416" t="s">
        <v>14</v>
      </c>
      <c r="J1416" t="s">
        <v>14</v>
      </c>
      <c r="K1416">
        <v>72</v>
      </c>
      <c r="L1416" t="str">
        <f>IF(AND(CallLog[[#This Row],[Answered (Y/N)]]="Y", CallLog[[#This Row],[Speed of answer in seconds]]&lt;=20),
    "Within",
    "Breach")</f>
        <v>Breach</v>
      </c>
      <c r="M1416" s="1">
        <v>1.0532407407407407E-3</v>
      </c>
      <c r="N1416">
        <v>3</v>
      </c>
    </row>
    <row r="1417" spans="1:14" x14ac:dyDescent="0.3">
      <c r="A1417" t="s">
        <v>1466</v>
      </c>
      <c r="B1417" t="s">
        <v>20</v>
      </c>
      <c r="C1417" t="s">
        <v>1453</v>
      </c>
      <c r="D1417" s="1">
        <v>0.45200231481481479</v>
      </c>
      <c r="E1417" s="2">
        <f>CallLog[[#This Row],[Date]]+CallLog[[#This Row],[Time]]</f>
        <v>44222.452002314814</v>
      </c>
      <c r="F1417" s="1" t="str">
        <f>TEXT(CallLog[[#This Row],[Date]],"dddd")</f>
        <v>Tuesday</v>
      </c>
      <c r="G1417" s="3">
        <f>HOUR(CallLog[[#This Row],[Time]])</f>
        <v>10</v>
      </c>
      <c r="H1417" t="s">
        <v>32</v>
      </c>
      <c r="I1417" t="s">
        <v>14</v>
      </c>
      <c r="J1417" t="s">
        <v>14</v>
      </c>
      <c r="K1417">
        <v>53</v>
      </c>
      <c r="L1417" t="str">
        <f>IF(AND(CallLog[[#This Row],[Answered (Y/N)]]="Y", CallLog[[#This Row],[Speed of answer in seconds]]&lt;=20),
    "Within",
    "Breach")</f>
        <v>Breach</v>
      </c>
      <c r="M1417" s="1">
        <v>4.0740740740740737E-3</v>
      </c>
      <c r="N1417">
        <v>5</v>
      </c>
    </row>
    <row r="1418" spans="1:14" x14ac:dyDescent="0.3">
      <c r="A1418" t="s">
        <v>1467</v>
      </c>
      <c r="B1418" t="s">
        <v>16</v>
      </c>
      <c r="C1418" t="s">
        <v>1453</v>
      </c>
      <c r="D1418" s="1">
        <v>0.45299768518518518</v>
      </c>
      <c r="E1418" s="2">
        <f>CallLog[[#This Row],[Date]]+CallLog[[#This Row],[Time]]</f>
        <v>44222.452997685185</v>
      </c>
      <c r="F1418" s="1" t="str">
        <f>TEXT(CallLog[[#This Row],[Date]],"dddd")</f>
        <v>Tuesday</v>
      </c>
      <c r="G1418" s="3">
        <f>HOUR(CallLog[[#This Row],[Time]])</f>
        <v>10</v>
      </c>
      <c r="H1418" t="s">
        <v>13</v>
      </c>
      <c r="I1418" t="s">
        <v>14</v>
      </c>
      <c r="J1418" t="s">
        <v>14</v>
      </c>
      <c r="K1418">
        <v>16</v>
      </c>
      <c r="L1418" t="str">
        <f>IF(AND(CallLog[[#This Row],[Answered (Y/N)]]="Y", CallLog[[#This Row],[Speed of answer in seconds]]&lt;=20),
    "Within",
    "Breach")</f>
        <v>Within</v>
      </c>
      <c r="M1418" s="1">
        <v>2.488425925925926E-3</v>
      </c>
      <c r="N1418">
        <v>1</v>
      </c>
    </row>
    <row r="1419" spans="1:14" x14ac:dyDescent="0.3">
      <c r="A1419" t="s">
        <v>1468</v>
      </c>
      <c r="B1419" t="s">
        <v>16</v>
      </c>
      <c r="C1419" t="s">
        <v>1453</v>
      </c>
      <c r="D1419" s="1">
        <v>0.45299768518518518</v>
      </c>
      <c r="E1419" s="2">
        <f>CallLog[[#This Row],[Date]]+CallLog[[#This Row],[Time]]</f>
        <v>44222.452997685185</v>
      </c>
      <c r="F1419" s="1" t="str">
        <f>TEXT(CallLog[[#This Row],[Date]],"dddd")</f>
        <v>Tuesday</v>
      </c>
      <c r="G1419" s="3">
        <f>HOUR(CallLog[[#This Row],[Time]])</f>
        <v>10</v>
      </c>
      <c r="H1419" t="s">
        <v>17</v>
      </c>
      <c r="I1419" t="s">
        <v>14</v>
      </c>
      <c r="J1419" t="s">
        <v>14</v>
      </c>
      <c r="K1419">
        <v>77</v>
      </c>
      <c r="L1419" t="str">
        <f>IF(AND(CallLog[[#This Row],[Answered (Y/N)]]="Y", CallLog[[#This Row],[Speed of answer in seconds]]&lt;=20),
    "Within",
    "Breach")</f>
        <v>Breach</v>
      </c>
      <c r="M1419" s="1">
        <v>1.1805555555555556E-3</v>
      </c>
      <c r="N1419">
        <v>3</v>
      </c>
    </row>
    <row r="1420" spans="1:14" x14ac:dyDescent="0.3">
      <c r="A1420" t="s">
        <v>1469</v>
      </c>
      <c r="B1420" t="s">
        <v>47</v>
      </c>
      <c r="C1420" t="s">
        <v>1453</v>
      </c>
      <c r="D1420" s="1">
        <v>0.45799768518518519</v>
      </c>
      <c r="E1420" s="2">
        <f>CallLog[[#This Row],[Date]]+CallLog[[#This Row],[Time]]</f>
        <v>44222.457997685182</v>
      </c>
      <c r="F1420" s="1" t="str">
        <f>TEXT(CallLog[[#This Row],[Date]],"dddd")</f>
        <v>Tuesday</v>
      </c>
      <c r="G1420" s="3">
        <f>HOUR(CallLog[[#This Row],[Time]])</f>
        <v>10</v>
      </c>
      <c r="H1420" t="s">
        <v>24</v>
      </c>
      <c r="I1420" t="s">
        <v>14</v>
      </c>
      <c r="J1420" t="s">
        <v>14</v>
      </c>
      <c r="K1420">
        <v>68</v>
      </c>
      <c r="L1420" t="str">
        <f>IF(AND(CallLog[[#This Row],[Answered (Y/N)]]="Y", CallLog[[#This Row],[Speed of answer in seconds]]&lt;=20),
    "Within",
    "Breach")</f>
        <v>Breach</v>
      </c>
      <c r="M1420" s="1">
        <v>4.7222222222222223E-3</v>
      </c>
      <c r="N1420">
        <v>5</v>
      </c>
    </row>
    <row r="1421" spans="1:14" x14ac:dyDescent="0.3">
      <c r="A1421" t="s">
        <v>1470</v>
      </c>
      <c r="B1421" t="s">
        <v>47</v>
      </c>
      <c r="C1421" t="s">
        <v>1453</v>
      </c>
      <c r="D1421" s="1">
        <v>0.45799768518518519</v>
      </c>
      <c r="E1421" s="2">
        <f>CallLog[[#This Row],[Date]]+CallLog[[#This Row],[Time]]</f>
        <v>44222.457997685182</v>
      </c>
      <c r="F1421" s="1" t="str">
        <f>TEXT(CallLog[[#This Row],[Date]],"dddd")</f>
        <v>Tuesday</v>
      </c>
      <c r="G1421" s="3">
        <f>HOUR(CallLog[[#This Row],[Time]])</f>
        <v>10</v>
      </c>
      <c r="H1421" t="s">
        <v>32</v>
      </c>
      <c r="I1421" t="s">
        <v>14</v>
      </c>
      <c r="J1421" t="s">
        <v>14</v>
      </c>
      <c r="K1421">
        <v>50</v>
      </c>
      <c r="L1421" t="str">
        <f>IF(AND(CallLog[[#This Row],[Answered (Y/N)]]="Y", CallLog[[#This Row],[Speed of answer in seconds]]&lt;=20),
    "Within",
    "Breach")</f>
        <v>Breach</v>
      </c>
      <c r="M1421" s="1">
        <v>1.9212962962962964E-3</v>
      </c>
      <c r="N1421">
        <v>4</v>
      </c>
    </row>
    <row r="1422" spans="1:14" x14ac:dyDescent="0.3">
      <c r="A1422" t="s">
        <v>1471</v>
      </c>
      <c r="B1422" t="s">
        <v>34</v>
      </c>
      <c r="C1422" t="s">
        <v>1453</v>
      </c>
      <c r="D1422" s="1">
        <v>0.47200231481481481</v>
      </c>
      <c r="E1422" s="2">
        <f>CallLog[[#This Row],[Date]]+CallLog[[#This Row],[Time]]</f>
        <v>44222.472002314818</v>
      </c>
      <c r="F1422" s="1" t="str">
        <f>TEXT(CallLog[[#This Row],[Date]],"dddd")</f>
        <v>Tuesday</v>
      </c>
      <c r="G1422" s="3">
        <f>HOUR(CallLog[[#This Row],[Time]])</f>
        <v>11</v>
      </c>
      <c r="H1422" t="s">
        <v>29</v>
      </c>
      <c r="I1422" t="s">
        <v>18</v>
      </c>
      <c r="J1422" t="s">
        <v>18</v>
      </c>
      <c r="L1422" t="str">
        <f>IF(AND(CallLog[[#This Row],[Answered (Y/N)]]="Y", CallLog[[#This Row],[Speed of answer in seconds]]&lt;=20),
    "Within",
    "Breach")</f>
        <v>Breach</v>
      </c>
    </row>
    <row r="1423" spans="1:14" x14ac:dyDescent="0.3">
      <c r="A1423" t="s">
        <v>1472</v>
      </c>
      <c r="B1423" t="s">
        <v>47</v>
      </c>
      <c r="C1423" t="s">
        <v>1453</v>
      </c>
      <c r="D1423" s="1">
        <v>0.47200231481481481</v>
      </c>
      <c r="E1423" s="2">
        <f>CallLog[[#This Row],[Date]]+CallLog[[#This Row],[Time]]</f>
        <v>44222.472002314818</v>
      </c>
      <c r="F1423" s="1" t="str">
        <f>TEXT(CallLog[[#This Row],[Date]],"dddd")</f>
        <v>Tuesday</v>
      </c>
      <c r="G1423" s="3">
        <f>HOUR(CallLog[[#This Row],[Time]])</f>
        <v>11</v>
      </c>
      <c r="H1423" t="s">
        <v>24</v>
      </c>
      <c r="I1423" t="s">
        <v>14</v>
      </c>
      <c r="J1423" t="s">
        <v>14</v>
      </c>
      <c r="K1423">
        <v>68</v>
      </c>
      <c r="L1423" t="str">
        <f>IF(AND(CallLog[[#This Row],[Answered (Y/N)]]="Y", CallLog[[#This Row],[Speed of answer in seconds]]&lt;=20),
    "Within",
    "Breach")</f>
        <v>Breach</v>
      </c>
      <c r="M1423" s="1">
        <v>3.6574074074074074E-3</v>
      </c>
      <c r="N1423">
        <v>3</v>
      </c>
    </row>
    <row r="1424" spans="1:14" x14ac:dyDescent="0.3">
      <c r="A1424" t="s">
        <v>1473</v>
      </c>
      <c r="B1424" t="s">
        <v>11</v>
      </c>
      <c r="C1424" t="s">
        <v>1453</v>
      </c>
      <c r="D1424" s="1">
        <v>0.49099537037037039</v>
      </c>
      <c r="E1424" s="2">
        <f>CallLog[[#This Row],[Date]]+CallLog[[#This Row],[Time]]</f>
        <v>44222.490995370368</v>
      </c>
      <c r="F1424" s="1" t="str">
        <f>TEXT(CallLog[[#This Row],[Date]],"dddd")</f>
        <v>Tuesday</v>
      </c>
      <c r="G1424" s="3">
        <f>HOUR(CallLog[[#This Row],[Time]])</f>
        <v>11</v>
      </c>
      <c r="H1424" t="s">
        <v>32</v>
      </c>
      <c r="I1424" t="s">
        <v>14</v>
      </c>
      <c r="J1424" t="s">
        <v>14</v>
      </c>
      <c r="K1424">
        <v>39</v>
      </c>
      <c r="L1424" t="str">
        <f>IF(AND(CallLog[[#This Row],[Answered (Y/N)]]="Y", CallLog[[#This Row],[Speed of answer in seconds]]&lt;=20),
    "Within",
    "Breach")</f>
        <v>Breach</v>
      </c>
      <c r="M1424" s="1">
        <v>2.685185185185185E-3</v>
      </c>
      <c r="N1424">
        <v>5</v>
      </c>
    </row>
    <row r="1425" spans="1:14" x14ac:dyDescent="0.3">
      <c r="A1425" t="s">
        <v>1474</v>
      </c>
      <c r="B1425" t="s">
        <v>11</v>
      </c>
      <c r="C1425" t="s">
        <v>1453</v>
      </c>
      <c r="D1425" s="1">
        <v>0.49099537037037039</v>
      </c>
      <c r="E1425" s="2">
        <f>CallLog[[#This Row],[Date]]+CallLog[[#This Row],[Time]]</f>
        <v>44222.490995370368</v>
      </c>
      <c r="F1425" s="1" t="str">
        <f>TEXT(CallLog[[#This Row],[Date]],"dddd")</f>
        <v>Tuesday</v>
      </c>
      <c r="G1425" s="3">
        <f>HOUR(CallLog[[#This Row],[Time]])</f>
        <v>11</v>
      </c>
      <c r="H1425" t="s">
        <v>13</v>
      </c>
      <c r="I1425" t="s">
        <v>14</v>
      </c>
      <c r="J1425" t="s">
        <v>14</v>
      </c>
      <c r="K1425">
        <v>78</v>
      </c>
      <c r="L1425" t="str">
        <f>IF(AND(CallLog[[#This Row],[Answered (Y/N)]]="Y", CallLog[[#This Row],[Speed of answer in seconds]]&lt;=20),
    "Within",
    "Breach")</f>
        <v>Breach</v>
      </c>
      <c r="M1425" s="1">
        <v>4.5717592592592589E-3</v>
      </c>
      <c r="N1425">
        <v>4</v>
      </c>
    </row>
    <row r="1426" spans="1:14" x14ac:dyDescent="0.3">
      <c r="A1426" t="s">
        <v>1475</v>
      </c>
      <c r="B1426" t="s">
        <v>11</v>
      </c>
      <c r="C1426" t="s">
        <v>1453</v>
      </c>
      <c r="D1426" s="1">
        <v>0.53400462962962958</v>
      </c>
      <c r="E1426" s="2">
        <f>CallLog[[#This Row],[Date]]+CallLog[[#This Row],[Time]]</f>
        <v>44222.534004629626</v>
      </c>
      <c r="F1426" s="1" t="str">
        <f>TEXT(CallLog[[#This Row],[Date]],"dddd")</f>
        <v>Tuesday</v>
      </c>
      <c r="G1426" s="3">
        <f>HOUR(CallLog[[#This Row],[Time]])</f>
        <v>12</v>
      </c>
      <c r="H1426" t="s">
        <v>32</v>
      </c>
      <c r="I1426" t="s">
        <v>14</v>
      </c>
      <c r="J1426" t="s">
        <v>14</v>
      </c>
      <c r="K1426">
        <v>106</v>
      </c>
      <c r="L1426" t="str">
        <f>IF(AND(CallLog[[#This Row],[Answered (Y/N)]]="Y", CallLog[[#This Row],[Speed of answer in seconds]]&lt;=20),
    "Within",
    "Breach")</f>
        <v>Breach</v>
      </c>
      <c r="M1426" s="1">
        <v>1.2962962962962963E-3</v>
      </c>
      <c r="N1426">
        <v>3</v>
      </c>
    </row>
    <row r="1427" spans="1:14" x14ac:dyDescent="0.3">
      <c r="A1427" t="s">
        <v>1476</v>
      </c>
      <c r="B1427" t="s">
        <v>16</v>
      </c>
      <c r="C1427" t="s">
        <v>1453</v>
      </c>
      <c r="D1427" s="1">
        <v>0.53400462962962958</v>
      </c>
      <c r="E1427" s="2">
        <f>CallLog[[#This Row],[Date]]+CallLog[[#This Row],[Time]]</f>
        <v>44222.534004629626</v>
      </c>
      <c r="F1427" s="1" t="str">
        <f>TEXT(CallLog[[#This Row],[Date]],"dddd")</f>
        <v>Tuesday</v>
      </c>
      <c r="G1427" s="3">
        <f>HOUR(CallLog[[#This Row],[Time]])</f>
        <v>12</v>
      </c>
      <c r="H1427" t="s">
        <v>32</v>
      </c>
      <c r="I1427" t="s">
        <v>18</v>
      </c>
      <c r="J1427" t="s">
        <v>18</v>
      </c>
      <c r="L1427" t="str">
        <f>IF(AND(CallLog[[#This Row],[Answered (Y/N)]]="Y", CallLog[[#This Row],[Speed of answer in seconds]]&lt;=20),
    "Within",
    "Breach")</f>
        <v>Breach</v>
      </c>
    </row>
    <row r="1428" spans="1:14" x14ac:dyDescent="0.3">
      <c r="A1428" t="s">
        <v>1477</v>
      </c>
      <c r="B1428" t="s">
        <v>47</v>
      </c>
      <c r="C1428" t="s">
        <v>1453</v>
      </c>
      <c r="D1428" s="1">
        <v>0.53500000000000003</v>
      </c>
      <c r="E1428" s="2">
        <f>CallLog[[#This Row],[Date]]+CallLog[[#This Row],[Time]]</f>
        <v>44222.535000000003</v>
      </c>
      <c r="F1428" s="1" t="str">
        <f>TEXT(CallLog[[#This Row],[Date]],"dddd")</f>
        <v>Tuesday</v>
      </c>
      <c r="G1428" s="3">
        <f>HOUR(CallLog[[#This Row],[Time]])</f>
        <v>12</v>
      </c>
      <c r="H1428" t="s">
        <v>29</v>
      </c>
      <c r="I1428" t="s">
        <v>14</v>
      </c>
      <c r="J1428" t="s">
        <v>14</v>
      </c>
      <c r="K1428">
        <v>66</v>
      </c>
      <c r="L1428" t="str">
        <f>IF(AND(CallLog[[#This Row],[Answered (Y/N)]]="Y", CallLog[[#This Row],[Speed of answer in seconds]]&lt;=20),
    "Within",
    "Breach")</f>
        <v>Breach</v>
      </c>
      <c r="M1428" s="1">
        <v>5.0925925925925921E-4</v>
      </c>
      <c r="N1428">
        <v>3</v>
      </c>
    </row>
    <row r="1429" spans="1:14" x14ac:dyDescent="0.3">
      <c r="A1429" t="s">
        <v>1478</v>
      </c>
      <c r="B1429" t="s">
        <v>22</v>
      </c>
      <c r="C1429" t="s">
        <v>1453</v>
      </c>
      <c r="D1429" s="1">
        <v>0.53500000000000003</v>
      </c>
      <c r="E1429" s="2">
        <f>CallLog[[#This Row],[Date]]+CallLog[[#This Row],[Time]]</f>
        <v>44222.535000000003</v>
      </c>
      <c r="F1429" s="1" t="str">
        <f>TEXT(CallLog[[#This Row],[Date]],"dddd")</f>
        <v>Tuesday</v>
      </c>
      <c r="G1429" s="3">
        <f>HOUR(CallLog[[#This Row],[Time]])</f>
        <v>12</v>
      </c>
      <c r="H1429" t="s">
        <v>17</v>
      </c>
      <c r="I1429" t="s">
        <v>14</v>
      </c>
      <c r="J1429" t="s">
        <v>14</v>
      </c>
      <c r="K1429">
        <v>120</v>
      </c>
      <c r="L1429" t="str">
        <f>IF(AND(CallLog[[#This Row],[Answered (Y/N)]]="Y", CallLog[[#This Row],[Speed of answer in seconds]]&lt;=20),
    "Within",
    "Breach")</f>
        <v>Breach</v>
      </c>
      <c r="M1429" s="1">
        <v>3.0208333333333333E-3</v>
      </c>
      <c r="N1429">
        <v>5</v>
      </c>
    </row>
    <row r="1430" spans="1:14" x14ac:dyDescent="0.3">
      <c r="A1430" t="s">
        <v>1479</v>
      </c>
      <c r="B1430" t="s">
        <v>20</v>
      </c>
      <c r="C1430" t="s">
        <v>1453</v>
      </c>
      <c r="D1430" s="1">
        <v>0.53900462962962958</v>
      </c>
      <c r="E1430" s="2">
        <f>CallLog[[#This Row],[Date]]+CallLog[[#This Row],[Time]]</f>
        <v>44222.539004629631</v>
      </c>
      <c r="F1430" s="1" t="str">
        <f>TEXT(CallLog[[#This Row],[Date]],"dddd")</f>
        <v>Tuesday</v>
      </c>
      <c r="G1430" s="3">
        <f>HOUR(CallLog[[#This Row],[Time]])</f>
        <v>12</v>
      </c>
      <c r="H1430" t="s">
        <v>32</v>
      </c>
      <c r="I1430" t="s">
        <v>14</v>
      </c>
      <c r="J1430" t="s">
        <v>14</v>
      </c>
      <c r="K1430">
        <v>115</v>
      </c>
      <c r="L1430" t="str">
        <f>IF(AND(CallLog[[#This Row],[Answered (Y/N)]]="Y", CallLog[[#This Row],[Speed of answer in seconds]]&lt;=20),
    "Within",
    "Breach")</f>
        <v>Breach</v>
      </c>
      <c r="M1430" s="1">
        <v>1.7013888888888888E-3</v>
      </c>
      <c r="N1430">
        <v>3</v>
      </c>
    </row>
    <row r="1431" spans="1:14" x14ac:dyDescent="0.3">
      <c r="A1431" t="s">
        <v>1480</v>
      </c>
      <c r="B1431" t="s">
        <v>20</v>
      </c>
      <c r="C1431" t="s">
        <v>1453</v>
      </c>
      <c r="D1431" s="1">
        <v>0.53900462962962958</v>
      </c>
      <c r="E1431" s="2">
        <f>CallLog[[#This Row],[Date]]+CallLog[[#This Row],[Time]]</f>
        <v>44222.539004629631</v>
      </c>
      <c r="F1431" s="1" t="str">
        <f>TEXT(CallLog[[#This Row],[Date]],"dddd")</f>
        <v>Tuesday</v>
      </c>
      <c r="G1431" s="3">
        <f>HOUR(CallLog[[#This Row],[Time]])</f>
        <v>12</v>
      </c>
      <c r="H1431" t="s">
        <v>24</v>
      </c>
      <c r="I1431" t="s">
        <v>14</v>
      </c>
      <c r="J1431" t="s">
        <v>14</v>
      </c>
      <c r="K1431">
        <v>28</v>
      </c>
      <c r="L1431" t="str">
        <f>IF(AND(CallLog[[#This Row],[Answered (Y/N)]]="Y", CallLog[[#This Row],[Speed of answer in seconds]]&lt;=20),
    "Within",
    "Breach")</f>
        <v>Breach</v>
      </c>
      <c r="M1431" s="1">
        <v>3.2060185185185186E-3</v>
      </c>
      <c r="N1431">
        <v>4</v>
      </c>
    </row>
    <row r="1432" spans="1:14" x14ac:dyDescent="0.3">
      <c r="A1432" t="s">
        <v>1481</v>
      </c>
      <c r="B1432" t="s">
        <v>47</v>
      </c>
      <c r="C1432" t="s">
        <v>1453</v>
      </c>
      <c r="D1432" s="1">
        <v>0.54500000000000004</v>
      </c>
      <c r="E1432" s="2">
        <f>CallLog[[#This Row],[Date]]+CallLog[[#This Row],[Time]]</f>
        <v>44222.544999999998</v>
      </c>
      <c r="F1432" s="1" t="str">
        <f>TEXT(CallLog[[#This Row],[Date]],"dddd")</f>
        <v>Tuesday</v>
      </c>
      <c r="G1432" s="3">
        <f>HOUR(CallLog[[#This Row],[Time]])</f>
        <v>13</v>
      </c>
      <c r="H1432" t="s">
        <v>32</v>
      </c>
      <c r="I1432" t="s">
        <v>14</v>
      </c>
      <c r="J1432" t="s">
        <v>14</v>
      </c>
      <c r="K1432">
        <v>57</v>
      </c>
      <c r="L1432" t="str">
        <f>IF(AND(CallLog[[#This Row],[Answered (Y/N)]]="Y", CallLog[[#This Row],[Speed of answer in seconds]]&lt;=20),
    "Within",
    "Breach")</f>
        <v>Breach</v>
      </c>
      <c r="M1432" s="1">
        <v>1.0416666666666667E-3</v>
      </c>
      <c r="N1432">
        <v>3</v>
      </c>
    </row>
    <row r="1433" spans="1:14" x14ac:dyDescent="0.3">
      <c r="A1433" t="s">
        <v>1482</v>
      </c>
      <c r="B1433" t="s">
        <v>11</v>
      </c>
      <c r="C1433" t="s">
        <v>1453</v>
      </c>
      <c r="D1433" s="1">
        <v>0.54500000000000004</v>
      </c>
      <c r="E1433" s="2">
        <f>CallLog[[#This Row],[Date]]+CallLog[[#This Row],[Time]]</f>
        <v>44222.544999999998</v>
      </c>
      <c r="F1433" s="1" t="str">
        <f>TEXT(CallLog[[#This Row],[Date]],"dddd")</f>
        <v>Tuesday</v>
      </c>
      <c r="G1433" s="3">
        <f>HOUR(CallLog[[#This Row],[Time]])</f>
        <v>13</v>
      </c>
      <c r="H1433" t="s">
        <v>32</v>
      </c>
      <c r="I1433" t="s">
        <v>14</v>
      </c>
      <c r="J1433" t="s">
        <v>14</v>
      </c>
      <c r="K1433">
        <v>110</v>
      </c>
      <c r="L1433" t="str">
        <f>IF(AND(CallLog[[#This Row],[Answered (Y/N)]]="Y", CallLog[[#This Row],[Speed of answer in seconds]]&lt;=20),
    "Within",
    "Breach")</f>
        <v>Breach</v>
      </c>
      <c r="M1433" s="1">
        <v>3.6689814814814814E-3</v>
      </c>
      <c r="N1433">
        <v>2</v>
      </c>
    </row>
    <row r="1434" spans="1:14" x14ac:dyDescent="0.3">
      <c r="A1434" t="s">
        <v>1483</v>
      </c>
      <c r="B1434" t="s">
        <v>47</v>
      </c>
      <c r="C1434" t="s">
        <v>1453</v>
      </c>
      <c r="D1434" s="1">
        <v>0.54500000000000004</v>
      </c>
      <c r="E1434" s="2">
        <f>CallLog[[#This Row],[Date]]+CallLog[[#This Row],[Time]]</f>
        <v>44222.544999999998</v>
      </c>
      <c r="F1434" s="1" t="str">
        <f>TEXT(CallLog[[#This Row],[Date]],"dddd")</f>
        <v>Tuesday</v>
      </c>
      <c r="G1434" s="3">
        <f>HOUR(CallLog[[#This Row],[Time]])</f>
        <v>13</v>
      </c>
      <c r="H1434" t="s">
        <v>17</v>
      </c>
      <c r="I1434" t="s">
        <v>14</v>
      </c>
      <c r="J1434" t="s">
        <v>14</v>
      </c>
      <c r="K1434">
        <v>103</v>
      </c>
      <c r="L1434" t="str">
        <f>IF(AND(CallLog[[#This Row],[Answered (Y/N)]]="Y", CallLog[[#This Row],[Speed of answer in seconds]]&lt;=20),
    "Within",
    "Breach")</f>
        <v>Breach</v>
      </c>
      <c r="M1434" s="1">
        <v>1.9791666666666668E-3</v>
      </c>
      <c r="N1434">
        <v>4</v>
      </c>
    </row>
    <row r="1435" spans="1:14" x14ac:dyDescent="0.3">
      <c r="A1435" t="s">
        <v>1484</v>
      </c>
      <c r="B1435" t="s">
        <v>31</v>
      </c>
      <c r="C1435" t="s">
        <v>1453</v>
      </c>
      <c r="D1435" s="1">
        <v>0.54500000000000004</v>
      </c>
      <c r="E1435" s="2">
        <f>CallLog[[#This Row],[Date]]+CallLog[[#This Row],[Time]]</f>
        <v>44222.544999999998</v>
      </c>
      <c r="F1435" s="1" t="str">
        <f>TEXT(CallLog[[#This Row],[Date]],"dddd")</f>
        <v>Tuesday</v>
      </c>
      <c r="G1435" s="3">
        <f>HOUR(CallLog[[#This Row],[Time]])</f>
        <v>13</v>
      </c>
      <c r="H1435" t="s">
        <v>17</v>
      </c>
      <c r="I1435" t="s">
        <v>14</v>
      </c>
      <c r="J1435" t="s">
        <v>14</v>
      </c>
      <c r="K1435">
        <v>94</v>
      </c>
      <c r="L1435" t="str">
        <f>IF(AND(CallLog[[#This Row],[Answered (Y/N)]]="Y", CallLog[[#This Row],[Speed of answer in seconds]]&lt;=20),
    "Within",
    "Breach")</f>
        <v>Breach</v>
      </c>
      <c r="M1435" s="1">
        <v>4.3055555555555555E-3</v>
      </c>
      <c r="N1435">
        <v>5</v>
      </c>
    </row>
    <row r="1436" spans="1:14" x14ac:dyDescent="0.3">
      <c r="A1436" t="s">
        <v>1485</v>
      </c>
      <c r="B1436" t="s">
        <v>31</v>
      </c>
      <c r="C1436" t="s">
        <v>1453</v>
      </c>
      <c r="D1436" s="1">
        <v>0.58900462962962963</v>
      </c>
      <c r="E1436" s="2">
        <f>CallLog[[#This Row],[Date]]+CallLog[[#This Row],[Time]]</f>
        <v>44222.589004629626</v>
      </c>
      <c r="F1436" s="1" t="str">
        <f>TEXT(CallLog[[#This Row],[Date]],"dddd")</f>
        <v>Tuesday</v>
      </c>
      <c r="G1436" s="3">
        <f>HOUR(CallLog[[#This Row],[Time]])</f>
        <v>14</v>
      </c>
      <c r="H1436" t="s">
        <v>32</v>
      </c>
      <c r="I1436" t="s">
        <v>14</v>
      </c>
      <c r="J1436" t="s">
        <v>14</v>
      </c>
      <c r="K1436">
        <v>61</v>
      </c>
      <c r="L1436" t="str">
        <f>IF(AND(CallLog[[#This Row],[Answered (Y/N)]]="Y", CallLog[[#This Row],[Speed of answer in seconds]]&lt;=20),
    "Within",
    "Breach")</f>
        <v>Breach</v>
      </c>
      <c r="M1436" s="1">
        <v>3.3217592592592591E-3</v>
      </c>
      <c r="N1436">
        <v>5</v>
      </c>
    </row>
    <row r="1437" spans="1:14" x14ac:dyDescent="0.3">
      <c r="A1437" t="s">
        <v>1486</v>
      </c>
      <c r="B1437" t="s">
        <v>20</v>
      </c>
      <c r="C1437" t="s">
        <v>1453</v>
      </c>
      <c r="D1437" s="1">
        <v>0.58900462962962963</v>
      </c>
      <c r="E1437" s="2">
        <f>CallLog[[#This Row],[Date]]+CallLog[[#This Row],[Time]]</f>
        <v>44222.589004629626</v>
      </c>
      <c r="F1437" s="1" t="str">
        <f>TEXT(CallLog[[#This Row],[Date]],"dddd")</f>
        <v>Tuesday</v>
      </c>
      <c r="G1437" s="3">
        <f>HOUR(CallLog[[#This Row],[Time]])</f>
        <v>14</v>
      </c>
      <c r="H1437" t="s">
        <v>32</v>
      </c>
      <c r="I1437" t="s">
        <v>18</v>
      </c>
      <c r="J1437" t="s">
        <v>18</v>
      </c>
      <c r="L1437" t="str">
        <f>IF(AND(CallLog[[#This Row],[Answered (Y/N)]]="Y", CallLog[[#This Row],[Speed of answer in seconds]]&lt;=20),
    "Within",
    "Breach")</f>
        <v>Breach</v>
      </c>
    </row>
    <row r="1438" spans="1:14" x14ac:dyDescent="0.3">
      <c r="A1438" t="s">
        <v>1487</v>
      </c>
      <c r="B1438" t="s">
        <v>31</v>
      </c>
      <c r="C1438" t="s">
        <v>1453</v>
      </c>
      <c r="D1438" s="1">
        <v>0.59599537037037043</v>
      </c>
      <c r="E1438" s="2">
        <f>CallLog[[#This Row],[Date]]+CallLog[[#This Row],[Time]]</f>
        <v>44222.595995370371</v>
      </c>
      <c r="F1438" s="1" t="str">
        <f>TEXT(CallLog[[#This Row],[Date]],"dddd")</f>
        <v>Tuesday</v>
      </c>
      <c r="G1438" s="3">
        <f>HOUR(CallLog[[#This Row],[Time]])</f>
        <v>14</v>
      </c>
      <c r="H1438" t="s">
        <v>32</v>
      </c>
      <c r="I1438" t="s">
        <v>14</v>
      </c>
      <c r="J1438" t="s">
        <v>14</v>
      </c>
      <c r="K1438">
        <v>77</v>
      </c>
      <c r="L1438" t="str">
        <f>IF(AND(CallLog[[#This Row],[Answered (Y/N)]]="Y", CallLog[[#This Row],[Speed of answer in seconds]]&lt;=20),
    "Within",
    "Breach")</f>
        <v>Breach</v>
      </c>
      <c r="M1438" s="1">
        <v>3.0787037037037037E-3</v>
      </c>
      <c r="N1438">
        <v>2</v>
      </c>
    </row>
    <row r="1439" spans="1:14" x14ac:dyDescent="0.3">
      <c r="A1439" t="s">
        <v>1488</v>
      </c>
      <c r="B1439" t="s">
        <v>22</v>
      </c>
      <c r="C1439" t="s">
        <v>1453</v>
      </c>
      <c r="D1439" s="1">
        <v>0.59599537037037043</v>
      </c>
      <c r="E1439" s="2">
        <f>CallLog[[#This Row],[Date]]+CallLog[[#This Row],[Time]]</f>
        <v>44222.595995370371</v>
      </c>
      <c r="F1439" s="1" t="str">
        <f>TEXT(CallLog[[#This Row],[Date]],"dddd")</f>
        <v>Tuesday</v>
      </c>
      <c r="G1439" s="3">
        <f>HOUR(CallLog[[#This Row],[Time]])</f>
        <v>14</v>
      </c>
      <c r="H1439" t="s">
        <v>13</v>
      </c>
      <c r="I1439" t="s">
        <v>14</v>
      </c>
      <c r="J1439" t="s">
        <v>14</v>
      </c>
      <c r="K1439">
        <v>56</v>
      </c>
      <c r="L1439" t="str">
        <f>IF(AND(CallLog[[#This Row],[Answered (Y/N)]]="Y", CallLog[[#This Row],[Speed of answer in seconds]]&lt;=20),
    "Within",
    "Breach")</f>
        <v>Breach</v>
      </c>
      <c r="M1439" s="1">
        <v>2.5925925925925925E-3</v>
      </c>
      <c r="N1439">
        <v>4</v>
      </c>
    </row>
    <row r="1440" spans="1:14" x14ac:dyDescent="0.3">
      <c r="A1440" t="s">
        <v>1489</v>
      </c>
      <c r="B1440" t="s">
        <v>11</v>
      </c>
      <c r="C1440" t="s">
        <v>1453</v>
      </c>
      <c r="D1440" s="1">
        <v>0.60200231481481481</v>
      </c>
      <c r="E1440" s="2">
        <f>CallLog[[#This Row],[Date]]+CallLog[[#This Row],[Time]]</f>
        <v>44222.602002314816</v>
      </c>
      <c r="F1440" s="1" t="str">
        <f>TEXT(CallLog[[#This Row],[Date]],"dddd")</f>
        <v>Tuesday</v>
      </c>
      <c r="G1440" s="3">
        <f>HOUR(CallLog[[#This Row],[Time]])</f>
        <v>14</v>
      </c>
      <c r="H1440" t="s">
        <v>29</v>
      </c>
      <c r="I1440" t="s">
        <v>14</v>
      </c>
      <c r="J1440" t="s">
        <v>14</v>
      </c>
      <c r="K1440">
        <v>65</v>
      </c>
      <c r="L1440" t="str">
        <f>IF(AND(CallLog[[#This Row],[Answered (Y/N)]]="Y", CallLog[[#This Row],[Speed of answer in seconds]]&lt;=20),
    "Within",
    "Breach")</f>
        <v>Breach</v>
      </c>
      <c r="M1440" s="1">
        <v>4.6527777777777774E-3</v>
      </c>
      <c r="N1440">
        <v>5</v>
      </c>
    </row>
    <row r="1441" spans="1:14" x14ac:dyDescent="0.3">
      <c r="A1441" t="s">
        <v>1490</v>
      </c>
      <c r="B1441" t="s">
        <v>16</v>
      </c>
      <c r="C1441" t="s">
        <v>1453</v>
      </c>
      <c r="D1441" s="1">
        <v>0.60200231481481481</v>
      </c>
      <c r="E1441" s="2">
        <f>CallLog[[#This Row],[Date]]+CallLog[[#This Row],[Time]]</f>
        <v>44222.602002314816</v>
      </c>
      <c r="F1441" s="1" t="str">
        <f>TEXT(CallLog[[#This Row],[Date]],"dddd")</f>
        <v>Tuesday</v>
      </c>
      <c r="G1441" s="3">
        <f>HOUR(CallLog[[#This Row],[Time]])</f>
        <v>14</v>
      </c>
      <c r="H1441" t="s">
        <v>17</v>
      </c>
      <c r="I1441" t="s">
        <v>14</v>
      </c>
      <c r="J1441" t="s">
        <v>14</v>
      </c>
      <c r="K1441">
        <v>99</v>
      </c>
      <c r="L1441" t="str">
        <f>IF(AND(CallLog[[#This Row],[Answered (Y/N)]]="Y", CallLog[[#This Row],[Speed of answer in seconds]]&lt;=20),
    "Within",
    "Breach")</f>
        <v>Breach</v>
      </c>
      <c r="M1441" s="1">
        <v>3.9583333333333337E-3</v>
      </c>
      <c r="N1441">
        <v>3</v>
      </c>
    </row>
    <row r="1442" spans="1:14" x14ac:dyDescent="0.3">
      <c r="A1442" t="s">
        <v>1491</v>
      </c>
      <c r="B1442" t="s">
        <v>11</v>
      </c>
      <c r="C1442" t="s">
        <v>1453</v>
      </c>
      <c r="D1442" s="1">
        <v>0.61900462962962965</v>
      </c>
      <c r="E1442" s="2">
        <f>CallLog[[#This Row],[Date]]+CallLog[[#This Row],[Time]]</f>
        <v>44222.619004629632</v>
      </c>
      <c r="F1442" s="1" t="str">
        <f>TEXT(CallLog[[#This Row],[Date]],"dddd")</f>
        <v>Tuesday</v>
      </c>
      <c r="G1442" s="3">
        <f>HOUR(CallLog[[#This Row],[Time]])</f>
        <v>14</v>
      </c>
      <c r="H1442" t="s">
        <v>29</v>
      </c>
      <c r="I1442" t="s">
        <v>14</v>
      </c>
      <c r="J1442" t="s">
        <v>14</v>
      </c>
      <c r="K1442">
        <v>40</v>
      </c>
      <c r="L1442" t="str">
        <f>IF(AND(CallLog[[#This Row],[Answered (Y/N)]]="Y", CallLog[[#This Row],[Speed of answer in seconds]]&lt;=20),
    "Within",
    "Breach")</f>
        <v>Breach</v>
      </c>
      <c r="M1442" s="1">
        <v>3.3333333333333335E-3</v>
      </c>
      <c r="N1442">
        <v>3</v>
      </c>
    </row>
    <row r="1443" spans="1:14" x14ac:dyDescent="0.3">
      <c r="A1443" t="s">
        <v>1492</v>
      </c>
      <c r="B1443" t="s">
        <v>20</v>
      </c>
      <c r="C1443" t="s">
        <v>1453</v>
      </c>
      <c r="D1443" s="1">
        <v>0.61900462962962965</v>
      </c>
      <c r="E1443" s="2">
        <f>CallLog[[#This Row],[Date]]+CallLog[[#This Row],[Time]]</f>
        <v>44222.619004629632</v>
      </c>
      <c r="F1443" s="1" t="str">
        <f>TEXT(CallLog[[#This Row],[Date]],"dddd")</f>
        <v>Tuesday</v>
      </c>
      <c r="G1443" s="3">
        <f>HOUR(CallLog[[#This Row],[Time]])</f>
        <v>14</v>
      </c>
      <c r="H1443" t="s">
        <v>24</v>
      </c>
      <c r="I1443" t="s">
        <v>14</v>
      </c>
      <c r="J1443" t="s">
        <v>14</v>
      </c>
      <c r="K1443">
        <v>110</v>
      </c>
      <c r="L1443" t="str">
        <f>IF(AND(CallLog[[#This Row],[Answered (Y/N)]]="Y", CallLog[[#This Row],[Speed of answer in seconds]]&lt;=20),
    "Within",
    "Breach")</f>
        <v>Breach</v>
      </c>
      <c r="M1443" s="1">
        <v>3.7037037037037038E-3</v>
      </c>
      <c r="N1443">
        <v>3</v>
      </c>
    </row>
    <row r="1444" spans="1:14" x14ac:dyDescent="0.3">
      <c r="A1444" t="s">
        <v>1493</v>
      </c>
      <c r="B1444" t="s">
        <v>11</v>
      </c>
      <c r="C1444" t="s">
        <v>1453</v>
      </c>
      <c r="D1444" s="1">
        <v>0.63599537037037035</v>
      </c>
      <c r="E1444" s="2">
        <f>CallLog[[#This Row],[Date]]+CallLog[[#This Row],[Time]]</f>
        <v>44222.635995370372</v>
      </c>
      <c r="F1444" s="1" t="str">
        <f>TEXT(CallLog[[#This Row],[Date]],"dddd")</f>
        <v>Tuesday</v>
      </c>
      <c r="G1444" s="3">
        <f>HOUR(CallLog[[#This Row],[Time]])</f>
        <v>15</v>
      </c>
      <c r="H1444" t="s">
        <v>29</v>
      </c>
      <c r="I1444" t="s">
        <v>14</v>
      </c>
      <c r="J1444" t="s">
        <v>14</v>
      </c>
      <c r="K1444">
        <v>109</v>
      </c>
      <c r="L1444" t="str">
        <f>IF(AND(CallLog[[#This Row],[Answered (Y/N)]]="Y", CallLog[[#This Row],[Speed of answer in seconds]]&lt;=20),
    "Within",
    "Breach")</f>
        <v>Breach</v>
      </c>
      <c r="M1444" s="1">
        <v>6.018518518518519E-4</v>
      </c>
      <c r="N1444">
        <v>1</v>
      </c>
    </row>
    <row r="1445" spans="1:14" x14ac:dyDescent="0.3">
      <c r="A1445" t="s">
        <v>1494</v>
      </c>
      <c r="B1445" t="s">
        <v>38</v>
      </c>
      <c r="C1445" t="s">
        <v>1453</v>
      </c>
      <c r="D1445" s="1">
        <v>0.63599537037037035</v>
      </c>
      <c r="E1445" s="2">
        <f>CallLog[[#This Row],[Date]]+CallLog[[#This Row],[Time]]</f>
        <v>44222.635995370372</v>
      </c>
      <c r="F1445" s="1" t="str">
        <f>TEXT(CallLog[[#This Row],[Date]],"dddd")</f>
        <v>Tuesday</v>
      </c>
      <c r="G1445" s="3">
        <f>HOUR(CallLog[[#This Row],[Time]])</f>
        <v>15</v>
      </c>
      <c r="H1445" t="s">
        <v>13</v>
      </c>
      <c r="I1445" t="s">
        <v>14</v>
      </c>
      <c r="J1445" t="s">
        <v>14</v>
      </c>
      <c r="K1445">
        <v>116</v>
      </c>
      <c r="L1445" t="str">
        <f>IF(AND(CallLog[[#This Row],[Answered (Y/N)]]="Y", CallLog[[#This Row],[Speed of answer in seconds]]&lt;=20),
    "Within",
    "Breach")</f>
        <v>Breach</v>
      </c>
      <c r="M1445" s="1">
        <v>3.5648148148148149E-3</v>
      </c>
      <c r="N1445">
        <v>3</v>
      </c>
    </row>
    <row r="1446" spans="1:14" x14ac:dyDescent="0.3">
      <c r="A1446" t="s">
        <v>1495</v>
      </c>
      <c r="B1446" t="s">
        <v>38</v>
      </c>
      <c r="C1446" t="s">
        <v>1453</v>
      </c>
      <c r="D1446" s="1">
        <v>0.64</v>
      </c>
      <c r="E1446" s="2">
        <f>CallLog[[#This Row],[Date]]+CallLog[[#This Row],[Time]]</f>
        <v>44222.64</v>
      </c>
      <c r="F1446" s="1" t="str">
        <f>TEXT(CallLog[[#This Row],[Date]],"dddd")</f>
        <v>Tuesday</v>
      </c>
      <c r="G1446" s="3">
        <f>HOUR(CallLog[[#This Row],[Time]])</f>
        <v>15</v>
      </c>
      <c r="H1446" t="s">
        <v>32</v>
      </c>
      <c r="I1446" t="s">
        <v>14</v>
      </c>
      <c r="J1446" t="s">
        <v>14</v>
      </c>
      <c r="K1446">
        <v>82</v>
      </c>
      <c r="L1446" t="str">
        <f>IF(AND(CallLog[[#This Row],[Answered (Y/N)]]="Y", CallLog[[#This Row],[Speed of answer in seconds]]&lt;=20),
    "Within",
    "Breach")</f>
        <v>Breach</v>
      </c>
      <c r="M1446" s="1">
        <v>1.5972222222222223E-3</v>
      </c>
      <c r="N1446">
        <v>2</v>
      </c>
    </row>
    <row r="1447" spans="1:14" x14ac:dyDescent="0.3">
      <c r="A1447" t="s">
        <v>1496</v>
      </c>
      <c r="B1447" t="s">
        <v>22</v>
      </c>
      <c r="C1447" t="s">
        <v>1453</v>
      </c>
      <c r="D1447" s="1">
        <v>0.64</v>
      </c>
      <c r="E1447" s="2">
        <f>CallLog[[#This Row],[Date]]+CallLog[[#This Row],[Time]]</f>
        <v>44222.64</v>
      </c>
      <c r="F1447" s="1" t="str">
        <f>TEXT(CallLog[[#This Row],[Date]],"dddd")</f>
        <v>Tuesday</v>
      </c>
      <c r="G1447" s="3">
        <f>HOUR(CallLog[[#This Row],[Time]])</f>
        <v>15</v>
      </c>
      <c r="H1447" t="s">
        <v>13</v>
      </c>
      <c r="I1447" t="s">
        <v>14</v>
      </c>
      <c r="J1447" t="s">
        <v>14</v>
      </c>
      <c r="K1447">
        <v>65</v>
      </c>
      <c r="L1447" t="str">
        <f>IF(AND(CallLog[[#This Row],[Answered (Y/N)]]="Y", CallLog[[#This Row],[Speed of answer in seconds]]&lt;=20),
    "Within",
    "Breach")</f>
        <v>Breach</v>
      </c>
      <c r="M1447" s="1">
        <v>1.724537037037037E-3</v>
      </c>
      <c r="N1447">
        <v>4</v>
      </c>
    </row>
    <row r="1448" spans="1:14" x14ac:dyDescent="0.3">
      <c r="A1448" t="s">
        <v>1497</v>
      </c>
      <c r="B1448" t="s">
        <v>47</v>
      </c>
      <c r="C1448" t="s">
        <v>1453</v>
      </c>
      <c r="D1448" s="1">
        <v>0.64299768518518519</v>
      </c>
      <c r="E1448" s="2">
        <f>CallLog[[#This Row],[Date]]+CallLog[[#This Row],[Time]]</f>
        <v>44222.642997685187</v>
      </c>
      <c r="F1448" s="1" t="str">
        <f>TEXT(CallLog[[#This Row],[Date]],"dddd")</f>
        <v>Tuesday</v>
      </c>
      <c r="G1448" s="3">
        <f>HOUR(CallLog[[#This Row],[Time]])</f>
        <v>15</v>
      </c>
      <c r="H1448" t="s">
        <v>13</v>
      </c>
      <c r="I1448" t="s">
        <v>14</v>
      </c>
      <c r="J1448" t="s">
        <v>14</v>
      </c>
      <c r="K1448">
        <v>24</v>
      </c>
      <c r="L1448" t="str">
        <f>IF(AND(CallLog[[#This Row],[Answered (Y/N)]]="Y", CallLog[[#This Row],[Speed of answer in seconds]]&lt;=20),
    "Within",
    "Breach")</f>
        <v>Breach</v>
      </c>
      <c r="M1448" s="1">
        <v>2.4189814814814816E-3</v>
      </c>
      <c r="N1448">
        <v>4</v>
      </c>
    </row>
    <row r="1449" spans="1:14" x14ac:dyDescent="0.3">
      <c r="A1449" t="s">
        <v>1498</v>
      </c>
      <c r="B1449" t="s">
        <v>11</v>
      </c>
      <c r="C1449" t="s">
        <v>1453</v>
      </c>
      <c r="D1449" s="1">
        <v>0.64299768518518519</v>
      </c>
      <c r="E1449" s="2">
        <f>CallLog[[#This Row],[Date]]+CallLog[[#This Row],[Time]]</f>
        <v>44222.642997685187</v>
      </c>
      <c r="F1449" s="1" t="str">
        <f>TEXT(CallLog[[#This Row],[Date]],"dddd")</f>
        <v>Tuesday</v>
      </c>
      <c r="G1449" s="3">
        <f>HOUR(CallLog[[#This Row],[Time]])</f>
        <v>15</v>
      </c>
      <c r="H1449" t="s">
        <v>24</v>
      </c>
      <c r="I1449" t="s">
        <v>14</v>
      </c>
      <c r="J1449" t="s">
        <v>14</v>
      </c>
      <c r="K1449">
        <v>125</v>
      </c>
      <c r="L1449" t="str">
        <f>IF(AND(CallLog[[#This Row],[Answered (Y/N)]]="Y", CallLog[[#This Row],[Speed of answer in seconds]]&lt;=20),
    "Within",
    "Breach")</f>
        <v>Breach</v>
      </c>
      <c r="M1449" s="1">
        <v>9.4907407407407408E-4</v>
      </c>
      <c r="N1449">
        <v>5</v>
      </c>
    </row>
    <row r="1450" spans="1:14" x14ac:dyDescent="0.3">
      <c r="A1450" t="s">
        <v>1499</v>
      </c>
      <c r="B1450" t="s">
        <v>22</v>
      </c>
      <c r="C1450" t="s">
        <v>1453</v>
      </c>
      <c r="D1450" s="1">
        <v>0.64500000000000002</v>
      </c>
      <c r="E1450" s="2">
        <f>CallLog[[#This Row],[Date]]+CallLog[[#This Row],[Time]]</f>
        <v>44222.644999999997</v>
      </c>
      <c r="F1450" s="1" t="str">
        <f>TEXT(CallLog[[#This Row],[Date]],"dddd")</f>
        <v>Tuesday</v>
      </c>
      <c r="G1450" s="3">
        <f>HOUR(CallLog[[#This Row],[Time]])</f>
        <v>15</v>
      </c>
      <c r="H1450" t="s">
        <v>29</v>
      </c>
      <c r="I1450" t="s">
        <v>14</v>
      </c>
      <c r="J1450" t="s">
        <v>14</v>
      </c>
      <c r="K1450">
        <v>87</v>
      </c>
      <c r="L1450" t="str">
        <f>IF(AND(CallLog[[#This Row],[Answered (Y/N)]]="Y", CallLog[[#This Row],[Speed of answer in seconds]]&lt;=20),
    "Within",
    "Breach")</f>
        <v>Breach</v>
      </c>
      <c r="M1450" s="1">
        <v>7.407407407407407E-4</v>
      </c>
      <c r="N1450">
        <v>5</v>
      </c>
    </row>
    <row r="1451" spans="1:14" x14ac:dyDescent="0.3">
      <c r="A1451" t="s">
        <v>1500</v>
      </c>
      <c r="B1451" t="s">
        <v>31</v>
      </c>
      <c r="C1451" t="s">
        <v>1453</v>
      </c>
      <c r="D1451" s="1">
        <v>0.64500000000000002</v>
      </c>
      <c r="E1451" s="2">
        <f>CallLog[[#This Row],[Date]]+CallLog[[#This Row],[Time]]</f>
        <v>44222.644999999997</v>
      </c>
      <c r="F1451" s="1" t="str">
        <f>TEXT(CallLog[[#This Row],[Date]],"dddd")</f>
        <v>Tuesday</v>
      </c>
      <c r="G1451" s="3">
        <f>HOUR(CallLog[[#This Row],[Time]])</f>
        <v>15</v>
      </c>
      <c r="H1451" t="s">
        <v>32</v>
      </c>
      <c r="I1451" t="s">
        <v>14</v>
      </c>
      <c r="J1451" t="s">
        <v>14</v>
      </c>
      <c r="K1451">
        <v>119</v>
      </c>
      <c r="L1451" t="str">
        <f>IF(AND(CallLog[[#This Row],[Answered (Y/N)]]="Y", CallLog[[#This Row],[Speed of answer in seconds]]&lt;=20),
    "Within",
    "Breach")</f>
        <v>Breach</v>
      </c>
      <c r="M1451" s="1">
        <v>4.9768518518518521E-4</v>
      </c>
      <c r="N1451">
        <v>4</v>
      </c>
    </row>
    <row r="1452" spans="1:14" x14ac:dyDescent="0.3">
      <c r="A1452" t="s">
        <v>1501</v>
      </c>
      <c r="B1452" t="s">
        <v>11</v>
      </c>
      <c r="C1452" t="s">
        <v>1453</v>
      </c>
      <c r="D1452" s="1">
        <v>0.64599537037037036</v>
      </c>
      <c r="E1452" s="2">
        <f>CallLog[[#This Row],[Date]]+CallLog[[#This Row],[Time]]</f>
        <v>44222.645995370367</v>
      </c>
      <c r="F1452" s="1" t="str">
        <f>TEXT(CallLog[[#This Row],[Date]],"dddd")</f>
        <v>Tuesday</v>
      </c>
      <c r="G1452" s="3">
        <f>HOUR(CallLog[[#This Row],[Time]])</f>
        <v>15</v>
      </c>
      <c r="H1452" t="s">
        <v>13</v>
      </c>
      <c r="I1452" t="s">
        <v>14</v>
      </c>
      <c r="J1452" t="s">
        <v>14</v>
      </c>
      <c r="K1452">
        <v>94</v>
      </c>
      <c r="L1452" t="str">
        <f>IF(AND(CallLog[[#This Row],[Answered (Y/N)]]="Y", CallLog[[#This Row],[Speed of answer in seconds]]&lt;=20),
    "Within",
    "Breach")</f>
        <v>Breach</v>
      </c>
      <c r="M1452" s="1">
        <v>5.3240740740740744E-4</v>
      </c>
      <c r="N1452">
        <v>4</v>
      </c>
    </row>
    <row r="1453" spans="1:14" x14ac:dyDescent="0.3">
      <c r="A1453" t="s">
        <v>1502</v>
      </c>
      <c r="B1453" t="s">
        <v>47</v>
      </c>
      <c r="C1453" t="s">
        <v>1453</v>
      </c>
      <c r="D1453" s="1">
        <v>0.64599537037037036</v>
      </c>
      <c r="E1453" s="2">
        <f>CallLog[[#This Row],[Date]]+CallLog[[#This Row],[Time]]</f>
        <v>44222.645995370367</v>
      </c>
      <c r="F1453" s="1" t="str">
        <f>TEXT(CallLog[[#This Row],[Date]],"dddd")</f>
        <v>Tuesday</v>
      </c>
      <c r="G1453" s="3">
        <f>HOUR(CallLog[[#This Row],[Time]])</f>
        <v>15</v>
      </c>
      <c r="H1453" t="s">
        <v>24</v>
      </c>
      <c r="I1453" t="s">
        <v>18</v>
      </c>
      <c r="J1453" t="s">
        <v>18</v>
      </c>
      <c r="L1453" t="str">
        <f>IF(AND(CallLog[[#This Row],[Answered (Y/N)]]="Y", CallLog[[#This Row],[Speed of answer in seconds]]&lt;=20),
    "Within",
    "Breach")</f>
        <v>Breach</v>
      </c>
    </row>
    <row r="1454" spans="1:14" x14ac:dyDescent="0.3">
      <c r="A1454" t="s">
        <v>1503</v>
      </c>
      <c r="B1454" t="s">
        <v>47</v>
      </c>
      <c r="C1454" t="s">
        <v>1453</v>
      </c>
      <c r="D1454" s="1">
        <v>0.65099537037037036</v>
      </c>
      <c r="E1454" s="2">
        <f>CallLog[[#This Row],[Date]]+CallLog[[#This Row],[Time]]</f>
        <v>44222.650995370372</v>
      </c>
      <c r="F1454" s="1" t="str">
        <f>TEXT(CallLog[[#This Row],[Date]],"dddd")</f>
        <v>Tuesday</v>
      </c>
      <c r="G1454" s="3">
        <f>HOUR(CallLog[[#This Row],[Time]])</f>
        <v>15</v>
      </c>
      <c r="H1454" t="s">
        <v>24</v>
      </c>
      <c r="I1454" t="s">
        <v>14</v>
      </c>
      <c r="J1454" t="s">
        <v>14</v>
      </c>
      <c r="K1454">
        <v>19</v>
      </c>
      <c r="L1454" t="str">
        <f>IF(AND(CallLog[[#This Row],[Answered (Y/N)]]="Y", CallLog[[#This Row],[Speed of answer in seconds]]&lt;=20),
    "Within",
    "Breach")</f>
        <v>Within</v>
      </c>
      <c r="M1454" s="1">
        <v>3.9004629629629628E-3</v>
      </c>
      <c r="N1454">
        <v>1</v>
      </c>
    </row>
    <row r="1455" spans="1:14" x14ac:dyDescent="0.3">
      <c r="A1455" t="s">
        <v>1504</v>
      </c>
      <c r="B1455" t="s">
        <v>47</v>
      </c>
      <c r="C1455" t="s">
        <v>1453</v>
      </c>
      <c r="D1455" s="1">
        <v>0.65099537037037036</v>
      </c>
      <c r="E1455" s="2">
        <f>CallLog[[#This Row],[Date]]+CallLog[[#This Row],[Time]]</f>
        <v>44222.650995370372</v>
      </c>
      <c r="F1455" s="1" t="str">
        <f>TEXT(CallLog[[#This Row],[Date]],"dddd")</f>
        <v>Tuesday</v>
      </c>
      <c r="G1455" s="3">
        <f>HOUR(CallLog[[#This Row],[Time]])</f>
        <v>15</v>
      </c>
      <c r="H1455" t="s">
        <v>13</v>
      </c>
      <c r="I1455" t="s">
        <v>14</v>
      </c>
      <c r="J1455" t="s">
        <v>14</v>
      </c>
      <c r="K1455">
        <v>68</v>
      </c>
      <c r="L1455" t="str">
        <f>IF(AND(CallLog[[#This Row],[Answered (Y/N)]]="Y", CallLog[[#This Row],[Speed of answer in seconds]]&lt;=20),
    "Within",
    "Breach")</f>
        <v>Breach</v>
      </c>
      <c r="M1455" s="1">
        <v>1.8981481481481482E-3</v>
      </c>
      <c r="N1455">
        <v>3</v>
      </c>
    </row>
    <row r="1456" spans="1:14" x14ac:dyDescent="0.3">
      <c r="A1456" t="s">
        <v>1505</v>
      </c>
      <c r="B1456" t="s">
        <v>34</v>
      </c>
      <c r="C1456" t="s">
        <v>1453</v>
      </c>
      <c r="D1456" s="1">
        <v>0.66700231481481487</v>
      </c>
      <c r="E1456" s="2">
        <f>CallLog[[#This Row],[Date]]+CallLog[[#This Row],[Time]]</f>
        <v>44222.667002314818</v>
      </c>
      <c r="F1456" s="1" t="str">
        <f>TEXT(CallLog[[#This Row],[Date]],"dddd")</f>
        <v>Tuesday</v>
      </c>
      <c r="G1456" s="3">
        <f>HOUR(CallLog[[#This Row],[Time]])</f>
        <v>16</v>
      </c>
      <c r="H1456" t="s">
        <v>24</v>
      </c>
      <c r="I1456" t="s">
        <v>14</v>
      </c>
      <c r="J1456" t="s">
        <v>14</v>
      </c>
      <c r="K1456">
        <v>36</v>
      </c>
      <c r="L1456" t="str">
        <f>IF(AND(CallLog[[#This Row],[Answered (Y/N)]]="Y", CallLog[[#This Row],[Speed of answer in seconds]]&lt;=20),
    "Within",
    "Breach")</f>
        <v>Breach</v>
      </c>
      <c r="M1456" s="1">
        <v>4.4212962962962964E-3</v>
      </c>
      <c r="N1456">
        <v>3</v>
      </c>
    </row>
    <row r="1457" spans="1:14" x14ac:dyDescent="0.3">
      <c r="A1457" t="s">
        <v>1506</v>
      </c>
      <c r="B1457" t="s">
        <v>38</v>
      </c>
      <c r="C1457" t="s">
        <v>1453</v>
      </c>
      <c r="D1457" s="1">
        <v>0.66700231481481487</v>
      </c>
      <c r="E1457" s="2">
        <f>CallLog[[#This Row],[Date]]+CallLog[[#This Row],[Time]]</f>
        <v>44222.667002314818</v>
      </c>
      <c r="F1457" s="1" t="str">
        <f>TEXT(CallLog[[#This Row],[Date]],"dddd")</f>
        <v>Tuesday</v>
      </c>
      <c r="G1457" s="3">
        <f>HOUR(CallLog[[#This Row],[Time]])</f>
        <v>16</v>
      </c>
      <c r="H1457" t="s">
        <v>24</v>
      </c>
      <c r="I1457" t="s">
        <v>14</v>
      </c>
      <c r="J1457" t="s">
        <v>14</v>
      </c>
      <c r="K1457">
        <v>50</v>
      </c>
      <c r="L1457" t="str">
        <f>IF(AND(CallLog[[#This Row],[Answered (Y/N)]]="Y", CallLog[[#This Row],[Speed of answer in seconds]]&lt;=20),
    "Within",
    "Breach")</f>
        <v>Breach</v>
      </c>
      <c r="M1457" s="1">
        <v>7.6388888888888893E-4</v>
      </c>
      <c r="N1457">
        <v>4</v>
      </c>
    </row>
    <row r="1458" spans="1:14" x14ac:dyDescent="0.3">
      <c r="A1458" t="s">
        <v>1507</v>
      </c>
      <c r="B1458" t="s">
        <v>16</v>
      </c>
      <c r="C1458" t="s">
        <v>1453</v>
      </c>
      <c r="D1458" s="1">
        <v>0.67099537037037038</v>
      </c>
      <c r="E1458" s="2">
        <f>CallLog[[#This Row],[Date]]+CallLog[[#This Row],[Time]]</f>
        <v>44222.670995370368</v>
      </c>
      <c r="F1458" s="1" t="str">
        <f>TEXT(CallLog[[#This Row],[Date]],"dddd")</f>
        <v>Tuesday</v>
      </c>
      <c r="G1458" s="3">
        <f>HOUR(CallLog[[#This Row],[Time]])</f>
        <v>16</v>
      </c>
      <c r="H1458" t="s">
        <v>24</v>
      </c>
      <c r="I1458" t="s">
        <v>18</v>
      </c>
      <c r="J1458" t="s">
        <v>18</v>
      </c>
      <c r="L1458" t="str">
        <f>IF(AND(CallLog[[#This Row],[Answered (Y/N)]]="Y", CallLog[[#This Row],[Speed of answer in seconds]]&lt;=20),
    "Within",
    "Breach")</f>
        <v>Breach</v>
      </c>
    </row>
    <row r="1459" spans="1:14" x14ac:dyDescent="0.3">
      <c r="A1459" t="s">
        <v>1508</v>
      </c>
      <c r="B1459" t="s">
        <v>22</v>
      </c>
      <c r="C1459" t="s">
        <v>1453</v>
      </c>
      <c r="D1459" s="1">
        <v>0.67099537037037038</v>
      </c>
      <c r="E1459" s="2">
        <f>CallLog[[#This Row],[Date]]+CallLog[[#This Row],[Time]]</f>
        <v>44222.670995370368</v>
      </c>
      <c r="F1459" s="1" t="str">
        <f>TEXT(CallLog[[#This Row],[Date]],"dddd")</f>
        <v>Tuesday</v>
      </c>
      <c r="G1459" s="3">
        <f>HOUR(CallLog[[#This Row],[Time]])</f>
        <v>16</v>
      </c>
      <c r="H1459" t="s">
        <v>13</v>
      </c>
      <c r="I1459" t="s">
        <v>14</v>
      </c>
      <c r="J1459" t="s">
        <v>14</v>
      </c>
      <c r="K1459">
        <v>60</v>
      </c>
      <c r="L1459" t="str">
        <f>IF(AND(CallLog[[#This Row],[Answered (Y/N)]]="Y", CallLog[[#This Row],[Speed of answer in seconds]]&lt;=20),
    "Within",
    "Breach")</f>
        <v>Breach</v>
      </c>
      <c r="M1459" s="1">
        <v>1.5509259259259259E-3</v>
      </c>
      <c r="N1459">
        <v>3</v>
      </c>
    </row>
    <row r="1460" spans="1:14" x14ac:dyDescent="0.3">
      <c r="A1460" t="s">
        <v>1509</v>
      </c>
      <c r="B1460" t="s">
        <v>16</v>
      </c>
      <c r="C1460" t="s">
        <v>1453</v>
      </c>
      <c r="D1460" s="1">
        <v>0.72099537037037043</v>
      </c>
      <c r="E1460" s="2">
        <f>CallLog[[#This Row],[Date]]+CallLog[[#This Row],[Time]]</f>
        <v>44222.720995370371</v>
      </c>
      <c r="F1460" s="1" t="str">
        <f>TEXT(CallLog[[#This Row],[Date]],"dddd")</f>
        <v>Tuesday</v>
      </c>
      <c r="G1460" s="3">
        <f>HOUR(CallLog[[#This Row],[Time]])</f>
        <v>17</v>
      </c>
      <c r="H1460" t="s">
        <v>13</v>
      </c>
      <c r="I1460" t="s">
        <v>14</v>
      </c>
      <c r="J1460" t="s">
        <v>14</v>
      </c>
      <c r="K1460">
        <v>38</v>
      </c>
      <c r="L1460" t="str">
        <f>IF(AND(CallLog[[#This Row],[Answered (Y/N)]]="Y", CallLog[[#This Row],[Speed of answer in seconds]]&lt;=20),
    "Within",
    "Breach")</f>
        <v>Breach</v>
      </c>
      <c r="M1460" s="1">
        <v>4.8379629629629632E-3</v>
      </c>
      <c r="N1460">
        <v>1</v>
      </c>
    </row>
    <row r="1461" spans="1:14" x14ac:dyDescent="0.3">
      <c r="A1461" t="s">
        <v>1510</v>
      </c>
      <c r="B1461" t="s">
        <v>16</v>
      </c>
      <c r="C1461" t="s">
        <v>1453</v>
      </c>
      <c r="D1461" s="1">
        <v>0.72099537037037043</v>
      </c>
      <c r="E1461" s="2">
        <f>CallLog[[#This Row],[Date]]+CallLog[[#This Row],[Time]]</f>
        <v>44222.720995370371</v>
      </c>
      <c r="F1461" s="1" t="str">
        <f>TEXT(CallLog[[#This Row],[Date]],"dddd")</f>
        <v>Tuesday</v>
      </c>
      <c r="G1461" s="3">
        <f>HOUR(CallLog[[#This Row],[Time]])</f>
        <v>17</v>
      </c>
      <c r="H1461" t="s">
        <v>13</v>
      </c>
      <c r="I1461" t="s">
        <v>14</v>
      </c>
      <c r="J1461" t="s">
        <v>14</v>
      </c>
      <c r="K1461">
        <v>115</v>
      </c>
      <c r="L1461" t="str">
        <f>IF(AND(CallLog[[#This Row],[Answered (Y/N)]]="Y", CallLog[[#This Row],[Speed of answer in seconds]]&lt;=20),
    "Within",
    "Breach")</f>
        <v>Breach</v>
      </c>
      <c r="M1461" s="1">
        <v>4.340277777777778E-3</v>
      </c>
      <c r="N1461">
        <v>3</v>
      </c>
    </row>
    <row r="1462" spans="1:14" x14ac:dyDescent="0.3">
      <c r="A1462" t="s">
        <v>1511</v>
      </c>
      <c r="B1462" t="s">
        <v>47</v>
      </c>
      <c r="C1462" t="s">
        <v>1453</v>
      </c>
      <c r="D1462" s="1">
        <v>0.745</v>
      </c>
      <c r="E1462" s="2">
        <f>CallLog[[#This Row],[Date]]+CallLog[[#This Row],[Time]]</f>
        <v>44222.745000000003</v>
      </c>
      <c r="F1462" s="1" t="str">
        <f>TEXT(CallLog[[#This Row],[Date]],"dddd")</f>
        <v>Tuesday</v>
      </c>
      <c r="G1462" s="3">
        <f>HOUR(CallLog[[#This Row],[Time]])</f>
        <v>17</v>
      </c>
      <c r="H1462" t="s">
        <v>32</v>
      </c>
      <c r="I1462" t="s">
        <v>14</v>
      </c>
      <c r="J1462" t="s">
        <v>14</v>
      </c>
      <c r="K1462">
        <v>82</v>
      </c>
      <c r="L1462" t="str">
        <f>IF(AND(CallLog[[#This Row],[Answered (Y/N)]]="Y", CallLog[[#This Row],[Speed of answer in seconds]]&lt;=20),
    "Within",
    "Breach")</f>
        <v>Breach</v>
      </c>
      <c r="M1462" s="1">
        <v>4.5949074074074078E-3</v>
      </c>
      <c r="N1462">
        <v>1</v>
      </c>
    </row>
    <row r="1463" spans="1:14" x14ac:dyDescent="0.3">
      <c r="A1463" t="s">
        <v>1512</v>
      </c>
      <c r="B1463" t="s">
        <v>31</v>
      </c>
      <c r="C1463" t="s">
        <v>1453</v>
      </c>
      <c r="D1463" s="1">
        <v>0.745</v>
      </c>
      <c r="E1463" s="2">
        <f>CallLog[[#This Row],[Date]]+CallLog[[#This Row],[Time]]</f>
        <v>44222.745000000003</v>
      </c>
      <c r="F1463" s="1" t="str">
        <f>TEXT(CallLog[[#This Row],[Date]],"dddd")</f>
        <v>Tuesday</v>
      </c>
      <c r="G1463" s="3">
        <f>HOUR(CallLog[[#This Row],[Time]])</f>
        <v>17</v>
      </c>
      <c r="H1463" t="s">
        <v>17</v>
      </c>
      <c r="I1463" t="s">
        <v>14</v>
      </c>
      <c r="J1463" t="s">
        <v>14</v>
      </c>
      <c r="K1463">
        <v>34</v>
      </c>
      <c r="L1463" t="str">
        <f>IF(AND(CallLog[[#This Row],[Answered (Y/N)]]="Y", CallLog[[#This Row],[Speed of answer in seconds]]&lt;=20),
    "Within",
    "Breach")</f>
        <v>Breach</v>
      </c>
      <c r="M1463" s="1">
        <v>2.9861111111111113E-3</v>
      </c>
      <c r="N1463">
        <v>2</v>
      </c>
    </row>
    <row r="1464" spans="1:14" x14ac:dyDescent="0.3">
      <c r="A1464" t="s">
        <v>1513</v>
      </c>
      <c r="B1464" t="s">
        <v>11</v>
      </c>
      <c r="C1464" t="s">
        <v>1514</v>
      </c>
      <c r="D1464" s="1">
        <v>0.38200231481481484</v>
      </c>
      <c r="E1464" s="2">
        <f>CallLog[[#This Row],[Date]]+CallLog[[#This Row],[Time]]</f>
        <v>44223.382002314815</v>
      </c>
      <c r="F1464" s="1" t="str">
        <f>TEXT(CallLog[[#This Row],[Date]],"dddd")</f>
        <v>Wednesday</v>
      </c>
      <c r="G1464" s="3">
        <f>HOUR(CallLog[[#This Row],[Time]])</f>
        <v>9</v>
      </c>
      <c r="H1464" t="s">
        <v>32</v>
      </c>
      <c r="I1464" t="s">
        <v>14</v>
      </c>
      <c r="J1464" t="s">
        <v>14</v>
      </c>
      <c r="K1464">
        <v>95</v>
      </c>
      <c r="L1464" t="str">
        <f>IF(AND(CallLog[[#This Row],[Answered (Y/N)]]="Y", CallLog[[#This Row],[Speed of answer in seconds]]&lt;=20),
    "Within",
    "Breach")</f>
        <v>Breach</v>
      </c>
      <c r="M1464" s="1">
        <v>2.0254629629629629E-3</v>
      </c>
      <c r="N1464">
        <v>3</v>
      </c>
    </row>
    <row r="1465" spans="1:14" x14ac:dyDescent="0.3">
      <c r="A1465" t="s">
        <v>1515</v>
      </c>
      <c r="B1465" t="s">
        <v>11</v>
      </c>
      <c r="C1465" t="s">
        <v>1514</v>
      </c>
      <c r="D1465" s="1">
        <v>0.38200231481481484</v>
      </c>
      <c r="E1465" s="2">
        <f>CallLog[[#This Row],[Date]]+CallLog[[#This Row],[Time]]</f>
        <v>44223.382002314815</v>
      </c>
      <c r="F1465" s="1" t="str">
        <f>TEXT(CallLog[[#This Row],[Date]],"dddd")</f>
        <v>Wednesday</v>
      </c>
      <c r="G1465" s="3">
        <f>HOUR(CallLog[[#This Row],[Time]])</f>
        <v>9</v>
      </c>
      <c r="H1465" t="s">
        <v>13</v>
      </c>
      <c r="I1465" t="s">
        <v>14</v>
      </c>
      <c r="J1465" t="s">
        <v>14</v>
      </c>
      <c r="K1465">
        <v>13</v>
      </c>
      <c r="L1465" t="str">
        <f>IF(AND(CallLog[[#This Row],[Answered (Y/N)]]="Y", CallLog[[#This Row],[Speed of answer in seconds]]&lt;=20),
    "Within",
    "Breach")</f>
        <v>Within</v>
      </c>
      <c r="M1465" s="1">
        <v>2.2453703703703702E-3</v>
      </c>
      <c r="N1465">
        <v>5</v>
      </c>
    </row>
    <row r="1466" spans="1:14" x14ac:dyDescent="0.3">
      <c r="A1466" t="s">
        <v>1516</v>
      </c>
      <c r="B1466" t="s">
        <v>16</v>
      </c>
      <c r="C1466" t="s">
        <v>1514</v>
      </c>
      <c r="D1466" s="1">
        <v>0.4020023148148148</v>
      </c>
      <c r="E1466" s="2">
        <f>CallLog[[#This Row],[Date]]+CallLog[[#This Row],[Time]]</f>
        <v>44223.402002314811</v>
      </c>
      <c r="F1466" s="1" t="str">
        <f>TEXT(CallLog[[#This Row],[Date]],"dddd")</f>
        <v>Wednesday</v>
      </c>
      <c r="G1466" s="3">
        <f>HOUR(CallLog[[#This Row],[Time]])</f>
        <v>9</v>
      </c>
      <c r="H1466" t="s">
        <v>17</v>
      </c>
      <c r="I1466" t="s">
        <v>14</v>
      </c>
      <c r="J1466" t="s">
        <v>14</v>
      </c>
      <c r="K1466">
        <v>22</v>
      </c>
      <c r="L1466" t="str">
        <f>IF(AND(CallLog[[#This Row],[Answered (Y/N)]]="Y", CallLog[[#This Row],[Speed of answer in seconds]]&lt;=20),
    "Within",
    "Breach")</f>
        <v>Breach</v>
      </c>
      <c r="M1466" s="1">
        <v>2.9166666666666668E-3</v>
      </c>
      <c r="N1466">
        <v>3</v>
      </c>
    </row>
    <row r="1467" spans="1:14" x14ac:dyDescent="0.3">
      <c r="A1467" t="s">
        <v>1517</v>
      </c>
      <c r="B1467" t="s">
        <v>22</v>
      </c>
      <c r="C1467" t="s">
        <v>1514</v>
      </c>
      <c r="D1467" s="1">
        <v>0.4020023148148148</v>
      </c>
      <c r="E1467" s="2">
        <f>CallLog[[#This Row],[Date]]+CallLog[[#This Row],[Time]]</f>
        <v>44223.402002314811</v>
      </c>
      <c r="F1467" s="1" t="str">
        <f>TEXT(CallLog[[#This Row],[Date]],"dddd")</f>
        <v>Wednesday</v>
      </c>
      <c r="G1467" s="3">
        <f>HOUR(CallLog[[#This Row],[Time]])</f>
        <v>9</v>
      </c>
      <c r="H1467" t="s">
        <v>32</v>
      </c>
      <c r="I1467" t="s">
        <v>18</v>
      </c>
      <c r="J1467" t="s">
        <v>18</v>
      </c>
      <c r="L1467" t="str">
        <f>IF(AND(CallLog[[#This Row],[Answered (Y/N)]]="Y", CallLog[[#This Row],[Speed of answer in seconds]]&lt;=20),
    "Within",
    "Breach")</f>
        <v>Breach</v>
      </c>
    </row>
    <row r="1468" spans="1:14" x14ac:dyDescent="0.3">
      <c r="A1468" t="s">
        <v>1518</v>
      </c>
      <c r="B1468" t="s">
        <v>38</v>
      </c>
      <c r="C1468" t="s">
        <v>1514</v>
      </c>
      <c r="D1468" s="1">
        <v>0.40400462962962963</v>
      </c>
      <c r="E1468" s="2">
        <f>CallLog[[#This Row],[Date]]+CallLog[[#This Row],[Time]]</f>
        <v>44223.404004629629</v>
      </c>
      <c r="F1468" s="1" t="str">
        <f>TEXT(CallLog[[#This Row],[Date]],"dddd")</f>
        <v>Wednesday</v>
      </c>
      <c r="G1468" s="3">
        <f>HOUR(CallLog[[#This Row],[Time]])</f>
        <v>9</v>
      </c>
      <c r="H1468" t="s">
        <v>29</v>
      </c>
      <c r="I1468" t="s">
        <v>14</v>
      </c>
      <c r="J1468" t="s">
        <v>14</v>
      </c>
      <c r="K1468">
        <v>86</v>
      </c>
      <c r="L1468" t="str">
        <f>IF(AND(CallLog[[#This Row],[Answered (Y/N)]]="Y", CallLog[[#This Row],[Speed of answer in seconds]]&lt;=20),
    "Within",
    "Breach")</f>
        <v>Breach</v>
      </c>
      <c r="M1468" s="1">
        <v>1.9907407407407408E-3</v>
      </c>
      <c r="N1468">
        <v>1</v>
      </c>
    </row>
    <row r="1469" spans="1:14" x14ac:dyDescent="0.3">
      <c r="A1469" t="s">
        <v>1519</v>
      </c>
      <c r="B1469" t="s">
        <v>34</v>
      </c>
      <c r="C1469" t="s">
        <v>1514</v>
      </c>
      <c r="D1469" s="1">
        <v>0.40400462962962963</v>
      </c>
      <c r="E1469" s="2">
        <f>CallLog[[#This Row],[Date]]+CallLog[[#This Row],[Time]]</f>
        <v>44223.404004629629</v>
      </c>
      <c r="F1469" s="1" t="str">
        <f>TEXT(CallLog[[#This Row],[Date]],"dddd")</f>
        <v>Wednesday</v>
      </c>
      <c r="G1469" s="3">
        <f>HOUR(CallLog[[#This Row],[Time]])</f>
        <v>9</v>
      </c>
      <c r="H1469" t="s">
        <v>13</v>
      </c>
      <c r="I1469" t="s">
        <v>14</v>
      </c>
      <c r="J1469" t="s">
        <v>14</v>
      </c>
      <c r="K1469">
        <v>20</v>
      </c>
      <c r="L1469" t="str">
        <f>IF(AND(CallLog[[#This Row],[Answered (Y/N)]]="Y", CallLog[[#This Row],[Speed of answer in seconds]]&lt;=20),
    "Within",
    "Breach")</f>
        <v>Within</v>
      </c>
      <c r="M1469" s="1">
        <v>3.0439814814814813E-3</v>
      </c>
      <c r="N1469">
        <v>4</v>
      </c>
    </row>
    <row r="1470" spans="1:14" x14ac:dyDescent="0.3">
      <c r="A1470" t="s">
        <v>1520</v>
      </c>
      <c r="B1470" t="s">
        <v>22</v>
      </c>
      <c r="C1470" t="s">
        <v>1514</v>
      </c>
      <c r="D1470" s="1">
        <v>0.4129976851851852</v>
      </c>
      <c r="E1470" s="2">
        <f>CallLog[[#This Row],[Date]]+CallLog[[#This Row],[Time]]</f>
        <v>44223.412997685184</v>
      </c>
      <c r="F1470" s="1" t="str">
        <f>TEXT(CallLog[[#This Row],[Date]],"dddd")</f>
        <v>Wednesday</v>
      </c>
      <c r="G1470" s="3">
        <f>HOUR(CallLog[[#This Row],[Time]])</f>
        <v>9</v>
      </c>
      <c r="H1470" t="s">
        <v>24</v>
      </c>
      <c r="I1470" t="s">
        <v>18</v>
      </c>
      <c r="J1470" t="s">
        <v>18</v>
      </c>
      <c r="L1470" t="str">
        <f>IF(AND(CallLog[[#This Row],[Answered (Y/N)]]="Y", CallLog[[#This Row],[Speed of answer in seconds]]&lt;=20),
    "Within",
    "Breach")</f>
        <v>Breach</v>
      </c>
    </row>
    <row r="1471" spans="1:14" x14ac:dyDescent="0.3">
      <c r="A1471" t="s">
        <v>1521</v>
      </c>
      <c r="B1471" t="s">
        <v>38</v>
      </c>
      <c r="C1471" t="s">
        <v>1514</v>
      </c>
      <c r="D1471" s="1">
        <v>0.4129976851851852</v>
      </c>
      <c r="E1471" s="2">
        <f>CallLog[[#This Row],[Date]]+CallLog[[#This Row],[Time]]</f>
        <v>44223.412997685184</v>
      </c>
      <c r="F1471" s="1" t="str">
        <f>TEXT(CallLog[[#This Row],[Date]],"dddd")</f>
        <v>Wednesday</v>
      </c>
      <c r="G1471" s="3">
        <f>HOUR(CallLog[[#This Row],[Time]])</f>
        <v>9</v>
      </c>
      <c r="H1471" t="s">
        <v>13</v>
      </c>
      <c r="I1471" t="s">
        <v>14</v>
      </c>
      <c r="J1471" t="s">
        <v>14</v>
      </c>
      <c r="K1471">
        <v>36</v>
      </c>
      <c r="L1471" t="str">
        <f>IF(AND(CallLog[[#This Row],[Answered (Y/N)]]="Y", CallLog[[#This Row],[Speed of answer in seconds]]&lt;=20),
    "Within",
    "Breach")</f>
        <v>Breach</v>
      </c>
      <c r="M1471" s="1">
        <v>3.0208333333333333E-3</v>
      </c>
      <c r="N1471">
        <v>4</v>
      </c>
    </row>
    <row r="1472" spans="1:14" x14ac:dyDescent="0.3">
      <c r="A1472" t="s">
        <v>1522</v>
      </c>
      <c r="B1472" t="s">
        <v>38</v>
      </c>
      <c r="C1472" t="s">
        <v>1514</v>
      </c>
      <c r="D1472" s="1">
        <v>0.41499999999999998</v>
      </c>
      <c r="E1472" s="2">
        <f>CallLog[[#This Row],[Date]]+CallLog[[#This Row],[Time]]</f>
        <v>44223.415000000001</v>
      </c>
      <c r="F1472" s="1" t="str">
        <f>TEXT(CallLog[[#This Row],[Date]],"dddd")</f>
        <v>Wednesday</v>
      </c>
      <c r="G1472" s="3">
        <f>HOUR(CallLog[[#This Row],[Time]])</f>
        <v>9</v>
      </c>
      <c r="H1472" t="s">
        <v>32</v>
      </c>
      <c r="I1472" t="s">
        <v>14</v>
      </c>
      <c r="J1472" t="s">
        <v>14</v>
      </c>
      <c r="K1472">
        <v>118</v>
      </c>
      <c r="L1472" t="str">
        <f>IF(AND(CallLog[[#This Row],[Answered (Y/N)]]="Y", CallLog[[#This Row],[Speed of answer in seconds]]&lt;=20),
    "Within",
    "Breach")</f>
        <v>Breach</v>
      </c>
      <c r="M1472" s="1">
        <v>2.3958333333333331E-3</v>
      </c>
      <c r="N1472">
        <v>4</v>
      </c>
    </row>
    <row r="1473" spans="1:14" x14ac:dyDescent="0.3">
      <c r="A1473" t="s">
        <v>1523</v>
      </c>
      <c r="B1473" t="s">
        <v>20</v>
      </c>
      <c r="C1473" t="s">
        <v>1514</v>
      </c>
      <c r="D1473" s="1">
        <v>0.41499999999999998</v>
      </c>
      <c r="E1473" s="2">
        <f>CallLog[[#This Row],[Date]]+CallLog[[#This Row],[Time]]</f>
        <v>44223.415000000001</v>
      </c>
      <c r="F1473" s="1" t="str">
        <f>TEXT(CallLog[[#This Row],[Date]],"dddd")</f>
        <v>Wednesday</v>
      </c>
      <c r="G1473" s="3">
        <f>HOUR(CallLog[[#This Row],[Time]])</f>
        <v>9</v>
      </c>
      <c r="H1473" t="s">
        <v>13</v>
      </c>
      <c r="I1473" t="s">
        <v>14</v>
      </c>
      <c r="J1473" t="s">
        <v>14</v>
      </c>
      <c r="K1473">
        <v>40</v>
      </c>
      <c r="L1473" t="str">
        <f>IF(AND(CallLog[[#This Row],[Answered (Y/N)]]="Y", CallLog[[#This Row],[Speed of answer in seconds]]&lt;=20),
    "Within",
    "Breach")</f>
        <v>Breach</v>
      </c>
      <c r="M1473" s="1">
        <v>2.8472222222222223E-3</v>
      </c>
      <c r="N1473">
        <v>4</v>
      </c>
    </row>
    <row r="1474" spans="1:14" x14ac:dyDescent="0.3">
      <c r="A1474" t="s">
        <v>1524</v>
      </c>
      <c r="B1474" t="s">
        <v>31</v>
      </c>
      <c r="C1474" t="s">
        <v>1514</v>
      </c>
      <c r="D1474" s="1">
        <v>0.44700231481481484</v>
      </c>
      <c r="E1474" s="2">
        <f>CallLog[[#This Row],[Date]]+CallLog[[#This Row],[Time]]</f>
        <v>44223.447002314817</v>
      </c>
      <c r="F1474" s="1" t="str">
        <f>TEXT(CallLog[[#This Row],[Date]],"dddd")</f>
        <v>Wednesday</v>
      </c>
      <c r="G1474" s="3">
        <f>HOUR(CallLog[[#This Row],[Time]])</f>
        <v>10</v>
      </c>
      <c r="H1474" t="s">
        <v>13</v>
      </c>
      <c r="I1474" t="s">
        <v>14</v>
      </c>
      <c r="J1474" t="s">
        <v>14</v>
      </c>
      <c r="K1474">
        <v>97</v>
      </c>
      <c r="L1474" t="str">
        <f>IF(AND(CallLog[[#This Row],[Answered (Y/N)]]="Y", CallLog[[#This Row],[Speed of answer in seconds]]&lt;=20),
    "Within",
    "Breach")</f>
        <v>Breach</v>
      </c>
      <c r="M1474" s="1">
        <v>4.5949074074074078E-3</v>
      </c>
      <c r="N1474">
        <v>4</v>
      </c>
    </row>
    <row r="1475" spans="1:14" x14ac:dyDescent="0.3">
      <c r="A1475" t="s">
        <v>1525</v>
      </c>
      <c r="B1475" t="s">
        <v>38</v>
      </c>
      <c r="C1475" t="s">
        <v>1514</v>
      </c>
      <c r="D1475" s="1">
        <v>0.44700231481481484</v>
      </c>
      <c r="E1475" s="2">
        <f>CallLog[[#This Row],[Date]]+CallLog[[#This Row],[Time]]</f>
        <v>44223.447002314817</v>
      </c>
      <c r="F1475" s="1" t="str">
        <f>TEXT(CallLog[[#This Row],[Date]],"dddd")</f>
        <v>Wednesday</v>
      </c>
      <c r="G1475" s="3">
        <f>HOUR(CallLog[[#This Row],[Time]])</f>
        <v>10</v>
      </c>
      <c r="H1475" t="s">
        <v>13</v>
      </c>
      <c r="I1475" t="s">
        <v>14</v>
      </c>
      <c r="J1475" t="s">
        <v>14</v>
      </c>
      <c r="K1475">
        <v>75</v>
      </c>
      <c r="L1475" t="str">
        <f>IF(AND(CallLog[[#This Row],[Answered (Y/N)]]="Y", CallLog[[#This Row],[Speed of answer in seconds]]&lt;=20),
    "Within",
    "Breach")</f>
        <v>Breach</v>
      </c>
      <c r="M1475" s="1">
        <v>1.9675925925925924E-3</v>
      </c>
      <c r="N1475">
        <v>4</v>
      </c>
    </row>
    <row r="1476" spans="1:14" x14ac:dyDescent="0.3">
      <c r="A1476" t="s">
        <v>1526</v>
      </c>
      <c r="B1476" t="s">
        <v>47</v>
      </c>
      <c r="C1476" t="s">
        <v>1514</v>
      </c>
      <c r="D1476" s="1">
        <v>0.46500000000000002</v>
      </c>
      <c r="E1476" s="2">
        <f>CallLog[[#This Row],[Date]]+CallLog[[#This Row],[Time]]</f>
        <v>44223.464999999997</v>
      </c>
      <c r="F1476" s="1" t="str">
        <f>TEXT(CallLog[[#This Row],[Date]],"dddd")</f>
        <v>Wednesday</v>
      </c>
      <c r="G1476" s="3">
        <f>HOUR(CallLog[[#This Row],[Time]])</f>
        <v>11</v>
      </c>
      <c r="H1476" t="s">
        <v>17</v>
      </c>
      <c r="I1476" t="s">
        <v>14</v>
      </c>
      <c r="J1476" t="s">
        <v>14</v>
      </c>
      <c r="K1476">
        <v>61</v>
      </c>
      <c r="L1476" t="str">
        <f>IF(AND(CallLog[[#This Row],[Answered (Y/N)]]="Y", CallLog[[#This Row],[Speed of answer in seconds]]&lt;=20),
    "Within",
    "Breach")</f>
        <v>Breach</v>
      </c>
      <c r="M1476" s="1">
        <v>1.8402777777777777E-3</v>
      </c>
      <c r="N1476">
        <v>3</v>
      </c>
    </row>
    <row r="1477" spans="1:14" x14ac:dyDescent="0.3">
      <c r="A1477" t="s">
        <v>1527</v>
      </c>
      <c r="B1477" t="s">
        <v>47</v>
      </c>
      <c r="C1477" t="s">
        <v>1514</v>
      </c>
      <c r="D1477" s="1">
        <v>0.46500000000000002</v>
      </c>
      <c r="E1477" s="2">
        <f>CallLog[[#This Row],[Date]]+CallLog[[#This Row],[Time]]</f>
        <v>44223.464999999997</v>
      </c>
      <c r="F1477" s="1" t="str">
        <f>TEXT(CallLog[[#This Row],[Date]],"dddd")</f>
        <v>Wednesday</v>
      </c>
      <c r="G1477" s="3">
        <f>HOUR(CallLog[[#This Row],[Time]])</f>
        <v>11</v>
      </c>
      <c r="H1477" t="s">
        <v>32</v>
      </c>
      <c r="I1477" t="s">
        <v>14</v>
      </c>
      <c r="J1477" t="s">
        <v>14</v>
      </c>
      <c r="K1477">
        <v>125</v>
      </c>
      <c r="L1477" t="str">
        <f>IF(AND(CallLog[[#This Row],[Answered (Y/N)]]="Y", CallLog[[#This Row],[Speed of answer in seconds]]&lt;=20),
    "Within",
    "Breach")</f>
        <v>Breach</v>
      </c>
      <c r="M1477" s="1">
        <v>4.2245370370370371E-3</v>
      </c>
      <c r="N1477">
        <v>5</v>
      </c>
    </row>
    <row r="1478" spans="1:14" x14ac:dyDescent="0.3">
      <c r="A1478" t="s">
        <v>1528</v>
      </c>
      <c r="B1478" t="s">
        <v>31</v>
      </c>
      <c r="C1478" t="s">
        <v>1514</v>
      </c>
      <c r="D1478" s="1">
        <v>0.52799768518518519</v>
      </c>
      <c r="E1478" s="2">
        <f>CallLog[[#This Row],[Date]]+CallLog[[#This Row],[Time]]</f>
        <v>44223.527997685182</v>
      </c>
      <c r="F1478" s="1" t="str">
        <f>TEXT(CallLog[[#This Row],[Date]],"dddd")</f>
        <v>Wednesday</v>
      </c>
      <c r="G1478" s="3">
        <f>HOUR(CallLog[[#This Row],[Time]])</f>
        <v>12</v>
      </c>
      <c r="H1478" t="s">
        <v>13</v>
      </c>
      <c r="I1478" t="s">
        <v>18</v>
      </c>
      <c r="J1478" t="s">
        <v>18</v>
      </c>
      <c r="L1478" t="str">
        <f>IF(AND(CallLog[[#This Row],[Answered (Y/N)]]="Y", CallLog[[#This Row],[Speed of answer in seconds]]&lt;=20),
    "Within",
    "Breach")</f>
        <v>Breach</v>
      </c>
    </row>
    <row r="1479" spans="1:14" x14ac:dyDescent="0.3">
      <c r="A1479" t="s">
        <v>1529</v>
      </c>
      <c r="B1479" t="s">
        <v>47</v>
      </c>
      <c r="C1479" t="s">
        <v>1514</v>
      </c>
      <c r="D1479" s="1">
        <v>0.52799768518518519</v>
      </c>
      <c r="E1479" s="2">
        <f>CallLog[[#This Row],[Date]]+CallLog[[#This Row],[Time]]</f>
        <v>44223.527997685182</v>
      </c>
      <c r="F1479" s="1" t="str">
        <f>TEXT(CallLog[[#This Row],[Date]],"dddd")</f>
        <v>Wednesday</v>
      </c>
      <c r="G1479" s="3">
        <f>HOUR(CallLog[[#This Row],[Time]])</f>
        <v>12</v>
      </c>
      <c r="H1479" t="s">
        <v>17</v>
      </c>
      <c r="I1479" t="s">
        <v>14</v>
      </c>
      <c r="J1479" t="s">
        <v>14</v>
      </c>
      <c r="K1479">
        <v>33</v>
      </c>
      <c r="L1479" t="str">
        <f>IF(AND(CallLog[[#This Row],[Answered (Y/N)]]="Y", CallLog[[#This Row],[Speed of answer in seconds]]&lt;=20),
    "Within",
    "Breach")</f>
        <v>Breach</v>
      </c>
      <c r="M1479" s="1">
        <v>4.0740740740740737E-3</v>
      </c>
      <c r="N1479">
        <v>5</v>
      </c>
    </row>
    <row r="1480" spans="1:14" x14ac:dyDescent="0.3">
      <c r="A1480" t="s">
        <v>1530</v>
      </c>
      <c r="B1480" t="s">
        <v>38</v>
      </c>
      <c r="C1480" t="s">
        <v>1514</v>
      </c>
      <c r="D1480" s="1">
        <v>0.54200231481481487</v>
      </c>
      <c r="E1480" s="2">
        <f>CallLog[[#This Row],[Date]]+CallLog[[#This Row],[Time]]</f>
        <v>44223.542002314818</v>
      </c>
      <c r="F1480" s="1" t="str">
        <f>TEXT(CallLog[[#This Row],[Date]],"dddd")</f>
        <v>Wednesday</v>
      </c>
      <c r="G1480" s="3">
        <f>HOUR(CallLog[[#This Row],[Time]])</f>
        <v>13</v>
      </c>
      <c r="H1480" t="s">
        <v>17</v>
      </c>
      <c r="I1480" t="s">
        <v>18</v>
      </c>
      <c r="J1480" t="s">
        <v>18</v>
      </c>
      <c r="L1480" t="str">
        <f>IF(AND(CallLog[[#This Row],[Answered (Y/N)]]="Y", CallLog[[#This Row],[Speed of answer in seconds]]&lt;=20),
    "Within",
    "Breach")</f>
        <v>Breach</v>
      </c>
    </row>
    <row r="1481" spans="1:14" x14ac:dyDescent="0.3">
      <c r="A1481" t="s">
        <v>1531</v>
      </c>
      <c r="B1481" t="s">
        <v>38</v>
      </c>
      <c r="C1481" t="s">
        <v>1514</v>
      </c>
      <c r="D1481" s="1">
        <v>0.54200231481481487</v>
      </c>
      <c r="E1481" s="2">
        <f>CallLog[[#This Row],[Date]]+CallLog[[#This Row],[Time]]</f>
        <v>44223.542002314818</v>
      </c>
      <c r="F1481" s="1" t="str">
        <f>TEXT(CallLog[[#This Row],[Date]],"dddd")</f>
        <v>Wednesday</v>
      </c>
      <c r="G1481" s="3">
        <f>HOUR(CallLog[[#This Row],[Time]])</f>
        <v>13</v>
      </c>
      <c r="H1481" t="s">
        <v>32</v>
      </c>
      <c r="I1481" t="s">
        <v>14</v>
      </c>
      <c r="J1481" t="s">
        <v>14</v>
      </c>
      <c r="K1481">
        <v>50</v>
      </c>
      <c r="L1481" t="str">
        <f>IF(AND(CallLog[[#This Row],[Answered (Y/N)]]="Y", CallLog[[#This Row],[Speed of answer in seconds]]&lt;=20),
    "Within",
    "Breach")</f>
        <v>Breach</v>
      </c>
      <c r="M1481" s="1">
        <v>2.673611111111111E-3</v>
      </c>
      <c r="N1481">
        <v>5</v>
      </c>
    </row>
    <row r="1482" spans="1:14" x14ac:dyDescent="0.3">
      <c r="A1482" t="s">
        <v>1532</v>
      </c>
      <c r="B1482" t="s">
        <v>31</v>
      </c>
      <c r="C1482" t="s">
        <v>1514</v>
      </c>
      <c r="D1482" s="1">
        <v>0.54400462962962959</v>
      </c>
      <c r="E1482" s="2">
        <f>CallLog[[#This Row],[Date]]+CallLog[[#This Row],[Time]]</f>
        <v>44223.544004629628</v>
      </c>
      <c r="F1482" s="1" t="str">
        <f>TEXT(CallLog[[#This Row],[Date]],"dddd")</f>
        <v>Wednesday</v>
      </c>
      <c r="G1482" s="3">
        <f>HOUR(CallLog[[#This Row],[Time]])</f>
        <v>13</v>
      </c>
      <c r="H1482" t="s">
        <v>29</v>
      </c>
      <c r="I1482" t="s">
        <v>14</v>
      </c>
      <c r="J1482" t="s">
        <v>14</v>
      </c>
      <c r="K1482">
        <v>114</v>
      </c>
      <c r="L1482" t="str">
        <f>IF(AND(CallLog[[#This Row],[Answered (Y/N)]]="Y", CallLog[[#This Row],[Speed of answer in seconds]]&lt;=20),
    "Within",
    "Breach")</f>
        <v>Breach</v>
      </c>
      <c r="M1482" s="1">
        <v>3.0208333333333333E-3</v>
      </c>
      <c r="N1482">
        <v>3</v>
      </c>
    </row>
    <row r="1483" spans="1:14" x14ac:dyDescent="0.3">
      <c r="A1483" t="s">
        <v>1533</v>
      </c>
      <c r="B1483" t="s">
        <v>31</v>
      </c>
      <c r="C1483" t="s">
        <v>1514</v>
      </c>
      <c r="D1483" s="1">
        <v>0.54400462962962959</v>
      </c>
      <c r="E1483" s="2">
        <f>CallLog[[#This Row],[Date]]+CallLog[[#This Row],[Time]]</f>
        <v>44223.544004629628</v>
      </c>
      <c r="F1483" s="1" t="str">
        <f>TEXT(CallLog[[#This Row],[Date]],"dddd")</f>
        <v>Wednesday</v>
      </c>
      <c r="G1483" s="3">
        <f>HOUR(CallLog[[#This Row],[Time]])</f>
        <v>13</v>
      </c>
      <c r="H1483" t="s">
        <v>17</v>
      </c>
      <c r="I1483" t="s">
        <v>18</v>
      </c>
      <c r="J1483" t="s">
        <v>18</v>
      </c>
      <c r="L1483" t="str">
        <f>IF(AND(CallLog[[#This Row],[Answered (Y/N)]]="Y", CallLog[[#This Row],[Speed of answer in seconds]]&lt;=20),
    "Within",
    "Breach")</f>
        <v>Breach</v>
      </c>
    </row>
    <row r="1484" spans="1:14" x14ac:dyDescent="0.3">
      <c r="A1484" t="s">
        <v>1534</v>
      </c>
      <c r="B1484" t="s">
        <v>47</v>
      </c>
      <c r="C1484" t="s">
        <v>1514</v>
      </c>
      <c r="D1484" s="1">
        <v>0.54700231481481476</v>
      </c>
      <c r="E1484" s="2">
        <f>CallLog[[#This Row],[Date]]+CallLog[[#This Row],[Time]]</f>
        <v>44223.547002314815</v>
      </c>
      <c r="F1484" s="1" t="str">
        <f>TEXT(CallLog[[#This Row],[Date]],"dddd")</f>
        <v>Wednesday</v>
      </c>
      <c r="G1484" s="3">
        <f>HOUR(CallLog[[#This Row],[Time]])</f>
        <v>13</v>
      </c>
      <c r="H1484" t="s">
        <v>32</v>
      </c>
      <c r="I1484" t="s">
        <v>14</v>
      </c>
      <c r="J1484" t="s">
        <v>14</v>
      </c>
      <c r="K1484">
        <v>58</v>
      </c>
      <c r="L1484" t="str">
        <f>IF(AND(CallLog[[#This Row],[Answered (Y/N)]]="Y", CallLog[[#This Row],[Speed of answer in seconds]]&lt;=20),
    "Within",
    "Breach")</f>
        <v>Breach</v>
      </c>
      <c r="M1484" s="1">
        <v>1.4004629629629629E-3</v>
      </c>
      <c r="N1484">
        <v>4</v>
      </c>
    </row>
    <row r="1485" spans="1:14" x14ac:dyDescent="0.3">
      <c r="A1485" t="s">
        <v>1535</v>
      </c>
      <c r="B1485" t="s">
        <v>11</v>
      </c>
      <c r="C1485" t="s">
        <v>1514</v>
      </c>
      <c r="D1485" s="1">
        <v>0.54700231481481476</v>
      </c>
      <c r="E1485" s="2">
        <f>CallLog[[#This Row],[Date]]+CallLog[[#This Row],[Time]]</f>
        <v>44223.547002314815</v>
      </c>
      <c r="F1485" s="1" t="str">
        <f>TEXT(CallLog[[#This Row],[Date]],"dddd")</f>
        <v>Wednesday</v>
      </c>
      <c r="G1485" s="3">
        <f>HOUR(CallLog[[#This Row],[Time]])</f>
        <v>13</v>
      </c>
      <c r="H1485" t="s">
        <v>32</v>
      </c>
      <c r="I1485" t="s">
        <v>14</v>
      </c>
      <c r="J1485" t="s">
        <v>14</v>
      </c>
      <c r="K1485">
        <v>86</v>
      </c>
      <c r="L1485" t="str">
        <f>IF(AND(CallLog[[#This Row],[Answered (Y/N)]]="Y", CallLog[[#This Row],[Speed of answer in seconds]]&lt;=20),
    "Within",
    "Breach")</f>
        <v>Breach</v>
      </c>
      <c r="M1485" s="1">
        <v>2.3958333333333331E-3</v>
      </c>
      <c r="N1485">
        <v>2</v>
      </c>
    </row>
    <row r="1486" spans="1:14" x14ac:dyDescent="0.3">
      <c r="A1486" t="s">
        <v>1536</v>
      </c>
      <c r="B1486" t="s">
        <v>47</v>
      </c>
      <c r="C1486" t="s">
        <v>1514</v>
      </c>
      <c r="D1486" s="1">
        <v>0.54799768518518521</v>
      </c>
      <c r="E1486" s="2">
        <f>CallLog[[#This Row],[Date]]+CallLog[[#This Row],[Time]]</f>
        <v>44223.547997685186</v>
      </c>
      <c r="F1486" s="1" t="str">
        <f>TEXT(CallLog[[#This Row],[Date]],"dddd")</f>
        <v>Wednesday</v>
      </c>
      <c r="G1486" s="3">
        <f>HOUR(CallLog[[#This Row],[Time]])</f>
        <v>13</v>
      </c>
      <c r="H1486" t="s">
        <v>32</v>
      </c>
      <c r="I1486" t="s">
        <v>14</v>
      </c>
      <c r="J1486" t="s">
        <v>14</v>
      </c>
      <c r="K1486">
        <v>45</v>
      </c>
      <c r="L1486" t="str">
        <f>IF(AND(CallLog[[#This Row],[Answered (Y/N)]]="Y", CallLog[[#This Row],[Speed of answer in seconds]]&lt;=20),
    "Within",
    "Breach")</f>
        <v>Breach</v>
      </c>
      <c r="M1486" s="1">
        <v>2.6967592592592594E-3</v>
      </c>
      <c r="N1486">
        <v>5</v>
      </c>
    </row>
    <row r="1487" spans="1:14" x14ac:dyDescent="0.3">
      <c r="A1487" t="s">
        <v>1537</v>
      </c>
      <c r="B1487" t="s">
        <v>47</v>
      </c>
      <c r="C1487" t="s">
        <v>1514</v>
      </c>
      <c r="D1487" s="1">
        <v>0.54799768518518521</v>
      </c>
      <c r="E1487" s="2">
        <f>CallLog[[#This Row],[Date]]+CallLog[[#This Row],[Time]]</f>
        <v>44223.547997685186</v>
      </c>
      <c r="F1487" s="1" t="str">
        <f>TEXT(CallLog[[#This Row],[Date]],"dddd")</f>
        <v>Wednesday</v>
      </c>
      <c r="G1487" s="3">
        <f>HOUR(CallLog[[#This Row],[Time]])</f>
        <v>13</v>
      </c>
      <c r="H1487" t="s">
        <v>32</v>
      </c>
      <c r="I1487" t="s">
        <v>14</v>
      </c>
      <c r="J1487" t="s">
        <v>14</v>
      </c>
      <c r="K1487">
        <v>84</v>
      </c>
      <c r="L1487" t="str">
        <f>IF(AND(CallLog[[#This Row],[Answered (Y/N)]]="Y", CallLog[[#This Row],[Speed of answer in seconds]]&lt;=20),
    "Within",
    "Breach")</f>
        <v>Breach</v>
      </c>
      <c r="M1487" s="1">
        <v>1.7708333333333332E-3</v>
      </c>
      <c r="N1487">
        <v>2</v>
      </c>
    </row>
    <row r="1488" spans="1:14" x14ac:dyDescent="0.3">
      <c r="A1488" t="s">
        <v>1538</v>
      </c>
      <c r="B1488" t="s">
        <v>11</v>
      </c>
      <c r="C1488" t="s">
        <v>1514</v>
      </c>
      <c r="D1488" s="1">
        <v>0.55700231481481477</v>
      </c>
      <c r="E1488" s="2">
        <f>CallLog[[#This Row],[Date]]+CallLog[[#This Row],[Time]]</f>
        <v>44223.557002314818</v>
      </c>
      <c r="F1488" s="1" t="str">
        <f>TEXT(CallLog[[#This Row],[Date]],"dddd")</f>
        <v>Wednesday</v>
      </c>
      <c r="G1488" s="3">
        <f>HOUR(CallLog[[#This Row],[Time]])</f>
        <v>13</v>
      </c>
      <c r="H1488" t="s">
        <v>13</v>
      </c>
      <c r="I1488" t="s">
        <v>14</v>
      </c>
      <c r="J1488" t="s">
        <v>14</v>
      </c>
      <c r="K1488">
        <v>15</v>
      </c>
      <c r="L1488" t="str">
        <f>IF(AND(CallLog[[#This Row],[Answered (Y/N)]]="Y", CallLog[[#This Row],[Speed of answer in seconds]]&lt;=20),
    "Within",
    "Breach")</f>
        <v>Within</v>
      </c>
      <c r="M1488" s="1">
        <v>4.7916666666666663E-3</v>
      </c>
      <c r="N1488">
        <v>2</v>
      </c>
    </row>
    <row r="1489" spans="1:14" x14ac:dyDescent="0.3">
      <c r="A1489" t="s">
        <v>1539</v>
      </c>
      <c r="B1489" t="s">
        <v>20</v>
      </c>
      <c r="C1489" t="s">
        <v>1514</v>
      </c>
      <c r="D1489" s="1">
        <v>0.55700231481481477</v>
      </c>
      <c r="E1489" s="2">
        <f>CallLog[[#This Row],[Date]]+CallLog[[#This Row],[Time]]</f>
        <v>44223.557002314818</v>
      </c>
      <c r="F1489" s="1" t="str">
        <f>TEXT(CallLog[[#This Row],[Date]],"dddd")</f>
        <v>Wednesday</v>
      </c>
      <c r="G1489" s="3">
        <f>HOUR(CallLog[[#This Row],[Time]])</f>
        <v>13</v>
      </c>
      <c r="H1489" t="s">
        <v>29</v>
      </c>
      <c r="I1489" t="s">
        <v>14</v>
      </c>
      <c r="J1489" t="s">
        <v>14</v>
      </c>
      <c r="K1489">
        <v>47</v>
      </c>
      <c r="L1489" t="str">
        <f>IF(AND(CallLog[[#This Row],[Answered (Y/N)]]="Y", CallLog[[#This Row],[Speed of answer in seconds]]&lt;=20),
    "Within",
    "Breach")</f>
        <v>Breach</v>
      </c>
      <c r="M1489" s="1">
        <v>2.8587962962962963E-3</v>
      </c>
      <c r="N1489">
        <v>2</v>
      </c>
    </row>
    <row r="1490" spans="1:14" x14ac:dyDescent="0.3">
      <c r="A1490" t="s">
        <v>1540</v>
      </c>
      <c r="B1490" t="s">
        <v>47</v>
      </c>
      <c r="C1490" t="s">
        <v>1514</v>
      </c>
      <c r="D1490" s="1">
        <v>0.56099537037037039</v>
      </c>
      <c r="E1490" s="2">
        <f>CallLog[[#This Row],[Date]]+CallLog[[#This Row],[Time]]</f>
        <v>44223.560995370368</v>
      </c>
      <c r="F1490" s="1" t="str">
        <f>TEXT(CallLog[[#This Row],[Date]],"dddd")</f>
        <v>Wednesday</v>
      </c>
      <c r="G1490" s="3">
        <f>HOUR(CallLog[[#This Row],[Time]])</f>
        <v>13</v>
      </c>
      <c r="H1490" t="s">
        <v>24</v>
      </c>
      <c r="I1490" t="s">
        <v>14</v>
      </c>
      <c r="J1490" t="s">
        <v>14</v>
      </c>
      <c r="K1490">
        <v>27</v>
      </c>
      <c r="L1490" t="str">
        <f>IF(AND(CallLog[[#This Row],[Answered (Y/N)]]="Y", CallLog[[#This Row],[Speed of answer in seconds]]&lt;=20),
    "Within",
    "Breach")</f>
        <v>Breach</v>
      </c>
      <c r="M1490" s="1">
        <v>1.8171296296296297E-3</v>
      </c>
      <c r="N1490">
        <v>3</v>
      </c>
    </row>
    <row r="1491" spans="1:14" x14ac:dyDescent="0.3">
      <c r="A1491" t="s">
        <v>1541</v>
      </c>
      <c r="B1491" t="s">
        <v>38</v>
      </c>
      <c r="C1491" t="s">
        <v>1514</v>
      </c>
      <c r="D1491" s="1">
        <v>0.56099537037037039</v>
      </c>
      <c r="E1491" s="2">
        <f>CallLog[[#This Row],[Date]]+CallLog[[#This Row],[Time]]</f>
        <v>44223.560995370368</v>
      </c>
      <c r="F1491" s="1" t="str">
        <f>TEXT(CallLog[[#This Row],[Date]],"dddd")</f>
        <v>Wednesday</v>
      </c>
      <c r="G1491" s="3">
        <f>HOUR(CallLog[[#This Row],[Time]])</f>
        <v>13</v>
      </c>
      <c r="H1491" t="s">
        <v>29</v>
      </c>
      <c r="I1491" t="s">
        <v>14</v>
      </c>
      <c r="J1491" t="s">
        <v>14</v>
      </c>
      <c r="K1491">
        <v>49</v>
      </c>
      <c r="L1491" t="str">
        <f>IF(AND(CallLog[[#This Row],[Answered (Y/N)]]="Y", CallLog[[#This Row],[Speed of answer in seconds]]&lt;=20),
    "Within",
    "Breach")</f>
        <v>Breach</v>
      </c>
      <c r="M1491" s="1">
        <v>9.7222222222222219E-4</v>
      </c>
      <c r="N1491">
        <v>4</v>
      </c>
    </row>
    <row r="1492" spans="1:14" x14ac:dyDescent="0.3">
      <c r="A1492" t="s">
        <v>1542</v>
      </c>
      <c r="B1492" t="s">
        <v>34</v>
      </c>
      <c r="C1492" t="s">
        <v>1514</v>
      </c>
      <c r="D1492" s="1">
        <v>0.57799768518518524</v>
      </c>
      <c r="E1492" s="2">
        <f>CallLog[[#This Row],[Date]]+CallLog[[#This Row],[Time]]</f>
        <v>44223.577997685185</v>
      </c>
      <c r="F1492" s="1" t="str">
        <f>TEXT(CallLog[[#This Row],[Date]],"dddd")</f>
        <v>Wednesday</v>
      </c>
      <c r="G1492" s="3">
        <f>HOUR(CallLog[[#This Row],[Time]])</f>
        <v>13</v>
      </c>
      <c r="H1492" t="s">
        <v>13</v>
      </c>
      <c r="I1492" t="s">
        <v>14</v>
      </c>
      <c r="J1492" t="s">
        <v>14</v>
      </c>
      <c r="K1492">
        <v>50</v>
      </c>
      <c r="L1492" t="str">
        <f>IF(AND(CallLog[[#This Row],[Answered (Y/N)]]="Y", CallLog[[#This Row],[Speed of answer in seconds]]&lt;=20),
    "Within",
    "Breach")</f>
        <v>Breach</v>
      </c>
      <c r="M1492" s="1">
        <v>1.2152777777777778E-3</v>
      </c>
      <c r="N1492">
        <v>4</v>
      </c>
    </row>
    <row r="1493" spans="1:14" x14ac:dyDescent="0.3">
      <c r="A1493" t="s">
        <v>1543</v>
      </c>
      <c r="B1493" t="s">
        <v>22</v>
      </c>
      <c r="C1493" t="s">
        <v>1514</v>
      </c>
      <c r="D1493" s="1">
        <v>0.57799768518518524</v>
      </c>
      <c r="E1493" s="2">
        <f>CallLog[[#This Row],[Date]]+CallLog[[#This Row],[Time]]</f>
        <v>44223.577997685185</v>
      </c>
      <c r="F1493" s="1" t="str">
        <f>TEXT(CallLog[[#This Row],[Date]],"dddd")</f>
        <v>Wednesday</v>
      </c>
      <c r="G1493" s="3">
        <f>HOUR(CallLog[[#This Row],[Time]])</f>
        <v>13</v>
      </c>
      <c r="H1493" t="s">
        <v>32</v>
      </c>
      <c r="I1493" t="s">
        <v>14</v>
      </c>
      <c r="J1493" t="s">
        <v>14</v>
      </c>
      <c r="K1493">
        <v>87</v>
      </c>
      <c r="L1493" t="str">
        <f>IF(AND(CallLog[[#This Row],[Answered (Y/N)]]="Y", CallLog[[#This Row],[Speed of answer in seconds]]&lt;=20),
    "Within",
    "Breach")</f>
        <v>Breach</v>
      </c>
      <c r="M1493" s="1">
        <v>3.4837962962962965E-3</v>
      </c>
      <c r="N1493">
        <v>2</v>
      </c>
    </row>
    <row r="1494" spans="1:14" x14ac:dyDescent="0.3">
      <c r="A1494" t="s">
        <v>1544</v>
      </c>
      <c r="B1494" t="s">
        <v>31</v>
      </c>
      <c r="C1494" t="s">
        <v>1514</v>
      </c>
      <c r="D1494" s="1">
        <v>0.61499999999999999</v>
      </c>
      <c r="E1494" s="2">
        <f>CallLog[[#This Row],[Date]]+CallLog[[#This Row],[Time]]</f>
        <v>44223.614999999998</v>
      </c>
      <c r="F1494" s="1" t="str">
        <f>TEXT(CallLog[[#This Row],[Date]],"dddd")</f>
        <v>Wednesday</v>
      </c>
      <c r="G1494" s="3">
        <f>HOUR(CallLog[[#This Row],[Time]])</f>
        <v>14</v>
      </c>
      <c r="H1494" t="s">
        <v>29</v>
      </c>
      <c r="I1494" t="s">
        <v>14</v>
      </c>
      <c r="J1494" t="s">
        <v>14</v>
      </c>
      <c r="K1494">
        <v>87</v>
      </c>
      <c r="L1494" t="str">
        <f>IF(AND(CallLog[[#This Row],[Answered (Y/N)]]="Y", CallLog[[#This Row],[Speed of answer in seconds]]&lt;=20),
    "Within",
    "Breach")</f>
        <v>Breach</v>
      </c>
      <c r="M1494" s="1">
        <v>4.5601851851851853E-3</v>
      </c>
      <c r="N1494">
        <v>3</v>
      </c>
    </row>
    <row r="1495" spans="1:14" x14ac:dyDescent="0.3">
      <c r="A1495" t="s">
        <v>1545</v>
      </c>
      <c r="B1495" t="s">
        <v>31</v>
      </c>
      <c r="C1495" t="s">
        <v>1514</v>
      </c>
      <c r="D1495" s="1">
        <v>0.61499999999999999</v>
      </c>
      <c r="E1495" s="2">
        <f>CallLog[[#This Row],[Date]]+CallLog[[#This Row],[Time]]</f>
        <v>44223.614999999998</v>
      </c>
      <c r="F1495" s="1" t="str">
        <f>TEXT(CallLog[[#This Row],[Date]],"dddd")</f>
        <v>Wednesday</v>
      </c>
      <c r="G1495" s="3">
        <f>HOUR(CallLog[[#This Row],[Time]])</f>
        <v>14</v>
      </c>
      <c r="H1495" t="s">
        <v>24</v>
      </c>
      <c r="I1495" t="s">
        <v>14</v>
      </c>
      <c r="J1495" t="s">
        <v>14</v>
      </c>
      <c r="K1495">
        <v>15</v>
      </c>
      <c r="L1495" t="str">
        <f>IF(AND(CallLog[[#This Row],[Answered (Y/N)]]="Y", CallLog[[#This Row],[Speed of answer in seconds]]&lt;=20),
    "Within",
    "Breach")</f>
        <v>Within</v>
      </c>
      <c r="M1495" s="1">
        <v>4.1435185185185186E-3</v>
      </c>
      <c r="N1495">
        <v>3</v>
      </c>
    </row>
    <row r="1496" spans="1:14" x14ac:dyDescent="0.3">
      <c r="A1496" t="s">
        <v>1546</v>
      </c>
      <c r="B1496" t="s">
        <v>47</v>
      </c>
      <c r="C1496" t="s">
        <v>1514</v>
      </c>
      <c r="D1496" s="1">
        <v>0.62099537037037034</v>
      </c>
      <c r="E1496" s="2">
        <f>CallLog[[#This Row],[Date]]+CallLog[[#This Row],[Time]]</f>
        <v>44223.620995370373</v>
      </c>
      <c r="F1496" s="1" t="str">
        <f>TEXT(CallLog[[#This Row],[Date]],"dddd")</f>
        <v>Wednesday</v>
      </c>
      <c r="G1496" s="3">
        <f>HOUR(CallLog[[#This Row],[Time]])</f>
        <v>14</v>
      </c>
      <c r="H1496" t="s">
        <v>17</v>
      </c>
      <c r="I1496" t="s">
        <v>14</v>
      </c>
      <c r="J1496" t="s">
        <v>14</v>
      </c>
      <c r="K1496">
        <v>123</v>
      </c>
      <c r="L1496" t="str">
        <f>IF(AND(CallLog[[#This Row],[Answered (Y/N)]]="Y", CallLog[[#This Row],[Speed of answer in seconds]]&lt;=20),
    "Within",
    "Breach")</f>
        <v>Breach</v>
      </c>
      <c r="M1496" s="1">
        <v>4.7337962962962967E-3</v>
      </c>
      <c r="N1496">
        <v>5</v>
      </c>
    </row>
    <row r="1497" spans="1:14" x14ac:dyDescent="0.3">
      <c r="A1497" t="s">
        <v>1547</v>
      </c>
      <c r="B1497" t="s">
        <v>16</v>
      </c>
      <c r="C1497" t="s">
        <v>1514</v>
      </c>
      <c r="D1497" s="1">
        <v>0.62099537037037034</v>
      </c>
      <c r="E1497" s="2">
        <f>CallLog[[#This Row],[Date]]+CallLog[[#This Row],[Time]]</f>
        <v>44223.620995370373</v>
      </c>
      <c r="F1497" s="1" t="str">
        <f>TEXT(CallLog[[#This Row],[Date]],"dddd")</f>
        <v>Wednesday</v>
      </c>
      <c r="G1497" s="3">
        <f>HOUR(CallLog[[#This Row],[Time]])</f>
        <v>14</v>
      </c>
      <c r="H1497" t="s">
        <v>24</v>
      </c>
      <c r="I1497" t="s">
        <v>14</v>
      </c>
      <c r="J1497" t="s">
        <v>14</v>
      </c>
      <c r="K1497">
        <v>32</v>
      </c>
      <c r="L1497" t="str">
        <f>IF(AND(CallLog[[#This Row],[Answered (Y/N)]]="Y", CallLog[[#This Row],[Speed of answer in seconds]]&lt;=20),
    "Within",
    "Breach")</f>
        <v>Breach</v>
      </c>
      <c r="M1497" s="1">
        <v>3.2638888888888891E-3</v>
      </c>
      <c r="N1497">
        <v>3</v>
      </c>
    </row>
    <row r="1498" spans="1:14" x14ac:dyDescent="0.3">
      <c r="A1498" t="s">
        <v>1548</v>
      </c>
      <c r="B1498" t="s">
        <v>20</v>
      </c>
      <c r="C1498" t="s">
        <v>1514</v>
      </c>
      <c r="D1498" s="1">
        <v>0.64</v>
      </c>
      <c r="E1498" s="2">
        <f>CallLog[[#This Row],[Date]]+CallLog[[#This Row],[Time]]</f>
        <v>44223.64</v>
      </c>
      <c r="F1498" s="1" t="str">
        <f>TEXT(CallLog[[#This Row],[Date]],"dddd")</f>
        <v>Wednesday</v>
      </c>
      <c r="G1498" s="3">
        <f>HOUR(CallLog[[#This Row],[Time]])</f>
        <v>15</v>
      </c>
      <c r="H1498" t="s">
        <v>24</v>
      </c>
      <c r="I1498" t="s">
        <v>14</v>
      </c>
      <c r="J1498" t="s">
        <v>14</v>
      </c>
      <c r="K1498">
        <v>10</v>
      </c>
      <c r="L1498" t="str">
        <f>IF(AND(CallLog[[#This Row],[Answered (Y/N)]]="Y", CallLog[[#This Row],[Speed of answer in seconds]]&lt;=20),
    "Within",
    "Breach")</f>
        <v>Within</v>
      </c>
      <c r="M1498" s="1">
        <v>9.837962962962962E-4</v>
      </c>
      <c r="N1498">
        <v>5</v>
      </c>
    </row>
    <row r="1499" spans="1:14" x14ac:dyDescent="0.3">
      <c r="A1499" t="s">
        <v>1549</v>
      </c>
      <c r="B1499" t="s">
        <v>47</v>
      </c>
      <c r="C1499" t="s">
        <v>1514</v>
      </c>
      <c r="D1499" s="1">
        <v>0.64</v>
      </c>
      <c r="E1499" s="2">
        <f>CallLog[[#This Row],[Date]]+CallLog[[#This Row],[Time]]</f>
        <v>44223.64</v>
      </c>
      <c r="F1499" s="1" t="str">
        <f>TEXT(CallLog[[#This Row],[Date]],"dddd")</f>
        <v>Wednesday</v>
      </c>
      <c r="G1499" s="3">
        <f>HOUR(CallLog[[#This Row],[Time]])</f>
        <v>15</v>
      </c>
      <c r="H1499" t="s">
        <v>29</v>
      </c>
      <c r="I1499" t="s">
        <v>14</v>
      </c>
      <c r="J1499" t="s">
        <v>14</v>
      </c>
      <c r="K1499">
        <v>19</v>
      </c>
      <c r="L1499" t="str">
        <f>IF(AND(CallLog[[#This Row],[Answered (Y/N)]]="Y", CallLog[[#This Row],[Speed of answer in seconds]]&lt;=20),
    "Within",
    "Breach")</f>
        <v>Within</v>
      </c>
      <c r="M1499" s="1">
        <v>3.2754629629629631E-3</v>
      </c>
      <c r="N1499">
        <v>2</v>
      </c>
    </row>
    <row r="1500" spans="1:14" x14ac:dyDescent="0.3">
      <c r="A1500" t="s">
        <v>1550</v>
      </c>
      <c r="B1500" t="s">
        <v>16</v>
      </c>
      <c r="C1500" t="s">
        <v>1514</v>
      </c>
      <c r="D1500" s="1">
        <v>0.64099537037037035</v>
      </c>
      <c r="E1500" s="2">
        <f>CallLog[[#This Row],[Date]]+CallLog[[#This Row],[Time]]</f>
        <v>44223.64099537037</v>
      </c>
      <c r="F1500" s="1" t="str">
        <f>TEXT(CallLog[[#This Row],[Date]],"dddd")</f>
        <v>Wednesday</v>
      </c>
      <c r="G1500" s="3">
        <f>HOUR(CallLog[[#This Row],[Time]])</f>
        <v>15</v>
      </c>
      <c r="H1500" t="s">
        <v>29</v>
      </c>
      <c r="I1500" t="s">
        <v>14</v>
      </c>
      <c r="J1500" t="s">
        <v>14</v>
      </c>
      <c r="K1500">
        <v>10</v>
      </c>
      <c r="L1500" t="str">
        <f>IF(AND(CallLog[[#This Row],[Answered (Y/N)]]="Y", CallLog[[#This Row],[Speed of answer in seconds]]&lt;=20),
    "Within",
    "Breach")</f>
        <v>Within</v>
      </c>
      <c r="M1500" s="1">
        <v>4.2129629629629626E-3</v>
      </c>
      <c r="N1500">
        <v>5</v>
      </c>
    </row>
    <row r="1501" spans="1:14" x14ac:dyDescent="0.3">
      <c r="A1501" t="s">
        <v>1551</v>
      </c>
      <c r="B1501" t="s">
        <v>11</v>
      </c>
      <c r="C1501" t="s">
        <v>1514</v>
      </c>
      <c r="D1501" s="1">
        <v>0.64099537037037035</v>
      </c>
      <c r="E1501" s="2">
        <f>CallLog[[#This Row],[Date]]+CallLog[[#This Row],[Time]]</f>
        <v>44223.64099537037</v>
      </c>
      <c r="F1501" s="1" t="str">
        <f>TEXT(CallLog[[#This Row],[Date]],"dddd")</f>
        <v>Wednesday</v>
      </c>
      <c r="G1501" s="3">
        <f>HOUR(CallLog[[#This Row],[Time]])</f>
        <v>15</v>
      </c>
      <c r="H1501" t="s">
        <v>32</v>
      </c>
      <c r="I1501" t="s">
        <v>18</v>
      </c>
      <c r="J1501" t="s">
        <v>18</v>
      </c>
      <c r="L1501" t="str">
        <f>IF(AND(CallLog[[#This Row],[Answered (Y/N)]]="Y", CallLog[[#This Row],[Speed of answer in seconds]]&lt;=20),
    "Within",
    "Breach")</f>
        <v>Breach</v>
      </c>
    </row>
    <row r="1502" spans="1:14" x14ac:dyDescent="0.3">
      <c r="A1502" t="s">
        <v>1552</v>
      </c>
      <c r="B1502" t="s">
        <v>20</v>
      </c>
      <c r="C1502" t="s">
        <v>1514</v>
      </c>
      <c r="D1502" s="1">
        <v>0.65299768518518519</v>
      </c>
      <c r="E1502" s="2">
        <f>CallLog[[#This Row],[Date]]+CallLog[[#This Row],[Time]]</f>
        <v>44223.652997685182</v>
      </c>
      <c r="F1502" s="1" t="str">
        <f>TEXT(CallLog[[#This Row],[Date]],"dddd")</f>
        <v>Wednesday</v>
      </c>
      <c r="G1502" s="3">
        <f>HOUR(CallLog[[#This Row],[Time]])</f>
        <v>15</v>
      </c>
      <c r="H1502" t="s">
        <v>32</v>
      </c>
      <c r="I1502" t="s">
        <v>14</v>
      </c>
      <c r="J1502" t="s">
        <v>14</v>
      </c>
      <c r="K1502">
        <v>112</v>
      </c>
      <c r="L1502" t="str">
        <f>IF(AND(CallLog[[#This Row],[Answered (Y/N)]]="Y", CallLog[[#This Row],[Speed of answer in seconds]]&lt;=20),
    "Within",
    "Breach")</f>
        <v>Breach</v>
      </c>
      <c r="M1502" s="1">
        <v>1.8865740740740742E-3</v>
      </c>
      <c r="N1502">
        <v>4</v>
      </c>
    </row>
    <row r="1503" spans="1:14" x14ac:dyDescent="0.3">
      <c r="A1503" t="s">
        <v>1553</v>
      </c>
      <c r="B1503" t="s">
        <v>16</v>
      </c>
      <c r="C1503" t="s">
        <v>1514</v>
      </c>
      <c r="D1503" s="1">
        <v>0.65299768518518519</v>
      </c>
      <c r="E1503" s="2">
        <f>CallLog[[#This Row],[Date]]+CallLog[[#This Row],[Time]]</f>
        <v>44223.652997685182</v>
      </c>
      <c r="F1503" s="1" t="str">
        <f>TEXT(CallLog[[#This Row],[Date]],"dddd")</f>
        <v>Wednesday</v>
      </c>
      <c r="G1503" s="3">
        <f>HOUR(CallLog[[#This Row],[Time]])</f>
        <v>15</v>
      </c>
      <c r="H1503" t="s">
        <v>13</v>
      </c>
      <c r="I1503" t="s">
        <v>14</v>
      </c>
      <c r="J1503" t="s">
        <v>18</v>
      </c>
      <c r="K1503">
        <v>10</v>
      </c>
      <c r="L1503" t="str">
        <f>IF(AND(CallLog[[#This Row],[Answered (Y/N)]]="Y", CallLog[[#This Row],[Speed of answer in seconds]]&lt;=20),
    "Within",
    "Breach")</f>
        <v>Within</v>
      </c>
      <c r="M1503" s="1">
        <v>2.5694444444444445E-3</v>
      </c>
      <c r="N1503">
        <v>4</v>
      </c>
    </row>
    <row r="1504" spans="1:14" x14ac:dyDescent="0.3">
      <c r="A1504" t="s">
        <v>1554</v>
      </c>
      <c r="B1504" t="s">
        <v>31</v>
      </c>
      <c r="C1504" t="s">
        <v>1514</v>
      </c>
      <c r="D1504" s="1">
        <v>0.66700231481481487</v>
      </c>
      <c r="E1504" s="2">
        <f>CallLog[[#This Row],[Date]]+CallLog[[#This Row],[Time]]</f>
        <v>44223.667002314818</v>
      </c>
      <c r="F1504" s="1" t="str">
        <f>TEXT(CallLog[[#This Row],[Date]],"dddd")</f>
        <v>Wednesday</v>
      </c>
      <c r="G1504" s="3">
        <f>HOUR(CallLog[[#This Row],[Time]])</f>
        <v>16</v>
      </c>
      <c r="H1504" t="s">
        <v>29</v>
      </c>
      <c r="I1504" t="s">
        <v>14</v>
      </c>
      <c r="J1504" t="s">
        <v>14</v>
      </c>
      <c r="K1504">
        <v>26</v>
      </c>
      <c r="L1504" t="str">
        <f>IF(AND(CallLog[[#This Row],[Answered (Y/N)]]="Y", CallLog[[#This Row],[Speed of answer in seconds]]&lt;=20),
    "Within",
    "Breach")</f>
        <v>Breach</v>
      </c>
      <c r="M1504" s="1">
        <v>1.3425925925925925E-3</v>
      </c>
      <c r="N1504">
        <v>2</v>
      </c>
    </row>
    <row r="1505" spans="1:14" x14ac:dyDescent="0.3">
      <c r="A1505" t="s">
        <v>1555</v>
      </c>
      <c r="B1505" t="s">
        <v>38</v>
      </c>
      <c r="C1505" t="s">
        <v>1514</v>
      </c>
      <c r="D1505" s="1">
        <v>0.66700231481481487</v>
      </c>
      <c r="E1505" s="2">
        <f>CallLog[[#This Row],[Date]]+CallLog[[#This Row],[Time]]</f>
        <v>44223.667002314818</v>
      </c>
      <c r="F1505" s="1" t="str">
        <f>TEXT(CallLog[[#This Row],[Date]],"dddd")</f>
        <v>Wednesday</v>
      </c>
      <c r="G1505" s="3">
        <f>HOUR(CallLog[[#This Row],[Time]])</f>
        <v>16</v>
      </c>
      <c r="H1505" t="s">
        <v>29</v>
      </c>
      <c r="I1505" t="s">
        <v>14</v>
      </c>
      <c r="J1505" t="s">
        <v>14</v>
      </c>
      <c r="K1505">
        <v>96</v>
      </c>
      <c r="L1505" t="str">
        <f>IF(AND(CallLog[[#This Row],[Answered (Y/N)]]="Y", CallLog[[#This Row],[Speed of answer in seconds]]&lt;=20),
    "Within",
    "Breach")</f>
        <v>Breach</v>
      </c>
      <c r="M1505" s="1">
        <v>4.5023148148148149E-3</v>
      </c>
      <c r="N1505">
        <v>4</v>
      </c>
    </row>
    <row r="1506" spans="1:14" x14ac:dyDescent="0.3">
      <c r="A1506" t="s">
        <v>1556</v>
      </c>
      <c r="B1506" t="s">
        <v>47</v>
      </c>
      <c r="C1506" t="s">
        <v>1514</v>
      </c>
      <c r="D1506" s="1">
        <v>0.66799768518518521</v>
      </c>
      <c r="E1506" s="2">
        <f>CallLog[[#This Row],[Date]]+CallLog[[#This Row],[Time]]</f>
        <v>44223.667997685188</v>
      </c>
      <c r="F1506" s="1" t="str">
        <f>TEXT(CallLog[[#This Row],[Date]],"dddd")</f>
        <v>Wednesday</v>
      </c>
      <c r="G1506" s="3">
        <f>HOUR(CallLog[[#This Row],[Time]])</f>
        <v>16</v>
      </c>
      <c r="H1506" t="s">
        <v>24</v>
      </c>
      <c r="I1506" t="s">
        <v>14</v>
      </c>
      <c r="J1506" t="s">
        <v>14</v>
      </c>
      <c r="K1506">
        <v>99</v>
      </c>
      <c r="L1506" t="str">
        <f>IF(AND(CallLog[[#This Row],[Answered (Y/N)]]="Y", CallLog[[#This Row],[Speed of answer in seconds]]&lt;=20),
    "Within",
    "Breach")</f>
        <v>Breach</v>
      </c>
      <c r="M1506" s="1">
        <v>3.0324074074074073E-3</v>
      </c>
      <c r="N1506">
        <v>3</v>
      </c>
    </row>
    <row r="1507" spans="1:14" x14ac:dyDescent="0.3">
      <c r="A1507" t="s">
        <v>1557</v>
      </c>
      <c r="B1507" t="s">
        <v>22</v>
      </c>
      <c r="C1507" t="s">
        <v>1514</v>
      </c>
      <c r="D1507" s="1">
        <v>0.66799768518518521</v>
      </c>
      <c r="E1507" s="2">
        <f>CallLog[[#This Row],[Date]]+CallLog[[#This Row],[Time]]</f>
        <v>44223.667997685188</v>
      </c>
      <c r="F1507" s="1" t="str">
        <f>TEXT(CallLog[[#This Row],[Date]],"dddd")</f>
        <v>Wednesday</v>
      </c>
      <c r="G1507" s="3">
        <f>HOUR(CallLog[[#This Row],[Time]])</f>
        <v>16</v>
      </c>
      <c r="H1507" t="s">
        <v>17</v>
      </c>
      <c r="I1507" t="s">
        <v>18</v>
      </c>
      <c r="J1507" t="s">
        <v>18</v>
      </c>
      <c r="L1507" t="str">
        <f>IF(AND(CallLog[[#This Row],[Answered (Y/N)]]="Y", CallLog[[#This Row],[Speed of answer in seconds]]&lt;=20),
    "Within",
    "Breach")</f>
        <v>Breach</v>
      </c>
    </row>
    <row r="1508" spans="1:14" x14ac:dyDescent="0.3">
      <c r="A1508" t="s">
        <v>1558</v>
      </c>
      <c r="B1508" t="s">
        <v>31</v>
      </c>
      <c r="C1508" t="s">
        <v>1514</v>
      </c>
      <c r="D1508" s="1">
        <v>0.67400462962962959</v>
      </c>
      <c r="E1508" s="2">
        <f>CallLog[[#This Row],[Date]]+CallLog[[#This Row],[Time]]</f>
        <v>44223.674004629633</v>
      </c>
      <c r="F1508" s="1" t="str">
        <f>TEXT(CallLog[[#This Row],[Date]],"dddd")</f>
        <v>Wednesday</v>
      </c>
      <c r="G1508" s="3">
        <f>HOUR(CallLog[[#This Row],[Time]])</f>
        <v>16</v>
      </c>
      <c r="H1508" t="s">
        <v>29</v>
      </c>
      <c r="I1508" t="s">
        <v>14</v>
      </c>
      <c r="J1508" t="s">
        <v>14</v>
      </c>
      <c r="K1508">
        <v>77</v>
      </c>
      <c r="L1508" t="str">
        <f>IF(AND(CallLog[[#This Row],[Answered (Y/N)]]="Y", CallLog[[#This Row],[Speed of answer in seconds]]&lt;=20),
    "Within",
    "Breach")</f>
        <v>Breach</v>
      </c>
      <c r="M1508" s="1">
        <v>2.2569444444444442E-3</v>
      </c>
      <c r="N1508">
        <v>5</v>
      </c>
    </row>
    <row r="1509" spans="1:14" x14ac:dyDescent="0.3">
      <c r="A1509" t="s">
        <v>1559</v>
      </c>
      <c r="B1509" t="s">
        <v>34</v>
      </c>
      <c r="C1509" t="s">
        <v>1514</v>
      </c>
      <c r="D1509" s="1">
        <v>0.67400462962962959</v>
      </c>
      <c r="E1509" s="2">
        <f>CallLog[[#This Row],[Date]]+CallLog[[#This Row],[Time]]</f>
        <v>44223.674004629633</v>
      </c>
      <c r="F1509" s="1" t="str">
        <f>TEXT(CallLog[[#This Row],[Date]],"dddd")</f>
        <v>Wednesday</v>
      </c>
      <c r="G1509" s="3">
        <f>HOUR(CallLog[[#This Row],[Time]])</f>
        <v>16</v>
      </c>
      <c r="H1509" t="s">
        <v>29</v>
      </c>
      <c r="I1509" t="s">
        <v>14</v>
      </c>
      <c r="J1509" t="s">
        <v>14</v>
      </c>
      <c r="K1509">
        <v>16</v>
      </c>
      <c r="L1509" t="str">
        <f>IF(AND(CallLog[[#This Row],[Answered (Y/N)]]="Y", CallLog[[#This Row],[Speed of answer in seconds]]&lt;=20),
    "Within",
    "Breach")</f>
        <v>Within</v>
      </c>
      <c r="M1509" s="1">
        <v>3.7152777777777778E-3</v>
      </c>
      <c r="N1509">
        <v>4</v>
      </c>
    </row>
    <row r="1510" spans="1:14" x14ac:dyDescent="0.3">
      <c r="A1510" t="s">
        <v>1560</v>
      </c>
      <c r="B1510" t="s">
        <v>38</v>
      </c>
      <c r="C1510" t="s">
        <v>1514</v>
      </c>
      <c r="D1510" s="1">
        <v>0.70700231481481479</v>
      </c>
      <c r="E1510" s="2">
        <f>CallLog[[#This Row],[Date]]+CallLog[[#This Row],[Time]]</f>
        <v>44223.707002314812</v>
      </c>
      <c r="F1510" s="1" t="str">
        <f>TEXT(CallLog[[#This Row],[Date]],"dddd")</f>
        <v>Wednesday</v>
      </c>
      <c r="G1510" s="3">
        <f>HOUR(CallLog[[#This Row],[Time]])</f>
        <v>16</v>
      </c>
      <c r="H1510" t="s">
        <v>13</v>
      </c>
      <c r="I1510" t="s">
        <v>14</v>
      </c>
      <c r="J1510" t="s">
        <v>14</v>
      </c>
      <c r="K1510">
        <v>100</v>
      </c>
      <c r="L1510" t="str">
        <f>IF(AND(CallLog[[#This Row],[Answered (Y/N)]]="Y", CallLog[[#This Row],[Speed of answer in seconds]]&lt;=20),
    "Within",
    "Breach")</f>
        <v>Breach</v>
      </c>
      <c r="M1510" s="1">
        <v>1.8865740740740742E-3</v>
      </c>
      <c r="N1510">
        <v>4</v>
      </c>
    </row>
    <row r="1511" spans="1:14" x14ac:dyDescent="0.3">
      <c r="A1511" t="s">
        <v>1561</v>
      </c>
      <c r="B1511" t="s">
        <v>31</v>
      </c>
      <c r="C1511" t="s">
        <v>1514</v>
      </c>
      <c r="D1511" s="1">
        <v>0.70700231481481479</v>
      </c>
      <c r="E1511" s="2">
        <f>CallLog[[#This Row],[Date]]+CallLog[[#This Row],[Time]]</f>
        <v>44223.707002314812</v>
      </c>
      <c r="F1511" s="1" t="str">
        <f>TEXT(CallLog[[#This Row],[Date]],"dddd")</f>
        <v>Wednesday</v>
      </c>
      <c r="G1511" s="3">
        <f>HOUR(CallLog[[#This Row],[Time]])</f>
        <v>16</v>
      </c>
      <c r="H1511" t="s">
        <v>13</v>
      </c>
      <c r="I1511" t="s">
        <v>14</v>
      </c>
      <c r="J1511" t="s">
        <v>14</v>
      </c>
      <c r="K1511">
        <v>27</v>
      </c>
      <c r="L1511" t="str">
        <f>IF(AND(CallLog[[#This Row],[Answered (Y/N)]]="Y", CallLog[[#This Row],[Speed of answer in seconds]]&lt;=20),
    "Within",
    "Breach")</f>
        <v>Breach</v>
      </c>
      <c r="M1511" s="1">
        <v>3.5763888888888889E-3</v>
      </c>
      <c r="N1511">
        <v>3</v>
      </c>
    </row>
    <row r="1512" spans="1:14" x14ac:dyDescent="0.3">
      <c r="A1512" t="s">
        <v>1562</v>
      </c>
      <c r="B1512" t="s">
        <v>16</v>
      </c>
      <c r="C1512" t="s">
        <v>1514</v>
      </c>
      <c r="D1512" s="1">
        <v>0.70900462962962962</v>
      </c>
      <c r="E1512" s="2">
        <f>CallLog[[#This Row],[Date]]+CallLog[[#This Row],[Time]]</f>
        <v>44223.709004629629</v>
      </c>
      <c r="F1512" s="1" t="str">
        <f>TEXT(CallLog[[#This Row],[Date]],"dddd")</f>
        <v>Wednesday</v>
      </c>
      <c r="G1512" s="3">
        <f>HOUR(CallLog[[#This Row],[Time]])</f>
        <v>17</v>
      </c>
      <c r="H1512" t="s">
        <v>24</v>
      </c>
      <c r="I1512" t="s">
        <v>14</v>
      </c>
      <c r="J1512" t="s">
        <v>14</v>
      </c>
      <c r="K1512">
        <v>31</v>
      </c>
      <c r="L1512" t="str">
        <f>IF(AND(CallLog[[#This Row],[Answered (Y/N)]]="Y", CallLog[[#This Row],[Speed of answer in seconds]]&lt;=20),
    "Within",
    "Breach")</f>
        <v>Breach</v>
      </c>
      <c r="M1512" s="1">
        <v>3.0902777777777777E-3</v>
      </c>
      <c r="N1512">
        <v>1</v>
      </c>
    </row>
    <row r="1513" spans="1:14" x14ac:dyDescent="0.3">
      <c r="A1513" t="s">
        <v>1563</v>
      </c>
      <c r="B1513" t="s">
        <v>34</v>
      </c>
      <c r="C1513" t="s">
        <v>1514</v>
      </c>
      <c r="D1513" s="1">
        <v>0.70900462962962962</v>
      </c>
      <c r="E1513" s="2">
        <f>CallLog[[#This Row],[Date]]+CallLog[[#This Row],[Time]]</f>
        <v>44223.709004629629</v>
      </c>
      <c r="F1513" s="1" t="str">
        <f>TEXT(CallLog[[#This Row],[Date]],"dddd")</f>
        <v>Wednesday</v>
      </c>
      <c r="G1513" s="3">
        <f>HOUR(CallLog[[#This Row],[Time]])</f>
        <v>17</v>
      </c>
      <c r="H1513" t="s">
        <v>13</v>
      </c>
      <c r="I1513" t="s">
        <v>14</v>
      </c>
      <c r="J1513" t="s">
        <v>14</v>
      </c>
      <c r="K1513">
        <v>33</v>
      </c>
      <c r="L1513" t="str">
        <f>IF(AND(CallLog[[#This Row],[Answered (Y/N)]]="Y", CallLog[[#This Row],[Speed of answer in seconds]]&lt;=20),
    "Within",
    "Breach")</f>
        <v>Breach</v>
      </c>
      <c r="M1513" s="1">
        <v>4.5370370370370373E-3</v>
      </c>
      <c r="N1513">
        <v>2</v>
      </c>
    </row>
    <row r="1514" spans="1:14" x14ac:dyDescent="0.3">
      <c r="A1514" t="s">
        <v>1564</v>
      </c>
      <c r="B1514" t="s">
        <v>31</v>
      </c>
      <c r="C1514" t="s">
        <v>1514</v>
      </c>
      <c r="D1514" s="1">
        <v>0.7170023148148148</v>
      </c>
      <c r="E1514" s="2">
        <f>CallLog[[#This Row],[Date]]+CallLog[[#This Row],[Time]]</f>
        <v>44223.717002314814</v>
      </c>
      <c r="F1514" s="1" t="str">
        <f>TEXT(CallLog[[#This Row],[Date]],"dddd")</f>
        <v>Wednesday</v>
      </c>
      <c r="G1514" s="3">
        <f>HOUR(CallLog[[#This Row],[Time]])</f>
        <v>17</v>
      </c>
      <c r="H1514" t="s">
        <v>32</v>
      </c>
      <c r="I1514" t="s">
        <v>14</v>
      </c>
      <c r="J1514" t="s">
        <v>14</v>
      </c>
      <c r="K1514">
        <v>107</v>
      </c>
      <c r="L1514" t="str">
        <f>IF(AND(CallLog[[#This Row],[Answered (Y/N)]]="Y", CallLog[[#This Row],[Speed of answer in seconds]]&lt;=20),
    "Within",
    "Breach")</f>
        <v>Breach</v>
      </c>
      <c r="M1514" s="1">
        <v>2.1643518518518518E-3</v>
      </c>
      <c r="N1514">
        <v>4</v>
      </c>
    </row>
    <row r="1515" spans="1:14" x14ac:dyDescent="0.3">
      <c r="A1515" t="s">
        <v>1565</v>
      </c>
      <c r="B1515" t="s">
        <v>47</v>
      </c>
      <c r="C1515" t="s">
        <v>1514</v>
      </c>
      <c r="D1515" s="1">
        <v>0.7170023148148148</v>
      </c>
      <c r="E1515" s="2">
        <f>CallLog[[#This Row],[Date]]+CallLog[[#This Row],[Time]]</f>
        <v>44223.717002314814</v>
      </c>
      <c r="F1515" s="1" t="str">
        <f>TEXT(CallLog[[#This Row],[Date]],"dddd")</f>
        <v>Wednesday</v>
      </c>
      <c r="G1515" s="3">
        <f>HOUR(CallLog[[#This Row],[Time]])</f>
        <v>17</v>
      </c>
      <c r="H1515" t="s">
        <v>24</v>
      </c>
      <c r="I1515" t="s">
        <v>14</v>
      </c>
      <c r="J1515" t="s">
        <v>14</v>
      </c>
      <c r="K1515">
        <v>77</v>
      </c>
      <c r="L1515" t="str">
        <f>IF(AND(CallLog[[#This Row],[Answered (Y/N)]]="Y", CallLog[[#This Row],[Speed of answer in seconds]]&lt;=20),
    "Within",
    "Breach")</f>
        <v>Breach</v>
      </c>
      <c r="M1515" s="1">
        <v>4.2129629629629626E-3</v>
      </c>
      <c r="N1515">
        <v>3</v>
      </c>
    </row>
    <row r="1516" spans="1:14" x14ac:dyDescent="0.3">
      <c r="A1516" t="s">
        <v>1566</v>
      </c>
      <c r="B1516" t="s">
        <v>31</v>
      </c>
      <c r="C1516" t="s">
        <v>1514</v>
      </c>
      <c r="D1516" s="1">
        <v>0.72099537037037043</v>
      </c>
      <c r="E1516" s="2">
        <f>CallLog[[#This Row],[Date]]+CallLog[[#This Row],[Time]]</f>
        <v>44223.720995370371</v>
      </c>
      <c r="F1516" s="1" t="str">
        <f>TEXT(CallLog[[#This Row],[Date]],"dddd")</f>
        <v>Wednesday</v>
      </c>
      <c r="G1516" s="3">
        <f>HOUR(CallLog[[#This Row],[Time]])</f>
        <v>17</v>
      </c>
      <c r="H1516" t="s">
        <v>32</v>
      </c>
      <c r="I1516" t="s">
        <v>14</v>
      </c>
      <c r="J1516" t="s">
        <v>14</v>
      </c>
      <c r="K1516">
        <v>28</v>
      </c>
      <c r="L1516" t="str">
        <f>IF(AND(CallLog[[#This Row],[Answered (Y/N)]]="Y", CallLog[[#This Row],[Speed of answer in seconds]]&lt;=20),
    "Within",
    "Breach")</f>
        <v>Breach</v>
      </c>
      <c r="M1516" s="1">
        <v>2.1296296296296298E-3</v>
      </c>
      <c r="N1516">
        <v>5</v>
      </c>
    </row>
    <row r="1517" spans="1:14" x14ac:dyDescent="0.3">
      <c r="A1517" t="s">
        <v>1567</v>
      </c>
      <c r="B1517" t="s">
        <v>22</v>
      </c>
      <c r="C1517" t="s">
        <v>1514</v>
      </c>
      <c r="D1517" s="1">
        <v>0.72099537037037043</v>
      </c>
      <c r="E1517" s="2">
        <f>CallLog[[#This Row],[Date]]+CallLog[[#This Row],[Time]]</f>
        <v>44223.720995370371</v>
      </c>
      <c r="F1517" s="1" t="str">
        <f>TEXT(CallLog[[#This Row],[Date]],"dddd")</f>
        <v>Wednesday</v>
      </c>
      <c r="G1517" s="3">
        <f>HOUR(CallLog[[#This Row],[Time]])</f>
        <v>17</v>
      </c>
      <c r="H1517" t="s">
        <v>13</v>
      </c>
      <c r="I1517" t="s">
        <v>18</v>
      </c>
      <c r="J1517" t="s">
        <v>18</v>
      </c>
      <c r="L1517" t="str">
        <f>IF(AND(CallLog[[#This Row],[Answered (Y/N)]]="Y", CallLog[[#This Row],[Speed of answer in seconds]]&lt;=20),
    "Within",
    "Breach")</f>
        <v>Breach</v>
      </c>
    </row>
    <row r="1518" spans="1:14" x14ac:dyDescent="0.3">
      <c r="A1518" t="s">
        <v>1568</v>
      </c>
      <c r="B1518" t="s">
        <v>31</v>
      </c>
      <c r="C1518" t="s">
        <v>1514</v>
      </c>
      <c r="D1518" s="1">
        <v>0.73799768518518516</v>
      </c>
      <c r="E1518" s="2">
        <f>CallLog[[#This Row],[Date]]+CallLog[[#This Row],[Time]]</f>
        <v>44223.737997685188</v>
      </c>
      <c r="F1518" s="1" t="str">
        <f>TEXT(CallLog[[#This Row],[Date]],"dddd")</f>
        <v>Wednesday</v>
      </c>
      <c r="G1518" s="3">
        <f>HOUR(CallLog[[#This Row],[Time]])</f>
        <v>17</v>
      </c>
      <c r="H1518" t="s">
        <v>13</v>
      </c>
      <c r="I1518" t="s">
        <v>14</v>
      </c>
      <c r="J1518" t="s">
        <v>14</v>
      </c>
      <c r="K1518">
        <v>93</v>
      </c>
      <c r="L1518" t="str">
        <f>IF(AND(CallLog[[#This Row],[Answered (Y/N)]]="Y", CallLog[[#This Row],[Speed of answer in seconds]]&lt;=20),
    "Within",
    "Breach")</f>
        <v>Breach</v>
      </c>
      <c r="M1518" s="1">
        <v>6.4814814814814813E-4</v>
      </c>
      <c r="N1518">
        <v>4</v>
      </c>
    </row>
    <row r="1519" spans="1:14" x14ac:dyDescent="0.3">
      <c r="A1519" t="s">
        <v>1569</v>
      </c>
      <c r="B1519" t="s">
        <v>38</v>
      </c>
      <c r="C1519" t="s">
        <v>1514</v>
      </c>
      <c r="D1519" s="1">
        <v>0.73799768518518516</v>
      </c>
      <c r="E1519" s="2">
        <f>CallLog[[#This Row],[Date]]+CallLog[[#This Row],[Time]]</f>
        <v>44223.737997685188</v>
      </c>
      <c r="F1519" s="1" t="str">
        <f>TEXT(CallLog[[#This Row],[Date]],"dddd")</f>
        <v>Wednesday</v>
      </c>
      <c r="G1519" s="3">
        <f>HOUR(CallLog[[#This Row],[Time]])</f>
        <v>17</v>
      </c>
      <c r="H1519" t="s">
        <v>17</v>
      </c>
      <c r="I1519" t="s">
        <v>18</v>
      </c>
      <c r="J1519" t="s">
        <v>18</v>
      </c>
      <c r="L1519" t="str">
        <f>IF(AND(CallLog[[#This Row],[Answered (Y/N)]]="Y", CallLog[[#This Row],[Speed of answer in seconds]]&lt;=20),
    "Within",
    "Breach")</f>
        <v>Breach</v>
      </c>
    </row>
    <row r="1520" spans="1:14" x14ac:dyDescent="0.3">
      <c r="A1520" t="s">
        <v>1570</v>
      </c>
      <c r="B1520" t="s">
        <v>31</v>
      </c>
      <c r="C1520" t="s">
        <v>1571</v>
      </c>
      <c r="D1520" s="1">
        <v>0.37799768518518517</v>
      </c>
      <c r="E1520" s="2">
        <f>CallLog[[#This Row],[Date]]+CallLog[[#This Row],[Time]]</f>
        <v>44224.377997685187</v>
      </c>
      <c r="F1520" s="1" t="str">
        <f>TEXT(CallLog[[#This Row],[Date]],"dddd")</f>
        <v>Thursday</v>
      </c>
      <c r="G1520" s="3">
        <f>HOUR(CallLog[[#This Row],[Time]])</f>
        <v>9</v>
      </c>
      <c r="H1520" t="s">
        <v>32</v>
      </c>
      <c r="I1520" t="s">
        <v>14</v>
      </c>
      <c r="J1520" t="s">
        <v>14</v>
      </c>
      <c r="K1520">
        <v>46</v>
      </c>
      <c r="L1520" t="str">
        <f>IF(AND(CallLog[[#This Row],[Answered (Y/N)]]="Y", CallLog[[#This Row],[Speed of answer in seconds]]&lt;=20),
    "Within",
    "Breach")</f>
        <v>Breach</v>
      </c>
      <c r="M1520" s="1">
        <v>3.0902777777777777E-3</v>
      </c>
      <c r="N1520">
        <v>5</v>
      </c>
    </row>
    <row r="1521" spans="1:14" x14ac:dyDescent="0.3">
      <c r="A1521" t="s">
        <v>1572</v>
      </c>
      <c r="B1521" t="s">
        <v>34</v>
      </c>
      <c r="C1521" t="s">
        <v>1571</v>
      </c>
      <c r="D1521" s="1">
        <v>0.37799768518518517</v>
      </c>
      <c r="E1521" s="2">
        <f>CallLog[[#This Row],[Date]]+CallLog[[#This Row],[Time]]</f>
        <v>44224.377997685187</v>
      </c>
      <c r="F1521" s="1" t="str">
        <f>TEXT(CallLog[[#This Row],[Date]],"dddd")</f>
        <v>Thursday</v>
      </c>
      <c r="G1521" s="3">
        <f>HOUR(CallLog[[#This Row],[Time]])</f>
        <v>9</v>
      </c>
      <c r="H1521" t="s">
        <v>32</v>
      </c>
      <c r="I1521" t="s">
        <v>14</v>
      </c>
      <c r="J1521" t="s">
        <v>14</v>
      </c>
      <c r="K1521">
        <v>14</v>
      </c>
      <c r="L1521" t="str">
        <f>IF(AND(CallLog[[#This Row],[Answered (Y/N)]]="Y", CallLog[[#This Row],[Speed of answer in seconds]]&lt;=20),
    "Within",
    "Breach")</f>
        <v>Within</v>
      </c>
      <c r="M1521" s="1">
        <v>3.9467592592592592E-3</v>
      </c>
      <c r="N1521">
        <v>3</v>
      </c>
    </row>
    <row r="1522" spans="1:14" x14ac:dyDescent="0.3">
      <c r="A1522" t="s">
        <v>1573</v>
      </c>
      <c r="B1522" t="s">
        <v>22</v>
      </c>
      <c r="C1522" t="s">
        <v>1571</v>
      </c>
      <c r="D1522" s="1">
        <v>0.38299768518518518</v>
      </c>
      <c r="E1522" s="2">
        <f>CallLog[[#This Row],[Date]]+CallLog[[#This Row],[Time]]</f>
        <v>44224.382997685185</v>
      </c>
      <c r="F1522" s="1" t="str">
        <f>TEXT(CallLog[[#This Row],[Date]],"dddd")</f>
        <v>Thursday</v>
      </c>
      <c r="G1522" s="3">
        <f>HOUR(CallLog[[#This Row],[Time]])</f>
        <v>9</v>
      </c>
      <c r="H1522" t="s">
        <v>29</v>
      </c>
      <c r="I1522" t="s">
        <v>14</v>
      </c>
      <c r="J1522" t="s">
        <v>14</v>
      </c>
      <c r="K1522">
        <v>58</v>
      </c>
      <c r="L1522" t="str">
        <f>IF(AND(CallLog[[#This Row],[Answered (Y/N)]]="Y", CallLog[[#This Row],[Speed of answer in seconds]]&lt;=20),
    "Within",
    "Breach")</f>
        <v>Breach</v>
      </c>
      <c r="M1522" s="1">
        <v>3.4375E-3</v>
      </c>
      <c r="N1522">
        <v>3</v>
      </c>
    </row>
    <row r="1523" spans="1:14" x14ac:dyDescent="0.3">
      <c r="A1523" t="s">
        <v>1574</v>
      </c>
      <c r="B1523" t="s">
        <v>38</v>
      </c>
      <c r="C1523" t="s">
        <v>1571</v>
      </c>
      <c r="D1523" s="1">
        <v>0.38299768518518518</v>
      </c>
      <c r="E1523" s="2">
        <f>CallLog[[#This Row],[Date]]+CallLog[[#This Row],[Time]]</f>
        <v>44224.382997685185</v>
      </c>
      <c r="F1523" s="1" t="str">
        <f>TEXT(CallLog[[#This Row],[Date]],"dddd")</f>
        <v>Thursday</v>
      </c>
      <c r="G1523" s="3">
        <f>HOUR(CallLog[[#This Row],[Time]])</f>
        <v>9</v>
      </c>
      <c r="H1523" t="s">
        <v>24</v>
      </c>
      <c r="I1523" t="s">
        <v>14</v>
      </c>
      <c r="J1523" t="s">
        <v>14</v>
      </c>
      <c r="K1523">
        <v>61</v>
      </c>
      <c r="L1523" t="str">
        <f>IF(AND(CallLog[[#This Row],[Answered (Y/N)]]="Y", CallLog[[#This Row],[Speed of answer in seconds]]&lt;=20),
    "Within",
    "Breach")</f>
        <v>Breach</v>
      </c>
      <c r="M1523" s="1">
        <v>3.6574074074074074E-3</v>
      </c>
      <c r="N1523">
        <v>3</v>
      </c>
    </row>
    <row r="1524" spans="1:14" x14ac:dyDescent="0.3">
      <c r="A1524" t="s">
        <v>1575</v>
      </c>
      <c r="B1524" t="s">
        <v>38</v>
      </c>
      <c r="C1524" t="s">
        <v>1571</v>
      </c>
      <c r="D1524" s="1">
        <v>0.38400462962962961</v>
      </c>
      <c r="E1524" s="2">
        <f>CallLog[[#This Row],[Date]]+CallLog[[#This Row],[Time]]</f>
        <v>44224.384004629632</v>
      </c>
      <c r="F1524" s="1" t="str">
        <f>TEXT(CallLog[[#This Row],[Date]],"dddd")</f>
        <v>Thursday</v>
      </c>
      <c r="G1524" s="3">
        <f>HOUR(CallLog[[#This Row],[Time]])</f>
        <v>9</v>
      </c>
      <c r="H1524" t="s">
        <v>24</v>
      </c>
      <c r="I1524" t="s">
        <v>14</v>
      </c>
      <c r="J1524" t="s">
        <v>14</v>
      </c>
      <c r="K1524">
        <v>38</v>
      </c>
      <c r="L1524" t="str">
        <f>IF(AND(CallLog[[#This Row],[Answered (Y/N)]]="Y", CallLog[[#This Row],[Speed of answer in seconds]]&lt;=20),
    "Within",
    "Breach")</f>
        <v>Breach</v>
      </c>
      <c r="M1524" s="1">
        <v>4.4444444444444444E-3</v>
      </c>
      <c r="N1524">
        <v>4</v>
      </c>
    </row>
    <row r="1525" spans="1:14" x14ac:dyDescent="0.3">
      <c r="A1525" t="s">
        <v>1576</v>
      </c>
      <c r="B1525" t="s">
        <v>38</v>
      </c>
      <c r="C1525" t="s">
        <v>1571</v>
      </c>
      <c r="D1525" s="1">
        <v>0.38400462962962961</v>
      </c>
      <c r="E1525" s="2">
        <f>CallLog[[#This Row],[Date]]+CallLog[[#This Row],[Time]]</f>
        <v>44224.384004629632</v>
      </c>
      <c r="F1525" s="1" t="str">
        <f>TEXT(CallLog[[#This Row],[Date]],"dddd")</f>
        <v>Thursday</v>
      </c>
      <c r="G1525" s="3">
        <f>HOUR(CallLog[[#This Row],[Time]])</f>
        <v>9</v>
      </c>
      <c r="H1525" t="s">
        <v>24</v>
      </c>
      <c r="I1525" t="s">
        <v>14</v>
      </c>
      <c r="J1525" t="s">
        <v>14</v>
      </c>
      <c r="K1525">
        <v>39</v>
      </c>
      <c r="L1525" t="str">
        <f>IF(AND(CallLog[[#This Row],[Answered (Y/N)]]="Y", CallLog[[#This Row],[Speed of answer in seconds]]&lt;=20),
    "Within",
    "Breach")</f>
        <v>Breach</v>
      </c>
      <c r="M1525" s="1">
        <v>3.8888888888888888E-3</v>
      </c>
      <c r="N1525">
        <v>3</v>
      </c>
    </row>
    <row r="1526" spans="1:14" x14ac:dyDescent="0.3">
      <c r="A1526" t="s">
        <v>1577</v>
      </c>
      <c r="B1526" t="s">
        <v>20</v>
      </c>
      <c r="C1526" t="s">
        <v>1571</v>
      </c>
      <c r="D1526" s="1">
        <v>0.4070023148148148</v>
      </c>
      <c r="E1526" s="2">
        <f>CallLog[[#This Row],[Date]]+CallLog[[#This Row],[Time]]</f>
        <v>44224.407002314816</v>
      </c>
      <c r="F1526" s="1" t="str">
        <f>TEXT(CallLog[[#This Row],[Date]],"dddd")</f>
        <v>Thursday</v>
      </c>
      <c r="G1526" s="3">
        <f>HOUR(CallLog[[#This Row],[Time]])</f>
        <v>9</v>
      </c>
      <c r="H1526" t="s">
        <v>17</v>
      </c>
      <c r="I1526" t="s">
        <v>14</v>
      </c>
      <c r="J1526" t="s">
        <v>14</v>
      </c>
      <c r="K1526">
        <v>87</v>
      </c>
      <c r="L1526" t="str">
        <f>IF(AND(CallLog[[#This Row],[Answered (Y/N)]]="Y", CallLog[[#This Row],[Speed of answer in seconds]]&lt;=20),
    "Within",
    "Breach")</f>
        <v>Breach</v>
      </c>
      <c r="M1526" s="1">
        <v>1.0879629629629629E-3</v>
      </c>
      <c r="N1526">
        <v>4</v>
      </c>
    </row>
    <row r="1527" spans="1:14" x14ac:dyDescent="0.3">
      <c r="A1527" t="s">
        <v>1578</v>
      </c>
      <c r="B1527" t="s">
        <v>20</v>
      </c>
      <c r="C1527" t="s">
        <v>1571</v>
      </c>
      <c r="D1527" s="1">
        <v>0.4070023148148148</v>
      </c>
      <c r="E1527" s="2">
        <f>CallLog[[#This Row],[Date]]+CallLog[[#This Row],[Time]]</f>
        <v>44224.407002314816</v>
      </c>
      <c r="F1527" s="1" t="str">
        <f>TEXT(CallLog[[#This Row],[Date]],"dddd")</f>
        <v>Thursday</v>
      </c>
      <c r="G1527" s="3">
        <f>HOUR(CallLog[[#This Row],[Time]])</f>
        <v>9</v>
      </c>
      <c r="H1527" t="s">
        <v>17</v>
      </c>
      <c r="I1527" t="s">
        <v>14</v>
      </c>
      <c r="J1527" t="s">
        <v>14</v>
      </c>
      <c r="K1527">
        <v>26</v>
      </c>
      <c r="L1527" t="str">
        <f>IF(AND(CallLog[[#This Row],[Answered (Y/N)]]="Y", CallLog[[#This Row],[Speed of answer in seconds]]&lt;=20),
    "Within",
    "Breach")</f>
        <v>Breach</v>
      </c>
      <c r="M1527" s="1">
        <v>1.3310185185185185E-3</v>
      </c>
      <c r="N1527">
        <v>2</v>
      </c>
    </row>
    <row r="1528" spans="1:14" x14ac:dyDescent="0.3">
      <c r="A1528" t="s">
        <v>1579</v>
      </c>
      <c r="B1528" t="s">
        <v>22</v>
      </c>
      <c r="C1528" t="s">
        <v>1571</v>
      </c>
      <c r="D1528" s="1">
        <v>0.42</v>
      </c>
      <c r="E1528" s="2">
        <f>CallLog[[#This Row],[Date]]+CallLog[[#This Row],[Time]]</f>
        <v>44224.42</v>
      </c>
      <c r="F1528" s="1" t="str">
        <f>TEXT(CallLog[[#This Row],[Date]],"dddd")</f>
        <v>Thursday</v>
      </c>
      <c r="G1528" s="3">
        <f>HOUR(CallLog[[#This Row],[Time]])</f>
        <v>10</v>
      </c>
      <c r="H1528" t="s">
        <v>17</v>
      </c>
      <c r="I1528" t="s">
        <v>14</v>
      </c>
      <c r="J1528" t="s">
        <v>18</v>
      </c>
      <c r="K1528">
        <v>120</v>
      </c>
      <c r="L1528" t="str">
        <f>IF(AND(CallLog[[#This Row],[Answered (Y/N)]]="Y", CallLog[[#This Row],[Speed of answer in seconds]]&lt;=20),
    "Within",
    "Breach")</f>
        <v>Breach</v>
      </c>
      <c r="M1528" s="1">
        <v>1.0069444444444444E-3</v>
      </c>
      <c r="N1528">
        <v>4</v>
      </c>
    </row>
    <row r="1529" spans="1:14" x14ac:dyDescent="0.3">
      <c r="A1529" t="s">
        <v>1580</v>
      </c>
      <c r="B1529" t="s">
        <v>47</v>
      </c>
      <c r="C1529" t="s">
        <v>1571</v>
      </c>
      <c r="D1529" s="1">
        <v>0.42</v>
      </c>
      <c r="E1529" s="2">
        <f>CallLog[[#This Row],[Date]]+CallLog[[#This Row],[Time]]</f>
        <v>44224.42</v>
      </c>
      <c r="F1529" s="1" t="str">
        <f>TEXT(CallLog[[#This Row],[Date]],"dddd")</f>
        <v>Thursday</v>
      </c>
      <c r="G1529" s="3">
        <f>HOUR(CallLog[[#This Row],[Time]])</f>
        <v>10</v>
      </c>
      <c r="H1529" t="s">
        <v>24</v>
      </c>
      <c r="I1529" t="s">
        <v>14</v>
      </c>
      <c r="J1529" t="s">
        <v>14</v>
      </c>
      <c r="K1529">
        <v>123</v>
      </c>
      <c r="L1529" t="str">
        <f>IF(AND(CallLog[[#This Row],[Answered (Y/N)]]="Y", CallLog[[#This Row],[Speed of answer in seconds]]&lt;=20),
    "Within",
    "Breach")</f>
        <v>Breach</v>
      </c>
      <c r="M1529" s="1">
        <v>1.3541666666666667E-3</v>
      </c>
      <c r="N1529">
        <v>4</v>
      </c>
    </row>
    <row r="1530" spans="1:14" x14ac:dyDescent="0.3">
      <c r="A1530" t="s">
        <v>1581</v>
      </c>
      <c r="B1530" t="s">
        <v>11</v>
      </c>
      <c r="C1530" t="s">
        <v>1571</v>
      </c>
      <c r="D1530" s="1">
        <v>0.44500000000000001</v>
      </c>
      <c r="E1530" s="2">
        <f>CallLog[[#This Row],[Date]]+CallLog[[#This Row],[Time]]</f>
        <v>44224.445</v>
      </c>
      <c r="F1530" s="1" t="str">
        <f>TEXT(CallLog[[#This Row],[Date]],"dddd")</f>
        <v>Thursday</v>
      </c>
      <c r="G1530" s="3">
        <f>HOUR(CallLog[[#This Row],[Time]])</f>
        <v>10</v>
      </c>
      <c r="H1530" t="s">
        <v>13</v>
      </c>
      <c r="I1530" t="s">
        <v>14</v>
      </c>
      <c r="J1530" t="s">
        <v>14</v>
      </c>
      <c r="K1530">
        <v>48</v>
      </c>
      <c r="L1530" t="str">
        <f>IF(AND(CallLog[[#This Row],[Answered (Y/N)]]="Y", CallLog[[#This Row],[Speed of answer in seconds]]&lt;=20),
    "Within",
    "Breach")</f>
        <v>Breach</v>
      </c>
      <c r="M1530" s="1">
        <v>1.0532407407407407E-3</v>
      </c>
      <c r="N1530">
        <v>3</v>
      </c>
    </row>
    <row r="1531" spans="1:14" x14ac:dyDescent="0.3">
      <c r="A1531" t="s">
        <v>1582</v>
      </c>
      <c r="B1531" t="s">
        <v>11</v>
      </c>
      <c r="C1531" t="s">
        <v>1571</v>
      </c>
      <c r="D1531" s="1">
        <v>0.44500000000000001</v>
      </c>
      <c r="E1531" s="2">
        <f>CallLog[[#This Row],[Date]]+CallLog[[#This Row],[Time]]</f>
        <v>44224.445</v>
      </c>
      <c r="F1531" s="1" t="str">
        <f>TEXT(CallLog[[#This Row],[Date]],"dddd")</f>
        <v>Thursday</v>
      </c>
      <c r="G1531" s="3">
        <f>HOUR(CallLog[[#This Row],[Time]])</f>
        <v>10</v>
      </c>
      <c r="H1531" t="s">
        <v>32</v>
      </c>
      <c r="I1531" t="s">
        <v>14</v>
      </c>
      <c r="J1531" t="s">
        <v>18</v>
      </c>
      <c r="K1531">
        <v>58</v>
      </c>
      <c r="L1531" t="str">
        <f>IF(AND(CallLog[[#This Row],[Answered (Y/N)]]="Y", CallLog[[#This Row],[Speed of answer in seconds]]&lt;=20),
    "Within",
    "Breach")</f>
        <v>Breach</v>
      </c>
      <c r="M1531" s="1">
        <v>1.7939814814814815E-3</v>
      </c>
      <c r="N1531">
        <v>1</v>
      </c>
    </row>
    <row r="1532" spans="1:14" x14ac:dyDescent="0.3">
      <c r="A1532" t="s">
        <v>1583</v>
      </c>
      <c r="B1532" t="s">
        <v>38</v>
      </c>
      <c r="C1532" t="s">
        <v>1571</v>
      </c>
      <c r="D1532" s="1">
        <v>0.45299768518518518</v>
      </c>
      <c r="E1532" s="2">
        <f>CallLog[[#This Row],[Date]]+CallLog[[#This Row],[Time]]</f>
        <v>44224.452997685185</v>
      </c>
      <c r="F1532" s="1" t="str">
        <f>TEXT(CallLog[[#This Row],[Date]],"dddd")</f>
        <v>Thursday</v>
      </c>
      <c r="G1532" s="3">
        <f>HOUR(CallLog[[#This Row],[Time]])</f>
        <v>10</v>
      </c>
      <c r="H1532" t="s">
        <v>13</v>
      </c>
      <c r="I1532" t="s">
        <v>14</v>
      </c>
      <c r="J1532" t="s">
        <v>14</v>
      </c>
      <c r="K1532">
        <v>90</v>
      </c>
      <c r="L1532" t="str">
        <f>IF(AND(CallLog[[#This Row],[Answered (Y/N)]]="Y", CallLog[[#This Row],[Speed of answer in seconds]]&lt;=20),
    "Within",
    "Breach")</f>
        <v>Breach</v>
      </c>
      <c r="M1532" s="1">
        <v>3.2986111111111111E-3</v>
      </c>
      <c r="N1532">
        <v>3</v>
      </c>
    </row>
    <row r="1533" spans="1:14" x14ac:dyDescent="0.3">
      <c r="A1533" t="s">
        <v>1584</v>
      </c>
      <c r="B1533" t="s">
        <v>47</v>
      </c>
      <c r="C1533" t="s">
        <v>1571</v>
      </c>
      <c r="D1533" s="1">
        <v>0.45299768518518518</v>
      </c>
      <c r="E1533" s="2">
        <f>CallLog[[#This Row],[Date]]+CallLog[[#This Row],[Time]]</f>
        <v>44224.452997685185</v>
      </c>
      <c r="F1533" s="1" t="str">
        <f>TEXT(CallLog[[#This Row],[Date]],"dddd")</f>
        <v>Thursday</v>
      </c>
      <c r="G1533" s="3">
        <f>HOUR(CallLog[[#This Row],[Time]])</f>
        <v>10</v>
      </c>
      <c r="H1533" t="s">
        <v>24</v>
      </c>
      <c r="I1533" t="s">
        <v>14</v>
      </c>
      <c r="J1533" t="s">
        <v>14</v>
      </c>
      <c r="K1533">
        <v>104</v>
      </c>
      <c r="L1533" t="str">
        <f>IF(AND(CallLog[[#This Row],[Answered (Y/N)]]="Y", CallLog[[#This Row],[Speed of answer in seconds]]&lt;=20),
    "Within",
    "Breach")</f>
        <v>Breach</v>
      </c>
      <c r="M1533" s="1">
        <v>4.2939814814814811E-3</v>
      </c>
      <c r="N1533">
        <v>5</v>
      </c>
    </row>
    <row r="1534" spans="1:14" x14ac:dyDescent="0.3">
      <c r="A1534" t="s">
        <v>1585</v>
      </c>
      <c r="B1534" t="s">
        <v>20</v>
      </c>
      <c r="C1534" t="s">
        <v>1571</v>
      </c>
      <c r="D1534" s="1">
        <v>0.46299768518518519</v>
      </c>
      <c r="E1534" s="2">
        <f>CallLog[[#This Row],[Date]]+CallLog[[#This Row],[Time]]</f>
        <v>44224.462997685187</v>
      </c>
      <c r="F1534" s="1" t="str">
        <f>TEXT(CallLog[[#This Row],[Date]],"dddd")</f>
        <v>Thursday</v>
      </c>
      <c r="G1534" s="3">
        <f>HOUR(CallLog[[#This Row],[Time]])</f>
        <v>11</v>
      </c>
      <c r="H1534" t="s">
        <v>32</v>
      </c>
      <c r="I1534" t="s">
        <v>14</v>
      </c>
      <c r="J1534" t="s">
        <v>14</v>
      </c>
      <c r="K1534">
        <v>41</v>
      </c>
      <c r="L1534" t="str">
        <f>IF(AND(CallLog[[#This Row],[Answered (Y/N)]]="Y", CallLog[[#This Row],[Speed of answer in seconds]]&lt;=20),
    "Within",
    "Breach")</f>
        <v>Breach</v>
      </c>
      <c r="M1534" s="1">
        <v>2.1759259259259258E-3</v>
      </c>
      <c r="N1534">
        <v>4</v>
      </c>
    </row>
    <row r="1535" spans="1:14" x14ac:dyDescent="0.3">
      <c r="A1535" t="s">
        <v>1586</v>
      </c>
      <c r="B1535" t="s">
        <v>22</v>
      </c>
      <c r="C1535" t="s">
        <v>1571</v>
      </c>
      <c r="D1535" s="1">
        <v>0.46299768518518519</v>
      </c>
      <c r="E1535" s="2">
        <f>CallLog[[#This Row],[Date]]+CallLog[[#This Row],[Time]]</f>
        <v>44224.462997685187</v>
      </c>
      <c r="F1535" s="1" t="str">
        <f>TEXT(CallLog[[#This Row],[Date]],"dddd")</f>
        <v>Thursday</v>
      </c>
      <c r="G1535" s="3">
        <f>HOUR(CallLog[[#This Row],[Time]])</f>
        <v>11</v>
      </c>
      <c r="H1535" t="s">
        <v>17</v>
      </c>
      <c r="I1535" t="s">
        <v>14</v>
      </c>
      <c r="J1535" t="s">
        <v>14</v>
      </c>
      <c r="K1535">
        <v>26</v>
      </c>
      <c r="L1535" t="str">
        <f>IF(AND(CallLog[[#This Row],[Answered (Y/N)]]="Y", CallLog[[#This Row],[Speed of answer in seconds]]&lt;=20),
    "Within",
    "Breach")</f>
        <v>Breach</v>
      </c>
      <c r="M1535" s="1">
        <v>1.238425925925926E-3</v>
      </c>
      <c r="N1535">
        <v>5</v>
      </c>
    </row>
    <row r="1536" spans="1:14" x14ac:dyDescent="0.3">
      <c r="A1536" t="s">
        <v>1587</v>
      </c>
      <c r="B1536" t="s">
        <v>16</v>
      </c>
      <c r="C1536" t="s">
        <v>1571</v>
      </c>
      <c r="D1536" s="1">
        <v>0.4729976851851852</v>
      </c>
      <c r="E1536" s="2">
        <f>CallLog[[#This Row],[Date]]+CallLog[[#This Row],[Time]]</f>
        <v>44224.472997685189</v>
      </c>
      <c r="F1536" s="1" t="str">
        <f>TEXT(CallLog[[#This Row],[Date]],"dddd")</f>
        <v>Thursday</v>
      </c>
      <c r="G1536" s="3">
        <f>HOUR(CallLog[[#This Row],[Time]])</f>
        <v>11</v>
      </c>
      <c r="H1536" t="s">
        <v>24</v>
      </c>
      <c r="I1536" t="s">
        <v>14</v>
      </c>
      <c r="J1536" t="s">
        <v>14</v>
      </c>
      <c r="K1536">
        <v>66</v>
      </c>
      <c r="L1536" t="str">
        <f>IF(AND(CallLog[[#This Row],[Answered (Y/N)]]="Y", CallLog[[#This Row],[Speed of answer in seconds]]&lt;=20),
    "Within",
    "Breach")</f>
        <v>Breach</v>
      </c>
      <c r="M1536" s="1">
        <v>3.9814814814814817E-3</v>
      </c>
      <c r="N1536">
        <v>4</v>
      </c>
    </row>
    <row r="1537" spans="1:14" x14ac:dyDescent="0.3">
      <c r="A1537" t="s">
        <v>1588</v>
      </c>
      <c r="B1537" t="s">
        <v>16</v>
      </c>
      <c r="C1537" t="s">
        <v>1571</v>
      </c>
      <c r="D1537" s="1">
        <v>0.4729976851851852</v>
      </c>
      <c r="E1537" s="2">
        <f>CallLog[[#This Row],[Date]]+CallLog[[#This Row],[Time]]</f>
        <v>44224.472997685189</v>
      </c>
      <c r="F1537" s="1" t="str">
        <f>TEXT(CallLog[[#This Row],[Date]],"dddd")</f>
        <v>Thursday</v>
      </c>
      <c r="G1537" s="3">
        <f>HOUR(CallLog[[#This Row],[Time]])</f>
        <v>11</v>
      </c>
      <c r="H1537" t="s">
        <v>29</v>
      </c>
      <c r="I1537" t="s">
        <v>14</v>
      </c>
      <c r="J1537" t="s">
        <v>14</v>
      </c>
      <c r="K1537">
        <v>65</v>
      </c>
      <c r="L1537" t="str">
        <f>IF(AND(CallLog[[#This Row],[Answered (Y/N)]]="Y", CallLog[[#This Row],[Speed of answer in seconds]]&lt;=20),
    "Within",
    "Breach")</f>
        <v>Breach</v>
      </c>
      <c r="M1537" s="1">
        <v>1.2847222222222223E-3</v>
      </c>
      <c r="N1537">
        <v>5</v>
      </c>
    </row>
    <row r="1538" spans="1:14" x14ac:dyDescent="0.3">
      <c r="A1538" t="s">
        <v>1589</v>
      </c>
      <c r="B1538" t="s">
        <v>16</v>
      </c>
      <c r="C1538" t="s">
        <v>1571</v>
      </c>
      <c r="D1538" s="1">
        <v>0.47900462962962964</v>
      </c>
      <c r="E1538" s="2">
        <f>CallLog[[#This Row],[Date]]+CallLog[[#This Row],[Time]]</f>
        <v>44224.479004629633</v>
      </c>
      <c r="F1538" s="1" t="str">
        <f>TEXT(CallLog[[#This Row],[Date]],"dddd")</f>
        <v>Thursday</v>
      </c>
      <c r="G1538" s="3">
        <f>HOUR(CallLog[[#This Row],[Time]])</f>
        <v>11</v>
      </c>
      <c r="H1538" t="s">
        <v>29</v>
      </c>
      <c r="I1538" t="s">
        <v>14</v>
      </c>
      <c r="J1538" t="s">
        <v>14</v>
      </c>
      <c r="K1538">
        <v>22</v>
      </c>
      <c r="L1538" t="str">
        <f>IF(AND(CallLog[[#This Row],[Answered (Y/N)]]="Y", CallLog[[#This Row],[Speed of answer in seconds]]&lt;=20),
    "Within",
    "Breach")</f>
        <v>Breach</v>
      </c>
      <c r="M1538" s="1">
        <v>3.4953703703703705E-3</v>
      </c>
      <c r="N1538">
        <v>3</v>
      </c>
    </row>
    <row r="1539" spans="1:14" x14ac:dyDescent="0.3">
      <c r="A1539" t="s">
        <v>1590</v>
      </c>
      <c r="B1539" t="s">
        <v>34</v>
      </c>
      <c r="C1539" t="s">
        <v>1571</v>
      </c>
      <c r="D1539" s="1">
        <v>0.47900462962962964</v>
      </c>
      <c r="E1539" s="2">
        <f>CallLog[[#This Row],[Date]]+CallLog[[#This Row],[Time]]</f>
        <v>44224.479004629633</v>
      </c>
      <c r="F1539" s="1" t="str">
        <f>TEXT(CallLog[[#This Row],[Date]],"dddd")</f>
        <v>Thursday</v>
      </c>
      <c r="G1539" s="3">
        <f>HOUR(CallLog[[#This Row],[Time]])</f>
        <v>11</v>
      </c>
      <c r="H1539" t="s">
        <v>32</v>
      </c>
      <c r="I1539" t="s">
        <v>14</v>
      </c>
      <c r="J1539" t="s">
        <v>18</v>
      </c>
      <c r="K1539">
        <v>96</v>
      </c>
      <c r="L1539" t="str">
        <f>IF(AND(CallLog[[#This Row],[Answered (Y/N)]]="Y", CallLog[[#This Row],[Speed of answer in seconds]]&lt;=20),
    "Within",
    "Breach")</f>
        <v>Breach</v>
      </c>
      <c r="M1539" s="1">
        <v>2.7083333333333334E-3</v>
      </c>
      <c r="N1539">
        <v>1</v>
      </c>
    </row>
    <row r="1540" spans="1:14" x14ac:dyDescent="0.3">
      <c r="A1540" t="s">
        <v>1591</v>
      </c>
      <c r="B1540" t="s">
        <v>11</v>
      </c>
      <c r="C1540" t="s">
        <v>1571</v>
      </c>
      <c r="D1540" s="1">
        <v>0.49599537037037039</v>
      </c>
      <c r="E1540" s="2">
        <f>CallLog[[#This Row],[Date]]+CallLog[[#This Row],[Time]]</f>
        <v>44224.495995370373</v>
      </c>
      <c r="F1540" s="1" t="str">
        <f>TEXT(CallLog[[#This Row],[Date]],"dddd")</f>
        <v>Thursday</v>
      </c>
      <c r="G1540" s="3">
        <f>HOUR(CallLog[[#This Row],[Time]])</f>
        <v>11</v>
      </c>
      <c r="H1540" t="s">
        <v>17</v>
      </c>
      <c r="I1540" t="s">
        <v>14</v>
      </c>
      <c r="J1540" t="s">
        <v>14</v>
      </c>
      <c r="K1540">
        <v>101</v>
      </c>
      <c r="L1540" t="str">
        <f>IF(AND(CallLog[[#This Row],[Answered (Y/N)]]="Y", CallLog[[#This Row],[Speed of answer in seconds]]&lt;=20),
    "Within",
    "Breach")</f>
        <v>Breach</v>
      </c>
      <c r="M1540" s="1">
        <v>3.2986111111111111E-3</v>
      </c>
      <c r="N1540">
        <v>4</v>
      </c>
    </row>
    <row r="1541" spans="1:14" x14ac:dyDescent="0.3">
      <c r="A1541" t="s">
        <v>1592</v>
      </c>
      <c r="B1541" t="s">
        <v>16</v>
      </c>
      <c r="C1541" t="s">
        <v>1571</v>
      </c>
      <c r="D1541" s="1">
        <v>0.49599537037037039</v>
      </c>
      <c r="E1541" s="2">
        <f>CallLog[[#This Row],[Date]]+CallLog[[#This Row],[Time]]</f>
        <v>44224.495995370373</v>
      </c>
      <c r="F1541" s="1" t="str">
        <f>TEXT(CallLog[[#This Row],[Date]],"dddd")</f>
        <v>Thursday</v>
      </c>
      <c r="G1541" s="3">
        <f>HOUR(CallLog[[#This Row],[Time]])</f>
        <v>11</v>
      </c>
      <c r="H1541" t="s">
        <v>29</v>
      </c>
      <c r="I1541" t="s">
        <v>14</v>
      </c>
      <c r="J1541" t="s">
        <v>14</v>
      </c>
      <c r="K1541">
        <v>124</v>
      </c>
      <c r="L1541" t="str">
        <f>IF(AND(CallLog[[#This Row],[Answered (Y/N)]]="Y", CallLog[[#This Row],[Speed of answer in seconds]]&lt;=20),
    "Within",
    "Breach")</f>
        <v>Breach</v>
      </c>
      <c r="M1541" s="1">
        <v>1.1342592592592593E-3</v>
      </c>
      <c r="N1541">
        <v>4</v>
      </c>
    </row>
    <row r="1542" spans="1:14" x14ac:dyDescent="0.3">
      <c r="A1542" t="s">
        <v>1593</v>
      </c>
      <c r="B1542" t="s">
        <v>47</v>
      </c>
      <c r="C1542" t="s">
        <v>1571</v>
      </c>
      <c r="D1542" s="1">
        <v>0.49700231481481483</v>
      </c>
      <c r="E1542" s="2">
        <f>CallLog[[#This Row],[Date]]+CallLog[[#This Row],[Time]]</f>
        <v>44224.497002314813</v>
      </c>
      <c r="F1542" s="1" t="str">
        <f>TEXT(CallLog[[#This Row],[Date]],"dddd")</f>
        <v>Thursday</v>
      </c>
      <c r="G1542" s="3">
        <f>HOUR(CallLog[[#This Row],[Time]])</f>
        <v>11</v>
      </c>
      <c r="H1542" t="s">
        <v>13</v>
      </c>
      <c r="I1542" t="s">
        <v>14</v>
      </c>
      <c r="J1542" t="s">
        <v>14</v>
      </c>
      <c r="K1542">
        <v>28</v>
      </c>
      <c r="L1542" t="str">
        <f>IF(AND(CallLog[[#This Row],[Answered (Y/N)]]="Y", CallLog[[#This Row],[Speed of answer in seconds]]&lt;=20),
    "Within",
    "Breach")</f>
        <v>Breach</v>
      </c>
      <c r="M1542" s="1">
        <v>3.7615740740740739E-3</v>
      </c>
      <c r="N1542">
        <v>3</v>
      </c>
    </row>
    <row r="1543" spans="1:14" x14ac:dyDescent="0.3">
      <c r="A1543" t="s">
        <v>1594</v>
      </c>
      <c r="B1543" t="s">
        <v>16</v>
      </c>
      <c r="C1543" t="s">
        <v>1571</v>
      </c>
      <c r="D1543" s="1">
        <v>0.49700231481481483</v>
      </c>
      <c r="E1543" s="2">
        <f>CallLog[[#This Row],[Date]]+CallLog[[#This Row],[Time]]</f>
        <v>44224.497002314813</v>
      </c>
      <c r="F1543" s="1" t="str">
        <f>TEXT(CallLog[[#This Row],[Date]],"dddd")</f>
        <v>Thursday</v>
      </c>
      <c r="G1543" s="3">
        <f>HOUR(CallLog[[#This Row],[Time]])</f>
        <v>11</v>
      </c>
      <c r="H1543" t="s">
        <v>13</v>
      </c>
      <c r="I1543" t="s">
        <v>14</v>
      </c>
      <c r="J1543" t="s">
        <v>14</v>
      </c>
      <c r="K1543">
        <v>90</v>
      </c>
      <c r="L1543" t="str">
        <f>IF(AND(CallLog[[#This Row],[Answered (Y/N)]]="Y", CallLog[[#This Row],[Speed of answer in seconds]]&lt;=20),
    "Within",
    "Breach")</f>
        <v>Breach</v>
      </c>
      <c r="M1543" s="1">
        <v>2.650462962962963E-3</v>
      </c>
      <c r="N1543">
        <v>3</v>
      </c>
    </row>
    <row r="1544" spans="1:14" x14ac:dyDescent="0.3">
      <c r="A1544" t="s">
        <v>1595</v>
      </c>
      <c r="B1544" t="s">
        <v>38</v>
      </c>
      <c r="C1544" t="s">
        <v>1571</v>
      </c>
      <c r="D1544" s="1">
        <v>0.53200231481481486</v>
      </c>
      <c r="E1544" s="2">
        <f>CallLog[[#This Row],[Date]]+CallLog[[#This Row],[Time]]</f>
        <v>44224.532002314816</v>
      </c>
      <c r="F1544" s="1" t="str">
        <f>TEXT(CallLog[[#This Row],[Date]],"dddd")</f>
        <v>Thursday</v>
      </c>
      <c r="G1544" s="3">
        <f>HOUR(CallLog[[#This Row],[Time]])</f>
        <v>12</v>
      </c>
      <c r="H1544" t="s">
        <v>13</v>
      </c>
      <c r="I1544" t="s">
        <v>14</v>
      </c>
      <c r="J1544" t="s">
        <v>14</v>
      </c>
      <c r="K1544">
        <v>111</v>
      </c>
      <c r="L1544" t="str">
        <f>IF(AND(CallLog[[#This Row],[Answered (Y/N)]]="Y", CallLog[[#This Row],[Speed of answer in seconds]]&lt;=20),
    "Within",
    "Breach")</f>
        <v>Breach</v>
      </c>
      <c r="M1544" s="1">
        <v>2.7199074074074074E-3</v>
      </c>
      <c r="N1544">
        <v>5</v>
      </c>
    </row>
    <row r="1545" spans="1:14" x14ac:dyDescent="0.3">
      <c r="A1545" t="s">
        <v>1596</v>
      </c>
      <c r="B1545" t="s">
        <v>16</v>
      </c>
      <c r="C1545" t="s">
        <v>1571</v>
      </c>
      <c r="D1545" s="1">
        <v>0.53200231481481486</v>
      </c>
      <c r="E1545" s="2">
        <f>CallLog[[#This Row],[Date]]+CallLog[[#This Row],[Time]]</f>
        <v>44224.532002314816</v>
      </c>
      <c r="F1545" s="1" t="str">
        <f>TEXT(CallLog[[#This Row],[Date]],"dddd")</f>
        <v>Thursday</v>
      </c>
      <c r="G1545" s="3">
        <f>HOUR(CallLog[[#This Row],[Time]])</f>
        <v>12</v>
      </c>
      <c r="H1545" t="s">
        <v>32</v>
      </c>
      <c r="I1545" t="s">
        <v>14</v>
      </c>
      <c r="J1545" t="s">
        <v>14</v>
      </c>
      <c r="K1545">
        <v>123</v>
      </c>
      <c r="L1545" t="str">
        <f>IF(AND(CallLog[[#This Row],[Answered (Y/N)]]="Y", CallLog[[#This Row],[Speed of answer in seconds]]&lt;=20),
    "Within",
    "Breach")</f>
        <v>Breach</v>
      </c>
      <c r="M1545" s="1">
        <v>4.7453703703703698E-4</v>
      </c>
      <c r="N1545">
        <v>4</v>
      </c>
    </row>
    <row r="1546" spans="1:14" x14ac:dyDescent="0.3">
      <c r="A1546" t="s">
        <v>1597</v>
      </c>
      <c r="B1546" t="s">
        <v>31</v>
      </c>
      <c r="C1546" t="s">
        <v>1571</v>
      </c>
      <c r="D1546" s="1">
        <v>0.54200231481481487</v>
      </c>
      <c r="E1546" s="2">
        <f>CallLog[[#This Row],[Date]]+CallLog[[#This Row],[Time]]</f>
        <v>44224.542002314818</v>
      </c>
      <c r="F1546" s="1" t="str">
        <f>TEXT(CallLog[[#This Row],[Date]],"dddd")</f>
        <v>Thursday</v>
      </c>
      <c r="G1546" s="3">
        <f>HOUR(CallLog[[#This Row],[Time]])</f>
        <v>13</v>
      </c>
      <c r="H1546" t="s">
        <v>13</v>
      </c>
      <c r="I1546" t="s">
        <v>18</v>
      </c>
      <c r="J1546" t="s">
        <v>18</v>
      </c>
      <c r="L1546" t="str">
        <f>IF(AND(CallLog[[#This Row],[Answered (Y/N)]]="Y", CallLog[[#This Row],[Speed of answer in seconds]]&lt;=20),
    "Within",
    "Breach")</f>
        <v>Breach</v>
      </c>
    </row>
    <row r="1547" spans="1:14" x14ac:dyDescent="0.3">
      <c r="A1547" t="s">
        <v>1598</v>
      </c>
      <c r="B1547" t="s">
        <v>47</v>
      </c>
      <c r="C1547" t="s">
        <v>1571</v>
      </c>
      <c r="D1547" s="1">
        <v>0.54200231481481487</v>
      </c>
      <c r="E1547" s="2">
        <f>CallLog[[#This Row],[Date]]+CallLog[[#This Row],[Time]]</f>
        <v>44224.542002314818</v>
      </c>
      <c r="F1547" s="1" t="str">
        <f>TEXT(CallLog[[#This Row],[Date]],"dddd")</f>
        <v>Thursday</v>
      </c>
      <c r="G1547" s="3">
        <f>HOUR(CallLog[[#This Row],[Time]])</f>
        <v>13</v>
      </c>
      <c r="H1547" t="s">
        <v>32</v>
      </c>
      <c r="I1547" t="s">
        <v>14</v>
      </c>
      <c r="J1547" t="s">
        <v>14</v>
      </c>
      <c r="K1547">
        <v>101</v>
      </c>
      <c r="L1547" t="str">
        <f>IF(AND(CallLog[[#This Row],[Answered (Y/N)]]="Y", CallLog[[#This Row],[Speed of answer in seconds]]&lt;=20),
    "Within",
    "Breach")</f>
        <v>Breach</v>
      </c>
      <c r="M1547" s="1">
        <v>3.7268518518518519E-3</v>
      </c>
      <c r="N1547">
        <v>4</v>
      </c>
    </row>
    <row r="1548" spans="1:14" x14ac:dyDescent="0.3">
      <c r="A1548" t="s">
        <v>1599</v>
      </c>
      <c r="B1548" t="s">
        <v>34</v>
      </c>
      <c r="C1548" t="s">
        <v>1571</v>
      </c>
      <c r="D1548" s="1">
        <v>0.5540046296296296</v>
      </c>
      <c r="E1548" s="2">
        <f>CallLog[[#This Row],[Date]]+CallLog[[#This Row],[Time]]</f>
        <v>44224.55400462963</v>
      </c>
      <c r="F1548" s="1" t="str">
        <f>TEXT(CallLog[[#This Row],[Date]],"dddd")</f>
        <v>Thursday</v>
      </c>
      <c r="G1548" s="3">
        <f>HOUR(CallLog[[#This Row],[Time]])</f>
        <v>13</v>
      </c>
      <c r="H1548" t="s">
        <v>29</v>
      </c>
      <c r="I1548" t="s">
        <v>14</v>
      </c>
      <c r="J1548" t="s">
        <v>14</v>
      </c>
      <c r="K1548">
        <v>44</v>
      </c>
      <c r="L1548" t="str">
        <f>IF(AND(CallLog[[#This Row],[Answered (Y/N)]]="Y", CallLog[[#This Row],[Speed of answer in seconds]]&lt;=20),
    "Within",
    "Breach")</f>
        <v>Breach</v>
      </c>
      <c r="M1548" s="1">
        <v>1.4930555555555556E-3</v>
      </c>
      <c r="N1548">
        <v>5</v>
      </c>
    </row>
    <row r="1549" spans="1:14" x14ac:dyDescent="0.3">
      <c r="A1549" t="s">
        <v>1600</v>
      </c>
      <c r="B1549" t="s">
        <v>20</v>
      </c>
      <c r="C1549" t="s">
        <v>1571</v>
      </c>
      <c r="D1549" s="1">
        <v>0.5540046296296296</v>
      </c>
      <c r="E1549" s="2">
        <f>CallLog[[#This Row],[Date]]+CallLog[[#This Row],[Time]]</f>
        <v>44224.55400462963</v>
      </c>
      <c r="F1549" s="1" t="str">
        <f>TEXT(CallLog[[#This Row],[Date]],"dddd")</f>
        <v>Thursday</v>
      </c>
      <c r="G1549" s="3">
        <f>HOUR(CallLog[[#This Row],[Time]])</f>
        <v>13</v>
      </c>
      <c r="H1549" t="s">
        <v>32</v>
      </c>
      <c r="I1549" t="s">
        <v>14</v>
      </c>
      <c r="J1549" t="s">
        <v>14</v>
      </c>
      <c r="K1549">
        <v>10</v>
      </c>
      <c r="L1549" t="str">
        <f>IF(AND(CallLog[[#This Row],[Answered (Y/N)]]="Y", CallLog[[#This Row],[Speed of answer in seconds]]&lt;=20),
    "Within",
    "Breach")</f>
        <v>Within</v>
      </c>
      <c r="M1549" s="1">
        <v>1.2847222222222223E-3</v>
      </c>
      <c r="N1549">
        <v>3</v>
      </c>
    </row>
    <row r="1550" spans="1:14" x14ac:dyDescent="0.3">
      <c r="A1550" t="s">
        <v>1601</v>
      </c>
      <c r="B1550" t="s">
        <v>11</v>
      </c>
      <c r="C1550" t="s">
        <v>1571</v>
      </c>
      <c r="D1550" s="1">
        <v>0.55500000000000005</v>
      </c>
      <c r="E1550" s="2">
        <f>CallLog[[#This Row],[Date]]+CallLog[[#This Row],[Time]]</f>
        <v>44224.555</v>
      </c>
      <c r="F1550" s="1" t="str">
        <f>TEXT(CallLog[[#This Row],[Date]],"dddd")</f>
        <v>Thursday</v>
      </c>
      <c r="G1550" s="3">
        <f>HOUR(CallLog[[#This Row],[Time]])</f>
        <v>13</v>
      </c>
      <c r="H1550" t="s">
        <v>32</v>
      </c>
      <c r="I1550" t="s">
        <v>14</v>
      </c>
      <c r="J1550" t="s">
        <v>14</v>
      </c>
      <c r="K1550">
        <v>45</v>
      </c>
      <c r="L1550" t="str">
        <f>IF(AND(CallLog[[#This Row],[Answered (Y/N)]]="Y", CallLog[[#This Row],[Speed of answer in seconds]]&lt;=20),
    "Within",
    "Breach")</f>
        <v>Breach</v>
      </c>
      <c r="M1550" s="1">
        <v>2.3842592592592591E-3</v>
      </c>
      <c r="N1550">
        <v>1</v>
      </c>
    </row>
    <row r="1551" spans="1:14" x14ac:dyDescent="0.3">
      <c r="A1551" t="s">
        <v>1602</v>
      </c>
      <c r="B1551" t="s">
        <v>20</v>
      </c>
      <c r="C1551" t="s">
        <v>1571</v>
      </c>
      <c r="D1551" s="1">
        <v>0.55500000000000005</v>
      </c>
      <c r="E1551" s="2">
        <f>CallLog[[#This Row],[Date]]+CallLog[[#This Row],[Time]]</f>
        <v>44224.555</v>
      </c>
      <c r="F1551" s="1" t="str">
        <f>TEXT(CallLog[[#This Row],[Date]],"dddd")</f>
        <v>Thursday</v>
      </c>
      <c r="G1551" s="3">
        <f>HOUR(CallLog[[#This Row],[Time]])</f>
        <v>13</v>
      </c>
      <c r="H1551" t="s">
        <v>17</v>
      </c>
      <c r="I1551" t="s">
        <v>14</v>
      </c>
      <c r="J1551" t="s">
        <v>14</v>
      </c>
      <c r="K1551">
        <v>24</v>
      </c>
      <c r="L1551" t="str">
        <f>IF(AND(CallLog[[#This Row],[Answered (Y/N)]]="Y", CallLog[[#This Row],[Speed of answer in seconds]]&lt;=20),
    "Within",
    "Breach")</f>
        <v>Breach</v>
      </c>
      <c r="M1551" s="1">
        <v>1.5740740740740741E-3</v>
      </c>
      <c r="N1551">
        <v>4</v>
      </c>
    </row>
    <row r="1552" spans="1:14" x14ac:dyDescent="0.3">
      <c r="A1552" t="s">
        <v>1603</v>
      </c>
      <c r="B1552" t="s">
        <v>34</v>
      </c>
      <c r="C1552" t="s">
        <v>1571</v>
      </c>
      <c r="D1552" s="1">
        <v>0.59599537037037043</v>
      </c>
      <c r="E1552" s="2">
        <f>CallLog[[#This Row],[Date]]+CallLog[[#This Row],[Time]]</f>
        <v>44224.595995370371</v>
      </c>
      <c r="F1552" s="1" t="str">
        <f>TEXT(CallLog[[#This Row],[Date]],"dddd")</f>
        <v>Thursday</v>
      </c>
      <c r="G1552" s="3">
        <f>HOUR(CallLog[[#This Row],[Time]])</f>
        <v>14</v>
      </c>
      <c r="H1552" t="s">
        <v>24</v>
      </c>
      <c r="I1552" t="s">
        <v>14</v>
      </c>
      <c r="J1552" t="s">
        <v>14</v>
      </c>
      <c r="K1552">
        <v>70</v>
      </c>
      <c r="L1552" t="str">
        <f>IF(AND(CallLog[[#This Row],[Answered (Y/N)]]="Y", CallLog[[#This Row],[Speed of answer in seconds]]&lt;=20),
    "Within",
    "Breach")</f>
        <v>Breach</v>
      </c>
      <c r="M1552" s="1">
        <v>4.0856481481481481E-3</v>
      </c>
      <c r="N1552">
        <v>1</v>
      </c>
    </row>
    <row r="1553" spans="1:14" x14ac:dyDescent="0.3">
      <c r="A1553" t="s">
        <v>1604</v>
      </c>
      <c r="B1553" t="s">
        <v>38</v>
      </c>
      <c r="C1553" t="s">
        <v>1571</v>
      </c>
      <c r="D1553" s="1">
        <v>0.59599537037037043</v>
      </c>
      <c r="E1553" s="2">
        <f>CallLog[[#This Row],[Date]]+CallLog[[#This Row],[Time]]</f>
        <v>44224.595995370371</v>
      </c>
      <c r="F1553" s="1" t="str">
        <f>TEXT(CallLog[[#This Row],[Date]],"dddd")</f>
        <v>Thursday</v>
      </c>
      <c r="G1553" s="3">
        <f>HOUR(CallLog[[#This Row],[Time]])</f>
        <v>14</v>
      </c>
      <c r="H1553" t="s">
        <v>32</v>
      </c>
      <c r="I1553" t="s">
        <v>14</v>
      </c>
      <c r="J1553" t="s">
        <v>14</v>
      </c>
      <c r="K1553">
        <v>101</v>
      </c>
      <c r="L1553" t="str">
        <f>IF(AND(CallLog[[#This Row],[Answered (Y/N)]]="Y", CallLog[[#This Row],[Speed of answer in seconds]]&lt;=20),
    "Within",
    "Breach")</f>
        <v>Breach</v>
      </c>
      <c r="M1553" s="1">
        <v>4.0740740740740737E-3</v>
      </c>
      <c r="N1553">
        <v>5</v>
      </c>
    </row>
    <row r="1554" spans="1:14" x14ac:dyDescent="0.3">
      <c r="A1554" t="s">
        <v>1605</v>
      </c>
      <c r="B1554" t="s">
        <v>47</v>
      </c>
      <c r="C1554" t="s">
        <v>1571</v>
      </c>
      <c r="D1554" s="1">
        <v>0.59700231481481481</v>
      </c>
      <c r="E1554" s="2">
        <f>CallLog[[#This Row],[Date]]+CallLog[[#This Row],[Time]]</f>
        <v>44224.597002314818</v>
      </c>
      <c r="F1554" s="1" t="str">
        <f>TEXT(CallLog[[#This Row],[Date]],"dddd")</f>
        <v>Thursday</v>
      </c>
      <c r="G1554" s="3">
        <f>HOUR(CallLog[[#This Row],[Time]])</f>
        <v>14</v>
      </c>
      <c r="H1554" t="s">
        <v>32</v>
      </c>
      <c r="I1554" t="s">
        <v>14</v>
      </c>
      <c r="J1554" t="s">
        <v>14</v>
      </c>
      <c r="K1554">
        <v>23</v>
      </c>
      <c r="L1554" t="str">
        <f>IF(AND(CallLog[[#This Row],[Answered (Y/N)]]="Y", CallLog[[#This Row],[Speed of answer in seconds]]&lt;=20),
    "Within",
    "Breach")</f>
        <v>Breach</v>
      </c>
      <c r="M1554" s="1">
        <v>2.2685185185185187E-3</v>
      </c>
      <c r="N1554">
        <v>3</v>
      </c>
    </row>
    <row r="1555" spans="1:14" x14ac:dyDescent="0.3">
      <c r="A1555" t="s">
        <v>1606</v>
      </c>
      <c r="B1555" t="s">
        <v>34</v>
      </c>
      <c r="C1555" t="s">
        <v>1571</v>
      </c>
      <c r="D1555" s="1">
        <v>0.59700231481481481</v>
      </c>
      <c r="E1555" s="2">
        <f>CallLog[[#This Row],[Date]]+CallLog[[#This Row],[Time]]</f>
        <v>44224.597002314818</v>
      </c>
      <c r="F1555" s="1" t="str">
        <f>TEXT(CallLog[[#This Row],[Date]],"dddd")</f>
        <v>Thursday</v>
      </c>
      <c r="G1555" s="3">
        <f>HOUR(CallLog[[#This Row],[Time]])</f>
        <v>14</v>
      </c>
      <c r="H1555" t="s">
        <v>13</v>
      </c>
      <c r="I1555" t="s">
        <v>14</v>
      </c>
      <c r="J1555" t="s">
        <v>18</v>
      </c>
      <c r="K1555">
        <v>86</v>
      </c>
      <c r="L1555" t="str">
        <f>IF(AND(CallLog[[#This Row],[Answered (Y/N)]]="Y", CallLog[[#This Row],[Speed of answer in seconds]]&lt;=20),
    "Within",
    "Breach")</f>
        <v>Breach</v>
      </c>
      <c r="M1555" s="1">
        <v>2.673611111111111E-3</v>
      </c>
      <c r="N1555">
        <v>3</v>
      </c>
    </row>
    <row r="1556" spans="1:14" x14ac:dyDescent="0.3">
      <c r="A1556" t="s">
        <v>1607</v>
      </c>
      <c r="B1556" t="s">
        <v>47</v>
      </c>
      <c r="C1556" t="s">
        <v>1571</v>
      </c>
      <c r="D1556" s="1">
        <v>0.60599537037037032</v>
      </c>
      <c r="E1556" s="2">
        <f>CallLog[[#This Row],[Date]]+CallLog[[#This Row],[Time]]</f>
        <v>44224.605995370373</v>
      </c>
      <c r="F1556" s="1" t="str">
        <f>TEXT(CallLog[[#This Row],[Date]],"dddd")</f>
        <v>Thursday</v>
      </c>
      <c r="G1556" s="3">
        <f>HOUR(CallLog[[#This Row],[Time]])</f>
        <v>14</v>
      </c>
      <c r="H1556" t="s">
        <v>29</v>
      </c>
      <c r="I1556" t="s">
        <v>14</v>
      </c>
      <c r="J1556" t="s">
        <v>14</v>
      </c>
      <c r="K1556">
        <v>25</v>
      </c>
      <c r="L1556" t="str">
        <f>IF(AND(CallLog[[#This Row],[Answered (Y/N)]]="Y", CallLog[[#This Row],[Speed of answer in seconds]]&lt;=20),
    "Within",
    "Breach")</f>
        <v>Breach</v>
      </c>
      <c r="M1556" s="1">
        <v>1.5625000000000001E-3</v>
      </c>
      <c r="N1556">
        <v>2</v>
      </c>
    </row>
    <row r="1557" spans="1:14" x14ac:dyDescent="0.3">
      <c r="A1557" t="s">
        <v>1608</v>
      </c>
      <c r="B1557" t="s">
        <v>31</v>
      </c>
      <c r="C1557" t="s">
        <v>1571</v>
      </c>
      <c r="D1557" s="1">
        <v>0.60599537037037032</v>
      </c>
      <c r="E1557" s="2">
        <f>CallLog[[#This Row],[Date]]+CallLog[[#This Row],[Time]]</f>
        <v>44224.605995370373</v>
      </c>
      <c r="F1557" s="1" t="str">
        <f>TEXT(CallLog[[#This Row],[Date]],"dddd")</f>
        <v>Thursday</v>
      </c>
      <c r="G1557" s="3">
        <f>HOUR(CallLog[[#This Row],[Time]])</f>
        <v>14</v>
      </c>
      <c r="H1557" t="s">
        <v>29</v>
      </c>
      <c r="I1557" t="s">
        <v>14</v>
      </c>
      <c r="J1557" t="s">
        <v>14</v>
      </c>
      <c r="K1557">
        <v>46</v>
      </c>
      <c r="L1557" t="str">
        <f>IF(AND(CallLog[[#This Row],[Answered (Y/N)]]="Y", CallLog[[#This Row],[Speed of answer in seconds]]&lt;=20),
    "Within",
    "Breach")</f>
        <v>Breach</v>
      </c>
      <c r="M1557" s="1">
        <v>2.0486111111111113E-3</v>
      </c>
      <c r="N1557">
        <v>4</v>
      </c>
    </row>
    <row r="1558" spans="1:14" x14ac:dyDescent="0.3">
      <c r="A1558" t="s">
        <v>1609</v>
      </c>
      <c r="B1558" t="s">
        <v>11</v>
      </c>
      <c r="C1558" t="s">
        <v>1571</v>
      </c>
      <c r="D1558" s="1">
        <v>0.62299768518518517</v>
      </c>
      <c r="E1558" s="2">
        <f>CallLog[[#This Row],[Date]]+CallLog[[#This Row],[Time]]</f>
        <v>44224.622997685183</v>
      </c>
      <c r="F1558" s="1" t="str">
        <f>TEXT(CallLog[[#This Row],[Date]],"dddd")</f>
        <v>Thursday</v>
      </c>
      <c r="G1558" s="3">
        <f>HOUR(CallLog[[#This Row],[Time]])</f>
        <v>14</v>
      </c>
      <c r="H1558" t="s">
        <v>32</v>
      </c>
      <c r="I1558" t="s">
        <v>14</v>
      </c>
      <c r="J1558" t="s">
        <v>14</v>
      </c>
      <c r="K1558">
        <v>45</v>
      </c>
      <c r="L1558" t="str">
        <f>IF(AND(CallLog[[#This Row],[Answered (Y/N)]]="Y", CallLog[[#This Row],[Speed of answer in seconds]]&lt;=20),
    "Within",
    "Breach")</f>
        <v>Breach</v>
      </c>
      <c r="M1558" s="1">
        <v>2.685185185185185E-3</v>
      </c>
      <c r="N1558">
        <v>4</v>
      </c>
    </row>
    <row r="1559" spans="1:14" x14ac:dyDescent="0.3">
      <c r="A1559" t="s">
        <v>1610</v>
      </c>
      <c r="B1559" t="s">
        <v>16</v>
      </c>
      <c r="C1559" t="s">
        <v>1571</v>
      </c>
      <c r="D1559" s="1">
        <v>0.62299768518518517</v>
      </c>
      <c r="E1559" s="2">
        <f>CallLog[[#This Row],[Date]]+CallLog[[#This Row],[Time]]</f>
        <v>44224.622997685183</v>
      </c>
      <c r="F1559" s="1" t="str">
        <f>TEXT(CallLog[[#This Row],[Date]],"dddd")</f>
        <v>Thursday</v>
      </c>
      <c r="G1559" s="3">
        <f>HOUR(CallLog[[#This Row],[Time]])</f>
        <v>14</v>
      </c>
      <c r="H1559" t="s">
        <v>17</v>
      </c>
      <c r="I1559" t="s">
        <v>18</v>
      </c>
      <c r="J1559" t="s">
        <v>18</v>
      </c>
      <c r="L1559" t="str">
        <f>IF(AND(CallLog[[#This Row],[Answered (Y/N)]]="Y", CallLog[[#This Row],[Speed of answer in seconds]]&lt;=20),
    "Within",
    "Breach")</f>
        <v>Breach</v>
      </c>
    </row>
    <row r="1560" spans="1:14" x14ac:dyDescent="0.3">
      <c r="A1560" t="s">
        <v>1611</v>
      </c>
      <c r="B1560" t="s">
        <v>22</v>
      </c>
      <c r="C1560" t="s">
        <v>1571</v>
      </c>
      <c r="D1560" s="1">
        <v>0.66200231481481486</v>
      </c>
      <c r="E1560" s="2">
        <f>CallLog[[#This Row],[Date]]+CallLog[[#This Row],[Time]]</f>
        <v>44224.662002314813</v>
      </c>
      <c r="F1560" s="1" t="str">
        <f>TEXT(CallLog[[#This Row],[Date]],"dddd")</f>
        <v>Thursday</v>
      </c>
      <c r="G1560" s="3">
        <f>HOUR(CallLog[[#This Row],[Time]])</f>
        <v>15</v>
      </c>
      <c r="H1560" t="s">
        <v>17</v>
      </c>
      <c r="I1560" t="s">
        <v>14</v>
      </c>
      <c r="J1560" t="s">
        <v>14</v>
      </c>
      <c r="K1560">
        <v>93</v>
      </c>
      <c r="L1560" t="str">
        <f>IF(AND(CallLog[[#This Row],[Answered (Y/N)]]="Y", CallLog[[#This Row],[Speed of answer in seconds]]&lt;=20),
    "Within",
    "Breach")</f>
        <v>Breach</v>
      </c>
      <c r="M1560" s="1">
        <v>4.5254629629629629E-3</v>
      </c>
      <c r="N1560">
        <v>3</v>
      </c>
    </row>
    <row r="1561" spans="1:14" x14ac:dyDescent="0.3">
      <c r="A1561" t="s">
        <v>1612</v>
      </c>
      <c r="B1561" t="s">
        <v>34</v>
      </c>
      <c r="C1561" t="s">
        <v>1571</v>
      </c>
      <c r="D1561" s="1">
        <v>0.66200231481481486</v>
      </c>
      <c r="E1561" s="2">
        <f>CallLog[[#This Row],[Date]]+CallLog[[#This Row],[Time]]</f>
        <v>44224.662002314813</v>
      </c>
      <c r="F1561" s="1" t="str">
        <f>TEXT(CallLog[[#This Row],[Date]],"dddd")</f>
        <v>Thursday</v>
      </c>
      <c r="G1561" s="3">
        <f>HOUR(CallLog[[#This Row],[Time]])</f>
        <v>15</v>
      </c>
      <c r="H1561" t="s">
        <v>24</v>
      </c>
      <c r="I1561" t="s">
        <v>14</v>
      </c>
      <c r="J1561" t="s">
        <v>14</v>
      </c>
      <c r="K1561">
        <v>61</v>
      </c>
      <c r="L1561" t="str">
        <f>IF(AND(CallLog[[#This Row],[Answered (Y/N)]]="Y", CallLog[[#This Row],[Speed of answer in seconds]]&lt;=20),
    "Within",
    "Breach")</f>
        <v>Breach</v>
      </c>
      <c r="M1561" s="1">
        <v>1.4004629629629629E-3</v>
      </c>
      <c r="N1561">
        <v>1</v>
      </c>
    </row>
    <row r="1562" spans="1:14" x14ac:dyDescent="0.3">
      <c r="A1562" t="s">
        <v>1613</v>
      </c>
      <c r="B1562" t="s">
        <v>11</v>
      </c>
      <c r="C1562" t="s">
        <v>1571</v>
      </c>
      <c r="D1562" s="1">
        <v>0.67599537037037039</v>
      </c>
      <c r="E1562" s="2">
        <f>CallLog[[#This Row],[Date]]+CallLog[[#This Row],[Time]]</f>
        <v>44224.675995370373</v>
      </c>
      <c r="F1562" s="1" t="str">
        <f>TEXT(CallLog[[#This Row],[Date]],"dddd")</f>
        <v>Thursday</v>
      </c>
      <c r="G1562" s="3">
        <f>HOUR(CallLog[[#This Row],[Time]])</f>
        <v>16</v>
      </c>
      <c r="H1562" t="s">
        <v>32</v>
      </c>
      <c r="I1562" t="s">
        <v>18</v>
      </c>
      <c r="J1562" t="s">
        <v>18</v>
      </c>
      <c r="L1562" t="str">
        <f>IF(AND(CallLog[[#This Row],[Answered (Y/N)]]="Y", CallLog[[#This Row],[Speed of answer in seconds]]&lt;=20),
    "Within",
    "Breach")</f>
        <v>Breach</v>
      </c>
    </row>
    <row r="1563" spans="1:14" x14ac:dyDescent="0.3">
      <c r="A1563" t="s">
        <v>1614</v>
      </c>
      <c r="B1563" t="s">
        <v>31</v>
      </c>
      <c r="C1563" t="s">
        <v>1571</v>
      </c>
      <c r="D1563" s="1">
        <v>0.67599537037037039</v>
      </c>
      <c r="E1563" s="2">
        <f>CallLog[[#This Row],[Date]]+CallLog[[#This Row],[Time]]</f>
        <v>44224.675995370373</v>
      </c>
      <c r="F1563" s="1" t="str">
        <f>TEXT(CallLog[[#This Row],[Date]],"dddd")</f>
        <v>Thursday</v>
      </c>
      <c r="G1563" s="3">
        <f>HOUR(CallLog[[#This Row],[Time]])</f>
        <v>16</v>
      </c>
      <c r="H1563" t="s">
        <v>32</v>
      </c>
      <c r="I1563" t="s">
        <v>14</v>
      </c>
      <c r="J1563" t="s">
        <v>14</v>
      </c>
      <c r="K1563">
        <v>66</v>
      </c>
      <c r="L1563" t="str">
        <f>IF(AND(CallLog[[#This Row],[Answered (Y/N)]]="Y", CallLog[[#This Row],[Speed of answer in seconds]]&lt;=20),
    "Within",
    "Breach")</f>
        <v>Breach</v>
      </c>
      <c r="M1563" s="1">
        <v>1.8055555555555555E-3</v>
      </c>
      <c r="N1563">
        <v>3</v>
      </c>
    </row>
    <row r="1564" spans="1:14" x14ac:dyDescent="0.3">
      <c r="A1564" t="s">
        <v>1615</v>
      </c>
      <c r="B1564" t="s">
        <v>22</v>
      </c>
      <c r="C1564" t="s">
        <v>1571</v>
      </c>
      <c r="D1564" s="1">
        <v>0.68</v>
      </c>
      <c r="E1564" s="2">
        <f>CallLog[[#This Row],[Date]]+CallLog[[#This Row],[Time]]</f>
        <v>44224.68</v>
      </c>
      <c r="F1564" s="1" t="str">
        <f>TEXT(CallLog[[#This Row],[Date]],"dddd")</f>
        <v>Thursday</v>
      </c>
      <c r="G1564" s="3">
        <f>HOUR(CallLog[[#This Row],[Time]])</f>
        <v>16</v>
      </c>
      <c r="H1564" t="s">
        <v>13</v>
      </c>
      <c r="I1564" t="s">
        <v>14</v>
      </c>
      <c r="J1564" t="s">
        <v>14</v>
      </c>
      <c r="K1564">
        <v>29</v>
      </c>
      <c r="L1564" t="str">
        <f>IF(AND(CallLog[[#This Row],[Answered (Y/N)]]="Y", CallLog[[#This Row],[Speed of answer in seconds]]&lt;=20),
    "Within",
    "Breach")</f>
        <v>Breach</v>
      </c>
      <c r="M1564" s="1">
        <v>3.1828703703703702E-3</v>
      </c>
      <c r="N1564">
        <v>3</v>
      </c>
    </row>
    <row r="1565" spans="1:14" x14ac:dyDescent="0.3">
      <c r="A1565" t="s">
        <v>1616</v>
      </c>
      <c r="B1565" t="s">
        <v>22</v>
      </c>
      <c r="C1565" t="s">
        <v>1571</v>
      </c>
      <c r="D1565" s="1">
        <v>0.68</v>
      </c>
      <c r="E1565" s="2">
        <f>CallLog[[#This Row],[Date]]+CallLog[[#This Row],[Time]]</f>
        <v>44224.68</v>
      </c>
      <c r="F1565" s="1" t="str">
        <f>TEXT(CallLog[[#This Row],[Date]],"dddd")</f>
        <v>Thursday</v>
      </c>
      <c r="G1565" s="3">
        <f>HOUR(CallLog[[#This Row],[Time]])</f>
        <v>16</v>
      </c>
      <c r="H1565" t="s">
        <v>29</v>
      </c>
      <c r="I1565" t="s">
        <v>14</v>
      </c>
      <c r="J1565" t="s">
        <v>14</v>
      </c>
      <c r="K1565">
        <v>67</v>
      </c>
      <c r="L1565" t="str">
        <f>IF(AND(CallLog[[#This Row],[Answered (Y/N)]]="Y", CallLog[[#This Row],[Speed of answer in seconds]]&lt;=20),
    "Within",
    "Breach")</f>
        <v>Breach</v>
      </c>
      <c r="M1565" s="1">
        <v>4.6527777777777774E-3</v>
      </c>
      <c r="N1565">
        <v>2</v>
      </c>
    </row>
    <row r="1566" spans="1:14" x14ac:dyDescent="0.3">
      <c r="A1566" t="s">
        <v>1617</v>
      </c>
      <c r="B1566" t="s">
        <v>47</v>
      </c>
      <c r="C1566" t="s">
        <v>1571</v>
      </c>
      <c r="D1566" s="1">
        <v>0.69499999999999995</v>
      </c>
      <c r="E1566" s="2">
        <f>CallLog[[#This Row],[Date]]+CallLog[[#This Row],[Time]]</f>
        <v>44224.695</v>
      </c>
      <c r="F1566" s="1" t="str">
        <f>TEXT(CallLog[[#This Row],[Date]],"dddd")</f>
        <v>Thursday</v>
      </c>
      <c r="G1566" s="3">
        <f>HOUR(CallLog[[#This Row],[Time]])</f>
        <v>16</v>
      </c>
      <c r="H1566" t="s">
        <v>13</v>
      </c>
      <c r="I1566" t="s">
        <v>14</v>
      </c>
      <c r="J1566" t="s">
        <v>14</v>
      </c>
      <c r="K1566">
        <v>94</v>
      </c>
      <c r="L1566" t="str">
        <f>IF(AND(CallLog[[#This Row],[Answered (Y/N)]]="Y", CallLog[[#This Row],[Speed of answer in seconds]]&lt;=20),
    "Within",
    "Breach")</f>
        <v>Breach</v>
      </c>
      <c r="M1566" s="1">
        <v>1.1921296296296296E-3</v>
      </c>
      <c r="N1566">
        <v>4</v>
      </c>
    </row>
    <row r="1567" spans="1:14" x14ac:dyDescent="0.3">
      <c r="A1567" t="s">
        <v>1618</v>
      </c>
      <c r="B1567" t="s">
        <v>34</v>
      </c>
      <c r="C1567" t="s">
        <v>1571</v>
      </c>
      <c r="D1567" s="1">
        <v>0.69499999999999995</v>
      </c>
      <c r="E1567" s="2">
        <f>CallLog[[#This Row],[Date]]+CallLog[[#This Row],[Time]]</f>
        <v>44224.695</v>
      </c>
      <c r="F1567" s="1" t="str">
        <f>TEXT(CallLog[[#This Row],[Date]],"dddd")</f>
        <v>Thursday</v>
      </c>
      <c r="G1567" s="3">
        <f>HOUR(CallLog[[#This Row],[Time]])</f>
        <v>16</v>
      </c>
      <c r="H1567" t="s">
        <v>32</v>
      </c>
      <c r="I1567" t="s">
        <v>14</v>
      </c>
      <c r="J1567" t="s">
        <v>18</v>
      </c>
      <c r="K1567">
        <v>80</v>
      </c>
      <c r="L1567" t="str">
        <f>IF(AND(CallLog[[#This Row],[Answered (Y/N)]]="Y", CallLog[[#This Row],[Speed of answer in seconds]]&lt;=20),
    "Within",
    "Breach")</f>
        <v>Breach</v>
      </c>
      <c r="M1567" s="1">
        <v>3.472222222222222E-3</v>
      </c>
      <c r="N1567">
        <v>4</v>
      </c>
    </row>
    <row r="1568" spans="1:14" x14ac:dyDescent="0.3">
      <c r="A1568" t="s">
        <v>1619</v>
      </c>
      <c r="B1568" t="s">
        <v>47</v>
      </c>
      <c r="C1568" t="s">
        <v>1571</v>
      </c>
      <c r="D1568" s="1">
        <v>0.71099537037037042</v>
      </c>
      <c r="E1568" s="2">
        <f>CallLog[[#This Row],[Date]]+CallLog[[#This Row],[Time]]</f>
        <v>44224.710995370369</v>
      </c>
      <c r="F1568" s="1" t="str">
        <f>TEXT(CallLog[[#This Row],[Date]],"dddd")</f>
        <v>Thursday</v>
      </c>
      <c r="G1568" s="3">
        <f>HOUR(CallLog[[#This Row],[Time]])</f>
        <v>17</v>
      </c>
      <c r="H1568" t="s">
        <v>24</v>
      </c>
      <c r="I1568" t="s">
        <v>14</v>
      </c>
      <c r="J1568" t="s">
        <v>14</v>
      </c>
      <c r="K1568">
        <v>27</v>
      </c>
      <c r="L1568" t="str">
        <f>IF(AND(CallLog[[#This Row],[Answered (Y/N)]]="Y", CallLog[[#This Row],[Speed of answer in seconds]]&lt;=20),
    "Within",
    "Breach")</f>
        <v>Breach</v>
      </c>
      <c r="M1568" s="1">
        <v>2.2685185185185187E-3</v>
      </c>
      <c r="N1568">
        <v>4</v>
      </c>
    </row>
    <row r="1569" spans="1:14" x14ac:dyDescent="0.3">
      <c r="A1569" t="s">
        <v>1620</v>
      </c>
      <c r="B1569" t="s">
        <v>47</v>
      </c>
      <c r="C1569" t="s">
        <v>1571</v>
      </c>
      <c r="D1569" s="1">
        <v>0.71099537037037042</v>
      </c>
      <c r="E1569" s="2">
        <f>CallLog[[#This Row],[Date]]+CallLog[[#This Row],[Time]]</f>
        <v>44224.710995370369</v>
      </c>
      <c r="F1569" s="1" t="str">
        <f>TEXT(CallLog[[#This Row],[Date]],"dddd")</f>
        <v>Thursday</v>
      </c>
      <c r="G1569" s="3">
        <f>HOUR(CallLog[[#This Row],[Time]])</f>
        <v>17</v>
      </c>
      <c r="H1569" t="s">
        <v>32</v>
      </c>
      <c r="I1569" t="s">
        <v>14</v>
      </c>
      <c r="J1569" t="s">
        <v>14</v>
      </c>
      <c r="K1569">
        <v>41</v>
      </c>
      <c r="L1569" t="str">
        <f>IF(AND(CallLog[[#This Row],[Answered (Y/N)]]="Y", CallLog[[#This Row],[Speed of answer in seconds]]&lt;=20),
    "Within",
    "Breach")</f>
        <v>Breach</v>
      </c>
      <c r="M1569" s="1">
        <v>2.2800925925925927E-3</v>
      </c>
      <c r="N1569">
        <v>4</v>
      </c>
    </row>
    <row r="1570" spans="1:14" x14ac:dyDescent="0.3">
      <c r="A1570" t="s">
        <v>1621</v>
      </c>
      <c r="B1570" t="s">
        <v>38</v>
      </c>
      <c r="C1570" t="s">
        <v>1571</v>
      </c>
      <c r="D1570" s="1">
        <v>0.72</v>
      </c>
      <c r="E1570" s="2">
        <f>CallLog[[#This Row],[Date]]+CallLog[[#This Row],[Time]]</f>
        <v>44224.72</v>
      </c>
      <c r="F1570" s="1" t="str">
        <f>TEXT(CallLog[[#This Row],[Date]],"dddd")</f>
        <v>Thursday</v>
      </c>
      <c r="G1570" s="3">
        <f>HOUR(CallLog[[#This Row],[Time]])</f>
        <v>17</v>
      </c>
      <c r="H1570" t="s">
        <v>17</v>
      </c>
      <c r="I1570" t="s">
        <v>14</v>
      </c>
      <c r="J1570" t="s">
        <v>14</v>
      </c>
      <c r="K1570">
        <v>84</v>
      </c>
      <c r="L1570" t="str">
        <f>IF(AND(CallLog[[#This Row],[Answered (Y/N)]]="Y", CallLog[[#This Row],[Speed of answer in seconds]]&lt;=20),
    "Within",
    "Breach")</f>
        <v>Breach</v>
      </c>
      <c r="M1570" s="1">
        <v>2.9745370370370373E-3</v>
      </c>
      <c r="N1570">
        <v>4</v>
      </c>
    </row>
    <row r="1571" spans="1:14" x14ac:dyDescent="0.3">
      <c r="A1571" t="s">
        <v>1622</v>
      </c>
      <c r="B1571" t="s">
        <v>22</v>
      </c>
      <c r="C1571" t="s">
        <v>1571</v>
      </c>
      <c r="D1571" s="1">
        <v>0.72</v>
      </c>
      <c r="E1571" s="2">
        <f>CallLog[[#This Row],[Date]]+CallLog[[#This Row],[Time]]</f>
        <v>44224.72</v>
      </c>
      <c r="F1571" s="1" t="str">
        <f>TEXT(CallLog[[#This Row],[Date]],"dddd")</f>
        <v>Thursday</v>
      </c>
      <c r="G1571" s="3">
        <f>HOUR(CallLog[[#This Row],[Time]])</f>
        <v>17</v>
      </c>
      <c r="H1571" t="s">
        <v>13</v>
      </c>
      <c r="I1571" t="s">
        <v>14</v>
      </c>
      <c r="J1571" t="s">
        <v>14</v>
      </c>
      <c r="K1571">
        <v>121</v>
      </c>
      <c r="L1571" t="str">
        <f>IF(AND(CallLog[[#This Row],[Answered (Y/N)]]="Y", CallLog[[#This Row],[Speed of answer in seconds]]&lt;=20),
    "Within",
    "Breach")</f>
        <v>Breach</v>
      </c>
      <c r="M1571" s="1">
        <v>1.3541666666666667E-3</v>
      </c>
      <c r="N1571">
        <v>4</v>
      </c>
    </row>
    <row r="1572" spans="1:14" x14ac:dyDescent="0.3">
      <c r="A1572" t="s">
        <v>1623</v>
      </c>
      <c r="B1572" t="s">
        <v>11</v>
      </c>
      <c r="C1572" t="s">
        <v>1571</v>
      </c>
      <c r="D1572" s="1">
        <v>0.745</v>
      </c>
      <c r="E1572" s="2">
        <f>CallLog[[#This Row],[Date]]+CallLog[[#This Row],[Time]]</f>
        <v>44224.745000000003</v>
      </c>
      <c r="F1572" s="1" t="str">
        <f>TEXT(CallLog[[#This Row],[Date]],"dddd")</f>
        <v>Thursday</v>
      </c>
      <c r="G1572" s="3">
        <f>HOUR(CallLog[[#This Row],[Time]])</f>
        <v>17</v>
      </c>
      <c r="H1572" t="s">
        <v>24</v>
      </c>
      <c r="I1572" t="s">
        <v>14</v>
      </c>
      <c r="J1572" t="s">
        <v>14</v>
      </c>
      <c r="K1572">
        <v>61</v>
      </c>
      <c r="L1572" t="str">
        <f>IF(AND(CallLog[[#This Row],[Answered (Y/N)]]="Y", CallLog[[#This Row],[Speed of answer in seconds]]&lt;=20),
    "Within",
    "Breach")</f>
        <v>Breach</v>
      </c>
      <c r="M1572" s="1">
        <v>4.9768518518518521E-4</v>
      </c>
      <c r="N1572">
        <v>1</v>
      </c>
    </row>
    <row r="1573" spans="1:14" x14ac:dyDescent="0.3">
      <c r="A1573" t="s">
        <v>1624</v>
      </c>
      <c r="B1573" t="s">
        <v>38</v>
      </c>
      <c r="C1573" t="s">
        <v>1571</v>
      </c>
      <c r="D1573" s="1">
        <v>0.745</v>
      </c>
      <c r="E1573" s="2">
        <f>CallLog[[#This Row],[Date]]+CallLog[[#This Row],[Time]]</f>
        <v>44224.745000000003</v>
      </c>
      <c r="F1573" s="1" t="str">
        <f>TEXT(CallLog[[#This Row],[Date]],"dddd")</f>
        <v>Thursday</v>
      </c>
      <c r="G1573" s="3">
        <f>HOUR(CallLog[[#This Row],[Time]])</f>
        <v>17</v>
      </c>
      <c r="H1573" t="s">
        <v>29</v>
      </c>
      <c r="I1573" t="s">
        <v>18</v>
      </c>
      <c r="J1573" t="s">
        <v>18</v>
      </c>
      <c r="L1573" t="str">
        <f>IF(AND(CallLog[[#This Row],[Answered (Y/N)]]="Y", CallLog[[#This Row],[Speed of answer in seconds]]&lt;=20),
    "Within",
    "Breach")</f>
        <v>Breach</v>
      </c>
    </row>
    <row r="1574" spans="1:14" x14ac:dyDescent="0.3">
      <c r="A1574" t="s">
        <v>1625</v>
      </c>
      <c r="B1574" t="s">
        <v>11</v>
      </c>
      <c r="C1574" t="s">
        <v>1571</v>
      </c>
      <c r="D1574" s="1">
        <v>0.75</v>
      </c>
      <c r="E1574" s="2">
        <f>CallLog[[#This Row],[Date]]+CallLog[[#This Row],[Time]]</f>
        <v>44224.75</v>
      </c>
      <c r="F1574" s="1" t="str">
        <f>TEXT(CallLog[[#This Row],[Date]],"dddd")</f>
        <v>Thursday</v>
      </c>
      <c r="G1574" s="3">
        <f>HOUR(CallLog[[#This Row],[Time]])</f>
        <v>18</v>
      </c>
      <c r="H1574" t="s">
        <v>24</v>
      </c>
      <c r="I1574" t="s">
        <v>14</v>
      </c>
      <c r="J1574" t="s">
        <v>14</v>
      </c>
      <c r="K1574">
        <v>54</v>
      </c>
      <c r="L1574" t="str">
        <f>IF(AND(CallLog[[#This Row],[Answered (Y/N)]]="Y", CallLog[[#This Row],[Speed of answer in seconds]]&lt;=20),
    "Within",
    "Breach")</f>
        <v>Breach</v>
      </c>
      <c r="M1574" s="1">
        <v>4.2939814814814811E-3</v>
      </c>
      <c r="N1574">
        <v>2</v>
      </c>
    </row>
    <row r="1575" spans="1:14" x14ac:dyDescent="0.3">
      <c r="A1575" t="s">
        <v>1626</v>
      </c>
      <c r="B1575" t="s">
        <v>20</v>
      </c>
      <c r="C1575" t="s">
        <v>1571</v>
      </c>
      <c r="D1575" s="1">
        <v>0.75</v>
      </c>
      <c r="E1575" s="2">
        <f>CallLog[[#This Row],[Date]]+CallLog[[#This Row],[Time]]</f>
        <v>44224.75</v>
      </c>
      <c r="F1575" s="1" t="str">
        <f>TEXT(CallLog[[#This Row],[Date]],"dddd")</f>
        <v>Thursday</v>
      </c>
      <c r="G1575" s="3">
        <f>HOUR(CallLog[[#This Row],[Time]])</f>
        <v>18</v>
      </c>
      <c r="H1575" t="s">
        <v>32</v>
      </c>
      <c r="I1575" t="s">
        <v>14</v>
      </c>
      <c r="J1575" t="s">
        <v>14</v>
      </c>
      <c r="K1575">
        <v>82</v>
      </c>
      <c r="L1575" t="str">
        <f>IF(AND(CallLog[[#This Row],[Answered (Y/N)]]="Y", CallLog[[#This Row],[Speed of answer in seconds]]&lt;=20),
    "Within",
    "Breach")</f>
        <v>Breach</v>
      </c>
      <c r="M1575" s="1">
        <v>4.0046296296296297E-3</v>
      </c>
      <c r="N1575">
        <v>5</v>
      </c>
    </row>
    <row r="1576" spans="1:14" x14ac:dyDescent="0.3">
      <c r="A1576" t="s">
        <v>1627</v>
      </c>
      <c r="B1576" t="s">
        <v>22</v>
      </c>
      <c r="C1576" t="s">
        <v>1628</v>
      </c>
      <c r="D1576" s="1">
        <v>0.37700231481481483</v>
      </c>
      <c r="E1576" s="2">
        <f>CallLog[[#This Row],[Date]]+CallLog[[#This Row],[Time]]</f>
        <v>44225.377002314817</v>
      </c>
      <c r="F1576" s="1" t="str">
        <f>TEXT(CallLog[[#This Row],[Date]],"dddd")</f>
        <v>Friday</v>
      </c>
      <c r="G1576" s="3">
        <f>HOUR(CallLog[[#This Row],[Time]])</f>
        <v>9</v>
      </c>
      <c r="H1576" t="s">
        <v>29</v>
      </c>
      <c r="I1576" t="s">
        <v>14</v>
      </c>
      <c r="J1576" t="s">
        <v>14</v>
      </c>
      <c r="K1576">
        <v>55</v>
      </c>
      <c r="L1576" t="str">
        <f>IF(AND(CallLog[[#This Row],[Answered (Y/N)]]="Y", CallLog[[#This Row],[Speed of answer in seconds]]&lt;=20),
    "Within",
    "Breach")</f>
        <v>Breach</v>
      </c>
      <c r="M1576" s="1">
        <v>2.1759259259259258E-3</v>
      </c>
      <c r="N1576">
        <v>4</v>
      </c>
    </row>
    <row r="1577" spans="1:14" x14ac:dyDescent="0.3">
      <c r="A1577" t="s">
        <v>1629</v>
      </c>
      <c r="B1577" t="s">
        <v>31</v>
      </c>
      <c r="C1577" t="s">
        <v>1628</v>
      </c>
      <c r="D1577" s="1">
        <v>0.37700231481481483</v>
      </c>
      <c r="E1577" s="2">
        <f>CallLog[[#This Row],[Date]]+CallLog[[#This Row],[Time]]</f>
        <v>44225.377002314817</v>
      </c>
      <c r="F1577" s="1" t="str">
        <f>TEXT(CallLog[[#This Row],[Date]],"dddd")</f>
        <v>Friday</v>
      </c>
      <c r="G1577" s="3">
        <f>HOUR(CallLog[[#This Row],[Time]])</f>
        <v>9</v>
      </c>
      <c r="H1577" t="s">
        <v>29</v>
      </c>
      <c r="I1577" t="s">
        <v>18</v>
      </c>
      <c r="J1577" t="s">
        <v>18</v>
      </c>
      <c r="L1577" t="str">
        <f>IF(AND(CallLog[[#This Row],[Answered (Y/N)]]="Y", CallLog[[#This Row],[Speed of answer in seconds]]&lt;=20),
    "Within",
    "Breach")</f>
        <v>Breach</v>
      </c>
    </row>
    <row r="1578" spans="1:14" x14ac:dyDescent="0.3">
      <c r="A1578" t="s">
        <v>1630</v>
      </c>
      <c r="B1578" t="s">
        <v>47</v>
      </c>
      <c r="C1578" t="s">
        <v>1628</v>
      </c>
      <c r="D1578" s="1">
        <v>0.38099537037037035</v>
      </c>
      <c r="E1578" s="2">
        <f>CallLog[[#This Row],[Date]]+CallLog[[#This Row],[Time]]</f>
        <v>44225.380995370368</v>
      </c>
      <c r="F1578" s="1" t="str">
        <f>TEXT(CallLog[[#This Row],[Date]],"dddd")</f>
        <v>Friday</v>
      </c>
      <c r="G1578" s="3">
        <f>HOUR(CallLog[[#This Row],[Time]])</f>
        <v>9</v>
      </c>
      <c r="H1578" t="s">
        <v>24</v>
      </c>
      <c r="I1578" t="s">
        <v>14</v>
      </c>
      <c r="J1578" t="s">
        <v>14</v>
      </c>
      <c r="K1578">
        <v>87</v>
      </c>
      <c r="L1578" t="str">
        <f>IF(AND(CallLog[[#This Row],[Answered (Y/N)]]="Y", CallLog[[#This Row],[Speed of answer in seconds]]&lt;=20),
    "Within",
    "Breach")</f>
        <v>Breach</v>
      </c>
      <c r="M1578" s="1">
        <v>7.9861111111111116E-4</v>
      </c>
      <c r="N1578">
        <v>5</v>
      </c>
    </row>
    <row r="1579" spans="1:14" x14ac:dyDescent="0.3">
      <c r="A1579" t="s">
        <v>1631</v>
      </c>
      <c r="B1579" t="s">
        <v>22</v>
      </c>
      <c r="C1579" t="s">
        <v>1628</v>
      </c>
      <c r="D1579" s="1">
        <v>0.38099537037037035</v>
      </c>
      <c r="E1579" s="2">
        <f>CallLog[[#This Row],[Date]]+CallLog[[#This Row],[Time]]</f>
        <v>44225.380995370368</v>
      </c>
      <c r="F1579" s="1" t="str">
        <f>TEXT(CallLog[[#This Row],[Date]],"dddd")</f>
        <v>Friday</v>
      </c>
      <c r="G1579" s="3">
        <f>HOUR(CallLog[[#This Row],[Time]])</f>
        <v>9</v>
      </c>
      <c r="H1579" t="s">
        <v>24</v>
      </c>
      <c r="I1579" t="s">
        <v>18</v>
      </c>
      <c r="J1579" t="s">
        <v>18</v>
      </c>
      <c r="L1579" t="str">
        <f>IF(AND(CallLog[[#This Row],[Answered (Y/N)]]="Y", CallLog[[#This Row],[Speed of answer in seconds]]&lt;=20),
    "Within",
    "Breach")</f>
        <v>Breach</v>
      </c>
    </row>
    <row r="1580" spans="1:14" x14ac:dyDescent="0.3">
      <c r="A1580" t="s">
        <v>1632</v>
      </c>
      <c r="B1580" t="s">
        <v>22</v>
      </c>
      <c r="C1580" t="s">
        <v>1628</v>
      </c>
      <c r="D1580" s="1">
        <v>0.38900462962962962</v>
      </c>
      <c r="E1580" s="2">
        <f>CallLog[[#This Row],[Date]]+CallLog[[#This Row],[Time]]</f>
        <v>44225.389004629629</v>
      </c>
      <c r="F1580" s="1" t="str">
        <f>TEXT(CallLog[[#This Row],[Date]],"dddd")</f>
        <v>Friday</v>
      </c>
      <c r="G1580" s="3">
        <f>HOUR(CallLog[[#This Row],[Time]])</f>
        <v>9</v>
      </c>
      <c r="H1580" t="s">
        <v>29</v>
      </c>
      <c r="I1580" t="s">
        <v>14</v>
      </c>
      <c r="J1580" t="s">
        <v>14</v>
      </c>
      <c r="K1580">
        <v>22</v>
      </c>
      <c r="L1580" t="str">
        <f>IF(AND(CallLog[[#This Row],[Answered (Y/N)]]="Y", CallLog[[#This Row],[Speed of answer in seconds]]&lt;=20),
    "Within",
    "Breach")</f>
        <v>Breach</v>
      </c>
      <c r="M1580" s="1">
        <v>3.4375E-3</v>
      </c>
      <c r="N1580">
        <v>3</v>
      </c>
    </row>
    <row r="1581" spans="1:14" x14ac:dyDescent="0.3">
      <c r="A1581" t="s">
        <v>1633</v>
      </c>
      <c r="B1581" t="s">
        <v>20</v>
      </c>
      <c r="C1581" t="s">
        <v>1628</v>
      </c>
      <c r="D1581" s="1">
        <v>0.38900462962962962</v>
      </c>
      <c r="E1581" s="2">
        <f>CallLog[[#This Row],[Date]]+CallLog[[#This Row],[Time]]</f>
        <v>44225.389004629629</v>
      </c>
      <c r="F1581" s="1" t="str">
        <f>TEXT(CallLog[[#This Row],[Date]],"dddd")</f>
        <v>Friday</v>
      </c>
      <c r="G1581" s="3">
        <f>HOUR(CallLog[[#This Row],[Time]])</f>
        <v>9</v>
      </c>
      <c r="H1581" t="s">
        <v>24</v>
      </c>
      <c r="I1581" t="s">
        <v>18</v>
      </c>
      <c r="J1581" t="s">
        <v>18</v>
      </c>
      <c r="L1581" t="str">
        <f>IF(AND(CallLog[[#This Row],[Answered (Y/N)]]="Y", CallLog[[#This Row],[Speed of answer in seconds]]&lt;=20),
    "Within",
    "Breach")</f>
        <v>Breach</v>
      </c>
    </row>
    <row r="1582" spans="1:14" x14ac:dyDescent="0.3">
      <c r="A1582" t="s">
        <v>1634</v>
      </c>
      <c r="B1582" t="s">
        <v>47</v>
      </c>
      <c r="C1582" t="s">
        <v>1628</v>
      </c>
      <c r="D1582" s="1">
        <v>0.41499999999999998</v>
      </c>
      <c r="E1582" s="2">
        <f>CallLog[[#This Row],[Date]]+CallLog[[#This Row],[Time]]</f>
        <v>44225.415000000001</v>
      </c>
      <c r="F1582" s="1" t="str">
        <f>TEXT(CallLog[[#This Row],[Date]],"dddd")</f>
        <v>Friday</v>
      </c>
      <c r="G1582" s="3">
        <f>HOUR(CallLog[[#This Row],[Time]])</f>
        <v>9</v>
      </c>
      <c r="H1582" t="s">
        <v>32</v>
      </c>
      <c r="I1582" t="s">
        <v>14</v>
      </c>
      <c r="J1582" t="s">
        <v>14</v>
      </c>
      <c r="K1582">
        <v>95</v>
      </c>
      <c r="L1582" t="str">
        <f>IF(AND(CallLog[[#This Row],[Answered (Y/N)]]="Y", CallLog[[#This Row],[Speed of answer in seconds]]&lt;=20),
    "Within",
    "Breach")</f>
        <v>Breach</v>
      </c>
      <c r="M1582" s="1">
        <v>1.2268518518518518E-3</v>
      </c>
      <c r="N1582">
        <v>5</v>
      </c>
    </row>
    <row r="1583" spans="1:14" x14ac:dyDescent="0.3">
      <c r="A1583" t="s">
        <v>1635</v>
      </c>
      <c r="B1583" t="s">
        <v>47</v>
      </c>
      <c r="C1583" t="s">
        <v>1628</v>
      </c>
      <c r="D1583" s="1">
        <v>0.41499999999999998</v>
      </c>
      <c r="E1583" s="2">
        <f>CallLog[[#This Row],[Date]]+CallLog[[#This Row],[Time]]</f>
        <v>44225.415000000001</v>
      </c>
      <c r="F1583" s="1" t="str">
        <f>TEXT(CallLog[[#This Row],[Date]],"dddd")</f>
        <v>Friday</v>
      </c>
      <c r="G1583" s="3">
        <f>HOUR(CallLog[[#This Row],[Time]])</f>
        <v>9</v>
      </c>
      <c r="H1583" t="s">
        <v>17</v>
      </c>
      <c r="I1583" t="s">
        <v>14</v>
      </c>
      <c r="J1583" t="s">
        <v>14</v>
      </c>
      <c r="K1583">
        <v>23</v>
      </c>
      <c r="L1583" t="str">
        <f>IF(AND(CallLog[[#This Row],[Answered (Y/N)]]="Y", CallLog[[#This Row],[Speed of answer in seconds]]&lt;=20),
    "Within",
    "Breach")</f>
        <v>Breach</v>
      </c>
      <c r="M1583" s="1">
        <v>4.340277777777778E-3</v>
      </c>
      <c r="N1583">
        <v>4</v>
      </c>
    </row>
    <row r="1584" spans="1:14" x14ac:dyDescent="0.3">
      <c r="A1584" t="s">
        <v>1636</v>
      </c>
      <c r="B1584" t="s">
        <v>22</v>
      </c>
      <c r="C1584" t="s">
        <v>1628</v>
      </c>
      <c r="D1584" s="1">
        <v>0.43099537037037039</v>
      </c>
      <c r="E1584" s="2">
        <f>CallLog[[#This Row],[Date]]+CallLog[[#This Row],[Time]]</f>
        <v>44225.430995370371</v>
      </c>
      <c r="F1584" s="1" t="str">
        <f>TEXT(CallLog[[#This Row],[Date]],"dddd")</f>
        <v>Friday</v>
      </c>
      <c r="G1584" s="3">
        <f>HOUR(CallLog[[#This Row],[Time]])</f>
        <v>10</v>
      </c>
      <c r="H1584" t="s">
        <v>29</v>
      </c>
      <c r="I1584" t="s">
        <v>14</v>
      </c>
      <c r="J1584" t="s">
        <v>14</v>
      </c>
      <c r="K1584">
        <v>43</v>
      </c>
      <c r="L1584" t="str">
        <f>IF(AND(CallLog[[#This Row],[Answered (Y/N)]]="Y", CallLog[[#This Row],[Speed of answer in seconds]]&lt;=20),
    "Within",
    "Breach")</f>
        <v>Breach</v>
      </c>
      <c r="M1584" s="1">
        <v>1.4467592592592592E-3</v>
      </c>
      <c r="N1584">
        <v>4</v>
      </c>
    </row>
    <row r="1585" spans="1:14" x14ac:dyDescent="0.3">
      <c r="A1585" t="s">
        <v>1637</v>
      </c>
      <c r="B1585" t="s">
        <v>16</v>
      </c>
      <c r="C1585" t="s">
        <v>1628</v>
      </c>
      <c r="D1585" s="1">
        <v>0.43099537037037039</v>
      </c>
      <c r="E1585" s="2">
        <f>CallLog[[#This Row],[Date]]+CallLog[[#This Row],[Time]]</f>
        <v>44225.430995370371</v>
      </c>
      <c r="F1585" s="1" t="str">
        <f>TEXT(CallLog[[#This Row],[Date]],"dddd")</f>
        <v>Friday</v>
      </c>
      <c r="G1585" s="3">
        <f>HOUR(CallLog[[#This Row],[Time]])</f>
        <v>10</v>
      </c>
      <c r="H1585" t="s">
        <v>24</v>
      </c>
      <c r="I1585" t="s">
        <v>18</v>
      </c>
      <c r="J1585" t="s">
        <v>18</v>
      </c>
      <c r="L1585" t="str">
        <f>IF(AND(CallLog[[#This Row],[Answered (Y/N)]]="Y", CallLog[[#This Row],[Speed of answer in seconds]]&lt;=20),
    "Within",
    "Breach")</f>
        <v>Breach</v>
      </c>
    </row>
    <row r="1586" spans="1:14" x14ac:dyDescent="0.3">
      <c r="A1586" t="s">
        <v>1638</v>
      </c>
      <c r="B1586" t="s">
        <v>34</v>
      </c>
      <c r="C1586" t="s">
        <v>1628</v>
      </c>
      <c r="D1586" s="1">
        <v>0.43700231481481483</v>
      </c>
      <c r="E1586" s="2">
        <f>CallLog[[#This Row],[Date]]+CallLog[[#This Row],[Time]]</f>
        <v>44225.437002314815</v>
      </c>
      <c r="F1586" s="1" t="str">
        <f>TEXT(CallLog[[#This Row],[Date]],"dddd")</f>
        <v>Friday</v>
      </c>
      <c r="G1586" s="3">
        <f>HOUR(CallLog[[#This Row],[Time]])</f>
        <v>10</v>
      </c>
      <c r="H1586" t="s">
        <v>13</v>
      </c>
      <c r="I1586" t="s">
        <v>14</v>
      </c>
      <c r="J1586" t="s">
        <v>14</v>
      </c>
      <c r="K1586">
        <v>118</v>
      </c>
      <c r="L1586" t="str">
        <f>IF(AND(CallLog[[#This Row],[Answered (Y/N)]]="Y", CallLog[[#This Row],[Speed of answer in seconds]]&lt;=20),
    "Within",
    "Breach")</f>
        <v>Breach</v>
      </c>
      <c r="M1586" s="1">
        <v>2.8124999999999999E-3</v>
      </c>
      <c r="N1586">
        <v>3</v>
      </c>
    </row>
    <row r="1587" spans="1:14" x14ac:dyDescent="0.3">
      <c r="A1587" t="s">
        <v>1639</v>
      </c>
      <c r="B1587" t="s">
        <v>31</v>
      </c>
      <c r="C1587" t="s">
        <v>1628</v>
      </c>
      <c r="D1587" s="1">
        <v>0.43700231481481483</v>
      </c>
      <c r="E1587" s="2">
        <f>CallLog[[#This Row],[Date]]+CallLog[[#This Row],[Time]]</f>
        <v>44225.437002314815</v>
      </c>
      <c r="F1587" s="1" t="str">
        <f>TEXT(CallLog[[#This Row],[Date]],"dddd")</f>
        <v>Friday</v>
      </c>
      <c r="G1587" s="3">
        <f>HOUR(CallLog[[#This Row],[Time]])</f>
        <v>10</v>
      </c>
      <c r="H1587" t="s">
        <v>24</v>
      </c>
      <c r="I1587" t="s">
        <v>14</v>
      </c>
      <c r="J1587" t="s">
        <v>14</v>
      </c>
      <c r="K1587">
        <v>94</v>
      </c>
      <c r="L1587" t="str">
        <f>IF(AND(CallLog[[#This Row],[Answered (Y/N)]]="Y", CallLog[[#This Row],[Speed of answer in seconds]]&lt;=20),
    "Within",
    "Breach")</f>
        <v>Breach</v>
      </c>
      <c r="M1587" s="1">
        <v>8.3333333333333339E-4</v>
      </c>
      <c r="N1587">
        <v>3</v>
      </c>
    </row>
    <row r="1588" spans="1:14" x14ac:dyDescent="0.3">
      <c r="A1588" t="s">
        <v>1640</v>
      </c>
      <c r="B1588" t="s">
        <v>11</v>
      </c>
      <c r="C1588" t="s">
        <v>1628</v>
      </c>
      <c r="D1588" s="1">
        <v>0.45200231481481479</v>
      </c>
      <c r="E1588" s="2">
        <f>CallLog[[#This Row],[Date]]+CallLog[[#This Row],[Time]]</f>
        <v>44225.452002314814</v>
      </c>
      <c r="F1588" s="1" t="str">
        <f>TEXT(CallLog[[#This Row],[Date]],"dddd")</f>
        <v>Friday</v>
      </c>
      <c r="G1588" s="3">
        <f>HOUR(CallLog[[#This Row],[Time]])</f>
        <v>10</v>
      </c>
      <c r="H1588" t="s">
        <v>17</v>
      </c>
      <c r="I1588" t="s">
        <v>14</v>
      </c>
      <c r="J1588" t="s">
        <v>14</v>
      </c>
      <c r="K1588">
        <v>59</v>
      </c>
      <c r="L1588" t="str">
        <f>IF(AND(CallLog[[#This Row],[Answered (Y/N)]]="Y", CallLog[[#This Row],[Speed of answer in seconds]]&lt;=20),
    "Within",
    "Breach")</f>
        <v>Breach</v>
      </c>
      <c r="M1588" s="1">
        <v>3.414351851851852E-3</v>
      </c>
      <c r="N1588">
        <v>4</v>
      </c>
    </row>
    <row r="1589" spans="1:14" x14ac:dyDescent="0.3">
      <c r="A1589" t="s">
        <v>1641</v>
      </c>
      <c r="B1589" t="s">
        <v>31</v>
      </c>
      <c r="C1589" t="s">
        <v>1628</v>
      </c>
      <c r="D1589" s="1">
        <v>0.45200231481481479</v>
      </c>
      <c r="E1589" s="2">
        <f>CallLog[[#This Row],[Date]]+CallLog[[#This Row],[Time]]</f>
        <v>44225.452002314814</v>
      </c>
      <c r="F1589" s="1" t="str">
        <f>TEXT(CallLog[[#This Row],[Date]],"dddd")</f>
        <v>Friday</v>
      </c>
      <c r="G1589" s="3">
        <f>HOUR(CallLog[[#This Row],[Time]])</f>
        <v>10</v>
      </c>
      <c r="H1589" t="s">
        <v>17</v>
      </c>
      <c r="I1589" t="s">
        <v>18</v>
      </c>
      <c r="J1589" t="s">
        <v>18</v>
      </c>
      <c r="L1589" t="str">
        <f>IF(AND(CallLog[[#This Row],[Answered (Y/N)]]="Y", CallLog[[#This Row],[Speed of answer in seconds]]&lt;=20),
    "Within",
    "Breach")</f>
        <v>Breach</v>
      </c>
    </row>
    <row r="1590" spans="1:14" x14ac:dyDescent="0.3">
      <c r="A1590" t="s">
        <v>1642</v>
      </c>
      <c r="B1590" t="s">
        <v>20</v>
      </c>
      <c r="C1590" t="s">
        <v>1628</v>
      </c>
      <c r="D1590" s="1">
        <v>0.45299768518518518</v>
      </c>
      <c r="E1590" s="2">
        <f>CallLog[[#This Row],[Date]]+CallLog[[#This Row],[Time]]</f>
        <v>44225.452997685185</v>
      </c>
      <c r="F1590" s="1" t="str">
        <f>TEXT(CallLog[[#This Row],[Date]],"dddd")</f>
        <v>Friday</v>
      </c>
      <c r="G1590" s="3">
        <f>HOUR(CallLog[[#This Row],[Time]])</f>
        <v>10</v>
      </c>
      <c r="H1590" t="s">
        <v>29</v>
      </c>
      <c r="I1590" t="s">
        <v>14</v>
      </c>
      <c r="J1590" t="s">
        <v>14</v>
      </c>
      <c r="K1590">
        <v>92</v>
      </c>
      <c r="L1590" t="str">
        <f>IF(AND(CallLog[[#This Row],[Answered (Y/N)]]="Y", CallLog[[#This Row],[Speed of answer in seconds]]&lt;=20),
    "Within",
    "Breach")</f>
        <v>Breach</v>
      </c>
      <c r="M1590" s="1">
        <v>2.2337962962962962E-3</v>
      </c>
      <c r="N1590">
        <v>5</v>
      </c>
    </row>
    <row r="1591" spans="1:14" x14ac:dyDescent="0.3">
      <c r="A1591" t="s">
        <v>1643</v>
      </c>
      <c r="B1591" t="s">
        <v>31</v>
      </c>
      <c r="C1591" t="s">
        <v>1628</v>
      </c>
      <c r="D1591" s="1">
        <v>0.45299768518518518</v>
      </c>
      <c r="E1591" s="2">
        <f>CallLog[[#This Row],[Date]]+CallLog[[#This Row],[Time]]</f>
        <v>44225.452997685185</v>
      </c>
      <c r="F1591" s="1" t="str">
        <f>TEXT(CallLog[[#This Row],[Date]],"dddd")</f>
        <v>Friday</v>
      </c>
      <c r="G1591" s="3">
        <f>HOUR(CallLog[[#This Row],[Time]])</f>
        <v>10</v>
      </c>
      <c r="H1591" t="s">
        <v>17</v>
      </c>
      <c r="I1591" t="s">
        <v>14</v>
      </c>
      <c r="J1591" t="s">
        <v>14</v>
      </c>
      <c r="K1591">
        <v>51</v>
      </c>
      <c r="L1591" t="str">
        <f>IF(AND(CallLog[[#This Row],[Answered (Y/N)]]="Y", CallLog[[#This Row],[Speed of answer in seconds]]&lt;=20),
    "Within",
    "Breach")</f>
        <v>Breach</v>
      </c>
      <c r="M1591" s="1">
        <v>1.8518518518518519E-3</v>
      </c>
      <c r="N1591">
        <v>2</v>
      </c>
    </row>
    <row r="1592" spans="1:14" x14ac:dyDescent="0.3">
      <c r="A1592" t="s">
        <v>1644</v>
      </c>
      <c r="B1592" t="s">
        <v>11</v>
      </c>
      <c r="C1592" t="s">
        <v>1628</v>
      </c>
      <c r="D1592" s="1">
        <v>0.49799768518518517</v>
      </c>
      <c r="E1592" s="2">
        <f>CallLog[[#This Row],[Date]]+CallLog[[#This Row],[Time]]</f>
        <v>44225.497997685183</v>
      </c>
      <c r="F1592" s="1" t="str">
        <f>TEXT(CallLog[[#This Row],[Date]],"dddd")</f>
        <v>Friday</v>
      </c>
      <c r="G1592" s="3">
        <f>HOUR(CallLog[[#This Row],[Time]])</f>
        <v>11</v>
      </c>
      <c r="H1592" t="s">
        <v>24</v>
      </c>
      <c r="I1592" t="s">
        <v>18</v>
      </c>
      <c r="J1592" t="s">
        <v>18</v>
      </c>
      <c r="L1592" t="str">
        <f>IF(AND(CallLog[[#This Row],[Answered (Y/N)]]="Y", CallLog[[#This Row],[Speed of answer in seconds]]&lt;=20),
    "Within",
    "Breach")</f>
        <v>Breach</v>
      </c>
    </row>
    <row r="1593" spans="1:14" x14ac:dyDescent="0.3">
      <c r="A1593" t="s">
        <v>1645</v>
      </c>
      <c r="B1593" t="s">
        <v>22</v>
      </c>
      <c r="C1593" t="s">
        <v>1628</v>
      </c>
      <c r="D1593" s="1">
        <v>0.49799768518518517</v>
      </c>
      <c r="E1593" s="2">
        <f>CallLog[[#This Row],[Date]]+CallLog[[#This Row],[Time]]</f>
        <v>44225.497997685183</v>
      </c>
      <c r="F1593" s="1" t="str">
        <f>TEXT(CallLog[[#This Row],[Date]],"dddd")</f>
        <v>Friday</v>
      </c>
      <c r="G1593" s="3">
        <f>HOUR(CallLog[[#This Row],[Time]])</f>
        <v>11</v>
      </c>
      <c r="H1593" t="s">
        <v>17</v>
      </c>
      <c r="I1593" t="s">
        <v>14</v>
      </c>
      <c r="J1593" t="s">
        <v>14</v>
      </c>
      <c r="K1593">
        <v>11</v>
      </c>
      <c r="L1593" t="str">
        <f>IF(AND(CallLog[[#This Row],[Answered (Y/N)]]="Y", CallLog[[#This Row],[Speed of answer in seconds]]&lt;=20),
    "Within",
    "Breach")</f>
        <v>Within</v>
      </c>
      <c r="M1593" s="1">
        <v>3.0439814814814813E-3</v>
      </c>
      <c r="N1593">
        <v>5</v>
      </c>
    </row>
    <row r="1594" spans="1:14" x14ac:dyDescent="0.3">
      <c r="A1594" t="s">
        <v>1646</v>
      </c>
      <c r="B1594" t="s">
        <v>34</v>
      </c>
      <c r="C1594" t="s">
        <v>1628</v>
      </c>
      <c r="D1594" s="1">
        <v>0.53099537037037037</v>
      </c>
      <c r="E1594" s="2">
        <f>CallLog[[#This Row],[Date]]+CallLog[[#This Row],[Time]]</f>
        <v>44225.530995370369</v>
      </c>
      <c r="F1594" s="1" t="str">
        <f>TEXT(CallLog[[#This Row],[Date]],"dddd")</f>
        <v>Friday</v>
      </c>
      <c r="G1594" s="3">
        <f>HOUR(CallLog[[#This Row],[Time]])</f>
        <v>12</v>
      </c>
      <c r="H1594" t="s">
        <v>24</v>
      </c>
      <c r="I1594" t="s">
        <v>14</v>
      </c>
      <c r="J1594" t="s">
        <v>14</v>
      </c>
      <c r="K1594">
        <v>62</v>
      </c>
      <c r="L1594" t="str">
        <f>IF(AND(CallLog[[#This Row],[Answered (Y/N)]]="Y", CallLog[[#This Row],[Speed of answer in seconds]]&lt;=20),
    "Within",
    "Breach")</f>
        <v>Breach</v>
      </c>
      <c r="M1594" s="1">
        <v>1.6319444444444445E-3</v>
      </c>
      <c r="N1594">
        <v>1</v>
      </c>
    </row>
    <row r="1595" spans="1:14" x14ac:dyDescent="0.3">
      <c r="A1595" t="s">
        <v>1647</v>
      </c>
      <c r="B1595" t="s">
        <v>34</v>
      </c>
      <c r="C1595" t="s">
        <v>1628</v>
      </c>
      <c r="D1595" s="1">
        <v>0.53099537037037037</v>
      </c>
      <c r="E1595" s="2">
        <f>CallLog[[#This Row],[Date]]+CallLog[[#This Row],[Time]]</f>
        <v>44225.530995370369</v>
      </c>
      <c r="F1595" s="1" t="str">
        <f>TEXT(CallLog[[#This Row],[Date]],"dddd")</f>
        <v>Friday</v>
      </c>
      <c r="G1595" s="3">
        <f>HOUR(CallLog[[#This Row],[Time]])</f>
        <v>12</v>
      </c>
      <c r="H1595" t="s">
        <v>17</v>
      </c>
      <c r="I1595" t="s">
        <v>14</v>
      </c>
      <c r="J1595" t="s">
        <v>14</v>
      </c>
      <c r="K1595">
        <v>122</v>
      </c>
      <c r="L1595" t="str">
        <f>IF(AND(CallLog[[#This Row],[Answered (Y/N)]]="Y", CallLog[[#This Row],[Speed of answer in seconds]]&lt;=20),
    "Within",
    "Breach")</f>
        <v>Breach</v>
      </c>
      <c r="M1595" s="1">
        <v>3.449074074074074E-3</v>
      </c>
      <c r="N1595">
        <v>3</v>
      </c>
    </row>
    <row r="1596" spans="1:14" x14ac:dyDescent="0.3">
      <c r="A1596" t="s">
        <v>1648</v>
      </c>
      <c r="B1596" t="s">
        <v>47</v>
      </c>
      <c r="C1596" t="s">
        <v>1628</v>
      </c>
      <c r="D1596" s="1">
        <v>0.53200231481481486</v>
      </c>
      <c r="E1596" s="2">
        <f>CallLog[[#This Row],[Date]]+CallLog[[#This Row],[Time]]</f>
        <v>44225.532002314816</v>
      </c>
      <c r="F1596" s="1" t="str">
        <f>TEXT(CallLog[[#This Row],[Date]],"dddd")</f>
        <v>Friday</v>
      </c>
      <c r="G1596" s="3">
        <f>HOUR(CallLog[[#This Row],[Time]])</f>
        <v>12</v>
      </c>
      <c r="H1596" t="s">
        <v>32</v>
      </c>
      <c r="I1596" t="s">
        <v>14</v>
      </c>
      <c r="J1596" t="s">
        <v>14</v>
      </c>
      <c r="K1596">
        <v>37</v>
      </c>
      <c r="L1596" t="str">
        <f>IF(AND(CallLog[[#This Row],[Answered (Y/N)]]="Y", CallLog[[#This Row],[Speed of answer in seconds]]&lt;=20),
    "Within",
    "Breach")</f>
        <v>Breach</v>
      </c>
      <c r="M1596" s="1">
        <v>3.7384259259259259E-3</v>
      </c>
      <c r="N1596">
        <v>3</v>
      </c>
    </row>
    <row r="1597" spans="1:14" x14ac:dyDescent="0.3">
      <c r="A1597" t="s">
        <v>1649</v>
      </c>
      <c r="B1597" t="s">
        <v>20</v>
      </c>
      <c r="C1597" t="s">
        <v>1628</v>
      </c>
      <c r="D1597" s="1">
        <v>0.53200231481481486</v>
      </c>
      <c r="E1597" s="2">
        <f>CallLog[[#This Row],[Date]]+CallLog[[#This Row],[Time]]</f>
        <v>44225.532002314816</v>
      </c>
      <c r="F1597" s="1" t="str">
        <f>TEXT(CallLog[[#This Row],[Date]],"dddd")</f>
        <v>Friday</v>
      </c>
      <c r="G1597" s="3">
        <f>HOUR(CallLog[[#This Row],[Time]])</f>
        <v>12</v>
      </c>
      <c r="H1597" t="s">
        <v>24</v>
      </c>
      <c r="I1597" t="s">
        <v>14</v>
      </c>
      <c r="J1597" t="s">
        <v>18</v>
      </c>
      <c r="K1597">
        <v>42</v>
      </c>
      <c r="L1597" t="str">
        <f>IF(AND(CallLog[[#This Row],[Answered (Y/N)]]="Y", CallLog[[#This Row],[Speed of answer in seconds]]&lt;=20),
    "Within",
    "Breach")</f>
        <v>Breach</v>
      </c>
      <c r="M1597" s="1">
        <v>2.5115740740740741E-3</v>
      </c>
      <c r="N1597">
        <v>4</v>
      </c>
    </row>
    <row r="1598" spans="1:14" x14ac:dyDescent="0.3">
      <c r="A1598" t="s">
        <v>1650</v>
      </c>
      <c r="B1598" t="s">
        <v>11</v>
      </c>
      <c r="C1598" t="s">
        <v>1628</v>
      </c>
      <c r="D1598" s="1">
        <v>0.53599537037037037</v>
      </c>
      <c r="E1598" s="2">
        <f>CallLog[[#This Row],[Date]]+CallLog[[#This Row],[Time]]</f>
        <v>44225.535995370374</v>
      </c>
      <c r="F1598" s="1" t="str">
        <f>TEXT(CallLog[[#This Row],[Date]],"dddd")</f>
        <v>Friday</v>
      </c>
      <c r="G1598" s="3">
        <f>HOUR(CallLog[[#This Row],[Time]])</f>
        <v>12</v>
      </c>
      <c r="H1598" t="s">
        <v>17</v>
      </c>
      <c r="I1598" t="s">
        <v>14</v>
      </c>
      <c r="J1598" t="s">
        <v>14</v>
      </c>
      <c r="K1598">
        <v>112</v>
      </c>
      <c r="L1598" t="str">
        <f>IF(AND(CallLog[[#This Row],[Answered (Y/N)]]="Y", CallLog[[#This Row],[Speed of answer in seconds]]&lt;=20),
    "Within",
    "Breach")</f>
        <v>Breach</v>
      </c>
      <c r="M1598" s="1">
        <v>3.1134259259259257E-3</v>
      </c>
      <c r="N1598">
        <v>3</v>
      </c>
    </row>
    <row r="1599" spans="1:14" x14ac:dyDescent="0.3">
      <c r="A1599" t="s">
        <v>1651</v>
      </c>
      <c r="B1599" t="s">
        <v>38</v>
      </c>
      <c r="C1599" t="s">
        <v>1628</v>
      </c>
      <c r="D1599" s="1">
        <v>0.53599537037037037</v>
      </c>
      <c r="E1599" s="2">
        <f>CallLog[[#This Row],[Date]]+CallLog[[#This Row],[Time]]</f>
        <v>44225.535995370374</v>
      </c>
      <c r="F1599" s="1" t="str">
        <f>TEXT(CallLog[[#This Row],[Date]],"dddd")</f>
        <v>Friday</v>
      </c>
      <c r="G1599" s="3">
        <f>HOUR(CallLog[[#This Row],[Time]])</f>
        <v>12</v>
      </c>
      <c r="H1599" t="s">
        <v>24</v>
      </c>
      <c r="I1599" t="s">
        <v>14</v>
      </c>
      <c r="J1599" t="s">
        <v>14</v>
      </c>
      <c r="K1599">
        <v>98</v>
      </c>
      <c r="L1599" t="str">
        <f>IF(AND(CallLog[[#This Row],[Answered (Y/N)]]="Y", CallLog[[#This Row],[Speed of answer in seconds]]&lt;=20),
    "Within",
    "Breach")</f>
        <v>Breach</v>
      </c>
      <c r="M1599" s="1">
        <v>2.1875000000000002E-3</v>
      </c>
      <c r="N1599">
        <v>4</v>
      </c>
    </row>
    <row r="1600" spans="1:14" x14ac:dyDescent="0.3">
      <c r="A1600" t="s">
        <v>1652</v>
      </c>
      <c r="B1600" t="s">
        <v>20</v>
      </c>
      <c r="C1600" t="s">
        <v>1628</v>
      </c>
      <c r="D1600" s="1">
        <v>0.53599537037037037</v>
      </c>
      <c r="E1600" s="2">
        <f>CallLog[[#This Row],[Date]]+CallLog[[#This Row],[Time]]</f>
        <v>44225.535995370374</v>
      </c>
      <c r="F1600" s="1" t="str">
        <f>TEXT(CallLog[[#This Row],[Date]],"dddd")</f>
        <v>Friday</v>
      </c>
      <c r="G1600" s="3">
        <f>HOUR(CallLog[[#This Row],[Time]])</f>
        <v>12</v>
      </c>
      <c r="H1600" t="s">
        <v>24</v>
      </c>
      <c r="I1600" t="s">
        <v>14</v>
      </c>
      <c r="J1600" t="s">
        <v>14</v>
      </c>
      <c r="K1600">
        <v>105</v>
      </c>
      <c r="L1600" t="str">
        <f>IF(AND(CallLog[[#This Row],[Answered (Y/N)]]="Y", CallLog[[#This Row],[Speed of answer in seconds]]&lt;=20),
    "Within",
    "Breach")</f>
        <v>Breach</v>
      </c>
      <c r="M1600" s="1">
        <v>2.2337962962962962E-3</v>
      </c>
      <c r="N1600">
        <v>2</v>
      </c>
    </row>
    <row r="1601" spans="1:14" x14ac:dyDescent="0.3">
      <c r="A1601" t="s">
        <v>1653</v>
      </c>
      <c r="B1601" t="s">
        <v>11</v>
      </c>
      <c r="C1601" t="s">
        <v>1628</v>
      </c>
      <c r="D1601" s="1">
        <v>0.53599537037037037</v>
      </c>
      <c r="E1601" s="2">
        <f>CallLog[[#This Row],[Date]]+CallLog[[#This Row],[Time]]</f>
        <v>44225.535995370374</v>
      </c>
      <c r="F1601" s="1" t="str">
        <f>TEXT(CallLog[[#This Row],[Date]],"dddd")</f>
        <v>Friday</v>
      </c>
      <c r="G1601" s="3">
        <f>HOUR(CallLog[[#This Row],[Time]])</f>
        <v>12</v>
      </c>
      <c r="H1601" t="s">
        <v>17</v>
      </c>
      <c r="I1601" t="s">
        <v>14</v>
      </c>
      <c r="J1601" t="s">
        <v>14</v>
      </c>
      <c r="K1601">
        <v>78</v>
      </c>
      <c r="L1601" t="str">
        <f>IF(AND(CallLog[[#This Row],[Answered (Y/N)]]="Y", CallLog[[#This Row],[Speed of answer in seconds]]&lt;=20),
    "Within",
    "Breach")</f>
        <v>Breach</v>
      </c>
      <c r="M1601" s="1">
        <v>2.1180555555555558E-3</v>
      </c>
      <c r="N1601">
        <v>5</v>
      </c>
    </row>
    <row r="1602" spans="1:14" x14ac:dyDescent="0.3">
      <c r="A1602" t="s">
        <v>1654</v>
      </c>
      <c r="B1602" t="s">
        <v>38</v>
      </c>
      <c r="C1602" t="s">
        <v>1628</v>
      </c>
      <c r="D1602" s="1">
        <v>0.54200231481481487</v>
      </c>
      <c r="E1602" s="2">
        <f>CallLog[[#This Row],[Date]]+CallLog[[#This Row],[Time]]</f>
        <v>44225.542002314818</v>
      </c>
      <c r="F1602" s="1" t="str">
        <f>TEXT(CallLog[[#This Row],[Date]],"dddd")</f>
        <v>Friday</v>
      </c>
      <c r="G1602" s="3">
        <f>HOUR(CallLog[[#This Row],[Time]])</f>
        <v>13</v>
      </c>
      <c r="H1602" t="s">
        <v>13</v>
      </c>
      <c r="I1602" t="s">
        <v>14</v>
      </c>
      <c r="J1602" t="s">
        <v>14</v>
      </c>
      <c r="K1602">
        <v>68</v>
      </c>
      <c r="L1602" t="str">
        <f>IF(AND(CallLog[[#This Row],[Answered (Y/N)]]="Y", CallLog[[#This Row],[Speed of answer in seconds]]&lt;=20),
    "Within",
    "Breach")</f>
        <v>Breach</v>
      </c>
      <c r="M1602" s="1">
        <v>5.2083333333333333E-4</v>
      </c>
      <c r="N1602">
        <v>4</v>
      </c>
    </row>
    <row r="1603" spans="1:14" x14ac:dyDescent="0.3">
      <c r="A1603" t="s">
        <v>1655</v>
      </c>
      <c r="B1603" t="s">
        <v>31</v>
      </c>
      <c r="C1603" t="s">
        <v>1628</v>
      </c>
      <c r="D1603" s="1">
        <v>0.54200231481481487</v>
      </c>
      <c r="E1603" s="2">
        <f>CallLog[[#This Row],[Date]]+CallLog[[#This Row],[Time]]</f>
        <v>44225.542002314818</v>
      </c>
      <c r="F1603" s="1" t="str">
        <f>TEXT(CallLog[[#This Row],[Date]],"dddd")</f>
        <v>Friday</v>
      </c>
      <c r="G1603" s="3">
        <f>HOUR(CallLog[[#This Row],[Time]])</f>
        <v>13</v>
      </c>
      <c r="H1603" t="s">
        <v>13</v>
      </c>
      <c r="I1603" t="s">
        <v>14</v>
      </c>
      <c r="J1603" t="s">
        <v>14</v>
      </c>
      <c r="K1603">
        <v>17</v>
      </c>
      <c r="L1603" t="str">
        <f>IF(AND(CallLog[[#This Row],[Answered (Y/N)]]="Y", CallLog[[#This Row],[Speed of answer in seconds]]&lt;=20),
    "Within",
    "Breach")</f>
        <v>Within</v>
      </c>
      <c r="M1603" s="1">
        <v>4.0162037037037041E-3</v>
      </c>
      <c r="N1603">
        <v>3</v>
      </c>
    </row>
    <row r="1604" spans="1:14" x14ac:dyDescent="0.3">
      <c r="A1604" t="s">
        <v>1656</v>
      </c>
      <c r="B1604" t="s">
        <v>11</v>
      </c>
      <c r="C1604" t="s">
        <v>1628</v>
      </c>
      <c r="D1604" s="1">
        <v>0.54500000000000004</v>
      </c>
      <c r="E1604" s="2">
        <f>CallLog[[#This Row],[Date]]+CallLog[[#This Row],[Time]]</f>
        <v>44225.544999999998</v>
      </c>
      <c r="F1604" s="1" t="str">
        <f>TEXT(CallLog[[#This Row],[Date]],"dddd")</f>
        <v>Friday</v>
      </c>
      <c r="G1604" s="3">
        <f>HOUR(CallLog[[#This Row],[Time]])</f>
        <v>13</v>
      </c>
      <c r="H1604" t="s">
        <v>29</v>
      </c>
      <c r="I1604" t="s">
        <v>14</v>
      </c>
      <c r="J1604" t="s">
        <v>14</v>
      </c>
      <c r="K1604">
        <v>23</v>
      </c>
      <c r="L1604" t="str">
        <f>IF(AND(CallLog[[#This Row],[Answered (Y/N)]]="Y", CallLog[[#This Row],[Speed of answer in seconds]]&lt;=20),
    "Within",
    "Breach")</f>
        <v>Breach</v>
      </c>
      <c r="M1604" s="1">
        <v>9.2592592592592596E-4</v>
      </c>
      <c r="N1604">
        <v>4</v>
      </c>
    </row>
    <row r="1605" spans="1:14" x14ac:dyDescent="0.3">
      <c r="A1605" t="s">
        <v>1657</v>
      </c>
      <c r="B1605" t="s">
        <v>11</v>
      </c>
      <c r="C1605" t="s">
        <v>1628</v>
      </c>
      <c r="D1605" s="1">
        <v>0.54500000000000004</v>
      </c>
      <c r="E1605" s="2">
        <f>CallLog[[#This Row],[Date]]+CallLog[[#This Row],[Time]]</f>
        <v>44225.544999999998</v>
      </c>
      <c r="F1605" s="1" t="str">
        <f>TEXT(CallLog[[#This Row],[Date]],"dddd")</f>
        <v>Friday</v>
      </c>
      <c r="G1605" s="3">
        <f>HOUR(CallLog[[#This Row],[Time]])</f>
        <v>13</v>
      </c>
      <c r="H1605" t="s">
        <v>29</v>
      </c>
      <c r="I1605" t="s">
        <v>14</v>
      </c>
      <c r="J1605" t="s">
        <v>14</v>
      </c>
      <c r="K1605">
        <v>39</v>
      </c>
      <c r="L1605" t="str">
        <f>IF(AND(CallLog[[#This Row],[Answered (Y/N)]]="Y", CallLog[[#This Row],[Speed of answer in seconds]]&lt;=20),
    "Within",
    "Breach")</f>
        <v>Breach</v>
      </c>
      <c r="M1605" s="1">
        <v>7.9861111111111116E-4</v>
      </c>
      <c r="N1605">
        <v>1</v>
      </c>
    </row>
    <row r="1606" spans="1:14" x14ac:dyDescent="0.3">
      <c r="A1606" t="s">
        <v>1658</v>
      </c>
      <c r="B1606" t="s">
        <v>22</v>
      </c>
      <c r="C1606" t="s">
        <v>1628</v>
      </c>
      <c r="D1606" s="1">
        <v>0.55000000000000004</v>
      </c>
      <c r="E1606" s="2">
        <f>CallLog[[#This Row],[Date]]+CallLog[[#This Row],[Time]]</f>
        <v>44225.55</v>
      </c>
      <c r="F1606" s="1" t="str">
        <f>TEXT(CallLog[[#This Row],[Date]],"dddd")</f>
        <v>Friday</v>
      </c>
      <c r="G1606" s="3">
        <f>HOUR(CallLog[[#This Row],[Time]])</f>
        <v>13</v>
      </c>
      <c r="H1606" t="s">
        <v>13</v>
      </c>
      <c r="I1606" t="s">
        <v>14</v>
      </c>
      <c r="J1606" t="s">
        <v>14</v>
      </c>
      <c r="K1606">
        <v>102</v>
      </c>
      <c r="L1606" t="str">
        <f>IF(AND(CallLog[[#This Row],[Answered (Y/N)]]="Y", CallLog[[#This Row],[Speed of answer in seconds]]&lt;=20),
    "Within",
    "Breach")</f>
        <v>Breach</v>
      </c>
      <c r="M1606" s="1">
        <v>3.2986111111111111E-3</v>
      </c>
      <c r="N1606">
        <v>3</v>
      </c>
    </row>
    <row r="1607" spans="1:14" x14ac:dyDescent="0.3">
      <c r="A1607" t="s">
        <v>1659</v>
      </c>
      <c r="B1607" t="s">
        <v>47</v>
      </c>
      <c r="C1607" t="s">
        <v>1628</v>
      </c>
      <c r="D1607" s="1">
        <v>0.55000000000000004</v>
      </c>
      <c r="E1607" s="2">
        <f>CallLog[[#This Row],[Date]]+CallLog[[#This Row],[Time]]</f>
        <v>44225.55</v>
      </c>
      <c r="F1607" s="1" t="str">
        <f>TEXT(CallLog[[#This Row],[Date]],"dddd")</f>
        <v>Friday</v>
      </c>
      <c r="G1607" s="3">
        <f>HOUR(CallLog[[#This Row],[Time]])</f>
        <v>13</v>
      </c>
      <c r="H1607" t="s">
        <v>29</v>
      </c>
      <c r="I1607" t="s">
        <v>14</v>
      </c>
      <c r="J1607" t="s">
        <v>18</v>
      </c>
      <c r="K1607">
        <v>75</v>
      </c>
      <c r="L1607" t="str">
        <f>IF(AND(CallLog[[#This Row],[Answered (Y/N)]]="Y", CallLog[[#This Row],[Speed of answer in seconds]]&lt;=20),
    "Within",
    "Breach")</f>
        <v>Breach</v>
      </c>
      <c r="M1607" s="1">
        <v>3.8194444444444443E-3</v>
      </c>
      <c r="N1607">
        <v>3</v>
      </c>
    </row>
    <row r="1608" spans="1:14" x14ac:dyDescent="0.3">
      <c r="A1608" t="s">
        <v>1660</v>
      </c>
      <c r="B1608" t="s">
        <v>16</v>
      </c>
      <c r="C1608" t="s">
        <v>1628</v>
      </c>
      <c r="D1608" s="1">
        <v>0.56799768518518523</v>
      </c>
      <c r="E1608" s="2">
        <f>CallLog[[#This Row],[Date]]+CallLog[[#This Row],[Time]]</f>
        <v>44225.567997685182</v>
      </c>
      <c r="F1608" s="1" t="str">
        <f>TEXT(CallLog[[#This Row],[Date]],"dddd")</f>
        <v>Friday</v>
      </c>
      <c r="G1608" s="3">
        <f>HOUR(CallLog[[#This Row],[Time]])</f>
        <v>13</v>
      </c>
      <c r="H1608" t="s">
        <v>13</v>
      </c>
      <c r="I1608" t="s">
        <v>14</v>
      </c>
      <c r="J1608" t="s">
        <v>14</v>
      </c>
      <c r="K1608">
        <v>14</v>
      </c>
      <c r="L1608" t="str">
        <f>IF(AND(CallLog[[#This Row],[Answered (Y/N)]]="Y", CallLog[[#This Row],[Speed of answer in seconds]]&lt;=20),
    "Within",
    "Breach")</f>
        <v>Within</v>
      </c>
      <c r="M1608" s="1">
        <v>1.5046296296296296E-3</v>
      </c>
      <c r="N1608">
        <v>4</v>
      </c>
    </row>
    <row r="1609" spans="1:14" x14ac:dyDescent="0.3">
      <c r="A1609" t="s">
        <v>1661</v>
      </c>
      <c r="B1609" t="s">
        <v>47</v>
      </c>
      <c r="C1609" t="s">
        <v>1628</v>
      </c>
      <c r="D1609" s="1">
        <v>0.56799768518518523</v>
      </c>
      <c r="E1609" s="2">
        <f>CallLog[[#This Row],[Date]]+CallLog[[#This Row],[Time]]</f>
        <v>44225.567997685182</v>
      </c>
      <c r="F1609" s="1" t="str">
        <f>TEXT(CallLog[[#This Row],[Date]],"dddd")</f>
        <v>Friday</v>
      </c>
      <c r="G1609" s="3">
        <f>HOUR(CallLog[[#This Row],[Time]])</f>
        <v>13</v>
      </c>
      <c r="H1609" t="s">
        <v>24</v>
      </c>
      <c r="I1609" t="s">
        <v>14</v>
      </c>
      <c r="J1609" t="s">
        <v>14</v>
      </c>
      <c r="K1609">
        <v>77</v>
      </c>
      <c r="L1609" t="str">
        <f>IF(AND(CallLog[[#This Row],[Answered (Y/N)]]="Y", CallLog[[#This Row],[Speed of answer in seconds]]&lt;=20),
    "Within",
    "Breach")</f>
        <v>Breach</v>
      </c>
      <c r="M1609" s="1">
        <v>1.8055555555555555E-3</v>
      </c>
      <c r="N1609">
        <v>3</v>
      </c>
    </row>
    <row r="1610" spans="1:14" x14ac:dyDescent="0.3">
      <c r="A1610" t="s">
        <v>1662</v>
      </c>
      <c r="B1610" t="s">
        <v>11</v>
      </c>
      <c r="C1610" t="s">
        <v>1628</v>
      </c>
      <c r="D1610" s="1">
        <v>0.59099537037037042</v>
      </c>
      <c r="E1610" s="2">
        <f>CallLog[[#This Row],[Date]]+CallLog[[#This Row],[Time]]</f>
        <v>44225.590995370374</v>
      </c>
      <c r="F1610" s="1" t="str">
        <f>TEXT(CallLog[[#This Row],[Date]],"dddd")</f>
        <v>Friday</v>
      </c>
      <c r="G1610" s="3">
        <f>HOUR(CallLog[[#This Row],[Time]])</f>
        <v>14</v>
      </c>
      <c r="H1610" t="s">
        <v>32</v>
      </c>
      <c r="I1610" t="s">
        <v>14</v>
      </c>
      <c r="J1610" t="s">
        <v>18</v>
      </c>
      <c r="K1610">
        <v>83</v>
      </c>
      <c r="L1610" t="str">
        <f>IF(AND(CallLog[[#This Row],[Answered (Y/N)]]="Y", CallLog[[#This Row],[Speed of answer in seconds]]&lt;=20),
    "Within",
    "Breach")</f>
        <v>Breach</v>
      </c>
      <c r="M1610" s="1">
        <v>3.9351851851851852E-4</v>
      </c>
      <c r="N1610">
        <v>4</v>
      </c>
    </row>
    <row r="1611" spans="1:14" x14ac:dyDescent="0.3">
      <c r="A1611" t="s">
        <v>1663</v>
      </c>
      <c r="B1611" t="s">
        <v>20</v>
      </c>
      <c r="C1611" t="s">
        <v>1628</v>
      </c>
      <c r="D1611" s="1">
        <v>0.59099537037037042</v>
      </c>
      <c r="E1611" s="2">
        <f>CallLog[[#This Row],[Date]]+CallLog[[#This Row],[Time]]</f>
        <v>44225.590995370374</v>
      </c>
      <c r="F1611" s="1" t="str">
        <f>TEXT(CallLog[[#This Row],[Date]],"dddd")</f>
        <v>Friday</v>
      </c>
      <c r="G1611" s="3">
        <f>HOUR(CallLog[[#This Row],[Time]])</f>
        <v>14</v>
      </c>
      <c r="H1611" t="s">
        <v>17</v>
      </c>
      <c r="I1611" t="s">
        <v>18</v>
      </c>
      <c r="J1611" t="s">
        <v>18</v>
      </c>
      <c r="L1611" t="str">
        <f>IF(AND(CallLog[[#This Row],[Answered (Y/N)]]="Y", CallLog[[#This Row],[Speed of answer in seconds]]&lt;=20),
    "Within",
    "Breach")</f>
        <v>Breach</v>
      </c>
    </row>
    <row r="1612" spans="1:14" x14ac:dyDescent="0.3">
      <c r="A1612" t="s">
        <v>1664</v>
      </c>
      <c r="B1612" t="s">
        <v>20</v>
      </c>
      <c r="C1612" t="s">
        <v>1628</v>
      </c>
      <c r="D1612" s="1">
        <v>0.60599537037037032</v>
      </c>
      <c r="E1612" s="2">
        <f>CallLog[[#This Row],[Date]]+CallLog[[#This Row],[Time]]</f>
        <v>44225.605995370373</v>
      </c>
      <c r="F1612" s="1" t="str">
        <f>TEXT(CallLog[[#This Row],[Date]],"dddd")</f>
        <v>Friday</v>
      </c>
      <c r="G1612" s="3">
        <f>HOUR(CallLog[[#This Row],[Time]])</f>
        <v>14</v>
      </c>
      <c r="H1612" t="s">
        <v>13</v>
      </c>
      <c r="I1612" t="s">
        <v>18</v>
      </c>
      <c r="J1612" t="s">
        <v>18</v>
      </c>
      <c r="L1612" t="str">
        <f>IF(AND(CallLog[[#This Row],[Answered (Y/N)]]="Y", CallLog[[#This Row],[Speed of answer in seconds]]&lt;=20),
    "Within",
    "Breach")</f>
        <v>Breach</v>
      </c>
    </row>
    <row r="1613" spans="1:14" x14ac:dyDescent="0.3">
      <c r="A1613" t="s">
        <v>1665</v>
      </c>
      <c r="B1613" t="s">
        <v>47</v>
      </c>
      <c r="C1613" t="s">
        <v>1628</v>
      </c>
      <c r="D1613" s="1">
        <v>0.60599537037037032</v>
      </c>
      <c r="E1613" s="2">
        <f>CallLog[[#This Row],[Date]]+CallLog[[#This Row],[Time]]</f>
        <v>44225.605995370373</v>
      </c>
      <c r="F1613" s="1" t="str">
        <f>TEXT(CallLog[[#This Row],[Date]],"dddd")</f>
        <v>Friday</v>
      </c>
      <c r="G1613" s="3">
        <f>HOUR(CallLog[[#This Row],[Time]])</f>
        <v>14</v>
      </c>
      <c r="H1613" t="s">
        <v>29</v>
      </c>
      <c r="I1613" t="s">
        <v>14</v>
      </c>
      <c r="J1613" t="s">
        <v>14</v>
      </c>
      <c r="K1613">
        <v>65</v>
      </c>
      <c r="L1613" t="str">
        <f>IF(AND(CallLog[[#This Row],[Answered (Y/N)]]="Y", CallLog[[#This Row],[Speed of answer in seconds]]&lt;=20),
    "Within",
    "Breach")</f>
        <v>Breach</v>
      </c>
      <c r="M1613" s="1">
        <v>3.6226851851851854E-3</v>
      </c>
      <c r="N1613">
        <v>5</v>
      </c>
    </row>
    <row r="1614" spans="1:14" x14ac:dyDescent="0.3">
      <c r="A1614" t="s">
        <v>1666</v>
      </c>
      <c r="B1614" t="s">
        <v>16</v>
      </c>
      <c r="C1614" t="s">
        <v>1628</v>
      </c>
      <c r="D1614" s="1">
        <v>0.61799768518518516</v>
      </c>
      <c r="E1614" s="2">
        <f>CallLog[[#This Row],[Date]]+CallLog[[#This Row],[Time]]</f>
        <v>44225.617997685185</v>
      </c>
      <c r="F1614" s="1" t="str">
        <f>TEXT(CallLog[[#This Row],[Date]],"dddd")</f>
        <v>Friday</v>
      </c>
      <c r="G1614" s="3">
        <f>HOUR(CallLog[[#This Row],[Time]])</f>
        <v>14</v>
      </c>
      <c r="H1614" t="s">
        <v>13</v>
      </c>
      <c r="I1614" t="s">
        <v>14</v>
      </c>
      <c r="J1614" t="s">
        <v>14</v>
      </c>
      <c r="K1614">
        <v>23</v>
      </c>
      <c r="L1614" t="str">
        <f>IF(AND(CallLog[[#This Row],[Answered (Y/N)]]="Y", CallLog[[#This Row],[Speed of answer in seconds]]&lt;=20),
    "Within",
    "Breach")</f>
        <v>Breach</v>
      </c>
      <c r="M1614" s="1">
        <v>5.2083333333333333E-4</v>
      </c>
      <c r="N1614">
        <v>4</v>
      </c>
    </row>
    <row r="1615" spans="1:14" x14ac:dyDescent="0.3">
      <c r="A1615" t="s">
        <v>1667</v>
      </c>
      <c r="B1615" t="s">
        <v>31</v>
      </c>
      <c r="C1615" t="s">
        <v>1628</v>
      </c>
      <c r="D1615" s="1">
        <v>0.61799768518518516</v>
      </c>
      <c r="E1615" s="2">
        <f>CallLog[[#This Row],[Date]]+CallLog[[#This Row],[Time]]</f>
        <v>44225.617997685185</v>
      </c>
      <c r="F1615" s="1" t="str">
        <f>TEXT(CallLog[[#This Row],[Date]],"dddd")</f>
        <v>Friday</v>
      </c>
      <c r="G1615" s="3">
        <f>HOUR(CallLog[[#This Row],[Time]])</f>
        <v>14</v>
      </c>
      <c r="H1615" t="s">
        <v>32</v>
      </c>
      <c r="I1615" t="s">
        <v>14</v>
      </c>
      <c r="J1615" t="s">
        <v>14</v>
      </c>
      <c r="K1615">
        <v>34</v>
      </c>
      <c r="L1615" t="str">
        <f>IF(AND(CallLog[[#This Row],[Answered (Y/N)]]="Y", CallLog[[#This Row],[Speed of answer in seconds]]&lt;=20),
    "Within",
    "Breach")</f>
        <v>Breach</v>
      </c>
      <c r="M1615" s="1">
        <v>2.7083333333333334E-3</v>
      </c>
      <c r="N1615">
        <v>3</v>
      </c>
    </row>
    <row r="1616" spans="1:14" x14ac:dyDescent="0.3">
      <c r="A1616" t="s">
        <v>1668</v>
      </c>
      <c r="B1616" t="s">
        <v>11</v>
      </c>
      <c r="C1616" t="s">
        <v>1628</v>
      </c>
      <c r="D1616" s="1">
        <v>0.63099537037037035</v>
      </c>
      <c r="E1616" s="2">
        <f>CallLog[[#This Row],[Date]]+CallLog[[#This Row],[Time]]</f>
        <v>44225.630995370368</v>
      </c>
      <c r="F1616" s="1" t="str">
        <f>TEXT(CallLog[[#This Row],[Date]],"dddd")</f>
        <v>Friday</v>
      </c>
      <c r="G1616" s="3">
        <f>HOUR(CallLog[[#This Row],[Time]])</f>
        <v>15</v>
      </c>
      <c r="H1616" t="s">
        <v>17</v>
      </c>
      <c r="I1616" t="s">
        <v>14</v>
      </c>
      <c r="J1616" t="s">
        <v>14</v>
      </c>
      <c r="K1616">
        <v>45</v>
      </c>
      <c r="L1616" t="str">
        <f>IF(AND(CallLog[[#This Row],[Answered (Y/N)]]="Y", CallLog[[#This Row],[Speed of answer in seconds]]&lt;=20),
    "Within",
    "Breach")</f>
        <v>Breach</v>
      </c>
      <c r="M1616" s="1">
        <v>4.0625000000000001E-3</v>
      </c>
      <c r="N1616">
        <v>3</v>
      </c>
    </row>
    <row r="1617" spans="1:14" x14ac:dyDescent="0.3">
      <c r="A1617" t="s">
        <v>1669</v>
      </c>
      <c r="B1617" t="s">
        <v>11</v>
      </c>
      <c r="C1617" t="s">
        <v>1628</v>
      </c>
      <c r="D1617" s="1">
        <v>0.63099537037037035</v>
      </c>
      <c r="E1617" s="2">
        <f>CallLog[[#This Row],[Date]]+CallLog[[#This Row],[Time]]</f>
        <v>44225.630995370368</v>
      </c>
      <c r="F1617" s="1" t="str">
        <f>TEXT(CallLog[[#This Row],[Date]],"dddd")</f>
        <v>Friday</v>
      </c>
      <c r="G1617" s="3">
        <f>HOUR(CallLog[[#This Row],[Time]])</f>
        <v>15</v>
      </c>
      <c r="H1617" t="s">
        <v>17</v>
      </c>
      <c r="I1617" t="s">
        <v>14</v>
      </c>
      <c r="J1617" t="s">
        <v>14</v>
      </c>
      <c r="K1617">
        <v>29</v>
      </c>
      <c r="L1617" t="str">
        <f>IF(AND(CallLog[[#This Row],[Answered (Y/N)]]="Y", CallLog[[#This Row],[Speed of answer in seconds]]&lt;=20),
    "Within",
    "Breach")</f>
        <v>Breach</v>
      </c>
      <c r="M1617" s="1">
        <v>3.3333333333333335E-3</v>
      </c>
      <c r="N1617">
        <v>3</v>
      </c>
    </row>
    <row r="1618" spans="1:14" x14ac:dyDescent="0.3">
      <c r="A1618" t="s">
        <v>1670</v>
      </c>
      <c r="B1618" t="s">
        <v>20</v>
      </c>
      <c r="C1618" t="s">
        <v>1628</v>
      </c>
      <c r="D1618" s="1">
        <v>0.64</v>
      </c>
      <c r="E1618" s="2">
        <f>CallLog[[#This Row],[Date]]+CallLog[[#This Row],[Time]]</f>
        <v>44225.64</v>
      </c>
      <c r="F1618" s="1" t="str">
        <f>TEXT(CallLog[[#This Row],[Date]],"dddd")</f>
        <v>Friday</v>
      </c>
      <c r="G1618" s="3">
        <f>HOUR(CallLog[[#This Row],[Time]])</f>
        <v>15</v>
      </c>
      <c r="H1618" t="s">
        <v>13</v>
      </c>
      <c r="I1618" t="s">
        <v>14</v>
      </c>
      <c r="J1618" t="s">
        <v>14</v>
      </c>
      <c r="K1618">
        <v>84</v>
      </c>
      <c r="L1618" t="str">
        <f>IF(AND(CallLog[[#This Row],[Answered (Y/N)]]="Y", CallLog[[#This Row],[Speed of answer in seconds]]&lt;=20),
    "Within",
    "Breach")</f>
        <v>Breach</v>
      </c>
      <c r="M1618" s="1">
        <v>4.6643518518518518E-3</v>
      </c>
      <c r="N1618">
        <v>3</v>
      </c>
    </row>
    <row r="1619" spans="1:14" x14ac:dyDescent="0.3">
      <c r="A1619" t="s">
        <v>1671</v>
      </c>
      <c r="B1619" t="s">
        <v>34</v>
      </c>
      <c r="C1619" t="s">
        <v>1628</v>
      </c>
      <c r="D1619" s="1">
        <v>0.64</v>
      </c>
      <c r="E1619" s="2">
        <f>CallLog[[#This Row],[Date]]+CallLog[[#This Row],[Time]]</f>
        <v>44225.64</v>
      </c>
      <c r="F1619" s="1" t="str">
        <f>TEXT(CallLog[[#This Row],[Date]],"dddd")</f>
        <v>Friday</v>
      </c>
      <c r="G1619" s="3">
        <f>HOUR(CallLog[[#This Row],[Time]])</f>
        <v>15</v>
      </c>
      <c r="H1619" t="s">
        <v>24</v>
      </c>
      <c r="I1619" t="s">
        <v>14</v>
      </c>
      <c r="J1619" t="s">
        <v>18</v>
      </c>
      <c r="K1619">
        <v>105</v>
      </c>
      <c r="L1619" t="str">
        <f>IF(AND(CallLog[[#This Row],[Answered (Y/N)]]="Y", CallLog[[#This Row],[Speed of answer in seconds]]&lt;=20),
    "Within",
    "Breach")</f>
        <v>Breach</v>
      </c>
      <c r="M1619" s="1">
        <v>1.6550925925925926E-3</v>
      </c>
      <c r="N1619">
        <v>3</v>
      </c>
    </row>
    <row r="1620" spans="1:14" x14ac:dyDescent="0.3">
      <c r="A1620" t="s">
        <v>1672</v>
      </c>
      <c r="B1620" t="s">
        <v>11</v>
      </c>
      <c r="C1620" t="s">
        <v>1628</v>
      </c>
      <c r="D1620" s="1">
        <v>0.65599537037037037</v>
      </c>
      <c r="E1620" s="2">
        <f>CallLog[[#This Row],[Date]]+CallLog[[#This Row],[Time]]</f>
        <v>44225.655995370369</v>
      </c>
      <c r="F1620" s="1" t="str">
        <f>TEXT(CallLog[[#This Row],[Date]],"dddd")</f>
        <v>Friday</v>
      </c>
      <c r="G1620" s="3">
        <f>HOUR(CallLog[[#This Row],[Time]])</f>
        <v>15</v>
      </c>
      <c r="H1620" t="s">
        <v>24</v>
      </c>
      <c r="I1620" t="s">
        <v>14</v>
      </c>
      <c r="J1620" t="s">
        <v>14</v>
      </c>
      <c r="K1620">
        <v>75</v>
      </c>
      <c r="L1620" t="str">
        <f>IF(AND(CallLog[[#This Row],[Answered (Y/N)]]="Y", CallLog[[#This Row],[Speed of answer in seconds]]&lt;=20),
    "Within",
    "Breach")</f>
        <v>Breach</v>
      </c>
      <c r="M1620" s="1">
        <v>2.9861111111111113E-3</v>
      </c>
      <c r="N1620">
        <v>2</v>
      </c>
    </row>
    <row r="1621" spans="1:14" x14ac:dyDescent="0.3">
      <c r="A1621" t="s">
        <v>1673</v>
      </c>
      <c r="B1621" t="s">
        <v>31</v>
      </c>
      <c r="C1621" t="s">
        <v>1628</v>
      </c>
      <c r="D1621" s="1">
        <v>0.65599537037037037</v>
      </c>
      <c r="E1621" s="2">
        <f>CallLog[[#This Row],[Date]]+CallLog[[#This Row],[Time]]</f>
        <v>44225.655995370369</v>
      </c>
      <c r="F1621" s="1" t="str">
        <f>TEXT(CallLog[[#This Row],[Date]],"dddd")</f>
        <v>Friday</v>
      </c>
      <c r="G1621" s="3">
        <f>HOUR(CallLog[[#This Row],[Time]])</f>
        <v>15</v>
      </c>
      <c r="H1621" t="s">
        <v>13</v>
      </c>
      <c r="I1621" t="s">
        <v>14</v>
      </c>
      <c r="J1621" t="s">
        <v>14</v>
      </c>
      <c r="K1621">
        <v>20</v>
      </c>
      <c r="L1621" t="str">
        <f>IF(AND(CallLog[[#This Row],[Answered (Y/N)]]="Y", CallLog[[#This Row],[Speed of answer in seconds]]&lt;=20),
    "Within",
    "Breach")</f>
        <v>Within</v>
      </c>
      <c r="M1621" s="1">
        <v>4.7800925925925927E-3</v>
      </c>
      <c r="N1621">
        <v>3</v>
      </c>
    </row>
    <row r="1622" spans="1:14" x14ac:dyDescent="0.3">
      <c r="A1622" t="s">
        <v>1674</v>
      </c>
      <c r="B1622" t="s">
        <v>22</v>
      </c>
      <c r="C1622" t="s">
        <v>1628</v>
      </c>
      <c r="D1622" s="1">
        <v>0.65700231481481486</v>
      </c>
      <c r="E1622" s="2">
        <f>CallLog[[#This Row],[Date]]+CallLog[[#This Row],[Time]]</f>
        <v>44225.657002314816</v>
      </c>
      <c r="F1622" s="1" t="str">
        <f>TEXT(CallLog[[#This Row],[Date]],"dddd")</f>
        <v>Friday</v>
      </c>
      <c r="G1622" s="3">
        <f>HOUR(CallLog[[#This Row],[Time]])</f>
        <v>15</v>
      </c>
      <c r="H1622" t="s">
        <v>29</v>
      </c>
      <c r="I1622" t="s">
        <v>14</v>
      </c>
      <c r="J1622" t="s">
        <v>14</v>
      </c>
      <c r="K1622">
        <v>88</v>
      </c>
      <c r="L1622" t="str">
        <f>IF(AND(CallLog[[#This Row],[Answered (Y/N)]]="Y", CallLog[[#This Row],[Speed of answer in seconds]]&lt;=20),
    "Within",
    "Breach")</f>
        <v>Breach</v>
      </c>
      <c r="M1622" s="1">
        <v>4.0509259259259257E-3</v>
      </c>
      <c r="N1622">
        <v>5</v>
      </c>
    </row>
    <row r="1623" spans="1:14" x14ac:dyDescent="0.3">
      <c r="A1623" t="s">
        <v>1675</v>
      </c>
      <c r="B1623" t="s">
        <v>20</v>
      </c>
      <c r="C1623" t="s">
        <v>1628</v>
      </c>
      <c r="D1623" s="1">
        <v>0.65700231481481486</v>
      </c>
      <c r="E1623" s="2">
        <f>CallLog[[#This Row],[Date]]+CallLog[[#This Row],[Time]]</f>
        <v>44225.657002314816</v>
      </c>
      <c r="F1623" s="1" t="str">
        <f>TEXT(CallLog[[#This Row],[Date]],"dddd")</f>
        <v>Friday</v>
      </c>
      <c r="G1623" s="3">
        <f>HOUR(CallLog[[#This Row],[Time]])</f>
        <v>15</v>
      </c>
      <c r="H1623" t="s">
        <v>17</v>
      </c>
      <c r="I1623" t="s">
        <v>14</v>
      </c>
      <c r="J1623" t="s">
        <v>14</v>
      </c>
      <c r="K1623">
        <v>93</v>
      </c>
      <c r="L1623" t="str">
        <f>IF(AND(CallLog[[#This Row],[Answered (Y/N)]]="Y", CallLog[[#This Row],[Speed of answer in seconds]]&lt;=20),
    "Within",
    "Breach")</f>
        <v>Breach</v>
      </c>
      <c r="M1623" s="1">
        <v>2.1875000000000002E-3</v>
      </c>
      <c r="N1623">
        <v>5</v>
      </c>
    </row>
    <row r="1624" spans="1:14" x14ac:dyDescent="0.3">
      <c r="A1624" t="s">
        <v>1676</v>
      </c>
      <c r="B1624" t="s">
        <v>47</v>
      </c>
      <c r="C1624" t="s">
        <v>1628</v>
      </c>
      <c r="D1624" s="1">
        <v>0.66099537037037037</v>
      </c>
      <c r="E1624" s="2">
        <f>CallLog[[#This Row],[Date]]+CallLog[[#This Row],[Time]]</f>
        <v>44225.660995370374</v>
      </c>
      <c r="F1624" s="1" t="str">
        <f>TEXT(CallLog[[#This Row],[Date]],"dddd")</f>
        <v>Friday</v>
      </c>
      <c r="G1624" s="3">
        <f>HOUR(CallLog[[#This Row],[Time]])</f>
        <v>15</v>
      </c>
      <c r="H1624" t="s">
        <v>17</v>
      </c>
      <c r="I1624" t="s">
        <v>14</v>
      </c>
      <c r="J1624" t="s">
        <v>14</v>
      </c>
      <c r="K1624">
        <v>65</v>
      </c>
      <c r="L1624" t="str">
        <f>IF(AND(CallLog[[#This Row],[Answered (Y/N)]]="Y", CallLog[[#This Row],[Speed of answer in seconds]]&lt;=20),
    "Within",
    "Breach")</f>
        <v>Breach</v>
      </c>
      <c r="M1624" s="1">
        <v>1.25E-3</v>
      </c>
      <c r="N1624">
        <v>3</v>
      </c>
    </row>
    <row r="1625" spans="1:14" x14ac:dyDescent="0.3">
      <c r="A1625" t="s">
        <v>1677</v>
      </c>
      <c r="B1625" t="s">
        <v>16</v>
      </c>
      <c r="C1625" t="s">
        <v>1628</v>
      </c>
      <c r="D1625" s="1">
        <v>0.66099537037037037</v>
      </c>
      <c r="E1625" s="2">
        <f>CallLog[[#This Row],[Date]]+CallLog[[#This Row],[Time]]</f>
        <v>44225.660995370374</v>
      </c>
      <c r="F1625" s="1" t="str">
        <f>TEXT(CallLog[[#This Row],[Date]],"dddd")</f>
        <v>Friday</v>
      </c>
      <c r="G1625" s="3">
        <f>HOUR(CallLog[[#This Row],[Time]])</f>
        <v>15</v>
      </c>
      <c r="H1625" t="s">
        <v>24</v>
      </c>
      <c r="I1625" t="s">
        <v>18</v>
      </c>
      <c r="J1625" t="s">
        <v>18</v>
      </c>
      <c r="L1625" t="str">
        <f>IF(AND(CallLog[[#This Row],[Answered (Y/N)]]="Y", CallLog[[#This Row],[Speed of answer in seconds]]&lt;=20),
    "Within",
    "Breach")</f>
        <v>Breach</v>
      </c>
    </row>
    <row r="1626" spans="1:14" x14ac:dyDescent="0.3">
      <c r="A1626" t="s">
        <v>1678</v>
      </c>
      <c r="B1626" t="s">
        <v>34</v>
      </c>
      <c r="C1626" t="s">
        <v>1628</v>
      </c>
      <c r="D1626" s="1">
        <v>0.67400462962962959</v>
      </c>
      <c r="E1626" s="2">
        <f>CallLog[[#This Row],[Date]]+CallLog[[#This Row],[Time]]</f>
        <v>44225.674004629633</v>
      </c>
      <c r="F1626" s="1" t="str">
        <f>TEXT(CallLog[[#This Row],[Date]],"dddd")</f>
        <v>Friday</v>
      </c>
      <c r="G1626" s="3">
        <f>HOUR(CallLog[[#This Row],[Time]])</f>
        <v>16</v>
      </c>
      <c r="H1626" t="s">
        <v>32</v>
      </c>
      <c r="I1626" t="s">
        <v>18</v>
      </c>
      <c r="J1626" t="s">
        <v>18</v>
      </c>
      <c r="L1626" t="str">
        <f>IF(AND(CallLog[[#This Row],[Answered (Y/N)]]="Y", CallLog[[#This Row],[Speed of answer in seconds]]&lt;=20),
    "Within",
    "Breach")</f>
        <v>Breach</v>
      </c>
    </row>
    <row r="1627" spans="1:14" x14ac:dyDescent="0.3">
      <c r="A1627" t="s">
        <v>1679</v>
      </c>
      <c r="B1627" t="s">
        <v>34</v>
      </c>
      <c r="C1627" t="s">
        <v>1628</v>
      </c>
      <c r="D1627" s="1">
        <v>0.67400462962962959</v>
      </c>
      <c r="E1627" s="2">
        <f>CallLog[[#This Row],[Date]]+CallLog[[#This Row],[Time]]</f>
        <v>44225.674004629633</v>
      </c>
      <c r="F1627" s="1" t="str">
        <f>TEXT(CallLog[[#This Row],[Date]],"dddd")</f>
        <v>Friday</v>
      </c>
      <c r="G1627" s="3">
        <f>HOUR(CallLog[[#This Row],[Time]])</f>
        <v>16</v>
      </c>
      <c r="H1627" t="s">
        <v>17</v>
      </c>
      <c r="I1627" t="s">
        <v>18</v>
      </c>
      <c r="J1627" t="s">
        <v>18</v>
      </c>
      <c r="L1627" t="str">
        <f>IF(AND(CallLog[[#This Row],[Answered (Y/N)]]="Y", CallLog[[#This Row],[Speed of answer in seconds]]&lt;=20),
    "Within",
    "Breach")</f>
        <v>Breach</v>
      </c>
    </row>
    <row r="1628" spans="1:14" x14ac:dyDescent="0.3">
      <c r="A1628" t="s">
        <v>1680</v>
      </c>
      <c r="B1628" t="s">
        <v>22</v>
      </c>
      <c r="C1628" t="s">
        <v>1628</v>
      </c>
      <c r="D1628" s="1">
        <v>0.7170023148148148</v>
      </c>
      <c r="E1628" s="2">
        <f>CallLog[[#This Row],[Date]]+CallLog[[#This Row],[Time]]</f>
        <v>44225.717002314814</v>
      </c>
      <c r="F1628" s="1" t="str">
        <f>TEXT(CallLog[[#This Row],[Date]],"dddd")</f>
        <v>Friday</v>
      </c>
      <c r="G1628" s="3">
        <f>HOUR(CallLog[[#This Row],[Time]])</f>
        <v>17</v>
      </c>
      <c r="H1628" t="s">
        <v>24</v>
      </c>
      <c r="I1628" t="s">
        <v>14</v>
      </c>
      <c r="J1628" t="s">
        <v>18</v>
      </c>
      <c r="K1628">
        <v>124</v>
      </c>
      <c r="L1628" t="str">
        <f>IF(AND(CallLog[[#This Row],[Answered (Y/N)]]="Y", CallLog[[#This Row],[Speed of answer in seconds]]&lt;=20),
    "Within",
    "Breach")</f>
        <v>Breach</v>
      </c>
      <c r="M1628" s="1">
        <v>2.9861111111111113E-3</v>
      </c>
      <c r="N1628">
        <v>5</v>
      </c>
    </row>
    <row r="1629" spans="1:14" x14ac:dyDescent="0.3">
      <c r="A1629" t="s">
        <v>1681</v>
      </c>
      <c r="B1629" t="s">
        <v>38</v>
      </c>
      <c r="C1629" t="s">
        <v>1628</v>
      </c>
      <c r="D1629" s="1">
        <v>0.7170023148148148</v>
      </c>
      <c r="E1629" s="2">
        <f>CallLog[[#This Row],[Date]]+CallLog[[#This Row],[Time]]</f>
        <v>44225.717002314814</v>
      </c>
      <c r="F1629" s="1" t="str">
        <f>TEXT(CallLog[[#This Row],[Date]],"dddd")</f>
        <v>Friday</v>
      </c>
      <c r="G1629" s="3">
        <f>HOUR(CallLog[[#This Row],[Time]])</f>
        <v>17</v>
      </c>
      <c r="H1629" t="s">
        <v>13</v>
      </c>
      <c r="I1629" t="s">
        <v>14</v>
      </c>
      <c r="J1629" t="s">
        <v>14</v>
      </c>
      <c r="K1629">
        <v>44</v>
      </c>
      <c r="L1629" t="str">
        <f>IF(AND(CallLog[[#This Row],[Answered (Y/N)]]="Y", CallLog[[#This Row],[Speed of answer in seconds]]&lt;=20),
    "Within",
    "Breach")</f>
        <v>Breach</v>
      </c>
      <c r="M1629" s="1">
        <v>1.8171296296296297E-3</v>
      </c>
      <c r="N1629">
        <v>4</v>
      </c>
    </row>
    <row r="1630" spans="1:14" x14ac:dyDescent="0.3">
      <c r="A1630" t="s">
        <v>1682</v>
      </c>
      <c r="B1630" t="s">
        <v>22</v>
      </c>
      <c r="C1630" t="s">
        <v>1628</v>
      </c>
      <c r="D1630" s="1">
        <v>0.73700231481481482</v>
      </c>
      <c r="E1630" s="2">
        <f>CallLog[[#This Row],[Date]]+CallLog[[#This Row],[Time]]</f>
        <v>44225.737002314818</v>
      </c>
      <c r="F1630" s="1" t="str">
        <f>TEXT(CallLog[[#This Row],[Date]],"dddd")</f>
        <v>Friday</v>
      </c>
      <c r="G1630" s="3">
        <f>HOUR(CallLog[[#This Row],[Time]])</f>
        <v>17</v>
      </c>
      <c r="H1630" t="s">
        <v>29</v>
      </c>
      <c r="I1630" t="s">
        <v>14</v>
      </c>
      <c r="J1630" t="s">
        <v>14</v>
      </c>
      <c r="K1630">
        <v>28</v>
      </c>
      <c r="L1630" t="str">
        <f>IF(AND(CallLog[[#This Row],[Answered (Y/N)]]="Y", CallLog[[#This Row],[Speed of answer in seconds]]&lt;=20),
    "Within",
    "Breach")</f>
        <v>Breach</v>
      </c>
      <c r="M1630" s="1">
        <v>4.5138888888888892E-4</v>
      </c>
      <c r="N1630">
        <v>4</v>
      </c>
    </row>
    <row r="1631" spans="1:14" x14ac:dyDescent="0.3">
      <c r="A1631" t="s">
        <v>1683</v>
      </c>
      <c r="B1631" t="s">
        <v>11</v>
      </c>
      <c r="C1631" t="s">
        <v>1628</v>
      </c>
      <c r="D1631" s="1">
        <v>0.73700231481481482</v>
      </c>
      <c r="E1631" s="2">
        <f>CallLog[[#This Row],[Date]]+CallLog[[#This Row],[Time]]</f>
        <v>44225.737002314818</v>
      </c>
      <c r="F1631" s="1" t="str">
        <f>TEXT(CallLog[[#This Row],[Date]],"dddd")</f>
        <v>Friday</v>
      </c>
      <c r="G1631" s="3">
        <f>HOUR(CallLog[[#This Row],[Time]])</f>
        <v>17</v>
      </c>
      <c r="H1631" t="s">
        <v>32</v>
      </c>
      <c r="I1631" t="s">
        <v>14</v>
      </c>
      <c r="J1631" t="s">
        <v>18</v>
      </c>
      <c r="K1631">
        <v>43</v>
      </c>
      <c r="L1631" t="str">
        <f>IF(AND(CallLog[[#This Row],[Answered (Y/N)]]="Y", CallLog[[#This Row],[Speed of answer in seconds]]&lt;=20),
    "Within",
    "Breach")</f>
        <v>Breach</v>
      </c>
      <c r="M1631" s="1">
        <v>1.4814814814814814E-3</v>
      </c>
      <c r="N1631">
        <v>4</v>
      </c>
    </row>
    <row r="1632" spans="1:14" x14ac:dyDescent="0.3">
      <c r="A1632" t="s">
        <v>1684</v>
      </c>
      <c r="B1632" t="s">
        <v>20</v>
      </c>
      <c r="C1632" t="s">
        <v>1628</v>
      </c>
      <c r="D1632" s="1">
        <v>0.745</v>
      </c>
      <c r="E1632" s="2">
        <f>CallLog[[#This Row],[Date]]+CallLog[[#This Row],[Time]]</f>
        <v>44225.745000000003</v>
      </c>
      <c r="F1632" s="1" t="str">
        <f>TEXT(CallLog[[#This Row],[Date]],"dddd")</f>
        <v>Friday</v>
      </c>
      <c r="G1632" s="3">
        <f>HOUR(CallLog[[#This Row],[Time]])</f>
        <v>17</v>
      </c>
      <c r="H1632" t="s">
        <v>17</v>
      </c>
      <c r="I1632" t="s">
        <v>18</v>
      </c>
      <c r="J1632" t="s">
        <v>18</v>
      </c>
      <c r="L1632" t="str">
        <f>IF(AND(CallLog[[#This Row],[Answered (Y/N)]]="Y", CallLog[[#This Row],[Speed of answer in seconds]]&lt;=20),
    "Within",
    "Breach")</f>
        <v>Breach</v>
      </c>
    </row>
    <row r="1633" spans="1:14" x14ac:dyDescent="0.3">
      <c r="A1633" t="s">
        <v>1685</v>
      </c>
      <c r="B1633" t="s">
        <v>20</v>
      </c>
      <c r="C1633" t="s">
        <v>1628</v>
      </c>
      <c r="D1633" s="1">
        <v>0.745</v>
      </c>
      <c r="E1633" s="2">
        <f>CallLog[[#This Row],[Date]]+CallLog[[#This Row],[Time]]</f>
        <v>44225.745000000003</v>
      </c>
      <c r="F1633" s="1" t="str">
        <f>TEXT(CallLog[[#This Row],[Date]],"dddd")</f>
        <v>Friday</v>
      </c>
      <c r="G1633" s="3">
        <f>HOUR(CallLog[[#This Row],[Time]])</f>
        <v>17</v>
      </c>
      <c r="H1633" t="s">
        <v>29</v>
      </c>
      <c r="I1633" t="s">
        <v>14</v>
      </c>
      <c r="J1633" t="s">
        <v>14</v>
      </c>
      <c r="K1633">
        <v>53</v>
      </c>
      <c r="L1633" t="str">
        <f>IF(AND(CallLog[[#This Row],[Answered (Y/N)]]="Y", CallLog[[#This Row],[Speed of answer in seconds]]&lt;=20),
    "Within",
    "Breach")</f>
        <v>Breach</v>
      </c>
      <c r="M1633" s="1">
        <v>1.2037037037037038E-3</v>
      </c>
      <c r="N1633">
        <v>4</v>
      </c>
    </row>
    <row r="1634" spans="1:14" x14ac:dyDescent="0.3">
      <c r="A1634" t="s">
        <v>1686</v>
      </c>
      <c r="B1634" t="s">
        <v>11</v>
      </c>
      <c r="C1634" t="s">
        <v>1687</v>
      </c>
      <c r="D1634" s="1">
        <v>0.37900462962962961</v>
      </c>
      <c r="E1634" s="2">
        <f>CallLog[[#This Row],[Date]]+CallLog[[#This Row],[Time]]</f>
        <v>44226.379004629627</v>
      </c>
      <c r="F1634" s="1" t="str">
        <f>TEXT(CallLog[[#This Row],[Date]],"dddd")</f>
        <v>Saturday</v>
      </c>
      <c r="G1634" s="3">
        <f>HOUR(CallLog[[#This Row],[Time]])</f>
        <v>9</v>
      </c>
      <c r="H1634" t="s">
        <v>13</v>
      </c>
      <c r="I1634" t="s">
        <v>14</v>
      </c>
      <c r="J1634" t="s">
        <v>14</v>
      </c>
      <c r="K1634">
        <v>84</v>
      </c>
      <c r="L1634" t="str">
        <f>IF(AND(CallLog[[#This Row],[Answered (Y/N)]]="Y", CallLog[[#This Row],[Speed of answer in seconds]]&lt;=20),
    "Within",
    "Breach")</f>
        <v>Breach</v>
      </c>
      <c r="M1634" s="1">
        <v>1.1805555555555556E-3</v>
      </c>
      <c r="N1634">
        <v>4</v>
      </c>
    </row>
    <row r="1635" spans="1:14" x14ac:dyDescent="0.3">
      <c r="A1635" t="s">
        <v>1688</v>
      </c>
      <c r="B1635" t="s">
        <v>16</v>
      </c>
      <c r="C1635" t="s">
        <v>1687</v>
      </c>
      <c r="D1635" s="1">
        <v>0.37900462962962961</v>
      </c>
      <c r="E1635" s="2">
        <f>CallLog[[#This Row],[Date]]+CallLog[[#This Row],[Time]]</f>
        <v>44226.379004629627</v>
      </c>
      <c r="F1635" s="1" t="str">
        <f>TEXT(CallLog[[#This Row],[Date]],"dddd")</f>
        <v>Saturday</v>
      </c>
      <c r="G1635" s="3">
        <f>HOUR(CallLog[[#This Row],[Time]])</f>
        <v>9</v>
      </c>
      <c r="H1635" t="s">
        <v>24</v>
      </c>
      <c r="I1635" t="s">
        <v>14</v>
      </c>
      <c r="J1635" t="s">
        <v>14</v>
      </c>
      <c r="K1635">
        <v>84</v>
      </c>
      <c r="L1635" t="str">
        <f>IF(AND(CallLog[[#This Row],[Answered (Y/N)]]="Y", CallLog[[#This Row],[Speed of answer in seconds]]&lt;=20),
    "Within",
    "Breach")</f>
        <v>Breach</v>
      </c>
      <c r="M1635" s="1">
        <v>3.449074074074074E-3</v>
      </c>
      <c r="N1635">
        <v>5</v>
      </c>
    </row>
    <row r="1636" spans="1:14" x14ac:dyDescent="0.3">
      <c r="A1636" t="s">
        <v>1689</v>
      </c>
      <c r="B1636" t="s">
        <v>47</v>
      </c>
      <c r="C1636" t="s">
        <v>1687</v>
      </c>
      <c r="D1636" s="1">
        <v>0.4079976851851852</v>
      </c>
      <c r="E1636" s="2">
        <f>CallLog[[#This Row],[Date]]+CallLog[[#This Row],[Time]]</f>
        <v>44226.407997685186</v>
      </c>
      <c r="F1636" s="1" t="str">
        <f>TEXT(CallLog[[#This Row],[Date]],"dddd")</f>
        <v>Saturday</v>
      </c>
      <c r="G1636" s="3">
        <f>HOUR(CallLog[[#This Row],[Time]])</f>
        <v>9</v>
      </c>
      <c r="H1636" t="s">
        <v>29</v>
      </c>
      <c r="I1636" t="s">
        <v>14</v>
      </c>
      <c r="J1636" t="s">
        <v>14</v>
      </c>
      <c r="K1636">
        <v>12</v>
      </c>
      <c r="L1636" t="str">
        <f>IF(AND(CallLog[[#This Row],[Answered (Y/N)]]="Y", CallLog[[#This Row],[Speed of answer in seconds]]&lt;=20),
    "Within",
    "Breach")</f>
        <v>Within</v>
      </c>
      <c r="M1636" s="1">
        <v>4.1203703703703706E-3</v>
      </c>
      <c r="N1636">
        <v>5</v>
      </c>
    </row>
    <row r="1637" spans="1:14" x14ac:dyDescent="0.3">
      <c r="A1637" t="s">
        <v>1690</v>
      </c>
      <c r="B1637" t="s">
        <v>31</v>
      </c>
      <c r="C1637" t="s">
        <v>1687</v>
      </c>
      <c r="D1637" s="1">
        <v>0.4079976851851852</v>
      </c>
      <c r="E1637" s="2">
        <f>CallLog[[#This Row],[Date]]+CallLog[[#This Row],[Time]]</f>
        <v>44226.407997685186</v>
      </c>
      <c r="F1637" s="1" t="str">
        <f>TEXT(CallLog[[#This Row],[Date]],"dddd")</f>
        <v>Saturday</v>
      </c>
      <c r="G1637" s="3">
        <f>HOUR(CallLog[[#This Row],[Time]])</f>
        <v>9</v>
      </c>
      <c r="H1637" t="s">
        <v>13</v>
      </c>
      <c r="I1637" t="s">
        <v>14</v>
      </c>
      <c r="J1637" t="s">
        <v>14</v>
      </c>
      <c r="K1637">
        <v>85</v>
      </c>
      <c r="L1637" t="str">
        <f>IF(AND(CallLog[[#This Row],[Answered (Y/N)]]="Y", CallLog[[#This Row],[Speed of answer in seconds]]&lt;=20),
    "Within",
    "Breach")</f>
        <v>Breach</v>
      </c>
      <c r="M1637" s="1">
        <v>2.5694444444444445E-3</v>
      </c>
      <c r="N1637">
        <v>3</v>
      </c>
    </row>
    <row r="1638" spans="1:14" x14ac:dyDescent="0.3">
      <c r="A1638" t="s">
        <v>1691</v>
      </c>
      <c r="B1638" t="s">
        <v>11</v>
      </c>
      <c r="C1638" t="s">
        <v>1687</v>
      </c>
      <c r="D1638" s="1">
        <v>0.41200231481481481</v>
      </c>
      <c r="E1638" s="2">
        <f>CallLog[[#This Row],[Date]]+CallLog[[#This Row],[Time]]</f>
        <v>44226.412002314813</v>
      </c>
      <c r="F1638" s="1" t="str">
        <f>TEXT(CallLog[[#This Row],[Date]],"dddd")</f>
        <v>Saturday</v>
      </c>
      <c r="G1638" s="3">
        <f>HOUR(CallLog[[#This Row],[Time]])</f>
        <v>9</v>
      </c>
      <c r="H1638" t="s">
        <v>32</v>
      </c>
      <c r="I1638" t="s">
        <v>14</v>
      </c>
      <c r="J1638" t="s">
        <v>14</v>
      </c>
      <c r="K1638">
        <v>124</v>
      </c>
      <c r="L1638" t="str">
        <f>IF(AND(CallLog[[#This Row],[Answered (Y/N)]]="Y", CallLog[[#This Row],[Speed of answer in seconds]]&lt;=20),
    "Within",
    "Breach")</f>
        <v>Breach</v>
      </c>
      <c r="M1638" s="1">
        <v>7.0601851851851847E-4</v>
      </c>
      <c r="N1638">
        <v>4</v>
      </c>
    </row>
    <row r="1639" spans="1:14" x14ac:dyDescent="0.3">
      <c r="A1639" t="s">
        <v>1692</v>
      </c>
      <c r="B1639" t="s">
        <v>16</v>
      </c>
      <c r="C1639" t="s">
        <v>1687</v>
      </c>
      <c r="D1639" s="1">
        <v>0.41200231481481481</v>
      </c>
      <c r="E1639" s="2">
        <f>CallLog[[#This Row],[Date]]+CallLog[[#This Row],[Time]]</f>
        <v>44226.412002314813</v>
      </c>
      <c r="F1639" s="1" t="str">
        <f>TEXT(CallLog[[#This Row],[Date]],"dddd")</f>
        <v>Saturday</v>
      </c>
      <c r="G1639" s="3">
        <f>HOUR(CallLog[[#This Row],[Time]])</f>
        <v>9</v>
      </c>
      <c r="H1639" t="s">
        <v>24</v>
      </c>
      <c r="I1639" t="s">
        <v>14</v>
      </c>
      <c r="J1639" t="s">
        <v>18</v>
      </c>
      <c r="K1639">
        <v>92</v>
      </c>
      <c r="L1639" t="str">
        <f>IF(AND(CallLog[[#This Row],[Answered (Y/N)]]="Y", CallLog[[#This Row],[Speed of answer in seconds]]&lt;=20),
    "Within",
    "Breach")</f>
        <v>Breach</v>
      </c>
      <c r="M1639" s="1">
        <v>1.4004629629629629E-3</v>
      </c>
      <c r="N1639">
        <v>5</v>
      </c>
    </row>
    <row r="1640" spans="1:14" x14ac:dyDescent="0.3">
      <c r="A1640" t="s">
        <v>1693</v>
      </c>
      <c r="B1640" t="s">
        <v>20</v>
      </c>
      <c r="C1640" t="s">
        <v>1687</v>
      </c>
      <c r="D1640" s="1">
        <v>0.42200231481481482</v>
      </c>
      <c r="E1640" s="2">
        <f>CallLog[[#This Row],[Date]]+CallLog[[#This Row],[Time]]</f>
        <v>44226.422002314815</v>
      </c>
      <c r="F1640" s="1" t="str">
        <f>TEXT(CallLog[[#This Row],[Date]],"dddd")</f>
        <v>Saturday</v>
      </c>
      <c r="G1640" s="3">
        <f>HOUR(CallLog[[#This Row],[Time]])</f>
        <v>10</v>
      </c>
      <c r="H1640" t="s">
        <v>17</v>
      </c>
      <c r="I1640" t="s">
        <v>14</v>
      </c>
      <c r="J1640" t="s">
        <v>14</v>
      </c>
      <c r="K1640">
        <v>116</v>
      </c>
      <c r="L1640" t="str">
        <f>IF(AND(CallLog[[#This Row],[Answered (Y/N)]]="Y", CallLog[[#This Row],[Speed of answer in seconds]]&lt;=20),
    "Within",
    "Breach")</f>
        <v>Breach</v>
      </c>
      <c r="M1640" s="1">
        <v>2.4305555555555556E-3</v>
      </c>
      <c r="N1640">
        <v>1</v>
      </c>
    </row>
    <row r="1641" spans="1:14" x14ac:dyDescent="0.3">
      <c r="A1641" t="s">
        <v>1694</v>
      </c>
      <c r="B1641" t="s">
        <v>34</v>
      </c>
      <c r="C1641" t="s">
        <v>1687</v>
      </c>
      <c r="D1641" s="1">
        <v>0.42200231481481482</v>
      </c>
      <c r="E1641" s="2">
        <f>CallLog[[#This Row],[Date]]+CallLog[[#This Row],[Time]]</f>
        <v>44226.422002314815</v>
      </c>
      <c r="F1641" s="1" t="str">
        <f>TEXT(CallLog[[#This Row],[Date]],"dddd")</f>
        <v>Saturday</v>
      </c>
      <c r="G1641" s="3">
        <f>HOUR(CallLog[[#This Row],[Time]])</f>
        <v>10</v>
      </c>
      <c r="H1641" t="s">
        <v>32</v>
      </c>
      <c r="I1641" t="s">
        <v>14</v>
      </c>
      <c r="J1641" t="s">
        <v>14</v>
      </c>
      <c r="K1641">
        <v>118</v>
      </c>
      <c r="L1641" t="str">
        <f>IF(AND(CallLog[[#This Row],[Answered (Y/N)]]="Y", CallLog[[#This Row],[Speed of answer in seconds]]&lt;=20),
    "Within",
    "Breach")</f>
        <v>Breach</v>
      </c>
      <c r="M1641" s="1">
        <v>1.9212962962962964E-3</v>
      </c>
      <c r="N1641">
        <v>2</v>
      </c>
    </row>
    <row r="1642" spans="1:14" x14ac:dyDescent="0.3">
      <c r="A1642" t="s">
        <v>1695</v>
      </c>
      <c r="B1642" t="s">
        <v>22</v>
      </c>
      <c r="C1642" t="s">
        <v>1687</v>
      </c>
      <c r="D1642" s="1">
        <v>0.42299768518518521</v>
      </c>
      <c r="E1642" s="2">
        <f>CallLog[[#This Row],[Date]]+CallLog[[#This Row],[Time]]</f>
        <v>44226.422997685186</v>
      </c>
      <c r="F1642" s="1" t="str">
        <f>TEXT(CallLog[[#This Row],[Date]],"dddd")</f>
        <v>Saturday</v>
      </c>
      <c r="G1642" s="3">
        <f>HOUR(CallLog[[#This Row],[Time]])</f>
        <v>10</v>
      </c>
      <c r="H1642" t="s">
        <v>17</v>
      </c>
      <c r="I1642" t="s">
        <v>14</v>
      </c>
      <c r="J1642" t="s">
        <v>14</v>
      </c>
      <c r="K1642">
        <v>99</v>
      </c>
      <c r="L1642" t="str">
        <f>IF(AND(CallLog[[#This Row],[Answered (Y/N)]]="Y", CallLog[[#This Row],[Speed of answer in seconds]]&lt;=20),
    "Within",
    "Breach")</f>
        <v>Breach</v>
      </c>
      <c r="M1642" s="1">
        <v>1.7592592592592592E-3</v>
      </c>
      <c r="N1642">
        <v>2</v>
      </c>
    </row>
    <row r="1643" spans="1:14" x14ac:dyDescent="0.3">
      <c r="A1643" t="s">
        <v>1696</v>
      </c>
      <c r="B1643" t="s">
        <v>34</v>
      </c>
      <c r="C1643" t="s">
        <v>1687</v>
      </c>
      <c r="D1643" s="1">
        <v>0.42299768518518521</v>
      </c>
      <c r="E1643" s="2">
        <f>CallLog[[#This Row],[Date]]+CallLog[[#This Row],[Time]]</f>
        <v>44226.422997685186</v>
      </c>
      <c r="F1643" s="1" t="str">
        <f>TEXT(CallLog[[#This Row],[Date]],"dddd")</f>
        <v>Saturday</v>
      </c>
      <c r="G1643" s="3">
        <f>HOUR(CallLog[[#This Row],[Time]])</f>
        <v>10</v>
      </c>
      <c r="H1643" t="s">
        <v>24</v>
      </c>
      <c r="I1643" t="s">
        <v>14</v>
      </c>
      <c r="J1643" t="s">
        <v>14</v>
      </c>
      <c r="K1643">
        <v>77</v>
      </c>
      <c r="L1643" t="str">
        <f>IF(AND(CallLog[[#This Row],[Answered (Y/N)]]="Y", CallLog[[#This Row],[Speed of answer in seconds]]&lt;=20),
    "Within",
    "Breach")</f>
        <v>Breach</v>
      </c>
      <c r="M1643" s="1">
        <v>3.0555555555555557E-3</v>
      </c>
      <c r="N1643">
        <v>4</v>
      </c>
    </row>
    <row r="1644" spans="1:14" x14ac:dyDescent="0.3">
      <c r="A1644" t="s">
        <v>1697</v>
      </c>
      <c r="B1644" t="s">
        <v>31</v>
      </c>
      <c r="C1644" t="s">
        <v>1687</v>
      </c>
      <c r="D1644" s="1">
        <v>0.43599537037037039</v>
      </c>
      <c r="E1644" s="2">
        <f>CallLog[[#This Row],[Date]]+CallLog[[#This Row],[Time]]</f>
        <v>44226.435995370368</v>
      </c>
      <c r="F1644" s="1" t="str">
        <f>TEXT(CallLog[[#This Row],[Date]],"dddd")</f>
        <v>Saturday</v>
      </c>
      <c r="G1644" s="3">
        <f>HOUR(CallLog[[#This Row],[Time]])</f>
        <v>10</v>
      </c>
      <c r="H1644" t="s">
        <v>17</v>
      </c>
      <c r="I1644" t="s">
        <v>14</v>
      </c>
      <c r="J1644" t="s">
        <v>14</v>
      </c>
      <c r="K1644">
        <v>57</v>
      </c>
      <c r="L1644" t="str">
        <f>IF(AND(CallLog[[#This Row],[Answered (Y/N)]]="Y", CallLog[[#This Row],[Speed of answer in seconds]]&lt;=20),
    "Within",
    "Breach")</f>
        <v>Breach</v>
      </c>
      <c r="M1644" s="1">
        <v>3.0787037037037037E-3</v>
      </c>
      <c r="N1644">
        <v>5</v>
      </c>
    </row>
    <row r="1645" spans="1:14" x14ac:dyDescent="0.3">
      <c r="A1645" t="s">
        <v>1698</v>
      </c>
      <c r="B1645" t="s">
        <v>38</v>
      </c>
      <c r="C1645" t="s">
        <v>1687</v>
      </c>
      <c r="D1645" s="1">
        <v>0.43599537037037039</v>
      </c>
      <c r="E1645" s="2">
        <f>CallLog[[#This Row],[Date]]+CallLog[[#This Row],[Time]]</f>
        <v>44226.435995370368</v>
      </c>
      <c r="F1645" s="1" t="str">
        <f>TEXT(CallLog[[#This Row],[Date]],"dddd")</f>
        <v>Saturday</v>
      </c>
      <c r="G1645" s="3">
        <f>HOUR(CallLog[[#This Row],[Time]])</f>
        <v>10</v>
      </c>
      <c r="H1645" t="s">
        <v>32</v>
      </c>
      <c r="I1645" t="s">
        <v>14</v>
      </c>
      <c r="J1645" t="s">
        <v>14</v>
      </c>
      <c r="K1645">
        <v>113</v>
      </c>
      <c r="L1645" t="str">
        <f>IF(AND(CallLog[[#This Row],[Answered (Y/N)]]="Y", CallLog[[#This Row],[Speed of answer in seconds]]&lt;=20),
    "Within",
    "Breach")</f>
        <v>Breach</v>
      </c>
      <c r="M1645" s="1">
        <v>1.7824074074074075E-3</v>
      </c>
      <c r="N1645">
        <v>3</v>
      </c>
    </row>
    <row r="1646" spans="1:14" x14ac:dyDescent="0.3">
      <c r="A1646" t="s">
        <v>1699</v>
      </c>
      <c r="B1646" t="s">
        <v>16</v>
      </c>
      <c r="C1646" t="s">
        <v>1687</v>
      </c>
      <c r="D1646" s="1">
        <v>0.44500000000000001</v>
      </c>
      <c r="E1646" s="2">
        <f>CallLog[[#This Row],[Date]]+CallLog[[#This Row],[Time]]</f>
        <v>44226.445</v>
      </c>
      <c r="F1646" s="1" t="str">
        <f>TEXT(CallLog[[#This Row],[Date]],"dddd")</f>
        <v>Saturday</v>
      </c>
      <c r="G1646" s="3">
        <f>HOUR(CallLog[[#This Row],[Time]])</f>
        <v>10</v>
      </c>
      <c r="H1646" t="s">
        <v>24</v>
      </c>
      <c r="I1646" t="s">
        <v>14</v>
      </c>
      <c r="J1646" t="s">
        <v>14</v>
      </c>
      <c r="K1646">
        <v>22</v>
      </c>
      <c r="L1646" t="str">
        <f>IF(AND(CallLog[[#This Row],[Answered (Y/N)]]="Y", CallLog[[#This Row],[Speed of answer in seconds]]&lt;=20),
    "Within",
    "Breach")</f>
        <v>Breach</v>
      </c>
      <c r="M1646" s="1">
        <v>4.9768518518518521E-4</v>
      </c>
      <c r="N1646">
        <v>3</v>
      </c>
    </row>
    <row r="1647" spans="1:14" x14ac:dyDescent="0.3">
      <c r="A1647" t="s">
        <v>1700</v>
      </c>
      <c r="B1647" t="s">
        <v>11</v>
      </c>
      <c r="C1647" t="s">
        <v>1687</v>
      </c>
      <c r="D1647" s="1">
        <v>0.44500000000000001</v>
      </c>
      <c r="E1647" s="2">
        <f>CallLog[[#This Row],[Date]]+CallLog[[#This Row],[Time]]</f>
        <v>44226.445</v>
      </c>
      <c r="F1647" s="1" t="str">
        <f>TEXT(CallLog[[#This Row],[Date]],"dddd")</f>
        <v>Saturday</v>
      </c>
      <c r="G1647" s="3">
        <f>HOUR(CallLog[[#This Row],[Time]])</f>
        <v>10</v>
      </c>
      <c r="H1647" t="s">
        <v>24</v>
      </c>
      <c r="I1647" t="s">
        <v>14</v>
      </c>
      <c r="J1647" t="s">
        <v>14</v>
      </c>
      <c r="K1647">
        <v>20</v>
      </c>
      <c r="L1647" t="str">
        <f>IF(AND(CallLog[[#This Row],[Answered (Y/N)]]="Y", CallLog[[#This Row],[Speed of answer in seconds]]&lt;=20),
    "Within",
    "Breach")</f>
        <v>Within</v>
      </c>
      <c r="M1647" s="1">
        <v>3.449074074074074E-3</v>
      </c>
      <c r="N1647">
        <v>4</v>
      </c>
    </row>
    <row r="1648" spans="1:14" x14ac:dyDescent="0.3">
      <c r="A1648" t="s">
        <v>1701</v>
      </c>
      <c r="B1648" t="s">
        <v>47</v>
      </c>
      <c r="C1648" t="s">
        <v>1687</v>
      </c>
      <c r="D1648" s="1">
        <v>0.4670023148148148</v>
      </c>
      <c r="E1648" s="2">
        <f>CallLog[[#This Row],[Date]]+CallLog[[#This Row],[Time]]</f>
        <v>44226.467002314814</v>
      </c>
      <c r="F1648" s="1" t="str">
        <f>TEXT(CallLog[[#This Row],[Date]],"dddd")</f>
        <v>Saturday</v>
      </c>
      <c r="G1648" s="3">
        <f>HOUR(CallLog[[#This Row],[Time]])</f>
        <v>11</v>
      </c>
      <c r="H1648" t="s">
        <v>32</v>
      </c>
      <c r="I1648" t="s">
        <v>18</v>
      </c>
      <c r="J1648" t="s">
        <v>18</v>
      </c>
      <c r="L1648" t="str">
        <f>IF(AND(CallLog[[#This Row],[Answered (Y/N)]]="Y", CallLog[[#This Row],[Speed of answer in seconds]]&lt;=20),
    "Within",
    "Breach")</f>
        <v>Breach</v>
      </c>
    </row>
    <row r="1649" spans="1:14" x14ac:dyDescent="0.3">
      <c r="A1649" t="s">
        <v>1702</v>
      </c>
      <c r="B1649" t="s">
        <v>31</v>
      </c>
      <c r="C1649" t="s">
        <v>1687</v>
      </c>
      <c r="D1649" s="1">
        <v>0.4670023148148148</v>
      </c>
      <c r="E1649" s="2">
        <f>CallLog[[#This Row],[Date]]+CallLog[[#This Row],[Time]]</f>
        <v>44226.467002314814</v>
      </c>
      <c r="F1649" s="1" t="str">
        <f>TEXT(CallLog[[#This Row],[Date]],"dddd")</f>
        <v>Saturday</v>
      </c>
      <c r="G1649" s="3">
        <f>HOUR(CallLog[[#This Row],[Time]])</f>
        <v>11</v>
      </c>
      <c r="H1649" t="s">
        <v>17</v>
      </c>
      <c r="I1649" t="s">
        <v>14</v>
      </c>
      <c r="J1649" t="s">
        <v>14</v>
      </c>
      <c r="K1649">
        <v>23</v>
      </c>
      <c r="L1649" t="str">
        <f>IF(AND(CallLog[[#This Row],[Answered (Y/N)]]="Y", CallLog[[#This Row],[Speed of answer in seconds]]&lt;=20),
    "Within",
    "Breach")</f>
        <v>Breach</v>
      </c>
      <c r="M1649" s="1">
        <v>4.1550925925925922E-3</v>
      </c>
      <c r="N1649">
        <v>5</v>
      </c>
    </row>
    <row r="1650" spans="1:14" x14ac:dyDescent="0.3">
      <c r="A1650" t="s">
        <v>1703</v>
      </c>
      <c r="B1650" t="s">
        <v>31</v>
      </c>
      <c r="C1650" t="s">
        <v>1687</v>
      </c>
      <c r="D1650" s="1">
        <v>0.47700231481481481</v>
      </c>
      <c r="E1650" s="2">
        <f>CallLog[[#This Row],[Date]]+CallLog[[#This Row],[Time]]</f>
        <v>44226.477002314816</v>
      </c>
      <c r="F1650" s="1" t="str">
        <f>TEXT(CallLog[[#This Row],[Date]],"dddd")</f>
        <v>Saturday</v>
      </c>
      <c r="G1650" s="3">
        <f>HOUR(CallLog[[#This Row],[Time]])</f>
        <v>11</v>
      </c>
      <c r="H1650" t="s">
        <v>13</v>
      </c>
      <c r="I1650" t="s">
        <v>14</v>
      </c>
      <c r="J1650" t="s">
        <v>14</v>
      </c>
      <c r="K1650">
        <v>79</v>
      </c>
      <c r="L1650" t="str">
        <f>IF(AND(CallLog[[#This Row],[Answered (Y/N)]]="Y", CallLog[[#This Row],[Speed of answer in seconds]]&lt;=20),
    "Within",
    "Breach")</f>
        <v>Breach</v>
      </c>
      <c r="M1650" s="1">
        <v>3.1712962962962962E-3</v>
      </c>
      <c r="N1650">
        <v>4</v>
      </c>
    </row>
    <row r="1651" spans="1:14" x14ac:dyDescent="0.3">
      <c r="A1651" t="s">
        <v>1704</v>
      </c>
      <c r="B1651" t="s">
        <v>20</v>
      </c>
      <c r="C1651" t="s">
        <v>1687</v>
      </c>
      <c r="D1651" s="1">
        <v>0.47700231481481481</v>
      </c>
      <c r="E1651" s="2">
        <f>CallLog[[#This Row],[Date]]+CallLog[[#This Row],[Time]]</f>
        <v>44226.477002314816</v>
      </c>
      <c r="F1651" s="1" t="str">
        <f>TEXT(CallLog[[#This Row],[Date]],"dddd")</f>
        <v>Saturday</v>
      </c>
      <c r="G1651" s="3">
        <f>HOUR(CallLog[[#This Row],[Time]])</f>
        <v>11</v>
      </c>
      <c r="H1651" t="s">
        <v>13</v>
      </c>
      <c r="I1651" t="s">
        <v>14</v>
      </c>
      <c r="J1651" t="s">
        <v>18</v>
      </c>
      <c r="K1651">
        <v>94</v>
      </c>
      <c r="L1651" t="str">
        <f>IF(AND(CallLog[[#This Row],[Answered (Y/N)]]="Y", CallLog[[#This Row],[Speed of answer in seconds]]&lt;=20),
    "Within",
    "Breach")</f>
        <v>Breach</v>
      </c>
      <c r="M1651" s="1">
        <v>4.8148148148148152E-3</v>
      </c>
      <c r="N1651">
        <v>5</v>
      </c>
    </row>
    <row r="1652" spans="1:14" x14ac:dyDescent="0.3">
      <c r="A1652" t="s">
        <v>1705</v>
      </c>
      <c r="B1652" t="s">
        <v>31</v>
      </c>
      <c r="C1652" t="s">
        <v>1687</v>
      </c>
      <c r="D1652" s="1">
        <v>0.495</v>
      </c>
      <c r="E1652" s="2">
        <f>CallLog[[#This Row],[Date]]+CallLog[[#This Row],[Time]]</f>
        <v>44226.495000000003</v>
      </c>
      <c r="F1652" s="1" t="str">
        <f>TEXT(CallLog[[#This Row],[Date]],"dddd")</f>
        <v>Saturday</v>
      </c>
      <c r="G1652" s="3">
        <f>HOUR(CallLog[[#This Row],[Time]])</f>
        <v>11</v>
      </c>
      <c r="H1652" t="s">
        <v>17</v>
      </c>
      <c r="I1652" t="s">
        <v>14</v>
      </c>
      <c r="J1652" t="s">
        <v>14</v>
      </c>
      <c r="K1652">
        <v>118</v>
      </c>
      <c r="L1652" t="str">
        <f>IF(AND(CallLog[[#This Row],[Answered (Y/N)]]="Y", CallLog[[#This Row],[Speed of answer in seconds]]&lt;=20),
    "Within",
    "Breach")</f>
        <v>Breach</v>
      </c>
      <c r="M1652" s="1">
        <v>1.5393518518518519E-3</v>
      </c>
      <c r="N1652">
        <v>4</v>
      </c>
    </row>
    <row r="1653" spans="1:14" x14ac:dyDescent="0.3">
      <c r="A1653" t="s">
        <v>1706</v>
      </c>
      <c r="B1653" t="s">
        <v>38</v>
      </c>
      <c r="C1653" t="s">
        <v>1687</v>
      </c>
      <c r="D1653" s="1">
        <v>0.495</v>
      </c>
      <c r="E1653" s="2">
        <f>CallLog[[#This Row],[Date]]+CallLog[[#This Row],[Time]]</f>
        <v>44226.495000000003</v>
      </c>
      <c r="F1653" s="1" t="str">
        <f>TEXT(CallLog[[#This Row],[Date]],"dddd")</f>
        <v>Saturday</v>
      </c>
      <c r="G1653" s="3">
        <f>HOUR(CallLog[[#This Row],[Time]])</f>
        <v>11</v>
      </c>
      <c r="H1653" t="s">
        <v>29</v>
      </c>
      <c r="I1653" t="s">
        <v>14</v>
      </c>
      <c r="J1653" t="s">
        <v>18</v>
      </c>
      <c r="K1653">
        <v>68</v>
      </c>
      <c r="L1653" t="str">
        <f>IF(AND(CallLog[[#This Row],[Answered (Y/N)]]="Y", CallLog[[#This Row],[Speed of answer in seconds]]&lt;=20),
    "Within",
    "Breach")</f>
        <v>Breach</v>
      </c>
      <c r="M1653" s="1">
        <v>1.8287037037037037E-3</v>
      </c>
      <c r="N1653">
        <v>2</v>
      </c>
    </row>
    <row r="1654" spans="1:14" x14ac:dyDescent="0.3">
      <c r="A1654" t="s">
        <v>1707</v>
      </c>
      <c r="B1654" t="s">
        <v>11</v>
      </c>
      <c r="C1654" t="s">
        <v>1687</v>
      </c>
      <c r="D1654" s="1">
        <v>0.51200231481481484</v>
      </c>
      <c r="E1654" s="2">
        <f>CallLog[[#This Row],[Date]]+CallLog[[#This Row],[Time]]</f>
        <v>44226.512002314812</v>
      </c>
      <c r="F1654" s="1" t="str">
        <f>TEXT(CallLog[[#This Row],[Date]],"dddd")</f>
        <v>Saturday</v>
      </c>
      <c r="G1654" s="3">
        <f>HOUR(CallLog[[#This Row],[Time]])</f>
        <v>12</v>
      </c>
      <c r="H1654" t="s">
        <v>32</v>
      </c>
      <c r="I1654" t="s">
        <v>14</v>
      </c>
      <c r="J1654" t="s">
        <v>14</v>
      </c>
      <c r="K1654">
        <v>53</v>
      </c>
      <c r="L1654" t="str">
        <f>IF(AND(CallLog[[#This Row],[Answered (Y/N)]]="Y", CallLog[[#This Row],[Speed of answer in seconds]]&lt;=20),
    "Within",
    "Breach")</f>
        <v>Breach</v>
      </c>
      <c r="M1654" s="1">
        <v>9.7222222222222219E-4</v>
      </c>
      <c r="N1654">
        <v>3</v>
      </c>
    </row>
    <row r="1655" spans="1:14" x14ac:dyDescent="0.3">
      <c r="A1655" t="s">
        <v>1708</v>
      </c>
      <c r="B1655" t="s">
        <v>20</v>
      </c>
      <c r="C1655" t="s">
        <v>1687</v>
      </c>
      <c r="D1655" s="1">
        <v>0.51200231481481484</v>
      </c>
      <c r="E1655" s="2">
        <f>CallLog[[#This Row],[Date]]+CallLog[[#This Row],[Time]]</f>
        <v>44226.512002314812</v>
      </c>
      <c r="F1655" s="1" t="str">
        <f>TEXT(CallLog[[#This Row],[Date]],"dddd")</f>
        <v>Saturday</v>
      </c>
      <c r="G1655" s="3">
        <f>HOUR(CallLog[[#This Row],[Time]])</f>
        <v>12</v>
      </c>
      <c r="H1655" t="s">
        <v>29</v>
      </c>
      <c r="I1655" t="s">
        <v>14</v>
      </c>
      <c r="J1655" t="s">
        <v>14</v>
      </c>
      <c r="K1655">
        <v>52</v>
      </c>
      <c r="L1655" t="str">
        <f>IF(AND(CallLog[[#This Row],[Answered (Y/N)]]="Y", CallLog[[#This Row],[Speed of answer in seconds]]&lt;=20),
    "Within",
    "Breach")</f>
        <v>Breach</v>
      </c>
      <c r="M1655" s="1">
        <v>4.2824074074074075E-3</v>
      </c>
      <c r="N1655">
        <v>3</v>
      </c>
    </row>
    <row r="1656" spans="1:14" x14ac:dyDescent="0.3">
      <c r="A1656" t="s">
        <v>1709</v>
      </c>
      <c r="B1656" t="s">
        <v>47</v>
      </c>
      <c r="C1656" t="s">
        <v>1687</v>
      </c>
      <c r="D1656" s="1">
        <v>0.51599537037037035</v>
      </c>
      <c r="E1656" s="2">
        <f>CallLog[[#This Row],[Date]]+CallLog[[#This Row],[Time]]</f>
        <v>44226.51599537037</v>
      </c>
      <c r="F1656" s="1" t="str">
        <f>TEXT(CallLog[[#This Row],[Date]],"dddd")</f>
        <v>Saturday</v>
      </c>
      <c r="G1656" s="3">
        <f>HOUR(CallLog[[#This Row],[Time]])</f>
        <v>12</v>
      </c>
      <c r="H1656" t="s">
        <v>24</v>
      </c>
      <c r="I1656" t="s">
        <v>14</v>
      </c>
      <c r="J1656" t="s">
        <v>14</v>
      </c>
      <c r="K1656">
        <v>13</v>
      </c>
      <c r="L1656" t="str">
        <f>IF(AND(CallLog[[#This Row],[Answered (Y/N)]]="Y", CallLog[[#This Row],[Speed of answer in seconds]]&lt;=20),
    "Within",
    "Breach")</f>
        <v>Within</v>
      </c>
      <c r="M1656" s="1">
        <v>4.0625000000000001E-3</v>
      </c>
      <c r="N1656">
        <v>3</v>
      </c>
    </row>
    <row r="1657" spans="1:14" x14ac:dyDescent="0.3">
      <c r="A1657" t="s">
        <v>1710</v>
      </c>
      <c r="B1657" t="s">
        <v>11</v>
      </c>
      <c r="C1657" t="s">
        <v>1687</v>
      </c>
      <c r="D1657" s="1">
        <v>0.51599537037037035</v>
      </c>
      <c r="E1657" s="2">
        <f>CallLog[[#This Row],[Date]]+CallLog[[#This Row],[Time]]</f>
        <v>44226.51599537037</v>
      </c>
      <c r="F1657" s="1" t="str">
        <f>TEXT(CallLog[[#This Row],[Date]],"dddd")</f>
        <v>Saturday</v>
      </c>
      <c r="G1657" s="3">
        <f>HOUR(CallLog[[#This Row],[Time]])</f>
        <v>12</v>
      </c>
      <c r="H1657" t="s">
        <v>13</v>
      </c>
      <c r="I1657" t="s">
        <v>14</v>
      </c>
      <c r="J1657" t="s">
        <v>14</v>
      </c>
      <c r="K1657">
        <v>78</v>
      </c>
      <c r="L1657" t="str">
        <f>IF(AND(CallLog[[#This Row],[Answered (Y/N)]]="Y", CallLog[[#This Row],[Speed of answer in seconds]]&lt;=20),
    "Within",
    "Breach")</f>
        <v>Breach</v>
      </c>
      <c r="M1657" s="1">
        <v>3.1712962962962962E-3</v>
      </c>
      <c r="N1657">
        <v>5</v>
      </c>
    </row>
    <row r="1658" spans="1:14" x14ac:dyDescent="0.3">
      <c r="A1658" t="s">
        <v>1711</v>
      </c>
      <c r="B1658" t="s">
        <v>47</v>
      </c>
      <c r="C1658" t="s">
        <v>1687</v>
      </c>
      <c r="D1658" s="1">
        <v>0.52599537037037036</v>
      </c>
      <c r="E1658" s="2">
        <f>CallLog[[#This Row],[Date]]+CallLog[[#This Row],[Time]]</f>
        <v>44226.525995370372</v>
      </c>
      <c r="F1658" s="1" t="str">
        <f>TEXT(CallLog[[#This Row],[Date]],"dddd")</f>
        <v>Saturday</v>
      </c>
      <c r="G1658" s="3">
        <f>HOUR(CallLog[[#This Row],[Time]])</f>
        <v>12</v>
      </c>
      <c r="H1658" t="s">
        <v>13</v>
      </c>
      <c r="I1658" t="s">
        <v>14</v>
      </c>
      <c r="J1658" t="s">
        <v>14</v>
      </c>
      <c r="K1658">
        <v>32</v>
      </c>
      <c r="L1658" t="str">
        <f>IF(AND(CallLog[[#This Row],[Answered (Y/N)]]="Y", CallLog[[#This Row],[Speed of answer in seconds]]&lt;=20),
    "Within",
    "Breach")</f>
        <v>Breach</v>
      </c>
      <c r="M1658" s="1">
        <v>1.4467592592592592E-3</v>
      </c>
      <c r="N1658">
        <v>4</v>
      </c>
    </row>
    <row r="1659" spans="1:14" x14ac:dyDescent="0.3">
      <c r="A1659" t="s">
        <v>1712</v>
      </c>
      <c r="B1659" t="s">
        <v>38</v>
      </c>
      <c r="C1659" t="s">
        <v>1687</v>
      </c>
      <c r="D1659" s="1">
        <v>0.52599537037037036</v>
      </c>
      <c r="E1659" s="2">
        <f>CallLog[[#This Row],[Date]]+CallLog[[#This Row],[Time]]</f>
        <v>44226.525995370372</v>
      </c>
      <c r="F1659" s="1" t="str">
        <f>TEXT(CallLog[[#This Row],[Date]],"dddd")</f>
        <v>Saturday</v>
      </c>
      <c r="G1659" s="3">
        <f>HOUR(CallLog[[#This Row],[Time]])</f>
        <v>12</v>
      </c>
      <c r="H1659" t="s">
        <v>13</v>
      </c>
      <c r="I1659" t="s">
        <v>18</v>
      </c>
      <c r="J1659" t="s">
        <v>18</v>
      </c>
      <c r="L1659" t="str">
        <f>IF(AND(CallLog[[#This Row],[Answered (Y/N)]]="Y", CallLog[[#This Row],[Speed of answer in seconds]]&lt;=20),
    "Within",
    "Breach")</f>
        <v>Breach</v>
      </c>
    </row>
    <row r="1660" spans="1:14" x14ac:dyDescent="0.3">
      <c r="A1660" t="s">
        <v>1713</v>
      </c>
      <c r="B1660" t="s">
        <v>38</v>
      </c>
      <c r="C1660" t="s">
        <v>1687</v>
      </c>
      <c r="D1660" s="1">
        <v>0.52799768518518519</v>
      </c>
      <c r="E1660" s="2">
        <f>CallLog[[#This Row],[Date]]+CallLog[[#This Row],[Time]]</f>
        <v>44226.527997685182</v>
      </c>
      <c r="F1660" s="1" t="str">
        <f>TEXT(CallLog[[#This Row],[Date]],"dddd")</f>
        <v>Saturday</v>
      </c>
      <c r="G1660" s="3">
        <f>HOUR(CallLog[[#This Row],[Time]])</f>
        <v>12</v>
      </c>
      <c r="H1660" t="s">
        <v>29</v>
      </c>
      <c r="I1660" t="s">
        <v>14</v>
      </c>
      <c r="J1660" t="s">
        <v>14</v>
      </c>
      <c r="K1660">
        <v>13</v>
      </c>
      <c r="L1660" t="str">
        <f>IF(AND(CallLog[[#This Row],[Answered (Y/N)]]="Y", CallLog[[#This Row],[Speed of answer in seconds]]&lt;=20),
    "Within",
    "Breach")</f>
        <v>Within</v>
      </c>
      <c r="M1660" s="1">
        <v>1.4236111111111112E-3</v>
      </c>
      <c r="N1660">
        <v>4</v>
      </c>
    </row>
    <row r="1661" spans="1:14" x14ac:dyDescent="0.3">
      <c r="A1661" t="s">
        <v>1714</v>
      </c>
      <c r="B1661" t="s">
        <v>22</v>
      </c>
      <c r="C1661" t="s">
        <v>1687</v>
      </c>
      <c r="D1661" s="1">
        <v>0.52799768518518519</v>
      </c>
      <c r="E1661" s="2">
        <f>CallLog[[#This Row],[Date]]+CallLog[[#This Row],[Time]]</f>
        <v>44226.527997685182</v>
      </c>
      <c r="F1661" s="1" t="str">
        <f>TEXT(CallLog[[#This Row],[Date]],"dddd")</f>
        <v>Saturday</v>
      </c>
      <c r="G1661" s="3">
        <f>HOUR(CallLog[[#This Row],[Time]])</f>
        <v>12</v>
      </c>
      <c r="H1661" t="s">
        <v>32</v>
      </c>
      <c r="I1661" t="s">
        <v>14</v>
      </c>
      <c r="J1661" t="s">
        <v>18</v>
      </c>
      <c r="K1661">
        <v>91</v>
      </c>
      <c r="L1661" t="str">
        <f>IF(AND(CallLog[[#This Row],[Answered (Y/N)]]="Y", CallLog[[#This Row],[Speed of answer in seconds]]&lt;=20),
    "Within",
    "Breach")</f>
        <v>Breach</v>
      </c>
      <c r="M1661" s="1">
        <v>2.7893518518518519E-3</v>
      </c>
      <c r="N1661">
        <v>3</v>
      </c>
    </row>
    <row r="1662" spans="1:14" x14ac:dyDescent="0.3">
      <c r="A1662" t="s">
        <v>1715</v>
      </c>
      <c r="B1662" t="s">
        <v>31</v>
      </c>
      <c r="C1662" t="s">
        <v>1687</v>
      </c>
      <c r="D1662" s="1">
        <v>0.53099537037037037</v>
      </c>
      <c r="E1662" s="2">
        <f>CallLog[[#This Row],[Date]]+CallLog[[#This Row],[Time]]</f>
        <v>44226.530995370369</v>
      </c>
      <c r="F1662" s="1" t="str">
        <f>TEXT(CallLog[[#This Row],[Date]],"dddd")</f>
        <v>Saturday</v>
      </c>
      <c r="G1662" s="3">
        <f>HOUR(CallLog[[#This Row],[Time]])</f>
        <v>12</v>
      </c>
      <c r="H1662" t="s">
        <v>29</v>
      </c>
      <c r="I1662" t="s">
        <v>14</v>
      </c>
      <c r="J1662" t="s">
        <v>14</v>
      </c>
      <c r="K1662">
        <v>41</v>
      </c>
      <c r="L1662" t="str">
        <f>IF(AND(CallLog[[#This Row],[Answered (Y/N)]]="Y", CallLog[[#This Row],[Speed of answer in seconds]]&lt;=20),
    "Within",
    "Breach")</f>
        <v>Breach</v>
      </c>
      <c r="M1662" s="1">
        <v>1.0185185185185184E-3</v>
      </c>
      <c r="N1662">
        <v>3</v>
      </c>
    </row>
    <row r="1663" spans="1:14" x14ac:dyDescent="0.3">
      <c r="A1663" t="s">
        <v>1716</v>
      </c>
      <c r="B1663" t="s">
        <v>16</v>
      </c>
      <c r="C1663" t="s">
        <v>1687</v>
      </c>
      <c r="D1663" s="1">
        <v>0.53099537037037037</v>
      </c>
      <c r="E1663" s="2">
        <f>CallLog[[#This Row],[Date]]+CallLog[[#This Row],[Time]]</f>
        <v>44226.530995370369</v>
      </c>
      <c r="F1663" s="1" t="str">
        <f>TEXT(CallLog[[#This Row],[Date]],"dddd")</f>
        <v>Saturday</v>
      </c>
      <c r="G1663" s="3">
        <f>HOUR(CallLog[[#This Row],[Time]])</f>
        <v>12</v>
      </c>
      <c r="H1663" t="s">
        <v>32</v>
      </c>
      <c r="I1663" t="s">
        <v>14</v>
      </c>
      <c r="J1663" t="s">
        <v>14</v>
      </c>
      <c r="K1663">
        <v>69</v>
      </c>
      <c r="L1663" t="str">
        <f>IF(AND(CallLog[[#This Row],[Answered (Y/N)]]="Y", CallLog[[#This Row],[Speed of answer in seconds]]&lt;=20),
    "Within",
    "Breach")</f>
        <v>Breach</v>
      </c>
      <c r="M1663" s="1">
        <v>4.8379629629629632E-3</v>
      </c>
      <c r="N1663">
        <v>2</v>
      </c>
    </row>
    <row r="1664" spans="1:14" x14ac:dyDescent="0.3">
      <c r="A1664" t="s">
        <v>1717</v>
      </c>
      <c r="B1664" t="s">
        <v>20</v>
      </c>
      <c r="C1664" t="s">
        <v>1687</v>
      </c>
      <c r="D1664" s="1">
        <v>0.53400462962962958</v>
      </c>
      <c r="E1664" s="2">
        <f>CallLog[[#This Row],[Date]]+CallLog[[#This Row],[Time]]</f>
        <v>44226.534004629626</v>
      </c>
      <c r="F1664" s="1" t="str">
        <f>TEXT(CallLog[[#This Row],[Date]],"dddd")</f>
        <v>Saturday</v>
      </c>
      <c r="G1664" s="3">
        <f>HOUR(CallLog[[#This Row],[Time]])</f>
        <v>12</v>
      </c>
      <c r="H1664" t="s">
        <v>24</v>
      </c>
      <c r="I1664" t="s">
        <v>14</v>
      </c>
      <c r="J1664" t="s">
        <v>14</v>
      </c>
      <c r="K1664">
        <v>116</v>
      </c>
      <c r="L1664" t="str">
        <f>IF(AND(CallLog[[#This Row],[Answered (Y/N)]]="Y", CallLog[[#This Row],[Speed of answer in seconds]]&lt;=20),
    "Within",
    "Breach")</f>
        <v>Breach</v>
      </c>
      <c r="M1664" s="1">
        <v>4.31712962962963E-3</v>
      </c>
      <c r="N1664">
        <v>4</v>
      </c>
    </row>
    <row r="1665" spans="1:14" x14ac:dyDescent="0.3">
      <c r="A1665" t="s">
        <v>1718</v>
      </c>
      <c r="B1665" t="s">
        <v>16</v>
      </c>
      <c r="C1665" t="s">
        <v>1687</v>
      </c>
      <c r="D1665" s="1">
        <v>0.53400462962962958</v>
      </c>
      <c r="E1665" s="2">
        <f>CallLog[[#This Row],[Date]]+CallLog[[#This Row],[Time]]</f>
        <v>44226.534004629626</v>
      </c>
      <c r="F1665" s="1" t="str">
        <f>TEXT(CallLog[[#This Row],[Date]],"dddd")</f>
        <v>Saturday</v>
      </c>
      <c r="G1665" s="3">
        <f>HOUR(CallLog[[#This Row],[Time]])</f>
        <v>12</v>
      </c>
      <c r="H1665" t="s">
        <v>24</v>
      </c>
      <c r="I1665" t="s">
        <v>14</v>
      </c>
      <c r="J1665" t="s">
        <v>18</v>
      </c>
      <c r="K1665">
        <v>98</v>
      </c>
      <c r="L1665" t="str">
        <f>IF(AND(CallLog[[#This Row],[Answered (Y/N)]]="Y", CallLog[[#This Row],[Speed of answer in seconds]]&lt;=20),
    "Within",
    "Breach")</f>
        <v>Breach</v>
      </c>
      <c r="M1665" s="1">
        <v>4.2939814814814811E-3</v>
      </c>
      <c r="N1665">
        <v>5</v>
      </c>
    </row>
    <row r="1666" spans="1:14" x14ac:dyDescent="0.3">
      <c r="A1666" t="s">
        <v>1719</v>
      </c>
      <c r="B1666" t="s">
        <v>47</v>
      </c>
      <c r="C1666" t="s">
        <v>1687</v>
      </c>
      <c r="D1666" s="1">
        <v>0.53599537037037037</v>
      </c>
      <c r="E1666" s="2">
        <f>CallLog[[#This Row],[Date]]+CallLog[[#This Row],[Time]]</f>
        <v>44226.535995370374</v>
      </c>
      <c r="F1666" s="1" t="str">
        <f>TEXT(CallLog[[#This Row],[Date]],"dddd")</f>
        <v>Saturday</v>
      </c>
      <c r="G1666" s="3">
        <f>HOUR(CallLog[[#This Row],[Time]])</f>
        <v>12</v>
      </c>
      <c r="H1666" t="s">
        <v>24</v>
      </c>
      <c r="I1666" t="s">
        <v>14</v>
      </c>
      <c r="J1666" t="s">
        <v>14</v>
      </c>
      <c r="K1666">
        <v>16</v>
      </c>
      <c r="L1666" t="str">
        <f>IF(AND(CallLog[[#This Row],[Answered (Y/N)]]="Y", CallLog[[#This Row],[Speed of answer in seconds]]&lt;=20),
    "Within",
    "Breach")</f>
        <v>Within</v>
      </c>
      <c r="M1666" s="1">
        <v>2.8703703703703703E-3</v>
      </c>
      <c r="N1666">
        <v>1</v>
      </c>
    </row>
    <row r="1667" spans="1:14" x14ac:dyDescent="0.3">
      <c r="A1667" t="s">
        <v>1720</v>
      </c>
      <c r="B1667" t="s">
        <v>38</v>
      </c>
      <c r="C1667" t="s">
        <v>1687</v>
      </c>
      <c r="D1667" s="1">
        <v>0.53599537037037037</v>
      </c>
      <c r="E1667" s="2">
        <f>CallLog[[#This Row],[Date]]+CallLog[[#This Row],[Time]]</f>
        <v>44226.535995370374</v>
      </c>
      <c r="F1667" s="1" t="str">
        <f>TEXT(CallLog[[#This Row],[Date]],"dddd")</f>
        <v>Saturday</v>
      </c>
      <c r="G1667" s="3">
        <f>HOUR(CallLog[[#This Row],[Time]])</f>
        <v>12</v>
      </c>
      <c r="H1667" t="s">
        <v>17</v>
      </c>
      <c r="I1667" t="s">
        <v>14</v>
      </c>
      <c r="J1667" t="s">
        <v>14</v>
      </c>
      <c r="K1667">
        <v>43</v>
      </c>
      <c r="L1667" t="str">
        <f>IF(AND(CallLog[[#This Row],[Answered (Y/N)]]="Y", CallLog[[#This Row],[Speed of answer in seconds]]&lt;=20),
    "Within",
    "Breach")</f>
        <v>Breach</v>
      </c>
      <c r="M1667" s="1">
        <v>1.3194444444444445E-3</v>
      </c>
      <c r="N1667">
        <v>1</v>
      </c>
    </row>
    <row r="1668" spans="1:14" x14ac:dyDescent="0.3">
      <c r="A1668" t="s">
        <v>1721</v>
      </c>
      <c r="B1668" t="s">
        <v>47</v>
      </c>
      <c r="C1668" t="s">
        <v>1687</v>
      </c>
      <c r="D1668" s="1">
        <v>0.54400462962962959</v>
      </c>
      <c r="E1668" s="2">
        <f>CallLog[[#This Row],[Date]]+CallLog[[#This Row],[Time]]</f>
        <v>44226.544004629628</v>
      </c>
      <c r="F1668" s="1" t="str">
        <f>TEXT(CallLog[[#This Row],[Date]],"dddd")</f>
        <v>Saturday</v>
      </c>
      <c r="G1668" s="3">
        <f>HOUR(CallLog[[#This Row],[Time]])</f>
        <v>13</v>
      </c>
      <c r="H1668" t="s">
        <v>32</v>
      </c>
      <c r="I1668" t="s">
        <v>14</v>
      </c>
      <c r="J1668" t="s">
        <v>14</v>
      </c>
      <c r="K1668">
        <v>17</v>
      </c>
      <c r="L1668" t="str">
        <f>IF(AND(CallLog[[#This Row],[Answered (Y/N)]]="Y", CallLog[[#This Row],[Speed of answer in seconds]]&lt;=20),
    "Within",
    "Breach")</f>
        <v>Within</v>
      </c>
      <c r="M1668" s="1">
        <v>2.5462962962962965E-3</v>
      </c>
      <c r="N1668">
        <v>5</v>
      </c>
    </row>
    <row r="1669" spans="1:14" x14ac:dyDescent="0.3">
      <c r="A1669" t="s">
        <v>1722</v>
      </c>
      <c r="B1669" t="s">
        <v>16</v>
      </c>
      <c r="C1669" t="s">
        <v>1687</v>
      </c>
      <c r="D1669" s="1">
        <v>0.54400462962962959</v>
      </c>
      <c r="E1669" s="2">
        <f>CallLog[[#This Row],[Date]]+CallLog[[#This Row],[Time]]</f>
        <v>44226.544004629628</v>
      </c>
      <c r="F1669" s="1" t="str">
        <f>TEXT(CallLog[[#This Row],[Date]],"dddd")</f>
        <v>Saturday</v>
      </c>
      <c r="G1669" s="3">
        <f>HOUR(CallLog[[#This Row],[Time]])</f>
        <v>13</v>
      </c>
      <c r="H1669" t="s">
        <v>17</v>
      </c>
      <c r="I1669" t="s">
        <v>14</v>
      </c>
      <c r="J1669" t="s">
        <v>14</v>
      </c>
      <c r="K1669">
        <v>27</v>
      </c>
      <c r="L1669" t="str">
        <f>IF(AND(CallLog[[#This Row],[Answered (Y/N)]]="Y", CallLog[[#This Row],[Speed of answer in seconds]]&lt;=20),
    "Within",
    "Breach")</f>
        <v>Breach</v>
      </c>
      <c r="M1669" s="1">
        <v>1.9328703703703704E-3</v>
      </c>
      <c r="N1669">
        <v>5</v>
      </c>
    </row>
    <row r="1670" spans="1:14" x14ac:dyDescent="0.3">
      <c r="A1670" t="s">
        <v>1723</v>
      </c>
      <c r="B1670" t="s">
        <v>16</v>
      </c>
      <c r="C1670" t="s">
        <v>1687</v>
      </c>
      <c r="D1670" s="1">
        <v>0.56900462962962961</v>
      </c>
      <c r="E1670" s="2">
        <f>CallLog[[#This Row],[Date]]+CallLog[[#This Row],[Time]]</f>
        <v>44226.569004629629</v>
      </c>
      <c r="F1670" s="1" t="str">
        <f>TEXT(CallLog[[#This Row],[Date]],"dddd")</f>
        <v>Saturday</v>
      </c>
      <c r="G1670" s="3">
        <f>HOUR(CallLog[[#This Row],[Time]])</f>
        <v>13</v>
      </c>
      <c r="H1670" t="s">
        <v>29</v>
      </c>
      <c r="I1670" t="s">
        <v>14</v>
      </c>
      <c r="J1670" t="s">
        <v>14</v>
      </c>
      <c r="K1670">
        <v>88</v>
      </c>
      <c r="L1670" t="str">
        <f>IF(AND(CallLog[[#This Row],[Answered (Y/N)]]="Y", CallLog[[#This Row],[Speed of answer in seconds]]&lt;=20),
    "Within",
    "Breach")</f>
        <v>Breach</v>
      </c>
      <c r="M1670" s="1">
        <v>4.3055555555555555E-3</v>
      </c>
      <c r="N1670">
        <v>5</v>
      </c>
    </row>
    <row r="1671" spans="1:14" x14ac:dyDescent="0.3">
      <c r="A1671" t="s">
        <v>1724</v>
      </c>
      <c r="B1671" t="s">
        <v>47</v>
      </c>
      <c r="C1671" t="s">
        <v>1687</v>
      </c>
      <c r="D1671" s="1">
        <v>0.56900462962962961</v>
      </c>
      <c r="E1671" s="2">
        <f>CallLog[[#This Row],[Date]]+CallLog[[#This Row],[Time]]</f>
        <v>44226.569004629629</v>
      </c>
      <c r="F1671" s="1" t="str">
        <f>TEXT(CallLog[[#This Row],[Date]],"dddd")</f>
        <v>Saturday</v>
      </c>
      <c r="G1671" s="3">
        <f>HOUR(CallLog[[#This Row],[Time]])</f>
        <v>13</v>
      </c>
      <c r="H1671" t="s">
        <v>17</v>
      </c>
      <c r="I1671" t="s">
        <v>14</v>
      </c>
      <c r="J1671" t="s">
        <v>18</v>
      </c>
      <c r="K1671">
        <v>45</v>
      </c>
      <c r="L1671" t="str">
        <f>IF(AND(CallLog[[#This Row],[Answered (Y/N)]]="Y", CallLog[[#This Row],[Speed of answer in seconds]]&lt;=20),
    "Within",
    "Breach")</f>
        <v>Breach</v>
      </c>
      <c r="M1671" s="1">
        <v>4.7453703703703703E-3</v>
      </c>
      <c r="N1671">
        <v>4</v>
      </c>
    </row>
    <row r="1672" spans="1:14" x14ac:dyDescent="0.3">
      <c r="A1672" t="s">
        <v>1725</v>
      </c>
      <c r="B1672" t="s">
        <v>34</v>
      </c>
      <c r="C1672" t="s">
        <v>1687</v>
      </c>
      <c r="D1672" s="1">
        <v>0.58400462962962962</v>
      </c>
      <c r="E1672" s="2">
        <f>CallLog[[#This Row],[Date]]+CallLog[[#This Row],[Time]]</f>
        <v>44226.584004629629</v>
      </c>
      <c r="F1672" s="1" t="str">
        <f>TEXT(CallLog[[#This Row],[Date]],"dddd")</f>
        <v>Saturday</v>
      </c>
      <c r="G1672" s="3">
        <f>HOUR(CallLog[[#This Row],[Time]])</f>
        <v>14</v>
      </c>
      <c r="H1672" t="s">
        <v>17</v>
      </c>
      <c r="I1672" t="s">
        <v>14</v>
      </c>
      <c r="J1672" t="s">
        <v>18</v>
      </c>
      <c r="K1672">
        <v>19</v>
      </c>
      <c r="L1672" t="str">
        <f>IF(AND(CallLog[[#This Row],[Answered (Y/N)]]="Y", CallLog[[#This Row],[Speed of answer in seconds]]&lt;=20),
    "Within",
    "Breach")</f>
        <v>Within</v>
      </c>
      <c r="M1672" s="1">
        <v>1.5740740740740741E-3</v>
      </c>
      <c r="N1672">
        <v>4</v>
      </c>
    </row>
    <row r="1673" spans="1:14" x14ac:dyDescent="0.3">
      <c r="A1673" t="s">
        <v>1726</v>
      </c>
      <c r="B1673" t="s">
        <v>34</v>
      </c>
      <c r="C1673" t="s">
        <v>1687</v>
      </c>
      <c r="D1673" s="1">
        <v>0.58400462962962962</v>
      </c>
      <c r="E1673" s="2">
        <f>CallLog[[#This Row],[Date]]+CallLog[[#This Row],[Time]]</f>
        <v>44226.584004629629</v>
      </c>
      <c r="F1673" s="1" t="str">
        <f>TEXT(CallLog[[#This Row],[Date]],"dddd")</f>
        <v>Saturday</v>
      </c>
      <c r="G1673" s="3">
        <f>HOUR(CallLog[[#This Row],[Time]])</f>
        <v>14</v>
      </c>
      <c r="H1673" t="s">
        <v>24</v>
      </c>
      <c r="I1673" t="s">
        <v>18</v>
      </c>
      <c r="J1673" t="s">
        <v>18</v>
      </c>
      <c r="L1673" t="str">
        <f>IF(AND(CallLog[[#This Row],[Answered (Y/N)]]="Y", CallLog[[#This Row],[Speed of answer in seconds]]&lt;=20),
    "Within",
    "Breach")</f>
        <v>Breach</v>
      </c>
    </row>
    <row r="1674" spans="1:14" x14ac:dyDescent="0.3">
      <c r="A1674" t="s">
        <v>1727</v>
      </c>
      <c r="B1674" t="s">
        <v>20</v>
      </c>
      <c r="C1674" t="s">
        <v>1687</v>
      </c>
      <c r="D1674" s="1">
        <v>0.59</v>
      </c>
      <c r="E1674" s="2">
        <f>CallLog[[#This Row],[Date]]+CallLog[[#This Row],[Time]]</f>
        <v>44226.59</v>
      </c>
      <c r="F1674" s="1" t="str">
        <f>TEXT(CallLog[[#This Row],[Date]],"dddd")</f>
        <v>Saturday</v>
      </c>
      <c r="G1674" s="3">
        <f>HOUR(CallLog[[#This Row],[Time]])</f>
        <v>14</v>
      </c>
      <c r="H1674" t="s">
        <v>13</v>
      </c>
      <c r="I1674" t="s">
        <v>14</v>
      </c>
      <c r="J1674" t="s">
        <v>14</v>
      </c>
      <c r="K1674">
        <v>85</v>
      </c>
      <c r="L1674" t="str">
        <f>IF(AND(CallLog[[#This Row],[Answered (Y/N)]]="Y", CallLog[[#This Row],[Speed of answer in seconds]]&lt;=20),
    "Within",
    "Breach")</f>
        <v>Breach</v>
      </c>
      <c r="M1674" s="1">
        <v>2.1296296296296298E-3</v>
      </c>
      <c r="N1674">
        <v>4</v>
      </c>
    </row>
    <row r="1675" spans="1:14" x14ac:dyDescent="0.3">
      <c r="A1675" t="s">
        <v>1728</v>
      </c>
      <c r="B1675" t="s">
        <v>20</v>
      </c>
      <c r="C1675" t="s">
        <v>1687</v>
      </c>
      <c r="D1675" s="1">
        <v>0.59</v>
      </c>
      <c r="E1675" s="2">
        <f>CallLog[[#This Row],[Date]]+CallLog[[#This Row],[Time]]</f>
        <v>44226.59</v>
      </c>
      <c r="F1675" s="1" t="str">
        <f>TEXT(CallLog[[#This Row],[Date]],"dddd")</f>
        <v>Saturday</v>
      </c>
      <c r="G1675" s="3">
        <f>HOUR(CallLog[[#This Row],[Time]])</f>
        <v>14</v>
      </c>
      <c r="H1675" t="s">
        <v>24</v>
      </c>
      <c r="I1675" t="s">
        <v>18</v>
      </c>
      <c r="J1675" t="s">
        <v>18</v>
      </c>
      <c r="L1675" t="str">
        <f>IF(AND(CallLog[[#This Row],[Answered (Y/N)]]="Y", CallLog[[#This Row],[Speed of answer in seconds]]&lt;=20),
    "Within",
    "Breach")</f>
        <v>Breach</v>
      </c>
    </row>
    <row r="1676" spans="1:14" x14ac:dyDescent="0.3">
      <c r="A1676" t="s">
        <v>1729</v>
      </c>
      <c r="B1676" t="s">
        <v>20</v>
      </c>
      <c r="C1676" t="s">
        <v>1687</v>
      </c>
      <c r="D1676" s="1">
        <v>0.59099537037037042</v>
      </c>
      <c r="E1676" s="2">
        <f>CallLog[[#This Row],[Date]]+CallLog[[#This Row],[Time]]</f>
        <v>44226.590995370374</v>
      </c>
      <c r="F1676" s="1" t="str">
        <f>TEXT(CallLog[[#This Row],[Date]],"dddd")</f>
        <v>Saturday</v>
      </c>
      <c r="G1676" s="3">
        <f>HOUR(CallLog[[#This Row],[Time]])</f>
        <v>14</v>
      </c>
      <c r="H1676" t="s">
        <v>24</v>
      </c>
      <c r="I1676" t="s">
        <v>14</v>
      </c>
      <c r="J1676" t="s">
        <v>18</v>
      </c>
      <c r="K1676">
        <v>122</v>
      </c>
      <c r="L1676" t="str">
        <f>IF(AND(CallLog[[#This Row],[Answered (Y/N)]]="Y", CallLog[[#This Row],[Speed of answer in seconds]]&lt;=20),
    "Within",
    "Breach")</f>
        <v>Breach</v>
      </c>
      <c r="M1676" s="1">
        <v>2.5000000000000001E-3</v>
      </c>
      <c r="N1676">
        <v>3</v>
      </c>
    </row>
    <row r="1677" spans="1:14" x14ac:dyDescent="0.3">
      <c r="A1677" t="s">
        <v>1730</v>
      </c>
      <c r="B1677" t="s">
        <v>16</v>
      </c>
      <c r="C1677" t="s">
        <v>1687</v>
      </c>
      <c r="D1677" s="1">
        <v>0.59099537037037042</v>
      </c>
      <c r="E1677" s="2">
        <f>CallLog[[#This Row],[Date]]+CallLog[[#This Row],[Time]]</f>
        <v>44226.590995370374</v>
      </c>
      <c r="F1677" s="1" t="str">
        <f>TEXT(CallLog[[#This Row],[Date]],"dddd")</f>
        <v>Saturday</v>
      </c>
      <c r="G1677" s="3">
        <f>HOUR(CallLog[[#This Row],[Time]])</f>
        <v>14</v>
      </c>
      <c r="H1677" t="s">
        <v>17</v>
      </c>
      <c r="I1677" t="s">
        <v>14</v>
      </c>
      <c r="J1677" t="s">
        <v>14</v>
      </c>
      <c r="K1677">
        <v>78</v>
      </c>
      <c r="L1677" t="str">
        <f>IF(AND(CallLog[[#This Row],[Answered (Y/N)]]="Y", CallLog[[#This Row],[Speed of answer in seconds]]&lt;=20),
    "Within",
    "Breach")</f>
        <v>Breach</v>
      </c>
      <c r="M1677" s="1">
        <v>3.9467592592592592E-3</v>
      </c>
      <c r="N1677">
        <v>2</v>
      </c>
    </row>
    <row r="1678" spans="1:14" x14ac:dyDescent="0.3">
      <c r="A1678" t="s">
        <v>1731</v>
      </c>
      <c r="B1678" t="s">
        <v>34</v>
      </c>
      <c r="C1678" t="s">
        <v>1687</v>
      </c>
      <c r="D1678" s="1">
        <v>0.60900462962962965</v>
      </c>
      <c r="E1678" s="2">
        <f>CallLog[[#This Row],[Date]]+CallLog[[#This Row],[Time]]</f>
        <v>44226.60900462963</v>
      </c>
      <c r="F1678" s="1" t="str">
        <f>TEXT(CallLog[[#This Row],[Date]],"dddd")</f>
        <v>Saturday</v>
      </c>
      <c r="G1678" s="3">
        <f>HOUR(CallLog[[#This Row],[Time]])</f>
        <v>14</v>
      </c>
      <c r="H1678" t="s">
        <v>24</v>
      </c>
      <c r="I1678" t="s">
        <v>14</v>
      </c>
      <c r="J1678" t="s">
        <v>18</v>
      </c>
      <c r="K1678">
        <v>68</v>
      </c>
      <c r="L1678" t="str">
        <f>IF(AND(CallLog[[#This Row],[Answered (Y/N)]]="Y", CallLog[[#This Row],[Speed of answer in seconds]]&lt;=20),
    "Within",
    "Breach")</f>
        <v>Breach</v>
      </c>
      <c r="M1678" s="1">
        <v>7.5231481481481482E-4</v>
      </c>
      <c r="N1678">
        <v>2</v>
      </c>
    </row>
    <row r="1679" spans="1:14" x14ac:dyDescent="0.3">
      <c r="A1679" t="s">
        <v>1732</v>
      </c>
      <c r="B1679" t="s">
        <v>22</v>
      </c>
      <c r="C1679" t="s">
        <v>1687</v>
      </c>
      <c r="D1679" s="1">
        <v>0.60900462962962965</v>
      </c>
      <c r="E1679" s="2">
        <f>CallLog[[#This Row],[Date]]+CallLog[[#This Row],[Time]]</f>
        <v>44226.60900462963</v>
      </c>
      <c r="F1679" s="1" t="str">
        <f>TEXT(CallLog[[#This Row],[Date]],"dddd")</f>
        <v>Saturday</v>
      </c>
      <c r="G1679" s="3">
        <f>HOUR(CallLog[[#This Row],[Time]])</f>
        <v>14</v>
      </c>
      <c r="H1679" t="s">
        <v>32</v>
      </c>
      <c r="I1679" t="s">
        <v>14</v>
      </c>
      <c r="J1679" t="s">
        <v>14</v>
      </c>
      <c r="K1679">
        <v>33</v>
      </c>
      <c r="L1679" t="str">
        <f>IF(AND(CallLog[[#This Row],[Answered (Y/N)]]="Y", CallLog[[#This Row],[Speed of answer in seconds]]&lt;=20),
    "Within",
    "Breach")</f>
        <v>Breach</v>
      </c>
      <c r="M1679" s="1">
        <v>3.1828703703703702E-3</v>
      </c>
      <c r="N1679">
        <v>3</v>
      </c>
    </row>
    <row r="1680" spans="1:14" x14ac:dyDescent="0.3">
      <c r="A1680" t="s">
        <v>1733</v>
      </c>
      <c r="B1680" t="s">
        <v>16</v>
      </c>
      <c r="C1680" t="s">
        <v>1687</v>
      </c>
      <c r="D1680" s="1">
        <v>0.625</v>
      </c>
      <c r="E1680" s="2">
        <f>CallLog[[#This Row],[Date]]+CallLog[[#This Row],[Time]]</f>
        <v>44226.625</v>
      </c>
      <c r="F1680" s="1" t="str">
        <f>TEXT(CallLog[[#This Row],[Date]],"dddd")</f>
        <v>Saturday</v>
      </c>
      <c r="G1680" s="3">
        <f>HOUR(CallLog[[#This Row],[Time]])</f>
        <v>15</v>
      </c>
      <c r="H1680" t="s">
        <v>24</v>
      </c>
      <c r="I1680" t="s">
        <v>14</v>
      </c>
      <c r="J1680" t="s">
        <v>14</v>
      </c>
      <c r="K1680">
        <v>19</v>
      </c>
      <c r="L1680" t="str">
        <f>IF(AND(CallLog[[#This Row],[Answered (Y/N)]]="Y", CallLog[[#This Row],[Speed of answer in seconds]]&lt;=20),
    "Within",
    "Breach")</f>
        <v>Within</v>
      </c>
      <c r="M1680" s="1">
        <v>4.1319444444444442E-3</v>
      </c>
      <c r="N1680">
        <v>1</v>
      </c>
    </row>
    <row r="1681" spans="1:14" x14ac:dyDescent="0.3">
      <c r="A1681" t="s">
        <v>1734</v>
      </c>
      <c r="B1681" t="s">
        <v>38</v>
      </c>
      <c r="C1681" t="s">
        <v>1687</v>
      </c>
      <c r="D1681" s="1">
        <v>0.625</v>
      </c>
      <c r="E1681" s="2">
        <f>CallLog[[#This Row],[Date]]+CallLog[[#This Row],[Time]]</f>
        <v>44226.625</v>
      </c>
      <c r="F1681" s="1" t="str">
        <f>TEXT(CallLog[[#This Row],[Date]],"dddd")</f>
        <v>Saturday</v>
      </c>
      <c r="G1681" s="3">
        <f>HOUR(CallLog[[#This Row],[Time]])</f>
        <v>15</v>
      </c>
      <c r="H1681" t="s">
        <v>13</v>
      </c>
      <c r="I1681" t="s">
        <v>14</v>
      </c>
      <c r="J1681" t="s">
        <v>14</v>
      </c>
      <c r="K1681">
        <v>97</v>
      </c>
      <c r="L1681" t="str">
        <f>IF(AND(CallLog[[#This Row],[Answered (Y/N)]]="Y", CallLog[[#This Row],[Speed of answer in seconds]]&lt;=20),
    "Within",
    "Breach")</f>
        <v>Breach</v>
      </c>
      <c r="M1681" s="1">
        <v>4.7800925925925927E-3</v>
      </c>
      <c r="N1681">
        <v>5</v>
      </c>
    </row>
    <row r="1682" spans="1:14" x14ac:dyDescent="0.3">
      <c r="A1682" t="s">
        <v>1735</v>
      </c>
      <c r="B1682" t="s">
        <v>34</v>
      </c>
      <c r="C1682" t="s">
        <v>1687</v>
      </c>
      <c r="D1682" s="1">
        <v>0.65200231481481485</v>
      </c>
      <c r="E1682" s="2">
        <f>CallLog[[#This Row],[Date]]+CallLog[[#This Row],[Time]]</f>
        <v>44226.652002314811</v>
      </c>
      <c r="F1682" s="1" t="str">
        <f>TEXT(CallLog[[#This Row],[Date]],"dddd")</f>
        <v>Saturday</v>
      </c>
      <c r="G1682" s="3">
        <f>HOUR(CallLog[[#This Row],[Time]])</f>
        <v>15</v>
      </c>
      <c r="H1682" t="s">
        <v>24</v>
      </c>
      <c r="I1682" t="s">
        <v>14</v>
      </c>
      <c r="J1682" t="s">
        <v>14</v>
      </c>
      <c r="K1682">
        <v>33</v>
      </c>
      <c r="L1682" t="str">
        <f>IF(AND(CallLog[[#This Row],[Answered (Y/N)]]="Y", CallLog[[#This Row],[Speed of answer in seconds]]&lt;=20),
    "Within",
    "Breach")</f>
        <v>Breach</v>
      </c>
      <c r="M1682" s="1">
        <v>9.1435185185185185E-4</v>
      </c>
      <c r="N1682">
        <v>2</v>
      </c>
    </row>
    <row r="1683" spans="1:14" x14ac:dyDescent="0.3">
      <c r="A1683" t="s">
        <v>1736</v>
      </c>
      <c r="B1683" t="s">
        <v>38</v>
      </c>
      <c r="C1683" t="s">
        <v>1687</v>
      </c>
      <c r="D1683" s="1">
        <v>0.65200231481481485</v>
      </c>
      <c r="E1683" s="2">
        <f>CallLog[[#This Row],[Date]]+CallLog[[#This Row],[Time]]</f>
        <v>44226.652002314811</v>
      </c>
      <c r="F1683" s="1" t="str">
        <f>TEXT(CallLog[[#This Row],[Date]],"dddd")</f>
        <v>Saturday</v>
      </c>
      <c r="G1683" s="3">
        <f>HOUR(CallLog[[#This Row],[Time]])</f>
        <v>15</v>
      </c>
      <c r="H1683" t="s">
        <v>29</v>
      </c>
      <c r="I1683" t="s">
        <v>14</v>
      </c>
      <c r="J1683" t="s">
        <v>14</v>
      </c>
      <c r="K1683">
        <v>124</v>
      </c>
      <c r="L1683" t="str">
        <f>IF(AND(CallLog[[#This Row],[Answered (Y/N)]]="Y", CallLog[[#This Row],[Speed of answer in seconds]]&lt;=20),
    "Within",
    "Breach")</f>
        <v>Breach</v>
      </c>
      <c r="M1683" s="1">
        <v>3.3333333333333335E-3</v>
      </c>
      <c r="N1683">
        <v>5</v>
      </c>
    </row>
    <row r="1684" spans="1:14" x14ac:dyDescent="0.3">
      <c r="A1684" t="s">
        <v>1737</v>
      </c>
      <c r="B1684" t="s">
        <v>20</v>
      </c>
      <c r="C1684" t="s">
        <v>1687</v>
      </c>
      <c r="D1684" s="1">
        <v>0.65599537037037037</v>
      </c>
      <c r="E1684" s="2">
        <f>CallLog[[#This Row],[Date]]+CallLog[[#This Row],[Time]]</f>
        <v>44226.655995370369</v>
      </c>
      <c r="F1684" s="1" t="str">
        <f>TEXT(CallLog[[#This Row],[Date]],"dddd")</f>
        <v>Saturday</v>
      </c>
      <c r="G1684" s="3">
        <f>HOUR(CallLog[[#This Row],[Time]])</f>
        <v>15</v>
      </c>
      <c r="H1684" t="s">
        <v>29</v>
      </c>
      <c r="I1684" t="s">
        <v>14</v>
      </c>
      <c r="J1684" t="s">
        <v>14</v>
      </c>
      <c r="K1684">
        <v>78</v>
      </c>
      <c r="L1684" t="str">
        <f>IF(AND(CallLog[[#This Row],[Answered (Y/N)]]="Y", CallLog[[#This Row],[Speed of answer in seconds]]&lt;=20),
    "Within",
    "Breach")</f>
        <v>Breach</v>
      </c>
      <c r="M1684" s="1">
        <v>3.5763888888888889E-3</v>
      </c>
      <c r="N1684">
        <v>1</v>
      </c>
    </row>
    <row r="1685" spans="1:14" x14ac:dyDescent="0.3">
      <c r="A1685" t="s">
        <v>1738</v>
      </c>
      <c r="B1685" t="s">
        <v>11</v>
      </c>
      <c r="C1685" t="s">
        <v>1687</v>
      </c>
      <c r="D1685" s="1">
        <v>0.65599537037037037</v>
      </c>
      <c r="E1685" s="2">
        <f>CallLog[[#This Row],[Date]]+CallLog[[#This Row],[Time]]</f>
        <v>44226.655995370369</v>
      </c>
      <c r="F1685" s="1" t="str">
        <f>TEXT(CallLog[[#This Row],[Date]],"dddd")</f>
        <v>Saturday</v>
      </c>
      <c r="G1685" s="3">
        <f>HOUR(CallLog[[#This Row],[Time]])</f>
        <v>15</v>
      </c>
      <c r="H1685" t="s">
        <v>24</v>
      </c>
      <c r="I1685" t="s">
        <v>18</v>
      </c>
      <c r="J1685" t="s">
        <v>18</v>
      </c>
      <c r="L1685" t="str">
        <f>IF(AND(CallLog[[#This Row],[Answered (Y/N)]]="Y", CallLog[[#This Row],[Speed of answer in seconds]]&lt;=20),
    "Within",
    "Breach")</f>
        <v>Breach</v>
      </c>
    </row>
    <row r="1686" spans="1:14" x14ac:dyDescent="0.3">
      <c r="A1686" t="s">
        <v>1739</v>
      </c>
      <c r="B1686" t="s">
        <v>47</v>
      </c>
      <c r="C1686" t="s">
        <v>1687</v>
      </c>
      <c r="D1686" s="1">
        <v>0.66099537037037037</v>
      </c>
      <c r="E1686" s="2">
        <f>CallLog[[#This Row],[Date]]+CallLog[[#This Row],[Time]]</f>
        <v>44226.660995370374</v>
      </c>
      <c r="F1686" s="1" t="str">
        <f>TEXT(CallLog[[#This Row],[Date]],"dddd")</f>
        <v>Saturday</v>
      </c>
      <c r="G1686" s="3">
        <f>HOUR(CallLog[[#This Row],[Time]])</f>
        <v>15</v>
      </c>
      <c r="H1686" t="s">
        <v>17</v>
      </c>
      <c r="I1686" t="s">
        <v>14</v>
      </c>
      <c r="J1686" t="s">
        <v>14</v>
      </c>
      <c r="K1686">
        <v>111</v>
      </c>
      <c r="L1686" t="str">
        <f>IF(AND(CallLog[[#This Row],[Answered (Y/N)]]="Y", CallLog[[#This Row],[Speed of answer in seconds]]&lt;=20),
    "Within",
    "Breach")</f>
        <v>Breach</v>
      </c>
      <c r="M1686" s="1">
        <v>1.7939814814814815E-3</v>
      </c>
      <c r="N1686">
        <v>5</v>
      </c>
    </row>
    <row r="1687" spans="1:14" x14ac:dyDescent="0.3">
      <c r="A1687" t="s">
        <v>1740</v>
      </c>
      <c r="B1687" t="s">
        <v>11</v>
      </c>
      <c r="C1687" t="s">
        <v>1687</v>
      </c>
      <c r="D1687" s="1">
        <v>0.66099537037037037</v>
      </c>
      <c r="E1687" s="2">
        <f>CallLog[[#This Row],[Date]]+CallLog[[#This Row],[Time]]</f>
        <v>44226.660995370374</v>
      </c>
      <c r="F1687" s="1" t="str">
        <f>TEXT(CallLog[[#This Row],[Date]],"dddd")</f>
        <v>Saturday</v>
      </c>
      <c r="G1687" s="3">
        <f>HOUR(CallLog[[#This Row],[Time]])</f>
        <v>15</v>
      </c>
      <c r="H1687" t="s">
        <v>13</v>
      </c>
      <c r="I1687" t="s">
        <v>14</v>
      </c>
      <c r="J1687" t="s">
        <v>14</v>
      </c>
      <c r="K1687">
        <v>27</v>
      </c>
      <c r="L1687" t="str">
        <f>IF(AND(CallLog[[#This Row],[Answered (Y/N)]]="Y", CallLog[[#This Row],[Speed of answer in seconds]]&lt;=20),
    "Within",
    "Breach")</f>
        <v>Breach</v>
      </c>
      <c r="M1687" s="1">
        <v>2.5115740740740741E-3</v>
      </c>
      <c r="N1687">
        <v>5</v>
      </c>
    </row>
    <row r="1688" spans="1:14" x14ac:dyDescent="0.3">
      <c r="A1688" t="s">
        <v>1741</v>
      </c>
      <c r="B1688" t="s">
        <v>47</v>
      </c>
      <c r="C1688" t="s">
        <v>1687</v>
      </c>
      <c r="D1688" s="1">
        <v>0.66599537037037038</v>
      </c>
      <c r="E1688" s="2">
        <f>CallLog[[#This Row],[Date]]+CallLog[[#This Row],[Time]]</f>
        <v>44226.665995370371</v>
      </c>
      <c r="F1688" s="1" t="str">
        <f>TEXT(CallLog[[#This Row],[Date]],"dddd")</f>
        <v>Saturday</v>
      </c>
      <c r="G1688" s="3">
        <f>HOUR(CallLog[[#This Row],[Time]])</f>
        <v>15</v>
      </c>
      <c r="H1688" t="s">
        <v>17</v>
      </c>
      <c r="I1688" t="s">
        <v>14</v>
      </c>
      <c r="J1688" t="s">
        <v>14</v>
      </c>
      <c r="K1688">
        <v>18</v>
      </c>
      <c r="L1688" t="str">
        <f>IF(AND(CallLog[[#This Row],[Answered (Y/N)]]="Y", CallLog[[#This Row],[Speed of answer in seconds]]&lt;=20),
    "Within",
    "Breach")</f>
        <v>Within</v>
      </c>
      <c r="M1688" s="1">
        <v>3.2523148148148147E-3</v>
      </c>
      <c r="N1688">
        <v>3</v>
      </c>
    </row>
    <row r="1689" spans="1:14" x14ac:dyDescent="0.3">
      <c r="A1689" t="s">
        <v>1742</v>
      </c>
      <c r="B1689" t="s">
        <v>22</v>
      </c>
      <c r="C1689" t="s">
        <v>1687</v>
      </c>
      <c r="D1689" s="1">
        <v>0.66599537037037038</v>
      </c>
      <c r="E1689" s="2">
        <f>CallLog[[#This Row],[Date]]+CallLog[[#This Row],[Time]]</f>
        <v>44226.665995370371</v>
      </c>
      <c r="F1689" s="1" t="str">
        <f>TEXT(CallLog[[#This Row],[Date]],"dddd")</f>
        <v>Saturday</v>
      </c>
      <c r="G1689" s="3">
        <f>HOUR(CallLog[[#This Row],[Time]])</f>
        <v>15</v>
      </c>
      <c r="H1689" t="s">
        <v>32</v>
      </c>
      <c r="I1689" t="s">
        <v>14</v>
      </c>
      <c r="J1689" t="s">
        <v>14</v>
      </c>
      <c r="K1689">
        <v>31</v>
      </c>
      <c r="L1689" t="str">
        <f>IF(AND(CallLog[[#This Row],[Answered (Y/N)]]="Y", CallLog[[#This Row],[Speed of answer in seconds]]&lt;=20),
    "Within",
    "Breach")</f>
        <v>Breach</v>
      </c>
      <c r="M1689" s="1">
        <v>2.9861111111111113E-3</v>
      </c>
      <c r="N1689">
        <v>4</v>
      </c>
    </row>
    <row r="1690" spans="1:14" x14ac:dyDescent="0.3">
      <c r="A1690" t="s">
        <v>1743</v>
      </c>
      <c r="B1690" t="s">
        <v>20</v>
      </c>
      <c r="C1690" t="s">
        <v>1687</v>
      </c>
      <c r="D1690" s="1">
        <v>0.67599537037037039</v>
      </c>
      <c r="E1690" s="2">
        <f>CallLog[[#This Row],[Date]]+CallLog[[#This Row],[Time]]</f>
        <v>44226.675995370373</v>
      </c>
      <c r="F1690" s="1" t="str">
        <f>TEXT(CallLog[[#This Row],[Date]],"dddd")</f>
        <v>Saturday</v>
      </c>
      <c r="G1690" s="3">
        <f>HOUR(CallLog[[#This Row],[Time]])</f>
        <v>16</v>
      </c>
      <c r="H1690" t="s">
        <v>29</v>
      </c>
      <c r="I1690" t="s">
        <v>14</v>
      </c>
      <c r="J1690" t="s">
        <v>18</v>
      </c>
      <c r="K1690">
        <v>65</v>
      </c>
      <c r="L1690" t="str">
        <f>IF(AND(CallLog[[#This Row],[Answered (Y/N)]]="Y", CallLog[[#This Row],[Speed of answer in seconds]]&lt;=20),
    "Within",
    "Breach")</f>
        <v>Breach</v>
      </c>
      <c r="M1690" s="1">
        <v>2.5578703703703705E-3</v>
      </c>
      <c r="N1690">
        <v>4</v>
      </c>
    </row>
    <row r="1691" spans="1:14" x14ac:dyDescent="0.3">
      <c r="A1691" t="s">
        <v>1744</v>
      </c>
      <c r="B1691" t="s">
        <v>16</v>
      </c>
      <c r="C1691" t="s">
        <v>1687</v>
      </c>
      <c r="D1691" s="1">
        <v>0.67599537037037039</v>
      </c>
      <c r="E1691" s="2">
        <f>CallLog[[#This Row],[Date]]+CallLog[[#This Row],[Time]]</f>
        <v>44226.675995370373</v>
      </c>
      <c r="F1691" s="1" t="str">
        <f>TEXT(CallLog[[#This Row],[Date]],"dddd")</f>
        <v>Saturday</v>
      </c>
      <c r="G1691" s="3">
        <f>HOUR(CallLog[[#This Row],[Time]])</f>
        <v>16</v>
      </c>
      <c r="H1691" t="s">
        <v>29</v>
      </c>
      <c r="I1691" t="s">
        <v>18</v>
      </c>
      <c r="J1691" t="s">
        <v>18</v>
      </c>
      <c r="L1691" t="str">
        <f>IF(AND(CallLog[[#This Row],[Answered (Y/N)]]="Y", CallLog[[#This Row],[Speed of answer in seconds]]&lt;=20),
    "Within",
    "Breach")</f>
        <v>Breach</v>
      </c>
    </row>
    <row r="1692" spans="1:14" x14ac:dyDescent="0.3">
      <c r="A1692" t="s">
        <v>1745</v>
      </c>
      <c r="B1692" t="s">
        <v>16</v>
      </c>
      <c r="C1692" t="s">
        <v>1687</v>
      </c>
      <c r="D1692" s="1">
        <v>0.68</v>
      </c>
      <c r="E1692" s="2">
        <f>CallLog[[#This Row],[Date]]+CallLog[[#This Row],[Time]]</f>
        <v>44226.68</v>
      </c>
      <c r="F1692" s="1" t="str">
        <f>TEXT(CallLog[[#This Row],[Date]],"dddd")</f>
        <v>Saturday</v>
      </c>
      <c r="G1692" s="3">
        <f>HOUR(CallLog[[#This Row],[Time]])</f>
        <v>16</v>
      </c>
      <c r="H1692" t="s">
        <v>17</v>
      </c>
      <c r="I1692" t="s">
        <v>14</v>
      </c>
      <c r="J1692" t="s">
        <v>14</v>
      </c>
      <c r="K1692">
        <v>91</v>
      </c>
      <c r="L1692" t="str">
        <f>IF(AND(CallLog[[#This Row],[Answered (Y/N)]]="Y", CallLog[[#This Row],[Speed of answer in seconds]]&lt;=20),
    "Within",
    "Breach")</f>
        <v>Breach</v>
      </c>
      <c r="M1692" s="1">
        <v>5.7870370370370367E-4</v>
      </c>
      <c r="N1692">
        <v>3</v>
      </c>
    </row>
    <row r="1693" spans="1:14" x14ac:dyDescent="0.3">
      <c r="A1693" t="s">
        <v>1746</v>
      </c>
      <c r="B1693" t="s">
        <v>20</v>
      </c>
      <c r="C1693" t="s">
        <v>1687</v>
      </c>
      <c r="D1693" s="1">
        <v>0.68</v>
      </c>
      <c r="E1693" s="2">
        <f>CallLog[[#This Row],[Date]]+CallLog[[#This Row],[Time]]</f>
        <v>44226.68</v>
      </c>
      <c r="F1693" s="1" t="str">
        <f>TEXT(CallLog[[#This Row],[Date]],"dddd")</f>
        <v>Saturday</v>
      </c>
      <c r="G1693" s="3">
        <f>HOUR(CallLog[[#This Row],[Time]])</f>
        <v>16</v>
      </c>
      <c r="H1693" t="s">
        <v>17</v>
      </c>
      <c r="I1693" t="s">
        <v>14</v>
      </c>
      <c r="J1693" t="s">
        <v>14</v>
      </c>
      <c r="K1693">
        <v>71</v>
      </c>
      <c r="L1693" t="str">
        <f>IF(AND(CallLog[[#This Row],[Answered (Y/N)]]="Y", CallLog[[#This Row],[Speed of answer in seconds]]&lt;=20),
    "Within",
    "Breach")</f>
        <v>Breach</v>
      </c>
      <c r="M1693" s="1">
        <v>1.0069444444444444E-3</v>
      </c>
      <c r="N1693">
        <v>2</v>
      </c>
    </row>
    <row r="1694" spans="1:14" x14ac:dyDescent="0.3">
      <c r="A1694" t="s">
        <v>1747</v>
      </c>
      <c r="B1694" t="s">
        <v>22</v>
      </c>
      <c r="C1694" t="s">
        <v>1687</v>
      </c>
      <c r="D1694" s="1">
        <v>0.68</v>
      </c>
      <c r="E1694" s="2">
        <f>CallLog[[#This Row],[Date]]+CallLog[[#This Row],[Time]]</f>
        <v>44226.68</v>
      </c>
      <c r="F1694" s="1" t="str">
        <f>TEXT(CallLog[[#This Row],[Date]],"dddd")</f>
        <v>Saturday</v>
      </c>
      <c r="G1694" s="3">
        <f>HOUR(CallLog[[#This Row],[Time]])</f>
        <v>16</v>
      </c>
      <c r="H1694" t="s">
        <v>13</v>
      </c>
      <c r="I1694" t="s">
        <v>18</v>
      </c>
      <c r="J1694" t="s">
        <v>18</v>
      </c>
      <c r="L1694" t="str">
        <f>IF(AND(CallLog[[#This Row],[Answered (Y/N)]]="Y", CallLog[[#This Row],[Speed of answer in seconds]]&lt;=20),
    "Within",
    "Breach")</f>
        <v>Breach</v>
      </c>
    </row>
    <row r="1695" spans="1:14" x14ac:dyDescent="0.3">
      <c r="A1695" t="s">
        <v>1748</v>
      </c>
      <c r="B1695" t="s">
        <v>20</v>
      </c>
      <c r="C1695" t="s">
        <v>1687</v>
      </c>
      <c r="D1695" s="1">
        <v>0.68</v>
      </c>
      <c r="E1695" s="2">
        <f>CallLog[[#This Row],[Date]]+CallLog[[#This Row],[Time]]</f>
        <v>44226.68</v>
      </c>
      <c r="F1695" s="1" t="str">
        <f>TEXT(CallLog[[#This Row],[Date]],"dddd")</f>
        <v>Saturday</v>
      </c>
      <c r="G1695" s="3">
        <f>HOUR(CallLog[[#This Row],[Time]])</f>
        <v>16</v>
      </c>
      <c r="H1695" t="s">
        <v>13</v>
      </c>
      <c r="I1695" t="s">
        <v>14</v>
      </c>
      <c r="J1695" t="s">
        <v>14</v>
      </c>
      <c r="K1695">
        <v>78</v>
      </c>
      <c r="L1695" t="str">
        <f>IF(AND(CallLog[[#This Row],[Answered (Y/N)]]="Y", CallLog[[#This Row],[Speed of answer in seconds]]&lt;=20),
    "Within",
    "Breach")</f>
        <v>Breach</v>
      </c>
      <c r="M1695" s="1">
        <v>3.0787037037037037E-3</v>
      </c>
      <c r="N1695">
        <v>3</v>
      </c>
    </row>
    <row r="1696" spans="1:14" x14ac:dyDescent="0.3">
      <c r="A1696" t="s">
        <v>1749</v>
      </c>
      <c r="B1696" t="s">
        <v>31</v>
      </c>
      <c r="C1696" t="s">
        <v>1687</v>
      </c>
      <c r="D1696" s="1">
        <v>0.68900462962962961</v>
      </c>
      <c r="E1696" s="2">
        <f>CallLog[[#This Row],[Date]]+CallLog[[#This Row],[Time]]</f>
        <v>44226.689004629632</v>
      </c>
      <c r="F1696" s="1" t="str">
        <f>TEXT(CallLog[[#This Row],[Date]],"dddd")</f>
        <v>Saturday</v>
      </c>
      <c r="G1696" s="3">
        <f>HOUR(CallLog[[#This Row],[Time]])</f>
        <v>16</v>
      </c>
      <c r="H1696" t="s">
        <v>17</v>
      </c>
      <c r="I1696" t="s">
        <v>18</v>
      </c>
      <c r="J1696" t="s">
        <v>18</v>
      </c>
      <c r="L1696" t="str">
        <f>IF(AND(CallLog[[#This Row],[Answered (Y/N)]]="Y", CallLog[[#This Row],[Speed of answer in seconds]]&lt;=20),
    "Within",
    "Breach")</f>
        <v>Breach</v>
      </c>
    </row>
    <row r="1697" spans="1:14" x14ac:dyDescent="0.3">
      <c r="A1697" t="s">
        <v>1750</v>
      </c>
      <c r="B1697" t="s">
        <v>31</v>
      </c>
      <c r="C1697" t="s">
        <v>1687</v>
      </c>
      <c r="D1697" s="1">
        <v>0.68900462962962961</v>
      </c>
      <c r="E1697" s="2">
        <f>CallLog[[#This Row],[Date]]+CallLog[[#This Row],[Time]]</f>
        <v>44226.689004629632</v>
      </c>
      <c r="F1697" s="1" t="str">
        <f>TEXT(CallLog[[#This Row],[Date]],"dddd")</f>
        <v>Saturday</v>
      </c>
      <c r="G1697" s="3">
        <f>HOUR(CallLog[[#This Row],[Time]])</f>
        <v>16</v>
      </c>
      <c r="H1697" t="s">
        <v>13</v>
      </c>
      <c r="I1697" t="s">
        <v>18</v>
      </c>
      <c r="J1697" t="s">
        <v>18</v>
      </c>
      <c r="L1697" t="str">
        <f>IF(AND(CallLog[[#This Row],[Answered (Y/N)]]="Y", CallLog[[#This Row],[Speed of answer in seconds]]&lt;=20),
    "Within",
    "Breach")</f>
        <v>Breach</v>
      </c>
    </row>
    <row r="1698" spans="1:14" x14ac:dyDescent="0.3">
      <c r="A1698" t="s">
        <v>1751</v>
      </c>
      <c r="B1698" t="s">
        <v>47</v>
      </c>
      <c r="C1698" t="s">
        <v>1687</v>
      </c>
      <c r="D1698" s="1">
        <v>0.70099537037037041</v>
      </c>
      <c r="E1698" s="2">
        <f>CallLog[[#This Row],[Date]]+CallLog[[#This Row],[Time]]</f>
        <v>44226.700995370367</v>
      </c>
      <c r="F1698" s="1" t="str">
        <f>TEXT(CallLog[[#This Row],[Date]],"dddd")</f>
        <v>Saturday</v>
      </c>
      <c r="G1698" s="3">
        <f>HOUR(CallLog[[#This Row],[Time]])</f>
        <v>16</v>
      </c>
      <c r="H1698" t="s">
        <v>17</v>
      </c>
      <c r="I1698" t="s">
        <v>18</v>
      </c>
      <c r="J1698" t="s">
        <v>18</v>
      </c>
      <c r="L1698" t="str">
        <f>IF(AND(CallLog[[#This Row],[Answered (Y/N)]]="Y", CallLog[[#This Row],[Speed of answer in seconds]]&lt;=20),
    "Within",
    "Breach")</f>
        <v>Breach</v>
      </c>
    </row>
    <row r="1699" spans="1:14" x14ac:dyDescent="0.3">
      <c r="A1699" t="s">
        <v>1752</v>
      </c>
      <c r="B1699" t="s">
        <v>31</v>
      </c>
      <c r="C1699" t="s">
        <v>1687</v>
      </c>
      <c r="D1699" s="1">
        <v>0.70099537037037041</v>
      </c>
      <c r="E1699" s="2">
        <f>CallLog[[#This Row],[Date]]+CallLog[[#This Row],[Time]]</f>
        <v>44226.700995370367</v>
      </c>
      <c r="F1699" s="1" t="str">
        <f>TEXT(CallLog[[#This Row],[Date]],"dddd")</f>
        <v>Saturday</v>
      </c>
      <c r="G1699" s="3">
        <f>HOUR(CallLog[[#This Row],[Time]])</f>
        <v>16</v>
      </c>
      <c r="H1699" t="s">
        <v>29</v>
      </c>
      <c r="I1699" t="s">
        <v>14</v>
      </c>
      <c r="J1699" t="s">
        <v>14</v>
      </c>
      <c r="K1699">
        <v>107</v>
      </c>
      <c r="L1699" t="str">
        <f>IF(AND(CallLog[[#This Row],[Answered (Y/N)]]="Y", CallLog[[#This Row],[Speed of answer in seconds]]&lt;=20),
    "Within",
    "Breach")</f>
        <v>Breach</v>
      </c>
      <c r="M1699" s="1">
        <v>2.2800925925925927E-3</v>
      </c>
      <c r="N1699">
        <v>3</v>
      </c>
    </row>
    <row r="1700" spans="1:14" x14ac:dyDescent="0.3">
      <c r="A1700" t="s">
        <v>1753</v>
      </c>
      <c r="B1700" t="s">
        <v>47</v>
      </c>
      <c r="C1700" t="s">
        <v>1687</v>
      </c>
      <c r="D1700" s="1">
        <v>0.70299768518518524</v>
      </c>
      <c r="E1700" s="2">
        <f>CallLog[[#This Row],[Date]]+CallLog[[#This Row],[Time]]</f>
        <v>44226.702997685185</v>
      </c>
      <c r="F1700" s="1" t="str">
        <f>TEXT(CallLog[[#This Row],[Date]],"dddd")</f>
        <v>Saturday</v>
      </c>
      <c r="G1700" s="3">
        <f>HOUR(CallLog[[#This Row],[Time]])</f>
        <v>16</v>
      </c>
      <c r="H1700" t="s">
        <v>32</v>
      </c>
      <c r="I1700" t="s">
        <v>14</v>
      </c>
      <c r="J1700" t="s">
        <v>14</v>
      </c>
      <c r="K1700">
        <v>17</v>
      </c>
      <c r="L1700" t="str">
        <f>IF(AND(CallLog[[#This Row],[Answered (Y/N)]]="Y", CallLog[[#This Row],[Speed of answer in seconds]]&lt;=20),
    "Within",
    "Breach")</f>
        <v>Within</v>
      </c>
      <c r="M1700" s="1">
        <v>2.2222222222222222E-3</v>
      </c>
      <c r="N1700">
        <v>3</v>
      </c>
    </row>
    <row r="1701" spans="1:14" x14ac:dyDescent="0.3">
      <c r="A1701" t="s">
        <v>1754</v>
      </c>
      <c r="B1701" t="s">
        <v>16</v>
      </c>
      <c r="C1701" t="s">
        <v>1687</v>
      </c>
      <c r="D1701" s="1">
        <v>0.70299768518518524</v>
      </c>
      <c r="E1701" s="2">
        <f>CallLog[[#This Row],[Date]]+CallLog[[#This Row],[Time]]</f>
        <v>44226.702997685185</v>
      </c>
      <c r="F1701" s="1" t="str">
        <f>TEXT(CallLog[[#This Row],[Date]],"dddd")</f>
        <v>Saturday</v>
      </c>
      <c r="G1701" s="3">
        <f>HOUR(CallLog[[#This Row],[Time]])</f>
        <v>16</v>
      </c>
      <c r="H1701" t="s">
        <v>13</v>
      </c>
      <c r="I1701" t="s">
        <v>14</v>
      </c>
      <c r="J1701" t="s">
        <v>14</v>
      </c>
      <c r="K1701">
        <v>53</v>
      </c>
      <c r="L1701" t="str">
        <f>IF(AND(CallLog[[#This Row],[Answered (Y/N)]]="Y", CallLog[[#This Row],[Speed of answer in seconds]]&lt;=20),
    "Within",
    "Breach")</f>
        <v>Breach</v>
      </c>
      <c r="M1701" s="1">
        <v>2.5462962962962965E-3</v>
      </c>
      <c r="N1701">
        <v>1</v>
      </c>
    </row>
    <row r="1702" spans="1:14" x14ac:dyDescent="0.3">
      <c r="A1702" t="s">
        <v>1755</v>
      </c>
      <c r="B1702" t="s">
        <v>11</v>
      </c>
      <c r="C1702" t="s">
        <v>1687</v>
      </c>
      <c r="D1702" s="1">
        <v>0.71499999999999997</v>
      </c>
      <c r="E1702" s="2">
        <f>CallLog[[#This Row],[Date]]+CallLog[[#This Row],[Time]]</f>
        <v>44226.714999999997</v>
      </c>
      <c r="F1702" s="1" t="str">
        <f>TEXT(CallLog[[#This Row],[Date]],"dddd")</f>
        <v>Saturday</v>
      </c>
      <c r="G1702" s="3">
        <f>HOUR(CallLog[[#This Row],[Time]])</f>
        <v>17</v>
      </c>
      <c r="H1702" t="s">
        <v>17</v>
      </c>
      <c r="I1702" t="s">
        <v>14</v>
      </c>
      <c r="J1702" t="s">
        <v>14</v>
      </c>
      <c r="K1702">
        <v>49</v>
      </c>
      <c r="L1702" t="str">
        <f>IF(AND(CallLog[[#This Row],[Answered (Y/N)]]="Y", CallLog[[#This Row],[Speed of answer in seconds]]&lt;=20),
    "Within",
    "Breach")</f>
        <v>Breach</v>
      </c>
      <c r="M1702" s="1">
        <v>4.5486111111111109E-3</v>
      </c>
      <c r="N1702">
        <v>5</v>
      </c>
    </row>
    <row r="1703" spans="1:14" x14ac:dyDescent="0.3">
      <c r="A1703" t="s">
        <v>1756</v>
      </c>
      <c r="B1703" t="s">
        <v>22</v>
      </c>
      <c r="C1703" t="s">
        <v>1687</v>
      </c>
      <c r="D1703" s="1">
        <v>0.71499999999999997</v>
      </c>
      <c r="E1703" s="2">
        <f>CallLog[[#This Row],[Date]]+CallLog[[#This Row],[Time]]</f>
        <v>44226.714999999997</v>
      </c>
      <c r="F1703" s="1" t="str">
        <f>TEXT(CallLog[[#This Row],[Date]],"dddd")</f>
        <v>Saturday</v>
      </c>
      <c r="G1703" s="3">
        <f>HOUR(CallLog[[#This Row],[Time]])</f>
        <v>17</v>
      </c>
      <c r="H1703" t="s">
        <v>32</v>
      </c>
      <c r="I1703" t="s">
        <v>14</v>
      </c>
      <c r="J1703" t="s">
        <v>14</v>
      </c>
      <c r="K1703">
        <v>33</v>
      </c>
      <c r="L1703" t="str">
        <f>IF(AND(CallLog[[#This Row],[Answered (Y/N)]]="Y", CallLog[[#This Row],[Speed of answer in seconds]]&lt;=20),
    "Within",
    "Breach")</f>
        <v>Breach</v>
      </c>
      <c r="M1703" s="1">
        <v>7.5231481481481482E-4</v>
      </c>
      <c r="N1703">
        <v>5</v>
      </c>
    </row>
    <row r="1704" spans="1:14" x14ac:dyDescent="0.3">
      <c r="A1704" t="s">
        <v>1757</v>
      </c>
      <c r="B1704" t="s">
        <v>11</v>
      </c>
      <c r="C1704" t="s">
        <v>1687</v>
      </c>
      <c r="D1704" s="1">
        <v>0.7170023148148148</v>
      </c>
      <c r="E1704" s="2">
        <f>CallLog[[#This Row],[Date]]+CallLog[[#This Row],[Time]]</f>
        <v>44226.717002314814</v>
      </c>
      <c r="F1704" s="1" t="str">
        <f>TEXT(CallLog[[#This Row],[Date]],"dddd")</f>
        <v>Saturday</v>
      </c>
      <c r="G1704" s="3">
        <f>HOUR(CallLog[[#This Row],[Time]])</f>
        <v>17</v>
      </c>
      <c r="H1704" t="s">
        <v>32</v>
      </c>
      <c r="I1704" t="s">
        <v>14</v>
      </c>
      <c r="J1704" t="s">
        <v>14</v>
      </c>
      <c r="K1704">
        <v>103</v>
      </c>
      <c r="L1704" t="str">
        <f>IF(AND(CallLog[[#This Row],[Answered (Y/N)]]="Y", CallLog[[#This Row],[Speed of answer in seconds]]&lt;=20),
    "Within",
    "Breach")</f>
        <v>Breach</v>
      </c>
      <c r="M1704" s="1">
        <v>2.5347222222222221E-3</v>
      </c>
      <c r="N1704">
        <v>2</v>
      </c>
    </row>
    <row r="1705" spans="1:14" x14ac:dyDescent="0.3">
      <c r="A1705" t="s">
        <v>1758</v>
      </c>
      <c r="B1705" t="s">
        <v>22</v>
      </c>
      <c r="C1705" t="s">
        <v>1687</v>
      </c>
      <c r="D1705" s="1">
        <v>0.7170023148148148</v>
      </c>
      <c r="E1705" s="2">
        <f>CallLog[[#This Row],[Date]]+CallLog[[#This Row],[Time]]</f>
        <v>44226.717002314814</v>
      </c>
      <c r="F1705" s="1" t="str">
        <f>TEXT(CallLog[[#This Row],[Date]],"dddd")</f>
        <v>Saturday</v>
      </c>
      <c r="G1705" s="3">
        <f>HOUR(CallLog[[#This Row],[Time]])</f>
        <v>17</v>
      </c>
      <c r="H1705" t="s">
        <v>24</v>
      </c>
      <c r="I1705" t="s">
        <v>14</v>
      </c>
      <c r="J1705" t="s">
        <v>14</v>
      </c>
      <c r="K1705">
        <v>114</v>
      </c>
      <c r="L1705" t="str">
        <f>IF(AND(CallLog[[#This Row],[Answered (Y/N)]]="Y", CallLog[[#This Row],[Speed of answer in seconds]]&lt;=20),
    "Within",
    "Breach")</f>
        <v>Breach</v>
      </c>
      <c r="M1705" s="1">
        <v>2.3379629629629631E-3</v>
      </c>
      <c r="N1705">
        <v>3</v>
      </c>
    </row>
    <row r="1706" spans="1:14" x14ac:dyDescent="0.3">
      <c r="A1706" t="s">
        <v>1759</v>
      </c>
      <c r="B1706" t="s">
        <v>20</v>
      </c>
      <c r="C1706" t="s">
        <v>1687</v>
      </c>
      <c r="D1706" s="1">
        <v>0.72099537037037043</v>
      </c>
      <c r="E1706" s="2">
        <f>CallLog[[#This Row],[Date]]+CallLog[[#This Row],[Time]]</f>
        <v>44226.720995370371</v>
      </c>
      <c r="F1706" s="1" t="str">
        <f>TEXT(CallLog[[#This Row],[Date]],"dddd")</f>
        <v>Saturday</v>
      </c>
      <c r="G1706" s="3">
        <f>HOUR(CallLog[[#This Row],[Time]])</f>
        <v>17</v>
      </c>
      <c r="H1706" t="s">
        <v>13</v>
      </c>
      <c r="I1706" t="s">
        <v>18</v>
      </c>
      <c r="J1706" t="s">
        <v>18</v>
      </c>
      <c r="L1706" t="str">
        <f>IF(AND(CallLog[[#This Row],[Answered (Y/N)]]="Y", CallLog[[#This Row],[Speed of answer in seconds]]&lt;=20),
    "Within",
    "Breach")</f>
        <v>Breach</v>
      </c>
    </row>
    <row r="1707" spans="1:14" x14ac:dyDescent="0.3">
      <c r="A1707" t="s">
        <v>1760</v>
      </c>
      <c r="B1707" t="s">
        <v>31</v>
      </c>
      <c r="C1707" t="s">
        <v>1687</v>
      </c>
      <c r="D1707" s="1">
        <v>0.72099537037037043</v>
      </c>
      <c r="E1707" s="2">
        <f>CallLog[[#This Row],[Date]]+CallLog[[#This Row],[Time]]</f>
        <v>44226.720995370371</v>
      </c>
      <c r="F1707" s="1" t="str">
        <f>TEXT(CallLog[[#This Row],[Date]],"dddd")</f>
        <v>Saturday</v>
      </c>
      <c r="G1707" s="3">
        <f>HOUR(CallLog[[#This Row],[Time]])</f>
        <v>17</v>
      </c>
      <c r="H1707" t="s">
        <v>29</v>
      </c>
      <c r="I1707" t="s">
        <v>18</v>
      </c>
      <c r="J1707" t="s">
        <v>18</v>
      </c>
      <c r="L1707" t="str">
        <f>IF(AND(CallLog[[#This Row],[Answered (Y/N)]]="Y", CallLog[[#This Row],[Speed of answer in seconds]]&lt;=20),
    "Within",
    "Breach")</f>
        <v>Breach</v>
      </c>
    </row>
    <row r="1708" spans="1:14" x14ac:dyDescent="0.3">
      <c r="A1708" t="s">
        <v>1761</v>
      </c>
      <c r="B1708" t="s">
        <v>38</v>
      </c>
      <c r="C1708" t="s">
        <v>1687</v>
      </c>
      <c r="D1708" s="1">
        <v>0.72599537037037032</v>
      </c>
      <c r="E1708" s="2">
        <f>CallLog[[#This Row],[Date]]+CallLog[[#This Row],[Time]]</f>
        <v>44226.725995370369</v>
      </c>
      <c r="F1708" s="1" t="str">
        <f>TEXT(CallLog[[#This Row],[Date]],"dddd")</f>
        <v>Saturday</v>
      </c>
      <c r="G1708" s="3">
        <f>HOUR(CallLog[[#This Row],[Time]])</f>
        <v>17</v>
      </c>
      <c r="H1708" t="s">
        <v>24</v>
      </c>
      <c r="I1708" t="s">
        <v>18</v>
      </c>
      <c r="J1708" t="s">
        <v>18</v>
      </c>
      <c r="L1708" t="str">
        <f>IF(AND(CallLog[[#This Row],[Answered (Y/N)]]="Y", CallLog[[#This Row],[Speed of answer in seconds]]&lt;=20),
    "Within",
    "Breach")</f>
        <v>Breach</v>
      </c>
    </row>
    <row r="1709" spans="1:14" x14ac:dyDescent="0.3">
      <c r="A1709" t="s">
        <v>1762</v>
      </c>
      <c r="B1709" t="s">
        <v>47</v>
      </c>
      <c r="C1709" t="s">
        <v>1687</v>
      </c>
      <c r="D1709" s="1">
        <v>0.72599537037037032</v>
      </c>
      <c r="E1709" s="2">
        <f>CallLog[[#This Row],[Date]]+CallLog[[#This Row],[Time]]</f>
        <v>44226.725995370369</v>
      </c>
      <c r="F1709" s="1" t="str">
        <f>TEXT(CallLog[[#This Row],[Date]],"dddd")</f>
        <v>Saturday</v>
      </c>
      <c r="G1709" s="3">
        <f>HOUR(CallLog[[#This Row],[Time]])</f>
        <v>17</v>
      </c>
      <c r="H1709" t="s">
        <v>32</v>
      </c>
      <c r="I1709" t="s">
        <v>14</v>
      </c>
      <c r="J1709" t="s">
        <v>14</v>
      </c>
      <c r="K1709">
        <v>38</v>
      </c>
      <c r="L1709" t="str">
        <f>IF(AND(CallLog[[#This Row],[Answered (Y/N)]]="Y", CallLog[[#This Row],[Speed of answer in seconds]]&lt;=20),
    "Within",
    "Breach")</f>
        <v>Breach</v>
      </c>
      <c r="M1709" s="1">
        <v>4.7569444444444447E-3</v>
      </c>
      <c r="N1709">
        <v>2</v>
      </c>
    </row>
    <row r="1710" spans="1:14" x14ac:dyDescent="0.3">
      <c r="A1710" t="s">
        <v>1763</v>
      </c>
      <c r="B1710" t="s">
        <v>20</v>
      </c>
      <c r="C1710" t="s">
        <v>1687</v>
      </c>
      <c r="D1710" s="1">
        <v>0.72900462962962964</v>
      </c>
      <c r="E1710" s="2">
        <f>CallLog[[#This Row],[Date]]+CallLog[[#This Row],[Time]]</f>
        <v>44226.729004629633</v>
      </c>
      <c r="F1710" s="1" t="str">
        <f>TEXT(CallLog[[#This Row],[Date]],"dddd")</f>
        <v>Saturday</v>
      </c>
      <c r="G1710" s="3">
        <f>HOUR(CallLog[[#This Row],[Time]])</f>
        <v>17</v>
      </c>
      <c r="H1710" t="s">
        <v>13</v>
      </c>
      <c r="I1710" t="s">
        <v>14</v>
      </c>
      <c r="J1710" t="s">
        <v>18</v>
      </c>
      <c r="K1710">
        <v>50</v>
      </c>
      <c r="L1710" t="str">
        <f>IF(AND(CallLog[[#This Row],[Answered (Y/N)]]="Y", CallLog[[#This Row],[Speed of answer in seconds]]&lt;=20),
    "Within",
    "Breach")</f>
        <v>Breach</v>
      </c>
      <c r="M1710" s="1">
        <v>9.1435185185185185E-4</v>
      </c>
      <c r="N1710">
        <v>2</v>
      </c>
    </row>
    <row r="1711" spans="1:14" x14ac:dyDescent="0.3">
      <c r="A1711" t="s">
        <v>1764</v>
      </c>
      <c r="B1711" t="s">
        <v>16</v>
      </c>
      <c r="C1711" t="s">
        <v>1687</v>
      </c>
      <c r="D1711" s="1">
        <v>0.72900462962962964</v>
      </c>
      <c r="E1711" s="2">
        <f>CallLog[[#This Row],[Date]]+CallLog[[#This Row],[Time]]</f>
        <v>44226.729004629633</v>
      </c>
      <c r="F1711" s="1" t="str">
        <f>TEXT(CallLog[[#This Row],[Date]],"dddd")</f>
        <v>Saturday</v>
      </c>
      <c r="G1711" s="3">
        <f>HOUR(CallLog[[#This Row],[Time]])</f>
        <v>17</v>
      </c>
      <c r="H1711" t="s">
        <v>13</v>
      </c>
      <c r="I1711" t="s">
        <v>14</v>
      </c>
      <c r="J1711" t="s">
        <v>18</v>
      </c>
      <c r="K1711">
        <v>33</v>
      </c>
      <c r="L1711" t="str">
        <f>IF(AND(CallLog[[#This Row],[Answered (Y/N)]]="Y", CallLog[[#This Row],[Speed of answer in seconds]]&lt;=20),
    "Within",
    "Breach")</f>
        <v>Breach</v>
      </c>
      <c r="M1711" s="1">
        <v>2.7314814814814814E-3</v>
      </c>
      <c r="N1711">
        <v>4</v>
      </c>
    </row>
    <row r="1712" spans="1:14" x14ac:dyDescent="0.3">
      <c r="A1712" t="s">
        <v>1765</v>
      </c>
      <c r="B1712" t="s">
        <v>20</v>
      </c>
      <c r="C1712" t="s">
        <v>1687</v>
      </c>
      <c r="D1712" s="1">
        <v>0.73</v>
      </c>
      <c r="E1712" s="2">
        <f>CallLog[[#This Row],[Date]]+CallLog[[#This Row],[Time]]</f>
        <v>44226.73</v>
      </c>
      <c r="F1712" s="1" t="str">
        <f>TEXT(CallLog[[#This Row],[Date]],"dddd")</f>
        <v>Saturday</v>
      </c>
      <c r="G1712" s="3">
        <f>HOUR(CallLog[[#This Row],[Time]])</f>
        <v>17</v>
      </c>
      <c r="H1712" t="s">
        <v>24</v>
      </c>
      <c r="I1712" t="s">
        <v>14</v>
      </c>
      <c r="J1712" t="s">
        <v>14</v>
      </c>
      <c r="K1712">
        <v>97</v>
      </c>
      <c r="L1712" t="str">
        <f>IF(AND(CallLog[[#This Row],[Answered (Y/N)]]="Y", CallLog[[#This Row],[Speed of answer in seconds]]&lt;=20),
    "Within",
    "Breach")</f>
        <v>Breach</v>
      </c>
      <c r="M1712" s="1">
        <v>1.9907407407407408E-3</v>
      </c>
      <c r="N1712">
        <v>3</v>
      </c>
    </row>
    <row r="1713" spans="1:14" x14ac:dyDescent="0.3">
      <c r="A1713" t="s">
        <v>1766</v>
      </c>
      <c r="B1713" t="s">
        <v>31</v>
      </c>
      <c r="C1713" t="s">
        <v>1687</v>
      </c>
      <c r="D1713" s="1">
        <v>0.73</v>
      </c>
      <c r="E1713" s="2">
        <f>CallLog[[#This Row],[Date]]+CallLog[[#This Row],[Time]]</f>
        <v>44226.73</v>
      </c>
      <c r="F1713" s="1" t="str">
        <f>TEXT(CallLog[[#This Row],[Date]],"dddd")</f>
        <v>Saturday</v>
      </c>
      <c r="G1713" s="3">
        <f>HOUR(CallLog[[#This Row],[Time]])</f>
        <v>17</v>
      </c>
      <c r="H1713" t="s">
        <v>32</v>
      </c>
      <c r="I1713" t="s">
        <v>14</v>
      </c>
      <c r="J1713" t="s">
        <v>14</v>
      </c>
      <c r="K1713">
        <v>20</v>
      </c>
      <c r="L1713" t="str">
        <f>IF(AND(CallLog[[#This Row],[Answered (Y/N)]]="Y", CallLog[[#This Row],[Speed of answer in seconds]]&lt;=20),
    "Within",
    "Breach")</f>
        <v>Within</v>
      </c>
      <c r="M1713" s="1">
        <v>3.5532407407407409E-3</v>
      </c>
      <c r="N1713">
        <v>5</v>
      </c>
    </row>
    <row r="1714" spans="1:14" x14ac:dyDescent="0.3">
      <c r="A1714" t="s">
        <v>1767</v>
      </c>
      <c r="B1714" t="s">
        <v>47</v>
      </c>
      <c r="C1714" t="s">
        <v>1768</v>
      </c>
      <c r="D1714" s="1">
        <v>0.375</v>
      </c>
      <c r="E1714" s="2">
        <f>CallLog[[#This Row],[Date]]+CallLog[[#This Row],[Time]]</f>
        <v>44227.375</v>
      </c>
      <c r="F1714" s="1" t="str">
        <f>TEXT(CallLog[[#This Row],[Date]],"dddd")</f>
        <v>Sunday</v>
      </c>
      <c r="G1714" s="3">
        <f>HOUR(CallLog[[#This Row],[Time]])</f>
        <v>9</v>
      </c>
      <c r="H1714" t="s">
        <v>24</v>
      </c>
      <c r="I1714" t="s">
        <v>14</v>
      </c>
      <c r="J1714" t="s">
        <v>18</v>
      </c>
      <c r="K1714">
        <v>100</v>
      </c>
      <c r="L1714" t="str">
        <f>IF(AND(CallLog[[#This Row],[Answered (Y/N)]]="Y", CallLog[[#This Row],[Speed of answer in seconds]]&lt;=20),
    "Within",
    "Breach")</f>
        <v>Breach</v>
      </c>
      <c r="M1714" s="1">
        <v>4.4212962962962964E-3</v>
      </c>
      <c r="N1714">
        <v>5</v>
      </c>
    </row>
    <row r="1715" spans="1:14" x14ac:dyDescent="0.3">
      <c r="A1715" t="s">
        <v>1769</v>
      </c>
      <c r="B1715" t="s">
        <v>16</v>
      </c>
      <c r="C1715" t="s">
        <v>1768</v>
      </c>
      <c r="D1715" s="1">
        <v>0.375</v>
      </c>
      <c r="E1715" s="2">
        <f>CallLog[[#This Row],[Date]]+CallLog[[#This Row],[Time]]</f>
        <v>44227.375</v>
      </c>
      <c r="F1715" s="1" t="str">
        <f>TEXT(CallLog[[#This Row],[Date]],"dddd")</f>
        <v>Sunday</v>
      </c>
      <c r="G1715" s="3">
        <f>HOUR(CallLog[[#This Row],[Time]])</f>
        <v>9</v>
      </c>
      <c r="H1715" t="s">
        <v>24</v>
      </c>
      <c r="I1715" t="s">
        <v>14</v>
      </c>
      <c r="J1715" t="s">
        <v>14</v>
      </c>
      <c r="K1715">
        <v>114</v>
      </c>
      <c r="L1715" t="str">
        <f>IF(AND(CallLog[[#This Row],[Answered (Y/N)]]="Y", CallLog[[#This Row],[Speed of answer in seconds]]&lt;=20),
    "Within",
    "Breach")</f>
        <v>Breach</v>
      </c>
      <c r="M1715" s="1">
        <v>3.9583333333333337E-3</v>
      </c>
      <c r="N1715">
        <v>4</v>
      </c>
    </row>
    <row r="1716" spans="1:14" x14ac:dyDescent="0.3">
      <c r="A1716" t="s">
        <v>1770</v>
      </c>
      <c r="B1716" t="s">
        <v>22</v>
      </c>
      <c r="C1716" t="s">
        <v>1768</v>
      </c>
      <c r="D1716" s="1">
        <v>0.38099537037037035</v>
      </c>
      <c r="E1716" s="2">
        <f>CallLog[[#This Row],[Date]]+CallLog[[#This Row],[Time]]</f>
        <v>44227.380995370368</v>
      </c>
      <c r="F1716" s="1" t="str">
        <f>TEXT(CallLog[[#This Row],[Date]],"dddd")</f>
        <v>Sunday</v>
      </c>
      <c r="G1716" s="3">
        <f>HOUR(CallLog[[#This Row],[Time]])</f>
        <v>9</v>
      </c>
      <c r="H1716" t="s">
        <v>24</v>
      </c>
      <c r="I1716" t="s">
        <v>14</v>
      </c>
      <c r="J1716" t="s">
        <v>14</v>
      </c>
      <c r="K1716">
        <v>27</v>
      </c>
      <c r="L1716" t="str">
        <f>IF(AND(CallLog[[#This Row],[Answered (Y/N)]]="Y", CallLog[[#This Row],[Speed of answer in seconds]]&lt;=20),
    "Within",
    "Breach")</f>
        <v>Breach</v>
      </c>
      <c r="M1716" s="1">
        <v>2.2222222222222222E-3</v>
      </c>
      <c r="N1716">
        <v>3</v>
      </c>
    </row>
    <row r="1717" spans="1:14" x14ac:dyDescent="0.3">
      <c r="A1717" t="s">
        <v>1771</v>
      </c>
      <c r="B1717" t="s">
        <v>34</v>
      </c>
      <c r="C1717" t="s">
        <v>1768</v>
      </c>
      <c r="D1717" s="1">
        <v>0.38099537037037035</v>
      </c>
      <c r="E1717" s="2">
        <f>CallLog[[#This Row],[Date]]+CallLog[[#This Row],[Time]]</f>
        <v>44227.380995370368</v>
      </c>
      <c r="F1717" s="1" t="str">
        <f>TEXT(CallLog[[#This Row],[Date]],"dddd")</f>
        <v>Sunday</v>
      </c>
      <c r="G1717" s="3">
        <f>HOUR(CallLog[[#This Row],[Time]])</f>
        <v>9</v>
      </c>
      <c r="H1717" t="s">
        <v>13</v>
      </c>
      <c r="I1717" t="s">
        <v>14</v>
      </c>
      <c r="J1717" t="s">
        <v>14</v>
      </c>
      <c r="K1717">
        <v>119</v>
      </c>
      <c r="L1717" t="str">
        <f>IF(AND(CallLog[[#This Row],[Answered (Y/N)]]="Y", CallLog[[#This Row],[Speed of answer in seconds]]&lt;=20),
    "Within",
    "Breach")</f>
        <v>Breach</v>
      </c>
      <c r="M1717" s="1">
        <v>1.8749999999999999E-3</v>
      </c>
      <c r="N1717">
        <v>4</v>
      </c>
    </row>
    <row r="1718" spans="1:14" x14ac:dyDescent="0.3">
      <c r="A1718" t="s">
        <v>1772</v>
      </c>
      <c r="B1718" t="s">
        <v>16</v>
      </c>
      <c r="C1718" t="s">
        <v>1768</v>
      </c>
      <c r="D1718" s="1">
        <v>0.38500000000000001</v>
      </c>
      <c r="E1718" s="2">
        <f>CallLog[[#This Row],[Date]]+CallLog[[#This Row],[Time]]</f>
        <v>44227.385000000002</v>
      </c>
      <c r="F1718" s="1" t="str">
        <f>TEXT(CallLog[[#This Row],[Date]],"dddd")</f>
        <v>Sunday</v>
      </c>
      <c r="G1718" s="3">
        <f>HOUR(CallLog[[#This Row],[Time]])</f>
        <v>9</v>
      </c>
      <c r="H1718" t="s">
        <v>17</v>
      </c>
      <c r="I1718" t="s">
        <v>14</v>
      </c>
      <c r="J1718" t="s">
        <v>14</v>
      </c>
      <c r="K1718">
        <v>30</v>
      </c>
      <c r="L1718" t="str">
        <f>IF(AND(CallLog[[#This Row],[Answered (Y/N)]]="Y", CallLog[[#This Row],[Speed of answer in seconds]]&lt;=20),
    "Within",
    "Breach")</f>
        <v>Breach</v>
      </c>
      <c r="M1718" s="1">
        <v>6.8287037037037036E-4</v>
      </c>
      <c r="N1718">
        <v>5</v>
      </c>
    </row>
    <row r="1719" spans="1:14" x14ac:dyDescent="0.3">
      <c r="A1719" t="s">
        <v>1773</v>
      </c>
      <c r="B1719" t="s">
        <v>20</v>
      </c>
      <c r="C1719" t="s">
        <v>1768</v>
      </c>
      <c r="D1719" s="1">
        <v>0.38500000000000001</v>
      </c>
      <c r="E1719" s="2">
        <f>CallLog[[#This Row],[Date]]+CallLog[[#This Row],[Time]]</f>
        <v>44227.385000000002</v>
      </c>
      <c r="F1719" s="1" t="str">
        <f>TEXT(CallLog[[#This Row],[Date]],"dddd")</f>
        <v>Sunday</v>
      </c>
      <c r="G1719" s="3">
        <f>HOUR(CallLog[[#This Row],[Time]])</f>
        <v>9</v>
      </c>
      <c r="H1719" t="s">
        <v>13</v>
      </c>
      <c r="I1719" t="s">
        <v>14</v>
      </c>
      <c r="J1719" t="s">
        <v>14</v>
      </c>
      <c r="K1719">
        <v>23</v>
      </c>
      <c r="L1719" t="str">
        <f>IF(AND(CallLog[[#This Row],[Answered (Y/N)]]="Y", CallLog[[#This Row],[Speed of answer in seconds]]&lt;=20),
    "Within",
    "Breach")</f>
        <v>Breach</v>
      </c>
      <c r="M1719" s="1">
        <v>4.6296296296296294E-3</v>
      </c>
      <c r="N1719">
        <v>3</v>
      </c>
    </row>
    <row r="1720" spans="1:14" x14ac:dyDescent="0.3">
      <c r="A1720" t="s">
        <v>1774</v>
      </c>
      <c r="B1720" t="s">
        <v>11</v>
      </c>
      <c r="C1720" t="s">
        <v>1768</v>
      </c>
      <c r="D1720" s="1">
        <v>0.39200231481481479</v>
      </c>
      <c r="E1720" s="2">
        <f>CallLog[[#This Row],[Date]]+CallLog[[#This Row],[Time]]</f>
        <v>44227.392002314817</v>
      </c>
      <c r="F1720" s="1" t="str">
        <f>TEXT(CallLog[[#This Row],[Date]],"dddd")</f>
        <v>Sunday</v>
      </c>
      <c r="G1720" s="3">
        <f>HOUR(CallLog[[#This Row],[Time]])</f>
        <v>9</v>
      </c>
      <c r="H1720" t="s">
        <v>13</v>
      </c>
      <c r="I1720" t="s">
        <v>14</v>
      </c>
      <c r="J1720" t="s">
        <v>14</v>
      </c>
      <c r="K1720">
        <v>32</v>
      </c>
      <c r="L1720" t="str">
        <f>IF(AND(CallLog[[#This Row],[Answered (Y/N)]]="Y", CallLog[[#This Row],[Speed of answer in seconds]]&lt;=20),
    "Within",
    "Breach")</f>
        <v>Breach</v>
      </c>
      <c r="M1720" s="1">
        <v>4.1666666666666666E-3</v>
      </c>
      <c r="N1720">
        <v>1</v>
      </c>
    </row>
    <row r="1721" spans="1:14" x14ac:dyDescent="0.3">
      <c r="A1721" t="s">
        <v>1775</v>
      </c>
      <c r="B1721" t="s">
        <v>22</v>
      </c>
      <c r="C1721" t="s">
        <v>1768</v>
      </c>
      <c r="D1721" s="1">
        <v>0.39200231481481479</v>
      </c>
      <c r="E1721" s="2">
        <f>CallLog[[#This Row],[Date]]+CallLog[[#This Row],[Time]]</f>
        <v>44227.392002314817</v>
      </c>
      <c r="F1721" s="1" t="str">
        <f>TEXT(CallLog[[#This Row],[Date]],"dddd")</f>
        <v>Sunday</v>
      </c>
      <c r="G1721" s="3">
        <f>HOUR(CallLog[[#This Row],[Time]])</f>
        <v>9</v>
      </c>
      <c r="H1721" t="s">
        <v>32</v>
      </c>
      <c r="I1721" t="s">
        <v>18</v>
      </c>
      <c r="J1721" t="s">
        <v>18</v>
      </c>
      <c r="L1721" t="str">
        <f>IF(AND(CallLog[[#This Row],[Answered (Y/N)]]="Y", CallLog[[#This Row],[Speed of answer in seconds]]&lt;=20),
    "Within",
    "Breach")</f>
        <v>Breach</v>
      </c>
    </row>
    <row r="1722" spans="1:14" x14ac:dyDescent="0.3">
      <c r="A1722" t="s">
        <v>1776</v>
      </c>
      <c r="B1722" t="s">
        <v>11</v>
      </c>
      <c r="C1722" t="s">
        <v>1768</v>
      </c>
      <c r="D1722" s="1">
        <v>0.39400462962962962</v>
      </c>
      <c r="E1722" s="2">
        <f>CallLog[[#This Row],[Date]]+CallLog[[#This Row],[Time]]</f>
        <v>44227.394004629627</v>
      </c>
      <c r="F1722" s="1" t="str">
        <f>TEXT(CallLog[[#This Row],[Date]],"dddd")</f>
        <v>Sunday</v>
      </c>
      <c r="G1722" s="3">
        <f>HOUR(CallLog[[#This Row],[Time]])</f>
        <v>9</v>
      </c>
      <c r="H1722" t="s">
        <v>24</v>
      </c>
      <c r="I1722" t="s">
        <v>14</v>
      </c>
      <c r="J1722" t="s">
        <v>18</v>
      </c>
      <c r="K1722">
        <v>67</v>
      </c>
      <c r="L1722" t="str">
        <f>IF(AND(CallLog[[#This Row],[Answered (Y/N)]]="Y", CallLog[[#This Row],[Speed of answer in seconds]]&lt;=20),
    "Within",
    "Breach")</f>
        <v>Breach</v>
      </c>
      <c r="M1722" s="1">
        <v>6.7129629629629625E-4</v>
      </c>
      <c r="N1722">
        <v>1</v>
      </c>
    </row>
    <row r="1723" spans="1:14" x14ac:dyDescent="0.3">
      <c r="A1723" t="s">
        <v>1777</v>
      </c>
      <c r="B1723" t="s">
        <v>16</v>
      </c>
      <c r="C1723" t="s">
        <v>1768</v>
      </c>
      <c r="D1723" s="1">
        <v>0.39400462962962962</v>
      </c>
      <c r="E1723" s="2">
        <f>CallLog[[#This Row],[Date]]+CallLog[[#This Row],[Time]]</f>
        <v>44227.394004629627</v>
      </c>
      <c r="F1723" s="1" t="str">
        <f>TEXT(CallLog[[#This Row],[Date]],"dddd")</f>
        <v>Sunday</v>
      </c>
      <c r="G1723" s="3">
        <f>HOUR(CallLog[[#This Row],[Time]])</f>
        <v>9</v>
      </c>
      <c r="H1723" t="s">
        <v>32</v>
      </c>
      <c r="I1723" t="s">
        <v>14</v>
      </c>
      <c r="J1723" t="s">
        <v>14</v>
      </c>
      <c r="K1723">
        <v>16</v>
      </c>
      <c r="L1723" t="str">
        <f>IF(AND(CallLog[[#This Row],[Answered (Y/N)]]="Y", CallLog[[#This Row],[Speed of answer in seconds]]&lt;=20),
    "Within",
    "Breach")</f>
        <v>Within</v>
      </c>
      <c r="M1723" s="1">
        <v>3.8888888888888888E-3</v>
      </c>
      <c r="N1723">
        <v>5</v>
      </c>
    </row>
    <row r="1724" spans="1:14" x14ac:dyDescent="0.3">
      <c r="A1724" t="s">
        <v>1778</v>
      </c>
      <c r="B1724" t="s">
        <v>20</v>
      </c>
      <c r="C1724" t="s">
        <v>1768</v>
      </c>
      <c r="D1724" s="1">
        <v>0.39599537037037036</v>
      </c>
      <c r="E1724" s="2">
        <f>CallLog[[#This Row],[Date]]+CallLog[[#This Row],[Time]]</f>
        <v>44227.395995370367</v>
      </c>
      <c r="F1724" s="1" t="str">
        <f>TEXT(CallLog[[#This Row],[Date]],"dddd")</f>
        <v>Sunday</v>
      </c>
      <c r="G1724" s="3">
        <f>HOUR(CallLog[[#This Row],[Time]])</f>
        <v>9</v>
      </c>
      <c r="H1724" t="s">
        <v>13</v>
      </c>
      <c r="I1724" t="s">
        <v>14</v>
      </c>
      <c r="J1724" t="s">
        <v>14</v>
      </c>
      <c r="K1724">
        <v>120</v>
      </c>
      <c r="L1724" t="str">
        <f>IF(AND(CallLog[[#This Row],[Answered (Y/N)]]="Y", CallLog[[#This Row],[Speed of answer in seconds]]&lt;=20),
    "Within",
    "Breach")</f>
        <v>Breach</v>
      </c>
      <c r="M1724" s="1">
        <v>2.1990740740740742E-3</v>
      </c>
      <c r="N1724">
        <v>1</v>
      </c>
    </row>
    <row r="1725" spans="1:14" x14ac:dyDescent="0.3">
      <c r="A1725" t="s">
        <v>1779</v>
      </c>
      <c r="B1725" t="s">
        <v>34</v>
      </c>
      <c r="C1725" t="s">
        <v>1768</v>
      </c>
      <c r="D1725" s="1">
        <v>0.39599537037037036</v>
      </c>
      <c r="E1725" s="2">
        <f>CallLog[[#This Row],[Date]]+CallLog[[#This Row],[Time]]</f>
        <v>44227.395995370367</v>
      </c>
      <c r="F1725" s="1" t="str">
        <f>TEXT(CallLog[[#This Row],[Date]],"dddd")</f>
        <v>Sunday</v>
      </c>
      <c r="G1725" s="3">
        <f>HOUR(CallLog[[#This Row],[Time]])</f>
        <v>9</v>
      </c>
      <c r="H1725" t="s">
        <v>24</v>
      </c>
      <c r="I1725" t="s">
        <v>14</v>
      </c>
      <c r="J1725" t="s">
        <v>14</v>
      </c>
      <c r="K1725">
        <v>73</v>
      </c>
      <c r="L1725" t="str">
        <f>IF(AND(CallLog[[#This Row],[Answered (Y/N)]]="Y", CallLog[[#This Row],[Speed of answer in seconds]]&lt;=20),
    "Within",
    "Breach")</f>
        <v>Breach</v>
      </c>
      <c r="M1725" s="1">
        <v>3.9699074074074072E-3</v>
      </c>
      <c r="N1725">
        <v>2</v>
      </c>
    </row>
    <row r="1726" spans="1:14" x14ac:dyDescent="0.3">
      <c r="A1726" t="s">
        <v>1780</v>
      </c>
      <c r="B1726" t="s">
        <v>31</v>
      </c>
      <c r="C1726" t="s">
        <v>1768</v>
      </c>
      <c r="D1726" s="1">
        <v>0.48099537037037038</v>
      </c>
      <c r="E1726" s="2">
        <f>CallLog[[#This Row],[Date]]+CallLog[[#This Row],[Time]]</f>
        <v>44227.480995370373</v>
      </c>
      <c r="F1726" s="1" t="str">
        <f>TEXT(CallLog[[#This Row],[Date]],"dddd")</f>
        <v>Sunday</v>
      </c>
      <c r="G1726" s="3">
        <f>HOUR(CallLog[[#This Row],[Time]])</f>
        <v>11</v>
      </c>
      <c r="H1726" t="s">
        <v>24</v>
      </c>
      <c r="I1726" t="s">
        <v>18</v>
      </c>
      <c r="J1726" t="s">
        <v>18</v>
      </c>
      <c r="L1726" t="str">
        <f>IF(AND(CallLog[[#This Row],[Answered (Y/N)]]="Y", CallLog[[#This Row],[Speed of answer in seconds]]&lt;=20),
    "Within",
    "Breach")</f>
        <v>Breach</v>
      </c>
    </row>
    <row r="1727" spans="1:14" x14ac:dyDescent="0.3">
      <c r="A1727" t="s">
        <v>1781</v>
      </c>
      <c r="B1727" t="s">
        <v>22</v>
      </c>
      <c r="C1727" t="s">
        <v>1768</v>
      </c>
      <c r="D1727" s="1">
        <v>0.48099537037037038</v>
      </c>
      <c r="E1727" s="2">
        <f>CallLog[[#This Row],[Date]]+CallLog[[#This Row],[Time]]</f>
        <v>44227.480995370373</v>
      </c>
      <c r="F1727" s="1" t="str">
        <f>TEXT(CallLog[[#This Row],[Date]],"dddd")</f>
        <v>Sunday</v>
      </c>
      <c r="G1727" s="3">
        <f>HOUR(CallLog[[#This Row],[Time]])</f>
        <v>11</v>
      </c>
      <c r="H1727" t="s">
        <v>13</v>
      </c>
      <c r="I1727" t="s">
        <v>18</v>
      </c>
      <c r="J1727" t="s">
        <v>18</v>
      </c>
      <c r="L1727" t="str">
        <f>IF(AND(CallLog[[#This Row],[Answered (Y/N)]]="Y", CallLog[[#This Row],[Speed of answer in seconds]]&lt;=20),
    "Within",
    "Breach")</f>
        <v>Breach</v>
      </c>
    </row>
    <row r="1728" spans="1:14" x14ac:dyDescent="0.3">
      <c r="A1728" t="s">
        <v>1782</v>
      </c>
      <c r="B1728" t="s">
        <v>34</v>
      </c>
      <c r="C1728" t="s">
        <v>1768</v>
      </c>
      <c r="D1728" s="1">
        <v>0.48299768518518521</v>
      </c>
      <c r="E1728" s="2">
        <f>CallLog[[#This Row],[Date]]+CallLog[[#This Row],[Time]]</f>
        <v>44227.482997685183</v>
      </c>
      <c r="F1728" s="1" t="str">
        <f>TEXT(CallLog[[#This Row],[Date]],"dddd")</f>
        <v>Sunday</v>
      </c>
      <c r="G1728" s="3">
        <f>HOUR(CallLog[[#This Row],[Time]])</f>
        <v>11</v>
      </c>
      <c r="H1728" t="s">
        <v>29</v>
      </c>
      <c r="I1728" t="s">
        <v>18</v>
      </c>
      <c r="J1728" t="s">
        <v>18</v>
      </c>
      <c r="L1728" t="str">
        <f>IF(AND(CallLog[[#This Row],[Answered (Y/N)]]="Y", CallLog[[#This Row],[Speed of answer in seconds]]&lt;=20),
    "Within",
    "Breach")</f>
        <v>Breach</v>
      </c>
    </row>
    <row r="1729" spans="1:14" x14ac:dyDescent="0.3">
      <c r="A1729" t="s">
        <v>1783</v>
      </c>
      <c r="B1729" t="s">
        <v>34</v>
      </c>
      <c r="C1729" t="s">
        <v>1768</v>
      </c>
      <c r="D1729" s="1">
        <v>0.48299768518518521</v>
      </c>
      <c r="E1729" s="2">
        <f>CallLog[[#This Row],[Date]]+CallLog[[#This Row],[Time]]</f>
        <v>44227.482997685183</v>
      </c>
      <c r="F1729" s="1" t="str">
        <f>TEXT(CallLog[[#This Row],[Date]],"dddd")</f>
        <v>Sunday</v>
      </c>
      <c r="G1729" s="3">
        <f>HOUR(CallLog[[#This Row],[Time]])</f>
        <v>11</v>
      </c>
      <c r="H1729" t="s">
        <v>13</v>
      </c>
      <c r="I1729" t="s">
        <v>14</v>
      </c>
      <c r="J1729" t="s">
        <v>14</v>
      </c>
      <c r="K1729">
        <v>88</v>
      </c>
      <c r="L1729" t="str">
        <f>IF(AND(CallLog[[#This Row],[Answered (Y/N)]]="Y", CallLog[[#This Row],[Speed of answer in seconds]]&lt;=20),
    "Within",
    "Breach")</f>
        <v>Breach</v>
      </c>
      <c r="M1729" s="1">
        <v>8.2175925925925927E-4</v>
      </c>
      <c r="N1729">
        <v>1</v>
      </c>
    </row>
    <row r="1730" spans="1:14" x14ac:dyDescent="0.3">
      <c r="A1730" t="s">
        <v>1784</v>
      </c>
      <c r="B1730" t="s">
        <v>47</v>
      </c>
      <c r="C1730" t="s">
        <v>1768</v>
      </c>
      <c r="D1730" s="1">
        <v>0.48599537037037038</v>
      </c>
      <c r="E1730" s="2">
        <f>CallLog[[#This Row],[Date]]+CallLog[[#This Row],[Time]]</f>
        <v>44227.485995370371</v>
      </c>
      <c r="F1730" s="1" t="str">
        <f>TEXT(CallLog[[#This Row],[Date]],"dddd")</f>
        <v>Sunday</v>
      </c>
      <c r="G1730" s="3">
        <f>HOUR(CallLog[[#This Row],[Time]])</f>
        <v>11</v>
      </c>
      <c r="H1730" t="s">
        <v>24</v>
      </c>
      <c r="I1730" t="s">
        <v>14</v>
      </c>
      <c r="J1730" t="s">
        <v>14</v>
      </c>
      <c r="K1730">
        <v>79</v>
      </c>
      <c r="L1730" t="str">
        <f>IF(AND(CallLog[[#This Row],[Answered (Y/N)]]="Y", CallLog[[#This Row],[Speed of answer in seconds]]&lt;=20),
    "Within",
    "Breach")</f>
        <v>Breach</v>
      </c>
      <c r="M1730" s="1">
        <v>9.3749999999999997E-4</v>
      </c>
      <c r="N1730">
        <v>5</v>
      </c>
    </row>
    <row r="1731" spans="1:14" x14ac:dyDescent="0.3">
      <c r="A1731" t="s">
        <v>1785</v>
      </c>
      <c r="B1731" t="s">
        <v>34</v>
      </c>
      <c r="C1731" t="s">
        <v>1768</v>
      </c>
      <c r="D1731" s="1">
        <v>0.48599537037037038</v>
      </c>
      <c r="E1731" s="2">
        <f>CallLog[[#This Row],[Date]]+CallLog[[#This Row],[Time]]</f>
        <v>44227.485995370371</v>
      </c>
      <c r="F1731" s="1" t="str">
        <f>TEXT(CallLog[[#This Row],[Date]],"dddd")</f>
        <v>Sunday</v>
      </c>
      <c r="G1731" s="3">
        <f>HOUR(CallLog[[#This Row],[Time]])</f>
        <v>11</v>
      </c>
      <c r="H1731" t="s">
        <v>17</v>
      </c>
      <c r="I1731" t="s">
        <v>14</v>
      </c>
      <c r="J1731" t="s">
        <v>14</v>
      </c>
      <c r="K1731">
        <v>42</v>
      </c>
      <c r="L1731" t="str">
        <f>IF(AND(CallLog[[#This Row],[Answered (Y/N)]]="Y", CallLog[[#This Row],[Speed of answer in seconds]]&lt;=20),
    "Within",
    "Breach")</f>
        <v>Breach</v>
      </c>
      <c r="M1731" s="1">
        <v>1.1574074074074073E-3</v>
      </c>
      <c r="N1731">
        <v>5</v>
      </c>
    </row>
    <row r="1732" spans="1:14" x14ac:dyDescent="0.3">
      <c r="A1732" t="s">
        <v>1786</v>
      </c>
      <c r="B1732" t="s">
        <v>47</v>
      </c>
      <c r="C1732" t="s">
        <v>1768</v>
      </c>
      <c r="D1732" s="1">
        <v>0.4990046296296296</v>
      </c>
      <c r="E1732" s="2">
        <f>CallLog[[#This Row],[Date]]+CallLog[[#This Row],[Time]]</f>
        <v>44227.49900462963</v>
      </c>
      <c r="F1732" s="1" t="str">
        <f>TEXT(CallLog[[#This Row],[Date]],"dddd")</f>
        <v>Sunday</v>
      </c>
      <c r="G1732" s="3">
        <f>HOUR(CallLog[[#This Row],[Time]])</f>
        <v>11</v>
      </c>
      <c r="H1732" t="s">
        <v>13</v>
      </c>
      <c r="I1732" t="s">
        <v>18</v>
      </c>
      <c r="J1732" t="s">
        <v>18</v>
      </c>
      <c r="L1732" t="str">
        <f>IF(AND(CallLog[[#This Row],[Answered (Y/N)]]="Y", CallLog[[#This Row],[Speed of answer in seconds]]&lt;=20),
    "Within",
    "Breach")</f>
        <v>Breach</v>
      </c>
    </row>
    <row r="1733" spans="1:14" x14ac:dyDescent="0.3">
      <c r="A1733" t="s">
        <v>1787</v>
      </c>
      <c r="B1733" t="s">
        <v>11</v>
      </c>
      <c r="C1733" t="s">
        <v>1768</v>
      </c>
      <c r="D1733" s="1">
        <v>0.4990046296296296</v>
      </c>
      <c r="E1733" s="2">
        <f>CallLog[[#This Row],[Date]]+CallLog[[#This Row],[Time]]</f>
        <v>44227.49900462963</v>
      </c>
      <c r="F1733" s="1" t="str">
        <f>TEXT(CallLog[[#This Row],[Date]],"dddd")</f>
        <v>Sunday</v>
      </c>
      <c r="G1733" s="3">
        <f>HOUR(CallLog[[#This Row],[Time]])</f>
        <v>11</v>
      </c>
      <c r="H1733" t="s">
        <v>24</v>
      </c>
      <c r="I1733" t="s">
        <v>14</v>
      </c>
      <c r="J1733" t="s">
        <v>14</v>
      </c>
      <c r="K1733">
        <v>38</v>
      </c>
      <c r="L1733" t="str">
        <f>IF(AND(CallLog[[#This Row],[Answered (Y/N)]]="Y", CallLog[[#This Row],[Speed of answer in seconds]]&lt;=20),
    "Within",
    "Breach")</f>
        <v>Breach</v>
      </c>
      <c r="M1733" s="1">
        <v>2.638888888888889E-3</v>
      </c>
      <c r="N1733">
        <v>4</v>
      </c>
    </row>
    <row r="1734" spans="1:14" x14ac:dyDescent="0.3">
      <c r="A1734" t="s">
        <v>1788</v>
      </c>
      <c r="B1734" t="s">
        <v>22</v>
      </c>
      <c r="C1734" t="s">
        <v>1768</v>
      </c>
      <c r="D1734" s="1">
        <v>0.5</v>
      </c>
      <c r="E1734" s="2">
        <f>CallLog[[#This Row],[Date]]+CallLog[[#This Row],[Time]]</f>
        <v>44227.5</v>
      </c>
      <c r="F1734" s="1" t="str">
        <f>TEXT(CallLog[[#This Row],[Date]],"dddd")</f>
        <v>Sunday</v>
      </c>
      <c r="G1734" s="3">
        <f>HOUR(CallLog[[#This Row],[Time]])</f>
        <v>12</v>
      </c>
      <c r="H1734" t="s">
        <v>24</v>
      </c>
      <c r="I1734" t="s">
        <v>14</v>
      </c>
      <c r="J1734" t="s">
        <v>14</v>
      </c>
      <c r="K1734">
        <v>102</v>
      </c>
      <c r="L1734" t="str">
        <f>IF(AND(CallLog[[#This Row],[Answered (Y/N)]]="Y", CallLog[[#This Row],[Speed of answer in seconds]]&lt;=20),
    "Within",
    "Breach")</f>
        <v>Breach</v>
      </c>
      <c r="M1734" s="1">
        <v>2.638888888888889E-3</v>
      </c>
      <c r="N1734">
        <v>3</v>
      </c>
    </row>
    <row r="1735" spans="1:14" x14ac:dyDescent="0.3">
      <c r="A1735" t="s">
        <v>1789</v>
      </c>
      <c r="B1735" t="s">
        <v>47</v>
      </c>
      <c r="C1735" t="s">
        <v>1768</v>
      </c>
      <c r="D1735" s="1">
        <v>0.5</v>
      </c>
      <c r="E1735" s="2">
        <f>CallLog[[#This Row],[Date]]+CallLog[[#This Row],[Time]]</f>
        <v>44227.5</v>
      </c>
      <c r="F1735" s="1" t="str">
        <f>TEXT(CallLog[[#This Row],[Date]],"dddd")</f>
        <v>Sunday</v>
      </c>
      <c r="G1735" s="3">
        <f>HOUR(CallLog[[#This Row],[Time]])</f>
        <v>12</v>
      </c>
      <c r="H1735" t="s">
        <v>17</v>
      </c>
      <c r="I1735" t="s">
        <v>14</v>
      </c>
      <c r="J1735" t="s">
        <v>14</v>
      </c>
      <c r="K1735">
        <v>112</v>
      </c>
      <c r="L1735" t="str">
        <f>IF(AND(CallLog[[#This Row],[Answered (Y/N)]]="Y", CallLog[[#This Row],[Speed of answer in seconds]]&lt;=20),
    "Within",
    "Breach")</f>
        <v>Breach</v>
      </c>
      <c r="M1735" s="1">
        <v>4.6643518518518518E-3</v>
      </c>
      <c r="N1735">
        <v>3</v>
      </c>
    </row>
    <row r="1736" spans="1:14" x14ac:dyDescent="0.3">
      <c r="A1736" t="s">
        <v>1790</v>
      </c>
      <c r="B1736" t="s">
        <v>31</v>
      </c>
      <c r="C1736" t="s">
        <v>1768</v>
      </c>
      <c r="D1736" s="1">
        <v>0.5</v>
      </c>
      <c r="E1736" s="2">
        <f>CallLog[[#This Row],[Date]]+CallLog[[#This Row],[Time]]</f>
        <v>44227.5</v>
      </c>
      <c r="F1736" s="1" t="str">
        <f>TEXT(CallLog[[#This Row],[Date]],"dddd")</f>
        <v>Sunday</v>
      </c>
      <c r="G1736" s="3">
        <f>HOUR(CallLog[[#This Row],[Time]])</f>
        <v>12</v>
      </c>
      <c r="H1736" t="s">
        <v>17</v>
      </c>
      <c r="I1736" t="s">
        <v>14</v>
      </c>
      <c r="J1736" t="s">
        <v>14</v>
      </c>
      <c r="K1736">
        <v>107</v>
      </c>
      <c r="L1736" t="str">
        <f>IF(AND(CallLog[[#This Row],[Answered (Y/N)]]="Y", CallLog[[#This Row],[Speed of answer in seconds]]&lt;=20),
    "Within",
    "Breach")</f>
        <v>Breach</v>
      </c>
      <c r="M1736" s="1">
        <v>2.2453703703703702E-3</v>
      </c>
      <c r="N1736">
        <v>1</v>
      </c>
    </row>
    <row r="1737" spans="1:14" x14ac:dyDescent="0.3">
      <c r="A1737" t="s">
        <v>1791</v>
      </c>
      <c r="B1737" t="s">
        <v>20</v>
      </c>
      <c r="C1737" t="s">
        <v>1768</v>
      </c>
      <c r="D1737" s="1">
        <v>0.5</v>
      </c>
      <c r="E1737" s="2">
        <f>CallLog[[#This Row],[Date]]+CallLog[[#This Row],[Time]]</f>
        <v>44227.5</v>
      </c>
      <c r="F1737" s="1" t="str">
        <f>TEXT(CallLog[[#This Row],[Date]],"dddd")</f>
        <v>Sunday</v>
      </c>
      <c r="G1737" s="3">
        <f>HOUR(CallLog[[#This Row],[Time]])</f>
        <v>12</v>
      </c>
      <c r="H1737" t="s">
        <v>13</v>
      </c>
      <c r="I1737" t="s">
        <v>14</v>
      </c>
      <c r="J1737" t="s">
        <v>14</v>
      </c>
      <c r="K1737">
        <v>93</v>
      </c>
      <c r="L1737" t="str">
        <f>IF(AND(CallLog[[#This Row],[Answered (Y/N)]]="Y", CallLog[[#This Row],[Speed of answer in seconds]]&lt;=20),
    "Within",
    "Breach")</f>
        <v>Breach</v>
      </c>
      <c r="M1737" s="1">
        <v>1.8402777777777777E-3</v>
      </c>
      <c r="N1737">
        <v>5</v>
      </c>
    </row>
    <row r="1738" spans="1:14" x14ac:dyDescent="0.3">
      <c r="A1738" t="s">
        <v>1792</v>
      </c>
      <c r="B1738" t="s">
        <v>11</v>
      </c>
      <c r="C1738" t="s">
        <v>1768</v>
      </c>
      <c r="D1738" s="1">
        <v>0.51099537037037035</v>
      </c>
      <c r="E1738" s="2">
        <f>CallLog[[#This Row],[Date]]+CallLog[[#This Row],[Time]]</f>
        <v>44227.510995370372</v>
      </c>
      <c r="F1738" s="1" t="str">
        <f>TEXT(CallLog[[#This Row],[Date]],"dddd")</f>
        <v>Sunday</v>
      </c>
      <c r="G1738" s="3">
        <f>HOUR(CallLog[[#This Row],[Time]])</f>
        <v>12</v>
      </c>
      <c r="H1738" t="s">
        <v>24</v>
      </c>
      <c r="I1738" t="s">
        <v>14</v>
      </c>
      <c r="J1738" t="s">
        <v>14</v>
      </c>
      <c r="K1738">
        <v>37</v>
      </c>
      <c r="L1738" t="str">
        <f>IF(AND(CallLog[[#This Row],[Answered (Y/N)]]="Y", CallLog[[#This Row],[Speed of answer in seconds]]&lt;=20),
    "Within",
    "Breach")</f>
        <v>Breach</v>
      </c>
      <c r="M1738" s="1">
        <v>4.8263888888888887E-3</v>
      </c>
      <c r="N1738">
        <v>4</v>
      </c>
    </row>
    <row r="1739" spans="1:14" x14ac:dyDescent="0.3">
      <c r="A1739" t="s">
        <v>1793</v>
      </c>
      <c r="B1739" t="s">
        <v>47</v>
      </c>
      <c r="C1739" t="s">
        <v>1768</v>
      </c>
      <c r="D1739" s="1">
        <v>0.51099537037037035</v>
      </c>
      <c r="E1739" s="2">
        <f>CallLog[[#This Row],[Date]]+CallLog[[#This Row],[Time]]</f>
        <v>44227.510995370372</v>
      </c>
      <c r="F1739" s="1" t="str">
        <f>TEXT(CallLog[[#This Row],[Date]],"dddd")</f>
        <v>Sunday</v>
      </c>
      <c r="G1739" s="3">
        <f>HOUR(CallLog[[#This Row],[Time]])</f>
        <v>12</v>
      </c>
      <c r="H1739" t="s">
        <v>17</v>
      </c>
      <c r="I1739" t="s">
        <v>14</v>
      </c>
      <c r="J1739" t="s">
        <v>14</v>
      </c>
      <c r="K1739">
        <v>29</v>
      </c>
      <c r="L1739" t="str">
        <f>IF(AND(CallLog[[#This Row],[Answered (Y/N)]]="Y", CallLog[[#This Row],[Speed of answer in seconds]]&lt;=20),
    "Within",
    "Breach")</f>
        <v>Breach</v>
      </c>
      <c r="M1739" s="1">
        <v>4.5023148148148149E-3</v>
      </c>
      <c r="N1739">
        <v>5</v>
      </c>
    </row>
    <row r="1740" spans="1:14" x14ac:dyDescent="0.3">
      <c r="A1740" t="s">
        <v>1794</v>
      </c>
      <c r="B1740" t="s">
        <v>20</v>
      </c>
      <c r="C1740" t="s">
        <v>1768</v>
      </c>
      <c r="D1740" s="1">
        <v>0.52599537037037036</v>
      </c>
      <c r="E1740" s="2">
        <f>CallLog[[#This Row],[Date]]+CallLog[[#This Row],[Time]]</f>
        <v>44227.525995370372</v>
      </c>
      <c r="F1740" s="1" t="str">
        <f>TEXT(CallLog[[#This Row],[Date]],"dddd")</f>
        <v>Sunday</v>
      </c>
      <c r="G1740" s="3">
        <f>HOUR(CallLog[[#This Row],[Time]])</f>
        <v>12</v>
      </c>
      <c r="H1740" t="s">
        <v>24</v>
      </c>
      <c r="I1740" t="s">
        <v>14</v>
      </c>
      <c r="J1740" t="s">
        <v>18</v>
      </c>
      <c r="K1740">
        <v>17</v>
      </c>
      <c r="L1740" t="str">
        <f>IF(AND(CallLog[[#This Row],[Answered (Y/N)]]="Y", CallLog[[#This Row],[Speed of answer in seconds]]&lt;=20),
    "Within",
    "Breach")</f>
        <v>Within</v>
      </c>
      <c r="M1740" s="1">
        <v>2.650462962962963E-3</v>
      </c>
      <c r="N1740">
        <v>5</v>
      </c>
    </row>
    <row r="1741" spans="1:14" x14ac:dyDescent="0.3">
      <c r="A1741" t="s">
        <v>1795</v>
      </c>
      <c r="B1741" t="s">
        <v>31</v>
      </c>
      <c r="C1741" t="s">
        <v>1768</v>
      </c>
      <c r="D1741" s="1">
        <v>0.52599537037037036</v>
      </c>
      <c r="E1741" s="2">
        <f>CallLog[[#This Row],[Date]]+CallLog[[#This Row],[Time]]</f>
        <v>44227.525995370372</v>
      </c>
      <c r="F1741" s="1" t="str">
        <f>TEXT(CallLog[[#This Row],[Date]],"dddd")</f>
        <v>Sunday</v>
      </c>
      <c r="G1741" s="3">
        <f>HOUR(CallLog[[#This Row],[Time]])</f>
        <v>12</v>
      </c>
      <c r="H1741" t="s">
        <v>32</v>
      </c>
      <c r="I1741" t="s">
        <v>18</v>
      </c>
      <c r="J1741" t="s">
        <v>18</v>
      </c>
      <c r="L1741" t="str">
        <f>IF(AND(CallLog[[#This Row],[Answered (Y/N)]]="Y", CallLog[[#This Row],[Speed of answer in seconds]]&lt;=20),
    "Within",
    "Breach")</f>
        <v>Breach</v>
      </c>
    </row>
    <row r="1742" spans="1:14" x14ac:dyDescent="0.3">
      <c r="A1742" t="s">
        <v>1796</v>
      </c>
      <c r="B1742" t="s">
        <v>47</v>
      </c>
      <c r="C1742" t="s">
        <v>1768</v>
      </c>
      <c r="D1742" s="1">
        <v>0.53</v>
      </c>
      <c r="E1742" s="2">
        <f>CallLog[[#This Row],[Date]]+CallLog[[#This Row],[Time]]</f>
        <v>44227.53</v>
      </c>
      <c r="F1742" s="1" t="str">
        <f>TEXT(CallLog[[#This Row],[Date]],"dddd")</f>
        <v>Sunday</v>
      </c>
      <c r="G1742" s="3">
        <f>HOUR(CallLog[[#This Row],[Time]])</f>
        <v>12</v>
      </c>
      <c r="H1742" t="s">
        <v>17</v>
      </c>
      <c r="I1742" t="s">
        <v>14</v>
      </c>
      <c r="J1742" t="s">
        <v>14</v>
      </c>
      <c r="K1742">
        <v>28</v>
      </c>
      <c r="L1742" t="str">
        <f>IF(AND(CallLog[[#This Row],[Answered (Y/N)]]="Y", CallLog[[#This Row],[Speed of answer in seconds]]&lt;=20),
    "Within",
    "Breach")</f>
        <v>Breach</v>
      </c>
      <c r="M1742" s="1">
        <v>4.2939814814814811E-3</v>
      </c>
      <c r="N1742">
        <v>4</v>
      </c>
    </row>
    <row r="1743" spans="1:14" x14ac:dyDescent="0.3">
      <c r="A1743" t="s">
        <v>1797</v>
      </c>
      <c r="B1743" t="s">
        <v>47</v>
      </c>
      <c r="C1743" t="s">
        <v>1768</v>
      </c>
      <c r="D1743" s="1">
        <v>0.53</v>
      </c>
      <c r="E1743" s="2">
        <f>CallLog[[#This Row],[Date]]+CallLog[[#This Row],[Time]]</f>
        <v>44227.53</v>
      </c>
      <c r="F1743" s="1" t="str">
        <f>TEXT(CallLog[[#This Row],[Date]],"dddd")</f>
        <v>Sunday</v>
      </c>
      <c r="G1743" s="3">
        <f>HOUR(CallLog[[#This Row],[Time]])</f>
        <v>12</v>
      </c>
      <c r="H1743" t="s">
        <v>24</v>
      </c>
      <c r="I1743" t="s">
        <v>14</v>
      </c>
      <c r="J1743" t="s">
        <v>14</v>
      </c>
      <c r="K1743">
        <v>16</v>
      </c>
      <c r="L1743" t="str">
        <f>IF(AND(CallLog[[#This Row],[Answered (Y/N)]]="Y", CallLog[[#This Row],[Speed of answer in seconds]]&lt;=20),
    "Within",
    "Breach")</f>
        <v>Within</v>
      </c>
      <c r="M1743" s="1">
        <v>2.4421296296296296E-3</v>
      </c>
      <c r="N1743">
        <v>1</v>
      </c>
    </row>
    <row r="1744" spans="1:14" x14ac:dyDescent="0.3">
      <c r="A1744" t="s">
        <v>1798</v>
      </c>
      <c r="B1744" t="s">
        <v>20</v>
      </c>
      <c r="C1744" t="s">
        <v>1768</v>
      </c>
      <c r="D1744" s="1">
        <v>0.53500000000000003</v>
      </c>
      <c r="E1744" s="2">
        <f>CallLog[[#This Row],[Date]]+CallLog[[#This Row],[Time]]</f>
        <v>44227.535000000003</v>
      </c>
      <c r="F1744" s="1" t="str">
        <f>TEXT(CallLog[[#This Row],[Date]],"dddd")</f>
        <v>Sunday</v>
      </c>
      <c r="G1744" s="3">
        <f>HOUR(CallLog[[#This Row],[Time]])</f>
        <v>12</v>
      </c>
      <c r="H1744" t="s">
        <v>29</v>
      </c>
      <c r="I1744" t="s">
        <v>14</v>
      </c>
      <c r="J1744" t="s">
        <v>14</v>
      </c>
      <c r="K1744">
        <v>123</v>
      </c>
      <c r="L1744" t="str">
        <f>IF(AND(CallLog[[#This Row],[Answered (Y/N)]]="Y", CallLog[[#This Row],[Speed of answer in seconds]]&lt;=20),
    "Within",
    "Breach")</f>
        <v>Breach</v>
      </c>
      <c r="M1744" s="1">
        <v>4.3750000000000004E-3</v>
      </c>
      <c r="N1744">
        <v>2</v>
      </c>
    </row>
    <row r="1745" spans="1:14" x14ac:dyDescent="0.3">
      <c r="A1745" t="s">
        <v>1799</v>
      </c>
      <c r="B1745" t="s">
        <v>38</v>
      </c>
      <c r="C1745" t="s">
        <v>1768</v>
      </c>
      <c r="D1745" s="1">
        <v>0.53500000000000003</v>
      </c>
      <c r="E1745" s="2">
        <f>CallLog[[#This Row],[Date]]+CallLog[[#This Row],[Time]]</f>
        <v>44227.535000000003</v>
      </c>
      <c r="F1745" s="1" t="str">
        <f>TEXT(CallLog[[#This Row],[Date]],"dddd")</f>
        <v>Sunday</v>
      </c>
      <c r="G1745" s="3">
        <f>HOUR(CallLog[[#This Row],[Time]])</f>
        <v>12</v>
      </c>
      <c r="H1745" t="s">
        <v>13</v>
      </c>
      <c r="I1745" t="s">
        <v>18</v>
      </c>
      <c r="J1745" t="s">
        <v>18</v>
      </c>
      <c r="L1745" t="str">
        <f>IF(AND(CallLog[[#This Row],[Answered (Y/N)]]="Y", CallLog[[#This Row],[Speed of answer in seconds]]&lt;=20),
    "Within",
    "Breach")</f>
        <v>Breach</v>
      </c>
    </row>
    <row r="1746" spans="1:14" x14ac:dyDescent="0.3">
      <c r="A1746" t="s">
        <v>1800</v>
      </c>
      <c r="B1746" t="s">
        <v>31</v>
      </c>
      <c r="C1746" t="s">
        <v>1768</v>
      </c>
      <c r="D1746" s="1">
        <v>0.5870023148148148</v>
      </c>
      <c r="E1746" s="2">
        <f>CallLog[[#This Row],[Date]]+CallLog[[#This Row],[Time]]</f>
        <v>44227.587002314816</v>
      </c>
      <c r="F1746" s="1" t="str">
        <f>TEXT(CallLog[[#This Row],[Date]],"dddd")</f>
        <v>Sunday</v>
      </c>
      <c r="G1746" s="3">
        <f>HOUR(CallLog[[#This Row],[Time]])</f>
        <v>14</v>
      </c>
      <c r="H1746" t="s">
        <v>24</v>
      </c>
      <c r="I1746" t="s">
        <v>14</v>
      </c>
      <c r="J1746" t="s">
        <v>14</v>
      </c>
      <c r="K1746">
        <v>124</v>
      </c>
      <c r="L1746" t="str">
        <f>IF(AND(CallLog[[#This Row],[Answered (Y/N)]]="Y", CallLog[[#This Row],[Speed of answer in seconds]]&lt;=20),
    "Within",
    "Breach")</f>
        <v>Breach</v>
      </c>
      <c r="M1746" s="1">
        <v>4.6527777777777774E-3</v>
      </c>
      <c r="N1746">
        <v>5</v>
      </c>
    </row>
    <row r="1747" spans="1:14" x14ac:dyDescent="0.3">
      <c r="A1747" t="s">
        <v>1801</v>
      </c>
      <c r="B1747" t="s">
        <v>31</v>
      </c>
      <c r="C1747" t="s">
        <v>1768</v>
      </c>
      <c r="D1747" s="1">
        <v>0.5870023148148148</v>
      </c>
      <c r="E1747" s="2">
        <f>CallLog[[#This Row],[Date]]+CallLog[[#This Row],[Time]]</f>
        <v>44227.587002314816</v>
      </c>
      <c r="F1747" s="1" t="str">
        <f>TEXT(CallLog[[#This Row],[Date]],"dddd")</f>
        <v>Sunday</v>
      </c>
      <c r="G1747" s="3">
        <f>HOUR(CallLog[[#This Row],[Time]])</f>
        <v>14</v>
      </c>
      <c r="H1747" t="s">
        <v>24</v>
      </c>
      <c r="I1747" t="s">
        <v>14</v>
      </c>
      <c r="J1747" t="s">
        <v>14</v>
      </c>
      <c r="K1747">
        <v>18</v>
      </c>
      <c r="L1747" t="str">
        <f>IF(AND(CallLog[[#This Row],[Answered (Y/N)]]="Y", CallLog[[#This Row],[Speed of answer in seconds]]&lt;=20),
    "Within",
    "Breach")</f>
        <v>Within</v>
      </c>
      <c r="M1747" s="1">
        <v>4.3518518518518515E-3</v>
      </c>
      <c r="N1747">
        <v>1</v>
      </c>
    </row>
    <row r="1748" spans="1:14" x14ac:dyDescent="0.3">
      <c r="A1748" t="s">
        <v>1802</v>
      </c>
      <c r="B1748" t="s">
        <v>16</v>
      </c>
      <c r="C1748" t="s">
        <v>1768</v>
      </c>
      <c r="D1748" s="1">
        <v>0.5870023148148148</v>
      </c>
      <c r="E1748" s="2">
        <f>CallLog[[#This Row],[Date]]+CallLog[[#This Row],[Time]]</f>
        <v>44227.587002314816</v>
      </c>
      <c r="F1748" s="1" t="str">
        <f>TEXT(CallLog[[#This Row],[Date]],"dddd")</f>
        <v>Sunday</v>
      </c>
      <c r="G1748" s="3">
        <f>HOUR(CallLog[[#This Row],[Time]])</f>
        <v>14</v>
      </c>
      <c r="H1748" t="s">
        <v>24</v>
      </c>
      <c r="I1748" t="s">
        <v>14</v>
      </c>
      <c r="J1748" t="s">
        <v>14</v>
      </c>
      <c r="K1748">
        <v>95</v>
      </c>
      <c r="L1748" t="str">
        <f>IF(AND(CallLog[[#This Row],[Answered (Y/N)]]="Y", CallLog[[#This Row],[Speed of answer in seconds]]&lt;=20),
    "Within",
    "Breach")</f>
        <v>Breach</v>
      </c>
      <c r="M1748" s="1">
        <v>1.7013888888888888E-3</v>
      </c>
      <c r="N1748">
        <v>4</v>
      </c>
    </row>
    <row r="1749" spans="1:14" x14ac:dyDescent="0.3">
      <c r="A1749" t="s">
        <v>1803</v>
      </c>
      <c r="B1749" t="s">
        <v>16</v>
      </c>
      <c r="C1749" t="s">
        <v>1768</v>
      </c>
      <c r="D1749" s="1">
        <v>0.5870023148148148</v>
      </c>
      <c r="E1749" s="2">
        <f>CallLog[[#This Row],[Date]]+CallLog[[#This Row],[Time]]</f>
        <v>44227.587002314816</v>
      </c>
      <c r="F1749" s="1" t="str">
        <f>TEXT(CallLog[[#This Row],[Date]],"dddd")</f>
        <v>Sunday</v>
      </c>
      <c r="G1749" s="3">
        <f>HOUR(CallLog[[#This Row],[Time]])</f>
        <v>14</v>
      </c>
      <c r="H1749" t="s">
        <v>32</v>
      </c>
      <c r="I1749" t="s">
        <v>14</v>
      </c>
      <c r="J1749" t="s">
        <v>14</v>
      </c>
      <c r="K1749">
        <v>17</v>
      </c>
      <c r="L1749" t="str">
        <f>IF(AND(CallLog[[#This Row],[Answered (Y/N)]]="Y", CallLog[[#This Row],[Speed of answer in seconds]]&lt;=20),
    "Within",
    "Breach")</f>
        <v>Within</v>
      </c>
      <c r="M1749" s="1">
        <v>3.7615740740740739E-3</v>
      </c>
      <c r="N1749">
        <v>3</v>
      </c>
    </row>
    <row r="1750" spans="1:14" x14ac:dyDescent="0.3">
      <c r="A1750" t="s">
        <v>1804</v>
      </c>
      <c r="B1750" t="s">
        <v>31</v>
      </c>
      <c r="C1750" t="s">
        <v>1768</v>
      </c>
      <c r="D1750" s="1">
        <v>0.5870023148148148</v>
      </c>
      <c r="E1750" s="2">
        <f>CallLog[[#This Row],[Date]]+CallLog[[#This Row],[Time]]</f>
        <v>44227.587002314816</v>
      </c>
      <c r="F1750" s="1" t="str">
        <f>TEXT(CallLog[[#This Row],[Date]],"dddd")</f>
        <v>Sunday</v>
      </c>
      <c r="G1750" s="3">
        <f>HOUR(CallLog[[#This Row],[Time]])</f>
        <v>14</v>
      </c>
      <c r="H1750" t="s">
        <v>17</v>
      </c>
      <c r="I1750" t="s">
        <v>18</v>
      </c>
      <c r="J1750" t="s">
        <v>18</v>
      </c>
      <c r="L1750" t="str">
        <f>IF(AND(CallLog[[#This Row],[Answered (Y/N)]]="Y", CallLog[[#This Row],[Speed of answer in seconds]]&lt;=20),
    "Within",
    "Breach")</f>
        <v>Breach</v>
      </c>
    </row>
    <row r="1751" spans="1:14" x14ac:dyDescent="0.3">
      <c r="A1751" t="s">
        <v>1805</v>
      </c>
      <c r="B1751" t="s">
        <v>20</v>
      </c>
      <c r="C1751" t="s">
        <v>1768</v>
      </c>
      <c r="D1751" s="1">
        <v>0.5870023148148148</v>
      </c>
      <c r="E1751" s="2">
        <f>CallLog[[#This Row],[Date]]+CallLog[[#This Row],[Time]]</f>
        <v>44227.587002314816</v>
      </c>
      <c r="F1751" s="1" t="str">
        <f>TEXT(CallLog[[#This Row],[Date]],"dddd")</f>
        <v>Sunday</v>
      </c>
      <c r="G1751" s="3">
        <f>HOUR(CallLog[[#This Row],[Time]])</f>
        <v>14</v>
      </c>
      <c r="H1751" t="s">
        <v>24</v>
      </c>
      <c r="I1751" t="s">
        <v>14</v>
      </c>
      <c r="J1751" t="s">
        <v>14</v>
      </c>
      <c r="K1751">
        <v>75</v>
      </c>
      <c r="L1751" t="str">
        <f>IF(AND(CallLog[[#This Row],[Answered (Y/N)]]="Y", CallLog[[#This Row],[Speed of answer in seconds]]&lt;=20),
    "Within",
    "Breach")</f>
        <v>Breach</v>
      </c>
      <c r="M1751" s="1">
        <v>3.8194444444444452E-4</v>
      </c>
      <c r="N1751">
        <v>3</v>
      </c>
    </row>
    <row r="1752" spans="1:14" x14ac:dyDescent="0.3">
      <c r="A1752" t="s">
        <v>1806</v>
      </c>
      <c r="B1752" t="s">
        <v>34</v>
      </c>
      <c r="C1752" t="s">
        <v>1768</v>
      </c>
      <c r="D1752" s="1">
        <v>0.61400462962962965</v>
      </c>
      <c r="E1752" s="2">
        <f>CallLog[[#This Row],[Date]]+CallLog[[#This Row],[Time]]</f>
        <v>44227.614004629628</v>
      </c>
      <c r="F1752" s="1" t="str">
        <f>TEXT(CallLog[[#This Row],[Date]],"dddd")</f>
        <v>Sunday</v>
      </c>
      <c r="G1752" s="3">
        <f>HOUR(CallLog[[#This Row],[Time]])</f>
        <v>14</v>
      </c>
      <c r="H1752" t="s">
        <v>24</v>
      </c>
      <c r="I1752" t="s">
        <v>14</v>
      </c>
      <c r="J1752" t="s">
        <v>14</v>
      </c>
      <c r="K1752">
        <v>37</v>
      </c>
      <c r="L1752" t="str">
        <f>IF(AND(CallLog[[#This Row],[Answered (Y/N)]]="Y", CallLog[[#This Row],[Speed of answer in seconds]]&lt;=20),
    "Within",
    "Breach")</f>
        <v>Breach</v>
      </c>
      <c r="M1752" s="1">
        <v>4.0046296296296297E-3</v>
      </c>
      <c r="N1752">
        <v>4</v>
      </c>
    </row>
    <row r="1753" spans="1:14" x14ac:dyDescent="0.3">
      <c r="A1753" t="s">
        <v>1807</v>
      </c>
      <c r="B1753" t="s">
        <v>38</v>
      </c>
      <c r="C1753" t="s">
        <v>1768</v>
      </c>
      <c r="D1753" s="1">
        <v>0.61400462962962965</v>
      </c>
      <c r="E1753" s="2">
        <f>CallLog[[#This Row],[Date]]+CallLog[[#This Row],[Time]]</f>
        <v>44227.614004629628</v>
      </c>
      <c r="F1753" s="1" t="str">
        <f>TEXT(CallLog[[#This Row],[Date]],"dddd")</f>
        <v>Sunday</v>
      </c>
      <c r="G1753" s="3">
        <f>HOUR(CallLog[[#This Row],[Time]])</f>
        <v>14</v>
      </c>
      <c r="H1753" t="s">
        <v>32</v>
      </c>
      <c r="I1753" t="s">
        <v>14</v>
      </c>
      <c r="J1753" t="s">
        <v>14</v>
      </c>
      <c r="K1753">
        <v>36</v>
      </c>
      <c r="L1753" t="str">
        <f>IF(AND(CallLog[[#This Row],[Answered (Y/N)]]="Y", CallLog[[#This Row],[Speed of answer in seconds]]&lt;=20),
    "Within",
    "Breach")</f>
        <v>Breach</v>
      </c>
      <c r="M1753" s="1">
        <v>9.9537037037037042E-4</v>
      </c>
      <c r="N1753">
        <v>3</v>
      </c>
    </row>
    <row r="1754" spans="1:14" x14ac:dyDescent="0.3">
      <c r="A1754" t="s">
        <v>1808</v>
      </c>
      <c r="B1754" t="s">
        <v>11</v>
      </c>
      <c r="C1754" t="s">
        <v>1768</v>
      </c>
      <c r="D1754" s="1">
        <v>0.62599537037037034</v>
      </c>
      <c r="E1754" s="2">
        <f>CallLog[[#This Row],[Date]]+CallLog[[#This Row],[Time]]</f>
        <v>44227.62599537037</v>
      </c>
      <c r="F1754" s="1" t="str">
        <f>TEXT(CallLog[[#This Row],[Date]],"dddd")</f>
        <v>Sunday</v>
      </c>
      <c r="G1754" s="3">
        <f>HOUR(CallLog[[#This Row],[Time]])</f>
        <v>15</v>
      </c>
      <c r="H1754" t="s">
        <v>17</v>
      </c>
      <c r="I1754" t="s">
        <v>14</v>
      </c>
      <c r="J1754" t="s">
        <v>14</v>
      </c>
      <c r="K1754">
        <v>113</v>
      </c>
      <c r="L1754" t="str">
        <f>IF(AND(CallLog[[#This Row],[Answered (Y/N)]]="Y", CallLog[[#This Row],[Speed of answer in seconds]]&lt;=20),
    "Within",
    "Breach")</f>
        <v>Breach</v>
      </c>
      <c r="M1754" s="1">
        <v>1.7592592592592592E-3</v>
      </c>
      <c r="N1754">
        <v>1</v>
      </c>
    </row>
    <row r="1755" spans="1:14" x14ac:dyDescent="0.3">
      <c r="A1755" t="s">
        <v>1809</v>
      </c>
      <c r="B1755" t="s">
        <v>11</v>
      </c>
      <c r="C1755" t="s">
        <v>1768</v>
      </c>
      <c r="D1755" s="1">
        <v>0.62599537037037034</v>
      </c>
      <c r="E1755" s="2">
        <f>CallLog[[#This Row],[Date]]+CallLog[[#This Row],[Time]]</f>
        <v>44227.62599537037</v>
      </c>
      <c r="F1755" s="1" t="str">
        <f>TEXT(CallLog[[#This Row],[Date]],"dddd")</f>
        <v>Sunday</v>
      </c>
      <c r="G1755" s="3">
        <f>HOUR(CallLog[[#This Row],[Time]])</f>
        <v>15</v>
      </c>
      <c r="H1755" t="s">
        <v>32</v>
      </c>
      <c r="I1755" t="s">
        <v>14</v>
      </c>
      <c r="J1755" t="s">
        <v>14</v>
      </c>
      <c r="K1755">
        <v>93</v>
      </c>
      <c r="L1755" t="str">
        <f>IF(AND(CallLog[[#This Row],[Answered (Y/N)]]="Y", CallLog[[#This Row],[Speed of answer in seconds]]&lt;=20),
    "Within",
    "Breach")</f>
        <v>Breach</v>
      </c>
      <c r="M1755" s="1">
        <v>1.6087962962962963E-3</v>
      </c>
      <c r="N1755">
        <v>4</v>
      </c>
    </row>
    <row r="1756" spans="1:14" x14ac:dyDescent="0.3">
      <c r="A1756" t="s">
        <v>1810</v>
      </c>
      <c r="B1756" t="s">
        <v>47</v>
      </c>
      <c r="C1756" t="s">
        <v>1768</v>
      </c>
      <c r="D1756" s="1">
        <v>0.62799768518518517</v>
      </c>
      <c r="E1756" s="2">
        <f>CallLog[[#This Row],[Date]]+CallLog[[#This Row],[Time]]</f>
        <v>44227.627997685187</v>
      </c>
      <c r="F1756" s="1" t="str">
        <f>TEXT(CallLog[[#This Row],[Date]],"dddd")</f>
        <v>Sunday</v>
      </c>
      <c r="G1756" s="3">
        <f>HOUR(CallLog[[#This Row],[Time]])</f>
        <v>15</v>
      </c>
      <c r="H1756" t="s">
        <v>17</v>
      </c>
      <c r="I1756" t="s">
        <v>14</v>
      </c>
      <c r="J1756" t="s">
        <v>14</v>
      </c>
      <c r="K1756">
        <v>24</v>
      </c>
      <c r="L1756" t="str">
        <f>IF(AND(CallLog[[#This Row],[Answered (Y/N)]]="Y", CallLog[[#This Row],[Speed of answer in seconds]]&lt;=20),
    "Within",
    "Breach")</f>
        <v>Breach</v>
      </c>
      <c r="M1756" s="1">
        <v>3.3680555555555556E-3</v>
      </c>
      <c r="N1756">
        <v>1</v>
      </c>
    </row>
    <row r="1757" spans="1:14" x14ac:dyDescent="0.3">
      <c r="A1757" t="s">
        <v>1811</v>
      </c>
      <c r="B1757" t="s">
        <v>11</v>
      </c>
      <c r="C1757" t="s">
        <v>1768</v>
      </c>
      <c r="D1757" s="1">
        <v>0.62799768518518517</v>
      </c>
      <c r="E1757" s="2">
        <f>CallLog[[#This Row],[Date]]+CallLog[[#This Row],[Time]]</f>
        <v>44227.627997685187</v>
      </c>
      <c r="F1757" s="1" t="str">
        <f>TEXT(CallLog[[#This Row],[Date]],"dddd")</f>
        <v>Sunday</v>
      </c>
      <c r="G1757" s="3">
        <f>HOUR(CallLog[[#This Row],[Time]])</f>
        <v>15</v>
      </c>
      <c r="H1757" t="s">
        <v>32</v>
      </c>
      <c r="I1757" t="s">
        <v>14</v>
      </c>
      <c r="J1757" t="s">
        <v>14</v>
      </c>
      <c r="K1757">
        <v>92</v>
      </c>
      <c r="L1757" t="str">
        <f>IF(AND(CallLog[[#This Row],[Answered (Y/N)]]="Y", CallLog[[#This Row],[Speed of answer in seconds]]&lt;=20),
    "Within",
    "Breach")</f>
        <v>Breach</v>
      </c>
      <c r="M1757" s="1">
        <v>1.712962962962963E-3</v>
      </c>
      <c r="N1757">
        <v>3</v>
      </c>
    </row>
    <row r="1758" spans="1:14" x14ac:dyDescent="0.3">
      <c r="A1758" t="s">
        <v>1812</v>
      </c>
      <c r="B1758" t="s">
        <v>31</v>
      </c>
      <c r="C1758" t="s">
        <v>1768</v>
      </c>
      <c r="D1758" s="1">
        <v>0.65200231481481485</v>
      </c>
      <c r="E1758" s="2">
        <f>CallLog[[#This Row],[Date]]+CallLog[[#This Row],[Time]]</f>
        <v>44227.652002314811</v>
      </c>
      <c r="F1758" s="1" t="str">
        <f>TEXT(CallLog[[#This Row],[Date]],"dddd")</f>
        <v>Sunday</v>
      </c>
      <c r="G1758" s="3">
        <f>HOUR(CallLog[[#This Row],[Time]])</f>
        <v>15</v>
      </c>
      <c r="H1758" t="s">
        <v>32</v>
      </c>
      <c r="I1758" t="s">
        <v>18</v>
      </c>
      <c r="J1758" t="s">
        <v>18</v>
      </c>
      <c r="L1758" t="str">
        <f>IF(AND(CallLog[[#This Row],[Answered (Y/N)]]="Y", CallLog[[#This Row],[Speed of answer in seconds]]&lt;=20),
    "Within",
    "Breach")</f>
        <v>Breach</v>
      </c>
    </row>
    <row r="1759" spans="1:14" x14ac:dyDescent="0.3">
      <c r="A1759" t="s">
        <v>1813</v>
      </c>
      <c r="B1759" t="s">
        <v>47</v>
      </c>
      <c r="C1759" t="s">
        <v>1768</v>
      </c>
      <c r="D1759" s="1">
        <v>0.65200231481481485</v>
      </c>
      <c r="E1759" s="2">
        <f>CallLog[[#This Row],[Date]]+CallLog[[#This Row],[Time]]</f>
        <v>44227.652002314811</v>
      </c>
      <c r="F1759" s="1" t="str">
        <f>TEXT(CallLog[[#This Row],[Date]],"dddd")</f>
        <v>Sunday</v>
      </c>
      <c r="G1759" s="3">
        <f>HOUR(CallLog[[#This Row],[Time]])</f>
        <v>15</v>
      </c>
      <c r="H1759" t="s">
        <v>13</v>
      </c>
      <c r="I1759" t="s">
        <v>14</v>
      </c>
      <c r="J1759" t="s">
        <v>14</v>
      </c>
      <c r="K1759">
        <v>20</v>
      </c>
      <c r="L1759" t="str">
        <f>IF(AND(CallLog[[#This Row],[Answered (Y/N)]]="Y", CallLog[[#This Row],[Speed of answer in seconds]]&lt;=20),
    "Within",
    "Breach")</f>
        <v>Within</v>
      </c>
      <c r="M1759" s="1">
        <v>9.1435185185185185E-4</v>
      </c>
      <c r="N1759">
        <v>4</v>
      </c>
    </row>
    <row r="1760" spans="1:14" x14ac:dyDescent="0.3">
      <c r="A1760" t="s">
        <v>1814</v>
      </c>
      <c r="B1760" t="s">
        <v>31</v>
      </c>
      <c r="C1760" t="s">
        <v>1768</v>
      </c>
      <c r="D1760" s="1">
        <v>0.66400462962962958</v>
      </c>
      <c r="E1760" s="2">
        <f>CallLog[[#This Row],[Date]]+CallLog[[#This Row],[Time]]</f>
        <v>44227.664004629631</v>
      </c>
      <c r="F1760" s="1" t="str">
        <f>TEXT(CallLog[[#This Row],[Date]],"dddd")</f>
        <v>Sunday</v>
      </c>
      <c r="G1760" s="3">
        <f>HOUR(CallLog[[#This Row],[Time]])</f>
        <v>15</v>
      </c>
      <c r="H1760" t="s">
        <v>29</v>
      </c>
      <c r="I1760" t="s">
        <v>14</v>
      </c>
      <c r="J1760" t="s">
        <v>14</v>
      </c>
      <c r="K1760">
        <v>50</v>
      </c>
      <c r="L1760" t="str">
        <f>IF(AND(CallLog[[#This Row],[Answered (Y/N)]]="Y", CallLog[[#This Row],[Speed of answer in seconds]]&lt;=20),
    "Within",
    "Breach")</f>
        <v>Breach</v>
      </c>
      <c r="M1760" s="1">
        <v>3.5879629629629629E-4</v>
      </c>
      <c r="N1760">
        <v>2</v>
      </c>
    </row>
    <row r="1761" spans="1:14" x14ac:dyDescent="0.3">
      <c r="A1761" t="s">
        <v>1815</v>
      </c>
      <c r="B1761" t="s">
        <v>38</v>
      </c>
      <c r="C1761" t="s">
        <v>1768</v>
      </c>
      <c r="D1761" s="1">
        <v>0.66400462962962958</v>
      </c>
      <c r="E1761" s="2">
        <f>CallLog[[#This Row],[Date]]+CallLog[[#This Row],[Time]]</f>
        <v>44227.664004629631</v>
      </c>
      <c r="F1761" s="1" t="str">
        <f>TEXT(CallLog[[#This Row],[Date]],"dddd")</f>
        <v>Sunday</v>
      </c>
      <c r="G1761" s="3">
        <f>HOUR(CallLog[[#This Row],[Time]])</f>
        <v>15</v>
      </c>
      <c r="H1761" t="s">
        <v>29</v>
      </c>
      <c r="I1761" t="s">
        <v>18</v>
      </c>
      <c r="J1761" t="s">
        <v>18</v>
      </c>
      <c r="L1761" t="str">
        <f>IF(AND(CallLog[[#This Row],[Answered (Y/N)]]="Y", CallLog[[#This Row],[Speed of answer in seconds]]&lt;=20),
    "Within",
    "Breach")</f>
        <v>Breach</v>
      </c>
    </row>
    <row r="1762" spans="1:14" x14ac:dyDescent="0.3">
      <c r="A1762" t="s">
        <v>1816</v>
      </c>
      <c r="B1762" t="s">
        <v>20</v>
      </c>
      <c r="C1762" t="s">
        <v>1768</v>
      </c>
      <c r="D1762" s="1">
        <v>0.67299768518518521</v>
      </c>
      <c r="E1762" s="2">
        <f>CallLog[[#This Row],[Date]]+CallLog[[#This Row],[Time]]</f>
        <v>44227.672997685186</v>
      </c>
      <c r="F1762" s="1" t="str">
        <f>TEXT(CallLog[[#This Row],[Date]],"dddd")</f>
        <v>Sunday</v>
      </c>
      <c r="G1762" s="3">
        <f>HOUR(CallLog[[#This Row],[Time]])</f>
        <v>16</v>
      </c>
      <c r="H1762" t="s">
        <v>13</v>
      </c>
      <c r="I1762" t="s">
        <v>14</v>
      </c>
      <c r="J1762" t="s">
        <v>14</v>
      </c>
      <c r="K1762">
        <v>103</v>
      </c>
      <c r="L1762" t="str">
        <f>IF(AND(CallLog[[#This Row],[Answered (Y/N)]]="Y", CallLog[[#This Row],[Speed of answer in seconds]]&lt;=20),
    "Within",
    "Breach")</f>
        <v>Breach</v>
      </c>
      <c r="M1762" s="1">
        <v>4.3287037037037035E-3</v>
      </c>
      <c r="N1762">
        <v>4</v>
      </c>
    </row>
    <row r="1763" spans="1:14" x14ac:dyDescent="0.3">
      <c r="A1763" t="s">
        <v>1817</v>
      </c>
      <c r="B1763" t="s">
        <v>16</v>
      </c>
      <c r="C1763" t="s">
        <v>1768</v>
      </c>
      <c r="D1763" s="1">
        <v>0.67299768518518521</v>
      </c>
      <c r="E1763" s="2">
        <f>CallLog[[#This Row],[Date]]+CallLog[[#This Row],[Time]]</f>
        <v>44227.672997685186</v>
      </c>
      <c r="F1763" s="1" t="str">
        <f>TEXT(CallLog[[#This Row],[Date]],"dddd")</f>
        <v>Sunday</v>
      </c>
      <c r="G1763" s="3">
        <f>HOUR(CallLog[[#This Row],[Time]])</f>
        <v>16</v>
      </c>
      <c r="H1763" t="s">
        <v>13</v>
      </c>
      <c r="I1763" t="s">
        <v>14</v>
      </c>
      <c r="J1763" t="s">
        <v>14</v>
      </c>
      <c r="K1763">
        <v>81</v>
      </c>
      <c r="L1763" t="str">
        <f>IF(AND(CallLog[[#This Row],[Answered (Y/N)]]="Y", CallLog[[#This Row],[Speed of answer in seconds]]&lt;=20),
    "Within",
    "Breach")</f>
        <v>Breach</v>
      </c>
      <c r="M1763" s="1">
        <v>2.3842592592592591E-3</v>
      </c>
      <c r="N1763">
        <v>2</v>
      </c>
    </row>
    <row r="1764" spans="1:14" x14ac:dyDescent="0.3">
      <c r="A1764" t="s">
        <v>1818</v>
      </c>
      <c r="B1764" t="s">
        <v>20</v>
      </c>
      <c r="C1764" t="s">
        <v>1768</v>
      </c>
      <c r="D1764" s="1">
        <v>0.67299768518518521</v>
      </c>
      <c r="E1764" s="2">
        <f>CallLog[[#This Row],[Date]]+CallLog[[#This Row],[Time]]</f>
        <v>44227.672997685186</v>
      </c>
      <c r="F1764" s="1" t="str">
        <f>TEXT(CallLog[[#This Row],[Date]],"dddd")</f>
        <v>Sunday</v>
      </c>
      <c r="G1764" s="3">
        <f>HOUR(CallLog[[#This Row],[Time]])</f>
        <v>16</v>
      </c>
      <c r="H1764" t="s">
        <v>32</v>
      </c>
      <c r="I1764" t="s">
        <v>14</v>
      </c>
      <c r="J1764" t="s">
        <v>14</v>
      </c>
      <c r="K1764">
        <v>48</v>
      </c>
      <c r="L1764" t="str">
        <f>IF(AND(CallLog[[#This Row],[Answered (Y/N)]]="Y", CallLog[[#This Row],[Speed of answer in seconds]]&lt;=20),
    "Within",
    "Breach")</f>
        <v>Breach</v>
      </c>
      <c r="M1764" s="1">
        <v>2.7430555555555554E-3</v>
      </c>
      <c r="N1764">
        <v>5</v>
      </c>
    </row>
    <row r="1765" spans="1:14" x14ac:dyDescent="0.3">
      <c r="A1765" t="s">
        <v>1819</v>
      </c>
      <c r="B1765" t="s">
        <v>47</v>
      </c>
      <c r="C1765" t="s">
        <v>1768</v>
      </c>
      <c r="D1765" s="1">
        <v>0.67299768518518521</v>
      </c>
      <c r="E1765" s="2">
        <f>CallLog[[#This Row],[Date]]+CallLog[[#This Row],[Time]]</f>
        <v>44227.672997685186</v>
      </c>
      <c r="F1765" s="1" t="str">
        <f>TEXT(CallLog[[#This Row],[Date]],"dddd")</f>
        <v>Sunday</v>
      </c>
      <c r="G1765" s="3">
        <f>HOUR(CallLog[[#This Row],[Time]])</f>
        <v>16</v>
      </c>
      <c r="H1765" t="s">
        <v>32</v>
      </c>
      <c r="I1765" t="s">
        <v>14</v>
      </c>
      <c r="J1765" t="s">
        <v>14</v>
      </c>
      <c r="K1765">
        <v>92</v>
      </c>
      <c r="L1765" t="str">
        <f>IF(AND(CallLog[[#This Row],[Answered (Y/N)]]="Y", CallLog[[#This Row],[Speed of answer in seconds]]&lt;=20),
    "Within",
    "Breach")</f>
        <v>Breach</v>
      </c>
      <c r="M1765" s="1">
        <v>4.178240740740741E-3</v>
      </c>
      <c r="N1765">
        <v>3</v>
      </c>
    </row>
    <row r="1766" spans="1:14" x14ac:dyDescent="0.3">
      <c r="A1766" t="s">
        <v>1820</v>
      </c>
      <c r="B1766" t="s">
        <v>22</v>
      </c>
      <c r="C1766" t="s">
        <v>1768</v>
      </c>
      <c r="D1766" s="1">
        <v>0.68099537037037039</v>
      </c>
      <c r="E1766" s="2">
        <f>CallLog[[#This Row],[Date]]+CallLog[[#This Row],[Time]]</f>
        <v>44227.680995370371</v>
      </c>
      <c r="F1766" s="1" t="str">
        <f>TEXT(CallLog[[#This Row],[Date]],"dddd")</f>
        <v>Sunday</v>
      </c>
      <c r="G1766" s="3">
        <f>HOUR(CallLog[[#This Row],[Time]])</f>
        <v>16</v>
      </c>
      <c r="H1766" t="s">
        <v>32</v>
      </c>
      <c r="I1766" t="s">
        <v>14</v>
      </c>
      <c r="J1766" t="s">
        <v>14</v>
      </c>
      <c r="K1766">
        <v>95</v>
      </c>
      <c r="L1766" t="str">
        <f>IF(AND(CallLog[[#This Row],[Answered (Y/N)]]="Y", CallLog[[#This Row],[Speed of answer in seconds]]&lt;=20),
    "Within",
    "Breach")</f>
        <v>Breach</v>
      </c>
      <c r="M1766" s="1">
        <v>3.4837962962962965E-3</v>
      </c>
      <c r="N1766">
        <v>3</v>
      </c>
    </row>
    <row r="1767" spans="1:14" x14ac:dyDescent="0.3">
      <c r="A1767" t="s">
        <v>1821</v>
      </c>
      <c r="B1767" t="s">
        <v>16</v>
      </c>
      <c r="C1767" t="s">
        <v>1768</v>
      </c>
      <c r="D1767" s="1">
        <v>0.68099537037037039</v>
      </c>
      <c r="E1767" s="2">
        <f>CallLog[[#This Row],[Date]]+CallLog[[#This Row],[Time]]</f>
        <v>44227.680995370371</v>
      </c>
      <c r="F1767" s="1" t="str">
        <f>TEXT(CallLog[[#This Row],[Date]],"dddd")</f>
        <v>Sunday</v>
      </c>
      <c r="G1767" s="3">
        <f>HOUR(CallLog[[#This Row],[Time]])</f>
        <v>16</v>
      </c>
      <c r="H1767" t="s">
        <v>13</v>
      </c>
      <c r="I1767" t="s">
        <v>14</v>
      </c>
      <c r="J1767" t="s">
        <v>14</v>
      </c>
      <c r="K1767">
        <v>49</v>
      </c>
      <c r="L1767" t="str">
        <f>IF(AND(CallLog[[#This Row],[Answered (Y/N)]]="Y", CallLog[[#This Row],[Speed of answer in seconds]]&lt;=20),
    "Within",
    "Breach")</f>
        <v>Breach</v>
      </c>
      <c r="M1767" s="1">
        <v>1.3657407407407407E-3</v>
      </c>
      <c r="N1767">
        <v>3</v>
      </c>
    </row>
    <row r="1768" spans="1:14" x14ac:dyDescent="0.3">
      <c r="A1768" t="s">
        <v>1822</v>
      </c>
      <c r="B1768" t="s">
        <v>16</v>
      </c>
      <c r="C1768" t="s">
        <v>1768</v>
      </c>
      <c r="D1768" s="1">
        <v>0.70599537037037041</v>
      </c>
      <c r="E1768" s="2">
        <f>CallLog[[#This Row],[Date]]+CallLog[[#This Row],[Time]]</f>
        <v>44227.705995370372</v>
      </c>
      <c r="F1768" s="1" t="str">
        <f>TEXT(CallLog[[#This Row],[Date]],"dddd")</f>
        <v>Sunday</v>
      </c>
      <c r="G1768" s="3">
        <f>HOUR(CallLog[[#This Row],[Time]])</f>
        <v>16</v>
      </c>
      <c r="H1768" t="s">
        <v>13</v>
      </c>
      <c r="I1768" t="s">
        <v>14</v>
      </c>
      <c r="J1768" t="s">
        <v>14</v>
      </c>
      <c r="K1768">
        <v>58</v>
      </c>
      <c r="L1768" t="str">
        <f>IF(AND(CallLog[[#This Row],[Answered (Y/N)]]="Y", CallLog[[#This Row],[Speed of answer in seconds]]&lt;=20),
    "Within",
    "Breach")</f>
        <v>Breach</v>
      </c>
      <c r="M1768" s="1">
        <v>3.2638888888888891E-3</v>
      </c>
      <c r="N1768">
        <v>5</v>
      </c>
    </row>
    <row r="1769" spans="1:14" x14ac:dyDescent="0.3">
      <c r="A1769" t="s">
        <v>1823</v>
      </c>
      <c r="B1769" t="s">
        <v>47</v>
      </c>
      <c r="C1769" t="s">
        <v>1768</v>
      </c>
      <c r="D1769" s="1">
        <v>0.70599537037037041</v>
      </c>
      <c r="E1769" s="2">
        <f>CallLog[[#This Row],[Date]]+CallLog[[#This Row],[Time]]</f>
        <v>44227.705995370372</v>
      </c>
      <c r="F1769" s="1" t="str">
        <f>TEXT(CallLog[[#This Row],[Date]],"dddd")</f>
        <v>Sunday</v>
      </c>
      <c r="G1769" s="3">
        <f>HOUR(CallLog[[#This Row],[Time]])</f>
        <v>16</v>
      </c>
      <c r="H1769" t="s">
        <v>32</v>
      </c>
      <c r="I1769" t="s">
        <v>18</v>
      </c>
      <c r="J1769" t="s">
        <v>18</v>
      </c>
      <c r="L1769" t="str">
        <f>IF(AND(CallLog[[#This Row],[Answered (Y/N)]]="Y", CallLog[[#This Row],[Speed of answer in seconds]]&lt;=20),
    "Within",
    "Breach")</f>
        <v>Breach</v>
      </c>
    </row>
    <row r="1770" spans="1:14" x14ac:dyDescent="0.3">
      <c r="A1770" t="s">
        <v>1824</v>
      </c>
      <c r="B1770" t="s">
        <v>47</v>
      </c>
      <c r="C1770" t="s">
        <v>1768</v>
      </c>
      <c r="D1770" s="1">
        <v>0.71400462962962963</v>
      </c>
      <c r="E1770" s="2">
        <f>CallLog[[#This Row],[Date]]+CallLog[[#This Row],[Time]]</f>
        <v>44227.714004629626</v>
      </c>
      <c r="F1770" s="1" t="str">
        <f>TEXT(CallLog[[#This Row],[Date]],"dddd")</f>
        <v>Sunday</v>
      </c>
      <c r="G1770" s="3">
        <f>HOUR(CallLog[[#This Row],[Time]])</f>
        <v>17</v>
      </c>
      <c r="H1770" t="s">
        <v>29</v>
      </c>
      <c r="I1770" t="s">
        <v>18</v>
      </c>
      <c r="J1770" t="s">
        <v>18</v>
      </c>
      <c r="L1770" t="str">
        <f>IF(AND(CallLog[[#This Row],[Answered (Y/N)]]="Y", CallLog[[#This Row],[Speed of answer in seconds]]&lt;=20),
    "Within",
    "Breach")</f>
        <v>Breach</v>
      </c>
    </row>
    <row r="1771" spans="1:14" x14ac:dyDescent="0.3">
      <c r="A1771" t="s">
        <v>1825</v>
      </c>
      <c r="B1771" t="s">
        <v>11</v>
      </c>
      <c r="C1771" t="s">
        <v>1768</v>
      </c>
      <c r="D1771" s="1">
        <v>0.71400462962962963</v>
      </c>
      <c r="E1771" s="2">
        <f>CallLog[[#This Row],[Date]]+CallLog[[#This Row],[Time]]</f>
        <v>44227.714004629626</v>
      </c>
      <c r="F1771" s="1" t="str">
        <f>TEXT(CallLog[[#This Row],[Date]],"dddd")</f>
        <v>Sunday</v>
      </c>
      <c r="G1771" s="3">
        <f>HOUR(CallLog[[#This Row],[Time]])</f>
        <v>17</v>
      </c>
      <c r="H1771" t="s">
        <v>24</v>
      </c>
      <c r="I1771" t="s">
        <v>14</v>
      </c>
      <c r="J1771" t="s">
        <v>14</v>
      </c>
      <c r="K1771">
        <v>78</v>
      </c>
      <c r="L1771" t="str">
        <f>IF(AND(CallLog[[#This Row],[Answered (Y/N)]]="Y", CallLog[[#This Row],[Speed of answer in seconds]]&lt;=20),
    "Within",
    "Breach")</f>
        <v>Breach</v>
      </c>
      <c r="M1771" s="1">
        <v>7.291666666666667E-4</v>
      </c>
      <c r="N1771">
        <v>4</v>
      </c>
    </row>
    <row r="1772" spans="1:14" x14ac:dyDescent="0.3">
      <c r="A1772" t="s">
        <v>1826</v>
      </c>
      <c r="B1772" t="s">
        <v>31</v>
      </c>
      <c r="C1772" t="s">
        <v>1768</v>
      </c>
      <c r="D1772" s="1">
        <v>0.73200231481481481</v>
      </c>
      <c r="E1772" s="2">
        <f>CallLog[[#This Row],[Date]]+CallLog[[#This Row],[Time]]</f>
        <v>44227.732002314813</v>
      </c>
      <c r="F1772" s="1" t="str">
        <f>TEXT(CallLog[[#This Row],[Date]],"dddd")</f>
        <v>Sunday</v>
      </c>
      <c r="G1772" s="3">
        <f>HOUR(CallLog[[#This Row],[Time]])</f>
        <v>17</v>
      </c>
      <c r="H1772" t="s">
        <v>29</v>
      </c>
      <c r="I1772" t="s">
        <v>14</v>
      </c>
      <c r="J1772" t="s">
        <v>14</v>
      </c>
      <c r="K1772">
        <v>91</v>
      </c>
      <c r="L1772" t="str">
        <f>IF(AND(CallLog[[#This Row],[Answered (Y/N)]]="Y", CallLog[[#This Row],[Speed of answer in seconds]]&lt;=20),
    "Within",
    "Breach")</f>
        <v>Breach</v>
      </c>
      <c r="M1772" s="1">
        <v>2.0717592592592593E-3</v>
      </c>
      <c r="N1772">
        <v>3</v>
      </c>
    </row>
    <row r="1773" spans="1:14" x14ac:dyDescent="0.3">
      <c r="A1773" t="s">
        <v>1827</v>
      </c>
      <c r="B1773" t="s">
        <v>22</v>
      </c>
      <c r="C1773" t="s">
        <v>1768</v>
      </c>
      <c r="D1773" s="1">
        <v>0.73200231481481481</v>
      </c>
      <c r="E1773" s="2">
        <f>CallLog[[#This Row],[Date]]+CallLog[[#This Row],[Time]]</f>
        <v>44227.732002314813</v>
      </c>
      <c r="F1773" s="1" t="str">
        <f>TEXT(CallLog[[#This Row],[Date]],"dddd")</f>
        <v>Sunday</v>
      </c>
      <c r="G1773" s="3">
        <f>HOUR(CallLog[[#This Row],[Time]])</f>
        <v>17</v>
      </c>
      <c r="H1773" t="s">
        <v>17</v>
      </c>
      <c r="I1773" t="s">
        <v>14</v>
      </c>
      <c r="J1773" t="s">
        <v>14</v>
      </c>
      <c r="K1773">
        <v>121</v>
      </c>
      <c r="L1773" t="str">
        <f>IF(AND(CallLog[[#This Row],[Answered (Y/N)]]="Y", CallLog[[#This Row],[Speed of answer in seconds]]&lt;=20),
    "Within",
    "Breach")</f>
        <v>Breach</v>
      </c>
      <c r="M1773" s="1">
        <v>4.178240740740741E-3</v>
      </c>
      <c r="N1773">
        <v>2</v>
      </c>
    </row>
    <row r="1774" spans="1:14" x14ac:dyDescent="0.3">
      <c r="A1774" t="s">
        <v>1828</v>
      </c>
      <c r="B1774" t="s">
        <v>47</v>
      </c>
      <c r="C1774" t="s">
        <v>1829</v>
      </c>
      <c r="D1774" s="1">
        <v>0.38799768518518518</v>
      </c>
      <c r="E1774" s="2">
        <f>CallLog[[#This Row],[Date]]+CallLog[[#This Row],[Time]]</f>
        <v>44228.387997685182</v>
      </c>
      <c r="F1774" s="1" t="str">
        <f>TEXT(CallLog[[#This Row],[Date]],"dddd")</f>
        <v>Monday</v>
      </c>
      <c r="G1774" s="3">
        <f>HOUR(CallLog[[#This Row],[Time]])</f>
        <v>9</v>
      </c>
      <c r="H1774" t="s">
        <v>13</v>
      </c>
      <c r="I1774" t="s">
        <v>18</v>
      </c>
      <c r="J1774" t="s">
        <v>18</v>
      </c>
      <c r="L1774" t="str">
        <f>IF(AND(CallLog[[#This Row],[Answered (Y/N)]]="Y", CallLog[[#This Row],[Speed of answer in seconds]]&lt;=20),
    "Within",
    "Breach")</f>
        <v>Breach</v>
      </c>
    </row>
    <row r="1775" spans="1:14" x14ac:dyDescent="0.3">
      <c r="A1775" t="s">
        <v>1830</v>
      </c>
      <c r="B1775" t="s">
        <v>38</v>
      </c>
      <c r="C1775" t="s">
        <v>1829</v>
      </c>
      <c r="D1775" s="1">
        <v>0.38799768518518518</v>
      </c>
      <c r="E1775" s="2">
        <f>CallLog[[#This Row],[Date]]+CallLog[[#This Row],[Time]]</f>
        <v>44228.387997685182</v>
      </c>
      <c r="F1775" s="1" t="str">
        <f>TEXT(CallLog[[#This Row],[Date]],"dddd")</f>
        <v>Monday</v>
      </c>
      <c r="G1775" s="3">
        <f>HOUR(CallLog[[#This Row],[Time]])</f>
        <v>9</v>
      </c>
      <c r="H1775" t="s">
        <v>29</v>
      </c>
      <c r="I1775" t="s">
        <v>14</v>
      </c>
      <c r="J1775" t="s">
        <v>14</v>
      </c>
      <c r="K1775">
        <v>38</v>
      </c>
      <c r="L1775" t="str">
        <f>IF(AND(CallLog[[#This Row],[Answered (Y/N)]]="Y", CallLog[[#This Row],[Speed of answer in seconds]]&lt;=20),
    "Within",
    "Breach")</f>
        <v>Breach</v>
      </c>
      <c r="M1775" s="1">
        <v>3.9467592592592592E-3</v>
      </c>
      <c r="N1775">
        <v>3</v>
      </c>
    </row>
    <row r="1776" spans="1:14" x14ac:dyDescent="0.3">
      <c r="A1776" t="s">
        <v>1831</v>
      </c>
      <c r="B1776" t="s">
        <v>16</v>
      </c>
      <c r="C1776" t="s">
        <v>1829</v>
      </c>
      <c r="D1776" s="1">
        <v>0.39200231481481479</v>
      </c>
      <c r="E1776" s="2">
        <f>CallLog[[#This Row],[Date]]+CallLog[[#This Row],[Time]]</f>
        <v>44228.392002314817</v>
      </c>
      <c r="F1776" s="1" t="str">
        <f>TEXT(CallLog[[#This Row],[Date]],"dddd")</f>
        <v>Monday</v>
      </c>
      <c r="G1776" s="3">
        <f>HOUR(CallLog[[#This Row],[Time]])</f>
        <v>9</v>
      </c>
      <c r="H1776" t="s">
        <v>17</v>
      </c>
      <c r="I1776" t="s">
        <v>14</v>
      </c>
      <c r="J1776" t="s">
        <v>14</v>
      </c>
      <c r="K1776">
        <v>44</v>
      </c>
      <c r="L1776" t="str">
        <f>IF(AND(CallLog[[#This Row],[Answered (Y/N)]]="Y", CallLog[[#This Row],[Speed of answer in seconds]]&lt;=20),
    "Within",
    "Breach")</f>
        <v>Breach</v>
      </c>
      <c r="M1776" s="1">
        <v>1.5625000000000001E-3</v>
      </c>
      <c r="N1776">
        <v>2</v>
      </c>
    </row>
    <row r="1777" spans="1:14" x14ac:dyDescent="0.3">
      <c r="A1777" t="s">
        <v>1832</v>
      </c>
      <c r="B1777" t="s">
        <v>11</v>
      </c>
      <c r="C1777" t="s">
        <v>1829</v>
      </c>
      <c r="D1777" s="1">
        <v>0.39200231481481479</v>
      </c>
      <c r="E1777" s="2">
        <f>CallLog[[#This Row],[Date]]+CallLog[[#This Row],[Time]]</f>
        <v>44228.392002314817</v>
      </c>
      <c r="F1777" s="1" t="str">
        <f>TEXT(CallLog[[#This Row],[Date]],"dddd")</f>
        <v>Monday</v>
      </c>
      <c r="G1777" s="3">
        <f>HOUR(CallLog[[#This Row],[Time]])</f>
        <v>9</v>
      </c>
      <c r="H1777" t="s">
        <v>13</v>
      </c>
      <c r="I1777" t="s">
        <v>14</v>
      </c>
      <c r="J1777" t="s">
        <v>14</v>
      </c>
      <c r="K1777">
        <v>64</v>
      </c>
      <c r="L1777" t="str">
        <f>IF(AND(CallLog[[#This Row],[Answered (Y/N)]]="Y", CallLog[[#This Row],[Speed of answer in seconds]]&lt;=20),
    "Within",
    "Breach")</f>
        <v>Breach</v>
      </c>
      <c r="M1777" s="1">
        <v>2.1875000000000002E-3</v>
      </c>
      <c r="N1777">
        <v>3</v>
      </c>
    </row>
    <row r="1778" spans="1:14" x14ac:dyDescent="0.3">
      <c r="A1778" t="s">
        <v>1833</v>
      </c>
      <c r="B1778" t="s">
        <v>31</v>
      </c>
      <c r="C1778" t="s">
        <v>1829</v>
      </c>
      <c r="D1778" s="1">
        <v>0.39299768518518519</v>
      </c>
      <c r="E1778" s="2">
        <f>CallLog[[#This Row],[Date]]+CallLog[[#This Row],[Time]]</f>
        <v>44228.392997685187</v>
      </c>
      <c r="F1778" s="1" t="str">
        <f>TEXT(CallLog[[#This Row],[Date]],"dddd")</f>
        <v>Monday</v>
      </c>
      <c r="G1778" s="3">
        <f>HOUR(CallLog[[#This Row],[Time]])</f>
        <v>9</v>
      </c>
      <c r="H1778" t="s">
        <v>17</v>
      </c>
      <c r="I1778" t="s">
        <v>18</v>
      </c>
      <c r="J1778" t="s">
        <v>18</v>
      </c>
      <c r="L1778" t="str">
        <f>IF(AND(CallLog[[#This Row],[Answered (Y/N)]]="Y", CallLog[[#This Row],[Speed of answer in seconds]]&lt;=20),
    "Within",
    "Breach")</f>
        <v>Breach</v>
      </c>
    </row>
    <row r="1779" spans="1:14" x14ac:dyDescent="0.3">
      <c r="A1779" t="s">
        <v>1834</v>
      </c>
      <c r="B1779" t="s">
        <v>16</v>
      </c>
      <c r="C1779" t="s">
        <v>1829</v>
      </c>
      <c r="D1779" s="1">
        <v>0.39299768518518519</v>
      </c>
      <c r="E1779" s="2">
        <f>CallLog[[#This Row],[Date]]+CallLog[[#This Row],[Time]]</f>
        <v>44228.392997685187</v>
      </c>
      <c r="F1779" s="1" t="str">
        <f>TEXT(CallLog[[#This Row],[Date]],"dddd")</f>
        <v>Monday</v>
      </c>
      <c r="G1779" s="3">
        <f>HOUR(CallLog[[#This Row],[Time]])</f>
        <v>9</v>
      </c>
      <c r="H1779" t="s">
        <v>24</v>
      </c>
      <c r="I1779" t="s">
        <v>14</v>
      </c>
      <c r="J1779" t="s">
        <v>18</v>
      </c>
      <c r="K1779">
        <v>125</v>
      </c>
      <c r="L1779" t="str">
        <f>IF(AND(CallLog[[#This Row],[Answered (Y/N)]]="Y", CallLog[[#This Row],[Speed of answer in seconds]]&lt;=20),
    "Within",
    "Breach")</f>
        <v>Breach</v>
      </c>
      <c r="M1779" s="1">
        <v>4.6990740740740743E-3</v>
      </c>
      <c r="N1779">
        <v>4</v>
      </c>
    </row>
    <row r="1780" spans="1:14" x14ac:dyDescent="0.3">
      <c r="A1780" t="s">
        <v>1835</v>
      </c>
      <c r="B1780" t="s">
        <v>38</v>
      </c>
      <c r="C1780" t="s">
        <v>1829</v>
      </c>
      <c r="D1780" s="1">
        <v>0.40099537037037036</v>
      </c>
      <c r="E1780" s="2">
        <f>CallLog[[#This Row],[Date]]+CallLog[[#This Row],[Time]]</f>
        <v>44228.400995370372</v>
      </c>
      <c r="F1780" s="1" t="str">
        <f>TEXT(CallLog[[#This Row],[Date]],"dddd")</f>
        <v>Monday</v>
      </c>
      <c r="G1780" s="3">
        <f>HOUR(CallLog[[#This Row],[Time]])</f>
        <v>9</v>
      </c>
      <c r="H1780" t="s">
        <v>17</v>
      </c>
      <c r="I1780" t="s">
        <v>14</v>
      </c>
      <c r="J1780" t="s">
        <v>14</v>
      </c>
      <c r="K1780">
        <v>47</v>
      </c>
      <c r="L1780" t="str">
        <f>IF(AND(CallLog[[#This Row],[Answered (Y/N)]]="Y", CallLog[[#This Row],[Speed of answer in seconds]]&lt;=20),
    "Within",
    "Breach")</f>
        <v>Breach</v>
      </c>
      <c r="M1780" s="1">
        <v>9.837962962962962E-4</v>
      </c>
      <c r="N1780">
        <v>4</v>
      </c>
    </row>
    <row r="1781" spans="1:14" x14ac:dyDescent="0.3">
      <c r="A1781" t="s">
        <v>1836</v>
      </c>
      <c r="B1781" t="s">
        <v>38</v>
      </c>
      <c r="C1781" t="s">
        <v>1829</v>
      </c>
      <c r="D1781" s="1">
        <v>0.40099537037037036</v>
      </c>
      <c r="E1781" s="2">
        <f>CallLog[[#This Row],[Date]]+CallLog[[#This Row],[Time]]</f>
        <v>44228.400995370372</v>
      </c>
      <c r="F1781" s="1" t="str">
        <f>TEXT(CallLog[[#This Row],[Date]],"dddd")</f>
        <v>Monday</v>
      </c>
      <c r="G1781" s="3">
        <f>HOUR(CallLog[[#This Row],[Time]])</f>
        <v>9</v>
      </c>
      <c r="H1781" t="s">
        <v>17</v>
      </c>
      <c r="I1781" t="s">
        <v>18</v>
      </c>
      <c r="J1781" t="s">
        <v>18</v>
      </c>
      <c r="L1781" t="str">
        <f>IF(AND(CallLog[[#This Row],[Answered (Y/N)]]="Y", CallLog[[#This Row],[Speed of answer in seconds]]&lt;=20),
    "Within",
    "Breach")</f>
        <v>Breach</v>
      </c>
    </row>
    <row r="1782" spans="1:14" x14ac:dyDescent="0.3">
      <c r="A1782" t="s">
        <v>1837</v>
      </c>
      <c r="B1782" t="s">
        <v>16</v>
      </c>
      <c r="C1782" t="s">
        <v>1829</v>
      </c>
      <c r="D1782" s="1">
        <v>0.40099537037037036</v>
      </c>
      <c r="E1782" s="2">
        <f>CallLog[[#This Row],[Date]]+CallLog[[#This Row],[Time]]</f>
        <v>44228.400995370372</v>
      </c>
      <c r="F1782" s="1" t="str">
        <f>TEXT(CallLog[[#This Row],[Date]],"dddd")</f>
        <v>Monday</v>
      </c>
      <c r="G1782" s="3">
        <f>HOUR(CallLog[[#This Row],[Time]])</f>
        <v>9</v>
      </c>
      <c r="H1782" t="s">
        <v>13</v>
      </c>
      <c r="I1782" t="s">
        <v>18</v>
      </c>
      <c r="J1782" t="s">
        <v>18</v>
      </c>
      <c r="L1782" t="str">
        <f>IF(AND(CallLog[[#This Row],[Answered (Y/N)]]="Y", CallLog[[#This Row],[Speed of answer in seconds]]&lt;=20),
    "Within",
    "Breach")</f>
        <v>Breach</v>
      </c>
    </row>
    <row r="1783" spans="1:14" x14ac:dyDescent="0.3">
      <c r="A1783" t="s">
        <v>1838</v>
      </c>
      <c r="B1783" t="s">
        <v>31</v>
      </c>
      <c r="C1783" t="s">
        <v>1829</v>
      </c>
      <c r="D1783" s="1">
        <v>0.40099537037037036</v>
      </c>
      <c r="E1783" s="2">
        <f>CallLog[[#This Row],[Date]]+CallLog[[#This Row],[Time]]</f>
        <v>44228.400995370372</v>
      </c>
      <c r="F1783" s="1" t="str">
        <f>TEXT(CallLog[[#This Row],[Date]],"dddd")</f>
        <v>Monday</v>
      </c>
      <c r="G1783" s="3">
        <f>HOUR(CallLog[[#This Row],[Time]])</f>
        <v>9</v>
      </c>
      <c r="H1783" t="s">
        <v>29</v>
      </c>
      <c r="I1783" t="s">
        <v>14</v>
      </c>
      <c r="J1783" t="s">
        <v>14</v>
      </c>
      <c r="K1783">
        <v>116</v>
      </c>
      <c r="L1783" t="str">
        <f>IF(AND(CallLog[[#This Row],[Answered (Y/N)]]="Y", CallLog[[#This Row],[Speed of answer in seconds]]&lt;=20),
    "Within",
    "Breach")</f>
        <v>Breach</v>
      </c>
      <c r="M1783" s="1">
        <v>3.0324074074074073E-3</v>
      </c>
      <c r="N1783">
        <v>3</v>
      </c>
    </row>
    <row r="1784" spans="1:14" x14ac:dyDescent="0.3">
      <c r="A1784" t="s">
        <v>1839</v>
      </c>
      <c r="B1784" t="s">
        <v>11</v>
      </c>
      <c r="C1784" t="s">
        <v>1829</v>
      </c>
      <c r="D1784" s="1">
        <v>0.42200231481481482</v>
      </c>
      <c r="E1784" s="2">
        <f>CallLog[[#This Row],[Date]]+CallLog[[#This Row],[Time]]</f>
        <v>44228.422002314815</v>
      </c>
      <c r="F1784" s="1" t="str">
        <f>TEXT(CallLog[[#This Row],[Date]],"dddd")</f>
        <v>Monday</v>
      </c>
      <c r="G1784" s="3">
        <f>HOUR(CallLog[[#This Row],[Time]])</f>
        <v>10</v>
      </c>
      <c r="H1784" t="s">
        <v>24</v>
      </c>
      <c r="I1784" t="s">
        <v>14</v>
      </c>
      <c r="J1784" t="s">
        <v>14</v>
      </c>
      <c r="K1784">
        <v>13</v>
      </c>
      <c r="L1784" t="str">
        <f>IF(AND(CallLog[[#This Row],[Answered (Y/N)]]="Y", CallLog[[#This Row],[Speed of answer in seconds]]&lt;=20),
    "Within",
    "Breach")</f>
        <v>Within</v>
      </c>
      <c r="M1784" s="1">
        <v>1.3425925925925925E-3</v>
      </c>
      <c r="N1784">
        <v>4</v>
      </c>
    </row>
    <row r="1785" spans="1:14" x14ac:dyDescent="0.3">
      <c r="A1785" t="s">
        <v>1840</v>
      </c>
      <c r="B1785" t="s">
        <v>22</v>
      </c>
      <c r="C1785" t="s">
        <v>1829</v>
      </c>
      <c r="D1785" s="1">
        <v>0.42200231481481482</v>
      </c>
      <c r="E1785" s="2">
        <f>CallLog[[#This Row],[Date]]+CallLog[[#This Row],[Time]]</f>
        <v>44228.422002314815</v>
      </c>
      <c r="F1785" s="1" t="str">
        <f>TEXT(CallLog[[#This Row],[Date]],"dddd")</f>
        <v>Monday</v>
      </c>
      <c r="G1785" s="3">
        <f>HOUR(CallLog[[#This Row],[Time]])</f>
        <v>10</v>
      </c>
      <c r="H1785" t="s">
        <v>13</v>
      </c>
      <c r="I1785" t="s">
        <v>14</v>
      </c>
      <c r="J1785" t="s">
        <v>14</v>
      </c>
      <c r="K1785">
        <v>124</v>
      </c>
      <c r="L1785" t="str">
        <f>IF(AND(CallLog[[#This Row],[Answered (Y/N)]]="Y", CallLog[[#This Row],[Speed of answer in seconds]]&lt;=20),
    "Within",
    "Breach")</f>
        <v>Breach</v>
      </c>
      <c r="M1785" s="1">
        <v>2.3263888888888887E-3</v>
      </c>
      <c r="N1785">
        <v>5</v>
      </c>
    </row>
    <row r="1786" spans="1:14" x14ac:dyDescent="0.3">
      <c r="A1786" t="s">
        <v>1841</v>
      </c>
      <c r="B1786" t="s">
        <v>16</v>
      </c>
      <c r="C1786" t="s">
        <v>1829</v>
      </c>
      <c r="D1786" s="1">
        <v>0.43900462962962961</v>
      </c>
      <c r="E1786" s="2">
        <f>CallLog[[#This Row],[Date]]+CallLog[[#This Row],[Time]]</f>
        <v>44228.439004629632</v>
      </c>
      <c r="F1786" s="1" t="str">
        <f>TEXT(CallLog[[#This Row],[Date]],"dddd")</f>
        <v>Monday</v>
      </c>
      <c r="G1786" s="3">
        <f>HOUR(CallLog[[#This Row],[Time]])</f>
        <v>10</v>
      </c>
      <c r="H1786" t="s">
        <v>29</v>
      </c>
      <c r="I1786" t="s">
        <v>18</v>
      </c>
      <c r="J1786" t="s">
        <v>18</v>
      </c>
      <c r="L1786" t="str">
        <f>IF(AND(CallLog[[#This Row],[Answered (Y/N)]]="Y", CallLog[[#This Row],[Speed of answer in seconds]]&lt;=20),
    "Within",
    "Breach")</f>
        <v>Breach</v>
      </c>
    </row>
    <row r="1787" spans="1:14" x14ac:dyDescent="0.3">
      <c r="A1787" t="s">
        <v>1842</v>
      </c>
      <c r="B1787" t="s">
        <v>22</v>
      </c>
      <c r="C1787" t="s">
        <v>1829</v>
      </c>
      <c r="D1787" s="1">
        <v>0.43900462962962961</v>
      </c>
      <c r="E1787" s="2">
        <f>CallLog[[#This Row],[Date]]+CallLog[[#This Row],[Time]]</f>
        <v>44228.439004629632</v>
      </c>
      <c r="F1787" s="1" t="str">
        <f>TEXT(CallLog[[#This Row],[Date]],"dddd")</f>
        <v>Monday</v>
      </c>
      <c r="G1787" s="3">
        <f>HOUR(CallLog[[#This Row],[Time]])</f>
        <v>10</v>
      </c>
      <c r="H1787" t="s">
        <v>17</v>
      </c>
      <c r="I1787" t="s">
        <v>14</v>
      </c>
      <c r="J1787" t="s">
        <v>14</v>
      </c>
      <c r="K1787">
        <v>46</v>
      </c>
      <c r="L1787" t="str">
        <f>IF(AND(CallLog[[#This Row],[Answered (Y/N)]]="Y", CallLog[[#This Row],[Speed of answer in seconds]]&lt;=20),
    "Within",
    "Breach")</f>
        <v>Breach</v>
      </c>
      <c r="M1787" s="1">
        <v>1.5046296296296296E-3</v>
      </c>
      <c r="N1787">
        <v>5</v>
      </c>
    </row>
    <row r="1788" spans="1:14" x14ac:dyDescent="0.3">
      <c r="A1788" t="s">
        <v>1843</v>
      </c>
      <c r="B1788" t="s">
        <v>22</v>
      </c>
      <c r="C1788" t="s">
        <v>1829</v>
      </c>
      <c r="D1788" s="1">
        <v>0.46900462962962963</v>
      </c>
      <c r="E1788" s="2">
        <f>CallLog[[#This Row],[Date]]+CallLog[[#This Row],[Time]]</f>
        <v>44228.469004629631</v>
      </c>
      <c r="F1788" s="1" t="str">
        <f>TEXT(CallLog[[#This Row],[Date]],"dddd")</f>
        <v>Monday</v>
      </c>
      <c r="G1788" s="3">
        <f>HOUR(CallLog[[#This Row],[Time]])</f>
        <v>11</v>
      </c>
      <c r="H1788" t="s">
        <v>17</v>
      </c>
      <c r="I1788" t="s">
        <v>14</v>
      </c>
      <c r="J1788" t="s">
        <v>14</v>
      </c>
      <c r="K1788">
        <v>11</v>
      </c>
      <c r="L1788" t="str">
        <f>IF(AND(CallLog[[#This Row],[Answered (Y/N)]]="Y", CallLog[[#This Row],[Speed of answer in seconds]]&lt;=20),
    "Within",
    "Breach")</f>
        <v>Within</v>
      </c>
      <c r="M1788" s="1">
        <v>2.1759259259259258E-3</v>
      </c>
      <c r="N1788">
        <v>3</v>
      </c>
    </row>
    <row r="1789" spans="1:14" x14ac:dyDescent="0.3">
      <c r="A1789" t="s">
        <v>1844</v>
      </c>
      <c r="B1789" t="s">
        <v>22</v>
      </c>
      <c r="C1789" t="s">
        <v>1829</v>
      </c>
      <c r="D1789" s="1">
        <v>0.46900462962962963</v>
      </c>
      <c r="E1789" s="2">
        <f>CallLog[[#This Row],[Date]]+CallLog[[#This Row],[Time]]</f>
        <v>44228.469004629631</v>
      </c>
      <c r="F1789" s="1" t="str">
        <f>TEXT(CallLog[[#This Row],[Date]],"dddd")</f>
        <v>Monday</v>
      </c>
      <c r="G1789" s="3">
        <f>HOUR(CallLog[[#This Row],[Time]])</f>
        <v>11</v>
      </c>
      <c r="H1789" t="s">
        <v>24</v>
      </c>
      <c r="I1789" t="s">
        <v>14</v>
      </c>
      <c r="J1789" t="s">
        <v>18</v>
      </c>
      <c r="K1789">
        <v>62</v>
      </c>
      <c r="L1789" t="str">
        <f>IF(AND(CallLog[[#This Row],[Answered (Y/N)]]="Y", CallLog[[#This Row],[Speed of answer in seconds]]&lt;=20),
    "Within",
    "Breach")</f>
        <v>Breach</v>
      </c>
      <c r="M1789" s="1">
        <v>2.7430555555555554E-3</v>
      </c>
      <c r="N1789">
        <v>3</v>
      </c>
    </row>
    <row r="1790" spans="1:14" x14ac:dyDescent="0.3">
      <c r="A1790" t="s">
        <v>1845</v>
      </c>
      <c r="B1790" t="s">
        <v>22</v>
      </c>
      <c r="C1790" t="s">
        <v>1829</v>
      </c>
      <c r="D1790" s="1">
        <v>0.47099537037037037</v>
      </c>
      <c r="E1790" s="2">
        <f>CallLog[[#This Row],[Date]]+CallLog[[#This Row],[Time]]</f>
        <v>44228.470995370371</v>
      </c>
      <c r="F1790" s="1" t="str">
        <f>TEXT(CallLog[[#This Row],[Date]],"dddd")</f>
        <v>Monday</v>
      </c>
      <c r="G1790" s="3">
        <f>HOUR(CallLog[[#This Row],[Time]])</f>
        <v>11</v>
      </c>
      <c r="H1790" t="s">
        <v>32</v>
      </c>
      <c r="I1790" t="s">
        <v>18</v>
      </c>
      <c r="J1790" t="s">
        <v>18</v>
      </c>
      <c r="L1790" t="str">
        <f>IF(AND(CallLog[[#This Row],[Answered (Y/N)]]="Y", CallLog[[#This Row],[Speed of answer in seconds]]&lt;=20),
    "Within",
    "Breach")</f>
        <v>Breach</v>
      </c>
    </row>
    <row r="1791" spans="1:14" x14ac:dyDescent="0.3">
      <c r="A1791" t="s">
        <v>1846</v>
      </c>
      <c r="B1791" t="s">
        <v>20</v>
      </c>
      <c r="C1791" t="s">
        <v>1829</v>
      </c>
      <c r="D1791" s="1">
        <v>0.47099537037037037</v>
      </c>
      <c r="E1791" s="2">
        <f>CallLog[[#This Row],[Date]]+CallLog[[#This Row],[Time]]</f>
        <v>44228.470995370371</v>
      </c>
      <c r="F1791" s="1" t="str">
        <f>TEXT(CallLog[[#This Row],[Date]],"dddd")</f>
        <v>Monday</v>
      </c>
      <c r="G1791" s="3">
        <f>HOUR(CallLog[[#This Row],[Time]])</f>
        <v>11</v>
      </c>
      <c r="H1791" t="s">
        <v>29</v>
      </c>
      <c r="I1791" t="s">
        <v>14</v>
      </c>
      <c r="J1791" t="s">
        <v>14</v>
      </c>
      <c r="K1791">
        <v>61</v>
      </c>
      <c r="L1791" t="str">
        <f>IF(AND(CallLog[[#This Row],[Answered (Y/N)]]="Y", CallLog[[#This Row],[Speed of answer in seconds]]&lt;=20),
    "Within",
    "Breach")</f>
        <v>Breach</v>
      </c>
      <c r="M1791" s="1">
        <v>2.0370370370370369E-3</v>
      </c>
      <c r="N1791">
        <v>5</v>
      </c>
    </row>
    <row r="1792" spans="1:14" x14ac:dyDescent="0.3">
      <c r="A1792" t="s">
        <v>1847</v>
      </c>
      <c r="B1792" t="s">
        <v>47</v>
      </c>
      <c r="C1792" t="s">
        <v>1829</v>
      </c>
      <c r="D1792" s="1">
        <v>0.505</v>
      </c>
      <c r="E1792" s="2">
        <f>CallLog[[#This Row],[Date]]+CallLog[[#This Row],[Time]]</f>
        <v>44228.504999999997</v>
      </c>
      <c r="F1792" s="1" t="str">
        <f>TEXT(CallLog[[#This Row],[Date]],"dddd")</f>
        <v>Monday</v>
      </c>
      <c r="G1792" s="3">
        <f>HOUR(CallLog[[#This Row],[Time]])</f>
        <v>12</v>
      </c>
      <c r="H1792" t="s">
        <v>17</v>
      </c>
      <c r="I1792" t="s">
        <v>18</v>
      </c>
      <c r="J1792" t="s">
        <v>18</v>
      </c>
      <c r="L1792" t="str">
        <f>IF(AND(CallLog[[#This Row],[Answered (Y/N)]]="Y", CallLog[[#This Row],[Speed of answer in seconds]]&lt;=20),
    "Within",
    "Breach")</f>
        <v>Breach</v>
      </c>
    </row>
    <row r="1793" spans="1:14" x14ac:dyDescent="0.3">
      <c r="A1793" t="s">
        <v>1848</v>
      </c>
      <c r="B1793" t="s">
        <v>34</v>
      </c>
      <c r="C1793" t="s">
        <v>1829</v>
      </c>
      <c r="D1793" s="1">
        <v>0.505</v>
      </c>
      <c r="E1793" s="2">
        <f>CallLog[[#This Row],[Date]]+CallLog[[#This Row],[Time]]</f>
        <v>44228.504999999997</v>
      </c>
      <c r="F1793" s="1" t="str">
        <f>TEXT(CallLog[[#This Row],[Date]],"dddd")</f>
        <v>Monday</v>
      </c>
      <c r="G1793" s="3">
        <f>HOUR(CallLog[[#This Row],[Time]])</f>
        <v>12</v>
      </c>
      <c r="H1793" t="s">
        <v>17</v>
      </c>
      <c r="I1793" t="s">
        <v>14</v>
      </c>
      <c r="J1793" t="s">
        <v>14</v>
      </c>
      <c r="K1793">
        <v>29</v>
      </c>
      <c r="L1793" t="str">
        <f>IF(AND(CallLog[[#This Row],[Answered (Y/N)]]="Y", CallLog[[#This Row],[Speed of answer in seconds]]&lt;=20),
    "Within",
    "Breach")</f>
        <v>Breach</v>
      </c>
      <c r="M1793" s="1">
        <v>4.7222222222222223E-3</v>
      </c>
      <c r="N1793">
        <v>5</v>
      </c>
    </row>
    <row r="1794" spans="1:14" x14ac:dyDescent="0.3">
      <c r="A1794" t="s">
        <v>1849</v>
      </c>
      <c r="B1794" t="s">
        <v>47</v>
      </c>
      <c r="C1794" t="s">
        <v>1829</v>
      </c>
      <c r="D1794" s="1">
        <v>0.51299768518518518</v>
      </c>
      <c r="E1794" s="2">
        <f>CallLog[[#This Row],[Date]]+CallLog[[#This Row],[Time]]</f>
        <v>44228.512997685182</v>
      </c>
      <c r="F1794" s="1" t="str">
        <f>TEXT(CallLog[[#This Row],[Date]],"dddd")</f>
        <v>Monday</v>
      </c>
      <c r="G1794" s="3">
        <f>HOUR(CallLog[[#This Row],[Time]])</f>
        <v>12</v>
      </c>
      <c r="H1794" t="s">
        <v>13</v>
      </c>
      <c r="I1794" t="s">
        <v>14</v>
      </c>
      <c r="J1794" t="s">
        <v>14</v>
      </c>
      <c r="K1794">
        <v>109</v>
      </c>
      <c r="L1794" t="str">
        <f>IF(AND(CallLog[[#This Row],[Answered (Y/N)]]="Y", CallLog[[#This Row],[Speed of answer in seconds]]&lt;=20),
    "Within",
    "Breach")</f>
        <v>Breach</v>
      </c>
      <c r="M1794" s="1">
        <v>6.018518518518519E-4</v>
      </c>
      <c r="N1794">
        <v>3</v>
      </c>
    </row>
    <row r="1795" spans="1:14" x14ac:dyDescent="0.3">
      <c r="A1795" t="s">
        <v>1850</v>
      </c>
      <c r="B1795" t="s">
        <v>47</v>
      </c>
      <c r="C1795" t="s">
        <v>1829</v>
      </c>
      <c r="D1795" s="1">
        <v>0.51299768518518518</v>
      </c>
      <c r="E1795" s="2">
        <f>CallLog[[#This Row],[Date]]+CallLog[[#This Row],[Time]]</f>
        <v>44228.512997685182</v>
      </c>
      <c r="F1795" s="1" t="str">
        <f>TEXT(CallLog[[#This Row],[Date]],"dddd")</f>
        <v>Monday</v>
      </c>
      <c r="G1795" s="3">
        <f>HOUR(CallLog[[#This Row],[Time]])</f>
        <v>12</v>
      </c>
      <c r="H1795" t="s">
        <v>13</v>
      </c>
      <c r="I1795" t="s">
        <v>14</v>
      </c>
      <c r="J1795" t="s">
        <v>14</v>
      </c>
      <c r="K1795">
        <v>52</v>
      </c>
      <c r="L1795" t="str">
        <f>IF(AND(CallLog[[#This Row],[Answered (Y/N)]]="Y", CallLog[[#This Row],[Speed of answer in seconds]]&lt;=20),
    "Within",
    "Breach")</f>
        <v>Breach</v>
      </c>
      <c r="M1795" s="1">
        <v>4.1435185185185186E-3</v>
      </c>
      <c r="N1795">
        <v>3</v>
      </c>
    </row>
    <row r="1796" spans="1:14" x14ac:dyDescent="0.3">
      <c r="A1796" t="s">
        <v>1851</v>
      </c>
      <c r="B1796" t="s">
        <v>47</v>
      </c>
      <c r="C1796" t="s">
        <v>1829</v>
      </c>
      <c r="D1796" s="1">
        <v>0.52200231481481485</v>
      </c>
      <c r="E1796" s="2">
        <f>CallLog[[#This Row],[Date]]+CallLog[[#This Row],[Time]]</f>
        <v>44228.522002314814</v>
      </c>
      <c r="F1796" s="1" t="str">
        <f>TEXT(CallLog[[#This Row],[Date]],"dddd")</f>
        <v>Monday</v>
      </c>
      <c r="G1796" s="3">
        <f>HOUR(CallLog[[#This Row],[Time]])</f>
        <v>12</v>
      </c>
      <c r="H1796" t="s">
        <v>17</v>
      </c>
      <c r="I1796" t="s">
        <v>14</v>
      </c>
      <c r="J1796" t="s">
        <v>14</v>
      </c>
      <c r="K1796">
        <v>117</v>
      </c>
      <c r="L1796" t="str">
        <f>IF(AND(CallLog[[#This Row],[Answered (Y/N)]]="Y", CallLog[[#This Row],[Speed of answer in seconds]]&lt;=20),
    "Within",
    "Breach")</f>
        <v>Breach</v>
      </c>
      <c r="M1796" s="1">
        <v>3.3564814814814816E-3</v>
      </c>
      <c r="N1796">
        <v>1</v>
      </c>
    </row>
    <row r="1797" spans="1:14" x14ac:dyDescent="0.3">
      <c r="A1797" t="s">
        <v>1852</v>
      </c>
      <c r="B1797" t="s">
        <v>38</v>
      </c>
      <c r="C1797" t="s">
        <v>1829</v>
      </c>
      <c r="D1797" s="1">
        <v>0.52200231481481485</v>
      </c>
      <c r="E1797" s="2">
        <f>CallLog[[#This Row],[Date]]+CallLog[[#This Row],[Time]]</f>
        <v>44228.522002314814</v>
      </c>
      <c r="F1797" s="1" t="str">
        <f>TEXT(CallLog[[#This Row],[Date]],"dddd")</f>
        <v>Monday</v>
      </c>
      <c r="G1797" s="3">
        <f>HOUR(CallLog[[#This Row],[Time]])</f>
        <v>12</v>
      </c>
      <c r="H1797" t="s">
        <v>13</v>
      </c>
      <c r="I1797" t="s">
        <v>14</v>
      </c>
      <c r="J1797" t="s">
        <v>14</v>
      </c>
      <c r="K1797">
        <v>17</v>
      </c>
      <c r="L1797" t="str">
        <f>IF(AND(CallLog[[#This Row],[Answered (Y/N)]]="Y", CallLog[[#This Row],[Speed of answer in seconds]]&lt;=20),
    "Within",
    "Breach")</f>
        <v>Within</v>
      </c>
      <c r="M1797" s="1">
        <v>2.5115740740740741E-3</v>
      </c>
      <c r="N1797">
        <v>3</v>
      </c>
    </row>
    <row r="1798" spans="1:14" x14ac:dyDescent="0.3">
      <c r="A1798" t="s">
        <v>1853</v>
      </c>
      <c r="B1798" t="s">
        <v>31</v>
      </c>
      <c r="C1798" t="s">
        <v>1829</v>
      </c>
      <c r="D1798" s="1">
        <v>0.52900462962962957</v>
      </c>
      <c r="E1798" s="2">
        <f>CallLog[[#This Row],[Date]]+CallLog[[#This Row],[Time]]</f>
        <v>44228.529004629629</v>
      </c>
      <c r="F1798" s="1" t="str">
        <f>TEXT(CallLog[[#This Row],[Date]],"dddd")</f>
        <v>Monday</v>
      </c>
      <c r="G1798" s="3">
        <f>HOUR(CallLog[[#This Row],[Time]])</f>
        <v>12</v>
      </c>
      <c r="H1798" t="s">
        <v>32</v>
      </c>
      <c r="I1798" t="s">
        <v>14</v>
      </c>
      <c r="J1798" t="s">
        <v>14</v>
      </c>
      <c r="K1798">
        <v>46</v>
      </c>
      <c r="L1798" t="str">
        <f>IF(AND(CallLog[[#This Row],[Answered (Y/N)]]="Y", CallLog[[#This Row],[Speed of answer in seconds]]&lt;=20),
    "Within",
    "Breach")</f>
        <v>Breach</v>
      </c>
      <c r="M1798" s="1">
        <v>1.238425925925926E-3</v>
      </c>
      <c r="N1798">
        <v>4</v>
      </c>
    </row>
    <row r="1799" spans="1:14" x14ac:dyDescent="0.3">
      <c r="A1799" t="s">
        <v>1854</v>
      </c>
      <c r="B1799" t="s">
        <v>38</v>
      </c>
      <c r="C1799" t="s">
        <v>1829</v>
      </c>
      <c r="D1799" s="1">
        <v>0.52900462962962957</v>
      </c>
      <c r="E1799" s="2">
        <f>CallLog[[#This Row],[Date]]+CallLog[[#This Row],[Time]]</f>
        <v>44228.529004629629</v>
      </c>
      <c r="F1799" s="1" t="str">
        <f>TEXT(CallLog[[#This Row],[Date]],"dddd")</f>
        <v>Monday</v>
      </c>
      <c r="G1799" s="3">
        <f>HOUR(CallLog[[#This Row],[Time]])</f>
        <v>12</v>
      </c>
      <c r="H1799" t="s">
        <v>29</v>
      </c>
      <c r="I1799" t="s">
        <v>14</v>
      </c>
      <c r="J1799" t="s">
        <v>14</v>
      </c>
      <c r="K1799">
        <v>60</v>
      </c>
      <c r="L1799" t="str">
        <f>IF(AND(CallLog[[#This Row],[Answered (Y/N)]]="Y", CallLog[[#This Row],[Speed of answer in seconds]]&lt;=20),
    "Within",
    "Breach")</f>
        <v>Breach</v>
      </c>
      <c r="M1799" s="1">
        <v>2.5810185185185185E-3</v>
      </c>
      <c r="N1799">
        <v>2</v>
      </c>
    </row>
    <row r="1800" spans="1:14" x14ac:dyDescent="0.3">
      <c r="A1800" t="s">
        <v>1855</v>
      </c>
      <c r="B1800" t="s">
        <v>31</v>
      </c>
      <c r="C1800" t="s">
        <v>1829</v>
      </c>
      <c r="D1800" s="1">
        <v>0.54299768518518521</v>
      </c>
      <c r="E1800" s="2">
        <f>CallLog[[#This Row],[Date]]+CallLog[[#This Row],[Time]]</f>
        <v>44228.542997685188</v>
      </c>
      <c r="F1800" s="1" t="str">
        <f>TEXT(CallLog[[#This Row],[Date]],"dddd")</f>
        <v>Monday</v>
      </c>
      <c r="G1800" s="3">
        <f>HOUR(CallLog[[#This Row],[Time]])</f>
        <v>13</v>
      </c>
      <c r="H1800" t="s">
        <v>17</v>
      </c>
      <c r="I1800" t="s">
        <v>14</v>
      </c>
      <c r="J1800" t="s">
        <v>14</v>
      </c>
      <c r="K1800">
        <v>53</v>
      </c>
      <c r="L1800" t="str">
        <f>IF(AND(CallLog[[#This Row],[Answered (Y/N)]]="Y", CallLog[[#This Row],[Speed of answer in seconds]]&lt;=20),
    "Within",
    "Breach")</f>
        <v>Breach</v>
      </c>
      <c r="M1800" s="1">
        <v>2.4189814814814816E-3</v>
      </c>
      <c r="N1800">
        <v>3</v>
      </c>
    </row>
    <row r="1801" spans="1:14" x14ac:dyDescent="0.3">
      <c r="A1801" t="s">
        <v>1856</v>
      </c>
      <c r="B1801" t="s">
        <v>20</v>
      </c>
      <c r="C1801" t="s">
        <v>1829</v>
      </c>
      <c r="D1801" s="1">
        <v>0.54299768518518521</v>
      </c>
      <c r="E1801" s="2">
        <f>CallLog[[#This Row],[Date]]+CallLog[[#This Row],[Time]]</f>
        <v>44228.542997685188</v>
      </c>
      <c r="F1801" s="1" t="str">
        <f>TEXT(CallLog[[#This Row],[Date]],"dddd")</f>
        <v>Monday</v>
      </c>
      <c r="G1801" s="3">
        <f>HOUR(CallLog[[#This Row],[Time]])</f>
        <v>13</v>
      </c>
      <c r="H1801" t="s">
        <v>24</v>
      </c>
      <c r="I1801" t="s">
        <v>14</v>
      </c>
      <c r="J1801" t="s">
        <v>14</v>
      </c>
      <c r="K1801">
        <v>72</v>
      </c>
      <c r="L1801" t="str">
        <f>IF(AND(CallLog[[#This Row],[Answered (Y/N)]]="Y", CallLog[[#This Row],[Speed of answer in seconds]]&lt;=20),
    "Within",
    "Breach")</f>
        <v>Breach</v>
      </c>
      <c r="M1801" s="1">
        <v>9.4907407407407408E-4</v>
      </c>
      <c r="N1801">
        <v>4</v>
      </c>
    </row>
    <row r="1802" spans="1:14" x14ac:dyDescent="0.3">
      <c r="A1802" t="s">
        <v>1857</v>
      </c>
      <c r="B1802" t="s">
        <v>20</v>
      </c>
      <c r="C1802" t="s">
        <v>1829</v>
      </c>
      <c r="D1802" s="1">
        <v>0.5590046296296296</v>
      </c>
      <c r="E1802" s="2">
        <f>CallLog[[#This Row],[Date]]+CallLog[[#This Row],[Time]]</f>
        <v>44228.559004629627</v>
      </c>
      <c r="F1802" s="1" t="str">
        <f>TEXT(CallLog[[#This Row],[Date]],"dddd")</f>
        <v>Monday</v>
      </c>
      <c r="G1802" s="3">
        <f>HOUR(CallLog[[#This Row],[Time]])</f>
        <v>13</v>
      </c>
      <c r="H1802" t="s">
        <v>24</v>
      </c>
      <c r="I1802" t="s">
        <v>14</v>
      </c>
      <c r="J1802" t="s">
        <v>14</v>
      </c>
      <c r="K1802">
        <v>113</v>
      </c>
      <c r="L1802" t="str">
        <f>IF(AND(CallLog[[#This Row],[Answered (Y/N)]]="Y", CallLog[[#This Row],[Speed of answer in seconds]]&lt;=20),
    "Within",
    "Breach")</f>
        <v>Breach</v>
      </c>
      <c r="M1802" s="1">
        <v>3.4027777777777776E-3</v>
      </c>
      <c r="N1802">
        <v>3</v>
      </c>
    </row>
    <row r="1803" spans="1:14" x14ac:dyDescent="0.3">
      <c r="A1803" t="s">
        <v>1858</v>
      </c>
      <c r="B1803" t="s">
        <v>34</v>
      </c>
      <c r="C1803" t="s">
        <v>1829</v>
      </c>
      <c r="D1803" s="1">
        <v>0.5590046296296296</v>
      </c>
      <c r="E1803" s="2">
        <f>CallLog[[#This Row],[Date]]+CallLog[[#This Row],[Time]]</f>
        <v>44228.559004629627</v>
      </c>
      <c r="F1803" s="1" t="str">
        <f>TEXT(CallLog[[#This Row],[Date]],"dddd")</f>
        <v>Monday</v>
      </c>
      <c r="G1803" s="3">
        <f>HOUR(CallLog[[#This Row],[Time]])</f>
        <v>13</v>
      </c>
      <c r="H1803" t="s">
        <v>24</v>
      </c>
      <c r="I1803" t="s">
        <v>14</v>
      </c>
      <c r="J1803" t="s">
        <v>14</v>
      </c>
      <c r="K1803">
        <v>51</v>
      </c>
      <c r="L1803" t="str">
        <f>IF(AND(CallLog[[#This Row],[Answered (Y/N)]]="Y", CallLog[[#This Row],[Speed of answer in seconds]]&lt;=20),
    "Within",
    "Breach")</f>
        <v>Breach</v>
      </c>
      <c r="M1803" s="1">
        <v>2.0486111111111113E-3</v>
      </c>
      <c r="N1803">
        <v>4</v>
      </c>
    </row>
    <row r="1804" spans="1:14" x14ac:dyDescent="0.3">
      <c r="A1804" t="s">
        <v>1859</v>
      </c>
      <c r="B1804" t="s">
        <v>31</v>
      </c>
      <c r="C1804" t="s">
        <v>1829</v>
      </c>
      <c r="D1804" s="1">
        <v>0.56299768518518523</v>
      </c>
      <c r="E1804" s="2">
        <f>CallLog[[#This Row],[Date]]+CallLog[[#This Row],[Time]]</f>
        <v>44228.562997685185</v>
      </c>
      <c r="F1804" s="1" t="str">
        <f>TEXT(CallLog[[#This Row],[Date]],"dddd")</f>
        <v>Monday</v>
      </c>
      <c r="G1804" s="3">
        <f>HOUR(CallLog[[#This Row],[Time]])</f>
        <v>13</v>
      </c>
      <c r="H1804" t="s">
        <v>29</v>
      </c>
      <c r="I1804" t="s">
        <v>14</v>
      </c>
      <c r="J1804" t="s">
        <v>14</v>
      </c>
      <c r="K1804">
        <v>99</v>
      </c>
      <c r="L1804" t="str">
        <f>IF(AND(CallLog[[#This Row],[Answered (Y/N)]]="Y", CallLog[[#This Row],[Speed of answer in seconds]]&lt;=20),
    "Within",
    "Breach")</f>
        <v>Breach</v>
      </c>
      <c r="M1804" s="1">
        <v>1.0416666666666667E-3</v>
      </c>
      <c r="N1804">
        <v>4</v>
      </c>
    </row>
    <row r="1805" spans="1:14" x14ac:dyDescent="0.3">
      <c r="A1805" t="s">
        <v>1860</v>
      </c>
      <c r="B1805" t="s">
        <v>47</v>
      </c>
      <c r="C1805" t="s">
        <v>1829</v>
      </c>
      <c r="D1805" s="1">
        <v>0.56299768518518523</v>
      </c>
      <c r="E1805" s="2">
        <f>CallLog[[#This Row],[Date]]+CallLog[[#This Row],[Time]]</f>
        <v>44228.562997685185</v>
      </c>
      <c r="F1805" s="1" t="str">
        <f>TEXT(CallLog[[#This Row],[Date]],"dddd")</f>
        <v>Monday</v>
      </c>
      <c r="G1805" s="3">
        <f>HOUR(CallLog[[#This Row],[Time]])</f>
        <v>13</v>
      </c>
      <c r="H1805" t="s">
        <v>32</v>
      </c>
      <c r="I1805" t="s">
        <v>14</v>
      </c>
      <c r="J1805" t="s">
        <v>14</v>
      </c>
      <c r="K1805">
        <v>99</v>
      </c>
      <c r="L1805" t="str">
        <f>IF(AND(CallLog[[#This Row],[Answered (Y/N)]]="Y", CallLog[[#This Row],[Speed of answer in seconds]]&lt;=20),
    "Within",
    "Breach")</f>
        <v>Breach</v>
      </c>
      <c r="M1805" s="1">
        <v>6.3657407407407413E-4</v>
      </c>
      <c r="N1805">
        <v>2</v>
      </c>
    </row>
    <row r="1806" spans="1:14" x14ac:dyDescent="0.3">
      <c r="A1806" t="s">
        <v>1861</v>
      </c>
      <c r="B1806" t="s">
        <v>47</v>
      </c>
      <c r="C1806" t="s">
        <v>1829</v>
      </c>
      <c r="D1806" s="1">
        <v>0.56700231481481478</v>
      </c>
      <c r="E1806" s="2">
        <f>CallLog[[#This Row],[Date]]+CallLog[[#This Row],[Time]]</f>
        <v>44228.567002314812</v>
      </c>
      <c r="F1806" s="1" t="str">
        <f>TEXT(CallLog[[#This Row],[Date]],"dddd")</f>
        <v>Monday</v>
      </c>
      <c r="G1806" s="3">
        <f>HOUR(CallLog[[#This Row],[Time]])</f>
        <v>13</v>
      </c>
      <c r="H1806" t="s">
        <v>13</v>
      </c>
      <c r="I1806" t="s">
        <v>18</v>
      </c>
      <c r="J1806" t="s">
        <v>18</v>
      </c>
      <c r="L1806" t="str">
        <f>IF(AND(CallLog[[#This Row],[Answered (Y/N)]]="Y", CallLog[[#This Row],[Speed of answer in seconds]]&lt;=20),
    "Within",
    "Breach")</f>
        <v>Breach</v>
      </c>
    </row>
    <row r="1807" spans="1:14" x14ac:dyDescent="0.3">
      <c r="A1807" t="s">
        <v>1862</v>
      </c>
      <c r="B1807" t="s">
        <v>31</v>
      </c>
      <c r="C1807" t="s">
        <v>1829</v>
      </c>
      <c r="D1807" s="1">
        <v>0.56700231481481478</v>
      </c>
      <c r="E1807" s="2">
        <f>CallLog[[#This Row],[Date]]+CallLog[[#This Row],[Time]]</f>
        <v>44228.567002314812</v>
      </c>
      <c r="F1807" s="1" t="str">
        <f>TEXT(CallLog[[#This Row],[Date]],"dddd")</f>
        <v>Monday</v>
      </c>
      <c r="G1807" s="3">
        <f>HOUR(CallLog[[#This Row],[Time]])</f>
        <v>13</v>
      </c>
      <c r="H1807" t="s">
        <v>32</v>
      </c>
      <c r="I1807" t="s">
        <v>14</v>
      </c>
      <c r="J1807" t="s">
        <v>14</v>
      </c>
      <c r="K1807">
        <v>37</v>
      </c>
      <c r="L1807" t="str">
        <f>IF(AND(CallLog[[#This Row],[Answered (Y/N)]]="Y", CallLog[[#This Row],[Speed of answer in seconds]]&lt;=20),
    "Within",
    "Breach")</f>
        <v>Breach</v>
      </c>
      <c r="M1807" s="1">
        <v>2.1064814814814813E-3</v>
      </c>
      <c r="N1807">
        <v>4</v>
      </c>
    </row>
    <row r="1808" spans="1:14" x14ac:dyDescent="0.3">
      <c r="A1808" t="s">
        <v>1863</v>
      </c>
      <c r="B1808" t="s">
        <v>38</v>
      </c>
      <c r="C1808" t="s">
        <v>1829</v>
      </c>
      <c r="D1808" s="1">
        <v>0.56799768518518523</v>
      </c>
      <c r="E1808" s="2">
        <f>CallLog[[#This Row],[Date]]+CallLog[[#This Row],[Time]]</f>
        <v>44228.567997685182</v>
      </c>
      <c r="F1808" s="1" t="str">
        <f>TEXT(CallLog[[#This Row],[Date]],"dddd")</f>
        <v>Monday</v>
      </c>
      <c r="G1808" s="3">
        <f>HOUR(CallLog[[#This Row],[Time]])</f>
        <v>13</v>
      </c>
      <c r="H1808" t="s">
        <v>13</v>
      </c>
      <c r="I1808" t="s">
        <v>14</v>
      </c>
      <c r="J1808" t="s">
        <v>14</v>
      </c>
      <c r="K1808">
        <v>115</v>
      </c>
      <c r="L1808" t="str">
        <f>IF(AND(CallLog[[#This Row],[Answered (Y/N)]]="Y", CallLog[[#This Row],[Speed of answer in seconds]]&lt;=20),
    "Within",
    "Breach")</f>
        <v>Breach</v>
      </c>
      <c r="M1808" s="1">
        <v>1.2847222222222223E-3</v>
      </c>
      <c r="N1808">
        <v>3</v>
      </c>
    </row>
    <row r="1809" spans="1:14" x14ac:dyDescent="0.3">
      <c r="A1809" t="s">
        <v>1864</v>
      </c>
      <c r="B1809" t="s">
        <v>38</v>
      </c>
      <c r="C1809" t="s">
        <v>1829</v>
      </c>
      <c r="D1809" s="1">
        <v>0.56799768518518523</v>
      </c>
      <c r="E1809" s="2">
        <f>CallLog[[#This Row],[Date]]+CallLog[[#This Row],[Time]]</f>
        <v>44228.567997685182</v>
      </c>
      <c r="F1809" s="1" t="str">
        <f>TEXT(CallLog[[#This Row],[Date]],"dddd")</f>
        <v>Monday</v>
      </c>
      <c r="G1809" s="3">
        <f>HOUR(CallLog[[#This Row],[Time]])</f>
        <v>13</v>
      </c>
      <c r="H1809" t="s">
        <v>13</v>
      </c>
      <c r="I1809" t="s">
        <v>14</v>
      </c>
      <c r="J1809" t="s">
        <v>14</v>
      </c>
      <c r="K1809">
        <v>97</v>
      </c>
      <c r="L1809" t="str">
        <f>IF(AND(CallLog[[#This Row],[Answered (Y/N)]]="Y", CallLog[[#This Row],[Speed of answer in seconds]]&lt;=20),
    "Within",
    "Breach")</f>
        <v>Breach</v>
      </c>
      <c r="M1809" s="1">
        <v>2.0833333333333333E-3</v>
      </c>
      <c r="N1809">
        <v>5</v>
      </c>
    </row>
    <row r="1810" spans="1:14" x14ac:dyDescent="0.3">
      <c r="A1810" t="s">
        <v>1865</v>
      </c>
      <c r="B1810" t="s">
        <v>16</v>
      </c>
      <c r="C1810" t="s">
        <v>1829</v>
      </c>
      <c r="D1810" s="1">
        <v>0.57400462962962961</v>
      </c>
      <c r="E1810" s="2">
        <f>CallLog[[#This Row],[Date]]+CallLog[[#This Row],[Time]]</f>
        <v>44228.574004629627</v>
      </c>
      <c r="F1810" s="1" t="str">
        <f>TEXT(CallLog[[#This Row],[Date]],"dddd")</f>
        <v>Monday</v>
      </c>
      <c r="G1810" s="3">
        <f>HOUR(CallLog[[#This Row],[Time]])</f>
        <v>13</v>
      </c>
      <c r="H1810" t="s">
        <v>13</v>
      </c>
      <c r="I1810" t="s">
        <v>18</v>
      </c>
      <c r="J1810" t="s">
        <v>18</v>
      </c>
      <c r="L1810" t="str">
        <f>IF(AND(CallLog[[#This Row],[Answered (Y/N)]]="Y", CallLog[[#This Row],[Speed of answer in seconds]]&lt;=20),
    "Within",
    "Breach")</f>
        <v>Breach</v>
      </c>
    </row>
    <row r="1811" spans="1:14" x14ac:dyDescent="0.3">
      <c r="A1811" t="s">
        <v>1866</v>
      </c>
      <c r="B1811" t="s">
        <v>47</v>
      </c>
      <c r="C1811" t="s">
        <v>1829</v>
      </c>
      <c r="D1811" s="1">
        <v>0.57400462962962961</v>
      </c>
      <c r="E1811" s="2">
        <f>CallLog[[#This Row],[Date]]+CallLog[[#This Row],[Time]]</f>
        <v>44228.574004629627</v>
      </c>
      <c r="F1811" s="1" t="str">
        <f>TEXT(CallLog[[#This Row],[Date]],"dddd")</f>
        <v>Monday</v>
      </c>
      <c r="G1811" s="3">
        <f>HOUR(CallLog[[#This Row],[Time]])</f>
        <v>13</v>
      </c>
      <c r="H1811" t="s">
        <v>13</v>
      </c>
      <c r="I1811" t="s">
        <v>14</v>
      </c>
      <c r="J1811" t="s">
        <v>18</v>
      </c>
      <c r="K1811">
        <v>87</v>
      </c>
      <c r="L1811" t="str">
        <f>IF(AND(CallLog[[#This Row],[Answered (Y/N)]]="Y", CallLog[[#This Row],[Speed of answer in seconds]]&lt;=20),
    "Within",
    "Breach")</f>
        <v>Breach</v>
      </c>
      <c r="M1811" s="1">
        <v>4.7106481481481478E-3</v>
      </c>
      <c r="N1811">
        <v>5</v>
      </c>
    </row>
    <row r="1812" spans="1:14" x14ac:dyDescent="0.3">
      <c r="A1812" t="s">
        <v>1867</v>
      </c>
      <c r="B1812" t="s">
        <v>16</v>
      </c>
      <c r="C1812" t="s">
        <v>1829</v>
      </c>
      <c r="D1812" s="1">
        <v>0.57700231481481479</v>
      </c>
      <c r="E1812" s="2">
        <f>CallLog[[#This Row],[Date]]+CallLog[[#This Row],[Time]]</f>
        <v>44228.577002314814</v>
      </c>
      <c r="F1812" s="1" t="str">
        <f>TEXT(CallLog[[#This Row],[Date]],"dddd")</f>
        <v>Monday</v>
      </c>
      <c r="G1812" s="3">
        <f>HOUR(CallLog[[#This Row],[Time]])</f>
        <v>13</v>
      </c>
      <c r="H1812" t="s">
        <v>24</v>
      </c>
      <c r="I1812" t="s">
        <v>14</v>
      </c>
      <c r="J1812" t="s">
        <v>14</v>
      </c>
      <c r="K1812">
        <v>97</v>
      </c>
      <c r="L1812" t="str">
        <f>IF(AND(CallLog[[#This Row],[Answered (Y/N)]]="Y", CallLog[[#This Row],[Speed of answer in seconds]]&lt;=20),
    "Within",
    "Breach")</f>
        <v>Breach</v>
      </c>
      <c r="M1812" s="1">
        <v>3.3217592592592591E-3</v>
      </c>
      <c r="N1812">
        <v>1</v>
      </c>
    </row>
    <row r="1813" spans="1:14" x14ac:dyDescent="0.3">
      <c r="A1813" t="s">
        <v>1868</v>
      </c>
      <c r="B1813" t="s">
        <v>22</v>
      </c>
      <c r="C1813" t="s">
        <v>1829</v>
      </c>
      <c r="D1813" s="1">
        <v>0.57700231481481479</v>
      </c>
      <c r="E1813" s="2">
        <f>CallLog[[#This Row],[Date]]+CallLog[[#This Row],[Time]]</f>
        <v>44228.577002314814</v>
      </c>
      <c r="F1813" s="1" t="str">
        <f>TEXT(CallLog[[#This Row],[Date]],"dddd")</f>
        <v>Monday</v>
      </c>
      <c r="G1813" s="3">
        <f>HOUR(CallLog[[#This Row],[Time]])</f>
        <v>13</v>
      </c>
      <c r="H1813" t="s">
        <v>32</v>
      </c>
      <c r="I1813" t="s">
        <v>14</v>
      </c>
      <c r="J1813" t="s">
        <v>18</v>
      </c>
      <c r="K1813">
        <v>119</v>
      </c>
      <c r="L1813" t="str">
        <f>IF(AND(CallLog[[#This Row],[Answered (Y/N)]]="Y", CallLog[[#This Row],[Speed of answer in seconds]]&lt;=20),
    "Within",
    "Breach")</f>
        <v>Breach</v>
      </c>
      <c r="M1813" s="1">
        <v>7.291666666666667E-4</v>
      </c>
      <c r="N1813">
        <v>5</v>
      </c>
    </row>
    <row r="1814" spans="1:14" x14ac:dyDescent="0.3">
      <c r="A1814" t="s">
        <v>1869</v>
      </c>
      <c r="B1814" t="s">
        <v>11</v>
      </c>
      <c r="C1814" t="s">
        <v>1829</v>
      </c>
      <c r="D1814" s="1">
        <v>0.58200231481481479</v>
      </c>
      <c r="E1814" s="2">
        <f>CallLog[[#This Row],[Date]]+CallLog[[#This Row],[Time]]</f>
        <v>44228.582002314812</v>
      </c>
      <c r="F1814" s="1" t="str">
        <f>TEXT(CallLog[[#This Row],[Date]],"dddd")</f>
        <v>Monday</v>
      </c>
      <c r="G1814" s="3">
        <f>HOUR(CallLog[[#This Row],[Time]])</f>
        <v>13</v>
      </c>
      <c r="H1814" t="s">
        <v>13</v>
      </c>
      <c r="I1814" t="s">
        <v>14</v>
      </c>
      <c r="J1814" t="s">
        <v>14</v>
      </c>
      <c r="K1814">
        <v>122</v>
      </c>
      <c r="L1814" t="str">
        <f>IF(AND(CallLog[[#This Row],[Answered (Y/N)]]="Y", CallLog[[#This Row],[Speed of answer in seconds]]&lt;=20),
    "Within",
    "Breach")</f>
        <v>Breach</v>
      </c>
      <c r="M1814" s="1">
        <v>1.5972222222222223E-3</v>
      </c>
      <c r="N1814">
        <v>3</v>
      </c>
    </row>
    <row r="1815" spans="1:14" x14ac:dyDescent="0.3">
      <c r="A1815" t="s">
        <v>1870</v>
      </c>
      <c r="B1815" t="s">
        <v>16</v>
      </c>
      <c r="C1815" t="s">
        <v>1829</v>
      </c>
      <c r="D1815" s="1">
        <v>0.58200231481481479</v>
      </c>
      <c r="E1815" s="2">
        <f>CallLog[[#This Row],[Date]]+CallLog[[#This Row],[Time]]</f>
        <v>44228.582002314812</v>
      </c>
      <c r="F1815" s="1" t="str">
        <f>TEXT(CallLog[[#This Row],[Date]],"dddd")</f>
        <v>Monday</v>
      </c>
      <c r="G1815" s="3">
        <f>HOUR(CallLog[[#This Row],[Time]])</f>
        <v>13</v>
      </c>
      <c r="H1815" t="s">
        <v>13</v>
      </c>
      <c r="I1815" t="s">
        <v>14</v>
      </c>
      <c r="J1815" t="s">
        <v>14</v>
      </c>
      <c r="K1815">
        <v>60</v>
      </c>
      <c r="L1815" t="str">
        <f>IF(AND(CallLog[[#This Row],[Answered (Y/N)]]="Y", CallLog[[#This Row],[Speed of answer in seconds]]&lt;=20),
    "Within",
    "Breach")</f>
        <v>Breach</v>
      </c>
      <c r="M1815" s="1">
        <v>1.5046296296296296E-3</v>
      </c>
      <c r="N1815">
        <v>1</v>
      </c>
    </row>
    <row r="1816" spans="1:14" x14ac:dyDescent="0.3">
      <c r="A1816" t="s">
        <v>1871</v>
      </c>
      <c r="B1816" t="s">
        <v>22</v>
      </c>
      <c r="C1816" t="s">
        <v>1829</v>
      </c>
      <c r="D1816" s="1">
        <v>0.59499999999999997</v>
      </c>
      <c r="E1816" s="2">
        <f>CallLog[[#This Row],[Date]]+CallLog[[#This Row],[Time]]</f>
        <v>44228.595000000001</v>
      </c>
      <c r="F1816" s="1" t="str">
        <f>TEXT(CallLog[[#This Row],[Date]],"dddd")</f>
        <v>Monday</v>
      </c>
      <c r="G1816" s="3">
        <f>HOUR(CallLog[[#This Row],[Time]])</f>
        <v>14</v>
      </c>
      <c r="H1816" t="s">
        <v>17</v>
      </c>
      <c r="I1816" t="s">
        <v>14</v>
      </c>
      <c r="J1816" t="s">
        <v>18</v>
      </c>
      <c r="K1816">
        <v>58</v>
      </c>
      <c r="L1816" t="str">
        <f>IF(AND(CallLog[[#This Row],[Answered (Y/N)]]="Y", CallLog[[#This Row],[Speed of answer in seconds]]&lt;=20),
    "Within",
    "Breach")</f>
        <v>Breach</v>
      </c>
      <c r="M1816" s="1">
        <v>1.6087962962962963E-3</v>
      </c>
      <c r="N1816">
        <v>2</v>
      </c>
    </row>
    <row r="1817" spans="1:14" x14ac:dyDescent="0.3">
      <c r="A1817" t="s">
        <v>1872</v>
      </c>
      <c r="B1817" t="s">
        <v>22</v>
      </c>
      <c r="C1817" t="s">
        <v>1829</v>
      </c>
      <c r="D1817" s="1">
        <v>0.59499999999999997</v>
      </c>
      <c r="E1817" s="2">
        <f>CallLog[[#This Row],[Date]]+CallLog[[#This Row],[Time]]</f>
        <v>44228.595000000001</v>
      </c>
      <c r="F1817" s="1" t="str">
        <f>TEXT(CallLog[[#This Row],[Date]],"dddd")</f>
        <v>Monday</v>
      </c>
      <c r="G1817" s="3">
        <f>HOUR(CallLog[[#This Row],[Time]])</f>
        <v>14</v>
      </c>
      <c r="H1817" t="s">
        <v>29</v>
      </c>
      <c r="I1817" t="s">
        <v>14</v>
      </c>
      <c r="J1817" t="s">
        <v>14</v>
      </c>
      <c r="K1817">
        <v>84</v>
      </c>
      <c r="L1817" t="str">
        <f>IF(AND(CallLog[[#This Row],[Answered (Y/N)]]="Y", CallLog[[#This Row],[Speed of answer in seconds]]&lt;=20),
    "Within",
    "Breach")</f>
        <v>Breach</v>
      </c>
      <c r="M1817" s="1">
        <v>4.4791666666666669E-3</v>
      </c>
      <c r="N1817">
        <v>4</v>
      </c>
    </row>
    <row r="1818" spans="1:14" x14ac:dyDescent="0.3">
      <c r="A1818" t="s">
        <v>1873</v>
      </c>
      <c r="B1818" t="s">
        <v>34</v>
      </c>
      <c r="C1818" t="s">
        <v>1829</v>
      </c>
      <c r="D1818" s="1">
        <v>0.60599537037037032</v>
      </c>
      <c r="E1818" s="2">
        <f>CallLog[[#This Row],[Date]]+CallLog[[#This Row],[Time]]</f>
        <v>44228.605995370373</v>
      </c>
      <c r="F1818" s="1" t="str">
        <f>TEXT(CallLog[[#This Row],[Date]],"dddd")</f>
        <v>Monday</v>
      </c>
      <c r="G1818" s="3">
        <f>HOUR(CallLog[[#This Row],[Time]])</f>
        <v>14</v>
      </c>
      <c r="H1818" t="s">
        <v>24</v>
      </c>
      <c r="I1818" t="s">
        <v>18</v>
      </c>
      <c r="J1818" t="s">
        <v>18</v>
      </c>
      <c r="L1818" t="str">
        <f>IF(AND(CallLog[[#This Row],[Answered (Y/N)]]="Y", CallLog[[#This Row],[Speed of answer in seconds]]&lt;=20),
    "Within",
    "Breach")</f>
        <v>Breach</v>
      </c>
    </row>
    <row r="1819" spans="1:14" x14ac:dyDescent="0.3">
      <c r="A1819" t="s">
        <v>1874</v>
      </c>
      <c r="B1819" t="s">
        <v>47</v>
      </c>
      <c r="C1819" t="s">
        <v>1829</v>
      </c>
      <c r="D1819" s="1">
        <v>0.60599537037037032</v>
      </c>
      <c r="E1819" s="2">
        <f>CallLog[[#This Row],[Date]]+CallLog[[#This Row],[Time]]</f>
        <v>44228.605995370373</v>
      </c>
      <c r="F1819" s="1" t="str">
        <f>TEXT(CallLog[[#This Row],[Date]],"dddd")</f>
        <v>Monday</v>
      </c>
      <c r="G1819" s="3">
        <f>HOUR(CallLog[[#This Row],[Time]])</f>
        <v>14</v>
      </c>
      <c r="H1819" t="s">
        <v>24</v>
      </c>
      <c r="I1819" t="s">
        <v>14</v>
      </c>
      <c r="J1819" t="s">
        <v>14</v>
      </c>
      <c r="K1819">
        <v>72</v>
      </c>
      <c r="L1819" t="str">
        <f>IF(AND(CallLog[[#This Row],[Answered (Y/N)]]="Y", CallLog[[#This Row],[Speed of answer in seconds]]&lt;=20),
    "Within",
    "Breach")</f>
        <v>Breach</v>
      </c>
      <c r="M1819" s="1">
        <v>2.0138888888888888E-3</v>
      </c>
      <c r="N1819">
        <v>2</v>
      </c>
    </row>
    <row r="1820" spans="1:14" x14ac:dyDescent="0.3">
      <c r="A1820" t="s">
        <v>1875</v>
      </c>
      <c r="B1820" t="s">
        <v>38</v>
      </c>
      <c r="C1820" t="s">
        <v>1829</v>
      </c>
      <c r="D1820" s="1">
        <v>0.60799768518518515</v>
      </c>
      <c r="E1820" s="2">
        <f>CallLog[[#This Row],[Date]]+CallLog[[#This Row],[Time]]</f>
        <v>44228.607997685183</v>
      </c>
      <c r="F1820" s="1" t="str">
        <f>TEXT(CallLog[[#This Row],[Date]],"dddd")</f>
        <v>Monday</v>
      </c>
      <c r="G1820" s="3">
        <f>HOUR(CallLog[[#This Row],[Time]])</f>
        <v>14</v>
      </c>
      <c r="H1820" t="s">
        <v>32</v>
      </c>
      <c r="I1820" t="s">
        <v>14</v>
      </c>
      <c r="J1820" t="s">
        <v>14</v>
      </c>
      <c r="K1820">
        <v>46</v>
      </c>
      <c r="L1820" t="str">
        <f>IF(AND(CallLog[[#This Row],[Answered (Y/N)]]="Y", CallLog[[#This Row],[Speed of answer in seconds]]&lt;=20),
    "Within",
    "Breach")</f>
        <v>Breach</v>
      </c>
      <c r="M1820" s="1">
        <v>2.1064814814814813E-3</v>
      </c>
      <c r="N1820">
        <v>4</v>
      </c>
    </row>
    <row r="1821" spans="1:14" x14ac:dyDescent="0.3">
      <c r="A1821" t="s">
        <v>1876</v>
      </c>
      <c r="B1821" t="s">
        <v>38</v>
      </c>
      <c r="C1821" t="s">
        <v>1829</v>
      </c>
      <c r="D1821" s="1">
        <v>0.60799768518518515</v>
      </c>
      <c r="E1821" s="2">
        <f>CallLog[[#This Row],[Date]]+CallLog[[#This Row],[Time]]</f>
        <v>44228.607997685183</v>
      </c>
      <c r="F1821" s="1" t="str">
        <f>TEXT(CallLog[[#This Row],[Date]],"dddd")</f>
        <v>Monday</v>
      </c>
      <c r="G1821" s="3">
        <f>HOUR(CallLog[[#This Row],[Time]])</f>
        <v>14</v>
      </c>
      <c r="H1821" t="s">
        <v>24</v>
      </c>
      <c r="I1821" t="s">
        <v>14</v>
      </c>
      <c r="J1821" t="s">
        <v>14</v>
      </c>
      <c r="K1821">
        <v>101</v>
      </c>
      <c r="L1821" t="str">
        <f>IF(AND(CallLog[[#This Row],[Answered (Y/N)]]="Y", CallLog[[#This Row],[Speed of answer in seconds]]&lt;=20),
    "Within",
    "Breach")</f>
        <v>Breach</v>
      </c>
      <c r="M1821" s="1">
        <v>3.2986111111111111E-3</v>
      </c>
      <c r="N1821">
        <v>5</v>
      </c>
    </row>
    <row r="1822" spans="1:14" x14ac:dyDescent="0.3">
      <c r="A1822" t="s">
        <v>1877</v>
      </c>
      <c r="B1822" t="s">
        <v>31</v>
      </c>
      <c r="C1822" t="s">
        <v>1829</v>
      </c>
      <c r="D1822" s="1">
        <v>0.64500000000000002</v>
      </c>
      <c r="E1822" s="2">
        <f>CallLog[[#This Row],[Date]]+CallLog[[#This Row],[Time]]</f>
        <v>44228.644999999997</v>
      </c>
      <c r="F1822" s="1" t="str">
        <f>TEXT(CallLog[[#This Row],[Date]],"dddd")</f>
        <v>Monday</v>
      </c>
      <c r="G1822" s="3">
        <f>HOUR(CallLog[[#This Row],[Time]])</f>
        <v>15</v>
      </c>
      <c r="H1822" t="s">
        <v>13</v>
      </c>
      <c r="I1822" t="s">
        <v>14</v>
      </c>
      <c r="J1822" t="s">
        <v>14</v>
      </c>
      <c r="K1822">
        <v>101</v>
      </c>
      <c r="L1822" t="str">
        <f>IF(AND(CallLog[[#This Row],[Answered (Y/N)]]="Y", CallLog[[#This Row],[Speed of answer in seconds]]&lt;=20),
    "Within",
    "Breach")</f>
        <v>Breach</v>
      </c>
      <c r="M1822" s="1">
        <v>3.3564814814814816E-3</v>
      </c>
      <c r="N1822">
        <v>2</v>
      </c>
    </row>
    <row r="1823" spans="1:14" x14ac:dyDescent="0.3">
      <c r="A1823" t="s">
        <v>1878</v>
      </c>
      <c r="B1823" t="s">
        <v>31</v>
      </c>
      <c r="C1823" t="s">
        <v>1829</v>
      </c>
      <c r="D1823" s="1">
        <v>0.64500000000000002</v>
      </c>
      <c r="E1823" s="2">
        <f>CallLog[[#This Row],[Date]]+CallLog[[#This Row],[Time]]</f>
        <v>44228.644999999997</v>
      </c>
      <c r="F1823" s="1" t="str">
        <f>TEXT(CallLog[[#This Row],[Date]],"dddd")</f>
        <v>Monday</v>
      </c>
      <c r="G1823" s="3">
        <f>HOUR(CallLog[[#This Row],[Time]])</f>
        <v>15</v>
      </c>
      <c r="H1823" t="s">
        <v>29</v>
      </c>
      <c r="I1823" t="s">
        <v>14</v>
      </c>
      <c r="J1823" t="s">
        <v>14</v>
      </c>
      <c r="K1823">
        <v>63</v>
      </c>
      <c r="L1823" t="str">
        <f>IF(AND(CallLog[[#This Row],[Answered (Y/N)]]="Y", CallLog[[#This Row],[Speed of answer in seconds]]&lt;=20),
    "Within",
    "Breach")</f>
        <v>Breach</v>
      </c>
      <c r="M1823" s="1">
        <v>4.0509259259259257E-3</v>
      </c>
      <c r="N1823">
        <v>1</v>
      </c>
    </row>
    <row r="1824" spans="1:14" x14ac:dyDescent="0.3">
      <c r="A1824" t="s">
        <v>1879</v>
      </c>
      <c r="B1824" t="s">
        <v>31</v>
      </c>
      <c r="C1824" t="s">
        <v>1829</v>
      </c>
      <c r="D1824" s="1">
        <v>0.67700231481481477</v>
      </c>
      <c r="E1824" s="2">
        <f>CallLog[[#This Row],[Date]]+CallLog[[#This Row],[Time]]</f>
        <v>44228.677002314813</v>
      </c>
      <c r="F1824" s="1" t="str">
        <f>TEXT(CallLog[[#This Row],[Date]],"dddd")</f>
        <v>Monday</v>
      </c>
      <c r="G1824" s="3">
        <f>HOUR(CallLog[[#This Row],[Time]])</f>
        <v>16</v>
      </c>
      <c r="H1824" t="s">
        <v>24</v>
      </c>
      <c r="I1824" t="s">
        <v>14</v>
      </c>
      <c r="J1824" t="s">
        <v>14</v>
      </c>
      <c r="K1824">
        <v>125</v>
      </c>
      <c r="L1824" t="str">
        <f>IF(AND(CallLog[[#This Row],[Answered (Y/N)]]="Y", CallLog[[#This Row],[Speed of answer in seconds]]&lt;=20),
    "Within",
    "Breach")</f>
        <v>Breach</v>
      </c>
      <c r="M1824" s="1">
        <v>2.0254629629629629E-3</v>
      </c>
      <c r="N1824">
        <v>1</v>
      </c>
    </row>
    <row r="1825" spans="1:14" x14ac:dyDescent="0.3">
      <c r="A1825" t="s">
        <v>1880</v>
      </c>
      <c r="B1825" t="s">
        <v>38</v>
      </c>
      <c r="C1825" t="s">
        <v>1829</v>
      </c>
      <c r="D1825" s="1">
        <v>0.67700231481481477</v>
      </c>
      <c r="E1825" s="2">
        <f>CallLog[[#This Row],[Date]]+CallLog[[#This Row],[Time]]</f>
        <v>44228.677002314813</v>
      </c>
      <c r="F1825" s="1" t="str">
        <f>TEXT(CallLog[[#This Row],[Date]],"dddd")</f>
        <v>Monday</v>
      </c>
      <c r="G1825" s="3">
        <f>HOUR(CallLog[[#This Row],[Time]])</f>
        <v>16</v>
      </c>
      <c r="H1825" t="s">
        <v>24</v>
      </c>
      <c r="I1825" t="s">
        <v>14</v>
      </c>
      <c r="J1825" t="s">
        <v>14</v>
      </c>
      <c r="K1825">
        <v>44</v>
      </c>
      <c r="L1825" t="str">
        <f>IF(AND(CallLog[[#This Row],[Answered (Y/N)]]="Y", CallLog[[#This Row],[Speed of answer in seconds]]&lt;=20),
    "Within",
    "Breach")</f>
        <v>Breach</v>
      </c>
      <c r="M1825" s="1">
        <v>4.7453703703703698E-4</v>
      </c>
      <c r="N1825">
        <v>5</v>
      </c>
    </row>
    <row r="1826" spans="1:14" x14ac:dyDescent="0.3">
      <c r="A1826" t="s">
        <v>1881</v>
      </c>
      <c r="B1826" t="s">
        <v>38</v>
      </c>
      <c r="C1826" t="s">
        <v>1829</v>
      </c>
      <c r="D1826" s="1">
        <v>0.68200231481481477</v>
      </c>
      <c r="E1826" s="2">
        <f>CallLog[[#This Row],[Date]]+CallLog[[#This Row],[Time]]</f>
        <v>44228.682002314818</v>
      </c>
      <c r="F1826" s="1" t="str">
        <f>TEXT(CallLog[[#This Row],[Date]],"dddd")</f>
        <v>Monday</v>
      </c>
      <c r="G1826" s="3">
        <f>HOUR(CallLog[[#This Row],[Time]])</f>
        <v>16</v>
      </c>
      <c r="H1826" t="s">
        <v>32</v>
      </c>
      <c r="I1826" t="s">
        <v>14</v>
      </c>
      <c r="J1826" t="s">
        <v>14</v>
      </c>
      <c r="K1826">
        <v>16</v>
      </c>
      <c r="L1826" t="str">
        <f>IF(AND(CallLog[[#This Row],[Answered (Y/N)]]="Y", CallLog[[#This Row],[Speed of answer in seconds]]&lt;=20),
    "Within",
    "Breach")</f>
        <v>Within</v>
      </c>
      <c r="M1826" s="1">
        <v>1.5740740740740741E-3</v>
      </c>
      <c r="N1826">
        <v>5</v>
      </c>
    </row>
    <row r="1827" spans="1:14" x14ac:dyDescent="0.3">
      <c r="A1827" t="s">
        <v>1882</v>
      </c>
      <c r="B1827" t="s">
        <v>47</v>
      </c>
      <c r="C1827" t="s">
        <v>1829</v>
      </c>
      <c r="D1827" s="1">
        <v>0.68200231481481477</v>
      </c>
      <c r="E1827" s="2">
        <f>CallLog[[#This Row],[Date]]+CallLog[[#This Row],[Time]]</f>
        <v>44228.682002314818</v>
      </c>
      <c r="F1827" s="1" t="str">
        <f>TEXT(CallLog[[#This Row],[Date]],"dddd")</f>
        <v>Monday</v>
      </c>
      <c r="G1827" s="3">
        <f>HOUR(CallLog[[#This Row],[Time]])</f>
        <v>16</v>
      </c>
      <c r="H1827" t="s">
        <v>17</v>
      </c>
      <c r="I1827" t="s">
        <v>14</v>
      </c>
      <c r="J1827" t="s">
        <v>14</v>
      </c>
      <c r="K1827">
        <v>31</v>
      </c>
      <c r="L1827" t="str">
        <f>IF(AND(CallLog[[#This Row],[Answered (Y/N)]]="Y", CallLog[[#This Row],[Speed of answer in seconds]]&lt;=20),
    "Within",
    "Breach")</f>
        <v>Breach</v>
      </c>
      <c r="M1827" s="1">
        <v>2.4421296296296296E-3</v>
      </c>
      <c r="N1827">
        <v>4</v>
      </c>
    </row>
    <row r="1828" spans="1:14" x14ac:dyDescent="0.3">
      <c r="A1828" t="s">
        <v>1883</v>
      </c>
      <c r="B1828" t="s">
        <v>47</v>
      </c>
      <c r="C1828" t="s">
        <v>1829</v>
      </c>
      <c r="D1828" s="1">
        <v>0.68200231481481477</v>
      </c>
      <c r="E1828" s="2">
        <f>CallLog[[#This Row],[Date]]+CallLog[[#This Row],[Time]]</f>
        <v>44228.682002314818</v>
      </c>
      <c r="F1828" s="1" t="str">
        <f>TEXT(CallLog[[#This Row],[Date]],"dddd")</f>
        <v>Monday</v>
      </c>
      <c r="G1828" s="3">
        <f>HOUR(CallLog[[#This Row],[Time]])</f>
        <v>16</v>
      </c>
      <c r="H1828" t="s">
        <v>29</v>
      </c>
      <c r="I1828" t="s">
        <v>14</v>
      </c>
      <c r="J1828" t="s">
        <v>14</v>
      </c>
      <c r="K1828">
        <v>114</v>
      </c>
      <c r="L1828" t="str">
        <f>IF(AND(CallLog[[#This Row],[Answered (Y/N)]]="Y", CallLog[[#This Row],[Speed of answer in seconds]]&lt;=20),
    "Within",
    "Breach")</f>
        <v>Breach</v>
      </c>
      <c r="M1828" s="1">
        <v>5.2083333333333333E-4</v>
      </c>
      <c r="N1828">
        <v>5</v>
      </c>
    </row>
    <row r="1829" spans="1:14" x14ac:dyDescent="0.3">
      <c r="A1829" t="s">
        <v>1884</v>
      </c>
      <c r="B1829" t="s">
        <v>22</v>
      </c>
      <c r="C1829" t="s">
        <v>1829</v>
      </c>
      <c r="D1829" s="1">
        <v>0.68200231481481477</v>
      </c>
      <c r="E1829" s="2">
        <f>CallLog[[#This Row],[Date]]+CallLog[[#This Row],[Time]]</f>
        <v>44228.682002314818</v>
      </c>
      <c r="F1829" s="1" t="str">
        <f>TEXT(CallLog[[#This Row],[Date]],"dddd")</f>
        <v>Monday</v>
      </c>
      <c r="G1829" s="3">
        <f>HOUR(CallLog[[#This Row],[Time]])</f>
        <v>16</v>
      </c>
      <c r="H1829" t="s">
        <v>13</v>
      </c>
      <c r="I1829" t="s">
        <v>14</v>
      </c>
      <c r="J1829" t="s">
        <v>14</v>
      </c>
      <c r="K1829">
        <v>10</v>
      </c>
      <c r="L1829" t="str">
        <f>IF(AND(CallLog[[#This Row],[Answered (Y/N)]]="Y", CallLog[[#This Row],[Speed of answer in seconds]]&lt;=20),
    "Within",
    "Breach")</f>
        <v>Within</v>
      </c>
      <c r="M1829" s="1">
        <v>2.3263888888888887E-3</v>
      </c>
      <c r="N1829">
        <v>2</v>
      </c>
    </row>
    <row r="1830" spans="1:14" x14ac:dyDescent="0.3">
      <c r="A1830" t="s">
        <v>1885</v>
      </c>
      <c r="B1830" t="s">
        <v>22</v>
      </c>
      <c r="C1830" t="s">
        <v>1829</v>
      </c>
      <c r="D1830" s="1">
        <v>0.69900462962962961</v>
      </c>
      <c r="E1830" s="2">
        <f>CallLog[[#This Row],[Date]]+CallLog[[#This Row],[Time]]</f>
        <v>44228.699004629627</v>
      </c>
      <c r="F1830" s="1" t="str">
        <f>TEXT(CallLog[[#This Row],[Date]],"dddd")</f>
        <v>Monday</v>
      </c>
      <c r="G1830" s="3">
        <f>HOUR(CallLog[[#This Row],[Time]])</f>
        <v>16</v>
      </c>
      <c r="H1830" t="s">
        <v>32</v>
      </c>
      <c r="I1830" t="s">
        <v>14</v>
      </c>
      <c r="J1830" t="s">
        <v>14</v>
      </c>
      <c r="K1830">
        <v>105</v>
      </c>
      <c r="L1830" t="str">
        <f>IF(AND(CallLog[[#This Row],[Answered (Y/N)]]="Y", CallLog[[#This Row],[Speed of answer in seconds]]&lt;=20),
    "Within",
    "Breach")</f>
        <v>Breach</v>
      </c>
      <c r="M1830" s="1">
        <v>3.1597222222222222E-3</v>
      </c>
      <c r="N1830">
        <v>3</v>
      </c>
    </row>
    <row r="1831" spans="1:14" x14ac:dyDescent="0.3">
      <c r="A1831" t="s">
        <v>1886</v>
      </c>
      <c r="B1831" t="s">
        <v>22</v>
      </c>
      <c r="C1831" t="s">
        <v>1829</v>
      </c>
      <c r="D1831" s="1">
        <v>0.69900462962962961</v>
      </c>
      <c r="E1831" s="2">
        <f>CallLog[[#This Row],[Date]]+CallLog[[#This Row],[Time]]</f>
        <v>44228.699004629627</v>
      </c>
      <c r="F1831" s="1" t="str">
        <f>TEXT(CallLog[[#This Row],[Date]],"dddd")</f>
        <v>Monday</v>
      </c>
      <c r="G1831" s="3">
        <f>HOUR(CallLog[[#This Row],[Time]])</f>
        <v>16</v>
      </c>
      <c r="H1831" t="s">
        <v>24</v>
      </c>
      <c r="I1831" t="s">
        <v>18</v>
      </c>
      <c r="J1831" t="s">
        <v>18</v>
      </c>
      <c r="L1831" t="str">
        <f>IF(AND(CallLog[[#This Row],[Answered (Y/N)]]="Y", CallLog[[#This Row],[Speed of answer in seconds]]&lt;=20),
    "Within",
    "Breach")</f>
        <v>Breach</v>
      </c>
    </row>
    <row r="1832" spans="1:14" x14ac:dyDescent="0.3">
      <c r="A1832" t="s">
        <v>1887</v>
      </c>
      <c r="B1832" t="s">
        <v>47</v>
      </c>
      <c r="C1832" t="s">
        <v>1829</v>
      </c>
      <c r="D1832" s="1">
        <v>0.7170023148148148</v>
      </c>
      <c r="E1832" s="2">
        <f>CallLog[[#This Row],[Date]]+CallLog[[#This Row],[Time]]</f>
        <v>44228.717002314814</v>
      </c>
      <c r="F1832" s="1" t="str">
        <f>TEXT(CallLog[[#This Row],[Date]],"dddd")</f>
        <v>Monday</v>
      </c>
      <c r="G1832" s="3">
        <f>HOUR(CallLog[[#This Row],[Time]])</f>
        <v>17</v>
      </c>
      <c r="H1832" t="s">
        <v>29</v>
      </c>
      <c r="I1832" t="s">
        <v>14</v>
      </c>
      <c r="J1832" t="s">
        <v>14</v>
      </c>
      <c r="K1832">
        <v>120</v>
      </c>
      <c r="L1832" t="str">
        <f>IF(AND(CallLog[[#This Row],[Answered (Y/N)]]="Y", CallLog[[#This Row],[Speed of answer in seconds]]&lt;=20),
    "Within",
    "Breach")</f>
        <v>Breach</v>
      </c>
      <c r="M1832" s="1">
        <v>1.6435185185185185E-3</v>
      </c>
      <c r="N1832">
        <v>4</v>
      </c>
    </row>
    <row r="1833" spans="1:14" x14ac:dyDescent="0.3">
      <c r="A1833" t="s">
        <v>1888</v>
      </c>
      <c r="B1833" t="s">
        <v>34</v>
      </c>
      <c r="C1833" t="s">
        <v>1829</v>
      </c>
      <c r="D1833" s="1">
        <v>0.7170023148148148</v>
      </c>
      <c r="E1833" s="2">
        <f>CallLog[[#This Row],[Date]]+CallLog[[#This Row],[Time]]</f>
        <v>44228.717002314814</v>
      </c>
      <c r="F1833" s="1" t="str">
        <f>TEXT(CallLog[[#This Row],[Date]],"dddd")</f>
        <v>Monday</v>
      </c>
      <c r="G1833" s="3">
        <f>HOUR(CallLog[[#This Row],[Time]])</f>
        <v>17</v>
      </c>
      <c r="H1833" t="s">
        <v>24</v>
      </c>
      <c r="I1833" t="s">
        <v>18</v>
      </c>
      <c r="J1833" t="s">
        <v>18</v>
      </c>
      <c r="L1833" t="str">
        <f>IF(AND(CallLog[[#This Row],[Answered (Y/N)]]="Y", CallLog[[#This Row],[Speed of answer in seconds]]&lt;=20),
    "Within",
    "Breach")</f>
        <v>Breach</v>
      </c>
    </row>
    <row r="1834" spans="1:14" x14ac:dyDescent="0.3">
      <c r="A1834" t="s">
        <v>1889</v>
      </c>
      <c r="B1834" t="s">
        <v>20</v>
      </c>
      <c r="C1834" t="s">
        <v>1829</v>
      </c>
      <c r="D1834" s="1">
        <v>0.72499999999999998</v>
      </c>
      <c r="E1834" s="2">
        <f>CallLog[[#This Row],[Date]]+CallLog[[#This Row],[Time]]</f>
        <v>44228.724999999999</v>
      </c>
      <c r="F1834" s="1" t="str">
        <f>TEXT(CallLog[[#This Row],[Date]],"dddd")</f>
        <v>Monday</v>
      </c>
      <c r="G1834" s="3">
        <f>HOUR(CallLog[[#This Row],[Time]])</f>
        <v>17</v>
      </c>
      <c r="H1834" t="s">
        <v>17</v>
      </c>
      <c r="I1834" t="s">
        <v>18</v>
      </c>
      <c r="J1834" t="s">
        <v>18</v>
      </c>
      <c r="L1834" t="str">
        <f>IF(AND(CallLog[[#This Row],[Answered (Y/N)]]="Y", CallLog[[#This Row],[Speed of answer in seconds]]&lt;=20),
    "Within",
    "Breach")</f>
        <v>Breach</v>
      </c>
    </row>
    <row r="1835" spans="1:14" x14ac:dyDescent="0.3">
      <c r="A1835" t="s">
        <v>1890</v>
      </c>
      <c r="B1835" t="s">
        <v>22</v>
      </c>
      <c r="C1835" t="s">
        <v>1829</v>
      </c>
      <c r="D1835" s="1">
        <v>0.72499999999999998</v>
      </c>
      <c r="E1835" s="2">
        <f>CallLog[[#This Row],[Date]]+CallLog[[#This Row],[Time]]</f>
        <v>44228.724999999999</v>
      </c>
      <c r="F1835" s="1" t="str">
        <f>TEXT(CallLog[[#This Row],[Date]],"dddd")</f>
        <v>Monday</v>
      </c>
      <c r="G1835" s="3">
        <f>HOUR(CallLog[[#This Row],[Time]])</f>
        <v>17</v>
      </c>
      <c r="H1835" t="s">
        <v>24</v>
      </c>
      <c r="I1835" t="s">
        <v>18</v>
      </c>
      <c r="J1835" t="s">
        <v>18</v>
      </c>
      <c r="L1835" t="str">
        <f>IF(AND(CallLog[[#This Row],[Answered (Y/N)]]="Y", CallLog[[#This Row],[Speed of answer in seconds]]&lt;=20),
    "Within",
    "Breach")</f>
        <v>Breach</v>
      </c>
    </row>
    <row r="1836" spans="1:14" x14ac:dyDescent="0.3">
      <c r="A1836" t="s">
        <v>1891</v>
      </c>
      <c r="B1836" t="s">
        <v>31</v>
      </c>
      <c r="C1836" t="s">
        <v>1829</v>
      </c>
      <c r="D1836" s="1">
        <v>0.73200231481481481</v>
      </c>
      <c r="E1836" s="2">
        <f>CallLog[[#This Row],[Date]]+CallLog[[#This Row],[Time]]</f>
        <v>44228.732002314813</v>
      </c>
      <c r="F1836" s="1" t="str">
        <f>TEXT(CallLog[[#This Row],[Date]],"dddd")</f>
        <v>Monday</v>
      </c>
      <c r="G1836" s="3">
        <f>HOUR(CallLog[[#This Row],[Time]])</f>
        <v>17</v>
      </c>
      <c r="H1836" t="s">
        <v>17</v>
      </c>
      <c r="I1836" t="s">
        <v>14</v>
      </c>
      <c r="J1836" t="s">
        <v>14</v>
      </c>
      <c r="K1836">
        <v>51</v>
      </c>
      <c r="L1836" t="str">
        <f>IF(AND(CallLog[[#This Row],[Answered (Y/N)]]="Y", CallLog[[#This Row],[Speed of answer in seconds]]&lt;=20),
    "Within",
    "Breach")</f>
        <v>Breach</v>
      </c>
      <c r="M1836" s="1">
        <v>3.1250000000000002E-3</v>
      </c>
      <c r="N1836">
        <v>5</v>
      </c>
    </row>
    <row r="1837" spans="1:14" x14ac:dyDescent="0.3">
      <c r="A1837" t="s">
        <v>1892</v>
      </c>
      <c r="B1837" t="s">
        <v>20</v>
      </c>
      <c r="C1837" t="s">
        <v>1829</v>
      </c>
      <c r="D1837" s="1">
        <v>0.73200231481481481</v>
      </c>
      <c r="E1837" s="2">
        <f>CallLog[[#This Row],[Date]]+CallLog[[#This Row],[Time]]</f>
        <v>44228.732002314813</v>
      </c>
      <c r="F1837" s="1" t="str">
        <f>TEXT(CallLog[[#This Row],[Date]],"dddd")</f>
        <v>Monday</v>
      </c>
      <c r="G1837" s="3">
        <f>HOUR(CallLog[[#This Row],[Time]])</f>
        <v>17</v>
      </c>
      <c r="H1837" t="s">
        <v>17</v>
      </c>
      <c r="I1837" t="s">
        <v>14</v>
      </c>
      <c r="J1837" t="s">
        <v>14</v>
      </c>
      <c r="K1837">
        <v>124</v>
      </c>
      <c r="L1837" t="str">
        <f>IF(AND(CallLog[[#This Row],[Answered (Y/N)]]="Y", CallLog[[#This Row],[Speed of answer in seconds]]&lt;=20),
    "Within",
    "Breach")</f>
        <v>Breach</v>
      </c>
      <c r="M1837" s="1">
        <v>4.386574074074074E-3</v>
      </c>
      <c r="N1837">
        <v>3</v>
      </c>
    </row>
    <row r="1838" spans="1:14" x14ac:dyDescent="0.3">
      <c r="A1838" t="s">
        <v>1893</v>
      </c>
      <c r="B1838" t="s">
        <v>47</v>
      </c>
      <c r="C1838" t="s">
        <v>1829</v>
      </c>
      <c r="D1838" s="1">
        <v>0.73499999999999999</v>
      </c>
      <c r="E1838" s="2">
        <f>CallLog[[#This Row],[Date]]+CallLog[[#This Row],[Time]]</f>
        <v>44228.735000000001</v>
      </c>
      <c r="F1838" s="1" t="str">
        <f>TEXT(CallLog[[#This Row],[Date]],"dddd")</f>
        <v>Monday</v>
      </c>
      <c r="G1838" s="3">
        <f>HOUR(CallLog[[#This Row],[Time]])</f>
        <v>17</v>
      </c>
      <c r="H1838" t="s">
        <v>24</v>
      </c>
      <c r="I1838" t="s">
        <v>14</v>
      </c>
      <c r="J1838" t="s">
        <v>18</v>
      </c>
      <c r="K1838">
        <v>22</v>
      </c>
      <c r="L1838" t="str">
        <f>IF(AND(CallLog[[#This Row],[Answered (Y/N)]]="Y", CallLog[[#This Row],[Speed of answer in seconds]]&lt;=20),
    "Within",
    "Breach")</f>
        <v>Breach</v>
      </c>
      <c r="M1838" s="1">
        <v>1.261574074074074E-3</v>
      </c>
      <c r="N1838">
        <v>4</v>
      </c>
    </row>
    <row r="1839" spans="1:14" x14ac:dyDescent="0.3">
      <c r="A1839" t="s">
        <v>1894</v>
      </c>
      <c r="B1839" t="s">
        <v>38</v>
      </c>
      <c r="C1839" t="s">
        <v>1829</v>
      </c>
      <c r="D1839" s="1">
        <v>0.73499999999999999</v>
      </c>
      <c r="E1839" s="2">
        <f>CallLog[[#This Row],[Date]]+CallLog[[#This Row],[Time]]</f>
        <v>44228.735000000001</v>
      </c>
      <c r="F1839" s="1" t="str">
        <f>TEXT(CallLog[[#This Row],[Date]],"dddd")</f>
        <v>Monday</v>
      </c>
      <c r="G1839" s="3">
        <f>HOUR(CallLog[[#This Row],[Time]])</f>
        <v>17</v>
      </c>
      <c r="H1839" t="s">
        <v>24</v>
      </c>
      <c r="I1839" t="s">
        <v>14</v>
      </c>
      <c r="J1839" t="s">
        <v>18</v>
      </c>
      <c r="K1839">
        <v>29</v>
      </c>
      <c r="L1839" t="str">
        <f>IF(AND(CallLog[[#This Row],[Answered (Y/N)]]="Y", CallLog[[#This Row],[Speed of answer in seconds]]&lt;=20),
    "Within",
    "Breach")</f>
        <v>Breach</v>
      </c>
      <c r="M1839" s="1">
        <v>3.0092592592592593E-3</v>
      </c>
      <c r="N1839">
        <v>3</v>
      </c>
    </row>
    <row r="1840" spans="1:14" x14ac:dyDescent="0.3">
      <c r="A1840" t="s">
        <v>1895</v>
      </c>
      <c r="B1840" t="s">
        <v>16</v>
      </c>
      <c r="C1840" t="s">
        <v>1829</v>
      </c>
      <c r="D1840" s="1">
        <v>0.73599537037037033</v>
      </c>
      <c r="E1840" s="2">
        <f>CallLog[[#This Row],[Date]]+CallLog[[#This Row],[Time]]</f>
        <v>44228.735995370371</v>
      </c>
      <c r="F1840" s="1" t="str">
        <f>TEXT(CallLog[[#This Row],[Date]],"dddd")</f>
        <v>Monday</v>
      </c>
      <c r="G1840" s="3">
        <f>HOUR(CallLog[[#This Row],[Time]])</f>
        <v>17</v>
      </c>
      <c r="H1840" t="s">
        <v>17</v>
      </c>
      <c r="I1840" t="s">
        <v>14</v>
      </c>
      <c r="J1840" t="s">
        <v>14</v>
      </c>
      <c r="K1840">
        <v>125</v>
      </c>
      <c r="L1840" t="str">
        <f>IF(AND(CallLog[[#This Row],[Answered (Y/N)]]="Y", CallLog[[#This Row],[Speed of answer in seconds]]&lt;=20),
    "Within",
    "Breach")</f>
        <v>Breach</v>
      </c>
      <c r="M1840" s="1">
        <v>1.6666666666666668E-3</v>
      </c>
      <c r="N1840">
        <v>4</v>
      </c>
    </row>
    <row r="1841" spans="1:14" x14ac:dyDescent="0.3">
      <c r="A1841" t="s">
        <v>1896</v>
      </c>
      <c r="B1841" t="s">
        <v>31</v>
      </c>
      <c r="C1841" t="s">
        <v>1829</v>
      </c>
      <c r="D1841" s="1">
        <v>0.73599537037037033</v>
      </c>
      <c r="E1841" s="2">
        <f>CallLog[[#This Row],[Date]]+CallLog[[#This Row],[Time]]</f>
        <v>44228.735995370371</v>
      </c>
      <c r="F1841" s="1" t="str">
        <f>TEXT(CallLog[[#This Row],[Date]],"dddd")</f>
        <v>Monday</v>
      </c>
      <c r="G1841" s="3">
        <f>HOUR(CallLog[[#This Row],[Time]])</f>
        <v>17</v>
      </c>
      <c r="H1841" t="s">
        <v>13</v>
      </c>
      <c r="I1841" t="s">
        <v>14</v>
      </c>
      <c r="J1841" t="s">
        <v>14</v>
      </c>
      <c r="K1841">
        <v>54</v>
      </c>
      <c r="L1841" t="str">
        <f>IF(AND(CallLog[[#This Row],[Answered (Y/N)]]="Y", CallLog[[#This Row],[Speed of answer in seconds]]&lt;=20),
    "Within",
    "Breach")</f>
        <v>Breach</v>
      </c>
      <c r="M1841" s="1">
        <v>3.5763888888888889E-3</v>
      </c>
      <c r="N1841">
        <v>4</v>
      </c>
    </row>
    <row r="1842" spans="1:14" x14ac:dyDescent="0.3">
      <c r="A1842" t="s">
        <v>1897</v>
      </c>
      <c r="B1842" t="s">
        <v>38</v>
      </c>
      <c r="C1842" t="s">
        <v>1829</v>
      </c>
      <c r="D1842" s="1">
        <v>0.74200231481481482</v>
      </c>
      <c r="E1842" s="2">
        <f>CallLog[[#This Row],[Date]]+CallLog[[#This Row],[Time]]</f>
        <v>44228.742002314815</v>
      </c>
      <c r="F1842" s="1" t="str">
        <f>TEXT(CallLog[[#This Row],[Date]],"dddd")</f>
        <v>Monday</v>
      </c>
      <c r="G1842" s="3">
        <f>HOUR(CallLog[[#This Row],[Time]])</f>
        <v>17</v>
      </c>
      <c r="H1842" t="s">
        <v>17</v>
      </c>
      <c r="I1842" t="s">
        <v>14</v>
      </c>
      <c r="J1842" t="s">
        <v>14</v>
      </c>
      <c r="K1842">
        <v>45</v>
      </c>
      <c r="L1842" t="str">
        <f>IF(AND(CallLog[[#This Row],[Answered (Y/N)]]="Y", CallLog[[#This Row],[Speed of answer in seconds]]&lt;=20),
    "Within",
    "Breach")</f>
        <v>Breach</v>
      </c>
      <c r="M1842" s="1">
        <v>4.2592592592592595E-3</v>
      </c>
      <c r="N1842">
        <v>3</v>
      </c>
    </row>
    <row r="1843" spans="1:14" x14ac:dyDescent="0.3">
      <c r="A1843" t="s">
        <v>1898</v>
      </c>
      <c r="B1843" t="s">
        <v>11</v>
      </c>
      <c r="C1843" t="s">
        <v>1829</v>
      </c>
      <c r="D1843" s="1">
        <v>0.74200231481481482</v>
      </c>
      <c r="E1843" s="2">
        <f>CallLog[[#This Row],[Date]]+CallLog[[#This Row],[Time]]</f>
        <v>44228.742002314815</v>
      </c>
      <c r="F1843" s="1" t="str">
        <f>TEXT(CallLog[[#This Row],[Date]],"dddd")</f>
        <v>Monday</v>
      </c>
      <c r="G1843" s="3">
        <f>HOUR(CallLog[[#This Row],[Time]])</f>
        <v>17</v>
      </c>
      <c r="H1843" t="s">
        <v>29</v>
      </c>
      <c r="I1843" t="s">
        <v>14</v>
      </c>
      <c r="J1843" t="s">
        <v>14</v>
      </c>
      <c r="K1843">
        <v>101</v>
      </c>
      <c r="L1843" t="str">
        <f>IF(AND(CallLog[[#This Row],[Answered (Y/N)]]="Y", CallLog[[#This Row],[Speed of answer in seconds]]&lt;=20),
    "Within",
    "Breach")</f>
        <v>Breach</v>
      </c>
      <c r="M1843" s="1">
        <v>1.3310185185185185E-3</v>
      </c>
      <c r="N1843">
        <v>5</v>
      </c>
    </row>
    <row r="1844" spans="1:14" x14ac:dyDescent="0.3">
      <c r="A1844" t="s">
        <v>1899</v>
      </c>
      <c r="B1844" t="s">
        <v>11</v>
      </c>
      <c r="C1844" t="s">
        <v>1829</v>
      </c>
      <c r="D1844" s="1">
        <v>0.74799768518518517</v>
      </c>
      <c r="E1844" s="2">
        <f>CallLog[[#This Row],[Date]]+CallLog[[#This Row],[Time]]</f>
        <v>44228.747997685183</v>
      </c>
      <c r="F1844" s="1" t="str">
        <f>TEXT(CallLog[[#This Row],[Date]],"dddd")</f>
        <v>Monday</v>
      </c>
      <c r="G1844" s="3">
        <f>HOUR(CallLog[[#This Row],[Time]])</f>
        <v>17</v>
      </c>
      <c r="H1844" t="s">
        <v>13</v>
      </c>
      <c r="I1844" t="s">
        <v>14</v>
      </c>
      <c r="J1844" t="s">
        <v>14</v>
      </c>
      <c r="K1844">
        <v>80</v>
      </c>
      <c r="L1844" t="str">
        <f>IF(AND(CallLog[[#This Row],[Answered (Y/N)]]="Y", CallLog[[#This Row],[Speed of answer in seconds]]&lt;=20),
    "Within",
    "Breach")</f>
        <v>Breach</v>
      </c>
      <c r="M1844" s="1">
        <v>2.6967592592592594E-3</v>
      </c>
      <c r="N1844">
        <v>3</v>
      </c>
    </row>
    <row r="1845" spans="1:14" x14ac:dyDescent="0.3">
      <c r="A1845" t="s">
        <v>1900</v>
      </c>
      <c r="B1845" t="s">
        <v>11</v>
      </c>
      <c r="C1845" t="s">
        <v>1829</v>
      </c>
      <c r="D1845" s="1">
        <v>0.74799768518518517</v>
      </c>
      <c r="E1845" s="2">
        <f>CallLog[[#This Row],[Date]]+CallLog[[#This Row],[Time]]</f>
        <v>44228.747997685183</v>
      </c>
      <c r="F1845" s="1" t="str">
        <f>TEXT(CallLog[[#This Row],[Date]],"dddd")</f>
        <v>Monday</v>
      </c>
      <c r="G1845" s="3">
        <f>HOUR(CallLog[[#This Row],[Time]])</f>
        <v>17</v>
      </c>
      <c r="H1845" t="s">
        <v>32</v>
      </c>
      <c r="I1845" t="s">
        <v>18</v>
      </c>
      <c r="J1845" t="s">
        <v>18</v>
      </c>
      <c r="L1845" t="str">
        <f>IF(AND(CallLog[[#This Row],[Answered (Y/N)]]="Y", CallLog[[#This Row],[Speed of answer in seconds]]&lt;=20),
    "Within",
    "Breach")</f>
        <v>Breach</v>
      </c>
    </row>
    <row r="1846" spans="1:14" x14ac:dyDescent="0.3">
      <c r="A1846" t="s">
        <v>1901</v>
      </c>
      <c r="B1846" t="s">
        <v>34</v>
      </c>
      <c r="C1846" t="s">
        <v>1902</v>
      </c>
      <c r="D1846" s="1">
        <v>0.38900462962962962</v>
      </c>
      <c r="E1846" s="2">
        <f>CallLog[[#This Row],[Date]]+CallLog[[#This Row],[Time]]</f>
        <v>44229.389004629629</v>
      </c>
      <c r="F1846" s="1" t="str">
        <f>TEXT(CallLog[[#This Row],[Date]],"dddd")</f>
        <v>Tuesday</v>
      </c>
      <c r="G1846" s="3">
        <f>HOUR(CallLog[[#This Row],[Time]])</f>
        <v>9</v>
      </c>
      <c r="H1846" t="s">
        <v>24</v>
      </c>
      <c r="I1846" t="s">
        <v>14</v>
      </c>
      <c r="J1846" t="s">
        <v>14</v>
      </c>
      <c r="K1846">
        <v>118</v>
      </c>
      <c r="L1846" t="str">
        <f>IF(AND(CallLog[[#This Row],[Answered (Y/N)]]="Y", CallLog[[#This Row],[Speed of answer in seconds]]&lt;=20),
    "Within",
    "Breach")</f>
        <v>Breach</v>
      </c>
      <c r="M1846" s="1">
        <v>2.7430555555555554E-3</v>
      </c>
      <c r="N1846">
        <v>5</v>
      </c>
    </row>
    <row r="1847" spans="1:14" x14ac:dyDescent="0.3">
      <c r="A1847" t="s">
        <v>1903</v>
      </c>
      <c r="B1847" t="s">
        <v>22</v>
      </c>
      <c r="C1847" t="s">
        <v>1902</v>
      </c>
      <c r="D1847" s="1">
        <v>0.38900462962962962</v>
      </c>
      <c r="E1847" s="2">
        <f>CallLog[[#This Row],[Date]]+CallLog[[#This Row],[Time]]</f>
        <v>44229.389004629629</v>
      </c>
      <c r="F1847" s="1" t="str">
        <f>TEXT(CallLog[[#This Row],[Date]],"dddd")</f>
        <v>Tuesday</v>
      </c>
      <c r="G1847" s="3">
        <f>HOUR(CallLog[[#This Row],[Time]])</f>
        <v>9</v>
      </c>
      <c r="H1847" t="s">
        <v>32</v>
      </c>
      <c r="I1847" t="s">
        <v>14</v>
      </c>
      <c r="J1847" t="s">
        <v>14</v>
      </c>
      <c r="K1847">
        <v>13</v>
      </c>
      <c r="L1847" t="str">
        <f>IF(AND(CallLog[[#This Row],[Answered (Y/N)]]="Y", CallLog[[#This Row],[Speed of answer in seconds]]&lt;=20),
    "Within",
    "Breach")</f>
        <v>Within</v>
      </c>
      <c r="M1847" s="1">
        <v>4.3055555555555555E-3</v>
      </c>
      <c r="N1847">
        <v>5</v>
      </c>
    </row>
    <row r="1848" spans="1:14" x14ac:dyDescent="0.3">
      <c r="A1848" t="s">
        <v>1904</v>
      </c>
      <c r="B1848" t="s">
        <v>47</v>
      </c>
      <c r="C1848" t="s">
        <v>1902</v>
      </c>
      <c r="D1848" s="1">
        <v>0.40599537037037037</v>
      </c>
      <c r="E1848" s="2">
        <f>CallLog[[#This Row],[Date]]+CallLog[[#This Row],[Time]]</f>
        <v>44229.405995370369</v>
      </c>
      <c r="F1848" s="1" t="str">
        <f>TEXT(CallLog[[#This Row],[Date]],"dddd")</f>
        <v>Tuesday</v>
      </c>
      <c r="G1848" s="3">
        <f>HOUR(CallLog[[#This Row],[Time]])</f>
        <v>9</v>
      </c>
      <c r="H1848" t="s">
        <v>32</v>
      </c>
      <c r="I1848" t="s">
        <v>14</v>
      </c>
      <c r="J1848" t="s">
        <v>14</v>
      </c>
      <c r="K1848">
        <v>64</v>
      </c>
      <c r="L1848" t="str">
        <f>IF(AND(CallLog[[#This Row],[Answered (Y/N)]]="Y", CallLog[[#This Row],[Speed of answer in seconds]]&lt;=20),
    "Within",
    "Breach")</f>
        <v>Breach</v>
      </c>
      <c r="M1848" s="1">
        <v>1.0185185185185184E-3</v>
      </c>
      <c r="N1848">
        <v>5</v>
      </c>
    </row>
    <row r="1849" spans="1:14" x14ac:dyDescent="0.3">
      <c r="A1849" t="s">
        <v>1905</v>
      </c>
      <c r="B1849" t="s">
        <v>31</v>
      </c>
      <c r="C1849" t="s">
        <v>1902</v>
      </c>
      <c r="D1849" s="1">
        <v>0.40599537037037037</v>
      </c>
      <c r="E1849" s="2">
        <f>CallLog[[#This Row],[Date]]+CallLog[[#This Row],[Time]]</f>
        <v>44229.405995370369</v>
      </c>
      <c r="F1849" s="1" t="str">
        <f>TEXT(CallLog[[#This Row],[Date]],"dddd")</f>
        <v>Tuesday</v>
      </c>
      <c r="G1849" s="3">
        <f>HOUR(CallLog[[#This Row],[Time]])</f>
        <v>9</v>
      </c>
      <c r="H1849" t="s">
        <v>13</v>
      </c>
      <c r="I1849" t="s">
        <v>14</v>
      </c>
      <c r="J1849" t="s">
        <v>14</v>
      </c>
      <c r="K1849">
        <v>39</v>
      </c>
      <c r="L1849" t="str">
        <f>IF(AND(CallLog[[#This Row],[Answered (Y/N)]]="Y", CallLog[[#This Row],[Speed of answer in seconds]]&lt;=20),
    "Within",
    "Breach")</f>
        <v>Breach</v>
      </c>
      <c r="M1849" s="1">
        <v>4.8495370370370368E-3</v>
      </c>
      <c r="N1849">
        <v>4</v>
      </c>
    </row>
    <row r="1850" spans="1:14" x14ac:dyDescent="0.3">
      <c r="A1850" t="s">
        <v>1906</v>
      </c>
      <c r="B1850" t="s">
        <v>34</v>
      </c>
      <c r="C1850" t="s">
        <v>1902</v>
      </c>
      <c r="D1850" s="1">
        <v>0.4129976851851852</v>
      </c>
      <c r="E1850" s="2">
        <f>CallLog[[#This Row],[Date]]+CallLog[[#This Row],[Time]]</f>
        <v>44229.412997685184</v>
      </c>
      <c r="F1850" s="1" t="str">
        <f>TEXT(CallLog[[#This Row],[Date]],"dddd")</f>
        <v>Tuesday</v>
      </c>
      <c r="G1850" s="3">
        <f>HOUR(CallLog[[#This Row],[Time]])</f>
        <v>9</v>
      </c>
      <c r="H1850" t="s">
        <v>29</v>
      </c>
      <c r="I1850" t="s">
        <v>18</v>
      </c>
      <c r="J1850" t="s">
        <v>18</v>
      </c>
      <c r="L1850" t="str">
        <f>IF(AND(CallLog[[#This Row],[Answered (Y/N)]]="Y", CallLog[[#This Row],[Speed of answer in seconds]]&lt;=20),
    "Within",
    "Breach")</f>
        <v>Breach</v>
      </c>
    </row>
    <row r="1851" spans="1:14" x14ac:dyDescent="0.3">
      <c r="A1851" t="s">
        <v>1907</v>
      </c>
      <c r="B1851" t="s">
        <v>20</v>
      </c>
      <c r="C1851" t="s">
        <v>1902</v>
      </c>
      <c r="D1851" s="1">
        <v>0.4129976851851852</v>
      </c>
      <c r="E1851" s="2">
        <f>CallLog[[#This Row],[Date]]+CallLog[[#This Row],[Time]]</f>
        <v>44229.412997685184</v>
      </c>
      <c r="F1851" s="1" t="str">
        <f>TEXT(CallLog[[#This Row],[Date]],"dddd")</f>
        <v>Tuesday</v>
      </c>
      <c r="G1851" s="3">
        <f>HOUR(CallLog[[#This Row],[Time]])</f>
        <v>9</v>
      </c>
      <c r="H1851" t="s">
        <v>13</v>
      </c>
      <c r="I1851" t="s">
        <v>18</v>
      </c>
      <c r="J1851" t="s">
        <v>18</v>
      </c>
      <c r="L1851" t="str">
        <f>IF(AND(CallLog[[#This Row],[Answered (Y/N)]]="Y", CallLog[[#This Row],[Speed of answer in seconds]]&lt;=20),
    "Within",
    "Breach")</f>
        <v>Breach</v>
      </c>
    </row>
    <row r="1852" spans="1:14" x14ac:dyDescent="0.3">
      <c r="A1852" t="s">
        <v>1908</v>
      </c>
      <c r="B1852" t="s">
        <v>38</v>
      </c>
      <c r="C1852" t="s">
        <v>1902</v>
      </c>
      <c r="D1852" s="1">
        <v>0.41499999999999998</v>
      </c>
      <c r="E1852" s="2">
        <f>CallLog[[#This Row],[Date]]+CallLog[[#This Row],[Time]]</f>
        <v>44229.415000000001</v>
      </c>
      <c r="F1852" s="1" t="str">
        <f>TEXT(CallLog[[#This Row],[Date]],"dddd")</f>
        <v>Tuesday</v>
      </c>
      <c r="G1852" s="3">
        <f>HOUR(CallLog[[#This Row],[Time]])</f>
        <v>9</v>
      </c>
      <c r="H1852" t="s">
        <v>32</v>
      </c>
      <c r="I1852" t="s">
        <v>18</v>
      </c>
      <c r="J1852" t="s">
        <v>18</v>
      </c>
      <c r="L1852" t="str">
        <f>IF(AND(CallLog[[#This Row],[Answered (Y/N)]]="Y", CallLog[[#This Row],[Speed of answer in seconds]]&lt;=20),
    "Within",
    "Breach")</f>
        <v>Breach</v>
      </c>
    </row>
    <row r="1853" spans="1:14" x14ac:dyDescent="0.3">
      <c r="A1853" t="s">
        <v>1909</v>
      </c>
      <c r="B1853" t="s">
        <v>20</v>
      </c>
      <c r="C1853" t="s">
        <v>1902</v>
      </c>
      <c r="D1853" s="1">
        <v>0.41499999999999998</v>
      </c>
      <c r="E1853" s="2">
        <f>CallLog[[#This Row],[Date]]+CallLog[[#This Row],[Time]]</f>
        <v>44229.415000000001</v>
      </c>
      <c r="F1853" s="1" t="str">
        <f>TEXT(CallLog[[#This Row],[Date]],"dddd")</f>
        <v>Tuesday</v>
      </c>
      <c r="G1853" s="3">
        <f>HOUR(CallLog[[#This Row],[Time]])</f>
        <v>9</v>
      </c>
      <c r="H1853" t="s">
        <v>32</v>
      </c>
      <c r="I1853" t="s">
        <v>14</v>
      </c>
      <c r="J1853" t="s">
        <v>14</v>
      </c>
      <c r="K1853">
        <v>35</v>
      </c>
      <c r="L1853" t="str">
        <f>IF(AND(CallLog[[#This Row],[Answered (Y/N)]]="Y", CallLog[[#This Row],[Speed of answer in seconds]]&lt;=20),
    "Within",
    "Breach")</f>
        <v>Breach</v>
      </c>
      <c r="M1853" s="1">
        <v>7.291666666666667E-4</v>
      </c>
      <c r="N1853">
        <v>4</v>
      </c>
    </row>
    <row r="1854" spans="1:14" x14ac:dyDescent="0.3">
      <c r="A1854" t="s">
        <v>1910</v>
      </c>
      <c r="B1854" t="s">
        <v>34</v>
      </c>
      <c r="C1854" t="s">
        <v>1902</v>
      </c>
      <c r="D1854" s="1">
        <v>0.44099537037037034</v>
      </c>
      <c r="E1854" s="2">
        <f>CallLog[[#This Row],[Date]]+CallLog[[#This Row],[Time]]</f>
        <v>44229.440995370373</v>
      </c>
      <c r="F1854" s="1" t="str">
        <f>TEXT(CallLog[[#This Row],[Date]],"dddd")</f>
        <v>Tuesday</v>
      </c>
      <c r="G1854" s="3">
        <f>HOUR(CallLog[[#This Row],[Time]])</f>
        <v>10</v>
      </c>
      <c r="H1854" t="s">
        <v>13</v>
      </c>
      <c r="I1854" t="s">
        <v>14</v>
      </c>
      <c r="J1854" t="s">
        <v>18</v>
      </c>
      <c r="K1854">
        <v>105</v>
      </c>
      <c r="L1854" t="str">
        <f>IF(AND(CallLog[[#This Row],[Answered (Y/N)]]="Y", CallLog[[#This Row],[Speed of answer in seconds]]&lt;=20),
    "Within",
    "Breach")</f>
        <v>Breach</v>
      </c>
      <c r="M1854" s="1">
        <v>3.5648148148148149E-3</v>
      </c>
      <c r="N1854">
        <v>4</v>
      </c>
    </row>
    <row r="1855" spans="1:14" x14ac:dyDescent="0.3">
      <c r="A1855" t="s">
        <v>1911</v>
      </c>
      <c r="B1855" t="s">
        <v>20</v>
      </c>
      <c r="C1855" t="s">
        <v>1902</v>
      </c>
      <c r="D1855" s="1">
        <v>0.44099537037037034</v>
      </c>
      <c r="E1855" s="2">
        <f>CallLog[[#This Row],[Date]]+CallLog[[#This Row],[Time]]</f>
        <v>44229.440995370373</v>
      </c>
      <c r="F1855" s="1" t="str">
        <f>TEXT(CallLog[[#This Row],[Date]],"dddd")</f>
        <v>Tuesday</v>
      </c>
      <c r="G1855" s="3">
        <f>HOUR(CallLog[[#This Row],[Time]])</f>
        <v>10</v>
      </c>
      <c r="H1855" t="s">
        <v>29</v>
      </c>
      <c r="I1855" t="s">
        <v>14</v>
      </c>
      <c r="J1855" t="s">
        <v>14</v>
      </c>
      <c r="K1855">
        <v>60</v>
      </c>
      <c r="L1855" t="str">
        <f>IF(AND(CallLog[[#This Row],[Answered (Y/N)]]="Y", CallLog[[#This Row],[Speed of answer in seconds]]&lt;=20),
    "Within",
    "Breach")</f>
        <v>Breach</v>
      </c>
      <c r="M1855" s="1">
        <v>1.0879629629629629E-3</v>
      </c>
      <c r="N1855">
        <v>2</v>
      </c>
    </row>
    <row r="1856" spans="1:14" x14ac:dyDescent="0.3">
      <c r="A1856" t="s">
        <v>1912</v>
      </c>
      <c r="B1856" t="s">
        <v>20</v>
      </c>
      <c r="C1856" t="s">
        <v>1902</v>
      </c>
      <c r="D1856" s="1">
        <v>0.4620023148148148</v>
      </c>
      <c r="E1856" s="2">
        <f>CallLog[[#This Row],[Date]]+CallLog[[#This Row],[Time]]</f>
        <v>44229.462002314816</v>
      </c>
      <c r="F1856" s="1" t="str">
        <f>TEXT(CallLog[[#This Row],[Date]],"dddd")</f>
        <v>Tuesday</v>
      </c>
      <c r="G1856" s="3">
        <f>HOUR(CallLog[[#This Row],[Time]])</f>
        <v>11</v>
      </c>
      <c r="H1856" t="s">
        <v>13</v>
      </c>
      <c r="I1856" t="s">
        <v>14</v>
      </c>
      <c r="J1856" t="s">
        <v>14</v>
      </c>
      <c r="K1856">
        <v>13</v>
      </c>
      <c r="L1856" t="str">
        <f>IF(AND(CallLog[[#This Row],[Answered (Y/N)]]="Y", CallLog[[#This Row],[Speed of answer in seconds]]&lt;=20),
    "Within",
    "Breach")</f>
        <v>Within</v>
      </c>
      <c r="M1856" s="1">
        <v>1.3194444444444445E-3</v>
      </c>
      <c r="N1856">
        <v>1</v>
      </c>
    </row>
    <row r="1857" spans="1:14" x14ac:dyDescent="0.3">
      <c r="A1857" t="s">
        <v>1913</v>
      </c>
      <c r="B1857" t="s">
        <v>16</v>
      </c>
      <c r="C1857" t="s">
        <v>1902</v>
      </c>
      <c r="D1857" s="1">
        <v>0.4620023148148148</v>
      </c>
      <c r="E1857" s="2">
        <f>CallLog[[#This Row],[Date]]+CallLog[[#This Row],[Time]]</f>
        <v>44229.462002314816</v>
      </c>
      <c r="F1857" s="1" t="str">
        <f>TEXT(CallLog[[#This Row],[Date]],"dddd")</f>
        <v>Tuesday</v>
      </c>
      <c r="G1857" s="3">
        <f>HOUR(CallLog[[#This Row],[Time]])</f>
        <v>11</v>
      </c>
      <c r="H1857" t="s">
        <v>17</v>
      </c>
      <c r="I1857" t="s">
        <v>14</v>
      </c>
      <c r="J1857" t="s">
        <v>14</v>
      </c>
      <c r="K1857">
        <v>25</v>
      </c>
      <c r="L1857" t="str">
        <f>IF(AND(CallLog[[#This Row],[Answered (Y/N)]]="Y", CallLog[[#This Row],[Speed of answer in seconds]]&lt;=20),
    "Within",
    "Breach")</f>
        <v>Breach</v>
      </c>
      <c r="M1857" s="1">
        <v>3.449074074074074E-3</v>
      </c>
      <c r="N1857">
        <v>5</v>
      </c>
    </row>
    <row r="1858" spans="1:14" x14ac:dyDescent="0.3">
      <c r="A1858" t="s">
        <v>1914</v>
      </c>
      <c r="B1858" t="s">
        <v>16</v>
      </c>
      <c r="C1858" t="s">
        <v>1902</v>
      </c>
      <c r="D1858" s="1">
        <v>0.47099537037037037</v>
      </c>
      <c r="E1858" s="2">
        <f>CallLog[[#This Row],[Date]]+CallLog[[#This Row],[Time]]</f>
        <v>44229.470995370371</v>
      </c>
      <c r="F1858" s="1" t="str">
        <f>TEXT(CallLog[[#This Row],[Date]],"dddd")</f>
        <v>Tuesday</v>
      </c>
      <c r="G1858" s="3">
        <f>HOUR(CallLog[[#This Row],[Time]])</f>
        <v>11</v>
      </c>
      <c r="H1858" t="s">
        <v>32</v>
      </c>
      <c r="I1858" t="s">
        <v>14</v>
      </c>
      <c r="J1858" t="s">
        <v>14</v>
      </c>
      <c r="K1858">
        <v>102</v>
      </c>
      <c r="L1858" t="str">
        <f>IF(AND(CallLog[[#This Row],[Answered (Y/N)]]="Y", CallLog[[#This Row],[Speed of answer in seconds]]&lt;=20),
    "Within",
    "Breach")</f>
        <v>Breach</v>
      </c>
      <c r="M1858" s="1">
        <v>4.5949074074074078E-3</v>
      </c>
      <c r="N1858">
        <v>4</v>
      </c>
    </row>
    <row r="1859" spans="1:14" x14ac:dyDescent="0.3">
      <c r="A1859" t="s">
        <v>1915</v>
      </c>
      <c r="B1859" t="s">
        <v>31</v>
      </c>
      <c r="C1859" t="s">
        <v>1902</v>
      </c>
      <c r="D1859" s="1">
        <v>0.47099537037037037</v>
      </c>
      <c r="E1859" s="2">
        <f>CallLog[[#This Row],[Date]]+CallLog[[#This Row],[Time]]</f>
        <v>44229.470995370371</v>
      </c>
      <c r="F1859" s="1" t="str">
        <f>TEXT(CallLog[[#This Row],[Date]],"dddd")</f>
        <v>Tuesday</v>
      </c>
      <c r="G1859" s="3">
        <f>HOUR(CallLog[[#This Row],[Time]])</f>
        <v>11</v>
      </c>
      <c r="H1859" t="s">
        <v>13</v>
      </c>
      <c r="I1859" t="s">
        <v>14</v>
      </c>
      <c r="J1859" t="s">
        <v>14</v>
      </c>
      <c r="K1859">
        <v>88</v>
      </c>
      <c r="L1859" t="str">
        <f>IF(AND(CallLog[[#This Row],[Answered (Y/N)]]="Y", CallLog[[#This Row],[Speed of answer in seconds]]&lt;=20),
    "Within",
    "Breach")</f>
        <v>Breach</v>
      </c>
      <c r="M1859" s="1">
        <v>4.2939814814814811E-3</v>
      </c>
      <c r="N1859">
        <v>3</v>
      </c>
    </row>
    <row r="1860" spans="1:14" x14ac:dyDescent="0.3">
      <c r="A1860" t="s">
        <v>1916</v>
      </c>
      <c r="B1860" t="s">
        <v>16</v>
      </c>
      <c r="C1860" t="s">
        <v>1902</v>
      </c>
      <c r="D1860" s="1">
        <v>0.54599537037037038</v>
      </c>
      <c r="E1860" s="2">
        <f>CallLog[[#This Row],[Date]]+CallLog[[#This Row],[Time]]</f>
        <v>44229.545995370368</v>
      </c>
      <c r="F1860" s="1" t="str">
        <f>TEXT(CallLog[[#This Row],[Date]],"dddd")</f>
        <v>Tuesday</v>
      </c>
      <c r="G1860" s="3">
        <f>HOUR(CallLog[[#This Row],[Time]])</f>
        <v>13</v>
      </c>
      <c r="H1860" t="s">
        <v>32</v>
      </c>
      <c r="I1860" t="s">
        <v>14</v>
      </c>
      <c r="J1860" t="s">
        <v>14</v>
      </c>
      <c r="K1860">
        <v>40</v>
      </c>
      <c r="L1860" t="str">
        <f>IF(AND(CallLog[[#This Row],[Answered (Y/N)]]="Y", CallLog[[#This Row],[Speed of answer in seconds]]&lt;=20),
    "Within",
    "Breach")</f>
        <v>Breach</v>
      </c>
      <c r="M1860" s="1">
        <v>1.1805555555555556E-3</v>
      </c>
      <c r="N1860">
        <v>5</v>
      </c>
    </row>
    <row r="1861" spans="1:14" x14ac:dyDescent="0.3">
      <c r="A1861" t="s">
        <v>1917</v>
      </c>
      <c r="B1861" t="s">
        <v>34</v>
      </c>
      <c r="C1861" t="s">
        <v>1902</v>
      </c>
      <c r="D1861" s="1">
        <v>0.54599537037037038</v>
      </c>
      <c r="E1861" s="2">
        <f>CallLog[[#This Row],[Date]]+CallLog[[#This Row],[Time]]</f>
        <v>44229.545995370368</v>
      </c>
      <c r="F1861" s="1" t="str">
        <f>TEXT(CallLog[[#This Row],[Date]],"dddd")</f>
        <v>Tuesday</v>
      </c>
      <c r="G1861" s="3">
        <f>HOUR(CallLog[[#This Row],[Time]])</f>
        <v>13</v>
      </c>
      <c r="H1861" t="s">
        <v>13</v>
      </c>
      <c r="I1861" t="s">
        <v>18</v>
      </c>
      <c r="J1861" t="s">
        <v>18</v>
      </c>
      <c r="L1861" t="str">
        <f>IF(AND(CallLog[[#This Row],[Answered (Y/N)]]="Y", CallLog[[#This Row],[Speed of answer in seconds]]&lt;=20),
    "Within",
    "Breach")</f>
        <v>Breach</v>
      </c>
    </row>
    <row r="1862" spans="1:14" x14ac:dyDescent="0.3">
      <c r="A1862" t="s">
        <v>1918</v>
      </c>
      <c r="B1862" t="s">
        <v>47</v>
      </c>
      <c r="C1862" t="s">
        <v>1902</v>
      </c>
      <c r="D1862" s="1">
        <v>0.55799768518518522</v>
      </c>
      <c r="E1862" s="2">
        <f>CallLog[[#This Row],[Date]]+CallLog[[#This Row],[Time]]</f>
        <v>44229.557997685188</v>
      </c>
      <c r="F1862" s="1" t="str">
        <f>TEXT(CallLog[[#This Row],[Date]],"dddd")</f>
        <v>Tuesday</v>
      </c>
      <c r="G1862" s="3">
        <f>HOUR(CallLog[[#This Row],[Time]])</f>
        <v>13</v>
      </c>
      <c r="H1862" t="s">
        <v>32</v>
      </c>
      <c r="I1862" t="s">
        <v>14</v>
      </c>
      <c r="J1862" t="s">
        <v>14</v>
      </c>
      <c r="K1862">
        <v>75</v>
      </c>
      <c r="L1862" t="str">
        <f>IF(AND(CallLog[[#This Row],[Answered (Y/N)]]="Y", CallLog[[#This Row],[Speed of answer in seconds]]&lt;=20),
    "Within",
    "Breach")</f>
        <v>Breach</v>
      </c>
      <c r="M1862" s="1">
        <v>2.0833333333333333E-3</v>
      </c>
      <c r="N1862">
        <v>5</v>
      </c>
    </row>
    <row r="1863" spans="1:14" x14ac:dyDescent="0.3">
      <c r="A1863" t="s">
        <v>1919</v>
      </c>
      <c r="B1863" t="s">
        <v>20</v>
      </c>
      <c r="C1863" t="s">
        <v>1902</v>
      </c>
      <c r="D1863" s="1">
        <v>0.55799768518518522</v>
      </c>
      <c r="E1863" s="2">
        <f>CallLog[[#This Row],[Date]]+CallLog[[#This Row],[Time]]</f>
        <v>44229.557997685188</v>
      </c>
      <c r="F1863" s="1" t="str">
        <f>TEXT(CallLog[[#This Row],[Date]],"dddd")</f>
        <v>Tuesday</v>
      </c>
      <c r="G1863" s="3">
        <f>HOUR(CallLog[[#This Row],[Time]])</f>
        <v>13</v>
      </c>
      <c r="H1863" t="s">
        <v>24</v>
      </c>
      <c r="I1863" t="s">
        <v>14</v>
      </c>
      <c r="J1863" t="s">
        <v>18</v>
      </c>
      <c r="K1863">
        <v>35</v>
      </c>
      <c r="L1863" t="str">
        <f>IF(AND(CallLog[[#This Row],[Answered (Y/N)]]="Y", CallLog[[#This Row],[Speed of answer in seconds]]&lt;=20),
    "Within",
    "Breach")</f>
        <v>Breach</v>
      </c>
      <c r="M1863" s="1">
        <v>2.2569444444444442E-3</v>
      </c>
      <c r="N1863">
        <v>4</v>
      </c>
    </row>
    <row r="1864" spans="1:14" x14ac:dyDescent="0.3">
      <c r="A1864" t="s">
        <v>1920</v>
      </c>
      <c r="B1864" t="s">
        <v>22</v>
      </c>
      <c r="C1864" t="s">
        <v>1902</v>
      </c>
      <c r="D1864" s="1">
        <v>0.57400462962962961</v>
      </c>
      <c r="E1864" s="2">
        <f>CallLog[[#This Row],[Date]]+CallLog[[#This Row],[Time]]</f>
        <v>44229.574004629627</v>
      </c>
      <c r="F1864" s="1" t="str">
        <f>TEXT(CallLog[[#This Row],[Date]],"dddd")</f>
        <v>Tuesday</v>
      </c>
      <c r="G1864" s="3">
        <f>HOUR(CallLog[[#This Row],[Time]])</f>
        <v>13</v>
      </c>
      <c r="H1864" t="s">
        <v>24</v>
      </c>
      <c r="I1864" t="s">
        <v>18</v>
      </c>
      <c r="J1864" t="s">
        <v>18</v>
      </c>
      <c r="L1864" t="str">
        <f>IF(AND(CallLog[[#This Row],[Answered (Y/N)]]="Y", CallLog[[#This Row],[Speed of answer in seconds]]&lt;=20),
    "Within",
    "Breach")</f>
        <v>Breach</v>
      </c>
    </row>
    <row r="1865" spans="1:14" x14ac:dyDescent="0.3">
      <c r="A1865" t="s">
        <v>1921</v>
      </c>
      <c r="B1865" t="s">
        <v>22</v>
      </c>
      <c r="C1865" t="s">
        <v>1902</v>
      </c>
      <c r="D1865" s="1">
        <v>0.57400462962962961</v>
      </c>
      <c r="E1865" s="2">
        <f>CallLog[[#This Row],[Date]]+CallLog[[#This Row],[Time]]</f>
        <v>44229.574004629627</v>
      </c>
      <c r="F1865" s="1" t="str">
        <f>TEXT(CallLog[[#This Row],[Date]],"dddd")</f>
        <v>Tuesday</v>
      </c>
      <c r="G1865" s="3">
        <f>HOUR(CallLog[[#This Row],[Time]])</f>
        <v>13</v>
      </c>
      <c r="H1865" t="s">
        <v>24</v>
      </c>
      <c r="I1865" t="s">
        <v>14</v>
      </c>
      <c r="J1865" t="s">
        <v>14</v>
      </c>
      <c r="K1865">
        <v>21</v>
      </c>
      <c r="L1865" t="str">
        <f>IF(AND(CallLog[[#This Row],[Answered (Y/N)]]="Y", CallLog[[#This Row],[Speed of answer in seconds]]&lt;=20),
    "Within",
    "Breach")</f>
        <v>Breach</v>
      </c>
      <c r="M1865" s="1">
        <v>1.8981481481481482E-3</v>
      </c>
      <c r="N1865">
        <v>2</v>
      </c>
    </row>
    <row r="1866" spans="1:14" x14ac:dyDescent="0.3">
      <c r="A1866" t="s">
        <v>1922</v>
      </c>
      <c r="B1866" t="s">
        <v>11</v>
      </c>
      <c r="C1866" t="s">
        <v>1902</v>
      </c>
      <c r="D1866" s="1">
        <v>0.57400462962962961</v>
      </c>
      <c r="E1866" s="2">
        <f>CallLog[[#This Row],[Date]]+CallLog[[#This Row],[Time]]</f>
        <v>44229.574004629627</v>
      </c>
      <c r="F1866" s="1" t="str">
        <f>TEXT(CallLog[[#This Row],[Date]],"dddd")</f>
        <v>Tuesday</v>
      </c>
      <c r="G1866" s="3">
        <f>HOUR(CallLog[[#This Row],[Time]])</f>
        <v>13</v>
      </c>
      <c r="H1866" t="s">
        <v>32</v>
      </c>
      <c r="I1866" t="s">
        <v>18</v>
      </c>
      <c r="J1866" t="s">
        <v>18</v>
      </c>
      <c r="L1866" t="str">
        <f>IF(AND(CallLog[[#This Row],[Answered (Y/N)]]="Y", CallLog[[#This Row],[Speed of answer in seconds]]&lt;=20),
    "Within",
    "Breach")</f>
        <v>Breach</v>
      </c>
    </row>
    <row r="1867" spans="1:14" x14ac:dyDescent="0.3">
      <c r="A1867" t="s">
        <v>1923</v>
      </c>
      <c r="B1867" t="s">
        <v>22</v>
      </c>
      <c r="C1867" t="s">
        <v>1902</v>
      </c>
      <c r="D1867" s="1">
        <v>0.57400462962962961</v>
      </c>
      <c r="E1867" s="2">
        <f>CallLog[[#This Row],[Date]]+CallLog[[#This Row],[Time]]</f>
        <v>44229.574004629627</v>
      </c>
      <c r="F1867" s="1" t="str">
        <f>TEXT(CallLog[[#This Row],[Date]],"dddd")</f>
        <v>Tuesday</v>
      </c>
      <c r="G1867" s="3">
        <f>HOUR(CallLog[[#This Row],[Time]])</f>
        <v>13</v>
      </c>
      <c r="H1867" t="s">
        <v>29</v>
      </c>
      <c r="I1867" t="s">
        <v>14</v>
      </c>
      <c r="J1867" t="s">
        <v>14</v>
      </c>
      <c r="K1867">
        <v>49</v>
      </c>
      <c r="L1867" t="str">
        <f>IF(AND(CallLog[[#This Row],[Answered (Y/N)]]="Y", CallLog[[#This Row],[Speed of answer in seconds]]&lt;=20),
    "Within",
    "Breach")</f>
        <v>Breach</v>
      </c>
      <c r="M1867" s="1">
        <v>2.9629629629629628E-3</v>
      </c>
      <c r="N1867">
        <v>3</v>
      </c>
    </row>
    <row r="1868" spans="1:14" x14ac:dyDescent="0.3">
      <c r="A1868" t="s">
        <v>1924</v>
      </c>
      <c r="B1868" t="s">
        <v>34</v>
      </c>
      <c r="C1868" t="s">
        <v>1902</v>
      </c>
      <c r="D1868" s="1">
        <v>0.58400462962962962</v>
      </c>
      <c r="E1868" s="2">
        <f>CallLog[[#This Row],[Date]]+CallLog[[#This Row],[Time]]</f>
        <v>44229.584004629629</v>
      </c>
      <c r="F1868" s="1" t="str">
        <f>TEXT(CallLog[[#This Row],[Date]],"dddd")</f>
        <v>Tuesday</v>
      </c>
      <c r="G1868" s="3">
        <f>HOUR(CallLog[[#This Row],[Time]])</f>
        <v>14</v>
      </c>
      <c r="H1868" t="s">
        <v>29</v>
      </c>
      <c r="I1868" t="s">
        <v>14</v>
      </c>
      <c r="J1868" t="s">
        <v>14</v>
      </c>
      <c r="K1868">
        <v>81</v>
      </c>
      <c r="L1868" t="str">
        <f>IF(AND(CallLog[[#This Row],[Answered (Y/N)]]="Y", CallLog[[#This Row],[Speed of answer in seconds]]&lt;=20),
    "Within",
    "Breach")</f>
        <v>Breach</v>
      </c>
      <c r="M1868" s="1">
        <v>4.1319444444444442E-3</v>
      </c>
      <c r="N1868">
        <v>4</v>
      </c>
    </row>
    <row r="1869" spans="1:14" x14ac:dyDescent="0.3">
      <c r="A1869" t="s">
        <v>1925</v>
      </c>
      <c r="B1869" t="s">
        <v>16</v>
      </c>
      <c r="C1869" t="s">
        <v>1902</v>
      </c>
      <c r="D1869" s="1">
        <v>0.58400462962962962</v>
      </c>
      <c r="E1869" s="2">
        <f>CallLog[[#This Row],[Date]]+CallLog[[#This Row],[Time]]</f>
        <v>44229.584004629629</v>
      </c>
      <c r="F1869" s="1" t="str">
        <f>TEXT(CallLog[[#This Row],[Date]],"dddd")</f>
        <v>Tuesday</v>
      </c>
      <c r="G1869" s="3">
        <f>HOUR(CallLog[[#This Row],[Time]])</f>
        <v>14</v>
      </c>
      <c r="H1869" t="s">
        <v>13</v>
      </c>
      <c r="I1869" t="s">
        <v>14</v>
      </c>
      <c r="J1869" t="s">
        <v>14</v>
      </c>
      <c r="K1869">
        <v>48</v>
      </c>
      <c r="L1869" t="str">
        <f>IF(AND(CallLog[[#This Row],[Answered (Y/N)]]="Y", CallLog[[#This Row],[Speed of answer in seconds]]&lt;=20),
    "Within",
    "Breach")</f>
        <v>Breach</v>
      </c>
      <c r="M1869" s="1">
        <v>9.0277777777777774E-4</v>
      </c>
      <c r="N1869">
        <v>4</v>
      </c>
    </row>
    <row r="1870" spans="1:14" x14ac:dyDescent="0.3">
      <c r="A1870" t="s">
        <v>1926</v>
      </c>
      <c r="B1870" t="s">
        <v>22</v>
      </c>
      <c r="C1870" t="s">
        <v>1902</v>
      </c>
      <c r="D1870" s="1">
        <v>0.64599537037037036</v>
      </c>
      <c r="E1870" s="2">
        <f>CallLog[[#This Row],[Date]]+CallLog[[#This Row],[Time]]</f>
        <v>44229.645995370367</v>
      </c>
      <c r="F1870" s="1" t="str">
        <f>TEXT(CallLog[[#This Row],[Date]],"dddd")</f>
        <v>Tuesday</v>
      </c>
      <c r="G1870" s="3">
        <f>HOUR(CallLog[[#This Row],[Time]])</f>
        <v>15</v>
      </c>
      <c r="H1870" t="s">
        <v>32</v>
      </c>
      <c r="I1870" t="s">
        <v>14</v>
      </c>
      <c r="J1870" t="s">
        <v>14</v>
      </c>
      <c r="K1870">
        <v>103</v>
      </c>
      <c r="L1870" t="str">
        <f>IF(AND(CallLog[[#This Row],[Answered (Y/N)]]="Y", CallLog[[#This Row],[Speed of answer in seconds]]&lt;=20),
    "Within",
    "Breach")</f>
        <v>Breach</v>
      </c>
      <c r="M1870" s="1">
        <v>2.9166666666666668E-3</v>
      </c>
      <c r="N1870">
        <v>5</v>
      </c>
    </row>
    <row r="1871" spans="1:14" x14ac:dyDescent="0.3">
      <c r="A1871" t="s">
        <v>1927</v>
      </c>
      <c r="B1871" t="s">
        <v>20</v>
      </c>
      <c r="C1871" t="s">
        <v>1902</v>
      </c>
      <c r="D1871" s="1">
        <v>0.64599537037037036</v>
      </c>
      <c r="E1871" s="2">
        <f>CallLog[[#This Row],[Date]]+CallLog[[#This Row],[Time]]</f>
        <v>44229.645995370367</v>
      </c>
      <c r="F1871" s="1" t="str">
        <f>TEXT(CallLog[[#This Row],[Date]],"dddd")</f>
        <v>Tuesday</v>
      </c>
      <c r="G1871" s="3">
        <f>HOUR(CallLog[[#This Row],[Time]])</f>
        <v>15</v>
      </c>
      <c r="H1871" t="s">
        <v>24</v>
      </c>
      <c r="I1871" t="s">
        <v>14</v>
      </c>
      <c r="J1871" t="s">
        <v>14</v>
      </c>
      <c r="K1871">
        <v>63</v>
      </c>
      <c r="L1871" t="str">
        <f>IF(AND(CallLog[[#This Row],[Answered (Y/N)]]="Y", CallLog[[#This Row],[Speed of answer in seconds]]&lt;=20),
    "Within",
    "Breach")</f>
        <v>Breach</v>
      </c>
      <c r="M1871" s="1">
        <v>4.4560185185185189E-3</v>
      </c>
      <c r="N1871">
        <v>4</v>
      </c>
    </row>
    <row r="1872" spans="1:14" x14ac:dyDescent="0.3">
      <c r="A1872" t="s">
        <v>1928</v>
      </c>
      <c r="B1872" t="s">
        <v>22</v>
      </c>
      <c r="C1872" t="s">
        <v>1902</v>
      </c>
      <c r="D1872" s="1">
        <v>0.64900462962962968</v>
      </c>
      <c r="E1872" s="2">
        <f>CallLog[[#This Row],[Date]]+CallLog[[#This Row],[Time]]</f>
        <v>44229.649004629631</v>
      </c>
      <c r="F1872" s="1" t="str">
        <f>TEXT(CallLog[[#This Row],[Date]],"dddd")</f>
        <v>Tuesday</v>
      </c>
      <c r="G1872" s="3">
        <f>HOUR(CallLog[[#This Row],[Time]])</f>
        <v>15</v>
      </c>
      <c r="H1872" t="s">
        <v>29</v>
      </c>
      <c r="I1872" t="s">
        <v>14</v>
      </c>
      <c r="J1872" t="s">
        <v>14</v>
      </c>
      <c r="K1872">
        <v>89</v>
      </c>
      <c r="L1872" t="str">
        <f>IF(AND(CallLog[[#This Row],[Answered (Y/N)]]="Y", CallLog[[#This Row],[Speed of answer in seconds]]&lt;=20),
    "Within",
    "Breach")</f>
        <v>Breach</v>
      </c>
      <c r="M1872" s="1">
        <v>3.6226851851851854E-3</v>
      </c>
      <c r="N1872">
        <v>4</v>
      </c>
    </row>
    <row r="1873" spans="1:14" x14ac:dyDescent="0.3">
      <c r="A1873" t="s">
        <v>1929</v>
      </c>
      <c r="B1873" t="s">
        <v>47</v>
      </c>
      <c r="C1873" t="s">
        <v>1902</v>
      </c>
      <c r="D1873" s="1">
        <v>0.64900462962962968</v>
      </c>
      <c r="E1873" s="2">
        <f>CallLog[[#This Row],[Date]]+CallLog[[#This Row],[Time]]</f>
        <v>44229.649004629631</v>
      </c>
      <c r="F1873" s="1" t="str">
        <f>TEXT(CallLog[[#This Row],[Date]],"dddd")</f>
        <v>Tuesday</v>
      </c>
      <c r="G1873" s="3">
        <f>HOUR(CallLog[[#This Row],[Time]])</f>
        <v>15</v>
      </c>
      <c r="H1873" t="s">
        <v>29</v>
      </c>
      <c r="I1873" t="s">
        <v>14</v>
      </c>
      <c r="J1873" t="s">
        <v>14</v>
      </c>
      <c r="K1873">
        <v>115</v>
      </c>
      <c r="L1873" t="str">
        <f>IF(AND(CallLog[[#This Row],[Answered (Y/N)]]="Y", CallLog[[#This Row],[Speed of answer in seconds]]&lt;=20),
    "Within",
    "Breach")</f>
        <v>Breach</v>
      </c>
      <c r="M1873" s="1">
        <v>2.2337962962962962E-3</v>
      </c>
      <c r="N1873">
        <v>4</v>
      </c>
    </row>
    <row r="1874" spans="1:14" x14ac:dyDescent="0.3">
      <c r="A1874" t="s">
        <v>1930</v>
      </c>
      <c r="B1874" t="s">
        <v>20</v>
      </c>
      <c r="C1874" t="s">
        <v>1902</v>
      </c>
      <c r="D1874" s="1">
        <v>0.65900462962962958</v>
      </c>
      <c r="E1874" s="2">
        <f>CallLog[[#This Row],[Date]]+CallLog[[#This Row],[Time]]</f>
        <v>44229.659004629626</v>
      </c>
      <c r="F1874" s="1" t="str">
        <f>TEXT(CallLog[[#This Row],[Date]],"dddd")</f>
        <v>Tuesday</v>
      </c>
      <c r="G1874" s="3">
        <f>HOUR(CallLog[[#This Row],[Time]])</f>
        <v>15</v>
      </c>
      <c r="H1874" t="s">
        <v>32</v>
      </c>
      <c r="I1874" t="s">
        <v>14</v>
      </c>
      <c r="J1874" t="s">
        <v>14</v>
      </c>
      <c r="K1874">
        <v>88</v>
      </c>
      <c r="L1874" t="str">
        <f>IF(AND(CallLog[[#This Row],[Answered (Y/N)]]="Y", CallLog[[#This Row],[Speed of answer in seconds]]&lt;=20),
    "Within",
    "Breach")</f>
        <v>Breach</v>
      </c>
      <c r="M1874" s="1">
        <v>4.1666666666666666E-3</v>
      </c>
      <c r="N1874">
        <v>1</v>
      </c>
    </row>
    <row r="1875" spans="1:14" x14ac:dyDescent="0.3">
      <c r="A1875" t="s">
        <v>1931</v>
      </c>
      <c r="B1875" t="s">
        <v>11</v>
      </c>
      <c r="C1875" t="s">
        <v>1902</v>
      </c>
      <c r="D1875" s="1">
        <v>0.65900462962962958</v>
      </c>
      <c r="E1875" s="2">
        <f>CallLog[[#This Row],[Date]]+CallLog[[#This Row],[Time]]</f>
        <v>44229.659004629626</v>
      </c>
      <c r="F1875" s="1" t="str">
        <f>TEXT(CallLog[[#This Row],[Date]],"dddd")</f>
        <v>Tuesday</v>
      </c>
      <c r="G1875" s="3">
        <f>HOUR(CallLog[[#This Row],[Time]])</f>
        <v>15</v>
      </c>
      <c r="H1875" t="s">
        <v>32</v>
      </c>
      <c r="I1875" t="s">
        <v>14</v>
      </c>
      <c r="J1875" t="s">
        <v>14</v>
      </c>
      <c r="K1875">
        <v>91</v>
      </c>
      <c r="L1875" t="str">
        <f>IF(AND(CallLog[[#This Row],[Answered (Y/N)]]="Y", CallLog[[#This Row],[Speed of answer in seconds]]&lt;=20),
    "Within",
    "Breach")</f>
        <v>Breach</v>
      </c>
      <c r="M1875" s="1">
        <v>4.4560185185185189E-3</v>
      </c>
      <c r="N1875">
        <v>5</v>
      </c>
    </row>
    <row r="1876" spans="1:14" x14ac:dyDescent="0.3">
      <c r="A1876" t="s">
        <v>1932</v>
      </c>
      <c r="B1876" t="s">
        <v>47</v>
      </c>
      <c r="C1876" t="s">
        <v>1902</v>
      </c>
      <c r="D1876" s="1">
        <v>0.69799768518518523</v>
      </c>
      <c r="E1876" s="2">
        <f>CallLog[[#This Row],[Date]]+CallLog[[#This Row],[Time]]</f>
        <v>44229.697997685187</v>
      </c>
      <c r="F1876" s="1" t="str">
        <f>TEXT(CallLog[[#This Row],[Date]],"dddd")</f>
        <v>Tuesday</v>
      </c>
      <c r="G1876" s="3">
        <f>HOUR(CallLog[[#This Row],[Time]])</f>
        <v>16</v>
      </c>
      <c r="H1876" t="s">
        <v>32</v>
      </c>
      <c r="I1876" t="s">
        <v>14</v>
      </c>
      <c r="J1876" t="s">
        <v>14</v>
      </c>
      <c r="K1876">
        <v>78</v>
      </c>
      <c r="L1876" t="str">
        <f>IF(AND(CallLog[[#This Row],[Answered (Y/N)]]="Y", CallLog[[#This Row],[Speed of answer in seconds]]&lt;=20),
    "Within",
    "Breach")</f>
        <v>Breach</v>
      </c>
      <c r="M1876" s="1">
        <v>2.488425925925926E-3</v>
      </c>
      <c r="N1876">
        <v>4</v>
      </c>
    </row>
    <row r="1877" spans="1:14" x14ac:dyDescent="0.3">
      <c r="A1877" t="s">
        <v>1933</v>
      </c>
      <c r="B1877" t="s">
        <v>38</v>
      </c>
      <c r="C1877" t="s">
        <v>1902</v>
      </c>
      <c r="D1877" s="1">
        <v>0.69799768518518523</v>
      </c>
      <c r="E1877" s="2">
        <f>CallLog[[#This Row],[Date]]+CallLog[[#This Row],[Time]]</f>
        <v>44229.697997685187</v>
      </c>
      <c r="F1877" s="1" t="str">
        <f>TEXT(CallLog[[#This Row],[Date]],"dddd")</f>
        <v>Tuesday</v>
      </c>
      <c r="G1877" s="3">
        <f>HOUR(CallLog[[#This Row],[Time]])</f>
        <v>16</v>
      </c>
      <c r="H1877" t="s">
        <v>13</v>
      </c>
      <c r="I1877" t="s">
        <v>14</v>
      </c>
      <c r="J1877" t="s">
        <v>14</v>
      </c>
      <c r="K1877">
        <v>91</v>
      </c>
      <c r="L1877" t="str">
        <f>IF(AND(CallLog[[#This Row],[Answered (Y/N)]]="Y", CallLog[[#This Row],[Speed of answer in seconds]]&lt;=20),
    "Within",
    "Breach")</f>
        <v>Breach</v>
      </c>
      <c r="M1877" s="1">
        <v>1.4930555555555556E-3</v>
      </c>
      <c r="N1877">
        <v>3</v>
      </c>
    </row>
    <row r="1878" spans="1:14" x14ac:dyDescent="0.3">
      <c r="A1878" t="s">
        <v>1934</v>
      </c>
      <c r="B1878" t="s">
        <v>34</v>
      </c>
      <c r="C1878" t="s">
        <v>1902</v>
      </c>
      <c r="D1878" s="1">
        <v>0.70299768518518524</v>
      </c>
      <c r="E1878" s="2">
        <f>CallLog[[#This Row],[Date]]+CallLog[[#This Row],[Time]]</f>
        <v>44229.702997685185</v>
      </c>
      <c r="F1878" s="1" t="str">
        <f>TEXT(CallLog[[#This Row],[Date]],"dddd")</f>
        <v>Tuesday</v>
      </c>
      <c r="G1878" s="3">
        <f>HOUR(CallLog[[#This Row],[Time]])</f>
        <v>16</v>
      </c>
      <c r="H1878" t="s">
        <v>32</v>
      </c>
      <c r="I1878" t="s">
        <v>14</v>
      </c>
      <c r="J1878" t="s">
        <v>14</v>
      </c>
      <c r="K1878">
        <v>102</v>
      </c>
      <c r="L1878" t="str">
        <f>IF(AND(CallLog[[#This Row],[Answered (Y/N)]]="Y", CallLog[[#This Row],[Speed of answer in seconds]]&lt;=20),
    "Within",
    "Breach")</f>
        <v>Breach</v>
      </c>
      <c r="M1878" s="1">
        <v>1.8518518518518519E-3</v>
      </c>
      <c r="N1878">
        <v>3</v>
      </c>
    </row>
    <row r="1879" spans="1:14" x14ac:dyDescent="0.3">
      <c r="A1879" t="s">
        <v>1935</v>
      </c>
      <c r="B1879" t="s">
        <v>38</v>
      </c>
      <c r="C1879" t="s">
        <v>1902</v>
      </c>
      <c r="D1879" s="1">
        <v>0.70299768518518524</v>
      </c>
      <c r="E1879" s="2">
        <f>CallLog[[#This Row],[Date]]+CallLog[[#This Row],[Time]]</f>
        <v>44229.702997685185</v>
      </c>
      <c r="F1879" s="1" t="str">
        <f>TEXT(CallLog[[#This Row],[Date]],"dddd")</f>
        <v>Tuesday</v>
      </c>
      <c r="G1879" s="3">
        <f>HOUR(CallLog[[#This Row],[Time]])</f>
        <v>16</v>
      </c>
      <c r="H1879" t="s">
        <v>17</v>
      </c>
      <c r="I1879" t="s">
        <v>18</v>
      </c>
      <c r="J1879" t="s">
        <v>18</v>
      </c>
      <c r="L1879" t="str">
        <f>IF(AND(CallLog[[#This Row],[Answered (Y/N)]]="Y", CallLog[[#This Row],[Speed of answer in seconds]]&lt;=20),
    "Within",
    "Breach")</f>
        <v>Breach</v>
      </c>
    </row>
    <row r="1880" spans="1:14" x14ac:dyDescent="0.3">
      <c r="A1880" t="s">
        <v>1936</v>
      </c>
      <c r="B1880" t="s">
        <v>22</v>
      </c>
      <c r="C1880" t="s">
        <v>1902</v>
      </c>
      <c r="D1880" s="1">
        <v>0.71599537037037042</v>
      </c>
      <c r="E1880" s="2">
        <f>CallLog[[#This Row],[Date]]+CallLog[[#This Row],[Time]]</f>
        <v>44229.715995370374</v>
      </c>
      <c r="F1880" s="1" t="str">
        <f>TEXT(CallLog[[#This Row],[Date]],"dddd")</f>
        <v>Tuesday</v>
      </c>
      <c r="G1880" s="3">
        <f>HOUR(CallLog[[#This Row],[Time]])</f>
        <v>17</v>
      </c>
      <c r="H1880" t="s">
        <v>32</v>
      </c>
      <c r="I1880" t="s">
        <v>14</v>
      </c>
      <c r="J1880" t="s">
        <v>14</v>
      </c>
      <c r="K1880">
        <v>24</v>
      </c>
      <c r="L1880" t="str">
        <f>IF(AND(CallLog[[#This Row],[Answered (Y/N)]]="Y", CallLog[[#This Row],[Speed of answer in seconds]]&lt;=20),
    "Within",
    "Breach")</f>
        <v>Breach</v>
      </c>
      <c r="M1880" s="1">
        <v>1.8518518518518519E-3</v>
      </c>
      <c r="N1880">
        <v>4</v>
      </c>
    </row>
    <row r="1881" spans="1:14" x14ac:dyDescent="0.3">
      <c r="A1881" t="s">
        <v>1937</v>
      </c>
      <c r="B1881" t="s">
        <v>20</v>
      </c>
      <c r="C1881" t="s">
        <v>1902</v>
      </c>
      <c r="D1881" s="1">
        <v>0.71599537037037042</v>
      </c>
      <c r="E1881" s="2">
        <f>CallLog[[#This Row],[Date]]+CallLog[[#This Row],[Time]]</f>
        <v>44229.715995370374</v>
      </c>
      <c r="F1881" s="1" t="str">
        <f>TEXT(CallLog[[#This Row],[Date]],"dddd")</f>
        <v>Tuesday</v>
      </c>
      <c r="G1881" s="3">
        <f>HOUR(CallLog[[#This Row],[Time]])</f>
        <v>17</v>
      </c>
      <c r="H1881" t="s">
        <v>24</v>
      </c>
      <c r="I1881" t="s">
        <v>18</v>
      </c>
      <c r="J1881" t="s">
        <v>18</v>
      </c>
      <c r="L1881" t="str">
        <f>IF(AND(CallLog[[#This Row],[Answered (Y/N)]]="Y", CallLog[[#This Row],[Speed of answer in seconds]]&lt;=20),
    "Within",
    "Breach")</f>
        <v>Breach</v>
      </c>
    </row>
    <row r="1882" spans="1:14" x14ac:dyDescent="0.3">
      <c r="A1882" t="s">
        <v>1938</v>
      </c>
      <c r="B1882" t="s">
        <v>34</v>
      </c>
      <c r="C1882" t="s">
        <v>1939</v>
      </c>
      <c r="D1882" s="1">
        <v>0.39299768518518519</v>
      </c>
      <c r="E1882" s="2">
        <f>CallLog[[#This Row],[Date]]+CallLog[[#This Row],[Time]]</f>
        <v>44230.392997685187</v>
      </c>
      <c r="F1882" s="1" t="str">
        <f>TEXT(CallLog[[#This Row],[Date]],"dddd")</f>
        <v>Wednesday</v>
      </c>
      <c r="G1882" s="3">
        <f>HOUR(CallLog[[#This Row],[Time]])</f>
        <v>9</v>
      </c>
      <c r="H1882" t="s">
        <v>17</v>
      </c>
      <c r="I1882" t="s">
        <v>14</v>
      </c>
      <c r="J1882" t="s">
        <v>14</v>
      </c>
      <c r="K1882">
        <v>19</v>
      </c>
      <c r="L1882" t="str">
        <f>IF(AND(CallLog[[#This Row],[Answered (Y/N)]]="Y", CallLog[[#This Row],[Speed of answer in seconds]]&lt;=20),
    "Within",
    "Breach")</f>
        <v>Within</v>
      </c>
      <c r="M1882" s="1">
        <v>1.2731481481481483E-3</v>
      </c>
      <c r="N1882">
        <v>1</v>
      </c>
    </row>
    <row r="1883" spans="1:14" x14ac:dyDescent="0.3">
      <c r="A1883" t="s">
        <v>1940</v>
      </c>
      <c r="B1883" t="s">
        <v>31</v>
      </c>
      <c r="C1883" t="s">
        <v>1939</v>
      </c>
      <c r="D1883" s="1">
        <v>0.39299768518518519</v>
      </c>
      <c r="E1883" s="2">
        <f>CallLog[[#This Row],[Date]]+CallLog[[#This Row],[Time]]</f>
        <v>44230.392997685187</v>
      </c>
      <c r="F1883" s="1" t="str">
        <f>TEXT(CallLog[[#This Row],[Date]],"dddd")</f>
        <v>Wednesday</v>
      </c>
      <c r="G1883" s="3">
        <f>HOUR(CallLog[[#This Row],[Time]])</f>
        <v>9</v>
      </c>
      <c r="H1883" t="s">
        <v>32</v>
      </c>
      <c r="I1883" t="s">
        <v>14</v>
      </c>
      <c r="J1883" t="s">
        <v>14</v>
      </c>
      <c r="K1883">
        <v>47</v>
      </c>
      <c r="L1883" t="str">
        <f>IF(AND(CallLog[[#This Row],[Answered (Y/N)]]="Y", CallLog[[#This Row],[Speed of answer in seconds]]&lt;=20),
    "Within",
    "Breach")</f>
        <v>Breach</v>
      </c>
      <c r="M1883" s="1">
        <v>6.134259259259259E-4</v>
      </c>
      <c r="N1883">
        <v>4</v>
      </c>
    </row>
    <row r="1884" spans="1:14" x14ac:dyDescent="0.3">
      <c r="A1884" t="s">
        <v>1941</v>
      </c>
      <c r="B1884" t="s">
        <v>22</v>
      </c>
      <c r="C1884" t="s">
        <v>1939</v>
      </c>
      <c r="D1884" s="1">
        <v>0.39500000000000002</v>
      </c>
      <c r="E1884" s="2">
        <f>CallLog[[#This Row],[Date]]+CallLog[[#This Row],[Time]]</f>
        <v>44230.394999999997</v>
      </c>
      <c r="F1884" s="1" t="str">
        <f>TEXT(CallLog[[#This Row],[Date]],"dddd")</f>
        <v>Wednesday</v>
      </c>
      <c r="G1884" s="3">
        <f>HOUR(CallLog[[#This Row],[Time]])</f>
        <v>9</v>
      </c>
      <c r="H1884" t="s">
        <v>29</v>
      </c>
      <c r="I1884" t="s">
        <v>14</v>
      </c>
      <c r="J1884" t="s">
        <v>14</v>
      </c>
      <c r="K1884">
        <v>61</v>
      </c>
      <c r="L1884" t="str">
        <f>IF(AND(CallLog[[#This Row],[Answered (Y/N)]]="Y", CallLog[[#This Row],[Speed of answer in seconds]]&lt;=20),
    "Within",
    "Breach")</f>
        <v>Breach</v>
      </c>
      <c r="M1884" s="1">
        <v>2.3495370370370371E-3</v>
      </c>
      <c r="N1884">
        <v>4</v>
      </c>
    </row>
    <row r="1885" spans="1:14" x14ac:dyDescent="0.3">
      <c r="A1885" t="s">
        <v>1942</v>
      </c>
      <c r="B1885" t="s">
        <v>22</v>
      </c>
      <c r="C1885" t="s">
        <v>1939</v>
      </c>
      <c r="D1885" s="1">
        <v>0.39500000000000002</v>
      </c>
      <c r="E1885" s="2">
        <f>CallLog[[#This Row],[Date]]+CallLog[[#This Row],[Time]]</f>
        <v>44230.394999999997</v>
      </c>
      <c r="F1885" s="1" t="str">
        <f>TEXT(CallLog[[#This Row],[Date]],"dddd")</f>
        <v>Wednesday</v>
      </c>
      <c r="G1885" s="3">
        <f>HOUR(CallLog[[#This Row],[Time]])</f>
        <v>9</v>
      </c>
      <c r="H1885" t="s">
        <v>29</v>
      </c>
      <c r="I1885" t="s">
        <v>14</v>
      </c>
      <c r="J1885" t="s">
        <v>14</v>
      </c>
      <c r="K1885">
        <v>73</v>
      </c>
      <c r="L1885" t="str">
        <f>IF(AND(CallLog[[#This Row],[Answered (Y/N)]]="Y", CallLog[[#This Row],[Speed of answer in seconds]]&lt;=20),
    "Within",
    "Breach")</f>
        <v>Breach</v>
      </c>
      <c r="M1885" s="1">
        <v>3.8657407407407408E-3</v>
      </c>
      <c r="N1885">
        <v>5</v>
      </c>
    </row>
    <row r="1886" spans="1:14" x14ac:dyDescent="0.3">
      <c r="A1886" t="s">
        <v>1943</v>
      </c>
      <c r="B1886" t="s">
        <v>20</v>
      </c>
      <c r="C1886" t="s">
        <v>1939</v>
      </c>
      <c r="D1886" s="1">
        <v>0.4</v>
      </c>
      <c r="E1886" s="2">
        <f>CallLog[[#This Row],[Date]]+CallLog[[#This Row],[Time]]</f>
        <v>44230.400000000001</v>
      </c>
      <c r="F1886" s="1" t="str">
        <f>TEXT(CallLog[[#This Row],[Date]],"dddd")</f>
        <v>Wednesday</v>
      </c>
      <c r="G1886" s="3">
        <f>HOUR(CallLog[[#This Row],[Time]])</f>
        <v>9</v>
      </c>
      <c r="H1886" t="s">
        <v>17</v>
      </c>
      <c r="I1886" t="s">
        <v>14</v>
      </c>
      <c r="J1886" t="s">
        <v>14</v>
      </c>
      <c r="K1886">
        <v>67</v>
      </c>
      <c r="L1886" t="str">
        <f>IF(AND(CallLog[[#This Row],[Answered (Y/N)]]="Y", CallLog[[#This Row],[Speed of answer in seconds]]&lt;=20),
    "Within",
    "Breach")</f>
        <v>Breach</v>
      </c>
      <c r="M1886" s="1">
        <v>3.6689814814814814E-3</v>
      </c>
      <c r="N1886">
        <v>5</v>
      </c>
    </row>
    <row r="1887" spans="1:14" x14ac:dyDescent="0.3">
      <c r="A1887" t="s">
        <v>1944</v>
      </c>
      <c r="B1887" t="s">
        <v>22</v>
      </c>
      <c r="C1887" t="s">
        <v>1939</v>
      </c>
      <c r="D1887" s="1">
        <v>0.4</v>
      </c>
      <c r="E1887" s="2">
        <f>CallLog[[#This Row],[Date]]+CallLog[[#This Row],[Time]]</f>
        <v>44230.400000000001</v>
      </c>
      <c r="F1887" s="1" t="str">
        <f>TEXT(CallLog[[#This Row],[Date]],"dddd")</f>
        <v>Wednesday</v>
      </c>
      <c r="G1887" s="3">
        <f>HOUR(CallLog[[#This Row],[Time]])</f>
        <v>9</v>
      </c>
      <c r="H1887" t="s">
        <v>32</v>
      </c>
      <c r="I1887" t="s">
        <v>14</v>
      </c>
      <c r="J1887" t="s">
        <v>14</v>
      </c>
      <c r="K1887">
        <v>22</v>
      </c>
      <c r="L1887" t="str">
        <f>IF(AND(CallLog[[#This Row],[Answered (Y/N)]]="Y", CallLog[[#This Row],[Speed of answer in seconds]]&lt;=20),
    "Within",
    "Breach")</f>
        <v>Breach</v>
      </c>
      <c r="M1887" s="1">
        <v>4.6064814814814814E-3</v>
      </c>
      <c r="N1887">
        <v>1</v>
      </c>
    </row>
    <row r="1888" spans="1:14" x14ac:dyDescent="0.3">
      <c r="A1888" t="s">
        <v>1945</v>
      </c>
      <c r="B1888" t="s">
        <v>16</v>
      </c>
      <c r="C1888" t="s">
        <v>1939</v>
      </c>
      <c r="D1888" s="1">
        <v>0.40400462962962963</v>
      </c>
      <c r="E1888" s="2">
        <f>CallLog[[#This Row],[Date]]+CallLog[[#This Row],[Time]]</f>
        <v>44230.404004629629</v>
      </c>
      <c r="F1888" s="1" t="str">
        <f>TEXT(CallLog[[#This Row],[Date]],"dddd")</f>
        <v>Wednesday</v>
      </c>
      <c r="G1888" s="3">
        <f>HOUR(CallLog[[#This Row],[Time]])</f>
        <v>9</v>
      </c>
      <c r="H1888" t="s">
        <v>13</v>
      </c>
      <c r="I1888" t="s">
        <v>14</v>
      </c>
      <c r="J1888" t="s">
        <v>14</v>
      </c>
      <c r="K1888">
        <v>86</v>
      </c>
      <c r="L1888" t="str">
        <f>IF(AND(CallLog[[#This Row],[Answered (Y/N)]]="Y", CallLog[[#This Row],[Speed of answer in seconds]]&lt;=20),
    "Within",
    "Breach")</f>
        <v>Breach</v>
      </c>
      <c r="M1888" s="1">
        <v>5.0925925925925921E-4</v>
      </c>
      <c r="N1888">
        <v>5</v>
      </c>
    </row>
    <row r="1889" spans="1:14" x14ac:dyDescent="0.3">
      <c r="A1889" t="s">
        <v>1946</v>
      </c>
      <c r="B1889" t="s">
        <v>11</v>
      </c>
      <c r="C1889" t="s">
        <v>1939</v>
      </c>
      <c r="D1889" s="1">
        <v>0.40400462962962963</v>
      </c>
      <c r="E1889" s="2">
        <f>CallLog[[#This Row],[Date]]+CallLog[[#This Row],[Time]]</f>
        <v>44230.404004629629</v>
      </c>
      <c r="F1889" s="1" t="str">
        <f>TEXT(CallLog[[#This Row],[Date]],"dddd")</f>
        <v>Wednesday</v>
      </c>
      <c r="G1889" s="3">
        <f>HOUR(CallLog[[#This Row],[Time]])</f>
        <v>9</v>
      </c>
      <c r="H1889" t="s">
        <v>32</v>
      </c>
      <c r="I1889" t="s">
        <v>18</v>
      </c>
      <c r="J1889" t="s">
        <v>18</v>
      </c>
      <c r="L1889" t="str">
        <f>IF(AND(CallLog[[#This Row],[Answered (Y/N)]]="Y", CallLog[[#This Row],[Speed of answer in seconds]]&lt;=20),
    "Within",
    "Breach")</f>
        <v>Breach</v>
      </c>
    </row>
    <row r="1890" spans="1:14" x14ac:dyDescent="0.3">
      <c r="A1890" t="s">
        <v>1947</v>
      </c>
      <c r="B1890" t="s">
        <v>22</v>
      </c>
      <c r="C1890" t="s">
        <v>1939</v>
      </c>
      <c r="D1890" s="1">
        <v>0.40900462962962963</v>
      </c>
      <c r="E1890" s="2">
        <f>CallLog[[#This Row],[Date]]+CallLog[[#This Row],[Time]]</f>
        <v>44230.409004629626</v>
      </c>
      <c r="F1890" s="1" t="str">
        <f>TEXT(CallLog[[#This Row],[Date]],"dddd")</f>
        <v>Wednesday</v>
      </c>
      <c r="G1890" s="3">
        <f>HOUR(CallLog[[#This Row],[Time]])</f>
        <v>9</v>
      </c>
      <c r="H1890" t="s">
        <v>32</v>
      </c>
      <c r="I1890" t="s">
        <v>18</v>
      </c>
      <c r="J1890" t="s">
        <v>18</v>
      </c>
      <c r="L1890" t="str">
        <f>IF(AND(CallLog[[#This Row],[Answered (Y/N)]]="Y", CallLog[[#This Row],[Speed of answer in seconds]]&lt;=20),
    "Within",
    "Breach")</f>
        <v>Breach</v>
      </c>
    </row>
    <row r="1891" spans="1:14" x14ac:dyDescent="0.3">
      <c r="A1891" t="s">
        <v>1948</v>
      </c>
      <c r="B1891" t="s">
        <v>11</v>
      </c>
      <c r="C1891" t="s">
        <v>1939</v>
      </c>
      <c r="D1891" s="1">
        <v>0.40900462962962963</v>
      </c>
      <c r="E1891" s="2">
        <f>CallLog[[#This Row],[Date]]+CallLog[[#This Row],[Time]]</f>
        <v>44230.409004629626</v>
      </c>
      <c r="F1891" s="1" t="str">
        <f>TEXT(CallLog[[#This Row],[Date]],"dddd")</f>
        <v>Wednesday</v>
      </c>
      <c r="G1891" s="3">
        <f>HOUR(CallLog[[#This Row],[Time]])</f>
        <v>9</v>
      </c>
      <c r="H1891" t="s">
        <v>13</v>
      </c>
      <c r="I1891" t="s">
        <v>18</v>
      </c>
      <c r="J1891" t="s">
        <v>18</v>
      </c>
      <c r="L1891" t="str">
        <f>IF(AND(CallLog[[#This Row],[Answered (Y/N)]]="Y", CallLog[[#This Row],[Speed of answer in seconds]]&lt;=20),
    "Within",
    "Breach")</f>
        <v>Breach</v>
      </c>
    </row>
    <row r="1892" spans="1:14" x14ac:dyDescent="0.3">
      <c r="A1892" t="s">
        <v>1949</v>
      </c>
      <c r="B1892" t="s">
        <v>47</v>
      </c>
      <c r="C1892" t="s">
        <v>1939</v>
      </c>
      <c r="D1892" s="1">
        <v>0.42299768518518521</v>
      </c>
      <c r="E1892" s="2">
        <f>CallLog[[#This Row],[Date]]+CallLog[[#This Row],[Time]]</f>
        <v>44230.422997685186</v>
      </c>
      <c r="F1892" s="1" t="str">
        <f>TEXT(CallLog[[#This Row],[Date]],"dddd")</f>
        <v>Wednesday</v>
      </c>
      <c r="G1892" s="3">
        <f>HOUR(CallLog[[#This Row],[Time]])</f>
        <v>10</v>
      </c>
      <c r="H1892" t="s">
        <v>32</v>
      </c>
      <c r="I1892" t="s">
        <v>18</v>
      </c>
      <c r="J1892" t="s">
        <v>18</v>
      </c>
      <c r="L1892" t="str">
        <f>IF(AND(CallLog[[#This Row],[Answered (Y/N)]]="Y", CallLog[[#This Row],[Speed of answer in seconds]]&lt;=20),
    "Within",
    "Breach")</f>
        <v>Breach</v>
      </c>
    </row>
    <row r="1893" spans="1:14" x14ac:dyDescent="0.3">
      <c r="A1893" t="s">
        <v>1950</v>
      </c>
      <c r="B1893" t="s">
        <v>31</v>
      </c>
      <c r="C1893" t="s">
        <v>1939</v>
      </c>
      <c r="D1893" s="1">
        <v>0.42299768518518521</v>
      </c>
      <c r="E1893" s="2">
        <f>CallLog[[#This Row],[Date]]+CallLog[[#This Row],[Time]]</f>
        <v>44230.422997685186</v>
      </c>
      <c r="F1893" s="1" t="str">
        <f>TEXT(CallLog[[#This Row],[Date]],"dddd")</f>
        <v>Wednesday</v>
      </c>
      <c r="G1893" s="3">
        <f>HOUR(CallLog[[#This Row],[Time]])</f>
        <v>10</v>
      </c>
      <c r="H1893" t="s">
        <v>29</v>
      </c>
      <c r="I1893" t="s">
        <v>14</v>
      </c>
      <c r="J1893" t="s">
        <v>14</v>
      </c>
      <c r="K1893">
        <v>46</v>
      </c>
      <c r="L1893" t="str">
        <f>IF(AND(CallLog[[#This Row],[Answered (Y/N)]]="Y", CallLog[[#This Row],[Speed of answer in seconds]]&lt;=20),
    "Within",
    "Breach")</f>
        <v>Breach</v>
      </c>
      <c r="M1893" s="1">
        <v>2.5925925925925925E-3</v>
      </c>
      <c r="N1893">
        <v>4</v>
      </c>
    </row>
    <row r="1894" spans="1:14" x14ac:dyDescent="0.3">
      <c r="A1894" t="s">
        <v>1951</v>
      </c>
      <c r="B1894" t="s">
        <v>22</v>
      </c>
      <c r="C1894" t="s">
        <v>1939</v>
      </c>
      <c r="D1894" s="1">
        <v>0.42799768518518516</v>
      </c>
      <c r="E1894" s="2">
        <f>CallLog[[#This Row],[Date]]+CallLog[[#This Row],[Time]]</f>
        <v>44230.427997685183</v>
      </c>
      <c r="F1894" s="1" t="str">
        <f>TEXT(CallLog[[#This Row],[Date]],"dddd")</f>
        <v>Wednesday</v>
      </c>
      <c r="G1894" s="3">
        <f>HOUR(CallLog[[#This Row],[Time]])</f>
        <v>10</v>
      </c>
      <c r="H1894" t="s">
        <v>13</v>
      </c>
      <c r="I1894" t="s">
        <v>14</v>
      </c>
      <c r="J1894" t="s">
        <v>14</v>
      </c>
      <c r="K1894">
        <v>81</v>
      </c>
      <c r="L1894" t="str">
        <f>IF(AND(CallLog[[#This Row],[Answered (Y/N)]]="Y", CallLog[[#This Row],[Speed of answer in seconds]]&lt;=20),
    "Within",
    "Breach")</f>
        <v>Breach</v>
      </c>
      <c r="M1894" s="1">
        <v>1.3541666666666667E-3</v>
      </c>
      <c r="N1894">
        <v>4</v>
      </c>
    </row>
    <row r="1895" spans="1:14" x14ac:dyDescent="0.3">
      <c r="A1895" t="s">
        <v>1952</v>
      </c>
      <c r="B1895" t="s">
        <v>34</v>
      </c>
      <c r="C1895" t="s">
        <v>1939</v>
      </c>
      <c r="D1895" s="1">
        <v>0.42799768518518516</v>
      </c>
      <c r="E1895" s="2">
        <f>CallLog[[#This Row],[Date]]+CallLog[[#This Row],[Time]]</f>
        <v>44230.427997685183</v>
      </c>
      <c r="F1895" s="1" t="str">
        <f>TEXT(CallLog[[#This Row],[Date]],"dddd")</f>
        <v>Wednesday</v>
      </c>
      <c r="G1895" s="3">
        <f>HOUR(CallLog[[#This Row],[Time]])</f>
        <v>10</v>
      </c>
      <c r="H1895" t="s">
        <v>29</v>
      </c>
      <c r="I1895" t="s">
        <v>14</v>
      </c>
      <c r="J1895" t="s">
        <v>14</v>
      </c>
      <c r="K1895">
        <v>20</v>
      </c>
      <c r="L1895" t="str">
        <f>IF(AND(CallLog[[#This Row],[Answered (Y/N)]]="Y", CallLog[[#This Row],[Speed of answer in seconds]]&lt;=20),
    "Within",
    "Breach")</f>
        <v>Within</v>
      </c>
      <c r="M1895" s="1">
        <v>1.8171296296296297E-3</v>
      </c>
      <c r="N1895">
        <v>3</v>
      </c>
    </row>
    <row r="1896" spans="1:14" x14ac:dyDescent="0.3">
      <c r="A1896" t="s">
        <v>1953</v>
      </c>
      <c r="B1896" t="s">
        <v>11</v>
      </c>
      <c r="C1896" t="s">
        <v>1939</v>
      </c>
      <c r="D1896" s="1">
        <v>0.43099537037037039</v>
      </c>
      <c r="E1896" s="2">
        <f>CallLog[[#This Row],[Date]]+CallLog[[#This Row],[Time]]</f>
        <v>44230.430995370371</v>
      </c>
      <c r="F1896" s="1" t="str">
        <f>TEXT(CallLog[[#This Row],[Date]],"dddd")</f>
        <v>Wednesday</v>
      </c>
      <c r="G1896" s="3">
        <f>HOUR(CallLog[[#This Row],[Time]])</f>
        <v>10</v>
      </c>
      <c r="H1896" t="s">
        <v>32</v>
      </c>
      <c r="I1896" t="s">
        <v>14</v>
      </c>
      <c r="J1896" t="s">
        <v>14</v>
      </c>
      <c r="K1896">
        <v>85</v>
      </c>
      <c r="L1896" t="str">
        <f>IF(AND(CallLog[[#This Row],[Answered (Y/N)]]="Y", CallLog[[#This Row],[Speed of answer in seconds]]&lt;=20),
    "Within",
    "Breach")</f>
        <v>Breach</v>
      </c>
      <c r="M1896" s="1">
        <v>4.2939814814814811E-3</v>
      </c>
      <c r="N1896">
        <v>1</v>
      </c>
    </row>
    <row r="1897" spans="1:14" x14ac:dyDescent="0.3">
      <c r="A1897" t="s">
        <v>1954</v>
      </c>
      <c r="B1897" t="s">
        <v>47</v>
      </c>
      <c r="C1897" t="s">
        <v>1939</v>
      </c>
      <c r="D1897" s="1">
        <v>0.43099537037037039</v>
      </c>
      <c r="E1897" s="2">
        <f>CallLog[[#This Row],[Date]]+CallLog[[#This Row],[Time]]</f>
        <v>44230.430995370371</v>
      </c>
      <c r="F1897" s="1" t="str">
        <f>TEXT(CallLog[[#This Row],[Date]],"dddd")</f>
        <v>Wednesday</v>
      </c>
      <c r="G1897" s="3">
        <f>HOUR(CallLog[[#This Row],[Time]])</f>
        <v>10</v>
      </c>
      <c r="H1897" t="s">
        <v>32</v>
      </c>
      <c r="I1897" t="s">
        <v>14</v>
      </c>
      <c r="J1897" t="s">
        <v>14</v>
      </c>
      <c r="K1897">
        <v>91</v>
      </c>
      <c r="L1897" t="str">
        <f>IF(AND(CallLog[[#This Row],[Answered (Y/N)]]="Y", CallLog[[#This Row],[Speed of answer in seconds]]&lt;=20),
    "Within",
    "Breach")</f>
        <v>Breach</v>
      </c>
      <c r="M1897" s="1">
        <v>2.9050925925925928E-3</v>
      </c>
      <c r="N1897">
        <v>4</v>
      </c>
    </row>
    <row r="1898" spans="1:14" x14ac:dyDescent="0.3">
      <c r="A1898" t="s">
        <v>1955</v>
      </c>
      <c r="B1898" t="s">
        <v>47</v>
      </c>
      <c r="C1898" t="s">
        <v>1939</v>
      </c>
      <c r="D1898" s="1">
        <v>0.44799768518518518</v>
      </c>
      <c r="E1898" s="2">
        <f>CallLog[[#This Row],[Date]]+CallLog[[#This Row],[Time]]</f>
        <v>44230.447997685187</v>
      </c>
      <c r="F1898" s="1" t="str">
        <f>TEXT(CallLog[[#This Row],[Date]],"dddd")</f>
        <v>Wednesday</v>
      </c>
      <c r="G1898" s="3">
        <f>HOUR(CallLog[[#This Row],[Time]])</f>
        <v>10</v>
      </c>
      <c r="H1898" t="s">
        <v>13</v>
      </c>
      <c r="I1898" t="s">
        <v>18</v>
      </c>
      <c r="J1898" t="s">
        <v>18</v>
      </c>
      <c r="L1898" t="str">
        <f>IF(AND(CallLog[[#This Row],[Answered (Y/N)]]="Y", CallLog[[#This Row],[Speed of answer in seconds]]&lt;=20),
    "Within",
    "Breach")</f>
        <v>Breach</v>
      </c>
    </row>
    <row r="1899" spans="1:14" x14ac:dyDescent="0.3">
      <c r="A1899" t="s">
        <v>1956</v>
      </c>
      <c r="B1899" t="s">
        <v>11</v>
      </c>
      <c r="C1899" t="s">
        <v>1939</v>
      </c>
      <c r="D1899" s="1">
        <v>0.44799768518518518</v>
      </c>
      <c r="E1899" s="2">
        <f>CallLog[[#This Row],[Date]]+CallLog[[#This Row],[Time]]</f>
        <v>44230.447997685187</v>
      </c>
      <c r="F1899" s="1" t="str">
        <f>TEXT(CallLog[[#This Row],[Date]],"dddd")</f>
        <v>Wednesday</v>
      </c>
      <c r="G1899" s="3">
        <f>HOUR(CallLog[[#This Row],[Time]])</f>
        <v>10</v>
      </c>
      <c r="H1899" t="s">
        <v>24</v>
      </c>
      <c r="I1899" t="s">
        <v>14</v>
      </c>
      <c r="J1899" t="s">
        <v>14</v>
      </c>
      <c r="K1899">
        <v>87</v>
      </c>
      <c r="L1899" t="str">
        <f>IF(AND(CallLog[[#This Row],[Answered (Y/N)]]="Y", CallLog[[#This Row],[Speed of answer in seconds]]&lt;=20),
    "Within",
    "Breach")</f>
        <v>Breach</v>
      </c>
      <c r="M1899" s="1">
        <v>2.9282407407407408E-3</v>
      </c>
      <c r="N1899">
        <v>4</v>
      </c>
    </row>
    <row r="1900" spans="1:14" x14ac:dyDescent="0.3">
      <c r="A1900" t="s">
        <v>1957</v>
      </c>
      <c r="B1900" t="s">
        <v>22</v>
      </c>
      <c r="C1900" t="s">
        <v>1939</v>
      </c>
      <c r="D1900" s="1">
        <v>0.45200231481481479</v>
      </c>
      <c r="E1900" s="2">
        <f>CallLog[[#This Row],[Date]]+CallLog[[#This Row],[Time]]</f>
        <v>44230.452002314814</v>
      </c>
      <c r="F1900" s="1" t="str">
        <f>TEXT(CallLog[[#This Row],[Date]],"dddd")</f>
        <v>Wednesday</v>
      </c>
      <c r="G1900" s="3">
        <f>HOUR(CallLog[[#This Row],[Time]])</f>
        <v>10</v>
      </c>
      <c r="H1900" t="s">
        <v>13</v>
      </c>
      <c r="I1900" t="s">
        <v>18</v>
      </c>
      <c r="J1900" t="s">
        <v>18</v>
      </c>
      <c r="L1900" t="str">
        <f>IF(AND(CallLog[[#This Row],[Answered (Y/N)]]="Y", CallLog[[#This Row],[Speed of answer in seconds]]&lt;=20),
    "Within",
    "Breach")</f>
        <v>Breach</v>
      </c>
    </row>
    <row r="1901" spans="1:14" x14ac:dyDescent="0.3">
      <c r="A1901" t="s">
        <v>1958</v>
      </c>
      <c r="B1901" t="s">
        <v>38</v>
      </c>
      <c r="C1901" t="s">
        <v>1939</v>
      </c>
      <c r="D1901" s="1">
        <v>0.45200231481481479</v>
      </c>
      <c r="E1901" s="2">
        <f>CallLog[[#This Row],[Date]]+CallLog[[#This Row],[Time]]</f>
        <v>44230.452002314814</v>
      </c>
      <c r="F1901" s="1" t="str">
        <f>TEXT(CallLog[[#This Row],[Date]],"dddd")</f>
        <v>Wednesday</v>
      </c>
      <c r="G1901" s="3">
        <f>HOUR(CallLog[[#This Row],[Time]])</f>
        <v>10</v>
      </c>
      <c r="H1901" t="s">
        <v>29</v>
      </c>
      <c r="I1901" t="s">
        <v>14</v>
      </c>
      <c r="J1901" t="s">
        <v>14</v>
      </c>
      <c r="K1901">
        <v>41</v>
      </c>
      <c r="L1901" t="str">
        <f>IF(AND(CallLog[[#This Row],[Answered (Y/N)]]="Y", CallLog[[#This Row],[Speed of answer in seconds]]&lt;=20),
    "Within",
    "Breach")</f>
        <v>Breach</v>
      </c>
      <c r="M1901" s="1">
        <v>4.7916666666666663E-3</v>
      </c>
      <c r="N1901">
        <v>4</v>
      </c>
    </row>
    <row r="1902" spans="1:14" x14ac:dyDescent="0.3">
      <c r="A1902" t="s">
        <v>1959</v>
      </c>
      <c r="B1902" t="s">
        <v>47</v>
      </c>
      <c r="C1902" t="s">
        <v>1939</v>
      </c>
      <c r="D1902" s="1">
        <v>0.4670023148148148</v>
      </c>
      <c r="E1902" s="2">
        <f>CallLog[[#This Row],[Date]]+CallLog[[#This Row],[Time]]</f>
        <v>44230.467002314814</v>
      </c>
      <c r="F1902" s="1" t="str">
        <f>TEXT(CallLog[[#This Row],[Date]],"dddd")</f>
        <v>Wednesday</v>
      </c>
      <c r="G1902" s="3">
        <f>HOUR(CallLog[[#This Row],[Time]])</f>
        <v>11</v>
      </c>
      <c r="H1902" t="s">
        <v>13</v>
      </c>
      <c r="I1902" t="s">
        <v>14</v>
      </c>
      <c r="J1902" t="s">
        <v>14</v>
      </c>
      <c r="K1902">
        <v>20</v>
      </c>
      <c r="L1902" t="str">
        <f>IF(AND(CallLog[[#This Row],[Answered (Y/N)]]="Y", CallLog[[#This Row],[Speed of answer in seconds]]&lt;=20),
    "Within",
    "Breach")</f>
        <v>Within</v>
      </c>
      <c r="M1902" s="1">
        <v>4.8379629629629632E-3</v>
      </c>
      <c r="N1902">
        <v>4</v>
      </c>
    </row>
    <row r="1903" spans="1:14" x14ac:dyDescent="0.3">
      <c r="A1903" t="s">
        <v>1960</v>
      </c>
      <c r="B1903" t="s">
        <v>38</v>
      </c>
      <c r="C1903" t="s">
        <v>1939</v>
      </c>
      <c r="D1903" s="1">
        <v>0.4670023148148148</v>
      </c>
      <c r="E1903" s="2">
        <f>CallLog[[#This Row],[Date]]+CallLog[[#This Row],[Time]]</f>
        <v>44230.467002314814</v>
      </c>
      <c r="F1903" s="1" t="str">
        <f>TEXT(CallLog[[#This Row],[Date]],"dddd")</f>
        <v>Wednesday</v>
      </c>
      <c r="G1903" s="3">
        <f>HOUR(CallLog[[#This Row],[Time]])</f>
        <v>11</v>
      </c>
      <c r="H1903" t="s">
        <v>24</v>
      </c>
      <c r="I1903" t="s">
        <v>14</v>
      </c>
      <c r="J1903" t="s">
        <v>14</v>
      </c>
      <c r="K1903">
        <v>14</v>
      </c>
      <c r="L1903" t="str">
        <f>IF(AND(CallLog[[#This Row],[Answered (Y/N)]]="Y", CallLog[[#This Row],[Speed of answer in seconds]]&lt;=20),
    "Within",
    "Breach")</f>
        <v>Within</v>
      </c>
      <c r="M1903" s="1">
        <v>3.0439814814814813E-3</v>
      </c>
      <c r="N1903">
        <v>4</v>
      </c>
    </row>
    <row r="1904" spans="1:14" x14ac:dyDescent="0.3">
      <c r="A1904" t="s">
        <v>1961</v>
      </c>
      <c r="B1904" t="s">
        <v>16</v>
      </c>
      <c r="C1904" t="s">
        <v>1939</v>
      </c>
      <c r="D1904" s="1">
        <v>0.4679976851851852</v>
      </c>
      <c r="E1904" s="2">
        <f>CallLog[[#This Row],[Date]]+CallLog[[#This Row],[Time]]</f>
        <v>44230.467997685184</v>
      </c>
      <c r="F1904" s="1" t="str">
        <f>TEXT(CallLog[[#This Row],[Date]],"dddd")</f>
        <v>Wednesday</v>
      </c>
      <c r="G1904" s="3">
        <f>HOUR(CallLog[[#This Row],[Time]])</f>
        <v>11</v>
      </c>
      <c r="H1904" t="s">
        <v>29</v>
      </c>
      <c r="I1904" t="s">
        <v>14</v>
      </c>
      <c r="J1904" t="s">
        <v>18</v>
      </c>
      <c r="K1904">
        <v>107</v>
      </c>
      <c r="L1904" t="str">
        <f>IF(AND(CallLog[[#This Row],[Answered (Y/N)]]="Y", CallLog[[#This Row],[Speed of answer in seconds]]&lt;=20),
    "Within",
    "Breach")</f>
        <v>Breach</v>
      </c>
      <c r="M1904" s="1">
        <v>8.9120370370370373E-4</v>
      </c>
      <c r="N1904">
        <v>4</v>
      </c>
    </row>
    <row r="1905" spans="1:14" x14ac:dyDescent="0.3">
      <c r="A1905" t="s">
        <v>1962</v>
      </c>
      <c r="B1905" t="s">
        <v>47</v>
      </c>
      <c r="C1905" t="s">
        <v>1939</v>
      </c>
      <c r="D1905" s="1">
        <v>0.4679976851851852</v>
      </c>
      <c r="E1905" s="2">
        <f>CallLog[[#This Row],[Date]]+CallLog[[#This Row],[Time]]</f>
        <v>44230.467997685184</v>
      </c>
      <c r="F1905" s="1" t="str">
        <f>TEXT(CallLog[[#This Row],[Date]],"dddd")</f>
        <v>Wednesday</v>
      </c>
      <c r="G1905" s="3">
        <f>HOUR(CallLog[[#This Row],[Time]])</f>
        <v>11</v>
      </c>
      <c r="H1905" t="s">
        <v>32</v>
      </c>
      <c r="I1905" t="s">
        <v>18</v>
      </c>
      <c r="J1905" t="s">
        <v>18</v>
      </c>
      <c r="L1905" t="str">
        <f>IF(AND(CallLog[[#This Row],[Answered (Y/N)]]="Y", CallLog[[#This Row],[Speed of answer in seconds]]&lt;=20),
    "Within",
    "Breach")</f>
        <v>Breach</v>
      </c>
    </row>
    <row r="1906" spans="1:14" x14ac:dyDescent="0.3">
      <c r="A1906" t="s">
        <v>1963</v>
      </c>
      <c r="B1906" t="s">
        <v>38</v>
      </c>
      <c r="C1906" t="s">
        <v>1939</v>
      </c>
      <c r="D1906" s="1">
        <v>0.48200231481481481</v>
      </c>
      <c r="E1906" s="2">
        <f>CallLog[[#This Row],[Date]]+CallLog[[#This Row],[Time]]</f>
        <v>44230.482002314813</v>
      </c>
      <c r="F1906" s="1" t="str">
        <f>TEXT(CallLog[[#This Row],[Date]],"dddd")</f>
        <v>Wednesday</v>
      </c>
      <c r="G1906" s="3">
        <f>HOUR(CallLog[[#This Row],[Time]])</f>
        <v>11</v>
      </c>
      <c r="H1906" t="s">
        <v>17</v>
      </c>
      <c r="I1906" t="s">
        <v>18</v>
      </c>
      <c r="J1906" t="s">
        <v>18</v>
      </c>
      <c r="L1906" t="str">
        <f>IF(AND(CallLog[[#This Row],[Answered (Y/N)]]="Y", CallLog[[#This Row],[Speed of answer in seconds]]&lt;=20),
    "Within",
    "Breach")</f>
        <v>Breach</v>
      </c>
    </row>
    <row r="1907" spans="1:14" x14ac:dyDescent="0.3">
      <c r="A1907" t="s">
        <v>1964</v>
      </c>
      <c r="B1907" t="s">
        <v>47</v>
      </c>
      <c r="C1907" t="s">
        <v>1939</v>
      </c>
      <c r="D1907" s="1">
        <v>0.48200231481481481</v>
      </c>
      <c r="E1907" s="2">
        <f>CallLog[[#This Row],[Date]]+CallLog[[#This Row],[Time]]</f>
        <v>44230.482002314813</v>
      </c>
      <c r="F1907" s="1" t="str">
        <f>TEXT(CallLog[[#This Row],[Date]],"dddd")</f>
        <v>Wednesday</v>
      </c>
      <c r="G1907" s="3">
        <f>HOUR(CallLog[[#This Row],[Time]])</f>
        <v>11</v>
      </c>
      <c r="H1907" t="s">
        <v>32</v>
      </c>
      <c r="I1907" t="s">
        <v>14</v>
      </c>
      <c r="J1907" t="s">
        <v>18</v>
      </c>
      <c r="K1907">
        <v>27</v>
      </c>
      <c r="L1907" t="str">
        <f>IF(AND(CallLog[[#This Row],[Answered (Y/N)]]="Y", CallLog[[#This Row],[Speed of answer in seconds]]&lt;=20),
    "Within",
    "Breach")</f>
        <v>Breach</v>
      </c>
      <c r="M1907" s="1">
        <v>5.6712962962962967E-4</v>
      </c>
      <c r="N1907">
        <v>1</v>
      </c>
    </row>
    <row r="1908" spans="1:14" x14ac:dyDescent="0.3">
      <c r="A1908" t="s">
        <v>1965</v>
      </c>
      <c r="B1908" t="s">
        <v>20</v>
      </c>
      <c r="C1908" t="s">
        <v>1939</v>
      </c>
      <c r="D1908" s="1">
        <v>0.49200231481481482</v>
      </c>
      <c r="E1908" s="2">
        <f>CallLog[[#This Row],[Date]]+CallLog[[#This Row],[Time]]</f>
        <v>44230.492002314815</v>
      </c>
      <c r="F1908" s="1" t="str">
        <f>TEXT(CallLog[[#This Row],[Date]],"dddd")</f>
        <v>Wednesday</v>
      </c>
      <c r="G1908" s="3">
        <f>HOUR(CallLog[[#This Row],[Time]])</f>
        <v>11</v>
      </c>
      <c r="H1908" t="s">
        <v>32</v>
      </c>
      <c r="I1908" t="s">
        <v>14</v>
      </c>
      <c r="J1908" t="s">
        <v>14</v>
      </c>
      <c r="K1908">
        <v>119</v>
      </c>
      <c r="L1908" t="str">
        <f>IF(AND(CallLog[[#This Row],[Answered (Y/N)]]="Y", CallLog[[#This Row],[Speed of answer in seconds]]&lt;=20),
    "Within",
    "Breach")</f>
        <v>Breach</v>
      </c>
      <c r="M1908" s="1">
        <v>3.2638888888888891E-3</v>
      </c>
      <c r="N1908">
        <v>4</v>
      </c>
    </row>
    <row r="1909" spans="1:14" x14ac:dyDescent="0.3">
      <c r="A1909" t="s">
        <v>1966</v>
      </c>
      <c r="B1909" t="s">
        <v>31</v>
      </c>
      <c r="C1909" t="s">
        <v>1939</v>
      </c>
      <c r="D1909" s="1">
        <v>0.49200231481481482</v>
      </c>
      <c r="E1909" s="2">
        <f>CallLog[[#This Row],[Date]]+CallLog[[#This Row],[Time]]</f>
        <v>44230.492002314815</v>
      </c>
      <c r="F1909" s="1" t="str">
        <f>TEXT(CallLog[[#This Row],[Date]],"dddd")</f>
        <v>Wednesday</v>
      </c>
      <c r="G1909" s="3">
        <f>HOUR(CallLog[[#This Row],[Time]])</f>
        <v>11</v>
      </c>
      <c r="H1909" t="s">
        <v>13</v>
      </c>
      <c r="I1909" t="s">
        <v>14</v>
      </c>
      <c r="J1909" t="s">
        <v>14</v>
      </c>
      <c r="K1909">
        <v>55</v>
      </c>
      <c r="L1909" t="str">
        <f>IF(AND(CallLog[[#This Row],[Answered (Y/N)]]="Y", CallLog[[#This Row],[Speed of answer in seconds]]&lt;=20),
    "Within",
    "Breach")</f>
        <v>Breach</v>
      </c>
      <c r="M1909" s="1">
        <v>1.6782407407407408E-3</v>
      </c>
      <c r="N1909">
        <v>1</v>
      </c>
    </row>
    <row r="1910" spans="1:14" x14ac:dyDescent="0.3">
      <c r="A1910" t="s">
        <v>1967</v>
      </c>
      <c r="B1910" t="s">
        <v>22</v>
      </c>
      <c r="C1910" t="s">
        <v>1939</v>
      </c>
      <c r="D1910" s="1">
        <v>0.50099537037037034</v>
      </c>
      <c r="E1910" s="2">
        <f>CallLog[[#This Row],[Date]]+CallLog[[#This Row],[Time]]</f>
        <v>44230.50099537037</v>
      </c>
      <c r="F1910" s="1" t="str">
        <f>TEXT(CallLog[[#This Row],[Date]],"dddd")</f>
        <v>Wednesday</v>
      </c>
      <c r="G1910" s="3">
        <f>HOUR(CallLog[[#This Row],[Time]])</f>
        <v>12</v>
      </c>
      <c r="H1910" t="s">
        <v>24</v>
      </c>
      <c r="I1910" t="s">
        <v>14</v>
      </c>
      <c r="J1910" t="s">
        <v>14</v>
      </c>
      <c r="K1910">
        <v>62</v>
      </c>
      <c r="L1910" t="str">
        <f>IF(AND(CallLog[[#This Row],[Answered (Y/N)]]="Y", CallLog[[#This Row],[Speed of answer in seconds]]&lt;=20),
    "Within",
    "Breach")</f>
        <v>Breach</v>
      </c>
      <c r="M1910" s="1">
        <v>3.3564814814814816E-3</v>
      </c>
      <c r="N1910">
        <v>3</v>
      </c>
    </row>
    <row r="1911" spans="1:14" x14ac:dyDescent="0.3">
      <c r="A1911" t="s">
        <v>1968</v>
      </c>
      <c r="B1911" t="s">
        <v>31</v>
      </c>
      <c r="C1911" t="s">
        <v>1939</v>
      </c>
      <c r="D1911" s="1">
        <v>0.50099537037037034</v>
      </c>
      <c r="E1911" s="2">
        <f>CallLog[[#This Row],[Date]]+CallLog[[#This Row],[Time]]</f>
        <v>44230.50099537037</v>
      </c>
      <c r="F1911" s="1" t="str">
        <f>TEXT(CallLog[[#This Row],[Date]],"dddd")</f>
        <v>Wednesday</v>
      </c>
      <c r="G1911" s="3">
        <f>HOUR(CallLog[[#This Row],[Time]])</f>
        <v>12</v>
      </c>
      <c r="H1911" t="s">
        <v>17</v>
      </c>
      <c r="I1911" t="s">
        <v>14</v>
      </c>
      <c r="J1911" t="s">
        <v>14</v>
      </c>
      <c r="K1911">
        <v>105</v>
      </c>
      <c r="L1911" t="str">
        <f>IF(AND(CallLog[[#This Row],[Answered (Y/N)]]="Y", CallLog[[#This Row],[Speed of answer in seconds]]&lt;=20),
    "Within",
    "Breach")</f>
        <v>Breach</v>
      </c>
      <c r="M1911" s="1">
        <v>2.3032407407407407E-3</v>
      </c>
      <c r="N1911">
        <v>3</v>
      </c>
    </row>
    <row r="1912" spans="1:14" x14ac:dyDescent="0.3">
      <c r="A1912" t="s">
        <v>1969</v>
      </c>
      <c r="B1912" t="s">
        <v>38</v>
      </c>
      <c r="C1912" t="s">
        <v>1939</v>
      </c>
      <c r="D1912" s="1">
        <v>0.52799768518518519</v>
      </c>
      <c r="E1912" s="2">
        <f>CallLog[[#This Row],[Date]]+CallLog[[#This Row],[Time]]</f>
        <v>44230.527997685182</v>
      </c>
      <c r="F1912" s="1" t="str">
        <f>TEXT(CallLog[[#This Row],[Date]],"dddd")</f>
        <v>Wednesday</v>
      </c>
      <c r="G1912" s="3">
        <f>HOUR(CallLog[[#This Row],[Time]])</f>
        <v>12</v>
      </c>
      <c r="H1912" t="s">
        <v>13</v>
      </c>
      <c r="I1912" t="s">
        <v>14</v>
      </c>
      <c r="J1912" t="s">
        <v>14</v>
      </c>
      <c r="K1912">
        <v>16</v>
      </c>
      <c r="L1912" t="str">
        <f>IF(AND(CallLog[[#This Row],[Answered (Y/N)]]="Y", CallLog[[#This Row],[Speed of answer in seconds]]&lt;=20),
    "Within",
    "Breach")</f>
        <v>Within</v>
      </c>
      <c r="M1912" s="1">
        <v>3.8425925925925928E-3</v>
      </c>
      <c r="N1912">
        <v>5</v>
      </c>
    </row>
    <row r="1913" spans="1:14" x14ac:dyDescent="0.3">
      <c r="A1913" t="s">
        <v>1970</v>
      </c>
      <c r="B1913" t="s">
        <v>11</v>
      </c>
      <c r="C1913" t="s">
        <v>1939</v>
      </c>
      <c r="D1913" s="1">
        <v>0.52799768518518519</v>
      </c>
      <c r="E1913" s="2">
        <f>CallLog[[#This Row],[Date]]+CallLog[[#This Row],[Time]]</f>
        <v>44230.527997685182</v>
      </c>
      <c r="F1913" s="1" t="str">
        <f>TEXT(CallLog[[#This Row],[Date]],"dddd")</f>
        <v>Wednesday</v>
      </c>
      <c r="G1913" s="3">
        <f>HOUR(CallLog[[#This Row],[Time]])</f>
        <v>12</v>
      </c>
      <c r="H1913" t="s">
        <v>17</v>
      </c>
      <c r="I1913" t="s">
        <v>18</v>
      </c>
      <c r="J1913" t="s">
        <v>18</v>
      </c>
      <c r="L1913" t="str">
        <f>IF(AND(CallLog[[#This Row],[Answered (Y/N)]]="Y", CallLog[[#This Row],[Speed of answer in seconds]]&lt;=20),
    "Within",
    "Breach")</f>
        <v>Breach</v>
      </c>
    </row>
    <row r="1914" spans="1:14" x14ac:dyDescent="0.3">
      <c r="A1914" t="s">
        <v>1971</v>
      </c>
      <c r="B1914" t="s">
        <v>31</v>
      </c>
      <c r="C1914" t="s">
        <v>1939</v>
      </c>
      <c r="D1914" s="1">
        <v>0.53099537037037037</v>
      </c>
      <c r="E1914" s="2">
        <f>CallLog[[#This Row],[Date]]+CallLog[[#This Row],[Time]]</f>
        <v>44230.530995370369</v>
      </c>
      <c r="F1914" s="1" t="str">
        <f>TEXT(CallLog[[#This Row],[Date]],"dddd")</f>
        <v>Wednesday</v>
      </c>
      <c r="G1914" s="3">
        <f>HOUR(CallLog[[#This Row],[Time]])</f>
        <v>12</v>
      </c>
      <c r="H1914" t="s">
        <v>17</v>
      </c>
      <c r="I1914" t="s">
        <v>14</v>
      </c>
      <c r="J1914" t="s">
        <v>14</v>
      </c>
      <c r="K1914">
        <v>23</v>
      </c>
      <c r="L1914" t="str">
        <f>IF(AND(CallLog[[#This Row],[Answered (Y/N)]]="Y", CallLog[[#This Row],[Speed of answer in seconds]]&lt;=20),
    "Within",
    "Breach")</f>
        <v>Breach</v>
      </c>
      <c r="M1914" s="1">
        <v>2.5462962962962965E-3</v>
      </c>
      <c r="N1914">
        <v>1</v>
      </c>
    </row>
    <row r="1915" spans="1:14" x14ac:dyDescent="0.3">
      <c r="A1915" t="s">
        <v>1972</v>
      </c>
      <c r="B1915" t="s">
        <v>34</v>
      </c>
      <c r="C1915" t="s">
        <v>1939</v>
      </c>
      <c r="D1915" s="1">
        <v>0.53099537037037037</v>
      </c>
      <c r="E1915" s="2">
        <f>CallLog[[#This Row],[Date]]+CallLog[[#This Row],[Time]]</f>
        <v>44230.530995370369</v>
      </c>
      <c r="F1915" s="1" t="str">
        <f>TEXT(CallLog[[#This Row],[Date]],"dddd")</f>
        <v>Wednesday</v>
      </c>
      <c r="G1915" s="3">
        <f>HOUR(CallLog[[#This Row],[Time]])</f>
        <v>12</v>
      </c>
      <c r="H1915" t="s">
        <v>29</v>
      </c>
      <c r="I1915" t="s">
        <v>18</v>
      </c>
      <c r="J1915" t="s">
        <v>18</v>
      </c>
      <c r="L1915" t="str">
        <f>IF(AND(CallLog[[#This Row],[Answered (Y/N)]]="Y", CallLog[[#This Row],[Speed of answer in seconds]]&lt;=20),
    "Within",
    "Breach")</f>
        <v>Breach</v>
      </c>
    </row>
    <row r="1916" spans="1:14" x14ac:dyDescent="0.3">
      <c r="A1916" t="s">
        <v>1973</v>
      </c>
      <c r="B1916" t="s">
        <v>11</v>
      </c>
      <c r="C1916" t="s">
        <v>1939</v>
      </c>
      <c r="D1916" s="1">
        <v>0.53700231481481486</v>
      </c>
      <c r="E1916" s="2">
        <f>CallLog[[#This Row],[Date]]+CallLog[[#This Row],[Time]]</f>
        <v>44230.537002314813</v>
      </c>
      <c r="F1916" s="1" t="str">
        <f>TEXT(CallLog[[#This Row],[Date]],"dddd")</f>
        <v>Wednesday</v>
      </c>
      <c r="G1916" s="3">
        <f>HOUR(CallLog[[#This Row],[Time]])</f>
        <v>12</v>
      </c>
      <c r="H1916" t="s">
        <v>24</v>
      </c>
      <c r="I1916" t="s">
        <v>14</v>
      </c>
      <c r="J1916" t="s">
        <v>14</v>
      </c>
      <c r="K1916">
        <v>89</v>
      </c>
      <c r="L1916" t="str">
        <f>IF(AND(CallLog[[#This Row],[Answered (Y/N)]]="Y", CallLog[[#This Row],[Speed of answer in seconds]]&lt;=20),
    "Within",
    "Breach")</f>
        <v>Breach</v>
      </c>
      <c r="M1916" s="1">
        <v>3.1481481481481482E-3</v>
      </c>
      <c r="N1916">
        <v>5</v>
      </c>
    </row>
    <row r="1917" spans="1:14" x14ac:dyDescent="0.3">
      <c r="A1917" t="s">
        <v>1974</v>
      </c>
      <c r="B1917" t="s">
        <v>11</v>
      </c>
      <c r="C1917" t="s">
        <v>1939</v>
      </c>
      <c r="D1917" s="1">
        <v>0.53700231481481486</v>
      </c>
      <c r="E1917" s="2">
        <f>CallLog[[#This Row],[Date]]+CallLog[[#This Row],[Time]]</f>
        <v>44230.537002314813</v>
      </c>
      <c r="F1917" s="1" t="str">
        <f>TEXT(CallLog[[#This Row],[Date]],"dddd")</f>
        <v>Wednesday</v>
      </c>
      <c r="G1917" s="3">
        <f>HOUR(CallLog[[#This Row],[Time]])</f>
        <v>12</v>
      </c>
      <c r="H1917" t="s">
        <v>17</v>
      </c>
      <c r="I1917" t="s">
        <v>14</v>
      </c>
      <c r="J1917" t="s">
        <v>14</v>
      </c>
      <c r="K1917">
        <v>53</v>
      </c>
      <c r="L1917" t="str">
        <f>IF(AND(CallLog[[#This Row],[Answered (Y/N)]]="Y", CallLog[[#This Row],[Speed of answer in seconds]]&lt;=20),
    "Within",
    "Breach")</f>
        <v>Breach</v>
      </c>
      <c r="M1917" s="1">
        <v>1.1226851851851851E-3</v>
      </c>
      <c r="N1917">
        <v>5</v>
      </c>
    </row>
    <row r="1918" spans="1:14" x14ac:dyDescent="0.3">
      <c r="A1918" t="s">
        <v>1975</v>
      </c>
      <c r="B1918" t="s">
        <v>11</v>
      </c>
      <c r="C1918" t="s">
        <v>1939</v>
      </c>
      <c r="D1918" s="1">
        <v>0.54</v>
      </c>
      <c r="E1918" s="2">
        <f>CallLog[[#This Row],[Date]]+CallLog[[#This Row],[Time]]</f>
        <v>44230.54</v>
      </c>
      <c r="F1918" s="1" t="str">
        <f>TEXT(CallLog[[#This Row],[Date]],"dddd")</f>
        <v>Wednesday</v>
      </c>
      <c r="G1918" s="3">
        <f>HOUR(CallLog[[#This Row],[Time]])</f>
        <v>12</v>
      </c>
      <c r="H1918" t="s">
        <v>13</v>
      </c>
      <c r="I1918" t="s">
        <v>14</v>
      </c>
      <c r="J1918" t="s">
        <v>18</v>
      </c>
      <c r="K1918">
        <v>104</v>
      </c>
      <c r="L1918" t="str">
        <f>IF(AND(CallLog[[#This Row],[Answered (Y/N)]]="Y", CallLog[[#This Row],[Speed of answer in seconds]]&lt;=20),
    "Within",
    "Breach")</f>
        <v>Breach</v>
      </c>
      <c r="M1918" s="1">
        <v>1.261574074074074E-3</v>
      </c>
      <c r="N1918">
        <v>3</v>
      </c>
    </row>
    <row r="1919" spans="1:14" x14ac:dyDescent="0.3">
      <c r="A1919" t="s">
        <v>1976</v>
      </c>
      <c r="B1919" t="s">
        <v>31</v>
      </c>
      <c r="C1919" t="s">
        <v>1939</v>
      </c>
      <c r="D1919" s="1">
        <v>0.54</v>
      </c>
      <c r="E1919" s="2">
        <f>CallLog[[#This Row],[Date]]+CallLog[[#This Row],[Time]]</f>
        <v>44230.54</v>
      </c>
      <c r="F1919" s="1" t="str">
        <f>TEXT(CallLog[[#This Row],[Date]],"dddd")</f>
        <v>Wednesday</v>
      </c>
      <c r="G1919" s="3">
        <f>HOUR(CallLog[[#This Row],[Time]])</f>
        <v>12</v>
      </c>
      <c r="H1919" t="s">
        <v>24</v>
      </c>
      <c r="I1919" t="s">
        <v>14</v>
      </c>
      <c r="J1919" t="s">
        <v>14</v>
      </c>
      <c r="K1919">
        <v>78</v>
      </c>
      <c r="L1919" t="str">
        <f>IF(AND(CallLog[[#This Row],[Answered (Y/N)]]="Y", CallLog[[#This Row],[Speed of answer in seconds]]&lt;=20),
    "Within",
    "Breach")</f>
        <v>Breach</v>
      </c>
      <c r="M1919" s="1">
        <v>1.8749999999999999E-3</v>
      </c>
      <c r="N1919">
        <v>2</v>
      </c>
    </row>
    <row r="1920" spans="1:14" x14ac:dyDescent="0.3">
      <c r="A1920" t="s">
        <v>1977</v>
      </c>
      <c r="B1920" t="s">
        <v>20</v>
      </c>
      <c r="C1920" t="s">
        <v>1939</v>
      </c>
      <c r="D1920" s="1">
        <v>0.54299768518518521</v>
      </c>
      <c r="E1920" s="2">
        <f>CallLog[[#This Row],[Date]]+CallLog[[#This Row],[Time]]</f>
        <v>44230.542997685188</v>
      </c>
      <c r="F1920" s="1" t="str">
        <f>TEXT(CallLog[[#This Row],[Date]],"dddd")</f>
        <v>Wednesday</v>
      </c>
      <c r="G1920" s="3">
        <f>HOUR(CallLog[[#This Row],[Time]])</f>
        <v>13</v>
      </c>
      <c r="H1920" t="s">
        <v>17</v>
      </c>
      <c r="I1920" t="s">
        <v>14</v>
      </c>
      <c r="J1920" t="s">
        <v>14</v>
      </c>
      <c r="K1920">
        <v>92</v>
      </c>
      <c r="L1920" t="str">
        <f>IF(AND(CallLog[[#This Row],[Answered (Y/N)]]="Y", CallLog[[#This Row],[Speed of answer in seconds]]&lt;=20),
    "Within",
    "Breach")</f>
        <v>Breach</v>
      </c>
      <c r="M1920" s="1">
        <v>3.3680555555555556E-3</v>
      </c>
      <c r="N1920">
        <v>2</v>
      </c>
    </row>
    <row r="1921" spans="1:14" x14ac:dyDescent="0.3">
      <c r="A1921" t="s">
        <v>1978</v>
      </c>
      <c r="B1921" t="s">
        <v>38</v>
      </c>
      <c r="C1921" t="s">
        <v>1939</v>
      </c>
      <c r="D1921" s="1">
        <v>0.54299768518518521</v>
      </c>
      <c r="E1921" s="2">
        <f>CallLog[[#This Row],[Date]]+CallLog[[#This Row],[Time]]</f>
        <v>44230.542997685188</v>
      </c>
      <c r="F1921" s="1" t="str">
        <f>TEXT(CallLog[[#This Row],[Date]],"dddd")</f>
        <v>Wednesday</v>
      </c>
      <c r="G1921" s="3">
        <f>HOUR(CallLog[[#This Row],[Time]])</f>
        <v>13</v>
      </c>
      <c r="H1921" t="s">
        <v>32</v>
      </c>
      <c r="I1921" t="s">
        <v>14</v>
      </c>
      <c r="J1921" t="s">
        <v>14</v>
      </c>
      <c r="K1921">
        <v>107</v>
      </c>
      <c r="L1921" t="str">
        <f>IF(AND(CallLog[[#This Row],[Answered (Y/N)]]="Y", CallLog[[#This Row],[Speed of answer in seconds]]&lt;=20),
    "Within",
    "Breach")</f>
        <v>Breach</v>
      </c>
      <c r="M1921" s="1">
        <v>1.5509259259259259E-3</v>
      </c>
      <c r="N1921">
        <v>4</v>
      </c>
    </row>
    <row r="1922" spans="1:14" x14ac:dyDescent="0.3">
      <c r="A1922" t="s">
        <v>1979</v>
      </c>
      <c r="B1922" t="s">
        <v>22</v>
      </c>
      <c r="C1922" t="s">
        <v>1939</v>
      </c>
      <c r="D1922" s="1">
        <v>0.56400462962962961</v>
      </c>
      <c r="E1922" s="2">
        <f>CallLog[[#This Row],[Date]]+CallLog[[#This Row],[Time]]</f>
        <v>44230.564004629632</v>
      </c>
      <c r="F1922" s="1" t="str">
        <f>TEXT(CallLog[[#This Row],[Date]],"dddd")</f>
        <v>Wednesday</v>
      </c>
      <c r="G1922" s="3">
        <f>HOUR(CallLog[[#This Row],[Time]])</f>
        <v>13</v>
      </c>
      <c r="H1922" t="s">
        <v>32</v>
      </c>
      <c r="I1922" t="s">
        <v>18</v>
      </c>
      <c r="J1922" t="s">
        <v>18</v>
      </c>
      <c r="L1922" t="str">
        <f>IF(AND(CallLog[[#This Row],[Answered (Y/N)]]="Y", CallLog[[#This Row],[Speed of answer in seconds]]&lt;=20),
    "Within",
    "Breach")</f>
        <v>Breach</v>
      </c>
    </row>
    <row r="1923" spans="1:14" x14ac:dyDescent="0.3">
      <c r="A1923" t="s">
        <v>1980</v>
      </c>
      <c r="B1923" t="s">
        <v>47</v>
      </c>
      <c r="C1923" t="s">
        <v>1939</v>
      </c>
      <c r="D1923" s="1">
        <v>0.56400462962962961</v>
      </c>
      <c r="E1923" s="2">
        <f>CallLog[[#This Row],[Date]]+CallLog[[#This Row],[Time]]</f>
        <v>44230.564004629632</v>
      </c>
      <c r="F1923" s="1" t="str">
        <f>TEXT(CallLog[[#This Row],[Date]],"dddd")</f>
        <v>Wednesday</v>
      </c>
      <c r="G1923" s="3">
        <f>HOUR(CallLog[[#This Row],[Time]])</f>
        <v>13</v>
      </c>
      <c r="H1923" t="s">
        <v>29</v>
      </c>
      <c r="I1923" t="s">
        <v>18</v>
      </c>
      <c r="J1923" t="s">
        <v>18</v>
      </c>
      <c r="L1923" t="str">
        <f>IF(AND(CallLog[[#This Row],[Answered (Y/N)]]="Y", CallLog[[#This Row],[Speed of answer in seconds]]&lt;=20),
    "Within",
    "Breach")</f>
        <v>Breach</v>
      </c>
    </row>
    <row r="1924" spans="1:14" x14ac:dyDescent="0.3">
      <c r="A1924" t="s">
        <v>1981</v>
      </c>
      <c r="B1924" t="s">
        <v>11</v>
      </c>
      <c r="C1924" t="s">
        <v>1939</v>
      </c>
      <c r="D1924" s="1">
        <v>0.56499999999999995</v>
      </c>
      <c r="E1924" s="2">
        <f>CallLog[[#This Row],[Date]]+CallLog[[#This Row],[Time]]</f>
        <v>44230.565000000002</v>
      </c>
      <c r="F1924" s="1" t="str">
        <f>TEXT(CallLog[[#This Row],[Date]],"dddd")</f>
        <v>Wednesday</v>
      </c>
      <c r="G1924" s="3">
        <f>HOUR(CallLog[[#This Row],[Time]])</f>
        <v>13</v>
      </c>
      <c r="H1924" t="s">
        <v>13</v>
      </c>
      <c r="I1924" t="s">
        <v>14</v>
      </c>
      <c r="J1924" t="s">
        <v>14</v>
      </c>
      <c r="K1924">
        <v>116</v>
      </c>
      <c r="L1924" t="str">
        <f>IF(AND(CallLog[[#This Row],[Answered (Y/N)]]="Y", CallLog[[#This Row],[Speed of answer in seconds]]&lt;=20),
    "Within",
    "Breach")</f>
        <v>Breach</v>
      </c>
      <c r="M1924" s="1">
        <v>1.736111111111111E-3</v>
      </c>
      <c r="N1924">
        <v>3</v>
      </c>
    </row>
    <row r="1925" spans="1:14" x14ac:dyDescent="0.3">
      <c r="A1925" t="s">
        <v>1982</v>
      </c>
      <c r="B1925" t="s">
        <v>31</v>
      </c>
      <c r="C1925" t="s">
        <v>1939</v>
      </c>
      <c r="D1925" s="1">
        <v>0.56499999999999995</v>
      </c>
      <c r="E1925" s="2">
        <f>CallLog[[#This Row],[Date]]+CallLog[[#This Row],[Time]]</f>
        <v>44230.565000000002</v>
      </c>
      <c r="F1925" s="1" t="str">
        <f>TEXT(CallLog[[#This Row],[Date]],"dddd")</f>
        <v>Wednesday</v>
      </c>
      <c r="G1925" s="3">
        <f>HOUR(CallLog[[#This Row],[Time]])</f>
        <v>13</v>
      </c>
      <c r="H1925" t="s">
        <v>32</v>
      </c>
      <c r="I1925" t="s">
        <v>18</v>
      </c>
      <c r="J1925" t="s">
        <v>18</v>
      </c>
      <c r="L1925" t="str">
        <f>IF(AND(CallLog[[#This Row],[Answered (Y/N)]]="Y", CallLog[[#This Row],[Speed of answer in seconds]]&lt;=20),
    "Within",
    "Breach")</f>
        <v>Breach</v>
      </c>
    </row>
    <row r="1926" spans="1:14" x14ac:dyDescent="0.3">
      <c r="A1926" t="s">
        <v>1983</v>
      </c>
      <c r="B1926" t="s">
        <v>47</v>
      </c>
      <c r="C1926" t="s">
        <v>1939</v>
      </c>
      <c r="D1926" s="1">
        <v>0.56999999999999995</v>
      </c>
      <c r="E1926" s="2">
        <f>CallLog[[#This Row],[Date]]+CallLog[[#This Row],[Time]]</f>
        <v>44230.57</v>
      </c>
      <c r="F1926" s="1" t="str">
        <f>TEXT(CallLog[[#This Row],[Date]],"dddd")</f>
        <v>Wednesday</v>
      </c>
      <c r="G1926" s="3">
        <f>HOUR(CallLog[[#This Row],[Time]])</f>
        <v>13</v>
      </c>
      <c r="H1926" t="s">
        <v>17</v>
      </c>
      <c r="I1926" t="s">
        <v>14</v>
      </c>
      <c r="J1926" t="s">
        <v>14</v>
      </c>
      <c r="K1926">
        <v>101</v>
      </c>
      <c r="L1926" t="str">
        <f>IF(AND(CallLog[[#This Row],[Answered (Y/N)]]="Y", CallLog[[#This Row],[Speed of answer in seconds]]&lt;=20),
    "Within",
    "Breach")</f>
        <v>Breach</v>
      </c>
      <c r="M1926" s="1">
        <v>2.0254629629629629E-3</v>
      </c>
      <c r="N1926">
        <v>3</v>
      </c>
    </row>
    <row r="1927" spans="1:14" x14ac:dyDescent="0.3">
      <c r="A1927" t="s">
        <v>1984</v>
      </c>
      <c r="B1927" t="s">
        <v>34</v>
      </c>
      <c r="C1927" t="s">
        <v>1939</v>
      </c>
      <c r="D1927" s="1">
        <v>0.56999999999999995</v>
      </c>
      <c r="E1927" s="2">
        <f>CallLog[[#This Row],[Date]]+CallLog[[#This Row],[Time]]</f>
        <v>44230.57</v>
      </c>
      <c r="F1927" s="1" t="str">
        <f>TEXT(CallLog[[#This Row],[Date]],"dddd")</f>
        <v>Wednesday</v>
      </c>
      <c r="G1927" s="3">
        <f>HOUR(CallLog[[#This Row],[Time]])</f>
        <v>13</v>
      </c>
      <c r="H1927" t="s">
        <v>29</v>
      </c>
      <c r="I1927" t="s">
        <v>14</v>
      </c>
      <c r="J1927" t="s">
        <v>14</v>
      </c>
      <c r="K1927">
        <v>41</v>
      </c>
      <c r="L1927" t="str">
        <f>IF(AND(CallLog[[#This Row],[Answered (Y/N)]]="Y", CallLog[[#This Row],[Speed of answer in seconds]]&lt;=20),
    "Within",
    "Breach")</f>
        <v>Breach</v>
      </c>
      <c r="M1927" s="1">
        <v>2.4652777777777776E-3</v>
      </c>
      <c r="N1927">
        <v>2</v>
      </c>
    </row>
    <row r="1928" spans="1:14" x14ac:dyDescent="0.3">
      <c r="A1928" t="s">
        <v>1985</v>
      </c>
      <c r="B1928" t="s">
        <v>38</v>
      </c>
      <c r="C1928" t="s">
        <v>1939</v>
      </c>
      <c r="D1928" s="1">
        <v>0.57200231481481478</v>
      </c>
      <c r="E1928" s="2">
        <f>CallLog[[#This Row],[Date]]+CallLog[[#This Row],[Time]]</f>
        <v>44230.572002314817</v>
      </c>
      <c r="F1928" s="1" t="str">
        <f>TEXT(CallLog[[#This Row],[Date]],"dddd")</f>
        <v>Wednesday</v>
      </c>
      <c r="G1928" s="3">
        <f>HOUR(CallLog[[#This Row],[Time]])</f>
        <v>13</v>
      </c>
      <c r="H1928" t="s">
        <v>13</v>
      </c>
      <c r="I1928" t="s">
        <v>14</v>
      </c>
      <c r="J1928" t="s">
        <v>18</v>
      </c>
      <c r="K1928">
        <v>102</v>
      </c>
      <c r="L1928" t="str">
        <f>IF(AND(CallLog[[#This Row],[Answered (Y/N)]]="Y", CallLog[[#This Row],[Speed of answer in seconds]]&lt;=20),
    "Within",
    "Breach")</f>
        <v>Breach</v>
      </c>
      <c r="M1928" s="1">
        <v>4.1666666666666666E-3</v>
      </c>
      <c r="N1928">
        <v>2</v>
      </c>
    </row>
    <row r="1929" spans="1:14" x14ac:dyDescent="0.3">
      <c r="A1929" t="s">
        <v>1986</v>
      </c>
      <c r="B1929" t="s">
        <v>31</v>
      </c>
      <c r="C1929" t="s">
        <v>1939</v>
      </c>
      <c r="D1929" s="1">
        <v>0.57200231481481478</v>
      </c>
      <c r="E1929" s="2">
        <f>CallLog[[#This Row],[Date]]+CallLog[[#This Row],[Time]]</f>
        <v>44230.572002314817</v>
      </c>
      <c r="F1929" s="1" t="str">
        <f>TEXT(CallLog[[#This Row],[Date]],"dddd")</f>
        <v>Wednesday</v>
      </c>
      <c r="G1929" s="3">
        <f>HOUR(CallLog[[#This Row],[Time]])</f>
        <v>13</v>
      </c>
      <c r="H1929" t="s">
        <v>29</v>
      </c>
      <c r="I1929" t="s">
        <v>14</v>
      </c>
      <c r="J1929" t="s">
        <v>14</v>
      </c>
      <c r="K1929">
        <v>94</v>
      </c>
      <c r="L1929" t="str">
        <f>IF(AND(CallLog[[#This Row],[Answered (Y/N)]]="Y", CallLog[[#This Row],[Speed of answer in seconds]]&lt;=20),
    "Within",
    "Breach")</f>
        <v>Breach</v>
      </c>
      <c r="M1929" s="1">
        <v>8.9120370370370373E-4</v>
      </c>
      <c r="N1929">
        <v>2</v>
      </c>
    </row>
    <row r="1930" spans="1:14" x14ac:dyDescent="0.3">
      <c r="A1930" t="s">
        <v>1987</v>
      </c>
      <c r="B1930" t="s">
        <v>38</v>
      </c>
      <c r="C1930" t="s">
        <v>1939</v>
      </c>
      <c r="D1930" s="1">
        <v>0.57599537037037041</v>
      </c>
      <c r="E1930" s="2">
        <f>CallLog[[#This Row],[Date]]+CallLog[[#This Row],[Time]]</f>
        <v>44230.575995370367</v>
      </c>
      <c r="F1930" s="1" t="str">
        <f>TEXT(CallLog[[#This Row],[Date]],"dddd")</f>
        <v>Wednesday</v>
      </c>
      <c r="G1930" s="3">
        <f>HOUR(CallLog[[#This Row],[Time]])</f>
        <v>13</v>
      </c>
      <c r="H1930" t="s">
        <v>24</v>
      </c>
      <c r="I1930" t="s">
        <v>14</v>
      </c>
      <c r="J1930" t="s">
        <v>14</v>
      </c>
      <c r="K1930">
        <v>72</v>
      </c>
      <c r="L1930" t="str">
        <f>IF(AND(CallLog[[#This Row],[Answered (Y/N)]]="Y", CallLog[[#This Row],[Speed of answer in seconds]]&lt;=20),
    "Within",
    "Breach")</f>
        <v>Breach</v>
      </c>
      <c r="M1930" s="1">
        <v>3.5648148148148149E-3</v>
      </c>
      <c r="N1930">
        <v>2</v>
      </c>
    </row>
    <row r="1931" spans="1:14" x14ac:dyDescent="0.3">
      <c r="A1931" t="s">
        <v>1988</v>
      </c>
      <c r="B1931" t="s">
        <v>22</v>
      </c>
      <c r="C1931" t="s">
        <v>1939</v>
      </c>
      <c r="D1931" s="1">
        <v>0.57599537037037041</v>
      </c>
      <c r="E1931" s="2">
        <f>CallLog[[#This Row],[Date]]+CallLog[[#This Row],[Time]]</f>
        <v>44230.575995370367</v>
      </c>
      <c r="F1931" s="1" t="str">
        <f>TEXT(CallLog[[#This Row],[Date]],"dddd")</f>
        <v>Wednesday</v>
      </c>
      <c r="G1931" s="3">
        <f>HOUR(CallLog[[#This Row],[Time]])</f>
        <v>13</v>
      </c>
      <c r="H1931" t="s">
        <v>13</v>
      </c>
      <c r="I1931" t="s">
        <v>14</v>
      </c>
      <c r="J1931" t="s">
        <v>14</v>
      </c>
      <c r="K1931">
        <v>30</v>
      </c>
      <c r="L1931" t="str">
        <f>IF(AND(CallLog[[#This Row],[Answered (Y/N)]]="Y", CallLog[[#This Row],[Speed of answer in seconds]]&lt;=20),
    "Within",
    "Breach")</f>
        <v>Breach</v>
      </c>
      <c r="M1931" s="1">
        <v>3.5300925925925925E-3</v>
      </c>
      <c r="N1931">
        <v>4</v>
      </c>
    </row>
    <row r="1932" spans="1:14" x14ac:dyDescent="0.3">
      <c r="A1932" t="s">
        <v>1989</v>
      </c>
      <c r="B1932" t="s">
        <v>34</v>
      </c>
      <c r="C1932" t="s">
        <v>1939</v>
      </c>
      <c r="D1932" s="1">
        <v>0.57700231481481479</v>
      </c>
      <c r="E1932" s="2">
        <f>CallLog[[#This Row],[Date]]+CallLog[[#This Row],[Time]]</f>
        <v>44230.577002314814</v>
      </c>
      <c r="F1932" s="1" t="str">
        <f>TEXT(CallLog[[#This Row],[Date]],"dddd")</f>
        <v>Wednesday</v>
      </c>
      <c r="G1932" s="3">
        <f>HOUR(CallLog[[#This Row],[Time]])</f>
        <v>13</v>
      </c>
      <c r="H1932" t="s">
        <v>17</v>
      </c>
      <c r="I1932" t="s">
        <v>14</v>
      </c>
      <c r="J1932" t="s">
        <v>14</v>
      </c>
      <c r="K1932">
        <v>58</v>
      </c>
      <c r="L1932" t="str">
        <f>IF(AND(CallLog[[#This Row],[Answered (Y/N)]]="Y", CallLog[[#This Row],[Speed of answer in seconds]]&lt;=20),
    "Within",
    "Breach")</f>
        <v>Breach</v>
      </c>
      <c r="M1932" s="1">
        <v>7.291666666666667E-4</v>
      </c>
      <c r="N1932">
        <v>4</v>
      </c>
    </row>
    <row r="1933" spans="1:14" x14ac:dyDescent="0.3">
      <c r="A1933" t="s">
        <v>1990</v>
      </c>
      <c r="B1933" t="s">
        <v>38</v>
      </c>
      <c r="C1933" t="s">
        <v>1939</v>
      </c>
      <c r="D1933" s="1">
        <v>0.57700231481481479</v>
      </c>
      <c r="E1933" s="2">
        <f>CallLog[[#This Row],[Date]]+CallLog[[#This Row],[Time]]</f>
        <v>44230.577002314814</v>
      </c>
      <c r="F1933" s="1" t="str">
        <f>TEXT(CallLog[[#This Row],[Date]],"dddd")</f>
        <v>Wednesday</v>
      </c>
      <c r="G1933" s="3">
        <f>HOUR(CallLog[[#This Row],[Time]])</f>
        <v>13</v>
      </c>
      <c r="H1933" t="s">
        <v>13</v>
      </c>
      <c r="I1933" t="s">
        <v>14</v>
      </c>
      <c r="J1933" t="s">
        <v>14</v>
      </c>
      <c r="K1933">
        <v>57</v>
      </c>
      <c r="L1933" t="str">
        <f>IF(AND(CallLog[[#This Row],[Answered (Y/N)]]="Y", CallLog[[#This Row],[Speed of answer in seconds]]&lt;=20),
    "Within",
    "Breach")</f>
        <v>Breach</v>
      </c>
      <c r="M1933" s="1">
        <v>1.4236111111111112E-3</v>
      </c>
      <c r="N1933">
        <v>1</v>
      </c>
    </row>
    <row r="1934" spans="1:14" x14ac:dyDescent="0.3">
      <c r="A1934" t="s">
        <v>1991</v>
      </c>
      <c r="B1934" t="s">
        <v>20</v>
      </c>
      <c r="C1934" t="s">
        <v>1939</v>
      </c>
      <c r="D1934" s="1">
        <v>0.61499999999999999</v>
      </c>
      <c r="E1934" s="2">
        <f>CallLog[[#This Row],[Date]]+CallLog[[#This Row],[Time]]</f>
        <v>44230.614999999998</v>
      </c>
      <c r="F1934" s="1" t="str">
        <f>TEXT(CallLog[[#This Row],[Date]],"dddd")</f>
        <v>Wednesday</v>
      </c>
      <c r="G1934" s="3">
        <f>HOUR(CallLog[[#This Row],[Time]])</f>
        <v>14</v>
      </c>
      <c r="H1934" t="s">
        <v>17</v>
      </c>
      <c r="I1934" t="s">
        <v>14</v>
      </c>
      <c r="J1934" t="s">
        <v>14</v>
      </c>
      <c r="K1934">
        <v>113</v>
      </c>
      <c r="L1934" t="str">
        <f>IF(AND(CallLog[[#This Row],[Answered (Y/N)]]="Y", CallLog[[#This Row],[Speed of answer in seconds]]&lt;=20),
    "Within",
    "Breach")</f>
        <v>Breach</v>
      </c>
      <c r="M1934" s="1">
        <v>4.7453703703703703E-3</v>
      </c>
      <c r="N1934">
        <v>4</v>
      </c>
    </row>
    <row r="1935" spans="1:14" x14ac:dyDescent="0.3">
      <c r="A1935" t="s">
        <v>1992</v>
      </c>
      <c r="B1935" t="s">
        <v>16</v>
      </c>
      <c r="C1935" t="s">
        <v>1939</v>
      </c>
      <c r="D1935" s="1">
        <v>0.61499999999999999</v>
      </c>
      <c r="E1935" s="2">
        <f>CallLog[[#This Row],[Date]]+CallLog[[#This Row],[Time]]</f>
        <v>44230.614999999998</v>
      </c>
      <c r="F1935" s="1" t="str">
        <f>TEXT(CallLog[[#This Row],[Date]],"dddd")</f>
        <v>Wednesday</v>
      </c>
      <c r="G1935" s="3">
        <f>HOUR(CallLog[[#This Row],[Time]])</f>
        <v>14</v>
      </c>
      <c r="H1935" t="s">
        <v>24</v>
      </c>
      <c r="I1935" t="s">
        <v>14</v>
      </c>
      <c r="J1935" t="s">
        <v>14</v>
      </c>
      <c r="K1935">
        <v>59</v>
      </c>
      <c r="L1935" t="str">
        <f>IF(AND(CallLog[[#This Row],[Answered (Y/N)]]="Y", CallLog[[#This Row],[Speed of answer in seconds]]&lt;=20),
    "Within",
    "Breach")</f>
        <v>Breach</v>
      </c>
      <c r="M1935" s="1">
        <v>4.8495370370370368E-3</v>
      </c>
      <c r="N1935">
        <v>1</v>
      </c>
    </row>
    <row r="1936" spans="1:14" x14ac:dyDescent="0.3">
      <c r="A1936" t="s">
        <v>1993</v>
      </c>
      <c r="B1936" t="s">
        <v>38</v>
      </c>
      <c r="C1936" t="s">
        <v>1939</v>
      </c>
      <c r="D1936" s="1">
        <v>0.62400462962962966</v>
      </c>
      <c r="E1936" s="2">
        <f>CallLog[[#This Row],[Date]]+CallLog[[#This Row],[Time]]</f>
        <v>44230.62400462963</v>
      </c>
      <c r="F1936" s="1" t="str">
        <f>TEXT(CallLog[[#This Row],[Date]],"dddd")</f>
        <v>Wednesday</v>
      </c>
      <c r="G1936" s="3">
        <f>HOUR(CallLog[[#This Row],[Time]])</f>
        <v>14</v>
      </c>
      <c r="H1936" t="s">
        <v>17</v>
      </c>
      <c r="I1936" t="s">
        <v>14</v>
      </c>
      <c r="J1936" t="s">
        <v>18</v>
      </c>
      <c r="K1936">
        <v>121</v>
      </c>
      <c r="L1936" t="str">
        <f>IF(AND(CallLog[[#This Row],[Answered (Y/N)]]="Y", CallLog[[#This Row],[Speed of answer in seconds]]&lt;=20),
    "Within",
    "Breach")</f>
        <v>Breach</v>
      </c>
      <c r="M1936" s="1">
        <v>9.7222222222222219E-4</v>
      </c>
      <c r="N1936">
        <v>4</v>
      </c>
    </row>
    <row r="1937" spans="1:14" x14ac:dyDescent="0.3">
      <c r="A1937" t="s">
        <v>1994</v>
      </c>
      <c r="B1937" t="s">
        <v>34</v>
      </c>
      <c r="C1937" t="s">
        <v>1939</v>
      </c>
      <c r="D1937" s="1">
        <v>0.62400462962962966</v>
      </c>
      <c r="E1937" s="2">
        <f>CallLog[[#This Row],[Date]]+CallLog[[#This Row],[Time]]</f>
        <v>44230.62400462963</v>
      </c>
      <c r="F1937" s="1" t="str">
        <f>TEXT(CallLog[[#This Row],[Date]],"dddd")</f>
        <v>Wednesday</v>
      </c>
      <c r="G1937" s="3">
        <f>HOUR(CallLog[[#This Row],[Time]])</f>
        <v>14</v>
      </c>
      <c r="H1937" t="s">
        <v>29</v>
      </c>
      <c r="I1937" t="s">
        <v>14</v>
      </c>
      <c r="J1937" t="s">
        <v>14</v>
      </c>
      <c r="K1937">
        <v>78</v>
      </c>
      <c r="L1937" t="str">
        <f>IF(AND(CallLog[[#This Row],[Answered (Y/N)]]="Y", CallLog[[#This Row],[Speed of answer in seconds]]&lt;=20),
    "Within",
    "Breach")</f>
        <v>Breach</v>
      </c>
      <c r="M1937" s="1">
        <v>7.6388888888888893E-4</v>
      </c>
      <c r="N1937">
        <v>3</v>
      </c>
    </row>
    <row r="1938" spans="1:14" x14ac:dyDescent="0.3">
      <c r="A1938" t="s">
        <v>1995</v>
      </c>
      <c r="B1938" t="s">
        <v>22</v>
      </c>
      <c r="C1938" t="s">
        <v>1939</v>
      </c>
      <c r="D1938" s="1">
        <v>0.64200231481481485</v>
      </c>
      <c r="E1938" s="2">
        <f>CallLog[[#This Row],[Date]]+CallLog[[#This Row],[Time]]</f>
        <v>44230.642002314817</v>
      </c>
      <c r="F1938" s="1" t="str">
        <f>TEXT(CallLog[[#This Row],[Date]],"dddd")</f>
        <v>Wednesday</v>
      </c>
      <c r="G1938" s="3">
        <f>HOUR(CallLog[[#This Row],[Time]])</f>
        <v>15</v>
      </c>
      <c r="H1938" t="s">
        <v>13</v>
      </c>
      <c r="I1938" t="s">
        <v>14</v>
      </c>
      <c r="J1938" t="s">
        <v>14</v>
      </c>
      <c r="K1938">
        <v>66</v>
      </c>
      <c r="L1938" t="str">
        <f>IF(AND(CallLog[[#This Row],[Answered (Y/N)]]="Y", CallLog[[#This Row],[Speed of answer in seconds]]&lt;=20),
    "Within",
    "Breach")</f>
        <v>Breach</v>
      </c>
      <c r="M1938" s="1">
        <v>3.8078703703703703E-3</v>
      </c>
      <c r="N1938">
        <v>5</v>
      </c>
    </row>
    <row r="1939" spans="1:14" x14ac:dyDescent="0.3">
      <c r="A1939" t="s">
        <v>1996</v>
      </c>
      <c r="B1939" t="s">
        <v>31</v>
      </c>
      <c r="C1939" t="s">
        <v>1939</v>
      </c>
      <c r="D1939" s="1">
        <v>0.64200231481481485</v>
      </c>
      <c r="E1939" s="2">
        <f>CallLog[[#This Row],[Date]]+CallLog[[#This Row],[Time]]</f>
        <v>44230.642002314817</v>
      </c>
      <c r="F1939" s="1" t="str">
        <f>TEXT(CallLog[[#This Row],[Date]],"dddd")</f>
        <v>Wednesday</v>
      </c>
      <c r="G1939" s="3">
        <f>HOUR(CallLog[[#This Row],[Time]])</f>
        <v>15</v>
      </c>
      <c r="H1939" t="s">
        <v>29</v>
      </c>
      <c r="I1939" t="s">
        <v>14</v>
      </c>
      <c r="J1939" t="s">
        <v>14</v>
      </c>
      <c r="K1939">
        <v>10</v>
      </c>
      <c r="L1939" t="str">
        <f>IF(AND(CallLog[[#This Row],[Answered (Y/N)]]="Y", CallLog[[#This Row],[Speed of answer in seconds]]&lt;=20),
    "Within",
    "Breach")</f>
        <v>Within</v>
      </c>
      <c r="M1939" s="1">
        <v>3.4953703703703705E-3</v>
      </c>
      <c r="N1939">
        <v>4</v>
      </c>
    </row>
    <row r="1940" spans="1:14" x14ac:dyDescent="0.3">
      <c r="A1940" t="s">
        <v>1997</v>
      </c>
      <c r="B1940" t="s">
        <v>31</v>
      </c>
      <c r="C1940" t="s">
        <v>1939</v>
      </c>
      <c r="D1940" s="1">
        <v>0.64900462962962968</v>
      </c>
      <c r="E1940" s="2">
        <f>CallLog[[#This Row],[Date]]+CallLog[[#This Row],[Time]]</f>
        <v>44230.649004629631</v>
      </c>
      <c r="F1940" s="1" t="str">
        <f>TEXT(CallLog[[#This Row],[Date]],"dddd")</f>
        <v>Wednesday</v>
      </c>
      <c r="G1940" s="3">
        <f>HOUR(CallLog[[#This Row],[Time]])</f>
        <v>15</v>
      </c>
      <c r="H1940" t="s">
        <v>13</v>
      </c>
      <c r="I1940" t="s">
        <v>14</v>
      </c>
      <c r="J1940" t="s">
        <v>14</v>
      </c>
      <c r="K1940">
        <v>15</v>
      </c>
      <c r="L1940" t="str">
        <f>IF(AND(CallLog[[#This Row],[Answered (Y/N)]]="Y", CallLog[[#This Row],[Speed of answer in seconds]]&lt;=20),
    "Within",
    "Breach")</f>
        <v>Within</v>
      </c>
      <c r="M1940" s="1">
        <v>2.9745370370370373E-3</v>
      </c>
      <c r="N1940">
        <v>1</v>
      </c>
    </row>
    <row r="1941" spans="1:14" x14ac:dyDescent="0.3">
      <c r="A1941" t="s">
        <v>1998</v>
      </c>
      <c r="B1941" t="s">
        <v>22</v>
      </c>
      <c r="C1941" t="s">
        <v>1939</v>
      </c>
      <c r="D1941" s="1">
        <v>0.64900462962962968</v>
      </c>
      <c r="E1941" s="2">
        <f>CallLog[[#This Row],[Date]]+CallLog[[#This Row],[Time]]</f>
        <v>44230.649004629631</v>
      </c>
      <c r="F1941" s="1" t="str">
        <f>TEXT(CallLog[[#This Row],[Date]],"dddd")</f>
        <v>Wednesday</v>
      </c>
      <c r="G1941" s="3">
        <f>HOUR(CallLog[[#This Row],[Time]])</f>
        <v>15</v>
      </c>
      <c r="H1941" t="s">
        <v>17</v>
      </c>
      <c r="I1941" t="s">
        <v>14</v>
      </c>
      <c r="J1941" t="s">
        <v>14</v>
      </c>
      <c r="K1941">
        <v>81</v>
      </c>
      <c r="L1941" t="str">
        <f>IF(AND(CallLog[[#This Row],[Answered (Y/N)]]="Y", CallLog[[#This Row],[Speed of answer in seconds]]&lt;=20),
    "Within",
    "Breach")</f>
        <v>Breach</v>
      </c>
      <c r="M1941" s="1">
        <v>4.0740740740740737E-3</v>
      </c>
      <c r="N1941">
        <v>4</v>
      </c>
    </row>
    <row r="1942" spans="1:14" x14ac:dyDescent="0.3">
      <c r="A1942" t="s">
        <v>1999</v>
      </c>
      <c r="B1942" t="s">
        <v>16</v>
      </c>
      <c r="C1942" t="s">
        <v>1939</v>
      </c>
      <c r="D1942" s="1">
        <v>0.68900462962962961</v>
      </c>
      <c r="E1942" s="2">
        <f>CallLog[[#This Row],[Date]]+CallLog[[#This Row],[Time]]</f>
        <v>44230.689004629632</v>
      </c>
      <c r="F1942" s="1" t="str">
        <f>TEXT(CallLog[[#This Row],[Date]],"dddd")</f>
        <v>Wednesday</v>
      </c>
      <c r="G1942" s="3">
        <f>HOUR(CallLog[[#This Row],[Time]])</f>
        <v>16</v>
      </c>
      <c r="H1942" t="s">
        <v>32</v>
      </c>
      <c r="I1942" t="s">
        <v>14</v>
      </c>
      <c r="J1942" t="s">
        <v>18</v>
      </c>
      <c r="K1942">
        <v>115</v>
      </c>
      <c r="L1942" t="str">
        <f>IF(AND(CallLog[[#This Row],[Answered (Y/N)]]="Y", CallLog[[#This Row],[Speed of answer in seconds]]&lt;=20),
    "Within",
    "Breach")</f>
        <v>Breach</v>
      </c>
      <c r="M1942" s="1">
        <v>2.2685185185185187E-3</v>
      </c>
      <c r="N1942">
        <v>3</v>
      </c>
    </row>
    <row r="1943" spans="1:14" x14ac:dyDescent="0.3">
      <c r="A1943" t="s">
        <v>2000</v>
      </c>
      <c r="B1943" t="s">
        <v>38</v>
      </c>
      <c r="C1943" t="s">
        <v>1939</v>
      </c>
      <c r="D1943" s="1">
        <v>0.68900462962962961</v>
      </c>
      <c r="E1943" s="2">
        <f>CallLog[[#This Row],[Date]]+CallLog[[#This Row],[Time]]</f>
        <v>44230.689004629632</v>
      </c>
      <c r="F1943" s="1" t="str">
        <f>TEXT(CallLog[[#This Row],[Date]],"dddd")</f>
        <v>Wednesday</v>
      </c>
      <c r="G1943" s="3">
        <f>HOUR(CallLog[[#This Row],[Time]])</f>
        <v>16</v>
      </c>
      <c r="H1943" t="s">
        <v>13</v>
      </c>
      <c r="I1943" t="s">
        <v>14</v>
      </c>
      <c r="J1943" t="s">
        <v>14</v>
      </c>
      <c r="K1943">
        <v>17</v>
      </c>
      <c r="L1943" t="str">
        <f>IF(AND(CallLog[[#This Row],[Answered (Y/N)]]="Y", CallLog[[#This Row],[Speed of answer in seconds]]&lt;=20),
    "Within",
    "Breach")</f>
        <v>Within</v>
      </c>
      <c r="M1943" s="1">
        <v>7.291666666666667E-4</v>
      </c>
      <c r="N1943">
        <v>3</v>
      </c>
    </row>
    <row r="1944" spans="1:14" x14ac:dyDescent="0.3">
      <c r="A1944" t="s">
        <v>2001</v>
      </c>
      <c r="B1944" t="s">
        <v>11</v>
      </c>
      <c r="C1944" t="s">
        <v>1939</v>
      </c>
      <c r="D1944" s="1">
        <v>0.69400462962962961</v>
      </c>
      <c r="E1944" s="2">
        <f>CallLog[[#This Row],[Date]]+CallLog[[#This Row],[Time]]</f>
        <v>44230.694004629629</v>
      </c>
      <c r="F1944" s="1" t="str">
        <f>TEXT(CallLog[[#This Row],[Date]],"dddd")</f>
        <v>Wednesday</v>
      </c>
      <c r="G1944" s="3">
        <f>HOUR(CallLog[[#This Row],[Time]])</f>
        <v>16</v>
      </c>
      <c r="H1944" t="s">
        <v>32</v>
      </c>
      <c r="I1944" t="s">
        <v>14</v>
      </c>
      <c r="J1944" t="s">
        <v>14</v>
      </c>
      <c r="K1944">
        <v>20</v>
      </c>
      <c r="L1944" t="str">
        <f>IF(AND(CallLog[[#This Row],[Answered (Y/N)]]="Y", CallLog[[#This Row],[Speed of answer in seconds]]&lt;=20),
    "Within",
    "Breach")</f>
        <v>Within</v>
      </c>
      <c r="M1944" s="1">
        <v>2.1527777777777778E-3</v>
      </c>
      <c r="N1944">
        <v>4</v>
      </c>
    </row>
    <row r="1945" spans="1:14" x14ac:dyDescent="0.3">
      <c r="A1945" t="s">
        <v>2002</v>
      </c>
      <c r="B1945" t="s">
        <v>47</v>
      </c>
      <c r="C1945" t="s">
        <v>1939</v>
      </c>
      <c r="D1945" s="1">
        <v>0.69400462962962961</v>
      </c>
      <c r="E1945" s="2">
        <f>CallLog[[#This Row],[Date]]+CallLog[[#This Row],[Time]]</f>
        <v>44230.694004629629</v>
      </c>
      <c r="F1945" s="1" t="str">
        <f>TEXT(CallLog[[#This Row],[Date]],"dddd")</f>
        <v>Wednesday</v>
      </c>
      <c r="G1945" s="3">
        <f>HOUR(CallLog[[#This Row],[Time]])</f>
        <v>16</v>
      </c>
      <c r="H1945" t="s">
        <v>29</v>
      </c>
      <c r="I1945" t="s">
        <v>14</v>
      </c>
      <c r="J1945" t="s">
        <v>14</v>
      </c>
      <c r="K1945">
        <v>26</v>
      </c>
      <c r="L1945" t="str">
        <f>IF(AND(CallLog[[#This Row],[Answered (Y/N)]]="Y", CallLog[[#This Row],[Speed of answer in seconds]]&lt;=20),
    "Within",
    "Breach")</f>
        <v>Breach</v>
      </c>
      <c r="M1945" s="1">
        <v>2.8009259259259259E-3</v>
      </c>
      <c r="N1945">
        <v>3</v>
      </c>
    </row>
    <row r="1946" spans="1:14" x14ac:dyDescent="0.3">
      <c r="A1946" t="s">
        <v>2003</v>
      </c>
      <c r="B1946" t="s">
        <v>38</v>
      </c>
      <c r="C1946" t="s">
        <v>1939</v>
      </c>
      <c r="D1946" s="1">
        <v>0.7</v>
      </c>
      <c r="E1946" s="2">
        <f>CallLog[[#This Row],[Date]]+CallLog[[#This Row],[Time]]</f>
        <v>44230.7</v>
      </c>
      <c r="F1946" s="1" t="str">
        <f>TEXT(CallLog[[#This Row],[Date]],"dddd")</f>
        <v>Wednesday</v>
      </c>
      <c r="G1946" s="3">
        <f>HOUR(CallLog[[#This Row],[Time]])</f>
        <v>16</v>
      </c>
      <c r="H1946" t="s">
        <v>24</v>
      </c>
      <c r="I1946" t="s">
        <v>14</v>
      </c>
      <c r="J1946" t="s">
        <v>14</v>
      </c>
      <c r="K1946">
        <v>98</v>
      </c>
      <c r="L1946" t="str">
        <f>IF(AND(CallLog[[#This Row],[Answered (Y/N)]]="Y", CallLog[[#This Row],[Speed of answer in seconds]]&lt;=20),
    "Within",
    "Breach")</f>
        <v>Breach</v>
      </c>
      <c r="M1946" s="1">
        <v>2.1759259259259258E-3</v>
      </c>
      <c r="N1946">
        <v>5</v>
      </c>
    </row>
    <row r="1947" spans="1:14" x14ac:dyDescent="0.3">
      <c r="A1947" t="s">
        <v>2004</v>
      </c>
      <c r="B1947" t="s">
        <v>34</v>
      </c>
      <c r="C1947" t="s">
        <v>1939</v>
      </c>
      <c r="D1947" s="1">
        <v>0.7</v>
      </c>
      <c r="E1947" s="2">
        <f>CallLog[[#This Row],[Date]]+CallLog[[#This Row],[Time]]</f>
        <v>44230.7</v>
      </c>
      <c r="F1947" s="1" t="str">
        <f>TEXT(CallLog[[#This Row],[Date]],"dddd")</f>
        <v>Wednesday</v>
      </c>
      <c r="G1947" s="3">
        <f>HOUR(CallLog[[#This Row],[Time]])</f>
        <v>16</v>
      </c>
      <c r="H1947" t="s">
        <v>24</v>
      </c>
      <c r="I1947" t="s">
        <v>14</v>
      </c>
      <c r="J1947" t="s">
        <v>14</v>
      </c>
      <c r="K1947">
        <v>53</v>
      </c>
      <c r="L1947" t="str">
        <f>IF(AND(CallLog[[#This Row],[Answered (Y/N)]]="Y", CallLog[[#This Row],[Speed of answer in seconds]]&lt;=20),
    "Within",
    "Breach")</f>
        <v>Breach</v>
      </c>
      <c r="M1947" s="1">
        <v>1.8749999999999999E-3</v>
      </c>
      <c r="N1947">
        <v>3</v>
      </c>
    </row>
    <row r="1948" spans="1:14" x14ac:dyDescent="0.3">
      <c r="A1948" t="s">
        <v>2005</v>
      </c>
      <c r="B1948" t="s">
        <v>20</v>
      </c>
      <c r="C1948" t="s">
        <v>1939</v>
      </c>
      <c r="D1948" s="1">
        <v>0.70700231481481479</v>
      </c>
      <c r="E1948" s="2">
        <f>CallLog[[#This Row],[Date]]+CallLog[[#This Row],[Time]]</f>
        <v>44230.707002314812</v>
      </c>
      <c r="F1948" s="1" t="str">
        <f>TEXT(CallLog[[#This Row],[Date]],"dddd")</f>
        <v>Wednesday</v>
      </c>
      <c r="G1948" s="3">
        <f>HOUR(CallLog[[#This Row],[Time]])</f>
        <v>16</v>
      </c>
      <c r="H1948" t="s">
        <v>29</v>
      </c>
      <c r="I1948" t="s">
        <v>14</v>
      </c>
      <c r="J1948" t="s">
        <v>14</v>
      </c>
      <c r="K1948">
        <v>14</v>
      </c>
      <c r="L1948" t="str">
        <f>IF(AND(CallLog[[#This Row],[Answered (Y/N)]]="Y", CallLog[[#This Row],[Speed of answer in seconds]]&lt;=20),
    "Within",
    "Breach")</f>
        <v>Within</v>
      </c>
      <c r="M1948" s="1">
        <v>3.8888888888888888E-3</v>
      </c>
      <c r="N1948">
        <v>4</v>
      </c>
    </row>
    <row r="1949" spans="1:14" x14ac:dyDescent="0.3">
      <c r="A1949" t="s">
        <v>2006</v>
      </c>
      <c r="B1949" t="s">
        <v>11</v>
      </c>
      <c r="C1949" t="s">
        <v>1939</v>
      </c>
      <c r="D1949" s="1">
        <v>0.70700231481481479</v>
      </c>
      <c r="E1949" s="2">
        <f>CallLog[[#This Row],[Date]]+CallLog[[#This Row],[Time]]</f>
        <v>44230.707002314812</v>
      </c>
      <c r="F1949" s="1" t="str">
        <f>TEXT(CallLog[[#This Row],[Date]],"dddd")</f>
        <v>Wednesday</v>
      </c>
      <c r="G1949" s="3">
        <f>HOUR(CallLog[[#This Row],[Time]])</f>
        <v>16</v>
      </c>
      <c r="H1949" t="s">
        <v>32</v>
      </c>
      <c r="I1949" t="s">
        <v>18</v>
      </c>
      <c r="J1949" t="s">
        <v>18</v>
      </c>
      <c r="L1949" t="str">
        <f>IF(AND(CallLog[[#This Row],[Answered (Y/N)]]="Y", CallLog[[#This Row],[Speed of answer in seconds]]&lt;=20),
    "Within",
    "Breach")</f>
        <v>Breach</v>
      </c>
    </row>
    <row r="1950" spans="1:14" x14ac:dyDescent="0.3">
      <c r="A1950" t="s">
        <v>2007</v>
      </c>
      <c r="B1950" t="s">
        <v>22</v>
      </c>
      <c r="C1950" t="s">
        <v>1939</v>
      </c>
      <c r="D1950" s="1">
        <v>0.71099537037037042</v>
      </c>
      <c r="E1950" s="2">
        <f>CallLog[[#This Row],[Date]]+CallLog[[#This Row],[Time]]</f>
        <v>44230.710995370369</v>
      </c>
      <c r="F1950" s="1" t="str">
        <f>TEXT(CallLog[[#This Row],[Date]],"dddd")</f>
        <v>Wednesday</v>
      </c>
      <c r="G1950" s="3">
        <f>HOUR(CallLog[[#This Row],[Time]])</f>
        <v>17</v>
      </c>
      <c r="H1950" t="s">
        <v>32</v>
      </c>
      <c r="I1950" t="s">
        <v>14</v>
      </c>
      <c r="J1950" t="s">
        <v>14</v>
      </c>
      <c r="K1950">
        <v>47</v>
      </c>
      <c r="L1950" t="str">
        <f>IF(AND(CallLog[[#This Row],[Answered (Y/N)]]="Y", CallLog[[#This Row],[Speed of answer in seconds]]&lt;=20),
    "Within",
    "Breach")</f>
        <v>Breach</v>
      </c>
      <c r="M1950" s="1">
        <v>2.8935185185185184E-3</v>
      </c>
      <c r="N1950">
        <v>3</v>
      </c>
    </row>
    <row r="1951" spans="1:14" x14ac:dyDescent="0.3">
      <c r="A1951" t="s">
        <v>2008</v>
      </c>
      <c r="B1951" t="s">
        <v>20</v>
      </c>
      <c r="C1951" t="s">
        <v>1939</v>
      </c>
      <c r="D1951" s="1">
        <v>0.71099537037037042</v>
      </c>
      <c r="E1951" s="2">
        <f>CallLog[[#This Row],[Date]]+CallLog[[#This Row],[Time]]</f>
        <v>44230.710995370369</v>
      </c>
      <c r="F1951" s="1" t="str">
        <f>TEXT(CallLog[[#This Row],[Date]],"dddd")</f>
        <v>Wednesday</v>
      </c>
      <c r="G1951" s="3">
        <f>HOUR(CallLog[[#This Row],[Time]])</f>
        <v>17</v>
      </c>
      <c r="H1951" t="s">
        <v>24</v>
      </c>
      <c r="I1951" t="s">
        <v>18</v>
      </c>
      <c r="J1951" t="s">
        <v>18</v>
      </c>
      <c r="L1951" t="str">
        <f>IF(AND(CallLog[[#This Row],[Answered (Y/N)]]="Y", CallLog[[#This Row],[Speed of answer in seconds]]&lt;=20),
    "Within",
    "Breach")</f>
        <v>Breach</v>
      </c>
    </row>
    <row r="1952" spans="1:14" x14ac:dyDescent="0.3">
      <c r="A1952" t="s">
        <v>2009</v>
      </c>
      <c r="B1952" t="s">
        <v>20</v>
      </c>
      <c r="C1952" t="s">
        <v>1939</v>
      </c>
      <c r="D1952" s="1">
        <v>0.71299768518518514</v>
      </c>
      <c r="E1952" s="2">
        <f>CallLog[[#This Row],[Date]]+CallLog[[#This Row],[Time]]</f>
        <v>44230.712997685187</v>
      </c>
      <c r="F1952" s="1" t="str">
        <f>TEXT(CallLog[[#This Row],[Date]],"dddd")</f>
        <v>Wednesday</v>
      </c>
      <c r="G1952" s="3">
        <f>HOUR(CallLog[[#This Row],[Time]])</f>
        <v>17</v>
      </c>
      <c r="H1952" t="s">
        <v>24</v>
      </c>
      <c r="I1952" t="s">
        <v>14</v>
      </c>
      <c r="J1952" t="s">
        <v>14</v>
      </c>
      <c r="K1952">
        <v>109</v>
      </c>
      <c r="L1952" t="str">
        <f>IF(AND(CallLog[[#This Row],[Answered (Y/N)]]="Y", CallLog[[#This Row],[Speed of answer in seconds]]&lt;=20),
    "Within",
    "Breach")</f>
        <v>Breach</v>
      </c>
      <c r="M1952" s="1">
        <v>9.6064814814814819E-4</v>
      </c>
      <c r="N1952">
        <v>5</v>
      </c>
    </row>
    <row r="1953" spans="1:14" x14ac:dyDescent="0.3">
      <c r="A1953" t="s">
        <v>2010</v>
      </c>
      <c r="B1953" t="s">
        <v>22</v>
      </c>
      <c r="C1953" t="s">
        <v>1939</v>
      </c>
      <c r="D1953" s="1">
        <v>0.71299768518518514</v>
      </c>
      <c r="E1953" s="2">
        <f>CallLog[[#This Row],[Date]]+CallLog[[#This Row],[Time]]</f>
        <v>44230.712997685187</v>
      </c>
      <c r="F1953" s="1" t="str">
        <f>TEXT(CallLog[[#This Row],[Date]],"dddd")</f>
        <v>Wednesday</v>
      </c>
      <c r="G1953" s="3">
        <f>HOUR(CallLog[[#This Row],[Time]])</f>
        <v>17</v>
      </c>
      <c r="H1953" t="s">
        <v>17</v>
      </c>
      <c r="I1953" t="s">
        <v>14</v>
      </c>
      <c r="J1953" t="s">
        <v>14</v>
      </c>
      <c r="K1953">
        <v>82</v>
      </c>
      <c r="L1953" t="str">
        <f>IF(AND(CallLog[[#This Row],[Answered (Y/N)]]="Y", CallLog[[#This Row],[Speed of answer in seconds]]&lt;=20),
    "Within",
    "Breach")</f>
        <v>Breach</v>
      </c>
      <c r="M1953" s="1">
        <v>2.8703703703703703E-3</v>
      </c>
      <c r="N1953">
        <v>1</v>
      </c>
    </row>
    <row r="1954" spans="1:14" x14ac:dyDescent="0.3">
      <c r="A1954" t="s">
        <v>2011</v>
      </c>
      <c r="B1954" t="s">
        <v>47</v>
      </c>
      <c r="C1954" t="s">
        <v>1939</v>
      </c>
      <c r="D1954" s="1">
        <v>0.73900462962962965</v>
      </c>
      <c r="E1954" s="2">
        <f>CallLog[[#This Row],[Date]]+CallLog[[#This Row],[Time]]</f>
        <v>44230.739004629628</v>
      </c>
      <c r="F1954" s="1" t="str">
        <f>TEXT(CallLog[[#This Row],[Date]],"dddd")</f>
        <v>Wednesday</v>
      </c>
      <c r="G1954" s="3">
        <f>HOUR(CallLog[[#This Row],[Time]])</f>
        <v>17</v>
      </c>
      <c r="H1954" t="s">
        <v>17</v>
      </c>
      <c r="I1954" t="s">
        <v>14</v>
      </c>
      <c r="J1954" t="s">
        <v>14</v>
      </c>
      <c r="K1954">
        <v>58</v>
      </c>
      <c r="L1954" t="str">
        <f>IF(AND(CallLog[[#This Row],[Answered (Y/N)]]="Y", CallLog[[#This Row],[Speed of answer in seconds]]&lt;=20),
    "Within",
    "Breach")</f>
        <v>Breach</v>
      </c>
      <c r="M1954" s="1">
        <v>3.449074074074074E-3</v>
      </c>
      <c r="N1954">
        <v>3</v>
      </c>
    </row>
    <row r="1955" spans="1:14" x14ac:dyDescent="0.3">
      <c r="A1955" t="s">
        <v>2012</v>
      </c>
      <c r="B1955" t="s">
        <v>22</v>
      </c>
      <c r="C1955" t="s">
        <v>1939</v>
      </c>
      <c r="D1955" s="1">
        <v>0.73900462962962965</v>
      </c>
      <c r="E1955" s="2">
        <f>CallLog[[#This Row],[Date]]+CallLog[[#This Row],[Time]]</f>
        <v>44230.739004629628</v>
      </c>
      <c r="F1955" s="1" t="str">
        <f>TEXT(CallLog[[#This Row],[Date]],"dddd")</f>
        <v>Wednesday</v>
      </c>
      <c r="G1955" s="3">
        <f>HOUR(CallLog[[#This Row],[Time]])</f>
        <v>17</v>
      </c>
      <c r="H1955" t="s">
        <v>29</v>
      </c>
      <c r="I1955" t="s">
        <v>14</v>
      </c>
      <c r="J1955" t="s">
        <v>14</v>
      </c>
      <c r="K1955">
        <v>94</v>
      </c>
      <c r="L1955" t="str">
        <f>IF(AND(CallLog[[#This Row],[Answered (Y/N)]]="Y", CallLog[[#This Row],[Speed of answer in seconds]]&lt;=20),
    "Within",
    "Breach")</f>
        <v>Breach</v>
      </c>
      <c r="M1955" s="1">
        <v>2.6967592592592594E-3</v>
      </c>
      <c r="N1955">
        <v>2</v>
      </c>
    </row>
    <row r="1956" spans="1:14" x14ac:dyDescent="0.3">
      <c r="A1956" t="s">
        <v>2013</v>
      </c>
      <c r="B1956" t="s">
        <v>22</v>
      </c>
      <c r="C1956" t="s">
        <v>2014</v>
      </c>
      <c r="D1956" s="1">
        <v>0.38299768518518518</v>
      </c>
      <c r="E1956" s="2">
        <f>CallLog[[#This Row],[Date]]+CallLog[[#This Row],[Time]]</f>
        <v>44231.382997685185</v>
      </c>
      <c r="F1956" s="1" t="str">
        <f>TEXT(CallLog[[#This Row],[Date]],"dddd")</f>
        <v>Thursday</v>
      </c>
      <c r="G1956" s="3">
        <f>HOUR(CallLog[[#This Row],[Time]])</f>
        <v>9</v>
      </c>
      <c r="H1956" t="s">
        <v>29</v>
      </c>
      <c r="I1956" t="s">
        <v>18</v>
      </c>
      <c r="J1956" t="s">
        <v>18</v>
      </c>
      <c r="L1956" t="str">
        <f>IF(AND(CallLog[[#This Row],[Answered (Y/N)]]="Y", CallLog[[#This Row],[Speed of answer in seconds]]&lt;=20),
    "Within",
    "Breach")</f>
        <v>Breach</v>
      </c>
    </row>
    <row r="1957" spans="1:14" x14ac:dyDescent="0.3">
      <c r="A1957" t="s">
        <v>2015</v>
      </c>
      <c r="B1957" t="s">
        <v>47</v>
      </c>
      <c r="C1957" t="s">
        <v>2014</v>
      </c>
      <c r="D1957" s="1">
        <v>0.38299768518518518</v>
      </c>
      <c r="E1957" s="2">
        <f>CallLog[[#This Row],[Date]]+CallLog[[#This Row],[Time]]</f>
        <v>44231.382997685185</v>
      </c>
      <c r="F1957" s="1" t="str">
        <f>TEXT(CallLog[[#This Row],[Date]],"dddd")</f>
        <v>Thursday</v>
      </c>
      <c r="G1957" s="3">
        <f>HOUR(CallLog[[#This Row],[Time]])</f>
        <v>9</v>
      </c>
      <c r="H1957" t="s">
        <v>32</v>
      </c>
      <c r="I1957" t="s">
        <v>14</v>
      </c>
      <c r="J1957" t="s">
        <v>14</v>
      </c>
      <c r="K1957">
        <v>32</v>
      </c>
      <c r="L1957" t="str">
        <f>IF(AND(CallLog[[#This Row],[Answered (Y/N)]]="Y", CallLog[[#This Row],[Speed of answer in seconds]]&lt;=20),
    "Within",
    "Breach")</f>
        <v>Breach</v>
      </c>
      <c r="M1957" s="1">
        <v>4.7685185185185183E-3</v>
      </c>
      <c r="N1957">
        <v>4</v>
      </c>
    </row>
    <row r="1958" spans="1:14" x14ac:dyDescent="0.3">
      <c r="A1958" t="s">
        <v>2016</v>
      </c>
      <c r="B1958" t="s">
        <v>20</v>
      </c>
      <c r="C1958" t="s">
        <v>2014</v>
      </c>
      <c r="D1958" s="1">
        <v>0.4</v>
      </c>
      <c r="E1958" s="2">
        <f>CallLog[[#This Row],[Date]]+CallLog[[#This Row],[Time]]</f>
        <v>44231.4</v>
      </c>
      <c r="F1958" s="1" t="str">
        <f>TEXT(CallLog[[#This Row],[Date]],"dddd")</f>
        <v>Thursday</v>
      </c>
      <c r="G1958" s="3">
        <f>HOUR(CallLog[[#This Row],[Time]])</f>
        <v>9</v>
      </c>
      <c r="H1958" t="s">
        <v>13</v>
      </c>
      <c r="I1958" t="s">
        <v>14</v>
      </c>
      <c r="J1958" t="s">
        <v>14</v>
      </c>
      <c r="K1958">
        <v>102</v>
      </c>
      <c r="L1958" t="str">
        <f>IF(AND(CallLog[[#This Row],[Answered (Y/N)]]="Y", CallLog[[#This Row],[Speed of answer in seconds]]&lt;=20),
    "Within",
    "Breach")</f>
        <v>Breach</v>
      </c>
      <c r="M1958" s="1">
        <v>3.7268518518518519E-3</v>
      </c>
      <c r="N1958">
        <v>4</v>
      </c>
    </row>
    <row r="1959" spans="1:14" x14ac:dyDescent="0.3">
      <c r="A1959" t="s">
        <v>2017</v>
      </c>
      <c r="B1959" t="s">
        <v>11</v>
      </c>
      <c r="C1959" t="s">
        <v>2014</v>
      </c>
      <c r="D1959" s="1">
        <v>0.4</v>
      </c>
      <c r="E1959" s="2">
        <f>CallLog[[#This Row],[Date]]+CallLog[[#This Row],[Time]]</f>
        <v>44231.4</v>
      </c>
      <c r="F1959" s="1" t="str">
        <f>TEXT(CallLog[[#This Row],[Date]],"dddd")</f>
        <v>Thursday</v>
      </c>
      <c r="G1959" s="3">
        <f>HOUR(CallLog[[#This Row],[Time]])</f>
        <v>9</v>
      </c>
      <c r="H1959" t="s">
        <v>17</v>
      </c>
      <c r="I1959" t="s">
        <v>18</v>
      </c>
      <c r="J1959" t="s">
        <v>18</v>
      </c>
      <c r="L1959" t="str">
        <f>IF(AND(CallLog[[#This Row],[Answered (Y/N)]]="Y", CallLog[[#This Row],[Speed of answer in seconds]]&lt;=20),
    "Within",
    "Breach")</f>
        <v>Breach</v>
      </c>
    </row>
    <row r="1960" spans="1:14" x14ac:dyDescent="0.3">
      <c r="A1960" t="s">
        <v>2018</v>
      </c>
      <c r="B1960" t="s">
        <v>38</v>
      </c>
      <c r="C1960" t="s">
        <v>2014</v>
      </c>
      <c r="D1960" s="1">
        <v>0.41400462962962964</v>
      </c>
      <c r="E1960" s="2">
        <f>CallLog[[#This Row],[Date]]+CallLog[[#This Row],[Time]]</f>
        <v>44231.414004629631</v>
      </c>
      <c r="F1960" s="1" t="str">
        <f>TEXT(CallLog[[#This Row],[Date]],"dddd")</f>
        <v>Thursday</v>
      </c>
      <c r="G1960" s="3">
        <f>HOUR(CallLog[[#This Row],[Time]])</f>
        <v>9</v>
      </c>
      <c r="H1960" t="s">
        <v>29</v>
      </c>
      <c r="I1960" t="s">
        <v>18</v>
      </c>
      <c r="J1960" t="s">
        <v>18</v>
      </c>
      <c r="L1960" t="str">
        <f>IF(AND(CallLog[[#This Row],[Answered (Y/N)]]="Y", CallLog[[#This Row],[Speed of answer in seconds]]&lt;=20),
    "Within",
    "Breach")</f>
        <v>Breach</v>
      </c>
    </row>
    <row r="1961" spans="1:14" x14ac:dyDescent="0.3">
      <c r="A1961" t="s">
        <v>2019</v>
      </c>
      <c r="B1961" t="s">
        <v>47</v>
      </c>
      <c r="C1961" t="s">
        <v>2014</v>
      </c>
      <c r="D1961" s="1">
        <v>0.41400462962962964</v>
      </c>
      <c r="E1961" s="2">
        <f>CallLog[[#This Row],[Date]]+CallLog[[#This Row],[Time]]</f>
        <v>44231.414004629631</v>
      </c>
      <c r="F1961" s="1" t="str">
        <f>TEXT(CallLog[[#This Row],[Date]],"dddd")</f>
        <v>Thursday</v>
      </c>
      <c r="G1961" s="3">
        <f>HOUR(CallLog[[#This Row],[Time]])</f>
        <v>9</v>
      </c>
      <c r="H1961" t="s">
        <v>13</v>
      </c>
      <c r="I1961" t="s">
        <v>14</v>
      </c>
      <c r="J1961" t="s">
        <v>14</v>
      </c>
      <c r="K1961">
        <v>36</v>
      </c>
      <c r="L1961" t="str">
        <f>IF(AND(CallLog[[#This Row],[Answered (Y/N)]]="Y", CallLog[[#This Row],[Speed of answer in seconds]]&lt;=20),
    "Within",
    "Breach")</f>
        <v>Breach</v>
      </c>
      <c r="M1961" s="1">
        <v>4.6874999999999998E-3</v>
      </c>
      <c r="N1961">
        <v>1</v>
      </c>
    </row>
    <row r="1962" spans="1:14" x14ac:dyDescent="0.3">
      <c r="A1962" t="s">
        <v>2020</v>
      </c>
      <c r="B1962" t="s">
        <v>22</v>
      </c>
      <c r="C1962" t="s">
        <v>2014</v>
      </c>
      <c r="D1962" s="1">
        <v>0.42</v>
      </c>
      <c r="E1962" s="2">
        <f>CallLog[[#This Row],[Date]]+CallLog[[#This Row],[Time]]</f>
        <v>44231.42</v>
      </c>
      <c r="F1962" s="1" t="str">
        <f>TEXT(CallLog[[#This Row],[Date]],"dddd")</f>
        <v>Thursday</v>
      </c>
      <c r="G1962" s="3">
        <f>HOUR(CallLog[[#This Row],[Time]])</f>
        <v>10</v>
      </c>
      <c r="H1962" t="s">
        <v>24</v>
      </c>
      <c r="I1962" t="s">
        <v>14</v>
      </c>
      <c r="J1962" t="s">
        <v>14</v>
      </c>
      <c r="K1962">
        <v>41</v>
      </c>
      <c r="L1962" t="str">
        <f>IF(AND(CallLog[[#This Row],[Answered (Y/N)]]="Y", CallLog[[#This Row],[Speed of answer in seconds]]&lt;=20),
    "Within",
    "Breach")</f>
        <v>Breach</v>
      </c>
      <c r="M1962" s="1">
        <v>4.0046296296296297E-3</v>
      </c>
      <c r="N1962">
        <v>5</v>
      </c>
    </row>
    <row r="1963" spans="1:14" x14ac:dyDescent="0.3">
      <c r="A1963" t="s">
        <v>2021</v>
      </c>
      <c r="B1963" t="s">
        <v>22</v>
      </c>
      <c r="C1963" t="s">
        <v>2014</v>
      </c>
      <c r="D1963" s="1">
        <v>0.42</v>
      </c>
      <c r="E1963" s="2">
        <f>CallLog[[#This Row],[Date]]+CallLog[[#This Row],[Time]]</f>
        <v>44231.42</v>
      </c>
      <c r="F1963" s="1" t="str">
        <f>TEXT(CallLog[[#This Row],[Date]],"dddd")</f>
        <v>Thursday</v>
      </c>
      <c r="G1963" s="3">
        <f>HOUR(CallLog[[#This Row],[Time]])</f>
        <v>10</v>
      </c>
      <c r="H1963" t="s">
        <v>17</v>
      </c>
      <c r="I1963" t="s">
        <v>14</v>
      </c>
      <c r="J1963" t="s">
        <v>14</v>
      </c>
      <c r="K1963">
        <v>117</v>
      </c>
      <c r="L1963" t="str">
        <f>IF(AND(CallLog[[#This Row],[Answered (Y/N)]]="Y", CallLog[[#This Row],[Speed of answer in seconds]]&lt;=20),
    "Within",
    "Breach")</f>
        <v>Breach</v>
      </c>
      <c r="M1963" s="1">
        <v>4.8263888888888887E-3</v>
      </c>
      <c r="N1963">
        <v>5</v>
      </c>
    </row>
    <row r="1964" spans="1:14" x14ac:dyDescent="0.3">
      <c r="A1964" t="s">
        <v>2022</v>
      </c>
      <c r="B1964" t="s">
        <v>11</v>
      </c>
      <c r="C1964" t="s">
        <v>2014</v>
      </c>
      <c r="D1964" s="1">
        <v>0.42299768518518521</v>
      </c>
      <c r="E1964" s="2">
        <f>CallLog[[#This Row],[Date]]+CallLog[[#This Row],[Time]]</f>
        <v>44231.422997685186</v>
      </c>
      <c r="F1964" s="1" t="str">
        <f>TEXT(CallLog[[#This Row],[Date]],"dddd")</f>
        <v>Thursday</v>
      </c>
      <c r="G1964" s="3">
        <f>HOUR(CallLog[[#This Row],[Time]])</f>
        <v>10</v>
      </c>
      <c r="H1964" t="s">
        <v>29</v>
      </c>
      <c r="I1964" t="s">
        <v>14</v>
      </c>
      <c r="J1964" t="s">
        <v>14</v>
      </c>
      <c r="K1964">
        <v>118</v>
      </c>
      <c r="L1964" t="str">
        <f>IF(AND(CallLog[[#This Row],[Answered (Y/N)]]="Y", CallLog[[#This Row],[Speed of answer in seconds]]&lt;=20),
    "Within",
    "Breach")</f>
        <v>Breach</v>
      </c>
      <c r="M1964" s="1">
        <v>5.0925925925925921E-4</v>
      </c>
      <c r="N1964">
        <v>5</v>
      </c>
    </row>
    <row r="1965" spans="1:14" x14ac:dyDescent="0.3">
      <c r="A1965" t="s">
        <v>2023</v>
      </c>
      <c r="B1965" t="s">
        <v>22</v>
      </c>
      <c r="C1965" t="s">
        <v>2014</v>
      </c>
      <c r="D1965" s="1">
        <v>0.42299768518518521</v>
      </c>
      <c r="E1965" s="2">
        <f>CallLog[[#This Row],[Date]]+CallLog[[#This Row],[Time]]</f>
        <v>44231.422997685186</v>
      </c>
      <c r="F1965" s="1" t="str">
        <f>TEXT(CallLog[[#This Row],[Date]],"dddd")</f>
        <v>Thursday</v>
      </c>
      <c r="G1965" s="3">
        <f>HOUR(CallLog[[#This Row],[Time]])</f>
        <v>10</v>
      </c>
      <c r="H1965" t="s">
        <v>29</v>
      </c>
      <c r="I1965" t="s">
        <v>14</v>
      </c>
      <c r="J1965" t="s">
        <v>14</v>
      </c>
      <c r="K1965">
        <v>41</v>
      </c>
      <c r="L1965" t="str">
        <f>IF(AND(CallLog[[#This Row],[Answered (Y/N)]]="Y", CallLog[[#This Row],[Speed of answer in seconds]]&lt;=20),
    "Within",
    "Breach")</f>
        <v>Breach</v>
      </c>
      <c r="M1965" s="1">
        <v>3.7499999999999999E-3</v>
      </c>
      <c r="N1965">
        <v>3</v>
      </c>
    </row>
    <row r="1966" spans="1:14" x14ac:dyDescent="0.3">
      <c r="A1966" t="s">
        <v>2024</v>
      </c>
      <c r="B1966" t="s">
        <v>22</v>
      </c>
      <c r="C1966" t="s">
        <v>2014</v>
      </c>
      <c r="D1966" s="1">
        <v>0.42799768518518516</v>
      </c>
      <c r="E1966" s="2">
        <f>CallLog[[#This Row],[Date]]+CallLog[[#This Row],[Time]]</f>
        <v>44231.427997685183</v>
      </c>
      <c r="F1966" s="1" t="str">
        <f>TEXT(CallLog[[#This Row],[Date]],"dddd")</f>
        <v>Thursday</v>
      </c>
      <c r="G1966" s="3">
        <f>HOUR(CallLog[[#This Row],[Time]])</f>
        <v>10</v>
      </c>
      <c r="H1966" t="s">
        <v>32</v>
      </c>
      <c r="I1966" t="s">
        <v>14</v>
      </c>
      <c r="J1966" t="s">
        <v>14</v>
      </c>
      <c r="K1966">
        <v>24</v>
      </c>
      <c r="L1966" t="str">
        <f>IF(AND(CallLog[[#This Row],[Answered (Y/N)]]="Y", CallLog[[#This Row],[Speed of answer in seconds]]&lt;=20),
    "Within",
    "Breach")</f>
        <v>Breach</v>
      </c>
      <c r="M1966" s="1">
        <v>4.2476851851851851E-3</v>
      </c>
      <c r="N1966">
        <v>3</v>
      </c>
    </row>
    <row r="1967" spans="1:14" x14ac:dyDescent="0.3">
      <c r="A1967" t="s">
        <v>2025</v>
      </c>
      <c r="B1967" t="s">
        <v>38</v>
      </c>
      <c r="C1967" t="s">
        <v>2014</v>
      </c>
      <c r="D1967" s="1">
        <v>0.42799768518518516</v>
      </c>
      <c r="E1967" s="2">
        <f>CallLog[[#This Row],[Date]]+CallLog[[#This Row],[Time]]</f>
        <v>44231.427997685183</v>
      </c>
      <c r="F1967" s="1" t="str">
        <f>TEXT(CallLog[[#This Row],[Date]],"dddd")</f>
        <v>Thursday</v>
      </c>
      <c r="G1967" s="3">
        <f>HOUR(CallLog[[#This Row],[Time]])</f>
        <v>10</v>
      </c>
      <c r="H1967" t="s">
        <v>13</v>
      </c>
      <c r="I1967" t="s">
        <v>14</v>
      </c>
      <c r="J1967" t="s">
        <v>14</v>
      </c>
      <c r="K1967">
        <v>105</v>
      </c>
      <c r="L1967" t="str">
        <f>IF(AND(CallLog[[#This Row],[Answered (Y/N)]]="Y", CallLog[[#This Row],[Speed of answer in seconds]]&lt;=20),
    "Within",
    "Breach")</f>
        <v>Breach</v>
      </c>
      <c r="M1967" s="1">
        <v>1.4236111111111112E-3</v>
      </c>
      <c r="N1967">
        <v>4</v>
      </c>
    </row>
    <row r="1968" spans="1:14" x14ac:dyDescent="0.3">
      <c r="A1968" t="s">
        <v>2026</v>
      </c>
      <c r="B1968" t="s">
        <v>11</v>
      </c>
      <c r="C1968" t="s">
        <v>2014</v>
      </c>
      <c r="D1968" s="1">
        <v>0.44</v>
      </c>
      <c r="E1968" s="2">
        <f>CallLog[[#This Row],[Date]]+CallLog[[#This Row],[Time]]</f>
        <v>44231.44</v>
      </c>
      <c r="F1968" s="1" t="str">
        <f>TEXT(CallLog[[#This Row],[Date]],"dddd")</f>
        <v>Thursday</v>
      </c>
      <c r="G1968" s="3">
        <f>HOUR(CallLog[[#This Row],[Time]])</f>
        <v>10</v>
      </c>
      <c r="H1968" t="s">
        <v>32</v>
      </c>
      <c r="I1968" t="s">
        <v>18</v>
      </c>
      <c r="J1968" t="s">
        <v>18</v>
      </c>
      <c r="L1968" t="str">
        <f>IF(AND(CallLog[[#This Row],[Answered (Y/N)]]="Y", CallLog[[#This Row],[Speed of answer in seconds]]&lt;=20),
    "Within",
    "Breach")</f>
        <v>Breach</v>
      </c>
    </row>
    <row r="1969" spans="1:14" x14ac:dyDescent="0.3">
      <c r="A1969" t="s">
        <v>2027</v>
      </c>
      <c r="B1969" t="s">
        <v>16</v>
      </c>
      <c r="C1969" t="s">
        <v>2014</v>
      </c>
      <c r="D1969" s="1">
        <v>0.44</v>
      </c>
      <c r="E1969" s="2">
        <f>CallLog[[#This Row],[Date]]+CallLog[[#This Row],[Time]]</f>
        <v>44231.44</v>
      </c>
      <c r="F1969" s="1" t="str">
        <f>TEXT(CallLog[[#This Row],[Date]],"dddd")</f>
        <v>Thursday</v>
      </c>
      <c r="G1969" s="3">
        <f>HOUR(CallLog[[#This Row],[Time]])</f>
        <v>10</v>
      </c>
      <c r="H1969" t="s">
        <v>24</v>
      </c>
      <c r="I1969" t="s">
        <v>14</v>
      </c>
      <c r="J1969" t="s">
        <v>14</v>
      </c>
      <c r="K1969">
        <v>45</v>
      </c>
      <c r="L1969" t="str">
        <f>IF(AND(CallLog[[#This Row],[Answered (Y/N)]]="Y", CallLog[[#This Row],[Speed of answer in seconds]]&lt;=20),
    "Within",
    "Breach")</f>
        <v>Breach</v>
      </c>
      <c r="M1969" s="1">
        <v>3.5185185185185185E-3</v>
      </c>
      <c r="N1969">
        <v>1</v>
      </c>
    </row>
    <row r="1970" spans="1:14" x14ac:dyDescent="0.3">
      <c r="A1970" t="s">
        <v>2028</v>
      </c>
      <c r="B1970" t="s">
        <v>16</v>
      </c>
      <c r="C1970" t="s">
        <v>2014</v>
      </c>
      <c r="D1970" s="1">
        <v>0.45700231481481479</v>
      </c>
      <c r="E1970" s="2">
        <f>CallLog[[#This Row],[Date]]+CallLog[[#This Row],[Time]]</f>
        <v>44231.457002314812</v>
      </c>
      <c r="F1970" s="1" t="str">
        <f>TEXT(CallLog[[#This Row],[Date]],"dddd")</f>
        <v>Thursday</v>
      </c>
      <c r="G1970" s="3">
        <f>HOUR(CallLog[[#This Row],[Time]])</f>
        <v>10</v>
      </c>
      <c r="H1970" t="s">
        <v>24</v>
      </c>
      <c r="I1970" t="s">
        <v>14</v>
      </c>
      <c r="J1970" t="s">
        <v>14</v>
      </c>
      <c r="K1970">
        <v>66</v>
      </c>
      <c r="L1970" t="str">
        <f>IF(AND(CallLog[[#This Row],[Answered (Y/N)]]="Y", CallLog[[#This Row],[Speed of answer in seconds]]&lt;=20),
    "Within",
    "Breach")</f>
        <v>Breach</v>
      </c>
      <c r="M1970" s="1">
        <v>3.8425925925925928E-3</v>
      </c>
      <c r="N1970">
        <v>4</v>
      </c>
    </row>
    <row r="1971" spans="1:14" x14ac:dyDescent="0.3">
      <c r="A1971" t="s">
        <v>2029</v>
      </c>
      <c r="B1971" t="s">
        <v>34</v>
      </c>
      <c r="C1971" t="s">
        <v>2014</v>
      </c>
      <c r="D1971" s="1">
        <v>0.45700231481481479</v>
      </c>
      <c r="E1971" s="2">
        <f>CallLog[[#This Row],[Date]]+CallLog[[#This Row],[Time]]</f>
        <v>44231.457002314812</v>
      </c>
      <c r="F1971" s="1" t="str">
        <f>TEXT(CallLog[[#This Row],[Date]],"dddd")</f>
        <v>Thursday</v>
      </c>
      <c r="G1971" s="3">
        <f>HOUR(CallLog[[#This Row],[Time]])</f>
        <v>10</v>
      </c>
      <c r="H1971" t="s">
        <v>13</v>
      </c>
      <c r="I1971" t="s">
        <v>14</v>
      </c>
      <c r="J1971" t="s">
        <v>14</v>
      </c>
      <c r="K1971">
        <v>63</v>
      </c>
      <c r="L1971" t="str">
        <f>IF(AND(CallLog[[#This Row],[Answered (Y/N)]]="Y", CallLog[[#This Row],[Speed of answer in seconds]]&lt;=20),
    "Within",
    "Breach")</f>
        <v>Breach</v>
      </c>
      <c r="M1971" s="1">
        <v>2.3958333333333331E-3</v>
      </c>
      <c r="N1971">
        <v>3</v>
      </c>
    </row>
    <row r="1972" spans="1:14" x14ac:dyDescent="0.3">
      <c r="A1972" t="s">
        <v>2030</v>
      </c>
      <c r="B1972" t="s">
        <v>16</v>
      </c>
      <c r="C1972" t="s">
        <v>2014</v>
      </c>
      <c r="D1972" s="1">
        <v>0.46</v>
      </c>
      <c r="E1972" s="2">
        <f>CallLog[[#This Row],[Date]]+CallLog[[#This Row],[Time]]</f>
        <v>44231.46</v>
      </c>
      <c r="F1972" s="1" t="str">
        <f>TEXT(CallLog[[#This Row],[Date]],"dddd")</f>
        <v>Thursday</v>
      </c>
      <c r="G1972" s="3">
        <f>HOUR(CallLog[[#This Row],[Time]])</f>
        <v>11</v>
      </c>
      <c r="H1972" t="s">
        <v>29</v>
      </c>
      <c r="I1972" t="s">
        <v>14</v>
      </c>
      <c r="J1972" t="s">
        <v>14</v>
      </c>
      <c r="K1972">
        <v>11</v>
      </c>
      <c r="L1972" t="str">
        <f>IF(AND(CallLog[[#This Row],[Answered (Y/N)]]="Y", CallLog[[#This Row],[Speed of answer in seconds]]&lt;=20),
    "Within",
    "Breach")</f>
        <v>Within</v>
      </c>
      <c r="M1972" s="1">
        <v>1.5393518518518519E-3</v>
      </c>
      <c r="N1972">
        <v>4</v>
      </c>
    </row>
    <row r="1973" spans="1:14" x14ac:dyDescent="0.3">
      <c r="A1973" t="s">
        <v>2031</v>
      </c>
      <c r="B1973" t="s">
        <v>31</v>
      </c>
      <c r="C1973" t="s">
        <v>2014</v>
      </c>
      <c r="D1973" s="1">
        <v>0.46</v>
      </c>
      <c r="E1973" s="2">
        <f>CallLog[[#This Row],[Date]]+CallLog[[#This Row],[Time]]</f>
        <v>44231.46</v>
      </c>
      <c r="F1973" s="1" t="str">
        <f>TEXT(CallLog[[#This Row],[Date]],"dddd")</f>
        <v>Thursday</v>
      </c>
      <c r="G1973" s="3">
        <f>HOUR(CallLog[[#This Row],[Time]])</f>
        <v>11</v>
      </c>
      <c r="H1973" t="s">
        <v>13</v>
      </c>
      <c r="I1973" t="s">
        <v>18</v>
      </c>
      <c r="J1973" t="s">
        <v>18</v>
      </c>
      <c r="L1973" t="str">
        <f>IF(AND(CallLog[[#This Row],[Answered (Y/N)]]="Y", CallLog[[#This Row],[Speed of answer in seconds]]&lt;=20),
    "Within",
    "Breach")</f>
        <v>Breach</v>
      </c>
    </row>
    <row r="1974" spans="1:14" x14ac:dyDescent="0.3">
      <c r="A1974" t="s">
        <v>2032</v>
      </c>
      <c r="B1974" t="s">
        <v>16</v>
      </c>
      <c r="C1974" t="s">
        <v>2014</v>
      </c>
      <c r="D1974" s="1">
        <v>0.48599537037037038</v>
      </c>
      <c r="E1974" s="2">
        <f>CallLog[[#This Row],[Date]]+CallLog[[#This Row],[Time]]</f>
        <v>44231.485995370371</v>
      </c>
      <c r="F1974" s="1" t="str">
        <f>TEXT(CallLog[[#This Row],[Date]],"dddd")</f>
        <v>Thursday</v>
      </c>
      <c r="G1974" s="3">
        <f>HOUR(CallLog[[#This Row],[Time]])</f>
        <v>11</v>
      </c>
      <c r="H1974" t="s">
        <v>13</v>
      </c>
      <c r="I1974" t="s">
        <v>14</v>
      </c>
      <c r="J1974" t="s">
        <v>14</v>
      </c>
      <c r="K1974">
        <v>31</v>
      </c>
      <c r="L1974" t="str">
        <f>IF(AND(CallLog[[#This Row],[Answered (Y/N)]]="Y", CallLog[[#This Row],[Speed of answer in seconds]]&lt;=20),
    "Within",
    "Breach")</f>
        <v>Breach</v>
      </c>
      <c r="M1974" s="1">
        <v>4.861111111111111E-4</v>
      </c>
      <c r="N1974">
        <v>3</v>
      </c>
    </row>
    <row r="1975" spans="1:14" x14ac:dyDescent="0.3">
      <c r="A1975" t="s">
        <v>2033</v>
      </c>
      <c r="B1975" t="s">
        <v>31</v>
      </c>
      <c r="C1975" t="s">
        <v>2014</v>
      </c>
      <c r="D1975" s="1">
        <v>0.48599537037037038</v>
      </c>
      <c r="E1975" s="2">
        <f>CallLog[[#This Row],[Date]]+CallLog[[#This Row],[Time]]</f>
        <v>44231.485995370371</v>
      </c>
      <c r="F1975" s="1" t="str">
        <f>TEXT(CallLog[[#This Row],[Date]],"dddd")</f>
        <v>Thursday</v>
      </c>
      <c r="G1975" s="3">
        <f>HOUR(CallLog[[#This Row],[Time]])</f>
        <v>11</v>
      </c>
      <c r="H1975" t="s">
        <v>29</v>
      </c>
      <c r="I1975" t="s">
        <v>14</v>
      </c>
      <c r="J1975" t="s">
        <v>14</v>
      </c>
      <c r="K1975">
        <v>60</v>
      </c>
      <c r="L1975" t="str">
        <f>IF(AND(CallLog[[#This Row],[Answered (Y/N)]]="Y", CallLog[[#This Row],[Speed of answer in seconds]]&lt;=20),
    "Within",
    "Breach")</f>
        <v>Breach</v>
      </c>
      <c r="M1975" s="1">
        <v>2.7546296296296294E-3</v>
      </c>
      <c r="N1975">
        <v>5</v>
      </c>
    </row>
    <row r="1976" spans="1:14" x14ac:dyDescent="0.3">
      <c r="A1976" t="s">
        <v>2034</v>
      </c>
      <c r="B1976" t="s">
        <v>34</v>
      </c>
      <c r="C1976" t="s">
        <v>2014</v>
      </c>
      <c r="D1976" s="1">
        <v>0.49</v>
      </c>
      <c r="E1976" s="2">
        <f>CallLog[[#This Row],[Date]]+CallLog[[#This Row],[Time]]</f>
        <v>44231.49</v>
      </c>
      <c r="F1976" s="1" t="str">
        <f>TEXT(CallLog[[#This Row],[Date]],"dddd")</f>
        <v>Thursday</v>
      </c>
      <c r="G1976" s="3">
        <f>HOUR(CallLog[[#This Row],[Time]])</f>
        <v>11</v>
      </c>
      <c r="H1976" t="s">
        <v>24</v>
      </c>
      <c r="I1976" t="s">
        <v>18</v>
      </c>
      <c r="J1976" t="s">
        <v>18</v>
      </c>
      <c r="L1976" t="str">
        <f>IF(AND(CallLog[[#This Row],[Answered (Y/N)]]="Y", CallLog[[#This Row],[Speed of answer in seconds]]&lt;=20),
    "Within",
    "Breach")</f>
        <v>Breach</v>
      </c>
    </row>
    <row r="1977" spans="1:14" x14ac:dyDescent="0.3">
      <c r="A1977" t="s">
        <v>2035</v>
      </c>
      <c r="B1977" t="s">
        <v>20</v>
      </c>
      <c r="C1977" t="s">
        <v>2014</v>
      </c>
      <c r="D1977" s="1">
        <v>0.49</v>
      </c>
      <c r="E1977" s="2">
        <f>CallLog[[#This Row],[Date]]+CallLog[[#This Row],[Time]]</f>
        <v>44231.49</v>
      </c>
      <c r="F1977" s="1" t="str">
        <f>TEXT(CallLog[[#This Row],[Date]],"dddd")</f>
        <v>Thursday</v>
      </c>
      <c r="G1977" s="3">
        <f>HOUR(CallLog[[#This Row],[Time]])</f>
        <v>11</v>
      </c>
      <c r="H1977" t="s">
        <v>17</v>
      </c>
      <c r="I1977" t="s">
        <v>18</v>
      </c>
      <c r="J1977" t="s">
        <v>18</v>
      </c>
      <c r="L1977" t="str">
        <f>IF(AND(CallLog[[#This Row],[Answered (Y/N)]]="Y", CallLog[[#This Row],[Speed of answer in seconds]]&lt;=20),
    "Within",
    "Breach")</f>
        <v>Breach</v>
      </c>
    </row>
    <row r="1978" spans="1:14" x14ac:dyDescent="0.3">
      <c r="A1978" t="s">
        <v>2036</v>
      </c>
      <c r="B1978" t="s">
        <v>20</v>
      </c>
      <c r="C1978" t="s">
        <v>2014</v>
      </c>
      <c r="D1978" s="1">
        <v>0.5</v>
      </c>
      <c r="E1978" s="2">
        <f>CallLog[[#This Row],[Date]]+CallLog[[#This Row],[Time]]</f>
        <v>44231.5</v>
      </c>
      <c r="F1978" s="1" t="str">
        <f>TEXT(CallLog[[#This Row],[Date]],"dddd")</f>
        <v>Thursday</v>
      </c>
      <c r="G1978" s="3">
        <f>HOUR(CallLog[[#This Row],[Time]])</f>
        <v>12</v>
      </c>
      <c r="H1978" t="s">
        <v>13</v>
      </c>
      <c r="I1978" t="s">
        <v>14</v>
      </c>
      <c r="J1978" t="s">
        <v>14</v>
      </c>
      <c r="K1978">
        <v>105</v>
      </c>
      <c r="L1978" t="str">
        <f>IF(AND(CallLog[[#This Row],[Answered (Y/N)]]="Y", CallLog[[#This Row],[Speed of answer in seconds]]&lt;=20),
    "Within",
    "Breach")</f>
        <v>Breach</v>
      </c>
      <c r="M1978" s="1">
        <v>4.7569444444444447E-3</v>
      </c>
      <c r="N1978">
        <v>5</v>
      </c>
    </row>
    <row r="1979" spans="1:14" x14ac:dyDescent="0.3">
      <c r="A1979" t="s">
        <v>2037</v>
      </c>
      <c r="B1979" t="s">
        <v>22</v>
      </c>
      <c r="C1979" t="s">
        <v>2014</v>
      </c>
      <c r="D1979" s="1">
        <v>0.5</v>
      </c>
      <c r="E1979" s="2">
        <f>CallLog[[#This Row],[Date]]+CallLog[[#This Row],[Time]]</f>
        <v>44231.5</v>
      </c>
      <c r="F1979" s="1" t="str">
        <f>TEXT(CallLog[[#This Row],[Date]],"dddd")</f>
        <v>Thursday</v>
      </c>
      <c r="G1979" s="3">
        <f>HOUR(CallLog[[#This Row],[Time]])</f>
        <v>12</v>
      </c>
      <c r="H1979" t="s">
        <v>32</v>
      </c>
      <c r="I1979" t="s">
        <v>14</v>
      </c>
      <c r="J1979" t="s">
        <v>14</v>
      </c>
      <c r="K1979">
        <v>109</v>
      </c>
      <c r="L1979" t="str">
        <f>IF(AND(CallLog[[#This Row],[Answered (Y/N)]]="Y", CallLog[[#This Row],[Speed of answer in seconds]]&lt;=20),
    "Within",
    "Breach")</f>
        <v>Breach</v>
      </c>
      <c r="M1979" s="1">
        <v>1.0648148148148149E-3</v>
      </c>
      <c r="N1979">
        <v>5</v>
      </c>
    </row>
    <row r="1980" spans="1:14" x14ac:dyDescent="0.3">
      <c r="A1980" t="s">
        <v>2038</v>
      </c>
      <c r="B1980" t="s">
        <v>38</v>
      </c>
      <c r="C1980" t="s">
        <v>2014</v>
      </c>
      <c r="D1980" s="1">
        <v>0.50299768518518517</v>
      </c>
      <c r="E1980" s="2">
        <f>CallLog[[#This Row],[Date]]+CallLog[[#This Row],[Time]]</f>
        <v>44231.502997685187</v>
      </c>
      <c r="F1980" s="1" t="str">
        <f>TEXT(CallLog[[#This Row],[Date]],"dddd")</f>
        <v>Thursday</v>
      </c>
      <c r="G1980" s="3">
        <f>HOUR(CallLog[[#This Row],[Time]])</f>
        <v>12</v>
      </c>
      <c r="H1980" t="s">
        <v>24</v>
      </c>
      <c r="I1980" t="s">
        <v>14</v>
      </c>
      <c r="J1980" t="s">
        <v>14</v>
      </c>
      <c r="K1980">
        <v>120</v>
      </c>
      <c r="L1980" t="str">
        <f>IF(AND(CallLog[[#This Row],[Answered (Y/N)]]="Y", CallLog[[#This Row],[Speed of answer in seconds]]&lt;=20),
    "Within",
    "Breach")</f>
        <v>Breach</v>
      </c>
      <c r="M1980" s="1">
        <v>2.1412037037037038E-3</v>
      </c>
      <c r="N1980">
        <v>3</v>
      </c>
    </row>
    <row r="1981" spans="1:14" x14ac:dyDescent="0.3">
      <c r="A1981" t="s">
        <v>2039</v>
      </c>
      <c r="B1981" t="s">
        <v>38</v>
      </c>
      <c r="C1981" t="s">
        <v>2014</v>
      </c>
      <c r="D1981" s="1">
        <v>0.50299768518518517</v>
      </c>
      <c r="E1981" s="2">
        <f>CallLog[[#This Row],[Date]]+CallLog[[#This Row],[Time]]</f>
        <v>44231.502997685187</v>
      </c>
      <c r="F1981" s="1" t="str">
        <f>TEXT(CallLog[[#This Row],[Date]],"dddd")</f>
        <v>Thursday</v>
      </c>
      <c r="G1981" s="3">
        <f>HOUR(CallLog[[#This Row],[Time]])</f>
        <v>12</v>
      </c>
      <c r="H1981" t="s">
        <v>24</v>
      </c>
      <c r="I1981" t="s">
        <v>14</v>
      </c>
      <c r="J1981" t="s">
        <v>14</v>
      </c>
      <c r="K1981">
        <v>61</v>
      </c>
      <c r="L1981" t="str">
        <f>IF(AND(CallLog[[#This Row],[Answered (Y/N)]]="Y", CallLog[[#This Row],[Speed of answer in seconds]]&lt;=20),
    "Within",
    "Breach")</f>
        <v>Breach</v>
      </c>
      <c r="M1981" s="1">
        <v>3.2754629629629631E-3</v>
      </c>
      <c r="N1981">
        <v>3</v>
      </c>
    </row>
    <row r="1982" spans="1:14" x14ac:dyDescent="0.3">
      <c r="A1982" t="s">
        <v>2040</v>
      </c>
      <c r="B1982" t="s">
        <v>20</v>
      </c>
      <c r="C1982" t="s">
        <v>2014</v>
      </c>
      <c r="D1982" s="1">
        <v>0.51</v>
      </c>
      <c r="E1982" s="2">
        <f>CallLog[[#This Row],[Date]]+CallLog[[#This Row],[Time]]</f>
        <v>44231.51</v>
      </c>
      <c r="F1982" s="1" t="str">
        <f>TEXT(CallLog[[#This Row],[Date]],"dddd")</f>
        <v>Thursday</v>
      </c>
      <c r="G1982" s="3">
        <f>HOUR(CallLog[[#This Row],[Time]])</f>
        <v>12</v>
      </c>
      <c r="H1982" t="s">
        <v>32</v>
      </c>
      <c r="I1982" t="s">
        <v>14</v>
      </c>
      <c r="J1982" t="s">
        <v>14</v>
      </c>
      <c r="K1982">
        <v>44</v>
      </c>
      <c r="L1982" t="str">
        <f>IF(AND(CallLog[[#This Row],[Answered (Y/N)]]="Y", CallLog[[#This Row],[Speed of answer in seconds]]&lt;=20),
    "Within",
    "Breach")</f>
        <v>Breach</v>
      </c>
      <c r="M1982" s="1">
        <v>4.1666666666666669E-4</v>
      </c>
      <c r="N1982">
        <v>3</v>
      </c>
    </row>
    <row r="1983" spans="1:14" x14ac:dyDescent="0.3">
      <c r="A1983" t="s">
        <v>2041</v>
      </c>
      <c r="B1983" t="s">
        <v>16</v>
      </c>
      <c r="C1983" t="s">
        <v>2014</v>
      </c>
      <c r="D1983" s="1">
        <v>0.51</v>
      </c>
      <c r="E1983" s="2">
        <f>CallLog[[#This Row],[Date]]+CallLog[[#This Row],[Time]]</f>
        <v>44231.51</v>
      </c>
      <c r="F1983" s="1" t="str">
        <f>TEXT(CallLog[[#This Row],[Date]],"dddd")</f>
        <v>Thursday</v>
      </c>
      <c r="G1983" s="3">
        <f>HOUR(CallLog[[#This Row],[Time]])</f>
        <v>12</v>
      </c>
      <c r="H1983" t="s">
        <v>29</v>
      </c>
      <c r="I1983" t="s">
        <v>14</v>
      </c>
      <c r="J1983" t="s">
        <v>14</v>
      </c>
      <c r="K1983">
        <v>17</v>
      </c>
      <c r="L1983" t="str">
        <f>IF(AND(CallLog[[#This Row],[Answered (Y/N)]]="Y", CallLog[[#This Row],[Speed of answer in seconds]]&lt;=20),
    "Within",
    "Breach")</f>
        <v>Within</v>
      </c>
      <c r="M1983" s="1">
        <v>3.9930555555555552E-3</v>
      </c>
      <c r="N1983">
        <v>4</v>
      </c>
    </row>
    <row r="1984" spans="1:14" x14ac:dyDescent="0.3">
      <c r="A1984" t="s">
        <v>2042</v>
      </c>
      <c r="B1984" t="s">
        <v>11</v>
      </c>
      <c r="C1984" t="s">
        <v>2014</v>
      </c>
      <c r="D1984" s="1">
        <v>0.51400462962962967</v>
      </c>
      <c r="E1984" s="2">
        <f>CallLog[[#This Row],[Date]]+CallLog[[#This Row],[Time]]</f>
        <v>44231.514004629629</v>
      </c>
      <c r="F1984" s="1" t="str">
        <f>TEXT(CallLog[[#This Row],[Date]],"dddd")</f>
        <v>Thursday</v>
      </c>
      <c r="G1984" s="3">
        <f>HOUR(CallLog[[#This Row],[Time]])</f>
        <v>12</v>
      </c>
      <c r="H1984" t="s">
        <v>32</v>
      </c>
      <c r="I1984" t="s">
        <v>18</v>
      </c>
      <c r="J1984" t="s">
        <v>18</v>
      </c>
      <c r="L1984" t="str">
        <f>IF(AND(CallLog[[#This Row],[Answered (Y/N)]]="Y", CallLog[[#This Row],[Speed of answer in seconds]]&lt;=20),
    "Within",
    "Breach")</f>
        <v>Breach</v>
      </c>
    </row>
    <row r="1985" spans="1:14" x14ac:dyDescent="0.3">
      <c r="A1985" t="s">
        <v>2043</v>
      </c>
      <c r="B1985" t="s">
        <v>20</v>
      </c>
      <c r="C1985" t="s">
        <v>2014</v>
      </c>
      <c r="D1985" s="1">
        <v>0.51400462962962967</v>
      </c>
      <c r="E1985" s="2">
        <f>CallLog[[#This Row],[Date]]+CallLog[[#This Row],[Time]]</f>
        <v>44231.514004629629</v>
      </c>
      <c r="F1985" s="1" t="str">
        <f>TEXT(CallLog[[#This Row],[Date]],"dddd")</f>
        <v>Thursday</v>
      </c>
      <c r="G1985" s="3">
        <f>HOUR(CallLog[[#This Row],[Time]])</f>
        <v>12</v>
      </c>
      <c r="H1985" t="s">
        <v>32</v>
      </c>
      <c r="I1985" t="s">
        <v>14</v>
      </c>
      <c r="J1985" t="s">
        <v>14</v>
      </c>
      <c r="K1985">
        <v>15</v>
      </c>
      <c r="L1985" t="str">
        <f>IF(AND(CallLog[[#This Row],[Answered (Y/N)]]="Y", CallLog[[#This Row],[Speed of answer in seconds]]&lt;=20),
    "Within",
    "Breach")</f>
        <v>Within</v>
      </c>
      <c r="M1985" s="1">
        <v>1.9444444444444444E-3</v>
      </c>
      <c r="N1985">
        <v>4</v>
      </c>
    </row>
    <row r="1986" spans="1:14" x14ac:dyDescent="0.3">
      <c r="A1986" t="s">
        <v>2044</v>
      </c>
      <c r="B1986" t="s">
        <v>38</v>
      </c>
      <c r="C1986" t="s">
        <v>2014</v>
      </c>
      <c r="D1986" s="1">
        <v>0.51400462962962967</v>
      </c>
      <c r="E1986" s="2">
        <f>CallLog[[#This Row],[Date]]+CallLog[[#This Row],[Time]]</f>
        <v>44231.514004629629</v>
      </c>
      <c r="F1986" s="1" t="str">
        <f>TEXT(CallLog[[#This Row],[Date]],"dddd")</f>
        <v>Thursday</v>
      </c>
      <c r="G1986" s="3">
        <f>HOUR(CallLog[[#This Row],[Time]])</f>
        <v>12</v>
      </c>
      <c r="H1986" t="s">
        <v>17</v>
      </c>
      <c r="I1986" t="s">
        <v>14</v>
      </c>
      <c r="J1986" t="s">
        <v>14</v>
      </c>
      <c r="K1986">
        <v>112</v>
      </c>
      <c r="L1986" t="str">
        <f>IF(AND(CallLog[[#This Row],[Answered (Y/N)]]="Y", CallLog[[#This Row],[Speed of answer in seconds]]&lt;=20),
    "Within",
    "Breach")</f>
        <v>Breach</v>
      </c>
      <c r="M1986" s="1">
        <v>2.2916666666666667E-3</v>
      </c>
      <c r="N1986">
        <v>4</v>
      </c>
    </row>
    <row r="1987" spans="1:14" x14ac:dyDescent="0.3">
      <c r="A1987" t="s">
        <v>2045</v>
      </c>
      <c r="B1987" t="s">
        <v>16</v>
      </c>
      <c r="C1987" t="s">
        <v>2014</v>
      </c>
      <c r="D1987" s="1">
        <v>0.51400462962962967</v>
      </c>
      <c r="E1987" s="2">
        <f>CallLog[[#This Row],[Date]]+CallLog[[#This Row],[Time]]</f>
        <v>44231.514004629629</v>
      </c>
      <c r="F1987" s="1" t="str">
        <f>TEXT(CallLog[[#This Row],[Date]],"dddd")</f>
        <v>Thursday</v>
      </c>
      <c r="G1987" s="3">
        <f>HOUR(CallLog[[#This Row],[Time]])</f>
        <v>12</v>
      </c>
      <c r="H1987" t="s">
        <v>17</v>
      </c>
      <c r="I1987" t="s">
        <v>14</v>
      </c>
      <c r="J1987" t="s">
        <v>14</v>
      </c>
      <c r="K1987">
        <v>119</v>
      </c>
      <c r="L1987" t="str">
        <f>IF(AND(CallLog[[#This Row],[Answered (Y/N)]]="Y", CallLog[[#This Row],[Speed of answer in seconds]]&lt;=20),
    "Within",
    "Breach")</f>
        <v>Breach</v>
      </c>
      <c r="M1987" s="1">
        <v>3.0092592592592593E-3</v>
      </c>
      <c r="N1987">
        <v>3</v>
      </c>
    </row>
    <row r="1988" spans="1:14" x14ac:dyDescent="0.3">
      <c r="A1988" t="s">
        <v>2046</v>
      </c>
      <c r="B1988" t="s">
        <v>34</v>
      </c>
      <c r="C1988" t="s">
        <v>2014</v>
      </c>
      <c r="D1988" s="1">
        <v>0.52500000000000002</v>
      </c>
      <c r="E1988" s="2">
        <f>CallLog[[#This Row],[Date]]+CallLog[[#This Row],[Time]]</f>
        <v>44231.525000000001</v>
      </c>
      <c r="F1988" s="1" t="str">
        <f>TEXT(CallLog[[#This Row],[Date]],"dddd")</f>
        <v>Thursday</v>
      </c>
      <c r="G1988" s="3">
        <f>HOUR(CallLog[[#This Row],[Time]])</f>
        <v>12</v>
      </c>
      <c r="H1988" t="s">
        <v>17</v>
      </c>
      <c r="I1988" t="s">
        <v>18</v>
      </c>
      <c r="J1988" t="s">
        <v>18</v>
      </c>
      <c r="L1988" t="str">
        <f>IF(AND(CallLog[[#This Row],[Answered (Y/N)]]="Y", CallLog[[#This Row],[Speed of answer in seconds]]&lt;=20),
    "Within",
    "Breach")</f>
        <v>Breach</v>
      </c>
    </row>
    <row r="1989" spans="1:14" x14ac:dyDescent="0.3">
      <c r="A1989" t="s">
        <v>2047</v>
      </c>
      <c r="B1989" t="s">
        <v>34</v>
      </c>
      <c r="C1989" t="s">
        <v>2014</v>
      </c>
      <c r="D1989" s="1">
        <v>0.52500000000000002</v>
      </c>
      <c r="E1989" s="2">
        <f>CallLog[[#This Row],[Date]]+CallLog[[#This Row],[Time]]</f>
        <v>44231.525000000001</v>
      </c>
      <c r="F1989" s="1" t="str">
        <f>TEXT(CallLog[[#This Row],[Date]],"dddd")</f>
        <v>Thursday</v>
      </c>
      <c r="G1989" s="3">
        <f>HOUR(CallLog[[#This Row],[Time]])</f>
        <v>12</v>
      </c>
      <c r="H1989" t="s">
        <v>29</v>
      </c>
      <c r="I1989" t="s">
        <v>14</v>
      </c>
      <c r="J1989" t="s">
        <v>18</v>
      </c>
      <c r="K1989">
        <v>60</v>
      </c>
      <c r="L1989" t="str">
        <f>IF(AND(CallLog[[#This Row],[Answered (Y/N)]]="Y", CallLog[[#This Row],[Speed of answer in seconds]]&lt;=20),
    "Within",
    "Breach")</f>
        <v>Breach</v>
      </c>
      <c r="M1989" s="1">
        <v>2.0717592592592593E-3</v>
      </c>
      <c r="N1989">
        <v>5</v>
      </c>
    </row>
    <row r="1990" spans="1:14" x14ac:dyDescent="0.3">
      <c r="A1990" t="s">
        <v>2048</v>
      </c>
      <c r="B1990" t="s">
        <v>31</v>
      </c>
      <c r="C1990" t="s">
        <v>2014</v>
      </c>
      <c r="D1990" s="1">
        <v>0.52700231481481485</v>
      </c>
      <c r="E1990" s="2">
        <f>CallLog[[#This Row],[Date]]+CallLog[[#This Row],[Time]]</f>
        <v>44231.527002314811</v>
      </c>
      <c r="F1990" s="1" t="str">
        <f>TEXT(CallLog[[#This Row],[Date]],"dddd")</f>
        <v>Thursday</v>
      </c>
      <c r="G1990" s="3">
        <f>HOUR(CallLog[[#This Row],[Time]])</f>
        <v>12</v>
      </c>
      <c r="H1990" t="s">
        <v>13</v>
      </c>
      <c r="I1990" t="s">
        <v>14</v>
      </c>
      <c r="J1990" t="s">
        <v>14</v>
      </c>
      <c r="K1990">
        <v>24</v>
      </c>
      <c r="L1990" t="str">
        <f>IF(AND(CallLog[[#This Row],[Answered (Y/N)]]="Y", CallLog[[#This Row],[Speed of answer in seconds]]&lt;=20),
    "Within",
    "Breach")</f>
        <v>Breach</v>
      </c>
      <c r="M1990" s="1">
        <v>4.7337962962962967E-3</v>
      </c>
      <c r="N1990">
        <v>4</v>
      </c>
    </row>
    <row r="1991" spans="1:14" x14ac:dyDescent="0.3">
      <c r="A1991" t="s">
        <v>2049</v>
      </c>
      <c r="B1991" t="s">
        <v>31</v>
      </c>
      <c r="C1991" t="s">
        <v>2014</v>
      </c>
      <c r="D1991" s="1">
        <v>0.52700231481481485</v>
      </c>
      <c r="E1991" s="2">
        <f>CallLog[[#This Row],[Date]]+CallLog[[#This Row],[Time]]</f>
        <v>44231.527002314811</v>
      </c>
      <c r="F1991" s="1" t="str">
        <f>TEXT(CallLog[[#This Row],[Date]],"dddd")</f>
        <v>Thursday</v>
      </c>
      <c r="G1991" s="3">
        <f>HOUR(CallLog[[#This Row],[Time]])</f>
        <v>12</v>
      </c>
      <c r="H1991" t="s">
        <v>24</v>
      </c>
      <c r="I1991" t="s">
        <v>14</v>
      </c>
      <c r="J1991" t="s">
        <v>14</v>
      </c>
      <c r="K1991">
        <v>83</v>
      </c>
      <c r="L1991" t="str">
        <f>IF(AND(CallLog[[#This Row],[Answered (Y/N)]]="Y", CallLog[[#This Row],[Speed of answer in seconds]]&lt;=20),
    "Within",
    "Breach")</f>
        <v>Breach</v>
      </c>
      <c r="M1991" s="1">
        <v>3.6689814814814814E-3</v>
      </c>
      <c r="N1991">
        <v>4</v>
      </c>
    </row>
    <row r="1992" spans="1:14" x14ac:dyDescent="0.3">
      <c r="A1992" t="s">
        <v>2050</v>
      </c>
      <c r="B1992" t="s">
        <v>11</v>
      </c>
      <c r="C1992" t="s">
        <v>2014</v>
      </c>
      <c r="D1992" s="1">
        <v>0.54599537037037038</v>
      </c>
      <c r="E1992" s="2">
        <f>CallLog[[#This Row],[Date]]+CallLog[[#This Row],[Time]]</f>
        <v>44231.545995370368</v>
      </c>
      <c r="F1992" s="1" t="str">
        <f>TEXT(CallLog[[#This Row],[Date]],"dddd")</f>
        <v>Thursday</v>
      </c>
      <c r="G1992" s="3">
        <f>HOUR(CallLog[[#This Row],[Time]])</f>
        <v>13</v>
      </c>
      <c r="H1992" t="s">
        <v>32</v>
      </c>
      <c r="I1992" t="s">
        <v>14</v>
      </c>
      <c r="J1992" t="s">
        <v>14</v>
      </c>
      <c r="K1992">
        <v>19</v>
      </c>
      <c r="L1992" t="str">
        <f>IF(AND(CallLog[[#This Row],[Answered (Y/N)]]="Y", CallLog[[#This Row],[Speed of answer in seconds]]&lt;=20),
    "Within",
    "Breach")</f>
        <v>Within</v>
      </c>
      <c r="M1992" s="1">
        <v>2.2685185185185187E-3</v>
      </c>
      <c r="N1992">
        <v>3</v>
      </c>
    </row>
    <row r="1993" spans="1:14" x14ac:dyDescent="0.3">
      <c r="A1993" t="s">
        <v>2051</v>
      </c>
      <c r="B1993" t="s">
        <v>38</v>
      </c>
      <c r="C1993" t="s">
        <v>2014</v>
      </c>
      <c r="D1993" s="1">
        <v>0.54599537037037038</v>
      </c>
      <c r="E1993" s="2">
        <f>CallLog[[#This Row],[Date]]+CallLog[[#This Row],[Time]]</f>
        <v>44231.545995370368</v>
      </c>
      <c r="F1993" s="1" t="str">
        <f>TEXT(CallLog[[#This Row],[Date]],"dddd")</f>
        <v>Thursday</v>
      </c>
      <c r="G1993" s="3">
        <f>HOUR(CallLog[[#This Row],[Time]])</f>
        <v>13</v>
      </c>
      <c r="H1993" t="s">
        <v>13</v>
      </c>
      <c r="I1993" t="s">
        <v>14</v>
      </c>
      <c r="J1993" t="s">
        <v>14</v>
      </c>
      <c r="K1993">
        <v>125</v>
      </c>
      <c r="L1993" t="str">
        <f>IF(AND(CallLog[[#This Row],[Answered (Y/N)]]="Y", CallLog[[#This Row],[Speed of answer in seconds]]&lt;=20),
    "Within",
    "Breach")</f>
        <v>Breach</v>
      </c>
      <c r="M1993" s="1">
        <v>2.3611111111111111E-3</v>
      </c>
      <c r="N1993">
        <v>4</v>
      </c>
    </row>
    <row r="1994" spans="1:14" x14ac:dyDescent="0.3">
      <c r="A1994" t="s">
        <v>2052</v>
      </c>
      <c r="B1994" t="s">
        <v>34</v>
      </c>
      <c r="C1994" t="s">
        <v>2014</v>
      </c>
      <c r="D1994" s="1">
        <v>0.54599537037037038</v>
      </c>
      <c r="E1994" s="2">
        <f>CallLog[[#This Row],[Date]]+CallLog[[#This Row],[Time]]</f>
        <v>44231.545995370368</v>
      </c>
      <c r="F1994" s="1" t="str">
        <f>TEXT(CallLog[[#This Row],[Date]],"dddd")</f>
        <v>Thursday</v>
      </c>
      <c r="G1994" s="3">
        <f>HOUR(CallLog[[#This Row],[Time]])</f>
        <v>13</v>
      </c>
      <c r="H1994" t="s">
        <v>24</v>
      </c>
      <c r="I1994" t="s">
        <v>14</v>
      </c>
      <c r="J1994" t="s">
        <v>18</v>
      </c>
      <c r="K1994">
        <v>72</v>
      </c>
      <c r="L1994" t="str">
        <f>IF(AND(CallLog[[#This Row],[Answered (Y/N)]]="Y", CallLog[[#This Row],[Speed of answer in seconds]]&lt;=20),
    "Within",
    "Breach")</f>
        <v>Breach</v>
      </c>
      <c r="M1994" s="1">
        <v>3.6574074074074074E-3</v>
      </c>
      <c r="N1994">
        <v>2</v>
      </c>
    </row>
    <row r="1995" spans="1:14" x14ac:dyDescent="0.3">
      <c r="A1995" t="s">
        <v>2053</v>
      </c>
      <c r="B1995" t="s">
        <v>11</v>
      </c>
      <c r="C1995" t="s">
        <v>2014</v>
      </c>
      <c r="D1995" s="1">
        <v>0.54599537037037038</v>
      </c>
      <c r="E1995" s="2">
        <f>CallLog[[#This Row],[Date]]+CallLog[[#This Row],[Time]]</f>
        <v>44231.545995370368</v>
      </c>
      <c r="F1995" s="1" t="str">
        <f>TEXT(CallLog[[#This Row],[Date]],"dddd")</f>
        <v>Thursday</v>
      </c>
      <c r="G1995" s="3">
        <f>HOUR(CallLog[[#This Row],[Time]])</f>
        <v>13</v>
      </c>
      <c r="H1995" t="s">
        <v>29</v>
      </c>
      <c r="I1995" t="s">
        <v>18</v>
      </c>
      <c r="J1995" t="s">
        <v>18</v>
      </c>
      <c r="L1995" t="str">
        <f>IF(AND(CallLog[[#This Row],[Answered (Y/N)]]="Y", CallLog[[#This Row],[Speed of answer in seconds]]&lt;=20),
    "Within",
    "Breach")</f>
        <v>Breach</v>
      </c>
    </row>
    <row r="1996" spans="1:14" x14ac:dyDescent="0.3">
      <c r="A1996" t="s">
        <v>2054</v>
      </c>
      <c r="B1996" t="s">
        <v>20</v>
      </c>
      <c r="C1996" t="s">
        <v>2014</v>
      </c>
      <c r="D1996" s="1">
        <v>0.55799768518518522</v>
      </c>
      <c r="E1996" s="2">
        <f>CallLog[[#This Row],[Date]]+CallLog[[#This Row],[Time]]</f>
        <v>44231.557997685188</v>
      </c>
      <c r="F1996" s="1" t="str">
        <f>TEXT(CallLog[[#This Row],[Date]],"dddd")</f>
        <v>Thursday</v>
      </c>
      <c r="G1996" s="3">
        <f>HOUR(CallLog[[#This Row],[Time]])</f>
        <v>13</v>
      </c>
      <c r="H1996" t="s">
        <v>32</v>
      </c>
      <c r="I1996" t="s">
        <v>14</v>
      </c>
      <c r="J1996" t="s">
        <v>14</v>
      </c>
      <c r="K1996">
        <v>39</v>
      </c>
      <c r="L1996" t="str">
        <f>IF(AND(CallLog[[#This Row],[Answered (Y/N)]]="Y", CallLog[[#This Row],[Speed of answer in seconds]]&lt;=20),
    "Within",
    "Breach")</f>
        <v>Breach</v>
      </c>
      <c r="M1996" s="1">
        <v>2.9282407407407408E-3</v>
      </c>
      <c r="N1996">
        <v>4</v>
      </c>
    </row>
    <row r="1997" spans="1:14" x14ac:dyDescent="0.3">
      <c r="A1997" t="s">
        <v>2055</v>
      </c>
      <c r="B1997" t="s">
        <v>20</v>
      </c>
      <c r="C1997" t="s">
        <v>2014</v>
      </c>
      <c r="D1997" s="1">
        <v>0.55799768518518522</v>
      </c>
      <c r="E1997" s="2">
        <f>CallLog[[#This Row],[Date]]+CallLog[[#This Row],[Time]]</f>
        <v>44231.557997685188</v>
      </c>
      <c r="F1997" s="1" t="str">
        <f>TEXT(CallLog[[#This Row],[Date]],"dddd")</f>
        <v>Thursday</v>
      </c>
      <c r="G1997" s="3">
        <f>HOUR(CallLog[[#This Row],[Time]])</f>
        <v>13</v>
      </c>
      <c r="H1997" t="s">
        <v>24</v>
      </c>
      <c r="I1997" t="s">
        <v>18</v>
      </c>
      <c r="J1997" t="s">
        <v>18</v>
      </c>
      <c r="L1997" t="str">
        <f>IF(AND(CallLog[[#This Row],[Answered (Y/N)]]="Y", CallLog[[#This Row],[Speed of answer in seconds]]&lt;=20),
    "Within",
    "Breach")</f>
        <v>Breach</v>
      </c>
    </row>
    <row r="1998" spans="1:14" x14ac:dyDescent="0.3">
      <c r="A1998" t="s">
        <v>2056</v>
      </c>
      <c r="B1998" t="s">
        <v>16</v>
      </c>
      <c r="C1998" t="s">
        <v>2014</v>
      </c>
      <c r="D1998" s="1">
        <v>0.57900462962962962</v>
      </c>
      <c r="E1998" s="2">
        <f>CallLog[[#This Row],[Date]]+CallLog[[#This Row],[Time]]</f>
        <v>44231.579004629632</v>
      </c>
      <c r="F1998" s="1" t="str">
        <f>TEXT(CallLog[[#This Row],[Date]],"dddd")</f>
        <v>Thursday</v>
      </c>
      <c r="G1998" s="3">
        <f>HOUR(CallLog[[#This Row],[Time]])</f>
        <v>13</v>
      </c>
      <c r="H1998" t="s">
        <v>13</v>
      </c>
      <c r="I1998" t="s">
        <v>14</v>
      </c>
      <c r="J1998" t="s">
        <v>14</v>
      </c>
      <c r="K1998">
        <v>125</v>
      </c>
      <c r="L1998" t="str">
        <f>IF(AND(CallLog[[#This Row],[Answered (Y/N)]]="Y", CallLog[[#This Row],[Speed of answer in seconds]]&lt;=20),
    "Within",
    "Breach")</f>
        <v>Breach</v>
      </c>
      <c r="M1998" s="1">
        <v>3.1018518518518517E-3</v>
      </c>
      <c r="N1998">
        <v>4</v>
      </c>
    </row>
    <row r="1999" spans="1:14" x14ac:dyDescent="0.3">
      <c r="A1999" t="s">
        <v>2057</v>
      </c>
      <c r="B1999" t="s">
        <v>34</v>
      </c>
      <c r="C1999" t="s">
        <v>2014</v>
      </c>
      <c r="D1999" s="1">
        <v>0.57900462962962962</v>
      </c>
      <c r="E1999" s="2">
        <f>CallLog[[#This Row],[Date]]+CallLog[[#This Row],[Time]]</f>
        <v>44231.579004629632</v>
      </c>
      <c r="F1999" s="1" t="str">
        <f>TEXT(CallLog[[#This Row],[Date]],"dddd")</f>
        <v>Thursday</v>
      </c>
      <c r="G1999" s="3">
        <f>HOUR(CallLog[[#This Row],[Time]])</f>
        <v>13</v>
      </c>
      <c r="H1999" t="s">
        <v>24</v>
      </c>
      <c r="I1999" t="s">
        <v>14</v>
      </c>
      <c r="J1999" t="s">
        <v>14</v>
      </c>
      <c r="K1999">
        <v>124</v>
      </c>
      <c r="L1999" t="str">
        <f>IF(AND(CallLog[[#This Row],[Answered (Y/N)]]="Y", CallLog[[#This Row],[Speed of answer in seconds]]&lt;=20),
    "Within",
    "Breach")</f>
        <v>Breach</v>
      </c>
      <c r="M1999" s="1">
        <v>9.837962962962962E-4</v>
      </c>
      <c r="N1999">
        <v>5</v>
      </c>
    </row>
    <row r="2000" spans="1:14" x14ac:dyDescent="0.3">
      <c r="A2000" t="s">
        <v>2058</v>
      </c>
      <c r="B2000" t="s">
        <v>11</v>
      </c>
      <c r="C2000" t="s">
        <v>2014</v>
      </c>
      <c r="D2000" s="1">
        <v>0.58599537037037042</v>
      </c>
      <c r="E2000" s="2">
        <f>CallLog[[#This Row],[Date]]+CallLog[[#This Row],[Time]]</f>
        <v>44231.585995370369</v>
      </c>
      <c r="F2000" s="1" t="str">
        <f>TEXT(CallLog[[#This Row],[Date]],"dddd")</f>
        <v>Thursday</v>
      </c>
      <c r="G2000" s="3">
        <f>HOUR(CallLog[[#This Row],[Time]])</f>
        <v>14</v>
      </c>
      <c r="H2000" t="s">
        <v>24</v>
      </c>
      <c r="I2000" t="s">
        <v>14</v>
      </c>
      <c r="J2000" t="s">
        <v>14</v>
      </c>
      <c r="K2000">
        <v>105</v>
      </c>
      <c r="L2000" t="str">
        <f>IF(AND(CallLog[[#This Row],[Answered (Y/N)]]="Y", CallLog[[#This Row],[Speed of answer in seconds]]&lt;=20),
    "Within",
    "Breach")</f>
        <v>Breach</v>
      </c>
      <c r="M2000" s="1">
        <v>2.7546296296296294E-3</v>
      </c>
      <c r="N2000">
        <v>4</v>
      </c>
    </row>
    <row r="2001" spans="1:14" x14ac:dyDescent="0.3">
      <c r="A2001" t="s">
        <v>2059</v>
      </c>
      <c r="B2001" t="s">
        <v>11</v>
      </c>
      <c r="C2001" t="s">
        <v>2014</v>
      </c>
      <c r="D2001" s="1">
        <v>0.58599537037037042</v>
      </c>
      <c r="E2001" s="2">
        <f>CallLog[[#This Row],[Date]]+CallLog[[#This Row],[Time]]</f>
        <v>44231.585995370369</v>
      </c>
      <c r="F2001" s="1" t="str">
        <f>TEXT(CallLog[[#This Row],[Date]],"dddd")</f>
        <v>Thursday</v>
      </c>
      <c r="G2001" s="3">
        <f>HOUR(CallLog[[#This Row],[Time]])</f>
        <v>14</v>
      </c>
      <c r="H2001" t="s">
        <v>17</v>
      </c>
      <c r="I2001" t="s">
        <v>18</v>
      </c>
      <c r="J2001" t="s">
        <v>18</v>
      </c>
      <c r="L2001" t="str">
        <f>IF(AND(CallLog[[#This Row],[Answered (Y/N)]]="Y", CallLog[[#This Row],[Speed of answer in seconds]]&lt;=20),
    "Within",
    "Breach")</f>
        <v>Breach</v>
      </c>
    </row>
    <row r="2002" spans="1:14" x14ac:dyDescent="0.3">
      <c r="A2002" t="s">
        <v>2060</v>
      </c>
      <c r="B2002" t="s">
        <v>38</v>
      </c>
      <c r="C2002" t="s">
        <v>2014</v>
      </c>
      <c r="D2002" s="1">
        <v>0.61599537037037033</v>
      </c>
      <c r="E2002" s="2">
        <f>CallLog[[#This Row],[Date]]+CallLog[[#This Row],[Time]]</f>
        <v>44231.615995370368</v>
      </c>
      <c r="F2002" s="1" t="str">
        <f>TEXT(CallLog[[#This Row],[Date]],"dddd")</f>
        <v>Thursday</v>
      </c>
      <c r="G2002" s="3">
        <f>HOUR(CallLog[[#This Row],[Time]])</f>
        <v>14</v>
      </c>
      <c r="H2002" t="s">
        <v>24</v>
      </c>
      <c r="I2002" t="s">
        <v>14</v>
      </c>
      <c r="J2002" t="s">
        <v>14</v>
      </c>
      <c r="K2002">
        <v>28</v>
      </c>
      <c r="L2002" t="str">
        <f>IF(AND(CallLog[[#This Row],[Answered (Y/N)]]="Y", CallLog[[#This Row],[Speed of answer in seconds]]&lt;=20),
    "Within",
    "Breach")</f>
        <v>Breach</v>
      </c>
      <c r="M2002" s="1">
        <v>1.261574074074074E-3</v>
      </c>
      <c r="N2002">
        <v>5</v>
      </c>
    </row>
    <row r="2003" spans="1:14" x14ac:dyDescent="0.3">
      <c r="A2003" t="s">
        <v>2061</v>
      </c>
      <c r="B2003" t="s">
        <v>20</v>
      </c>
      <c r="C2003" t="s">
        <v>2014</v>
      </c>
      <c r="D2003" s="1">
        <v>0.61599537037037033</v>
      </c>
      <c r="E2003" s="2">
        <f>CallLog[[#This Row],[Date]]+CallLog[[#This Row],[Time]]</f>
        <v>44231.615995370368</v>
      </c>
      <c r="F2003" s="1" t="str">
        <f>TEXT(CallLog[[#This Row],[Date]],"dddd")</f>
        <v>Thursday</v>
      </c>
      <c r="G2003" s="3">
        <f>HOUR(CallLog[[#This Row],[Time]])</f>
        <v>14</v>
      </c>
      <c r="H2003" t="s">
        <v>32</v>
      </c>
      <c r="I2003" t="s">
        <v>14</v>
      </c>
      <c r="J2003" t="s">
        <v>14</v>
      </c>
      <c r="K2003">
        <v>82</v>
      </c>
      <c r="L2003" t="str">
        <f>IF(AND(CallLog[[#This Row],[Answered (Y/N)]]="Y", CallLog[[#This Row],[Speed of answer in seconds]]&lt;=20),
    "Within",
    "Breach")</f>
        <v>Breach</v>
      </c>
      <c r="M2003" s="1">
        <v>5.0925925925925921E-4</v>
      </c>
      <c r="N2003">
        <v>1</v>
      </c>
    </row>
    <row r="2004" spans="1:14" x14ac:dyDescent="0.3">
      <c r="A2004" t="s">
        <v>2062</v>
      </c>
      <c r="B2004" t="s">
        <v>31</v>
      </c>
      <c r="C2004" t="s">
        <v>2014</v>
      </c>
      <c r="D2004" s="1">
        <v>0.62400462962962966</v>
      </c>
      <c r="E2004" s="2">
        <f>CallLog[[#This Row],[Date]]+CallLog[[#This Row],[Time]]</f>
        <v>44231.62400462963</v>
      </c>
      <c r="F2004" s="1" t="str">
        <f>TEXT(CallLog[[#This Row],[Date]],"dddd")</f>
        <v>Thursday</v>
      </c>
      <c r="G2004" s="3">
        <f>HOUR(CallLog[[#This Row],[Time]])</f>
        <v>14</v>
      </c>
      <c r="H2004" t="s">
        <v>29</v>
      </c>
      <c r="I2004" t="s">
        <v>18</v>
      </c>
      <c r="J2004" t="s">
        <v>18</v>
      </c>
      <c r="L2004" t="str">
        <f>IF(AND(CallLog[[#This Row],[Answered (Y/N)]]="Y", CallLog[[#This Row],[Speed of answer in seconds]]&lt;=20),
    "Within",
    "Breach")</f>
        <v>Breach</v>
      </c>
    </row>
    <row r="2005" spans="1:14" x14ac:dyDescent="0.3">
      <c r="A2005" t="s">
        <v>2063</v>
      </c>
      <c r="B2005" t="s">
        <v>47</v>
      </c>
      <c r="C2005" t="s">
        <v>2014</v>
      </c>
      <c r="D2005" s="1">
        <v>0.62400462962962966</v>
      </c>
      <c r="E2005" s="2">
        <f>CallLog[[#This Row],[Date]]+CallLog[[#This Row],[Time]]</f>
        <v>44231.62400462963</v>
      </c>
      <c r="F2005" s="1" t="str">
        <f>TEXT(CallLog[[#This Row],[Date]],"dddd")</f>
        <v>Thursday</v>
      </c>
      <c r="G2005" s="3">
        <f>HOUR(CallLog[[#This Row],[Time]])</f>
        <v>14</v>
      </c>
      <c r="H2005" t="s">
        <v>32</v>
      </c>
      <c r="I2005" t="s">
        <v>14</v>
      </c>
      <c r="J2005" t="s">
        <v>14</v>
      </c>
      <c r="K2005">
        <v>30</v>
      </c>
      <c r="L2005" t="str">
        <f>IF(AND(CallLog[[#This Row],[Answered (Y/N)]]="Y", CallLog[[#This Row],[Speed of answer in seconds]]&lt;=20),
    "Within",
    "Breach")</f>
        <v>Breach</v>
      </c>
      <c r="M2005" s="1">
        <v>1.5393518518518519E-3</v>
      </c>
      <c r="N2005">
        <v>4</v>
      </c>
    </row>
    <row r="2006" spans="1:14" x14ac:dyDescent="0.3">
      <c r="A2006" t="s">
        <v>2064</v>
      </c>
      <c r="B2006" t="s">
        <v>16</v>
      </c>
      <c r="C2006" t="s">
        <v>2014</v>
      </c>
      <c r="D2006" s="1">
        <v>0.62700231481481483</v>
      </c>
      <c r="E2006" s="2">
        <f>CallLog[[#This Row],[Date]]+CallLog[[#This Row],[Time]]</f>
        <v>44231.627002314817</v>
      </c>
      <c r="F2006" s="1" t="str">
        <f>TEXT(CallLog[[#This Row],[Date]],"dddd")</f>
        <v>Thursday</v>
      </c>
      <c r="G2006" s="3">
        <f>HOUR(CallLog[[#This Row],[Time]])</f>
        <v>15</v>
      </c>
      <c r="H2006" t="s">
        <v>29</v>
      </c>
      <c r="I2006" t="s">
        <v>14</v>
      </c>
      <c r="J2006" t="s">
        <v>14</v>
      </c>
      <c r="K2006">
        <v>47</v>
      </c>
      <c r="L2006" t="str">
        <f>IF(AND(CallLog[[#This Row],[Answered (Y/N)]]="Y", CallLog[[#This Row],[Speed of answer in seconds]]&lt;=20),
    "Within",
    "Breach")</f>
        <v>Breach</v>
      </c>
      <c r="M2006" s="1">
        <v>2.1759259259259258E-3</v>
      </c>
      <c r="N2006">
        <v>4</v>
      </c>
    </row>
    <row r="2007" spans="1:14" x14ac:dyDescent="0.3">
      <c r="A2007" t="s">
        <v>2065</v>
      </c>
      <c r="B2007" t="s">
        <v>31</v>
      </c>
      <c r="C2007" t="s">
        <v>2014</v>
      </c>
      <c r="D2007" s="1">
        <v>0.62700231481481483</v>
      </c>
      <c r="E2007" s="2">
        <f>CallLog[[#This Row],[Date]]+CallLog[[#This Row],[Time]]</f>
        <v>44231.627002314817</v>
      </c>
      <c r="F2007" s="1" t="str">
        <f>TEXT(CallLog[[#This Row],[Date]],"dddd")</f>
        <v>Thursday</v>
      </c>
      <c r="G2007" s="3">
        <f>HOUR(CallLog[[#This Row],[Time]])</f>
        <v>15</v>
      </c>
      <c r="H2007" t="s">
        <v>29</v>
      </c>
      <c r="I2007" t="s">
        <v>14</v>
      </c>
      <c r="J2007" t="s">
        <v>14</v>
      </c>
      <c r="K2007">
        <v>124</v>
      </c>
      <c r="L2007" t="str">
        <f>IF(AND(CallLog[[#This Row],[Answered (Y/N)]]="Y", CallLog[[#This Row],[Speed of answer in seconds]]&lt;=20),
    "Within",
    "Breach")</f>
        <v>Breach</v>
      </c>
      <c r="M2007" s="1">
        <v>4.178240740740741E-3</v>
      </c>
      <c r="N2007">
        <v>1</v>
      </c>
    </row>
    <row r="2008" spans="1:14" x14ac:dyDescent="0.3">
      <c r="A2008" t="s">
        <v>2066</v>
      </c>
      <c r="B2008" t="s">
        <v>38</v>
      </c>
      <c r="C2008" t="s">
        <v>2014</v>
      </c>
      <c r="D2008" s="1">
        <v>0.64900462962962968</v>
      </c>
      <c r="E2008" s="2">
        <f>CallLog[[#This Row],[Date]]+CallLog[[#This Row],[Time]]</f>
        <v>44231.649004629631</v>
      </c>
      <c r="F2008" s="1" t="str">
        <f>TEXT(CallLog[[#This Row],[Date]],"dddd")</f>
        <v>Thursday</v>
      </c>
      <c r="G2008" s="3">
        <f>HOUR(CallLog[[#This Row],[Time]])</f>
        <v>15</v>
      </c>
      <c r="H2008" t="s">
        <v>17</v>
      </c>
      <c r="I2008" t="s">
        <v>14</v>
      </c>
      <c r="J2008" t="s">
        <v>14</v>
      </c>
      <c r="K2008">
        <v>113</v>
      </c>
      <c r="L2008" t="str">
        <f>IF(AND(CallLog[[#This Row],[Answered (Y/N)]]="Y", CallLog[[#This Row],[Speed of answer in seconds]]&lt;=20),
    "Within",
    "Breach")</f>
        <v>Breach</v>
      </c>
      <c r="M2008" s="1">
        <v>3.2407407407407406E-3</v>
      </c>
      <c r="N2008">
        <v>4</v>
      </c>
    </row>
    <row r="2009" spans="1:14" x14ac:dyDescent="0.3">
      <c r="A2009" t="s">
        <v>2067</v>
      </c>
      <c r="B2009" t="s">
        <v>31</v>
      </c>
      <c r="C2009" t="s">
        <v>2014</v>
      </c>
      <c r="D2009" s="1">
        <v>0.64900462962962968</v>
      </c>
      <c r="E2009" s="2">
        <f>CallLog[[#This Row],[Date]]+CallLog[[#This Row],[Time]]</f>
        <v>44231.649004629631</v>
      </c>
      <c r="F2009" s="1" t="str">
        <f>TEXT(CallLog[[#This Row],[Date]],"dddd")</f>
        <v>Thursday</v>
      </c>
      <c r="G2009" s="3">
        <f>HOUR(CallLog[[#This Row],[Time]])</f>
        <v>15</v>
      </c>
      <c r="H2009" t="s">
        <v>32</v>
      </c>
      <c r="I2009" t="s">
        <v>18</v>
      </c>
      <c r="J2009" t="s">
        <v>18</v>
      </c>
      <c r="L2009" t="str">
        <f>IF(AND(CallLog[[#This Row],[Answered (Y/N)]]="Y", CallLog[[#This Row],[Speed of answer in seconds]]&lt;=20),
    "Within",
    "Breach")</f>
        <v>Breach</v>
      </c>
    </row>
    <row r="2010" spans="1:14" x14ac:dyDescent="0.3">
      <c r="A2010" t="s">
        <v>2068</v>
      </c>
      <c r="B2010" t="s">
        <v>11</v>
      </c>
      <c r="C2010" t="s">
        <v>2014</v>
      </c>
      <c r="D2010" s="1">
        <v>0.65700231481481486</v>
      </c>
      <c r="E2010" s="2">
        <f>CallLog[[#This Row],[Date]]+CallLog[[#This Row],[Time]]</f>
        <v>44231.657002314816</v>
      </c>
      <c r="F2010" s="1" t="str">
        <f>TEXT(CallLog[[#This Row],[Date]],"dddd")</f>
        <v>Thursday</v>
      </c>
      <c r="G2010" s="3">
        <f>HOUR(CallLog[[#This Row],[Time]])</f>
        <v>15</v>
      </c>
      <c r="H2010" t="s">
        <v>24</v>
      </c>
      <c r="I2010" t="s">
        <v>18</v>
      </c>
      <c r="J2010" t="s">
        <v>18</v>
      </c>
      <c r="L2010" t="str">
        <f>IF(AND(CallLog[[#This Row],[Answered (Y/N)]]="Y", CallLog[[#This Row],[Speed of answer in seconds]]&lt;=20),
    "Within",
    "Breach")</f>
        <v>Breach</v>
      </c>
    </row>
    <row r="2011" spans="1:14" x14ac:dyDescent="0.3">
      <c r="A2011" t="s">
        <v>2069</v>
      </c>
      <c r="B2011" t="s">
        <v>20</v>
      </c>
      <c r="C2011" t="s">
        <v>2014</v>
      </c>
      <c r="D2011" s="1">
        <v>0.65700231481481486</v>
      </c>
      <c r="E2011" s="2">
        <f>CallLog[[#This Row],[Date]]+CallLog[[#This Row],[Time]]</f>
        <v>44231.657002314816</v>
      </c>
      <c r="F2011" s="1" t="str">
        <f>TEXT(CallLog[[#This Row],[Date]],"dddd")</f>
        <v>Thursday</v>
      </c>
      <c r="G2011" s="3">
        <f>HOUR(CallLog[[#This Row],[Time]])</f>
        <v>15</v>
      </c>
      <c r="H2011" t="s">
        <v>29</v>
      </c>
      <c r="I2011" t="s">
        <v>14</v>
      </c>
      <c r="J2011" t="s">
        <v>14</v>
      </c>
      <c r="K2011">
        <v>112</v>
      </c>
      <c r="L2011" t="str">
        <f>IF(AND(CallLog[[#This Row],[Answered (Y/N)]]="Y", CallLog[[#This Row],[Speed of answer in seconds]]&lt;=20),
    "Within",
    "Breach")</f>
        <v>Breach</v>
      </c>
      <c r="M2011" s="1">
        <v>3.2754629629629631E-3</v>
      </c>
      <c r="N2011">
        <v>5</v>
      </c>
    </row>
    <row r="2012" spans="1:14" x14ac:dyDescent="0.3">
      <c r="A2012" t="s">
        <v>2070</v>
      </c>
      <c r="B2012" t="s">
        <v>31</v>
      </c>
      <c r="C2012" t="s">
        <v>2014</v>
      </c>
      <c r="D2012" s="1">
        <v>0.6579976851851852</v>
      </c>
      <c r="E2012" s="2">
        <f>CallLog[[#This Row],[Date]]+CallLog[[#This Row],[Time]]</f>
        <v>44231.657997685186</v>
      </c>
      <c r="F2012" s="1" t="str">
        <f>TEXT(CallLog[[#This Row],[Date]],"dddd")</f>
        <v>Thursday</v>
      </c>
      <c r="G2012" s="3">
        <f>HOUR(CallLog[[#This Row],[Time]])</f>
        <v>15</v>
      </c>
      <c r="H2012" t="s">
        <v>29</v>
      </c>
      <c r="I2012" t="s">
        <v>14</v>
      </c>
      <c r="J2012" t="s">
        <v>14</v>
      </c>
      <c r="K2012">
        <v>17</v>
      </c>
      <c r="L2012" t="str">
        <f>IF(AND(CallLog[[#This Row],[Answered (Y/N)]]="Y", CallLog[[#This Row],[Speed of answer in seconds]]&lt;=20),
    "Within",
    "Breach")</f>
        <v>Within</v>
      </c>
      <c r="M2012" s="1">
        <v>3.3564814814814816E-3</v>
      </c>
      <c r="N2012">
        <v>3</v>
      </c>
    </row>
    <row r="2013" spans="1:14" x14ac:dyDescent="0.3">
      <c r="A2013" t="s">
        <v>2071</v>
      </c>
      <c r="B2013" t="s">
        <v>34</v>
      </c>
      <c r="C2013" t="s">
        <v>2014</v>
      </c>
      <c r="D2013" s="1">
        <v>0.6579976851851852</v>
      </c>
      <c r="E2013" s="2">
        <f>CallLog[[#This Row],[Date]]+CallLog[[#This Row],[Time]]</f>
        <v>44231.657997685186</v>
      </c>
      <c r="F2013" s="1" t="str">
        <f>TEXT(CallLog[[#This Row],[Date]],"dddd")</f>
        <v>Thursday</v>
      </c>
      <c r="G2013" s="3">
        <f>HOUR(CallLog[[#This Row],[Time]])</f>
        <v>15</v>
      </c>
      <c r="H2013" t="s">
        <v>17</v>
      </c>
      <c r="I2013" t="s">
        <v>18</v>
      </c>
      <c r="J2013" t="s">
        <v>18</v>
      </c>
      <c r="L2013" t="str">
        <f>IF(AND(CallLog[[#This Row],[Answered (Y/N)]]="Y", CallLog[[#This Row],[Speed of answer in seconds]]&lt;=20),
    "Within",
    "Breach")</f>
        <v>Breach</v>
      </c>
    </row>
    <row r="2014" spans="1:14" x14ac:dyDescent="0.3">
      <c r="A2014" t="s">
        <v>2072</v>
      </c>
      <c r="B2014" t="s">
        <v>11</v>
      </c>
      <c r="C2014" t="s">
        <v>2014</v>
      </c>
      <c r="D2014" s="1">
        <v>0.67799768518518522</v>
      </c>
      <c r="E2014" s="2">
        <f>CallLog[[#This Row],[Date]]+CallLog[[#This Row],[Time]]</f>
        <v>44231.677997685183</v>
      </c>
      <c r="F2014" s="1" t="str">
        <f>TEXT(CallLog[[#This Row],[Date]],"dddd")</f>
        <v>Thursday</v>
      </c>
      <c r="G2014" s="3">
        <f>HOUR(CallLog[[#This Row],[Time]])</f>
        <v>16</v>
      </c>
      <c r="H2014" t="s">
        <v>29</v>
      </c>
      <c r="I2014" t="s">
        <v>14</v>
      </c>
      <c r="J2014" t="s">
        <v>14</v>
      </c>
      <c r="K2014">
        <v>82</v>
      </c>
      <c r="L2014" t="str">
        <f>IF(AND(CallLog[[#This Row],[Answered (Y/N)]]="Y", CallLog[[#This Row],[Speed of answer in seconds]]&lt;=20),
    "Within",
    "Breach")</f>
        <v>Breach</v>
      </c>
      <c r="M2014" s="1">
        <v>4.2245370370370371E-3</v>
      </c>
      <c r="N2014">
        <v>2</v>
      </c>
    </row>
    <row r="2015" spans="1:14" x14ac:dyDescent="0.3">
      <c r="A2015" t="s">
        <v>2073</v>
      </c>
      <c r="B2015" t="s">
        <v>11</v>
      </c>
      <c r="C2015" t="s">
        <v>2014</v>
      </c>
      <c r="D2015" s="1">
        <v>0.67799768518518522</v>
      </c>
      <c r="E2015" s="2">
        <f>CallLog[[#This Row],[Date]]+CallLog[[#This Row],[Time]]</f>
        <v>44231.677997685183</v>
      </c>
      <c r="F2015" s="1" t="str">
        <f>TEXT(CallLog[[#This Row],[Date]],"dddd")</f>
        <v>Thursday</v>
      </c>
      <c r="G2015" s="3">
        <f>HOUR(CallLog[[#This Row],[Time]])</f>
        <v>16</v>
      </c>
      <c r="H2015" t="s">
        <v>29</v>
      </c>
      <c r="I2015" t="s">
        <v>14</v>
      </c>
      <c r="J2015" t="s">
        <v>14</v>
      </c>
      <c r="K2015">
        <v>50</v>
      </c>
      <c r="L2015" t="str">
        <f>IF(AND(CallLog[[#This Row],[Answered (Y/N)]]="Y", CallLog[[#This Row],[Speed of answer in seconds]]&lt;=20),
    "Within",
    "Breach")</f>
        <v>Breach</v>
      </c>
      <c r="M2015" s="1">
        <v>3.6921296296296298E-3</v>
      </c>
      <c r="N2015">
        <v>2</v>
      </c>
    </row>
    <row r="2016" spans="1:14" x14ac:dyDescent="0.3">
      <c r="A2016" t="s">
        <v>2074</v>
      </c>
      <c r="B2016" t="s">
        <v>11</v>
      </c>
      <c r="C2016" t="s">
        <v>2014</v>
      </c>
      <c r="D2016" s="1">
        <v>0.68700231481481477</v>
      </c>
      <c r="E2016" s="2">
        <f>CallLog[[#This Row],[Date]]+CallLog[[#This Row],[Time]]</f>
        <v>44231.687002314815</v>
      </c>
      <c r="F2016" s="1" t="str">
        <f>TEXT(CallLog[[#This Row],[Date]],"dddd")</f>
        <v>Thursday</v>
      </c>
      <c r="G2016" s="3">
        <f>HOUR(CallLog[[#This Row],[Time]])</f>
        <v>16</v>
      </c>
      <c r="H2016" t="s">
        <v>17</v>
      </c>
      <c r="I2016" t="s">
        <v>14</v>
      </c>
      <c r="J2016" t="s">
        <v>18</v>
      </c>
      <c r="K2016">
        <v>84</v>
      </c>
      <c r="L2016" t="str">
        <f>IF(AND(CallLog[[#This Row],[Answered (Y/N)]]="Y", CallLog[[#This Row],[Speed of answer in seconds]]&lt;=20),
    "Within",
    "Breach")</f>
        <v>Breach</v>
      </c>
      <c r="M2016" s="1">
        <v>7.1759259259259259E-4</v>
      </c>
      <c r="N2016">
        <v>3</v>
      </c>
    </row>
    <row r="2017" spans="1:14" x14ac:dyDescent="0.3">
      <c r="A2017" t="s">
        <v>2075</v>
      </c>
      <c r="B2017" t="s">
        <v>38</v>
      </c>
      <c r="C2017" t="s">
        <v>2014</v>
      </c>
      <c r="D2017" s="1">
        <v>0.68700231481481477</v>
      </c>
      <c r="E2017" s="2">
        <f>CallLog[[#This Row],[Date]]+CallLog[[#This Row],[Time]]</f>
        <v>44231.687002314815</v>
      </c>
      <c r="F2017" s="1" t="str">
        <f>TEXT(CallLog[[#This Row],[Date]],"dddd")</f>
        <v>Thursday</v>
      </c>
      <c r="G2017" s="3">
        <f>HOUR(CallLog[[#This Row],[Time]])</f>
        <v>16</v>
      </c>
      <c r="H2017" t="s">
        <v>24</v>
      </c>
      <c r="I2017" t="s">
        <v>14</v>
      </c>
      <c r="J2017" t="s">
        <v>14</v>
      </c>
      <c r="K2017">
        <v>12</v>
      </c>
      <c r="L2017" t="str">
        <f>IF(AND(CallLog[[#This Row],[Answered (Y/N)]]="Y", CallLog[[#This Row],[Speed of answer in seconds]]&lt;=20),
    "Within",
    "Breach")</f>
        <v>Within</v>
      </c>
      <c r="M2017" s="1">
        <v>3.7962962962962963E-3</v>
      </c>
      <c r="N2017">
        <v>3</v>
      </c>
    </row>
    <row r="2018" spans="1:14" x14ac:dyDescent="0.3">
      <c r="A2018" t="s">
        <v>2076</v>
      </c>
      <c r="B2018" t="s">
        <v>20</v>
      </c>
      <c r="C2018" t="s">
        <v>2014</v>
      </c>
      <c r="D2018" s="1">
        <v>0.70900462962962962</v>
      </c>
      <c r="E2018" s="2">
        <f>CallLog[[#This Row],[Date]]+CallLog[[#This Row],[Time]]</f>
        <v>44231.709004629629</v>
      </c>
      <c r="F2018" s="1" t="str">
        <f>TEXT(CallLog[[#This Row],[Date]],"dddd")</f>
        <v>Thursday</v>
      </c>
      <c r="G2018" s="3">
        <f>HOUR(CallLog[[#This Row],[Time]])</f>
        <v>17</v>
      </c>
      <c r="H2018" t="s">
        <v>13</v>
      </c>
      <c r="I2018" t="s">
        <v>14</v>
      </c>
      <c r="J2018" t="s">
        <v>14</v>
      </c>
      <c r="K2018">
        <v>80</v>
      </c>
      <c r="L2018" t="str">
        <f>IF(AND(CallLog[[#This Row],[Answered (Y/N)]]="Y", CallLog[[#This Row],[Speed of answer in seconds]]&lt;=20),
    "Within",
    "Breach")</f>
        <v>Breach</v>
      </c>
      <c r="M2018" s="1">
        <v>1.1574074074074073E-3</v>
      </c>
      <c r="N2018">
        <v>2</v>
      </c>
    </row>
    <row r="2019" spans="1:14" x14ac:dyDescent="0.3">
      <c r="A2019" t="s">
        <v>2077</v>
      </c>
      <c r="B2019" t="s">
        <v>16</v>
      </c>
      <c r="C2019" t="s">
        <v>2014</v>
      </c>
      <c r="D2019" s="1">
        <v>0.70900462962962962</v>
      </c>
      <c r="E2019" s="2">
        <f>CallLog[[#This Row],[Date]]+CallLog[[#This Row],[Time]]</f>
        <v>44231.709004629629</v>
      </c>
      <c r="F2019" s="1" t="str">
        <f>TEXT(CallLog[[#This Row],[Date]],"dddd")</f>
        <v>Thursday</v>
      </c>
      <c r="G2019" s="3">
        <f>HOUR(CallLog[[#This Row],[Time]])</f>
        <v>17</v>
      </c>
      <c r="H2019" t="s">
        <v>17</v>
      </c>
      <c r="I2019" t="s">
        <v>14</v>
      </c>
      <c r="J2019" t="s">
        <v>14</v>
      </c>
      <c r="K2019">
        <v>51</v>
      </c>
      <c r="L2019" t="str">
        <f>IF(AND(CallLog[[#This Row],[Answered (Y/N)]]="Y", CallLog[[#This Row],[Speed of answer in seconds]]&lt;=20),
    "Within",
    "Breach")</f>
        <v>Breach</v>
      </c>
      <c r="M2019" s="1">
        <v>1.5856481481481481E-3</v>
      </c>
      <c r="N2019">
        <v>3</v>
      </c>
    </row>
    <row r="2020" spans="1:14" x14ac:dyDescent="0.3">
      <c r="A2020" t="s">
        <v>2078</v>
      </c>
      <c r="B2020" t="s">
        <v>11</v>
      </c>
      <c r="C2020" t="s">
        <v>2014</v>
      </c>
      <c r="D2020" s="1">
        <v>0.71499999999999997</v>
      </c>
      <c r="E2020" s="2">
        <f>CallLog[[#This Row],[Date]]+CallLog[[#This Row],[Time]]</f>
        <v>44231.714999999997</v>
      </c>
      <c r="F2020" s="1" t="str">
        <f>TEXT(CallLog[[#This Row],[Date]],"dddd")</f>
        <v>Thursday</v>
      </c>
      <c r="G2020" s="3">
        <f>HOUR(CallLog[[#This Row],[Time]])</f>
        <v>17</v>
      </c>
      <c r="H2020" t="s">
        <v>24</v>
      </c>
      <c r="I2020" t="s">
        <v>14</v>
      </c>
      <c r="J2020" t="s">
        <v>14</v>
      </c>
      <c r="K2020">
        <v>90</v>
      </c>
      <c r="L2020" t="str">
        <f>IF(AND(CallLog[[#This Row],[Answered (Y/N)]]="Y", CallLog[[#This Row],[Speed of answer in seconds]]&lt;=20),
    "Within",
    "Breach")</f>
        <v>Breach</v>
      </c>
      <c r="M2020" s="1">
        <v>2.1759259259259258E-3</v>
      </c>
      <c r="N2020">
        <v>5</v>
      </c>
    </row>
    <row r="2021" spans="1:14" x14ac:dyDescent="0.3">
      <c r="A2021" t="s">
        <v>2079</v>
      </c>
      <c r="B2021" t="s">
        <v>22</v>
      </c>
      <c r="C2021" t="s">
        <v>2014</v>
      </c>
      <c r="D2021" s="1">
        <v>0.71499999999999997</v>
      </c>
      <c r="E2021" s="2">
        <f>CallLog[[#This Row],[Date]]+CallLog[[#This Row],[Time]]</f>
        <v>44231.714999999997</v>
      </c>
      <c r="F2021" s="1" t="str">
        <f>TEXT(CallLog[[#This Row],[Date]],"dddd")</f>
        <v>Thursday</v>
      </c>
      <c r="G2021" s="3">
        <f>HOUR(CallLog[[#This Row],[Time]])</f>
        <v>17</v>
      </c>
      <c r="H2021" t="s">
        <v>13</v>
      </c>
      <c r="I2021" t="s">
        <v>14</v>
      </c>
      <c r="J2021" t="s">
        <v>14</v>
      </c>
      <c r="K2021">
        <v>40</v>
      </c>
      <c r="L2021" t="str">
        <f>IF(AND(CallLog[[#This Row],[Answered (Y/N)]]="Y", CallLog[[#This Row],[Speed of answer in seconds]]&lt;=20),
    "Within",
    "Breach")</f>
        <v>Breach</v>
      </c>
      <c r="M2021" s="1">
        <v>2.9282407407407408E-3</v>
      </c>
      <c r="N2021">
        <v>4</v>
      </c>
    </row>
    <row r="2022" spans="1:14" x14ac:dyDescent="0.3">
      <c r="A2022" t="s">
        <v>2080</v>
      </c>
      <c r="B2022" t="s">
        <v>16</v>
      </c>
      <c r="C2022" t="s">
        <v>2014</v>
      </c>
      <c r="D2022" s="1">
        <v>0.73900462962962965</v>
      </c>
      <c r="E2022" s="2">
        <f>CallLog[[#This Row],[Date]]+CallLog[[#This Row],[Time]]</f>
        <v>44231.739004629628</v>
      </c>
      <c r="F2022" s="1" t="str">
        <f>TEXT(CallLog[[#This Row],[Date]],"dddd")</f>
        <v>Thursday</v>
      </c>
      <c r="G2022" s="3">
        <f>HOUR(CallLog[[#This Row],[Time]])</f>
        <v>17</v>
      </c>
      <c r="H2022" t="s">
        <v>17</v>
      </c>
      <c r="I2022" t="s">
        <v>14</v>
      </c>
      <c r="J2022" t="s">
        <v>18</v>
      </c>
      <c r="K2022">
        <v>59</v>
      </c>
      <c r="L2022" t="str">
        <f>IF(AND(CallLog[[#This Row],[Answered (Y/N)]]="Y", CallLog[[#This Row],[Speed of answer in seconds]]&lt;=20),
    "Within",
    "Breach")</f>
        <v>Breach</v>
      </c>
      <c r="M2022" s="1">
        <v>7.291666666666667E-4</v>
      </c>
      <c r="N2022">
        <v>3</v>
      </c>
    </row>
    <row r="2023" spans="1:14" x14ac:dyDescent="0.3">
      <c r="A2023" t="s">
        <v>2081</v>
      </c>
      <c r="B2023" t="s">
        <v>34</v>
      </c>
      <c r="C2023" t="s">
        <v>2014</v>
      </c>
      <c r="D2023" s="1">
        <v>0.73900462962962965</v>
      </c>
      <c r="E2023" s="2">
        <f>CallLog[[#This Row],[Date]]+CallLog[[#This Row],[Time]]</f>
        <v>44231.739004629628</v>
      </c>
      <c r="F2023" s="1" t="str">
        <f>TEXT(CallLog[[#This Row],[Date]],"dddd")</f>
        <v>Thursday</v>
      </c>
      <c r="G2023" s="3">
        <f>HOUR(CallLog[[#This Row],[Time]])</f>
        <v>17</v>
      </c>
      <c r="H2023" t="s">
        <v>29</v>
      </c>
      <c r="I2023" t="s">
        <v>14</v>
      </c>
      <c r="J2023" t="s">
        <v>14</v>
      </c>
      <c r="K2023">
        <v>53</v>
      </c>
      <c r="L2023" t="str">
        <f>IF(AND(CallLog[[#This Row],[Answered (Y/N)]]="Y", CallLog[[#This Row],[Speed of answer in seconds]]&lt;=20),
    "Within",
    "Breach")</f>
        <v>Breach</v>
      </c>
      <c r="M2023" s="1">
        <v>4.409722222222222E-3</v>
      </c>
      <c r="N2023">
        <v>4</v>
      </c>
    </row>
    <row r="2024" spans="1:14" x14ac:dyDescent="0.3">
      <c r="A2024" t="s">
        <v>2082</v>
      </c>
      <c r="B2024" t="s">
        <v>38</v>
      </c>
      <c r="C2024" t="s">
        <v>2014</v>
      </c>
      <c r="D2024" s="1">
        <v>0.74099537037037033</v>
      </c>
      <c r="E2024" s="2">
        <f>CallLog[[#This Row],[Date]]+CallLog[[#This Row],[Time]]</f>
        <v>44231.740995370368</v>
      </c>
      <c r="F2024" s="1" t="str">
        <f>TEXT(CallLog[[#This Row],[Date]],"dddd")</f>
        <v>Thursday</v>
      </c>
      <c r="G2024" s="3">
        <f>HOUR(CallLog[[#This Row],[Time]])</f>
        <v>17</v>
      </c>
      <c r="H2024" t="s">
        <v>13</v>
      </c>
      <c r="I2024" t="s">
        <v>14</v>
      </c>
      <c r="J2024" t="s">
        <v>14</v>
      </c>
      <c r="K2024">
        <v>14</v>
      </c>
      <c r="L2024" t="str">
        <f>IF(AND(CallLog[[#This Row],[Answered (Y/N)]]="Y", CallLog[[#This Row],[Speed of answer in seconds]]&lt;=20),
    "Within",
    "Breach")</f>
        <v>Within</v>
      </c>
      <c r="M2024" s="1">
        <v>1.8634259259259259E-3</v>
      </c>
      <c r="N2024">
        <v>5</v>
      </c>
    </row>
    <row r="2025" spans="1:14" x14ac:dyDescent="0.3">
      <c r="A2025" t="s">
        <v>2083</v>
      </c>
      <c r="B2025" t="s">
        <v>31</v>
      </c>
      <c r="C2025" t="s">
        <v>2014</v>
      </c>
      <c r="D2025" s="1">
        <v>0.74099537037037033</v>
      </c>
      <c r="E2025" s="2">
        <f>CallLog[[#This Row],[Date]]+CallLog[[#This Row],[Time]]</f>
        <v>44231.740995370368</v>
      </c>
      <c r="F2025" s="1" t="str">
        <f>TEXT(CallLog[[#This Row],[Date]],"dddd")</f>
        <v>Thursday</v>
      </c>
      <c r="G2025" s="3">
        <f>HOUR(CallLog[[#This Row],[Time]])</f>
        <v>17</v>
      </c>
      <c r="H2025" t="s">
        <v>32</v>
      </c>
      <c r="I2025" t="s">
        <v>14</v>
      </c>
      <c r="J2025" t="s">
        <v>14</v>
      </c>
      <c r="K2025">
        <v>89</v>
      </c>
      <c r="L2025" t="str">
        <f>IF(AND(CallLog[[#This Row],[Answered (Y/N)]]="Y", CallLog[[#This Row],[Speed of answer in seconds]]&lt;=20),
    "Within",
    "Breach")</f>
        <v>Breach</v>
      </c>
      <c r="M2025" s="1">
        <v>4.4444444444444444E-3</v>
      </c>
      <c r="N2025">
        <v>4</v>
      </c>
    </row>
    <row r="2026" spans="1:14" x14ac:dyDescent="0.3">
      <c r="A2026" t="s">
        <v>2084</v>
      </c>
      <c r="B2026" t="s">
        <v>16</v>
      </c>
      <c r="C2026" t="s">
        <v>2014</v>
      </c>
      <c r="D2026" s="1">
        <v>0.74799768518518517</v>
      </c>
      <c r="E2026" s="2">
        <f>CallLog[[#This Row],[Date]]+CallLog[[#This Row],[Time]]</f>
        <v>44231.747997685183</v>
      </c>
      <c r="F2026" s="1" t="str">
        <f>TEXT(CallLog[[#This Row],[Date]],"dddd")</f>
        <v>Thursday</v>
      </c>
      <c r="G2026" s="3">
        <f>HOUR(CallLog[[#This Row],[Time]])</f>
        <v>17</v>
      </c>
      <c r="H2026" t="s">
        <v>17</v>
      </c>
      <c r="I2026" t="s">
        <v>14</v>
      </c>
      <c r="J2026" t="s">
        <v>14</v>
      </c>
      <c r="K2026">
        <v>22</v>
      </c>
      <c r="L2026" t="str">
        <f>IF(AND(CallLog[[#This Row],[Answered (Y/N)]]="Y", CallLog[[#This Row],[Speed of answer in seconds]]&lt;=20),
    "Within",
    "Breach")</f>
        <v>Breach</v>
      </c>
      <c r="M2026" s="1">
        <v>2.0370370370370369E-3</v>
      </c>
      <c r="N2026">
        <v>1</v>
      </c>
    </row>
    <row r="2027" spans="1:14" x14ac:dyDescent="0.3">
      <c r="A2027" t="s">
        <v>2085</v>
      </c>
      <c r="B2027" t="s">
        <v>38</v>
      </c>
      <c r="C2027" t="s">
        <v>2014</v>
      </c>
      <c r="D2027" s="1">
        <v>0.74799768518518517</v>
      </c>
      <c r="E2027" s="2">
        <f>CallLog[[#This Row],[Date]]+CallLog[[#This Row],[Time]]</f>
        <v>44231.747997685183</v>
      </c>
      <c r="F2027" s="1" t="str">
        <f>TEXT(CallLog[[#This Row],[Date]],"dddd")</f>
        <v>Thursday</v>
      </c>
      <c r="G2027" s="3">
        <f>HOUR(CallLog[[#This Row],[Time]])</f>
        <v>17</v>
      </c>
      <c r="H2027" t="s">
        <v>17</v>
      </c>
      <c r="I2027" t="s">
        <v>18</v>
      </c>
      <c r="J2027" t="s">
        <v>18</v>
      </c>
      <c r="L2027" t="str">
        <f>IF(AND(CallLog[[#This Row],[Answered (Y/N)]]="Y", CallLog[[#This Row],[Speed of answer in seconds]]&lt;=20),
    "Within",
    "Breach")</f>
        <v>Breach</v>
      </c>
    </row>
    <row r="2028" spans="1:14" x14ac:dyDescent="0.3">
      <c r="A2028" t="s">
        <v>2086</v>
      </c>
      <c r="B2028" t="s">
        <v>34</v>
      </c>
      <c r="C2028" t="s">
        <v>2087</v>
      </c>
      <c r="D2028" s="1">
        <v>0.38599537037037035</v>
      </c>
      <c r="E2028" s="2">
        <f>CallLog[[#This Row],[Date]]+CallLog[[#This Row],[Time]]</f>
        <v>44232.385995370372</v>
      </c>
      <c r="F2028" s="1" t="str">
        <f>TEXT(CallLog[[#This Row],[Date]],"dddd")</f>
        <v>Friday</v>
      </c>
      <c r="G2028" s="3">
        <f>HOUR(CallLog[[#This Row],[Time]])</f>
        <v>9</v>
      </c>
      <c r="H2028" t="s">
        <v>13</v>
      </c>
      <c r="I2028" t="s">
        <v>14</v>
      </c>
      <c r="J2028" t="s">
        <v>14</v>
      </c>
      <c r="K2028">
        <v>67</v>
      </c>
      <c r="L2028" t="str">
        <f>IF(AND(CallLog[[#This Row],[Answered (Y/N)]]="Y", CallLog[[#This Row],[Speed of answer in seconds]]&lt;=20),
    "Within",
    "Breach")</f>
        <v>Breach</v>
      </c>
      <c r="M2028" s="1">
        <v>2.8009259259259259E-3</v>
      </c>
      <c r="N2028">
        <v>3</v>
      </c>
    </row>
    <row r="2029" spans="1:14" x14ac:dyDescent="0.3">
      <c r="A2029" t="s">
        <v>2088</v>
      </c>
      <c r="B2029" t="s">
        <v>11</v>
      </c>
      <c r="C2029" t="s">
        <v>2087</v>
      </c>
      <c r="D2029" s="1">
        <v>0.38599537037037035</v>
      </c>
      <c r="E2029" s="2">
        <f>CallLog[[#This Row],[Date]]+CallLog[[#This Row],[Time]]</f>
        <v>44232.385995370372</v>
      </c>
      <c r="F2029" s="1" t="str">
        <f>TEXT(CallLog[[#This Row],[Date]],"dddd")</f>
        <v>Friday</v>
      </c>
      <c r="G2029" s="3">
        <f>HOUR(CallLog[[#This Row],[Time]])</f>
        <v>9</v>
      </c>
      <c r="H2029" t="s">
        <v>32</v>
      </c>
      <c r="I2029" t="s">
        <v>14</v>
      </c>
      <c r="J2029" t="s">
        <v>14</v>
      </c>
      <c r="K2029">
        <v>28</v>
      </c>
      <c r="L2029" t="str">
        <f>IF(AND(CallLog[[#This Row],[Answered (Y/N)]]="Y", CallLog[[#This Row],[Speed of answer in seconds]]&lt;=20),
    "Within",
    "Breach")</f>
        <v>Breach</v>
      </c>
      <c r="M2029" s="1">
        <v>3.5879629629629629E-3</v>
      </c>
      <c r="N2029">
        <v>1</v>
      </c>
    </row>
    <row r="2030" spans="1:14" x14ac:dyDescent="0.3">
      <c r="A2030" t="s">
        <v>2089</v>
      </c>
      <c r="B2030" t="s">
        <v>22</v>
      </c>
      <c r="C2030" t="s">
        <v>2087</v>
      </c>
      <c r="D2030" s="1">
        <v>0.39400462962962962</v>
      </c>
      <c r="E2030" s="2">
        <f>CallLog[[#This Row],[Date]]+CallLog[[#This Row],[Time]]</f>
        <v>44232.394004629627</v>
      </c>
      <c r="F2030" s="1" t="str">
        <f>TEXT(CallLog[[#This Row],[Date]],"dddd")</f>
        <v>Friday</v>
      </c>
      <c r="G2030" s="3">
        <f>HOUR(CallLog[[#This Row],[Time]])</f>
        <v>9</v>
      </c>
      <c r="H2030" t="s">
        <v>17</v>
      </c>
      <c r="I2030" t="s">
        <v>18</v>
      </c>
      <c r="J2030" t="s">
        <v>18</v>
      </c>
      <c r="L2030" t="str">
        <f>IF(AND(CallLog[[#This Row],[Answered (Y/N)]]="Y", CallLog[[#This Row],[Speed of answer in seconds]]&lt;=20),
    "Within",
    "Breach")</f>
        <v>Breach</v>
      </c>
    </row>
    <row r="2031" spans="1:14" x14ac:dyDescent="0.3">
      <c r="A2031" t="s">
        <v>2090</v>
      </c>
      <c r="B2031" t="s">
        <v>31</v>
      </c>
      <c r="C2031" t="s">
        <v>2087</v>
      </c>
      <c r="D2031" s="1">
        <v>0.39400462962962962</v>
      </c>
      <c r="E2031" s="2">
        <f>CallLog[[#This Row],[Date]]+CallLog[[#This Row],[Time]]</f>
        <v>44232.394004629627</v>
      </c>
      <c r="F2031" s="1" t="str">
        <f>TEXT(CallLog[[#This Row],[Date]],"dddd")</f>
        <v>Friday</v>
      </c>
      <c r="G2031" s="3">
        <f>HOUR(CallLog[[#This Row],[Time]])</f>
        <v>9</v>
      </c>
      <c r="H2031" t="s">
        <v>13</v>
      </c>
      <c r="I2031" t="s">
        <v>18</v>
      </c>
      <c r="J2031" t="s">
        <v>18</v>
      </c>
      <c r="L2031" t="str">
        <f>IF(AND(CallLog[[#This Row],[Answered (Y/N)]]="Y", CallLog[[#This Row],[Speed of answer in seconds]]&lt;=20),
    "Within",
    "Breach")</f>
        <v>Breach</v>
      </c>
    </row>
    <row r="2032" spans="1:14" x14ac:dyDescent="0.3">
      <c r="A2032" t="s">
        <v>2091</v>
      </c>
      <c r="B2032" t="s">
        <v>47</v>
      </c>
      <c r="C2032" t="s">
        <v>2087</v>
      </c>
      <c r="D2032" s="1">
        <v>0.40099537037037036</v>
      </c>
      <c r="E2032" s="2">
        <f>CallLog[[#This Row],[Date]]+CallLog[[#This Row],[Time]]</f>
        <v>44232.400995370372</v>
      </c>
      <c r="F2032" s="1" t="str">
        <f>TEXT(CallLog[[#This Row],[Date]],"dddd")</f>
        <v>Friday</v>
      </c>
      <c r="G2032" s="3">
        <f>HOUR(CallLog[[#This Row],[Time]])</f>
        <v>9</v>
      </c>
      <c r="H2032" t="s">
        <v>13</v>
      </c>
      <c r="I2032" t="s">
        <v>14</v>
      </c>
      <c r="J2032" t="s">
        <v>14</v>
      </c>
      <c r="K2032">
        <v>15</v>
      </c>
      <c r="L2032" t="str">
        <f>IF(AND(CallLog[[#This Row],[Answered (Y/N)]]="Y", CallLog[[#This Row],[Speed of answer in seconds]]&lt;=20),
    "Within",
    "Breach")</f>
        <v>Within</v>
      </c>
      <c r="M2032" s="1">
        <v>1.3425925925925925E-3</v>
      </c>
      <c r="N2032">
        <v>5</v>
      </c>
    </row>
    <row r="2033" spans="1:14" x14ac:dyDescent="0.3">
      <c r="A2033" t="s">
        <v>2092</v>
      </c>
      <c r="B2033" t="s">
        <v>38</v>
      </c>
      <c r="C2033" t="s">
        <v>2087</v>
      </c>
      <c r="D2033" s="1">
        <v>0.40099537037037036</v>
      </c>
      <c r="E2033" s="2">
        <f>CallLog[[#This Row],[Date]]+CallLog[[#This Row],[Time]]</f>
        <v>44232.400995370372</v>
      </c>
      <c r="F2033" s="1" t="str">
        <f>TEXT(CallLog[[#This Row],[Date]],"dddd")</f>
        <v>Friday</v>
      </c>
      <c r="G2033" s="3">
        <f>HOUR(CallLog[[#This Row],[Time]])</f>
        <v>9</v>
      </c>
      <c r="H2033" t="s">
        <v>32</v>
      </c>
      <c r="I2033" t="s">
        <v>18</v>
      </c>
      <c r="J2033" t="s">
        <v>18</v>
      </c>
      <c r="L2033" t="str">
        <f>IF(AND(CallLog[[#This Row],[Answered (Y/N)]]="Y", CallLog[[#This Row],[Speed of answer in seconds]]&lt;=20),
    "Within",
    "Breach")</f>
        <v>Breach</v>
      </c>
    </row>
    <row r="2034" spans="1:14" x14ac:dyDescent="0.3">
      <c r="A2034" t="s">
        <v>2093</v>
      </c>
      <c r="B2034" t="s">
        <v>38</v>
      </c>
      <c r="C2034" t="s">
        <v>2087</v>
      </c>
      <c r="D2034" s="1">
        <v>0.40099537037037036</v>
      </c>
      <c r="E2034" s="2">
        <f>CallLog[[#This Row],[Date]]+CallLog[[#This Row],[Time]]</f>
        <v>44232.400995370372</v>
      </c>
      <c r="F2034" s="1" t="str">
        <f>TEXT(CallLog[[#This Row],[Date]],"dddd")</f>
        <v>Friday</v>
      </c>
      <c r="G2034" s="3">
        <f>HOUR(CallLog[[#This Row],[Time]])</f>
        <v>9</v>
      </c>
      <c r="H2034" t="s">
        <v>24</v>
      </c>
      <c r="I2034" t="s">
        <v>14</v>
      </c>
      <c r="J2034" t="s">
        <v>18</v>
      </c>
      <c r="K2034">
        <v>48</v>
      </c>
      <c r="L2034" t="str">
        <f>IF(AND(CallLog[[#This Row],[Answered (Y/N)]]="Y", CallLog[[#This Row],[Speed of answer in seconds]]&lt;=20),
    "Within",
    "Breach")</f>
        <v>Breach</v>
      </c>
      <c r="M2034" s="1">
        <v>1.1574074074074073E-3</v>
      </c>
      <c r="N2034">
        <v>1</v>
      </c>
    </row>
    <row r="2035" spans="1:14" x14ac:dyDescent="0.3">
      <c r="A2035" t="s">
        <v>2094</v>
      </c>
      <c r="B2035" t="s">
        <v>11</v>
      </c>
      <c r="C2035" t="s">
        <v>2087</v>
      </c>
      <c r="D2035" s="1">
        <v>0.40099537037037036</v>
      </c>
      <c r="E2035" s="2">
        <f>CallLog[[#This Row],[Date]]+CallLog[[#This Row],[Time]]</f>
        <v>44232.400995370372</v>
      </c>
      <c r="F2035" s="1" t="str">
        <f>TEXT(CallLog[[#This Row],[Date]],"dddd")</f>
        <v>Friday</v>
      </c>
      <c r="G2035" s="3">
        <f>HOUR(CallLog[[#This Row],[Time]])</f>
        <v>9</v>
      </c>
      <c r="H2035" t="s">
        <v>24</v>
      </c>
      <c r="I2035" t="s">
        <v>14</v>
      </c>
      <c r="J2035" t="s">
        <v>14</v>
      </c>
      <c r="K2035">
        <v>27</v>
      </c>
      <c r="L2035" t="str">
        <f>IF(AND(CallLog[[#This Row],[Answered (Y/N)]]="Y", CallLog[[#This Row],[Speed of answer in seconds]]&lt;=20),
    "Within",
    "Breach")</f>
        <v>Breach</v>
      </c>
      <c r="M2035" s="1">
        <v>3.2638888888888891E-3</v>
      </c>
      <c r="N2035">
        <v>1</v>
      </c>
    </row>
    <row r="2036" spans="1:14" x14ac:dyDescent="0.3">
      <c r="A2036" t="s">
        <v>2095</v>
      </c>
      <c r="B2036" t="s">
        <v>47</v>
      </c>
      <c r="C2036" t="s">
        <v>2087</v>
      </c>
      <c r="D2036" s="1">
        <v>0.40299768518518519</v>
      </c>
      <c r="E2036" s="2">
        <f>CallLog[[#This Row],[Date]]+CallLog[[#This Row],[Time]]</f>
        <v>44232.402997685182</v>
      </c>
      <c r="F2036" s="1" t="str">
        <f>TEXT(CallLog[[#This Row],[Date]],"dddd")</f>
        <v>Friday</v>
      </c>
      <c r="G2036" s="3">
        <f>HOUR(CallLog[[#This Row],[Time]])</f>
        <v>9</v>
      </c>
      <c r="H2036" t="s">
        <v>17</v>
      </c>
      <c r="I2036" t="s">
        <v>14</v>
      </c>
      <c r="J2036" t="s">
        <v>14</v>
      </c>
      <c r="K2036">
        <v>99</v>
      </c>
      <c r="L2036" t="str">
        <f>IF(AND(CallLog[[#This Row],[Answered (Y/N)]]="Y", CallLog[[#This Row],[Speed of answer in seconds]]&lt;=20),
    "Within",
    "Breach")</f>
        <v>Breach</v>
      </c>
      <c r="M2036" s="1">
        <v>4.31712962962963E-3</v>
      </c>
      <c r="N2036">
        <v>3</v>
      </c>
    </row>
    <row r="2037" spans="1:14" x14ac:dyDescent="0.3">
      <c r="A2037" t="s">
        <v>2096</v>
      </c>
      <c r="B2037" t="s">
        <v>20</v>
      </c>
      <c r="C2037" t="s">
        <v>2087</v>
      </c>
      <c r="D2037" s="1">
        <v>0.40299768518518519</v>
      </c>
      <c r="E2037" s="2">
        <f>CallLog[[#This Row],[Date]]+CallLog[[#This Row],[Time]]</f>
        <v>44232.402997685182</v>
      </c>
      <c r="F2037" s="1" t="str">
        <f>TEXT(CallLog[[#This Row],[Date]],"dddd")</f>
        <v>Friday</v>
      </c>
      <c r="G2037" s="3">
        <f>HOUR(CallLog[[#This Row],[Time]])</f>
        <v>9</v>
      </c>
      <c r="H2037" t="s">
        <v>24</v>
      </c>
      <c r="I2037" t="s">
        <v>14</v>
      </c>
      <c r="J2037" t="s">
        <v>14</v>
      </c>
      <c r="K2037">
        <v>33</v>
      </c>
      <c r="L2037" t="str">
        <f>IF(AND(CallLog[[#This Row],[Answered (Y/N)]]="Y", CallLog[[#This Row],[Speed of answer in seconds]]&lt;=20),
    "Within",
    "Breach")</f>
        <v>Breach</v>
      </c>
      <c r="M2037" s="1">
        <v>4.7685185185185183E-3</v>
      </c>
      <c r="N2037">
        <v>3</v>
      </c>
    </row>
    <row r="2038" spans="1:14" x14ac:dyDescent="0.3">
      <c r="A2038" t="s">
        <v>2097</v>
      </c>
      <c r="B2038" t="s">
        <v>22</v>
      </c>
      <c r="C2038" t="s">
        <v>2087</v>
      </c>
      <c r="D2038" s="1">
        <v>0.42900462962962965</v>
      </c>
      <c r="E2038" s="2">
        <f>CallLog[[#This Row],[Date]]+CallLog[[#This Row],[Time]]</f>
        <v>44232.42900462963</v>
      </c>
      <c r="F2038" s="1" t="str">
        <f>TEXT(CallLog[[#This Row],[Date]],"dddd")</f>
        <v>Friday</v>
      </c>
      <c r="G2038" s="3">
        <f>HOUR(CallLog[[#This Row],[Time]])</f>
        <v>10</v>
      </c>
      <c r="H2038" t="s">
        <v>32</v>
      </c>
      <c r="I2038" t="s">
        <v>14</v>
      </c>
      <c r="J2038" t="s">
        <v>14</v>
      </c>
      <c r="K2038">
        <v>106</v>
      </c>
      <c r="L2038" t="str">
        <f>IF(AND(CallLog[[#This Row],[Answered (Y/N)]]="Y", CallLog[[#This Row],[Speed of answer in seconds]]&lt;=20),
    "Within",
    "Breach")</f>
        <v>Breach</v>
      </c>
      <c r="M2038" s="1">
        <v>3.0902777777777777E-3</v>
      </c>
      <c r="N2038">
        <v>5</v>
      </c>
    </row>
    <row r="2039" spans="1:14" x14ac:dyDescent="0.3">
      <c r="A2039" t="s">
        <v>2098</v>
      </c>
      <c r="B2039" t="s">
        <v>31</v>
      </c>
      <c r="C2039" t="s">
        <v>2087</v>
      </c>
      <c r="D2039" s="1">
        <v>0.42900462962962965</v>
      </c>
      <c r="E2039" s="2">
        <f>CallLog[[#This Row],[Date]]+CallLog[[#This Row],[Time]]</f>
        <v>44232.42900462963</v>
      </c>
      <c r="F2039" s="1" t="str">
        <f>TEXT(CallLog[[#This Row],[Date]],"dddd")</f>
        <v>Friday</v>
      </c>
      <c r="G2039" s="3">
        <f>HOUR(CallLog[[#This Row],[Time]])</f>
        <v>10</v>
      </c>
      <c r="H2039" t="s">
        <v>29</v>
      </c>
      <c r="I2039" t="s">
        <v>18</v>
      </c>
      <c r="J2039" t="s">
        <v>18</v>
      </c>
      <c r="L2039" t="str">
        <f>IF(AND(CallLog[[#This Row],[Answered (Y/N)]]="Y", CallLog[[#This Row],[Speed of answer in seconds]]&lt;=20),
    "Within",
    "Breach")</f>
        <v>Breach</v>
      </c>
    </row>
    <row r="2040" spans="1:14" x14ac:dyDescent="0.3">
      <c r="A2040" t="s">
        <v>2099</v>
      </c>
      <c r="B2040" t="s">
        <v>47</v>
      </c>
      <c r="C2040" t="s">
        <v>2087</v>
      </c>
      <c r="D2040" s="1">
        <v>0.435</v>
      </c>
      <c r="E2040" s="2">
        <f>CallLog[[#This Row],[Date]]+CallLog[[#This Row],[Time]]</f>
        <v>44232.434999999998</v>
      </c>
      <c r="F2040" s="1" t="str">
        <f>TEXT(CallLog[[#This Row],[Date]],"dddd")</f>
        <v>Friday</v>
      </c>
      <c r="G2040" s="3">
        <f>HOUR(CallLog[[#This Row],[Time]])</f>
        <v>10</v>
      </c>
      <c r="H2040" t="s">
        <v>24</v>
      </c>
      <c r="I2040" t="s">
        <v>14</v>
      </c>
      <c r="J2040" t="s">
        <v>14</v>
      </c>
      <c r="K2040">
        <v>121</v>
      </c>
      <c r="L2040" t="str">
        <f>IF(AND(CallLog[[#This Row],[Answered (Y/N)]]="Y", CallLog[[#This Row],[Speed of answer in seconds]]&lt;=20),
    "Within",
    "Breach")</f>
        <v>Breach</v>
      </c>
      <c r="M2040" s="1">
        <v>2.2569444444444442E-3</v>
      </c>
      <c r="N2040">
        <v>4</v>
      </c>
    </row>
    <row r="2041" spans="1:14" x14ac:dyDescent="0.3">
      <c r="A2041" t="s">
        <v>2100</v>
      </c>
      <c r="B2041" t="s">
        <v>31</v>
      </c>
      <c r="C2041" t="s">
        <v>2087</v>
      </c>
      <c r="D2041" s="1">
        <v>0.435</v>
      </c>
      <c r="E2041" s="2">
        <f>CallLog[[#This Row],[Date]]+CallLog[[#This Row],[Time]]</f>
        <v>44232.434999999998</v>
      </c>
      <c r="F2041" s="1" t="str">
        <f>TEXT(CallLog[[#This Row],[Date]],"dddd")</f>
        <v>Friday</v>
      </c>
      <c r="G2041" s="3">
        <f>HOUR(CallLog[[#This Row],[Time]])</f>
        <v>10</v>
      </c>
      <c r="H2041" t="s">
        <v>17</v>
      </c>
      <c r="I2041" t="s">
        <v>14</v>
      </c>
      <c r="J2041" t="s">
        <v>14</v>
      </c>
      <c r="K2041">
        <v>36</v>
      </c>
      <c r="L2041" t="str">
        <f>IF(AND(CallLog[[#This Row],[Answered (Y/N)]]="Y", CallLog[[#This Row],[Speed of answer in seconds]]&lt;=20),
    "Within",
    "Breach")</f>
        <v>Breach</v>
      </c>
      <c r="M2041" s="1">
        <v>2.9976851851851853E-3</v>
      </c>
      <c r="N2041">
        <v>5</v>
      </c>
    </row>
    <row r="2042" spans="1:14" x14ac:dyDescent="0.3">
      <c r="A2042" t="s">
        <v>2101</v>
      </c>
      <c r="B2042" t="s">
        <v>11</v>
      </c>
      <c r="C2042" t="s">
        <v>2087</v>
      </c>
      <c r="D2042" s="1">
        <v>0.43799768518518517</v>
      </c>
      <c r="E2042" s="2">
        <f>CallLog[[#This Row],[Date]]+CallLog[[#This Row],[Time]]</f>
        <v>44232.437997685185</v>
      </c>
      <c r="F2042" s="1" t="str">
        <f>TEXT(CallLog[[#This Row],[Date]],"dddd")</f>
        <v>Friday</v>
      </c>
      <c r="G2042" s="3">
        <f>HOUR(CallLog[[#This Row],[Time]])</f>
        <v>10</v>
      </c>
      <c r="H2042" t="s">
        <v>24</v>
      </c>
      <c r="I2042" t="s">
        <v>14</v>
      </c>
      <c r="J2042" t="s">
        <v>14</v>
      </c>
      <c r="K2042">
        <v>54</v>
      </c>
      <c r="L2042" t="str">
        <f>IF(AND(CallLog[[#This Row],[Answered (Y/N)]]="Y", CallLog[[#This Row],[Speed of answer in seconds]]&lt;=20),
    "Within",
    "Breach")</f>
        <v>Breach</v>
      </c>
      <c r="M2042" s="1">
        <v>2.8009259259259259E-3</v>
      </c>
      <c r="N2042">
        <v>3</v>
      </c>
    </row>
    <row r="2043" spans="1:14" x14ac:dyDescent="0.3">
      <c r="A2043" t="s">
        <v>2102</v>
      </c>
      <c r="B2043" t="s">
        <v>22</v>
      </c>
      <c r="C2043" t="s">
        <v>2087</v>
      </c>
      <c r="D2043" s="1">
        <v>0.43799768518518517</v>
      </c>
      <c r="E2043" s="2">
        <f>CallLog[[#This Row],[Date]]+CallLog[[#This Row],[Time]]</f>
        <v>44232.437997685185</v>
      </c>
      <c r="F2043" s="1" t="str">
        <f>TEXT(CallLog[[#This Row],[Date]],"dddd")</f>
        <v>Friday</v>
      </c>
      <c r="G2043" s="3">
        <f>HOUR(CallLog[[#This Row],[Time]])</f>
        <v>10</v>
      </c>
      <c r="H2043" t="s">
        <v>29</v>
      </c>
      <c r="I2043" t="s">
        <v>14</v>
      </c>
      <c r="J2043" t="s">
        <v>14</v>
      </c>
      <c r="K2043">
        <v>55</v>
      </c>
      <c r="L2043" t="str">
        <f>IF(AND(CallLog[[#This Row],[Answered (Y/N)]]="Y", CallLog[[#This Row],[Speed of answer in seconds]]&lt;=20),
    "Within",
    "Breach")</f>
        <v>Breach</v>
      </c>
      <c r="M2043" s="1">
        <v>1.5972222222222223E-3</v>
      </c>
      <c r="N2043">
        <v>3</v>
      </c>
    </row>
    <row r="2044" spans="1:14" x14ac:dyDescent="0.3">
      <c r="A2044" t="s">
        <v>2103</v>
      </c>
      <c r="B2044" t="s">
        <v>47</v>
      </c>
      <c r="C2044" t="s">
        <v>2087</v>
      </c>
      <c r="D2044" s="1">
        <v>0.45099537037037035</v>
      </c>
      <c r="E2044" s="2">
        <f>CallLog[[#This Row],[Date]]+CallLog[[#This Row],[Time]]</f>
        <v>44232.450995370367</v>
      </c>
      <c r="F2044" s="1" t="str">
        <f>TEXT(CallLog[[#This Row],[Date]],"dddd")</f>
        <v>Friday</v>
      </c>
      <c r="G2044" s="3">
        <f>HOUR(CallLog[[#This Row],[Time]])</f>
        <v>10</v>
      </c>
      <c r="H2044" t="s">
        <v>32</v>
      </c>
      <c r="I2044" t="s">
        <v>18</v>
      </c>
      <c r="J2044" t="s">
        <v>18</v>
      </c>
      <c r="L2044" t="str">
        <f>IF(AND(CallLog[[#This Row],[Answered (Y/N)]]="Y", CallLog[[#This Row],[Speed of answer in seconds]]&lt;=20),
    "Within",
    "Breach")</f>
        <v>Breach</v>
      </c>
    </row>
    <row r="2045" spans="1:14" x14ac:dyDescent="0.3">
      <c r="A2045" t="s">
        <v>2104</v>
      </c>
      <c r="B2045" t="s">
        <v>34</v>
      </c>
      <c r="C2045" t="s">
        <v>2087</v>
      </c>
      <c r="D2045" s="1">
        <v>0.45099537037037035</v>
      </c>
      <c r="E2045" s="2">
        <f>CallLog[[#This Row],[Date]]+CallLog[[#This Row],[Time]]</f>
        <v>44232.450995370367</v>
      </c>
      <c r="F2045" s="1" t="str">
        <f>TEXT(CallLog[[#This Row],[Date]],"dddd")</f>
        <v>Friday</v>
      </c>
      <c r="G2045" s="3">
        <f>HOUR(CallLog[[#This Row],[Time]])</f>
        <v>10</v>
      </c>
      <c r="H2045" t="s">
        <v>32</v>
      </c>
      <c r="I2045" t="s">
        <v>14</v>
      </c>
      <c r="J2045" t="s">
        <v>14</v>
      </c>
      <c r="K2045">
        <v>61</v>
      </c>
      <c r="L2045" t="str">
        <f>IF(AND(CallLog[[#This Row],[Answered (Y/N)]]="Y", CallLog[[#This Row],[Speed of answer in seconds]]&lt;=20),
    "Within",
    "Breach")</f>
        <v>Breach</v>
      </c>
      <c r="M2045" s="1">
        <v>6.3657407407407413E-4</v>
      </c>
      <c r="N2045">
        <v>3</v>
      </c>
    </row>
    <row r="2046" spans="1:14" x14ac:dyDescent="0.3">
      <c r="A2046" t="s">
        <v>2105</v>
      </c>
      <c r="B2046" t="s">
        <v>31</v>
      </c>
      <c r="C2046" t="s">
        <v>2087</v>
      </c>
      <c r="D2046" s="1">
        <v>0.4679976851851852</v>
      </c>
      <c r="E2046" s="2">
        <f>CallLog[[#This Row],[Date]]+CallLog[[#This Row],[Time]]</f>
        <v>44232.467997685184</v>
      </c>
      <c r="F2046" s="1" t="str">
        <f>TEXT(CallLog[[#This Row],[Date]],"dddd")</f>
        <v>Friday</v>
      </c>
      <c r="G2046" s="3">
        <f>HOUR(CallLog[[#This Row],[Time]])</f>
        <v>11</v>
      </c>
      <c r="H2046" t="s">
        <v>29</v>
      </c>
      <c r="I2046" t="s">
        <v>14</v>
      </c>
      <c r="J2046" t="s">
        <v>18</v>
      </c>
      <c r="K2046">
        <v>25</v>
      </c>
      <c r="L2046" t="str">
        <f>IF(AND(CallLog[[#This Row],[Answered (Y/N)]]="Y", CallLog[[#This Row],[Speed of answer in seconds]]&lt;=20),
    "Within",
    "Breach")</f>
        <v>Breach</v>
      </c>
      <c r="M2046" s="1">
        <v>2.4421296296296296E-3</v>
      </c>
      <c r="N2046">
        <v>2</v>
      </c>
    </row>
    <row r="2047" spans="1:14" x14ac:dyDescent="0.3">
      <c r="A2047" t="s">
        <v>2106</v>
      </c>
      <c r="B2047" t="s">
        <v>38</v>
      </c>
      <c r="C2047" t="s">
        <v>2087</v>
      </c>
      <c r="D2047" s="1">
        <v>0.4679976851851852</v>
      </c>
      <c r="E2047" s="2">
        <f>CallLog[[#This Row],[Date]]+CallLog[[#This Row],[Time]]</f>
        <v>44232.467997685184</v>
      </c>
      <c r="F2047" s="1" t="str">
        <f>TEXT(CallLog[[#This Row],[Date]],"dddd")</f>
        <v>Friday</v>
      </c>
      <c r="G2047" s="3">
        <f>HOUR(CallLog[[#This Row],[Time]])</f>
        <v>11</v>
      </c>
      <c r="H2047" t="s">
        <v>24</v>
      </c>
      <c r="I2047" t="s">
        <v>18</v>
      </c>
      <c r="J2047" t="s">
        <v>18</v>
      </c>
      <c r="L2047" t="str">
        <f>IF(AND(CallLog[[#This Row],[Answered (Y/N)]]="Y", CallLog[[#This Row],[Speed of answer in seconds]]&lt;=20),
    "Within",
    "Breach")</f>
        <v>Breach</v>
      </c>
    </row>
    <row r="2048" spans="1:14" x14ac:dyDescent="0.3">
      <c r="A2048" t="s">
        <v>2107</v>
      </c>
      <c r="B2048" t="s">
        <v>38</v>
      </c>
      <c r="C2048" t="s">
        <v>2087</v>
      </c>
      <c r="D2048" s="1">
        <v>0.48299768518518521</v>
      </c>
      <c r="E2048" s="2">
        <f>CallLog[[#This Row],[Date]]+CallLog[[#This Row],[Time]]</f>
        <v>44232.482997685183</v>
      </c>
      <c r="F2048" s="1" t="str">
        <f>TEXT(CallLog[[#This Row],[Date]],"dddd")</f>
        <v>Friday</v>
      </c>
      <c r="G2048" s="3">
        <f>HOUR(CallLog[[#This Row],[Time]])</f>
        <v>11</v>
      </c>
      <c r="H2048" t="s">
        <v>29</v>
      </c>
      <c r="I2048" t="s">
        <v>14</v>
      </c>
      <c r="J2048" t="s">
        <v>14</v>
      </c>
      <c r="K2048">
        <v>84</v>
      </c>
      <c r="L2048" t="str">
        <f>IF(AND(CallLog[[#This Row],[Answered (Y/N)]]="Y", CallLog[[#This Row],[Speed of answer in seconds]]&lt;=20),
    "Within",
    "Breach")</f>
        <v>Breach</v>
      </c>
      <c r="M2048" s="1">
        <v>1.1458333333333333E-3</v>
      </c>
      <c r="N2048">
        <v>4</v>
      </c>
    </row>
    <row r="2049" spans="1:14" x14ac:dyDescent="0.3">
      <c r="A2049" t="s">
        <v>2108</v>
      </c>
      <c r="B2049" t="s">
        <v>16</v>
      </c>
      <c r="C2049" t="s">
        <v>2087</v>
      </c>
      <c r="D2049" s="1">
        <v>0.48299768518518521</v>
      </c>
      <c r="E2049" s="2">
        <f>CallLog[[#This Row],[Date]]+CallLog[[#This Row],[Time]]</f>
        <v>44232.482997685183</v>
      </c>
      <c r="F2049" s="1" t="str">
        <f>TEXT(CallLog[[#This Row],[Date]],"dddd")</f>
        <v>Friday</v>
      </c>
      <c r="G2049" s="3">
        <f>HOUR(CallLog[[#This Row],[Time]])</f>
        <v>11</v>
      </c>
      <c r="H2049" t="s">
        <v>24</v>
      </c>
      <c r="I2049" t="s">
        <v>14</v>
      </c>
      <c r="J2049" t="s">
        <v>14</v>
      </c>
      <c r="K2049">
        <v>36</v>
      </c>
      <c r="L2049" t="str">
        <f>IF(AND(CallLog[[#This Row],[Answered (Y/N)]]="Y", CallLog[[#This Row],[Speed of answer in seconds]]&lt;=20),
    "Within",
    "Breach")</f>
        <v>Breach</v>
      </c>
      <c r="M2049" s="1">
        <v>3.5995370370370369E-3</v>
      </c>
      <c r="N2049">
        <v>4</v>
      </c>
    </row>
    <row r="2050" spans="1:14" x14ac:dyDescent="0.3">
      <c r="A2050" t="s">
        <v>2109</v>
      </c>
      <c r="B2050" t="s">
        <v>20</v>
      </c>
      <c r="C2050" t="s">
        <v>2087</v>
      </c>
      <c r="D2050" s="1">
        <v>0.48599537037037038</v>
      </c>
      <c r="E2050" s="2">
        <f>CallLog[[#This Row],[Date]]+CallLog[[#This Row],[Time]]</f>
        <v>44232.485995370371</v>
      </c>
      <c r="F2050" s="1" t="str">
        <f>TEXT(CallLog[[#This Row],[Date]],"dddd")</f>
        <v>Friday</v>
      </c>
      <c r="G2050" s="3">
        <f>HOUR(CallLog[[#This Row],[Time]])</f>
        <v>11</v>
      </c>
      <c r="H2050" t="s">
        <v>32</v>
      </c>
      <c r="I2050" t="s">
        <v>14</v>
      </c>
      <c r="J2050" t="s">
        <v>14</v>
      </c>
      <c r="K2050">
        <v>123</v>
      </c>
      <c r="L2050" t="str">
        <f>IF(AND(CallLog[[#This Row],[Answered (Y/N)]]="Y", CallLog[[#This Row],[Speed of answer in seconds]]&lt;=20),
    "Within",
    "Breach")</f>
        <v>Breach</v>
      </c>
      <c r="M2050" s="1">
        <v>2.3032407407407407E-3</v>
      </c>
      <c r="N2050">
        <v>3</v>
      </c>
    </row>
    <row r="2051" spans="1:14" x14ac:dyDescent="0.3">
      <c r="A2051" t="s">
        <v>2110</v>
      </c>
      <c r="B2051" t="s">
        <v>34</v>
      </c>
      <c r="C2051" t="s">
        <v>2087</v>
      </c>
      <c r="D2051" s="1">
        <v>0.48599537037037038</v>
      </c>
      <c r="E2051" s="2">
        <f>CallLog[[#This Row],[Date]]+CallLog[[#This Row],[Time]]</f>
        <v>44232.485995370371</v>
      </c>
      <c r="F2051" s="1" t="str">
        <f>TEXT(CallLog[[#This Row],[Date]],"dddd")</f>
        <v>Friday</v>
      </c>
      <c r="G2051" s="3">
        <f>HOUR(CallLog[[#This Row],[Time]])</f>
        <v>11</v>
      </c>
      <c r="H2051" t="s">
        <v>24</v>
      </c>
      <c r="I2051" t="s">
        <v>14</v>
      </c>
      <c r="J2051" t="s">
        <v>14</v>
      </c>
      <c r="K2051">
        <v>50</v>
      </c>
      <c r="L2051" t="str">
        <f>IF(AND(CallLog[[#This Row],[Answered (Y/N)]]="Y", CallLog[[#This Row],[Speed of answer in seconds]]&lt;=20),
    "Within",
    "Breach")</f>
        <v>Breach</v>
      </c>
      <c r="M2051" s="1">
        <v>4.8032407407407407E-3</v>
      </c>
      <c r="N2051">
        <v>1</v>
      </c>
    </row>
    <row r="2052" spans="1:14" x14ac:dyDescent="0.3">
      <c r="A2052" t="s">
        <v>2111</v>
      </c>
      <c r="B2052" t="s">
        <v>47</v>
      </c>
      <c r="C2052" t="s">
        <v>2087</v>
      </c>
      <c r="D2052" s="1">
        <v>0.48799768518518516</v>
      </c>
      <c r="E2052" s="2">
        <f>CallLog[[#This Row],[Date]]+CallLog[[#This Row],[Time]]</f>
        <v>44232.487997685188</v>
      </c>
      <c r="F2052" s="1" t="str">
        <f>TEXT(CallLog[[#This Row],[Date]],"dddd")</f>
        <v>Friday</v>
      </c>
      <c r="G2052" s="3">
        <f>HOUR(CallLog[[#This Row],[Time]])</f>
        <v>11</v>
      </c>
      <c r="H2052" t="s">
        <v>29</v>
      </c>
      <c r="I2052" t="s">
        <v>18</v>
      </c>
      <c r="J2052" t="s">
        <v>18</v>
      </c>
      <c r="L2052" t="str">
        <f>IF(AND(CallLog[[#This Row],[Answered (Y/N)]]="Y", CallLog[[#This Row],[Speed of answer in seconds]]&lt;=20),
    "Within",
    "Breach")</f>
        <v>Breach</v>
      </c>
    </row>
    <row r="2053" spans="1:14" x14ac:dyDescent="0.3">
      <c r="A2053" t="s">
        <v>2112</v>
      </c>
      <c r="B2053" t="s">
        <v>31</v>
      </c>
      <c r="C2053" t="s">
        <v>2087</v>
      </c>
      <c r="D2053" s="1">
        <v>0.48799768518518516</v>
      </c>
      <c r="E2053" s="2">
        <f>CallLog[[#This Row],[Date]]+CallLog[[#This Row],[Time]]</f>
        <v>44232.487997685188</v>
      </c>
      <c r="F2053" s="1" t="str">
        <f>TEXT(CallLog[[#This Row],[Date]],"dddd")</f>
        <v>Friday</v>
      </c>
      <c r="G2053" s="3">
        <f>HOUR(CallLog[[#This Row],[Time]])</f>
        <v>11</v>
      </c>
      <c r="H2053" t="s">
        <v>13</v>
      </c>
      <c r="I2053" t="s">
        <v>14</v>
      </c>
      <c r="J2053" t="s">
        <v>14</v>
      </c>
      <c r="K2053">
        <v>69</v>
      </c>
      <c r="L2053" t="str">
        <f>IF(AND(CallLog[[#This Row],[Answered (Y/N)]]="Y", CallLog[[#This Row],[Speed of answer in seconds]]&lt;=20),
    "Within",
    "Breach")</f>
        <v>Breach</v>
      </c>
      <c r="M2053" s="1">
        <v>1.6550925925925926E-3</v>
      </c>
      <c r="N2053">
        <v>4</v>
      </c>
    </row>
    <row r="2054" spans="1:14" x14ac:dyDescent="0.3">
      <c r="A2054" t="s">
        <v>2113</v>
      </c>
      <c r="B2054" t="s">
        <v>31</v>
      </c>
      <c r="C2054" t="s">
        <v>2087</v>
      </c>
      <c r="D2054" s="1">
        <v>0.49200231481481482</v>
      </c>
      <c r="E2054" s="2">
        <f>CallLog[[#This Row],[Date]]+CallLog[[#This Row],[Time]]</f>
        <v>44232.492002314815</v>
      </c>
      <c r="F2054" s="1" t="str">
        <f>TEXT(CallLog[[#This Row],[Date]],"dddd")</f>
        <v>Friday</v>
      </c>
      <c r="G2054" s="3">
        <f>HOUR(CallLog[[#This Row],[Time]])</f>
        <v>11</v>
      </c>
      <c r="H2054" t="s">
        <v>32</v>
      </c>
      <c r="I2054" t="s">
        <v>14</v>
      </c>
      <c r="J2054" t="s">
        <v>14</v>
      </c>
      <c r="K2054">
        <v>62</v>
      </c>
      <c r="L2054" t="str">
        <f>IF(AND(CallLog[[#This Row],[Answered (Y/N)]]="Y", CallLog[[#This Row],[Speed of answer in seconds]]&lt;=20),
    "Within",
    "Breach")</f>
        <v>Breach</v>
      </c>
      <c r="M2054" s="1">
        <v>2.4537037037037036E-3</v>
      </c>
      <c r="N2054">
        <v>3</v>
      </c>
    </row>
    <row r="2055" spans="1:14" x14ac:dyDescent="0.3">
      <c r="A2055" t="s">
        <v>2114</v>
      </c>
      <c r="B2055" t="s">
        <v>20</v>
      </c>
      <c r="C2055" t="s">
        <v>2087</v>
      </c>
      <c r="D2055" s="1">
        <v>0.49200231481481482</v>
      </c>
      <c r="E2055" s="2">
        <f>CallLog[[#This Row],[Date]]+CallLog[[#This Row],[Time]]</f>
        <v>44232.492002314815</v>
      </c>
      <c r="F2055" s="1" t="str">
        <f>TEXT(CallLog[[#This Row],[Date]],"dddd")</f>
        <v>Friday</v>
      </c>
      <c r="G2055" s="3">
        <f>HOUR(CallLog[[#This Row],[Time]])</f>
        <v>11</v>
      </c>
      <c r="H2055" t="s">
        <v>32</v>
      </c>
      <c r="I2055" t="s">
        <v>14</v>
      </c>
      <c r="J2055" t="s">
        <v>14</v>
      </c>
      <c r="K2055">
        <v>39</v>
      </c>
      <c r="L2055" t="str">
        <f>IF(AND(CallLog[[#This Row],[Answered (Y/N)]]="Y", CallLog[[#This Row],[Speed of answer in seconds]]&lt;=20),
    "Within",
    "Breach")</f>
        <v>Breach</v>
      </c>
      <c r="M2055" s="1">
        <v>1.0532407407407407E-3</v>
      </c>
      <c r="N2055">
        <v>3</v>
      </c>
    </row>
    <row r="2056" spans="1:14" x14ac:dyDescent="0.3">
      <c r="A2056" t="s">
        <v>2115</v>
      </c>
      <c r="B2056" t="s">
        <v>38</v>
      </c>
      <c r="C2056" t="s">
        <v>2087</v>
      </c>
      <c r="D2056" s="1">
        <v>0.49299768518518516</v>
      </c>
      <c r="E2056" s="2">
        <f>CallLog[[#This Row],[Date]]+CallLog[[#This Row],[Time]]</f>
        <v>44232.492997685185</v>
      </c>
      <c r="F2056" s="1" t="str">
        <f>TEXT(CallLog[[#This Row],[Date]],"dddd")</f>
        <v>Friday</v>
      </c>
      <c r="G2056" s="3">
        <f>HOUR(CallLog[[#This Row],[Time]])</f>
        <v>11</v>
      </c>
      <c r="H2056" t="s">
        <v>24</v>
      </c>
      <c r="I2056" t="s">
        <v>14</v>
      </c>
      <c r="J2056" t="s">
        <v>14</v>
      </c>
      <c r="K2056">
        <v>61</v>
      </c>
      <c r="L2056" t="str">
        <f>IF(AND(CallLog[[#This Row],[Answered (Y/N)]]="Y", CallLog[[#This Row],[Speed of answer in seconds]]&lt;=20),
    "Within",
    "Breach")</f>
        <v>Breach</v>
      </c>
      <c r="M2056" s="1">
        <v>3.5416666666666665E-3</v>
      </c>
      <c r="N2056">
        <v>5</v>
      </c>
    </row>
    <row r="2057" spans="1:14" x14ac:dyDescent="0.3">
      <c r="A2057" t="s">
        <v>2116</v>
      </c>
      <c r="B2057" t="s">
        <v>38</v>
      </c>
      <c r="C2057" t="s">
        <v>2087</v>
      </c>
      <c r="D2057" s="1">
        <v>0.49299768518518516</v>
      </c>
      <c r="E2057" s="2">
        <f>CallLog[[#This Row],[Date]]+CallLog[[#This Row],[Time]]</f>
        <v>44232.492997685185</v>
      </c>
      <c r="F2057" s="1" t="str">
        <f>TEXT(CallLog[[#This Row],[Date]],"dddd")</f>
        <v>Friday</v>
      </c>
      <c r="G2057" s="3">
        <f>HOUR(CallLog[[#This Row],[Time]])</f>
        <v>11</v>
      </c>
      <c r="H2057" t="s">
        <v>29</v>
      </c>
      <c r="I2057" t="s">
        <v>14</v>
      </c>
      <c r="J2057" t="s">
        <v>14</v>
      </c>
      <c r="K2057">
        <v>45</v>
      </c>
      <c r="L2057" t="str">
        <f>IF(AND(CallLog[[#This Row],[Answered (Y/N)]]="Y", CallLog[[#This Row],[Speed of answer in seconds]]&lt;=20),
    "Within",
    "Breach")</f>
        <v>Breach</v>
      </c>
      <c r="M2057" s="1">
        <v>2.1527777777777778E-3</v>
      </c>
      <c r="N2057">
        <v>3</v>
      </c>
    </row>
    <row r="2058" spans="1:14" x14ac:dyDescent="0.3">
      <c r="A2058" t="s">
        <v>2117</v>
      </c>
      <c r="B2058" t="s">
        <v>34</v>
      </c>
      <c r="C2058" t="s">
        <v>2087</v>
      </c>
      <c r="D2058" s="1">
        <v>0.49299768518518516</v>
      </c>
      <c r="E2058" s="2">
        <f>CallLog[[#This Row],[Date]]+CallLog[[#This Row],[Time]]</f>
        <v>44232.492997685185</v>
      </c>
      <c r="F2058" s="1" t="str">
        <f>TEXT(CallLog[[#This Row],[Date]],"dddd")</f>
        <v>Friday</v>
      </c>
      <c r="G2058" s="3">
        <f>HOUR(CallLog[[#This Row],[Time]])</f>
        <v>11</v>
      </c>
      <c r="H2058" t="s">
        <v>17</v>
      </c>
      <c r="I2058" t="s">
        <v>14</v>
      </c>
      <c r="J2058" t="s">
        <v>14</v>
      </c>
      <c r="K2058">
        <v>109</v>
      </c>
      <c r="L2058" t="str">
        <f>IF(AND(CallLog[[#This Row],[Answered (Y/N)]]="Y", CallLog[[#This Row],[Speed of answer in seconds]]&lt;=20),
    "Within",
    "Breach")</f>
        <v>Breach</v>
      </c>
      <c r="M2058" s="1">
        <v>3.6111111111111109E-3</v>
      </c>
      <c r="N2058">
        <v>4</v>
      </c>
    </row>
    <row r="2059" spans="1:14" x14ac:dyDescent="0.3">
      <c r="A2059" t="s">
        <v>2118</v>
      </c>
      <c r="B2059" t="s">
        <v>22</v>
      </c>
      <c r="C2059" t="s">
        <v>2087</v>
      </c>
      <c r="D2059" s="1">
        <v>0.49299768518518516</v>
      </c>
      <c r="E2059" s="2">
        <f>CallLog[[#This Row],[Date]]+CallLog[[#This Row],[Time]]</f>
        <v>44232.492997685185</v>
      </c>
      <c r="F2059" s="1" t="str">
        <f>TEXT(CallLog[[#This Row],[Date]],"dddd")</f>
        <v>Friday</v>
      </c>
      <c r="G2059" s="3">
        <f>HOUR(CallLog[[#This Row],[Time]])</f>
        <v>11</v>
      </c>
      <c r="H2059" t="s">
        <v>29</v>
      </c>
      <c r="I2059" t="s">
        <v>18</v>
      </c>
      <c r="J2059" t="s">
        <v>18</v>
      </c>
      <c r="L2059" t="str">
        <f>IF(AND(CallLog[[#This Row],[Answered (Y/N)]]="Y", CallLog[[#This Row],[Speed of answer in seconds]]&lt;=20),
    "Within",
    "Breach")</f>
        <v>Breach</v>
      </c>
    </row>
    <row r="2060" spans="1:14" x14ac:dyDescent="0.3">
      <c r="A2060" t="s">
        <v>2119</v>
      </c>
      <c r="B2060" t="s">
        <v>38</v>
      </c>
      <c r="C2060" t="s">
        <v>2087</v>
      </c>
      <c r="D2060" s="1">
        <v>0.49400462962962965</v>
      </c>
      <c r="E2060" s="2">
        <f>CallLog[[#This Row],[Date]]+CallLog[[#This Row],[Time]]</f>
        <v>44232.494004629632</v>
      </c>
      <c r="F2060" s="1" t="str">
        <f>TEXT(CallLog[[#This Row],[Date]],"dddd")</f>
        <v>Friday</v>
      </c>
      <c r="G2060" s="3">
        <f>HOUR(CallLog[[#This Row],[Time]])</f>
        <v>11</v>
      </c>
      <c r="H2060" t="s">
        <v>32</v>
      </c>
      <c r="I2060" t="s">
        <v>14</v>
      </c>
      <c r="J2060" t="s">
        <v>14</v>
      </c>
      <c r="K2060">
        <v>41</v>
      </c>
      <c r="L2060" t="str">
        <f>IF(AND(CallLog[[#This Row],[Answered (Y/N)]]="Y", CallLog[[#This Row],[Speed of answer in seconds]]&lt;=20),
    "Within",
    "Breach")</f>
        <v>Breach</v>
      </c>
      <c r="M2060" s="1">
        <v>9.6064814814814819E-4</v>
      </c>
      <c r="N2060">
        <v>5</v>
      </c>
    </row>
    <row r="2061" spans="1:14" x14ac:dyDescent="0.3">
      <c r="A2061" t="s">
        <v>2120</v>
      </c>
      <c r="B2061" t="s">
        <v>22</v>
      </c>
      <c r="C2061" t="s">
        <v>2087</v>
      </c>
      <c r="D2061" s="1">
        <v>0.49400462962962965</v>
      </c>
      <c r="E2061" s="2">
        <f>CallLog[[#This Row],[Date]]+CallLog[[#This Row],[Time]]</f>
        <v>44232.494004629632</v>
      </c>
      <c r="F2061" s="1" t="str">
        <f>TEXT(CallLog[[#This Row],[Date]],"dddd")</f>
        <v>Friday</v>
      </c>
      <c r="G2061" s="3">
        <f>HOUR(CallLog[[#This Row],[Time]])</f>
        <v>11</v>
      </c>
      <c r="H2061" t="s">
        <v>32</v>
      </c>
      <c r="I2061" t="s">
        <v>14</v>
      </c>
      <c r="J2061" t="s">
        <v>14</v>
      </c>
      <c r="K2061">
        <v>10</v>
      </c>
      <c r="L2061" t="str">
        <f>IF(AND(CallLog[[#This Row],[Answered (Y/N)]]="Y", CallLog[[#This Row],[Speed of answer in seconds]]&lt;=20),
    "Within",
    "Breach")</f>
        <v>Within</v>
      </c>
      <c r="M2061" s="1">
        <v>3.6342592592592594E-3</v>
      </c>
      <c r="N2061">
        <v>3</v>
      </c>
    </row>
    <row r="2062" spans="1:14" x14ac:dyDescent="0.3">
      <c r="A2062" t="s">
        <v>2121</v>
      </c>
      <c r="B2062" t="s">
        <v>20</v>
      </c>
      <c r="C2062" t="s">
        <v>2087</v>
      </c>
      <c r="D2062" s="1">
        <v>0.50799768518518518</v>
      </c>
      <c r="E2062" s="2">
        <f>CallLog[[#This Row],[Date]]+CallLog[[#This Row],[Time]]</f>
        <v>44232.507997685185</v>
      </c>
      <c r="F2062" s="1" t="str">
        <f>TEXT(CallLog[[#This Row],[Date]],"dddd")</f>
        <v>Friday</v>
      </c>
      <c r="G2062" s="3">
        <f>HOUR(CallLog[[#This Row],[Time]])</f>
        <v>12</v>
      </c>
      <c r="H2062" t="s">
        <v>13</v>
      </c>
      <c r="I2062" t="s">
        <v>14</v>
      </c>
      <c r="J2062" t="s">
        <v>14</v>
      </c>
      <c r="K2062">
        <v>23</v>
      </c>
      <c r="L2062" t="str">
        <f>IF(AND(CallLog[[#This Row],[Answered (Y/N)]]="Y", CallLog[[#This Row],[Speed of answer in seconds]]&lt;=20),
    "Within",
    "Breach")</f>
        <v>Breach</v>
      </c>
      <c r="M2062" s="1">
        <v>2.5000000000000001E-3</v>
      </c>
      <c r="N2062">
        <v>1</v>
      </c>
    </row>
    <row r="2063" spans="1:14" x14ac:dyDescent="0.3">
      <c r="A2063" t="s">
        <v>2122</v>
      </c>
      <c r="B2063" t="s">
        <v>38</v>
      </c>
      <c r="C2063" t="s">
        <v>2087</v>
      </c>
      <c r="D2063" s="1">
        <v>0.50799768518518518</v>
      </c>
      <c r="E2063" s="2">
        <f>CallLog[[#This Row],[Date]]+CallLog[[#This Row],[Time]]</f>
        <v>44232.507997685185</v>
      </c>
      <c r="F2063" s="1" t="str">
        <f>TEXT(CallLog[[#This Row],[Date]],"dddd")</f>
        <v>Friday</v>
      </c>
      <c r="G2063" s="3">
        <f>HOUR(CallLog[[#This Row],[Time]])</f>
        <v>12</v>
      </c>
      <c r="H2063" t="s">
        <v>29</v>
      </c>
      <c r="I2063" t="s">
        <v>14</v>
      </c>
      <c r="J2063" t="s">
        <v>14</v>
      </c>
      <c r="K2063">
        <v>22</v>
      </c>
      <c r="L2063" t="str">
        <f>IF(AND(CallLog[[#This Row],[Answered (Y/N)]]="Y", CallLog[[#This Row],[Speed of answer in seconds]]&lt;=20),
    "Within",
    "Breach")</f>
        <v>Breach</v>
      </c>
      <c r="M2063" s="1">
        <v>3.2523148148148147E-3</v>
      </c>
      <c r="N2063">
        <v>4</v>
      </c>
    </row>
    <row r="2064" spans="1:14" x14ac:dyDescent="0.3">
      <c r="A2064" t="s">
        <v>2123</v>
      </c>
      <c r="B2064" t="s">
        <v>11</v>
      </c>
      <c r="C2064" t="s">
        <v>2087</v>
      </c>
      <c r="D2064" s="1">
        <v>0.54700231481481476</v>
      </c>
      <c r="E2064" s="2">
        <f>CallLog[[#This Row],[Date]]+CallLog[[#This Row],[Time]]</f>
        <v>44232.547002314815</v>
      </c>
      <c r="F2064" s="1" t="str">
        <f>TEXT(CallLog[[#This Row],[Date]],"dddd")</f>
        <v>Friday</v>
      </c>
      <c r="G2064" s="3">
        <f>HOUR(CallLog[[#This Row],[Time]])</f>
        <v>13</v>
      </c>
      <c r="H2064" t="s">
        <v>13</v>
      </c>
      <c r="I2064" t="s">
        <v>14</v>
      </c>
      <c r="J2064" t="s">
        <v>18</v>
      </c>
      <c r="K2064">
        <v>75</v>
      </c>
      <c r="L2064" t="str">
        <f>IF(AND(CallLog[[#This Row],[Answered (Y/N)]]="Y", CallLog[[#This Row],[Speed of answer in seconds]]&lt;=20),
    "Within",
    "Breach")</f>
        <v>Breach</v>
      </c>
      <c r="M2064" s="1">
        <v>1.2962962962962963E-3</v>
      </c>
      <c r="N2064">
        <v>5</v>
      </c>
    </row>
    <row r="2065" spans="1:14" x14ac:dyDescent="0.3">
      <c r="A2065" t="s">
        <v>2124</v>
      </c>
      <c r="B2065" t="s">
        <v>47</v>
      </c>
      <c r="C2065" t="s">
        <v>2087</v>
      </c>
      <c r="D2065" s="1">
        <v>0.54700231481481476</v>
      </c>
      <c r="E2065" s="2">
        <f>CallLog[[#This Row],[Date]]+CallLog[[#This Row],[Time]]</f>
        <v>44232.547002314815</v>
      </c>
      <c r="F2065" s="1" t="str">
        <f>TEXT(CallLog[[#This Row],[Date]],"dddd")</f>
        <v>Friday</v>
      </c>
      <c r="G2065" s="3">
        <f>HOUR(CallLog[[#This Row],[Time]])</f>
        <v>13</v>
      </c>
      <c r="H2065" t="s">
        <v>24</v>
      </c>
      <c r="I2065" t="s">
        <v>14</v>
      </c>
      <c r="J2065" t="s">
        <v>14</v>
      </c>
      <c r="K2065">
        <v>93</v>
      </c>
      <c r="L2065" t="str">
        <f>IF(AND(CallLog[[#This Row],[Answered (Y/N)]]="Y", CallLog[[#This Row],[Speed of answer in seconds]]&lt;=20),
    "Within",
    "Breach")</f>
        <v>Breach</v>
      </c>
      <c r="M2065" s="1">
        <v>3.2060185185185186E-3</v>
      </c>
      <c r="N2065">
        <v>3</v>
      </c>
    </row>
    <row r="2066" spans="1:14" x14ac:dyDescent="0.3">
      <c r="A2066" t="s">
        <v>2125</v>
      </c>
      <c r="B2066" t="s">
        <v>31</v>
      </c>
      <c r="C2066" t="s">
        <v>2087</v>
      </c>
      <c r="D2066" s="1">
        <v>0.5540046296296296</v>
      </c>
      <c r="E2066" s="2">
        <f>CallLog[[#This Row],[Date]]+CallLog[[#This Row],[Time]]</f>
        <v>44232.55400462963</v>
      </c>
      <c r="F2066" s="1" t="str">
        <f>TEXT(CallLog[[#This Row],[Date]],"dddd")</f>
        <v>Friday</v>
      </c>
      <c r="G2066" s="3">
        <f>HOUR(CallLog[[#This Row],[Time]])</f>
        <v>13</v>
      </c>
      <c r="H2066" t="s">
        <v>32</v>
      </c>
      <c r="I2066" t="s">
        <v>14</v>
      </c>
      <c r="J2066" t="s">
        <v>14</v>
      </c>
      <c r="K2066">
        <v>106</v>
      </c>
      <c r="L2066" t="str">
        <f>IF(AND(CallLog[[#This Row],[Answered (Y/N)]]="Y", CallLog[[#This Row],[Speed of answer in seconds]]&lt;=20),
    "Within",
    "Breach")</f>
        <v>Breach</v>
      </c>
      <c r="M2066" s="1">
        <v>2.650462962962963E-3</v>
      </c>
      <c r="N2066">
        <v>4</v>
      </c>
    </row>
    <row r="2067" spans="1:14" x14ac:dyDescent="0.3">
      <c r="A2067" t="s">
        <v>2126</v>
      </c>
      <c r="B2067" t="s">
        <v>34</v>
      </c>
      <c r="C2067" t="s">
        <v>2087</v>
      </c>
      <c r="D2067" s="1">
        <v>0.5540046296296296</v>
      </c>
      <c r="E2067" s="2">
        <f>CallLog[[#This Row],[Date]]+CallLog[[#This Row],[Time]]</f>
        <v>44232.55400462963</v>
      </c>
      <c r="F2067" s="1" t="str">
        <f>TEXT(CallLog[[#This Row],[Date]],"dddd")</f>
        <v>Friday</v>
      </c>
      <c r="G2067" s="3">
        <f>HOUR(CallLog[[#This Row],[Time]])</f>
        <v>13</v>
      </c>
      <c r="H2067" t="s">
        <v>32</v>
      </c>
      <c r="I2067" t="s">
        <v>14</v>
      </c>
      <c r="J2067" t="s">
        <v>14</v>
      </c>
      <c r="K2067">
        <v>117</v>
      </c>
      <c r="L2067" t="str">
        <f>IF(AND(CallLog[[#This Row],[Answered (Y/N)]]="Y", CallLog[[#This Row],[Speed of answer in seconds]]&lt;=20),
    "Within",
    "Breach")</f>
        <v>Breach</v>
      </c>
      <c r="M2067" s="1">
        <v>2.685185185185185E-3</v>
      </c>
      <c r="N2067">
        <v>3</v>
      </c>
    </row>
    <row r="2068" spans="1:14" x14ac:dyDescent="0.3">
      <c r="A2068" t="s">
        <v>2127</v>
      </c>
      <c r="B2068" t="s">
        <v>31</v>
      </c>
      <c r="C2068" t="s">
        <v>2087</v>
      </c>
      <c r="D2068" s="1">
        <v>0.57200231481481478</v>
      </c>
      <c r="E2068" s="2">
        <f>CallLog[[#This Row],[Date]]+CallLog[[#This Row],[Time]]</f>
        <v>44232.572002314817</v>
      </c>
      <c r="F2068" s="1" t="str">
        <f>TEXT(CallLog[[#This Row],[Date]],"dddd")</f>
        <v>Friday</v>
      </c>
      <c r="G2068" s="3">
        <f>HOUR(CallLog[[#This Row],[Time]])</f>
        <v>13</v>
      </c>
      <c r="H2068" t="s">
        <v>24</v>
      </c>
      <c r="I2068" t="s">
        <v>14</v>
      </c>
      <c r="J2068" t="s">
        <v>18</v>
      </c>
      <c r="K2068">
        <v>74</v>
      </c>
      <c r="L2068" t="str">
        <f>IF(AND(CallLog[[#This Row],[Answered (Y/N)]]="Y", CallLog[[#This Row],[Speed of answer in seconds]]&lt;=20),
    "Within",
    "Breach")</f>
        <v>Breach</v>
      </c>
      <c r="M2068" s="1">
        <v>1.8749999999999999E-3</v>
      </c>
      <c r="N2068">
        <v>1</v>
      </c>
    </row>
    <row r="2069" spans="1:14" x14ac:dyDescent="0.3">
      <c r="A2069" t="s">
        <v>2128</v>
      </c>
      <c r="B2069" t="s">
        <v>16</v>
      </c>
      <c r="C2069" t="s">
        <v>2087</v>
      </c>
      <c r="D2069" s="1">
        <v>0.57200231481481478</v>
      </c>
      <c r="E2069" s="2">
        <f>CallLog[[#This Row],[Date]]+CallLog[[#This Row],[Time]]</f>
        <v>44232.572002314817</v>
      </c>
      <c r="F2069" s="1" t="str">
        <f>TEXT(CallLog[[#This Row],[Date]],"dddd")</f>
        <v>Friday</v>
      </c>
      <c r="G2069" s="3">
        <f>HOUR(CallLog[[#This Row],[Time]])</f>
        <v>13</v>
      </c>
      <c r="H2069" t="s">
        <v>17</v>
      </c>
      <c r="I2069" t="s">
        <v>14</v>
      </c>
      <c r="J2069" t="s">
        <v>14</v>
      </c>
      <c r="K2069">
        <v>68</v>
      </c>
      <c r="L2069" t="str">
        <f>IF(AND(CallLog[[#This Row],[Answered (Y/N)]]="Y", CallLog[[#This Row],[Speed of answer in seconds]]&lt;=20),
    "Within",
    "Breach")</f>
        <v>Breach</v>
      </c>
      <c r="M2069" s="1">
        <v>7.7546296296296293E-4</v>
      </c>
      <c r="N2069">
        <v>3</v>
      </c>
    </row>
    <row r="2070" spans="1:14" x14ac:dyDescent="0.3">
      <c r="A2070" t="s">
        <v>2129</v>
      </c>
      <c r="B2070" t="s">
        <v>22</v>
      </c>
      <c r="C2070" t="s">
        <v>2087</v>
      </c>
      <c r="D2070" s="1">
        <v>0.59299768518518514</v>
      </c>
      <c r="E2070" s="2">
        <f>CallLog[[#This Row],[Date]]+CallLog[[#This Row],[Time]]</f>
        <v>44232.592997685184</v>
      </c>
      <c r="F2070" s="1" t="str">
        <f>TEXT(CallLog[[#This Row],[Date]],"dddd")</f>
        <v>Friday</v>
      </c>
      <c r="G2070" s="3">
        <f>HOUR(CallLog[[#This Row],[Time]])</f>
        <v>14</v>
      </c>
      <c r="H2070" t="s">
        <v>29</v>
      </c>
      <c r="I2070" t="s">
        <v>14</v>
      </c>
      <c r="J2070" t="s">
        <v>14</v>
      </c>
      <c r="K2070">
        <v>107</v>
      </c>
      <c r="L2070" t="str">
        <f>IF(AND(CallLog[[#This Row],[Answered (Y/N)]]="Y", CallLog[[#This Row],[Speed of answer in seconds]]&lt;=20),
    "Within",
    "Breach")</f>
        <v>Breach</v>
      </c>
      <c r="M2070" s="1">
        <v>3.9004629629629628E-3</v>
      </c>
      <c r="N2070">
        <v>3</v>
      </c>
    </row>
    <row r="2071" spans="1:14" x14ac:dyDescent="0.3">
      <c r="A2071" t="s">
        <v>2130</v>
      </c>
      <c r="B2071" t="s">
        <v>11</v>
      </c>
      <c r="C2071" t="s">
        <v>2087</v>
      </c>
      <c r="D2071" s="1">
        <v>0.59299768518518514</v>
      </c>
      <c r="E2071" s="2">
        <f>CallLog[[#This Row],[Date]]+CallLog[[#This Row],[Time]]</f>
        <v>44232.592997685184</v>
      </c>
      <c r="F2071" s="1" t="str">
        <f>TEXT(CallLog[[#This Row],[Date]],"dddd")</f>
        <v>Friday</v>
      </c>
      <c r="G2071" s="3">
        <f>HOUR(CallLog[[#This Row],[Time]])</f>
        <v>14</v>
      </c>
      <c r="H2071" t="s">
        <v>13</v>
      </c>
      <c r="I2071" t="s">
        <v>14</v>
      </c>
      <c r="J2071" t="s">
        <v>14</v>
      </c>
      <c r="K2071">
        <v>119</v>
      </c>
      <c r="L2071" t="str">
        <f>IF(AND(CallLog[[#This Row],[Answered (Y/N)]]="Y", CallLog[[#This Row],[Speed of answer in seconds]]&lt;=20),
    "Within",
    "Breach")</f>
        <v>Breach</v>
      </c>
      <c r="M2071" s="1">
        <v>6.7129629629629625E-4</v>
      </c>
      <c r="N2071">
        <v>1</v>
      </c>
    </row>
    <row r="2072" spans="1:14" x14ac:dyDescent="0.3">
      <c r="A2072" t="s">
        <v>2131</v>
      </c>
      <c r="B2072" t="s">
        <v>47</v>
      </c>
      <c r="C2072" t="s">
        <v>2087</v>
      </c>
      <c r="D2072" s="1">
        <v>0.60200231481481481</v>
      </c>
      <c r="E2072" s="2">
        <f>CallLog[[#This Row],[Date]]+CallLog[[#This Row],[Time]]</f>
        <v>44232.602002314816</v>
      </c>
      <c r="F2072" s="1" t="str">
        <f>TEXT(CallLog[[#This Row],[Date]],"dddd")</f>
        <v>Friday</v>
      </c>
      <c r="G2072" s="3">
        <f>HOUR(CallLog[[#This Row],[Time]])</f>
        <v>14</v>
      </c>
      <c r="H2072" t="s">
        <v>24</v>
      </c>
      <c r="I2072" t="s">
        <v>18</v>
      </c>
      <c r="J2072" t="s">
        <v>18</v>
      </c>
      <c r="L2072" t="str">
        <f>IF(AND(CallLog[[#This Row],[Answered (Y/N)]]="Y", CallLog[[#This Row],[Speed of answer in seconds]]&lt;=20),
    "Within",
    "Breach")</f>
        <v>Breach</v>
      </c>
    </row>
    <row r="2073" spans="1:14" x14ac:dyDescent="0.3">
      <c r="A2073" t="s">
        <v>2132</v>
      </c>
      <c r="B2073" t="s">
        <v>20</v>
      </c>
      <c r="C2073" t="s">
        <v>2087</v>
      </c>
      <c r="D2073" s="1">
        <v>0.60200231481481481</v>
      </c>
      <c r="E2073" s="2">
        <f>CallLog[[#This Row],[Date]]+CallLog[[#This Row],[Time]]</f>
        <v>44232.602002314816</v>
      </c>
      <c r="F2073" s="1" t="str">
        <f>TEXT(CallLog[[#This Row],[Date]],"dddd")</f>
        <v>Friday</v>
      </c>
      <c r="G2073" s="3">
        <f>HOUR(CallLog[[#This Row],[Time]])</f>
        <v>14</v>
      </c>
      <c r="H2073" t="s">
        <v>32</v>
      </c>
      <c r="I2073" t="s">
        <v>14</v>
      </c>
      <c r="J2073" t="s">
        <v>14</v>
      </c>
      <c r="K2073">
        <v>123</v>
      </c>
      <c r="L2073" t="str">
        <f>IF(AND(CallLog[[#This Row],[Answered (Y/N)]]="Y", CallLog[[#This Row],[Speed of answer in seconds]]&lt;=20),
    "Within",
    "Breach")</f>
        <v>Breach</v>
      </c>
      <c r="M2073" s="1">
        <v>2.9629629629629628E-3</v>
      </c>
      <c r="N2073">
        <v>2</v>
      </c>
    </row>
    <row r="2074" spans="1:14" x14ac:dyDescent="0.3">
      <c r="A2074" t="s">
        <v>2133</v>
      </c>
      <c r="B2074" t="s">
        <v>31</v>
      </c>
      <c r="C2074" t="s">
        <v>2087</v>
      </c>
      <c r="D2074" s="1">
        <v>0.60599537037037032</v>
      </c>
      <c r="E2074" s="2">
        <f>CallLog[[#This Row],[Date]]+CallLog[[#This Row],[Time]]</f>
        <v>44232.605995370373</v>
      </c>
      <c r="F2074" s="1" t="str">
        <f>TEXT(CallLog[[#This Row],[Date]],"dddd")</f>
        <v>Friday</v>
      </c>
      <c r="G2074" s="3">
        <f>HOUR(CallLog[[#This Row],[Time]])</f>
        <v>14</v>
      </c>
      <c r="H2074" t="s">
        <v>29</v>
      </c>
      <c r="I2074" t="s">
        <v>14</v>
      </c>
      <c r="J2074" t="s">
        <v>14</v>
      </c>
      <c r="K2074">
        <v>103</v>
      </c>
      <c r="L2074" t="str">
        <f>IF(AND(CallLog[[#This Row],[Answered (Y/N)]]="Y", CallLog[[#This Row],[Speed of answer in seconds]]&lt;=20),
    "Within",
    "Breach")</f>
        <v>Breach</v>
      </c>
      <c r="M2074" s="1">
        <v>1.5162037037037036E-3</v>
      </c>
      <c r="N2074">
        <v>2</v>
      </c>
    </row>
    <row r="2075" spans="1:14" x14ac:dyDescent="0.3">
      <c r="A2075" t="s">
        <v>2134</v>
      </c>
      <c r="B2075" t="s">
        <v>38</v>
      </c>
      <c r="C2075" t="s">
        <v>2087</v>
      </c>
      <c r="D2075" s="1">
        <v>0.60599537037037032</v>
      </c>
      <c r="E2075" s="2">
        <f>CallLog[[#This Row],[Date]]+CallLog[[#This Row],[Time]]</f>
        <v>44232.605995370373</v>
      </c>
      <c r="F2075" s="1" t="str">
        <f>TEXT(CallLog[[#This Row],[Date]],"dddd")</f>
        <v>Friday</v>
      </c>
      <c r="G2075" s="3">
        <f>HOUR(CallLog[[#This Row],[Time]])</f>
        <v>14</v>
      </c>
      <c r="H2075" t="s">
        <v>32</v>
      </c>
      <c r="I2075" t="s">
        <v>14</v>
      </c>
      <c r="J2075" t="s">
        <v>14</v>
      </c>
      <c r="K2075">
        <v>113</v>
      </c>
      <c r="L2075" t="str">
        <f>IF(AND(CallLog[[#This Row],[Answered (Y/N)]]="Y", CallLog[[#This Row],[Speed of answer in seconds]]&lt;=20),
    "Within",
    "Breach")</f>
        <v>Breach</v>
      </c>
      <c r="M2075" s="1">
        <v>4.2824074074074081E-4</v>
      </c>
      <c r="N2075">
        <v>5</v>
      </c>
    </row>
    <row r="2076" spans="1:14" x14ac:dyDescent="0.3">
      <c r="A2076" t="s">
        <v>2135</v>
      </c>
      <c r="B2076" t="s">
        <v>22</v>
      </c>
      <c r="C2076" t="s">
        <v>2087</v>
      </c>
      <c r="D2076" s="1">
        <v>0.60799768518518515</v>
      </c>
      <c r="E2076" s="2">
        <f>CallLog[[#This Row],[Date]]+CallLog[[#This Row],[Time]]</f>
        <v>44232.607997685183</v>
      </c>
      <c r="F2076" s="1" t="str">
        <f>TEXT(CallLog[[#This Row],[Date]],"dddd")</f>
        <v>Friday</v>
      </c>
      <c r="G2076" s="3">
        <f>HOUR(CallLog[[#This Row],[Time]])</f>
        <v>14</v>
      </c>
      <c r="H2076" t="s">
        <v>17</v>
      </c>
      <c r="I2076" t="s">
        <v>14</v>
      </c>
      <c r="J2076" t="s">
        <v>18</v>
      </c>
      <c r="K2076">
        <v>116</v>
      </c>
      <c r="L2076" t="str">
        <f>IF(AND(CallLog[[#This Row],[Answered (Y/N)]]="Y", CallLog[[#This Row],[Speed of answer in seconds]]&lt;=20),
    "Within",
    "Breach")</f>
        <v>Breach</v>
      </c>
      <c r="M2076" s="1">
        <v>3.6574074074074074E-3</v>
      </c>
      <c r="N2076">
        <v>4</v>
      </c>
    </row>
    <row r="2077" spans="1:14" x14ac:dyDescent="0.3">
      <c r="A2077" t="s">
        <v>2136</v>
      </c>
      <c r="B2077" t="s">
        <v>20</v>
      </c>
      <c r="C2077" t="s">
        <v>2087</v>
      </c>
      <c r="D2077" s="1">
        <v>0.60799768518518515</v>
      </c>
      <c r="E2077" s="2">
        <f>CallLog[[#This Row],[Date]]+CallLog[[#This Row],[Time]]</f>
        <v>44232.607997685183</v>
      </c>
      <c r="F2077" s="1" t="str">
        <f>TEXT(CallLog[[#This Row],[Date]],"dddd")</f>
        <v>Friday</v>
      </c>
      <c r="G2077" s="3">
        <f>HOUR(CallLog[[#This Row],[Time]])</f>
        <v>14</v>
      </c>
      <c r="H2077" t="s">
        <v>29</v>
      </c>
      <c r="I2077" t="s">
        <v>14</v>
      </c>
      <c r="J2077" t="s">
        <v>18</v>
      </c>
      <c r="K2077">
        <v>39</v>
      </c>
      <c r="L2077" t="str">
        <f>IF(AND(CallLog[[#This Row],[Answered (Y/N)]]="Y", CallLog[[#This Row],[Speed of answer in seconds]]&lt;=20),
    "Within",
    "Breach")</f>
        <v>Breach</v>
      </c>
      <c r="M2077" s="1">
        <v>1.5740740740740741E-3</v>
      </c>
      <c r="N2077">
        <v>1</v>
      </c>
    </row>
    <row r="2078" spans="1:14" x14ac:dyDescent="0.3">
      <c r="A2078" t="s">
        <v>2137</v>
      </c>
      <c r="B2078" t="s">
        <v>16</v>
      </c>
      <c r="C2078" t="s">
        <v>2087</v>
      </c>
      <c r="D2078" s="1">
        <v>0.61599537037037033</v>
      </c>
      <c r="E2078" s="2">
        <f>CallLog[[#This Row],[Date]]+CallLog[[#This Row],[Time]]</f>
        <v>44232.615995370368</v>
      </c>
      <c r="F2078" s="1" t="str">
        <f>TEXT(CallLog[[#This Row],[Date]],"dddd")</f>
        <v>Friday</v>
      </c>
      <c r="G2078" s="3">
        <f>HOUR(CallLog[[#This Row],[Time]])</f>
        <v>14</v>
      </c>
      <c r="H2078" t="s">
        <v>29</v>
      </c>
      <c r="I2078" t="s">
        <v>14</v>
      </c>
      <c r="J2078" t="s">
        <v>14</v>
      </c>
      <c r="K2078">
        <v>78</v>
      </c>
      <c r="L2078" t="str">
        <f>IF(AND(CallLog[[#This Row],[Answered (Y/N)]]="Y", CallLog[[#This Row],[Speed of answer in seconds]]&lt;=20),
    "Within",
    "Breach")</f>
        <v>Breach</v>
      </c>
      <c r="M2078" s="1">
        <v>4.3055555555555555E-3</v>
      </c>
      <c r="N2078">
        <v>3</v>
      </c>
    </row>
    <row r="2079" spans="1:14" x14ac:dyDescent="0.3">
      <c r="A2079" t="s">
        <v>2138</v>
      </c>
      <c r="B2079" t="s">
        <v>38</v>
      </c>
      <c r="C2079" t="s">
        <v>2087</v>
      </c>
      <c r="D2079" s="1">
        <v>0.61599537037037033</v>
      </c>
      <c r="E2079" s="2">
        <f>CallLog[[#This Row],[Date]]+CallLog[[#This Row],[Time]]</f>
        <v>44232.615995370368</v>
      </c>
      <c r="F2079" s="1" t="str">
        <f>TEXT(CallLog[[#This Row],[Date]],"dddd")</f>
        <v>Friday</v>
      </c>
      <c r="G2079" s="3">
        <f>HOUR(CallLog[[#This Row],[Time]])</f>
        <v>14</v>
      </c>
      <c r="H2079" t="s">
        <v>17</v>
      </c>
      <c r="I2079" t="s">
        <v>14</v>
      </c>
      <c r="J2079" t="s">
        <v>14</v>
      </c>
      <c r="K2079">
        <v>120</v>
      </c>
      <c r="L2079" t="str">
        <f>IF(AND(CallLog[[#This Row],[Answered (Y/N)]]="Y", CallLog[[#This Row],[Speed of answer in seconds]]&lt;=20),
    "Within",
    "Breach")</f>
        <v>Breach</v>
      </c>
      <c r="M2079" s="1">
        <v>3.5879629629629629E-3</v>
      </c>
      <c r="N2079">
        <v>3</v>
      </c>
    </row>
    <row r="2080" spans="1:14" x14ac:dyDescent="0.3">
      <c r="A2080" t="s">
        <v>2139</v>
      </c>
      <c r="B2080" t="s">
        <v>34</v>
      </c>
      <c r="C2080" t="s">
        <v>2087</v>
      </c>
      <c r="D2080" s="1">
        <v>0.62299768518518517</v>
      </c>
      <c r="E2080" s="2">
        <f>CallLog[[#This Row],[Date]]+CallLog[[#This Row],[Time]]</f>
        <v>44232.622997685183</v>
      </c>
      <c r="F2080" s="1" t="str">
        <f>TEXT(CallLog[[#This Row],[Date]],"dddd")</f>
        <v>Friday</v>
      </c>
      <c r="G2080" s="3">
        <f>HOUR(CallLog[[#This Row],[Time]])</f>
        <v>14</v>
      </c>
      <c r="H2080" t="s">
        <v>13</v>
      </c>
      <c r="I2080" t="s">
        <v>14</v>
      </c>
      <c r="J2080" t="s">
        <v>14</v>
      </c>
      <c r="K2080">
        <v>118</v>
      </c>
      <c r="L2080" t="str">
        <f>IF(AND(CallLog[[#This Row],[Answered (Y/N)]]="Y", CallLog[[#This Row],[Speed of answer in seconds]]&lt;=20),
    "Within",
    "Breach")</f>
        <v>Breach</v>
      </c>
      <c r="M2080" s="1">
        <v>2.0023148148148148E-3</v>
      </c>
      <c r="N2080">
        <v>3</v>
      </c>
    </row>
    <row r="2081" spans="1:14" x14ac:dyDescent="0.3">
      <c r="A2081" t="s">
        <v>2140</v>
      </c>
      <c r="B2081" t="s">
        <v>47</v>
      </c>
      <c r="C2081" t="s">
        <v>2087</v>
      </c>
      <c r="D2081" s="1">
        <v>0.62299768518518517</v>
      </c>
      <c r="E2081" s="2">
        <f>CallLog[[#This Row],[Date]]+CallLog[[#This Row],[Time]]</f>
        <v>44232.622997685183</v>
      </c>
      <c r="F2081" s="1" t="str">
        <f>TEXT(CallLog[[#This Row],[Date]],"dddd")</f>
        <v>Friday</v>
      </c>
      <c r="G2081" s="3">
        <f>HOUR(CallLog[[#This Row],[Time]])</f>
        <v>14</v>
      </c>
      <c r="H2081" t="s">
        <v>13</v>
      </c>
      <c r="I2081" t="s">
        <v>14</v>
      </c>
      <c r="J2081" t="s">
        <v>14</v>
      </c>
      <c r="K2081">
        <v>103</v>
      </c>
      <c r="L2081" t="str">
        <f>IF(AND(CallLog[[#This Row],[Answered (Y/N)]]="Y", CallLog[[#This Row],[Speed of answer in seconds]]&lt;=20),
    "Within",
    "Breach")</f>
        <v>Breach</v>
      </c>
      <c r="M2081" s="1">
        <v>3.3101851851851851E-3</v>
      </c>
      <c r="N2081">
        <v>3</v>
      </c>
    </row>
    <row r="2082" spans="1:14" x14ac:dyDescent="0.3">
      <c r="A2082" t="s">
        <v>2141</v>
      </c>
      <c r="B2082" t="s">
        <v>31</v>
      </c>
      <c r="C2082" t="s">
        <v>2087</v>
      </c>
      <c r="D2082" s="1">
        <v>0.63500000000000001</v>
      </c>
      <c r="E2082" s="2">
        <f>CallLog[[#This Row],[Date]]+CallLog[[#This Row],[Time]]</f>
        <v>44232.635000000002</v>
      </c>
      <c r="F2082" s="1" t="str">
        <f>TEXT(CallLog[[#This Row],[Date]],"dddd")</f>
        <v>Friday</v>
      </c>
      <c r="G2082" s="3">
        <f>HOUR(CallLog[[#This Row],[Time]])</f>
        <v>15</v>
      </c>
      <c r="H2082" t="s">
        <v>29</v>
      </c>
      <c r="I2082" t="s">
        <v>14</v>
      </c>
      <c r="J2082" t="s">
        <v>14</v>
      </c>
      <c r="K2082">
        <v>96</v>
      </c>
      <c r="L2082" t="str">
        <f>IF(AND(CallLog[[#This Row],[Answered (Y/N)]]="Y", CallLog[[#This Row],[Speed of answer in seconds]]&lt;=20),
    "Within",
    "Breach")</f>
        <v>Breach</v>
      </c>
      <c r="M2082" s="1">
        <v>3.460648148148148E-3</v>
      </c>
      <c r="N2082">
        <v>4</v>
      </c>
    </row>
    <row r="2083" spans="1:14" x14ac:dyDescent="0.3">
      <c r="A2083" t="s">
        <v>2142</v>
      </c>
      <c r="B2083" t="s">
        <v>16</v>
      </c>
      <c r="C2083" t="s">
        <v>2087</v>
      </c>
      <c r="D2083" s="1">
        <v>0.63500000000000001</v>
      </c>
      <c r="E2083" s="2">
        <f>CallLog[[#This Row],[Date]]+CallLog[[#This Row],[Time]]</f>
        <v>44232.635000000002</v>
      </c>
      <c r="F2083" s="1" t="str">
        <f>TEXT(CallLog[[#This Row],[Date]],"dddd")</f>
        <v>Friday</v>
      </c>
      <c r="G2083" s="3">
        <f>HOUR(CallLog[[#This Row],[Time]])</f>
        <v>15</v>
      </c>
      <c r="H2083" t="s">
        <v>24</v>
      </c>
      <c r="I2083" t="s">
        <v>14</v>
      </c>
      <c r="J2083" t="s">
        <v>14</v>
      </c>
      <c r="K2083">
        <v>105</v>
      </c>
      <c r="L2083" t="str">
        <f>IF(AND(CallLog[[#This Row],[Answered (Y/N)]]="Y", CallLog[[#This Row],[Speed of answer in seconds]]&lt;=20),
    "Within",
    "Breach")</f>
        <v>Breach</v>
      </c>
      <c r="M2083" s="1">
        <v>2.476851851851852E-3</v>
      </c>
      <c r="N2083">
        <v>4</v>
      </c>
    </row>
    <row r="2084" spans="1:14" x14ac:dyDescent="0.3">
      <c r="A2084" t="s">
        <v>2143</v>
      </c>
      <c r="B2084" t="s">
        <v>34</v>
      </c>
      <c r="C2084" t="s">
        <v>2087</v>
      </c>
      <c r="D2084" s="1">
        <v>0.65400462962962957</v>
      </c>
      <c r="E2084" s="2">
        <f>CallLog[[#This Row],[Date]]+CallLog[[#This Row],[Time]]</f>
        <v>44232.654004629629</v>
      </c>
      <c r="F2084" s="1" t="str">
        <f>TEXT(CallLog[[#This Row],[Date]],"dddd")</f>
        <v>Friday</v>
      </c>
      <c r="G2084" s="3">
        <f>HOUR(CallLog[[#This Row],[Time]])</f>
        <v>15</v>
      </c>
      <c r="H2084" t="s">
        <v>24</v>
      </c>
      <c r="I2084" t="s">
        <v>14</v>
      </c>
      <c r="J2084" t="s">
        <v>14</v>
      </c>
      <c r="K2084">
        <v>12</v>
      </c>
      <c r="L2084" t="str">
        <f>IF(AND(CallLog[[#This Row],[Answered (Y/N)]]="Y", CallLog[[#This Row],[Speed of answer in seconds]]&lt;=20),
    "Within",
    "Breach")</f>
        <v>Within</v>
      </c>
      <c r="M2084" s="1">
        <v>2.0486111111111113E-3</v>
      </c>
      <c r="N2084">
        <v>2</v>
      </c>
    </row>
    <row r="2085" spans="1:14" x14ac:dyDescent="0.3">
      <c r="A2085" t="s">
        <v>2144</v>
      </c>
      <c r="B2085" t="s">
        <v>38</v>
      </c>
      <c r="C2085" t="s">
        <v>2087</v>
      </c>
      <c r="D2085" s="1">
        <v>0.65400462962962957</v>
      </c>
      <c r="E2085" s="2">
        <f>CallLog[[#This Row],[Date]]+CallLog[[#This Row],[Time]]</f>
        <v>44232.654004629629</v>
      </c>
      <c r="F2085" s="1" t="str">
        <f>TEXT(CallLog[[#This Row],[Date]],"dddd")</f>
        <v>Friday</v>
      </c>
      <c r="G2085" s="3">
        <f>HOUR(CallLog[[#This Row],[Time]])</f>
        <v>15</v>
      </c>
      <c r="H2085" t="s">
        <v>29</v>
      </c>
      <c r="I2085" t="s">
        <v>18</v>
      </c>
      <c r="J2085" t="s">
        <v>18</v>
      </c>
      <c r="L2085" t="str">
        <f>IF(AND(CallLog[[#This Row],[Answered (Y/N)]]="Y", CallLog[[#This Row],[Speed of answer in seconds]]&lt;=20),
    "Within",
    "Breach")</f>
        <v>Breach</v>
      </c>
    </row>
    <row r="2086" spans="1:14" x14ac:dyDescent="0.3">
      <c r="A2086" t="s">
        <v>2145</v>
      </c>
      <c r="B2086" t="s">
        <v>38</v>
      </c>
      <c r="C2086" t="s">
        <v>2087</v>
      </c>
      <c r="D2086" s="1">
        <v>0.67</v>
      </c>
      <c r="E2086" s="2">
        <f>CallLog[[#This Row],[Date]]+CallLog[[#This Row],[Time]]</f>
        <v>44232.67</v>
      </c>
      <c r="F2086" s="1" t="str">
        <f>TEXT(CallLog[[#This Row],[Date]],"dddd")</f>
        <v>Friday</v>
      </c>
      <c r="G2086" s="3">
        <f>HOUR(CallLog[[#This Row],[Time]])</f>
        <v>16</v>
      </c>
      <c r="H2086" t="s">
        <v>17</v>
      </c>
      <c r="I2086" t="s">
        <v>14</v>
      </c>
      <c r="J2086" t="s">
        <v>14</v>
      </c>
      <c r="K2086">
        <v>61</v>
      </c>
      <c r="L2086" t="str">
        <f>IF(AND(CallLog[[#This Row],[Answered (Y/N)]]="Y", CallLog[[#This Row],[Speed of answer in seconds]]&lt;=20),
    "Within",
    "Breach")</f>
        <v>Breach</v>
      </c>
      <c r="M2086" s="1">
        <v>2.2222222222222222E-3</v>
      </c>
      <c r="N2086">
        <v>2</v>
      </c>
    </row>
    <row r="2087" spans="1:14" x14ac:dyDescent="0.3">
      <c r="A2087" t="s">
        <v>2146</v>
      </c>
      <c r="B2087" t="s">
        <v>38</v>
      </c>
      <c r="C2087" t="s">
        <v>2087</v>
      </c>
      <c r="D2087" s="1">
        <v>0.67</v>
      </c>
      <c r="E2087" s="2">
        <f>CallLog[[#This Row],[Date]]+CallLog[[#This Row],[Time]]</f>
        <v>44232.67</v>
      </c>
      <c r="F2087" s="1" t="str">
        <f>TEXT(CallLog[[#This Row],[Date]],"dddd")</f>
        <v>Friday</v>
      </c>
      <c r="G2087" s="3">
        <f>HOUR(CallLog[[#This Row],[Time]])</f>
        <v>16</v>
      </c>
      <c r="H2087" t="s">
        <v>29</v>
      </c>
      <c r="I2087" t="s">
        <v>14</v>
      </c>
      <c r="J2087" t="s">
        <v>14</v>
      </c>
      <c r="K2087">
        <v>82</v>
      </c>
      <c r="L2087" t="str">
        <f>IF(AND(CallLog[[#This Row],[Answered (Y/N)]]="Y", CallLog[[#This Row],[Speed of answer in seconds]]&lt;=20),
    "Within",
    "Breach")</f>
        <v>Breach</v>
      </c>
      <c r="M2087" s="1">
        <v>4.7916666666666663E-3</v>
      </c>
      <c r="N2087">
        <v>1</v>
      </c>
    </row>
    <row r="2088" spans="1:14" x14ac:dyDescent="0.3">
      <c r="A2088" t="s">
        <v>2147</v>
      </c>
      <c r="B2088" t="s">
        <v>22</v>
      </c>
      <c r="C2088" t="s">
        <v>2087</v>
      </c>
      <c r="D2088" s="1">
        <v>0.6790046296296296</v>
      </c>
      <c r="E2088" s="2">
        <f>CallLog[[#This Row],[Date]]+CallLog[[#This Row],[Time]]</f>
        <v>44232.67900462963</v>
      </c>
      <c r="F2088" s="1" t="str">
        <f>TEXT(CallLog[[#This Row],[Date]],"dddd")</f>
        <v>Friday</v>
      </c>
      <c r="G2088" s="3">
        <f>HOUR(CallLog[[#This Row],[Time]])</f>
        <v>16</v>
      </c>
      <c r="H2088" t="s">
        <v>17</v>
      </c>
      <c r="I2088" t="s">
        <v>14</v>
      </c>
      <c r="J2088" t="s">
        <v>14</v>
      </c>
      <c r="K2088">
        <v>51</v>
      </c>
      <c r="L2088" t="str">
        <f>IF(AND(CallLog[[#This Row],[Answered (Y/N)]]="Y", CallLog[[#This Row],[Speed of answer in seconds]]&lt;=20),
    "Within",
    "Breach")</f>
        <v>Breach</v>
      </c>
      <c r="M2088" s="1">
        <v>7.291666666666667E-4</v>
      </c>
      <c r="N2088">
        <v>2</v>
      </c>
    </row>
    <row r="2089" spans="1:14" x14ac:dyDescent="0.3">
      <c r="A2089" t="s">
        <v>2148</v>
      </c>
      <c r="B2089" t="s">
        <v>16</v>
      </c>
      <c r="C2089" t="s">
        <v>2087</v>
      </c>
      <c r="D2089" s="1">
        <v>0.6790046296296296</v>
      </c>
      <c r="E2089" s="2">
        <f>CallLog[[#This Row],[Date]]+CallLog[[#This Row],[Time]]</f>
        <v>44232.67900462963</v>
      </c>
      <c r="F2089" s="1" t="str">
        <f>TEXT(CallLog[[#This Row],[Date]],"dddd")</f>
        <v>Friday</v>
      </c>
      <c r="G2089" s="3">
        <f>HOUR(CallLog[[#This Row],[Time]])</f>
        <v>16</v>
      </c>
      <c r="H2089" t="s">
        <v>29</v>
      </c>
      <c r="I2089" t="s">
        <v>14</v>
      </c>
      <c r="J2089" t="s">
        <v>14</v>
      </c>
      <c r="K2089">
        <v>25</v>
      </c>
      <c r="L2089" t="str">
        <f>IF(AND(CallLog[[#This Row],[Answered (Y/N)]]="Y", CallLog[[#This Row],[Speed of answer in seconds]]&lt;=20),
    "Within",
    "Breach")</f>
        <v>Breach</v>
      </c>
      <c r="M2089" s="1">
        <v>4.6759259259259263E-3</v>
      </c>
      <c r="N2089">
        <v>5</v>
      </c>
    </row>
    <row r="2090" spans="1:14" x14ac:dyDescent="0.3">
      <c r="A2090" t="s">
        <v>2149</v>
      </c>
      <c r="B2090" t="s">
        <v>31</v>
      </c>
      <c r="C2090" t="s">
        <v>2087</v>
      </c>
      <c r="D2090" s="1">
        <v>0.68299768518518522</v>
      </c>
      <c r="E2090" s="2">
        <f>CallLog[[#This Row],[Date]]+CallLog[[#This Row],[Time]]</f>
        <v>44232.682997685188</v>
      </c>
      <c r="F2090" s="1" t="str">
        <f>TEXT(CallLog[[#This Row],[Date]],"dddd")</f>
        <v>Friday</v>
      </c>
      <c r="G2090" s="3">
        <f>HOUR(CallLog[[#This Row],[Time]])</f>
        <v>16</v>
      </c>
      <c r="H2090" t="s">
        <v>17</v>
      </c>
      <c r="I2090" t="s">
        <v>14</v>
      </c>
      <c r="J2090" t="s">
        <v>14</v>
      </c>
      <c r="K2090">
        <v>30</v>
      </c>
      <c r="L2090" t="str">
        <f>IF(AND(CallLog[[#This Row],[Answered (Y/N)]]="Y", CallLog[[#This Row],[Speed of answer in seconds]]&lt;=20),
    "Within",
    "Breach")</f>
        <v>Breach</v>
      </c>
      <c r="M2090" s="1">
        <v>4.0509259259259258E-4</v>
      </c>
      <c r="N2090">
        <v>4</v>
      </c>
    </row>
    <row r="2091" spans="1:14" x14ac:dyDescent="0.3">
      <c r="A2091" t="s">
        <v>2150</v>
      </c>
      <c r="B2091" t="s">
        <v>38</v>
      </c>
      <c r="C2091" t="s">
        <v>2087</v>
      </c>
      <c r="D2091" s="1">
        <v>0.68299768518518522</v>
      </c>
      <c r="E2091" s="2">
        <f>CallLog[[#This Row],[Date]]+CallLog[[#This Row],[Time]]</f>
        <v>44232.682997685188</v>
      </c>
      <c r="F2091" s="1" t="str">
        <f>TEXT(CallLog[[#This Row],[Date]],"dddd")</f>
        <v>Friday</v>
      </c>
      <c r="G2091" s="3">
        <f>HOUR(CallLog[[#This Row],[Time]])</f>
        <v>16</v>
      </c>
      <c r="H2091" t="s">
        <v>17</v>
      </c>
      <c r="I2091" t="s">
        <v>18</v>
      </c>
      <c r="J2091" t="s">
        <v>18</v>
      </c>
      <c r="L2091" t="str">
        <f>IF(AND(CallLog[[#This Row],[Answered (Y/N)]]="Y", CallLog[[#This Row],[Speed of answer in seconds]]&lt;=20),
    "Within",
    "Breach")</f>
        <v>Breach</v>
      </c>
    </row>
    <row r="2092" spans="1:14" x14ac:dyDescent="0.3">
      <c r="A2092" t="s">
        <v>2151</v>
      </c>
      <c r="B2092" t="s">
        <v>20</v>
      </c>
      <c r="C2092" t="s">
        <v>2087</v>
      </c>
      <c r="D2092" s="1">
        <v>0.70499999999999996</v>
      </c>
      <c r="E2092" s="2">
        <f>CallLog[[#This Row],[Date]]+CallLog[[#This Row],[Time]]</f>
        <v>44232.705000000002</v>
      </c>
      <c r="F2092" s="1" t="str">
        <f>TEXT(CallLog[[#This Row],[Date]],"dddd")</f>
        <v>Friday</v>
      </c>
      <c r="G2092" s="3">
        <f>HOUR(CallLog[[#This Row],[Time]])</f>
        <v>16</v>
      </c>
      <c r="H2092" t="s">
        <v>13</v>
      </c>
      <c r="I2092" t="s">
        <v>14</v>
      </c>
      <c r="J2092" t="s">
        <v>14</v>
      </c>
      <c r="K2092">
        <v>90</v>
      </c>
      <c r="L2092" t="str">
        <f>IF(AND(CallLog[[#This Row],[Answered (Y/N)]]="Y", CallLog[[#This Row],[Speed of answer in seconds]]&lt;=20),
    "Within",
    "Breach")</f>
        <v>Breach</v>
      </c>
      <c r="M2092" s="1">
        <v>1.3773148148148147E-3</v>
      </c>
      <c r="N2092">
        <v>3</v>
      </c>
    </row>
    <row r="2093" spans="1:14" x14ac:dyDescent="0.3">
      <c r="A2093" t="s">
        <v>2152</v>
      </c>
      <c r="B2093" t="s">
        <v>47</v>
      </c>
      <c r="C2093" t="s">
        <v>2087</v>
      </c>
      <c r="D2093" s="1">
        <v>0.70499999999999996</v>
      </c>
      <c r="E2093" s="2">
        <f>CallLog[[#This Row],[Date]]+CallLog[[#This Row],[Time]]</f>
        <v>44232.705000000002</v>
      </c>
      <c r="F2093" s="1" t="str">
        <f>TEXT(CallLog[[#This Row],[Date]],"dddd")</f>
        <v>Friday</v>
      </c>
      <c r="G2093" s="3">
        <f>HOUR(CallLog[[#This Row],[Time]])</f>
        <v>16</v>
      </c>
      <c r="H2093" t="s">
        <v>29</v>
      </c>
      <c r="I2093" t="s">
        <v>18</v>
      </c>
      <c r="J2093" t="s">
        <v>18</v>
      </c>
      <c r="L2093" t="str">
        <f>IF(AND(CallLog[[#This Row],[Answered (Y/N)]]="Y", CallLog[[#This Row],[Speed of answer in seconds]]&lt;=20),
    "Within",
    "Breach")</f>
        <v>Breach</v>
      </c>
    </row>
    <row r="2094" spans="1:14" x14ac:dyDescent="0.3">
      <c r="A2094" t="s">
        <v>2153</v>
      </c>
      <c r="B2094" t="s">
        <v>11</v>
      </c>
      <c r="C2094" t="s">
        <v>2087</v>
      </c>
      <c r="D2094" s="1">
        <v>0.72299768518518515</v>
      </c>
      <c r="E2094" s="2">
        <f>CallLog[[#This Row],[Date]]+CallLog[[#This Row],[Time]]</f>
        <v>44232.722997685189</v>
      </c>
      <c r="F2094" s="1" t="str">
        <f>TEXT(CallLog[[#This Row],[Date]],"dddd")</f>
        <v>Friday</v>
      </c>
      <c r="G2094" s="3">
        <f>HOUR(CallLog[[#This Row],[Time]])</f>
        <v>17</v>
      </c>
      <c r="H2094" t="s">
        <v>13</v>
      </c>
      <c r="I2094" t="s">
        <v>14</v>
      </c>
      <c r="J2094" t="s">
        <v>14</v>
      </c>
      <c r="K2094">
        <v>12</v>
      </c>
      <c r="L2094" t="str">
        <f>IF(AND(CallLog[[#This Row],[Answered (Y/N)]]="Y", CallLog[[#This Row],[Speed of answer in seconds]]&lt;=20),
    "Within",
    "Breach")</f>
        <v>Within</v>
      </c>
      <c r="M2094" s="1">
        <v>1.2152777777777778E-3</v>
      </c>
      <c r="N2094">
        <v>3</v>
      </c>
    </row>
    <row r="2095" spans="1:14" x14ac:dyDescent="0.3">
      <c r="A2095" t="s">
        <v>2154</v>
      </c>
      <c r="B2095" t="s">
        <v>31</v>
      </c>
      <c r="C2095" t="s">
        <v>2087</v>
      </c>
      <c r="D2095" s="1">
        <v>0.72299768518518515</v>
      </c>
      <c r="E2095" s="2">
        <f>CallLog[[#This Row],[Date]]+CallLog[[#This Row],[Time]]</f>
        <v>44232.722997685189</v>
      </c>
      <c r="F2095" s="1" t="str">
        <f>TEXT(CallLog[[#This Row],[Date]],"dddd")</f>
        <v>Friday</v>
      </c>
      <c r="G2095" s="3">
        <f>HOUR(CallLog[[#This Row],[Time]])</f>
        <v>17</v>
      </c>
      <c r="H2095" t="s">
        <v>29</v>
      </c>
      <c r="I2095" t="s">
        <v>18</v>
      </c>
      <c r="J2095" t="s">
        <v>18</v>
      </c>
      <c r="L2095" t="str">
        <f>IF(AND(CallLog[[#This Row],[Answered (Y/N)]]="Y", CallLog[[#This Row],[Speed of answer in seconds]]&lt;=20),
    "Within",
    "Breach")</f>
        <v>Breach</v>
      </c>
    </row>
    <row r="2096" spans="1:14" x14ac:dyDescent="0.3">
      <c r="A2096" t="s">
        <v>2155</v>
      </c>
      <c r="B2096" t="s">
        <v>38</v>
      </c>
      <c r="C2096" t="s">
        <v>2087</v>
      </c>
      <c r="D2096" s="1">
        <v>0.73599537037037033</v>
      </c>
      <c r="E2096" s="2">
        <f>CallLog[[#This Row],[Date]]+CallLog[[#This Row],[Time]]</f>
        <v>44232.735995370371</v>
      </c>
      <c r="F2096" s="1" t="str">
        <f>TEXT(CallLog[[#This Row],[Date]],"dddd")</f>
        <v>Friday</v>
      </c>
      <c r="G2096" s="3">
        <f>HOUR(CallLog[[#This Row],[Time]])</f>
        <v>17</v>
      </c>
      <c r="H2096" t="s">
        <v>13</v>
      </c>
      <c r="I2096" t="s">
        <v>18</v>
      </c>
      <c r="J2096" t="s">
        <v>18</v>
      </c>
      <c r="L2096" t="str">
        <f>IF(AND(CallLog[[#This Row],[Answered (Y/N)]]="Y", CallLog[[#This Row],[Speed of answer in seconds]]&lt;=20),
    "Within",
    "Breach")</f>
        <v>Breach</v>
      </c>
    </row>
    <row r="2097" spans="1:14" x14ac:dyDescent="0.3">
      <c r="A2097" t="s">
        <v>2156</v>
      </c>
      <c r="B2097" t="s">
        <v>31</v>
      </c>
      <c r="C2097" t="s">
        <v>2087</v>
      </c>
      <c r="D2097" s="1">
        <v>0.73599537037037033</v>
      </c>
      <c r="E2097" s="2">
        <f>CallLog[[#This Row],[Date]]+CallLog[[#This Row],[Time]]</f>
        <v>44232.735995370371</v>
      </c>
      <c r="F2097" s="1" t="str">
        <f>TEXT(CallLog[[#This Row],[Date]],"dddd")</f>
        <v>Friday</v>
      </c>
      <c r="G2097" s="3">
        <f>HOUR(CallLog[[#This Row],[Time]])</f>
        <v>17</v>
      </c>
      <c r="H2097" t="s">
        <v>17</v>
      </c>
      <c r="I2097" t="s">
        <v>18</v>
      </c>
      <c r="J2097" t="s">
        <v>18</v>
      </c>
      <c r="L2097" t="str">
        <f>IF(AND(CallLog[[#This Row],[Answered (Y/N)]]="Y", CallLog[[#This Row],[Speed of answer in seconds]]&lt;=20),
    "Within",
    "Breach")</f>
        <v>Breach</v>
      </c>
    </row>
    <row r="2098" spans="1:14" x14ac:dyDescent="0.3">
      <c r="A2098" t="s">
        <v>2157</v>
      </c>
      <c r="B2098" t="s">
        <v>16</v>
      </c>
      <c r="C2098" t="s">
        <v>2087</v>
      </c>
      <c r="D2098" s="1">
        <v>0.73900462962962965</v>
      </c>
      <c r="E2098" s="2">
        <f>CallLog[[#This Row],[Date]]+CallLog[[#This Row],[Time]]</f>
        <v>44232.739004629628</v>
      </c>
      <c r="F2098" s="1" t="str">
        <f>TEXT(CallLog[[#This Row],[Date]],"dddd")</f>
        <v>Friday</v>
      </c>
      <c r="G2098" s="3">
        <f>HOUR(CallLog[[#This Row],[Time]])</f>
        <v>17</v>
      </c>
      <c r="H2098" t="s">
        <v>17</v>
      </c>
      <c r="I2098" t="s">
        <v>14</v>
      </c>
      <c r="J2098" t="s">
        <v>14</v>
      </c>
      <c r="K2098">
        <v>50</v>
      </c>
      <c r="L2098" t="str">
        <f>IF(AND(CallLog[[#This Row],[Answered (Y/N)]]="Y", CallLog[[#This Row],[Speed of answer in seconds]]&lt;=20),
    "Within",
    "Breach")</f>
        <v>Breach</v>
      </c>
      <c r="M2098" s="1">
        <v>3.6574074074074074E-3</v>
      </c>
      <c r="N2098">
        <v>3</v>
      </c>
    </row>
    <row r="2099" spans="1:14" x14ac:dyDescent="0.3">
      <c r="A2099" t="s">
        <v>2158</v>
      </c>
      <c r="B2099" t="s">
        <v>11</v>
      </c>
      <c r="C2099" t="s">
        <v>2087</v>
      </c>
      <c r="D2099" s="1">
        <v>0.73900462962962965</v>
      </c>
      <c r="E2099" s="2">
        <f>CallLog[[#This Row],[Date]]+CallLog[[#This Row],[Time]]</f>
        <v>44232.739004629628</v>
      </c>
      <c r="F2099" s="1" t="str">
        <f>TEXT(CallLog[[#This Row],[Date]],"dddd")</f>
        <v>Friday</v>
      </c>
      <c r="G2099" s="3">
        <f>HOUR(CallLog[[#This Row],[Time]])</f>
        <v>17</v>
      </c>
      <c r="H2099" t="s">
        <v>17</v>
      </c>
      <c r="I2099" t="s">
        <v>14</v>
      </c>
      <c r="J2099" t="s">
        <v>14</v>
      </c>
      <c r="K2099">
        <v>125</v>
      </c>
      <c r="L2099" t="str">
        <f>IF(AND(CallLog[[#This Row],[Answered (Y/N)]]="Y", CallLog[[#This Row],[Speed of answer in seconds]]&lt;=20),
    "Within",
    "Breach")</f>
        <v>Breach</v>
      </c>
      <c r="M2099" s="1">
        <v>5.7870370370370367E-4</v>
      </c>
      <c r="N2099">
        <v>3</v>
      </c>
    </row>
    <row r="2100" spans="1:14" x14ac:dyDescent="0.3">
      <c r="A2100" t="s">
        <v>2159</v>
      </c>
      <c r="B2100" t="s">
        <v>31</v>
      </c>
      <c r="C2100" t="s">
        <v>2160</v>
      </c>
      <c r="D2100" s="1">
        <v>0.39099537037037035</v>
      </c>
      <c r="E2100" s="2">
        <f>CallLog[[#This Row],[Date]]+CallLog[[#This Row],[Time]]</f>
        <v>44233.39099537037</v>
      </c>
      <c r="F2100" s="1" t="str">
        <f>TEXT(CallLog[[#This Row],[Date]],"dddd")</f>
        <v>Saturday</v>
      </c>
      <c r="G2100" s="3">
        <f>HOUR(CallLog[[#This Row],[Time]])</f>
        <v>9</v>
      </c>
      <c r="H2100" t="s">
        <v>29</v>
      </c>
      <c r="I2100" t="s">
        <v>14</v>
      </c>
      <c r="J2100" t="s">
        <v>14</v>
      </c>
      <c r="K2100">
        <v>118</v>
      </c>
      <c r="L2100" t="str">
        <f>IF(AND(CallLog[[#This Row],[Answered (Y/N)]]="Y", CallLog[[#This Row],[Speed of answer in seconds]]&lt;=20),
    "Within",
    "Breach")</f>
        <v>Breach</v>
      </c>
      <c r="M2100" s="1">
        <v>1.2731481481481483E-3</v>
      </c>
      <c r="N2100">
        <v>4</v>
      </c>
    </row>
    <row r="2101" spans="1:14" x14ac:dyDescent="0.3">
      <c r="A2101" t="s">
        <v>2161</v>
      </c>
      <c r="B2101" t="s">
        <v>38</v>
      </c>
      <c r="C2101" t="s">
        <v>2160</v>
      </c>
      <c r="D2101" s="1">
        <v>0.39099537037037035</v>
      </c>
      <c r="E2101" s="2">
        <f>CallLog[[#This Row],[Date]]+CallLog[[#This Row],[Time]]</f>
        <v>44233.39099537037</v>
      </c>
      <c r="F2101" s="1" t="str">
        <f>TEXT(CallLog[[#This Row],[Date]],"dddd")</f>
        <v>Saturday</v>
      </c>
      <c r="G2101" s="3">
        <f>HOUR(CallLog[[#This Row],[Time]])</f>
        <v>9</v>
      </c>
      <c r="H2101" t="s">
        <v>32</v>
      </c>
      <c r="I2101" t="s">
        <v>14</v>
      </c>
      <c r="J2101" t="s">
        <v>18</v>
      </c>
      <c r="K2101">
        <v>46</v>
      </c>
      <c r="L2101" t="str">
        <f>IF(AND(CallLog[[#This Row],[Answered (Y/N)]]="Y", CallLog[[#This Row],[Speed of answer in seconds]]&lt;=20),
    "Within",
    "Breach")</f>
        <v>Breach</v>
      </c>
      <c r="M2101" s="1">
        <v>1.0763888888888889E-3</v>
      </c>
      <c r="N2101">
        <v>5</v>
      </c>
    </row>
    <row r="2102" spans="1:14" x14ac:dyDescent="0.3">
      <c r="A2102" t="s">
        <v>2162</v>
      </c>
      <c r="B2102" t="s">
        <v>31</v>
      </c>
      <c r="C2102" t="s">
        <v>2160</v>
      </c>
      <c r="D2102" s="1">
        <v>0.41499999999999998</v>
      </c>
      <c r="E2102" s="2">
        <f>CallLog[[#This Row],[Date]]+CallLog[[#This Row],[Time]]</f>
        <v>44233.415000000001</v>
      </c>
      <c r="F2102" s="1" t="str">
        <f>TEXT(CallLog[[#This Row],[Date]],"dddd")</f>
        <v>Saturday</v>
      </c>
      <c r="G2102" s="3">
        <f>HOUR(CallLog[[#This Row],[Time]])</f>
        <v>9</v>
      </c>
      <c r="H2102" t="s">
        <v>17</v>
      </c>
      <c r="I2102" t="s">
        <v>14</v>
      </c>
      <c r="J2102" t="s">
        <v>14</v>
      </c>
      <c r="K2102">
        <v>92</v>
      </c>
      <c r="L2102" t="str">
        <f>IF(AND(CallLog[[#This Row],[Answered (Y/N)]]="Y", CallLog[[#This Row],[Speed of answer in seconds]]&lt;=20),
    "Within",
    "Breach")</f>
        <v>Breach</v>
      </c>
      <c r="M2102" s="1">
        <v>2.7199074074074074E-3</v>
      </c>
      <c r="N2102">
        <v>4</v>
      </c>
    </row>
    <row r="2103" spans="1:14" x14ac:dyDescent="0.3">
      <c r="A2103" t="s">
        <v>2163</v>
      </c>
      <c r="B2103" t="s">
        <v>16</v>
      </c>
      <c r="C2103" t="s">
        <v>2160</v>
      </c>
      <c r="D2103" s="1">
        <v>0.41499999999999998</v>
      </c>
      <c r="E2103" s="2">
        <f>CallLog[[#This Row],[Date]]+CallLog[[#This Row],[Time]]</f>
        <v>44233.415000000001</v>
      </c>
      <c r="F2103" s="1" t="str">
        <f>TEXT(CallLog[[#This Row],[Date]],"dddd")</f>
        <v>Saturday</v>
      </c>
      <c r="G2103" s="3">
        <f>HOUR(CallLog[[#This Row],[Time]])</f>
        <v>9</v>
      </c>
      <c r="H2103" t="s">
        <v>24</v>
      </c>
      <c r="I2103" t="s">
        <v>14</v>
      </c>
      <c r="J2103" t="s">
        <v>14</v>
      </c>
      <c r="K2103">
        <v>23</v>
      </c>
      <c r="L2103" t="str">
        <f>IF(AND(CallLog[[#This Row],[Answered (Y/N)]]="Y", CallLog[[#This Row],[Speed of answer in seconds]]&lt;=20),
    "Within",
    "Breach")</f>
        <v>Breach</v>
      </c>
      <c r="M2103" s="1">
        <v>1.6898148148148148E-3</v>
      </c>
      <c r="N2103">
        <v>3</v>
      </c>
    </row>
    <row r="2104" spans="1:14" x14ac:dyDescent="0.3">
      <c r="A2104" t="s">
        <v>2164</v>
      </c>
      <c r="B2104" t="s">
        <v>16</v>
      </c>
      <c r="C2104" t="s">
        <v>2160</v>
      </c>
      <c r="D2104" s="1">
        <v>0.41599537037037038</v>
      </c>
      <c r="E2104" s="2">
        <f>CallLog[[#This Row],[Date]]+CallLog[[#This Row],[Time]]</f>
        <v>44233.415995370371</v>
      </c>
      <c r="F2104" s="1" t="str">
        <f>TEXT(CallLog[[#This Row],[Date]],"dddd")</f>
        <v>Saturday</v>
      </c>
      <c r="G2104" s="3">
        <f>HOUR(CallLog[[#This Row],[Time]])</f>
        <v>9</v>
      </c>
      <c r="H2104" t="s">
        <v>13</v>
      </c>
      <c r="I2104" t="s">
        <v>14</v>
      </c>
      <c r="J2104" t="s">
        <v>14</v>
      </c>
      <c r="K2104">
        <v>108</v>
      </c>
      <c r="L2104" t="str">
        <f>IF(AND(CallLog[[#This Row],[Answered (Y/N)]]="Y", CallLog[[#This Row],[Speed of answer in seconds]]&lt;=20),
    "Within",
    "Breach")</f>
        <v>Breach</v>
      </c>
      <c r="M2104" s="1">
        <v>2.5810185185185185E-3</v>
      </c>
      <c r="N2104">
        <v>2</v>
      </c>
    </row>
    <row r="2105" spans="1:14" x14ac:dyDescent="0.3">
      <c r="A2105" t="s">
        <v>2165</v>
      </c>
      <c r="B2105" t="s">
        <v>11</v>
      </c>
      <c r="C2105" t="s">
        <v>2160</v>
      </c>
      <c r="D2105" s="1">
        <v>0.41599537037037038</v>
      </c>
      <c r="E2105" s="2">
        <f>CallLog[[#This Row],[Date]]+CallLog[[#This Row],[Time]]</f>
        <v>44233.415995370371</v>
      </c>
      <c r="F2105" s="1" t="str">
        <f>TEXT(CallLog[[#This Row],[Date]],"dddd")</f>
        <v>Saturday</v>
      </c>
      <c r="G2105" s="3">
        <f>HOUR(CallLog[[#This Row],[Time]])</f>
        <v>9</v>
      </c>
      <c r="H2105" t="s">
        <v>32</v>
      </c>
      <c r="I2105" t="s">
        <v>14</v>
      </c>
      <c r="J2105" t="s">
        <v>14</v>
      </c>
      <c r="K2105">
        <v>122</v>
      </c>
      <c r="L2105" t="str">
        <f>IF(AND(CallLog[[#This Row],[Answered (Y/N)]]="Y", CallLog[[#This Row],[Speed of answer in seconds]]&lt;=20),
    "Within",
    "Breach")</f>
        <v>Breach</v>
      </c>
      <c r="M2105" s="1">
        <v>2.3148148148148147E-3</v>
      </c>
      <c r="N2105">
        <v>4</v>
      </c>
    </row>
    <row r="2106" spans="1:14" x14ac:dyDescent="0.3">
      <c r="A2106" t="s">
        <v>2166</v>
      </c>
      <c r="B2106" t="s">
        <v>34</v>
      </c>
      <c r="C2106" t="s">
        <v>2160</v>
      </c>
      <c r="D2106" s="1">
        <v>0.44900462962962961</v>
      </c>
      <c r="E2106" s="2">
        <f>CallLog[[#This Row],[Date]]+CallLog[[#This Row],[Time]]</f>
        <v>44233.449004629627</v>
      </c>
      <c r="F2106" s="1" t="str">
        <f>TEXT(CallLog[[#This Row],[Date]],"dddd")</f>
        <v>Saturday</v>
      </c>
      <c r="G2106" s="3">
        <f>HOUR(CallLog[[#This Row],[Time]])</f>
        <v>10</v>
      </c>
      <c r="H2106" t="s">
        <v>17</v>
      </c>
      <c r="I2106" t="s">
        <v>14</v>
      </c>
      <c r="J2106" t="s">
        <v>14</v>
      </c>
      <c r="K2106">
        <v>27</v>
      </c>
      <c r="L2106" t="str">
        <f>IF(AND(CallLog[[#This Row],[Answered (Y/N)]]="Y", CallLog[[#This Row],[Speed of answer in seconds]]&lt;=20),
    "Within",
    "Breach")</f>
        <v>Breach</v>
      </c>
      <c r="M2106" s="1">
        <v>4.3981481481481481E-4</v>
      </c>
      <c r="N2106">
        <v>4</v>
      </c>
    </row>
    <row r="2107" spans="1:14" x14ac:dyDescent="0.3">
      <c r="A2107" t="s">
        <v>2167</v>
      </c>
      <c r="B2107" t="s">
        <v>16</v>
      </c>
      <c r="C2107" t="s">
        <v>2160</v>
      </c>
      <c r="D2107" s="1">
        <v>0.44900462962962961</v>
      </c>
      <c r="E2107" s="2">
        <f>CallLog[[#This Row],[Date]]+CallLog[[#This Row],[Time]]</f>
        <v>44233.449004629627</v>
      </c>
      <c r="F2107" s="1" t="str">
        <f>TEXT(CallLog[[#This Row],[Date]],"dddd")</f>
        <v>Saturday</v>
      </c>
      <c r="G2107" s="3">
        <f>HOUR(CallLog[[#This Row],[Time]])</f>
        <v>10</v>
      </c>
      <c r="H2107" t="s">
        <v>29</v>
      </c>
      <c r="I2107" t="s">
        <v>14</v>
      </c>
      <c r="J2107" t="s">
        <v>14</v>
      </c>
      <c r="K2107">
        <v>116</v>
      </c>
      <c r="L2107" t="str">
        <f>IF(AND(CallLog[[#This Row],[Answered (Y/N)]]="Y", CallLog[[#This Row],[Speed of answer in seconds]]&lt;=20),
    "Within",
    "Breach")</f>
        <v>Breach</v>
      </c>
      <c r="M2107" s="1">
        <v>9.4907407407407408E-4</v>
      </c>
      <c r="N2107">
        <v>4</v>
      </c>
    </row>
    <row r="2108" spans="1:14" x14ac:dyDescent="0.3">
      <c r="A2108" t="s">
        <v>2168</v>
      </c>
      <c r="B2108" t="s">
        <v>22</v>
      </c>
      <c r="C2108" t="s">
        <v>2160</v>
      </c>
      <c r="D2108" s="1">
        <v>0.45</v>
      </c>
      <c r="E2108" s="2">
        <f>CallLog[[#This Row],[Date]]+CallLog[[#This Row],[Time]]</f>
        <v>44233.45</v>
      </c>
      <c r="F2108" s="1" t="str">
        <f>TEXT(CallLog[[#This Row],[Date]],"dddd")</f>
        <v>Saturday</v>
      </c>
      <c r="G2108" s="3">
        <f>HOUR(CallLog[[#This Row],[Time]])</f>
        <v>10</v>
      </c>
      <c r="H2108" t="s">
        <v>24</v>
      </c>
      <c r="I2108" t="s">
        <v>14</v>
      </c>
      <c r="J2108" t="s">
        <v>14</v>
      </c>
      <c r="K2108">
        <v>120</v>
      </c>
      <c r="L2108" t="str">
        <f>IF(AND(CallLog[[#This Row],[Answered (Y/N)]]="Y", CallLog[[#This Row],[Speed of answer in seconds]]&lt;=20),
    "Within",
    "Breach")</f>
        <v>Breach</v>
      </c>
      <c r="M2108" s="1">
        <v>4.409722222222222E-3</v>
      </c>
      <c r="N2108">
        <v>3</v>
      </c>
    </row>
    <row r="2109" spans="1:14" x14ac:dyDescent="0.3">
      <c r="A2109" t="s">
        <v>2169</v>
      </c>
      <c r="B2109" t="s">
        <v>22</v>
      </c>
      <c r="C2109" t="s">
        <v>2160</v>
      </c>
      <c r="D2109" s="1">
        <v>0.45</v>
      </c>
      <c r="E2109" s="2">
        <f>CallLog[[#This Row],[Date]]+CallLog[[#This Row],[Time]]</f>
        <v>44233.45</v>
      </c>
      <c r="F2109" s="1" t="str">
        <f>TEXT(CallLog[[#This Row],[Date]],"dddd")</f>
        <v>Saturday</v>
      </c>
      <c r="G2109" s="3">
        <f>HOUR(CallLog[[#This Row],[Time]])</f>
        <v>10</v>
      </c>
      <c r="H2109" t="s">
        <v>17</v>
      </c>
      <c r="I2109" t="s">
        <v>14</v>
      </c>
      <c r="J2109" t="s">
        <v>14</v>
      </c>
      <c r="K2109">
        <v>55</v>
      </c>
      <c r="L2109" t="str">
        <f>IF(AND(CallLog[[#This Row],[Answered (Y/N)]]="Y", CallLog[[#This Row],[Speed of answer in seconds]]&lt;=20),
    "Within",
    "Breach")</f>
        <v>Breach</v>
      </c>
      <c r="M2109" s="1">
        <v>5.7870370370370367E-4</v>
      </c>
      <c r="N2109">
        <v>5</v>
      </c>
    </row>
    <row r="2110" spans="1:14" x14ac:dyDescent="0.3">
      <c r="A2110" t="s">
        <v>2170</v>
      </c>
      <c r="B2110" t="s">
        <v>11</v>
      </c>
      <c r="C2110" t="s">
        <v>2160</v>
      </c>
      <c r="D2110" s="1">
        <v>0.46</v>
      </c>
      <c r="E2110" s="2">
        <f>CallLog[[#This Row],[Date]]+CallLog[[#This Row],[Time]]</f>
        <v>44233.46</v>
      </c>
      <c r="F2110" s="1" t="str">
        <f>TEXT(CallLog[[#This Row],[Date]],"dddd")</f>
        <v>Saturday</v>
      </c>
      <c r="G2110" s="3">
        <f>HOUR(CallLog[[#This Row],[Time]])</f>
        <v>11</v>
      </c>
      <c r="H2110" t="s">
        <v>32</v>
      </c>
      <c r="I2110" t="s">
        <v>14</v>
      </c>
      <c r="J2110" t="s">
        <v>14</v>
      </c>
      <c r="K2110">
        <v>46</v>
      </c>
      <c r="L2110" t="str">
        <f>IF(AND(CallLog[[#This Row],[Answered (Y/N)]]="Y", CallLog[[#This Row],[Speed of answer in seconds]]&lt;=20),
    "Within",
    "Breach")</f>
        <v>Breach</v>
      </c>
      <c r="M2110" s="1">
        <v>3.0208333333333333E-3</v>
      </c>
      <c r="N2110">
        <v>4</v>
      </c>
    </row>
    <row r="2111" spans="1:14" x14ac:dyDescent="0.3">
      <c r="A2111" t="s">
        <v>2171</v>
      </c>
      <c r="B2111" t="s">
        <v>20</v>
      </c>
      <c r="C2111" t="s">
        <v>2160</v>
      </c>
      <c r="D2111" s="1">
        <v>0.46</v>
      </c>
      <c r="E2111" s="2">
        <f>CallLog[[#This Row],[Date]]+CallLog[[#This Row],[Time]]</f>
        <v>44233.46</v>
      </c>
      <c r="F2111" s="1" t="str">
        <f>TEXT(CallLog[[#This Row],[Date]],"dddd")</f>
        <v>Saturday</v>
      </c>
      <c r="G2111" s="3">
        <f>HOUR(CallLog[[#This Row],[Time]])</f>
        <v>11</v>
      </c>
      <c r="H2111" t="s">
        <v>13</v>
      </c>
      <c r="I2111" t="s">
        <v>18</v>
      </c>
      <c r="J2111" t="s">
        <v>18</v>
      </c>
      <c r="L2111" t="str">
        <f>IF(AND(CallLog[[#This Row],[Answered (Y/N)]]="Y", CallLog[[#This Row],[Speed of answer in seconds]]&lt;=20),
    "Within",
    "Breach")</f>
        <v>Breach</v>
      </c>
    </row>
    <row r="2112" spans="1:14" x14ac:dyDescent="0.3">
      <c r="A2112" t="s">
        <v>2172</v>
      </c>
      <c r="B2112" t="s">
        <v>31</v>
      </c>
      <c r="C2112" t="s">
        <v>2160</v>
      </c>
      <c r="D2112" s="1">
        <v>0.47599537037037037</v>
      </c>
      <c r="E2112" s="2">
        <f>CallLog[[#This Row],[Date]]+CallLog[[#This Row],[Time]]</f>
        <v>44233.475995370369</v>
      </c>
      <c r="F2112" s="1" t="str">
        <f>TEXT(CallLog[[#This Row],[Date]],"dddd")</f>
        <v>Saturday</v>
      </c>
      <c r="G2112" s="3">
        <f>HOUR(CallLog[[#This Row],[Time]])</f>
        <v>11</v>
      </c>
      <c r="H2112" t="s">
        <v>32</v>
      </c>
      <c r="I2112" t="s">
        <v>14</v>
      </c>
      <c r="J2112" t="s">
        <v>14</v>
      </c>
      <c r="K2112">
        <v>78</v>
      </c>
      <c r="L2112" t="str">
        <f>IF(AND(CallLog[[#This Row],[Answered (Y/N)]]="Y", CallLog[[#This Row],[Speed of answer in seconds]]&lt;=20),
    "Within",
    "Breach")</f>
        <v>Breach</v>
      </c>
      <c r="M2112" s="1">
        <v>2.5694444444444445E-3</v>
      </c>
      <c r="N2112">
        <v>2</v>
      </c>
    </row>
    <row r="2113" spans="1:14" x14ac:dyDescent="0.3">
      <c r="A2113" t="s">
        <v>2173</v>
      </c>
      <c r="B2113" t="s">
        <v>22</v>
      </c>
      <c r="C2113" t="s">
        <v>2160</v>
      </c>
      <c r="D2113" s="1">
        <v>0.47599537037037037</v>
      </c>
      <c r="E2113" s="2">
        <f>CallLog[[#This Row],[Date]]+CallLog[[#This Row],[Time]]</f>
        <v>44233.475995370369</v>
      </c>
      <c r="F2113" s="1" t="str">
        <f>TEXT(CallLog[[#This Row],[Date]],"dddd")</f>
        <v>Saturday</v>
      </c>
      <c r="G2113" s="3">
        <f>HOUR(CallLog[[#This Row],[Time]])</f>
        <v>11</v>
      </c>
      <c r="H2113" t="s">
        <v>24</v>
      </c>
      <c r="I2113" t="s">
        <v>14</v>
      </c>
      <c r="J2113" t="s">
        <v>14</v>
      </c>
      <c r="K2113">
        <v>76</v>
      </c>
      <c r="L2113" t="str">
        <f>IF(AND(CallLog[[#This Row],[Answered (Y/N)]]="Y", CallLog[[#This Row],[Speed of answer in seconds]]&lt;=20),
    "Within",
    "Breach")</f>
        <v>Breach</v>
      </c>
      <c r="M2113" s="1">
        <v>1.9791666666666668E-3</v>
      </c>
      <c r="N2113">
        <v>3</v>
      </c>
    </row>
    <row r="2114" spans="1:14" x14ac:dyDescent="0.3">
      <c r="A2114" t="s">
        <v>2174</v>
      </c>
      <c r="B2114" t="s">
        <v>16</v>
      </c>
      <c r="C2114" t="s">
        <v>2160</v>
      </c>
      <c r="D2114" s="1">
        <v>0.48099537037037038</v>
      </c>
      <c r="E2114" s="2">
        <f>CallLog[[#This Row],[Date]]+CallLog[[#This Row],[Time]]</f>
        <v>44233.480995370373</v>
      </c>
      <c r="F2114" s="1" t="str">
        <f>TEXT(CallLog[[#This Row],[Date]],"dddd")</f>
        <v>Saturday</v>
      </c>
      <c r="G2114" s="3">
        <f>HOUR(CallLog[[#This Row],[Time]])</f>
        <v>11</v>
      </c>
      <c r="H2114" t="s">
        <v>13</v>
      </c>
      <c r="I2114" t="s">
        <v>14</v>
      </c>
      <c r="J2114" t="s">
        <v>14</v>
      </c>
      <c r="K2114">
        <v>15</v>
      </c>
      <c r="L2114" t="str">
        <f>IF(AND(CallLog[[#This Row],[Answered (Y/N)]]="Y", CallLog[[#This Row],[Speed of answer in seconds]]&lt;=20),
    "Within",
    "Breach")</f>
        <v>Within</v>
      </c>
      <c r="M2114" s="1">
        <v>4.43287037037037E-3</v>
      </c>
      <c r="N2114">
        <v>5</v>
      </c>
    </row>
    <row r="2115" spans="1:14" x14ac:dyDescent="0.3">
      <c r="A2115" t="s">
        <v>2175</v>
      </c>
      <c r="B2115" t="s">
        <v>16</v>
      </c>
      <c r="C2115" t="s">
        <v>2160</v>
      </c>
      <c r="D2115" s="1">
        <v>0.48099537037037038</v>
      </c>
      <c r="E2115" s="2">
        <f>CallLog[[#This Row],[Date]]+CallLog[[#This Row],[Time]]</f>
        <v>44233.480995370373</v>
      </c>
      <c r="F2115" s="1" t="str">
        <f>TEXT(CallLog[[#This Row],[Date]],"dddd")</f>
        <v>Saturday</v>
      </c>
      <c r="G2115" s="3">
        <f>HOUR(CallLog[[#This Row],[Time]])</f>
        <v>11</v>
      </c>
      <c r="H2115" t="s">
        <v>29</v>
      </c>
      <c r="I2115" t="s">
        <v>18</v>
      </c>
      <c r="J2115" t="s">
        <v>18</v>
      </c>
      <c r="L2115" t="str">
        <f>IF(AND(CallLog[[#This Row],[Answered (Y/N)]]="Y", CallLog[[#This Row],[Speed of answer in seconds]]&lt;=20),
    "Within",
    "Breach")</f>
        <v>Breach</v>
      </c>
    </row>
    <row r="2116" spans="1:14" x14ac:dyDescent="0.3">
      <c r="A2116" t="s">
        <v>2176</v>
      </c>
      <c r="B2116" t="s">
        <v>47</v>
      </c>
      <c r="C2116" t="s">
        <v>2160</v>
      </c>
      <c r="D2116" s="1">
        <v>0.48499999999999999</v>
      </c>
      <c r="E2116" s="2">
        <f>CallLog[[#This Row],[Date]]+CallLog[[#This Row],[Time]]</f>
        <v>44233.485000000001</v>
      </c>
      <c r="F2116" s="1" t="str">
        <f>TEXT(CallLog[[#This Row],[Date]],"dddd")</f>
        <v>Saturday</v>
      </c>
      <c r="G2116" s="3">
        <f>HOUR(CallLog[[#This Row],[Time]])</f>
        <v>11</v>
      </c>
      <c r="H2116" t="s">
        <v>17</v>
      </c>
      <c r="I2116" t="s">
        <v>14</v>
      </c>
      <c r="J2116" t="s">
        <v>14</v>
      </c>
      <c r="K2116">
        <v>15</v>
      </c>
      <c r="L2116" t="str">
        <f>IF(AND(CallLog[[#This Row],[Answered (Y/N)]]="Y", CallLog[[#This Row],[Speed of answer in seconds]]&lt;=20),
    "Within",
    "Breach")</f>
        <v>Within</v>
      </c>
      <c r="M2116" s="1">
        <v>4.43287037037037E-3</v>
      </c>
      <c r="N2116">
        <v>1</v>
      </c>
    </row>
    <row r="2117" spans="1:14" x14ac:dyDescent="0.3">
      <c r="A2117" t="s">
        <v>2177</v>
      </c>
      <c r="B2117" t="s">
        <v>16</v>
      </c>
      <c r="C2117" t="s">
        <v>2160</v>
      </c>
      <c r="D2117" s="1">
        <v>0.48499999999999999</v>
      </c>
      <c r="E2117" s="2">
        <f>CallLog[[#This Row],[Date]]+CallLog[[#This Row],[Time]]</f>
        <v>44233.485000000001</v>
      </c>
      <c r="F2117" s="1" t="str">
        <f>TEXT(CallLog[[#This Row],[Date]],"dddd")</f>
        <v>Saturday</v>
      </c>
      <c r="G2117" s="3">
        <f>HOUR(CallLog[[#This Row],[Time]])</f>
        <v>11</v>
      </c>
      <c r="H2117" t="s">
        <v>24</v>
      </c>
      <c r="I2117" t="s">
        <v>18</v>
      </c>
      <c r="J2117" t="s">
        <v>18</v>
      </c>
      <c r="L2117" t="str">
        <f>IF(AND(CallLog[[#This Row],[Answered (Y/N)]]="Y", CallLog[[#This Row],[Speed of answer in seconds]]&lt;=20),
    "Within",
    "Breach")</f>
        <v>Breach</v>
      </c>
    </row>
    <row r="2118" spans="1:14" x14ac:dyDescent="0.3">
      <c r="A2118" t="s">
        <v>2178</v>
      </c>
      <c r="B2118" t="s">
        <v>16</v>
      </c>
      <c r="C2118" t="s">
        <v>2160</v>
      </c>
      <c r="D2118" s="1">
        <v>0.49700231481481483</v>
      </c>
      <c r="E2118" s="2">
        <f>CallLog[[#This Row],[Date]]+CallLog[[#This Row],[Time]]</f>
        <v>44233.497002314813</v>
      </c>
      <c r="F2118" s="1" t="str">
        <f>TEXT(CallLog[[#This Row],[Date]],"dddd")</f>
        <v>Saturday</v>
      </c>
      <c r="G2118" s="3">
        <f>HOUR(CallLog[[#This Row],[Time]])</f>
        <v>11</v>
      </c>
      <c r="H2118" t="s">
        <v>29</v>
      </c>
      <c r="I2118" t="s">
        <v>14</v>
      </c>
      <c r="J2118" t="s">
        <v>14</v>
      </c>
      <c r="K2118">
        <v>82</v>
      </c>
      <c r="L2118" t="str">
        <f>IF(AND(CallLog[[#This Row],[Answered (Y/N)]]="Y", CallLog[[#This Row],[Speed of answer in seconds]]&lt;=20),
    "Within",
    "Breach")</f>
        <v>Breach</v>
      </c>
      <c r="M2118" s="1">
        <v>1.4236111111111112E-3</v>
      </c>
      <c r="N2118">
        <v>4</v>
      </c>
    </row>
    <row r="2119" spans="1:14" x14ac:dyDescent="0.3">
      <c r="A2119" t="s">
        <v>2179</v>
      </c>
      <c r="B2119" t="s">
        <v>22</v>
      </c>
      <c r="C2119" t="s">
        <v>2160</v>
      </c>
      <c r="D2119" s="1">
        <v>0.49700231481481483</v>
      </c>
      <c r="E2119" s="2">
        <f>CallLog[[#This Row],[Date]]+CallLog[[#This Row],[Time]]</f>
        <v>44233.497002314813</v>
      </c>
      <c r="F2119" s="1" t="str">
        <f>TEXT(CallLog[[#This Row],[Date]],"dddd")</f>
        <v>Saturday</v>
      </c>
      <c r="G2119" s="3">
        <f>HOUR(CallLog[[#This Row],[Time]])</f>
        <v>11</v>
      </c>
      <c r="H2119" t="s">
        <v>29</v>
      </c>
      <c r="I2119" t="s">
        <v>14</v>
      </c>
      <c r="J2119" t="s">
        <v>14</v>
      </c>
      <c r="K2119">
        <v>59</v>
      </c>
      <c r="L2119" t="str">
        <f>IF(AND(CallLog[[#This Row],[Answered (Y/N)]]="Y", CallLog[[#This Row],[Speed of answer in seconds]]&lt;=20),
    "Within",
    "Breach")</f>
        <v>Breach</v>
      </c>
      <c r="M2119" s="1">
        <v>4.0162037037037041E-3</v>
      </c>
      <c r="N2119">
        <v>1</v>
      </c>
    </row>
    <row r="2120" spans="1:14" x14ac:dyDescent="0.3">
      <c r="A2120" t="s">
        <v>2180</v>
      </c>
      <c r="B2120" t="s">
        <v>47</v>
      </c>
      <c r="C2120" t="s">
        <v>2160</v>
      </c>
      <c r="D2120" s="1">
        <v>0.50200231481481483</v>
      </c>
      <c r="E2120" s="2">
        <f>CallLog[[#This Row],[Date]]+CallLog[[#This Row],[Time]]</f>
        <v>44233.502002314817</v>
      </c>
      <c r="F2120" s="1" t="str">
        <f>TEXT(CallLog[[#This Row],[Date]],"dddd")</f>
        <v>Saturday</v>
      </c>
      <c r="G2120" s="3">
        <f>HOUR(CallLog[[#This Row],[Time]])</f>
        <v>12</v>
      </c>
      <c r="H2120" t="s">
        <v>32</v>
      </c>
      <c r="I2120" t="s">
        <v>14</v>
      </c>
      <c r="J2120" t="s">
        <v>14</v>
      </c>
      <c r="K2120">
        <v>41</v>
      </c>
      <c r="L2120" t="str">
        <f>IF(AND(CallLog[[#This Row],[Answered (Y/N)]]="Y", CallLog[[#This Row],[Speed of answer in seconds]]&lt;=20),
    "Within",
    "Breach")</f>
        <v>Breach</v>
      </c>
      <c r="M2120" s="1">
        <v>5.6712962962962967E-4</v>
      </c>
      <c r="N2120">
        <v>4</v>
      </c>
    </row>
    <row r="2121" spans="1:14" x14ac:dyDescent="0.3">
      <c r="A2121" t="s">
        <v>2181</v>
      </c>
      <c r="B2121" t="s">
        <v>38</v>
      </c>
      <c r="C2121" t="s">
        <v>2160</v>
      </c>
      <c r="D2121" s="1">
        <v>0.50200231481481483</v>
      </c>
      <c r="E2121" s="2">
        <f>CallLog[[#This Row],[Date]]+CallLog[[#This Row],[Time]]</f>
        <v>44233.502002314817</v>
      </c>
      <c r="F2121" s="1" t="str">
        <f>TEXT(CallLog[[#This Row],[Date]],"dddd")</f>
        <v>Saturday</v>
      </c>
      <c r="G2121" s="3">
        <f>HOUR(CallLog[[#This Row],[Time]])</f>
        <v>12</v>
      </c>
      <c r="H2121" t="s">
        <v>32</v>
      </c>
      <c r="I2121" t="s">
        <v>14</v>
      </c>
      <c r="J2121" t="s">
        <v>14</v>
      </c>
      <c r="K2121">
        <v>39</v>
      </c>
      <c r="L2121" t="str">
        <f>IF(AND(CallLog[[#This Row],[Answered (Y/N)]]="Y", CallLog[[#This Row],[Speed of answer in seconds]]&lt;=20),
    "Within",
    "Breach")</f>
        <v>Breach</v>
      </c>
      <c r="M2121" s="1">
        <v>3.0902777777777777E-3</v>
      </c>
      <c r="N2121">
        <v>3</v>
      </c>
    </row>
    <row r="2122" spans="1:14" x14ac:dyDescent="0.3">
      <c r="A2122" t="s">
        <v>2182</v>
      </c>
      <c r="B2122" t="s">
        <v>38</v>
      </c>
      <c r="C2122" t="s">
        <v>2160</v>
      </c>
      <c r="D2122" s="1">
        <v>0.50900462962962967</v>
      </c>
      <c r="E2122" s="2">
        <f>CallLog[[#This Row],[Date]]+CallLog[[#This Row],[Time]]</f>
        <v>44233.509004629632</v>
      </c>
      <c r="F2122" s="1" t="str">
        <f>TEXT(CallLog[[#This Row],[Date]],"dddd")</f>
        <v>Saturday</v>
      </c>
      <c r="G2122" s="3">
        <f>HOUR(CallLog[[#This Row],[Time]])</f>
        <v>12</v>
      </c>
      <c r="H2122" t="s">
        <v>24</v>
      </c>
      <c r="I2122" t="s">
        <v>18</v>
      </c>
      <c r="J2122" t="s">
        <v>18</v>
      </c>
      <c r="L2122" t="str">
        <f>IF(AND(CallLog[[#This Row],[Answered (Y/N)]]="Y", CallLog[[#This Row],[Speed of answer in seconds]]&lt;=20),
    "Within",
    "Breach")</f>
        <v>Breach</v>
      </c>
    </row>
    <row r="2123" spans="1:14" x14ac:dyDescent="0.3">
      <c r="A2123" t="s">
        <v>2183</v>
      </c>
      <c r="B2123" t="s">
        <v>38</v>
      </c>
      <c r="C2123" t="s">
        <v>2160</v>
      </c>
      <c r="D2123" s="1">
        <v>0.50900462962962967</v>
      </c>
      <c r="E2123" s="2">
        <f>CallLog[[#This Row],[Date]]+CallLog[[#This Row],[Time]]</f>
        <v>44233.509004629632</v>
      </c>
      <c r="F2123" s="1" t="str">
        <f>TEXT(CallLog[[#This Row],[Date]],"dddd")</f>
        <v>Saturday</v>
      </c>
      <c r="G2123" s="3">
        <f>HOUR(CallLog[[#This Row],[Time]])</f>
        <v>12</v>
      </c>
      <c r="H2123" t="s">
        <v>29</v>
      </c>
      <c r="I2123" t="s">
        <v>14</v>
      </c>
      <c r="J2123" t="s">
        <v>14</v>
      </c>
      <c r="K2123">
        <v>108</v>
      </c>
      <c r="L2123" t="str">
        <f>IF(AND(CallLog[[#This Row],[Answered (Y/N)]]="Y", CallLog[[#This Row],[Speed of answer in seconds]]&lt;=20),
    "Within",
    "Breach")</f>
        <v>Breach</v>
      </c>
      <c r="M2123" s="1">
        <v>2.650462962962963E-3</v>
      </c>
      <c r="N2123">
        <v>4</v>
      </c>
    </row>
    <row r="2124" spans="1:14" x14ac:dyDescent="0.3">
      <c r="A2124" t="s">
        <v>2184</v>
      </c>
      <c r="B2124" t="s">
        <v>20</v>
      </c>
      <c r="C2124" t="s">
        <v>2160</v>
      </c>
      <c r="D2124" s="1">
        <v>0.52299768518518519</v>
      </c>
      <c r="E2124" s="2">
        <f>CallLog[[#This Row],[Date]]+CallLog[[#This Row],[Time]]</f>
        <v>44233.522997685184</v>
      </c>
      <c r="F2124" s="1" t="str">
        <f>TEXT(CallLog[[#This Row],[Date]],"dddd")</f>
        <v>Saturday</v>
      </c>
      <c r="G2124" s="3">
        <f>HOUR(CallLog[[#This Row],[Time]])</f>
        <v>12</v>
      </c>
      <c r="H2124" t="s">
        <v>24</v>
      </c>
      <c r="I2124" t="s">
        <v>14</v>
      </c>
      <c r="J2124" t="s">
        <v>14</v>
      </c>
      <c r="K2124">
        <v>48</v>
      </c>
      <c r="L2124" t="str">
        <f>IF(AND(CallLog[[#This Row],[Answered (Y/N)]]="Y", CallLog[[#This Row],[Speed of answer in seconds]]&lt;=20),
    "Within",
    "Breach")</f>
        <v>Breach</v>
      </c>
      <c r="M2124" s="1">
        <v>1.8055555555555555E-3</v>
      </c>
      <c r="N2124">
        <v>4</v>
      </c>
    </row>
    <row r="2125" spans="1:14" x14ac:dyDescent="0.3">
      <c r="A2125" t="s">
        <v>2185</v>
      </c>
      <c r="B2125" t="s">
        <v>22</v>
      </c>
      <c r="C2125" t="s">
        <v>2160</v>
      </c>
      <c r="D2125" s="1">
        <v>0.52299768518518519</v>
      </c>
      <c r="E2125" s="2">
        <f>CallLog[[#This Row],[Date]]+CallLog[[#This Row],[Time]]</f>
        <v>44233.522997685184</v>
      </c>
      <c r="F2125" s="1" t="str">
        <f>TEXT(CallLog[[#This Row],[Date]],"dddd")</f>
        <v>Saturday</v>
      </c>
      <c r="G2125" s="3">
        <f>HOUR(CallLog[[#This Row],[Time]])</f>
        <v>12</v>
      </c>
      <c r="H2125" t="s">
        <v>24</v>
      </c>
      <c r="I2125" t="s">
        <v>14</v>
      </c>
      <c r="J2125" t="s">
        <v>14</v>
      </c>
      <c r="K2125">
        <v>106</v>
      </c>
      <c r="L2125" t="str">
        <f>IF(AND(CallLog[[#This Row],[Answered (Y/N)]]="Y", CallLog[[#This Row],[Speed of answer in seconds]]&lt;=20),
    "Within",
    "Breach")</f>
        <v>Breach</v>
      </c>
      <c r="M2125" s="1">
        <v>1.2037037037037038E-3</v>
      </c>
      <c r="N2125">
        <v>5</v>
      </c>
    </row>
    <row r="2126" spans="1:14" x14ac:dyDescent="0.3">
      <c r="A2126" t="s">
        <v>2186</v>
      </c>
      <c r="B2126" t="s">
        <v>16</v>
      </c>
      <c r="C2126" t="s">
        <v>2160</v>
      </c>
      <c r="D2126" s="1">
        <v>0.53700231481481486</v>
      </c>
      <c r="E2126" s="2">
        <f>CallLog[[#This Row],[Date]]+CallLog[[#This Row],[Time]]</f>
        <v>44233.537002314813</v>
      </c>
      <c r="F2126" s="1" t="str">
        <f>TEXT(CallLog[[#This Row],[Date]],"dddd")</f>
        <v>Saturday</v>
      </c>
      <c r="G2126" s="3">
        <f>HOUR(CallLog[[#This Row],[Time]])</f>
        <v>12</v>
      </c>
      <c r="H2126" t="s">
        <v>17</v>
      </c>
      <c r="I2126" t="s">
        <v>14</v>
      </c>
      <c r="J2126" t="s">
        <v>14</v>
      </c>
      <c r="K2126">
        <v>100</v>
      </c>
      <c r="L2126" t="str">
        <f>IF(AND(CallLog[[#This Row],[Answered (Y/N)]]="Y", CallLog[[#This Row],[Speed of answer in seconds]]&lt;=20),
    "Within",
    "Breach")</f>
        <v>Breach</v>
      </c>
      <c r="M2126" s="1">
        <v>1.6550925925925926E-3</v>
      </c>
      <c r="N2126">
        <v>1</v>
      </c>
    </row>
    <row r="2127" spans="1:14" x14ac:dyDescent="0.3">
      <c r="A2127" t="s">
        <v>2187</v>
      </c>
      <c r="B2127" t="s">
        <v>31</v>
      </c>
      <c r="C2127" t="s">
        <v>2160</v>
      </c>
      <c r="D2127" s="1">
        <v>0.53700231481481486</v>
      </c>
      <c r="E2127" s="2">
        <f>CallLog[[#This Row],[Date]]+CallLog[[#This Row],[Time]]</f>
        <v>44233.537002314813</v>
      </c>
      <c r="F2127" s="1" t="str">
        <f>TEXT(CallLog[[#This Row],[Date]],"dddd")</f>
        <v>Saturday</v>
      </c>
      <c r="G2127" s="3">
        <f>HOUR(CallLog[[#This Row],[Time]])</f>
        <v>12</v>
      </c>
      <c r="H2127" t="s">
        <v>17</v>
      </c>
      <c r="I2127" t="s">
        <v>14</v>
      </c>
      <c r="J2127" t="s">
        <v>14</v>
      </c>
      <c r="K2127">
        <v>109</v>
      </c>
      <c r="L2127" t="str">
        <f>IF(AND(CallLog[[#This Row],[Answered (Y/N)]]="Y", CallLog[[#This Row],[Speed of answer in seconds]]&lt;=20),
    "Within",
    "Breach")</f>
        <v>Breach</v>
      </c>
      <c r="M2127" s="1">
        <v>2.1527777777777778E-3</v>
      </c>
      <c r="N2127">
        <v>2</v>
      </c>
    </row>
    <row r="2128" spans="1:14" x14ac:dyDescent="0.3">
      <c r="A2128" t="s">
        <v>2188</v>
      </c>
      <c r="B2128" t="s">
        <v>11</v>
      </c>
      <c r="C2128" t="s">
        <v>2160</v>
      </c>
      <c r="D2128" s="1">
        <v>0.54400462962962959</v>
      </c>
      <c r="E2128" s="2">
        <f>CallLog[[#This Row],[Date]]+CallLog[[#This Row],[Time]]</f>
        <v>44233.544004629628</v>
      </c>
      <c r="F2128" s="1" t="str">
        <f>TEXT(CallLog[[#This Row],[Date]],"dddd")</f>
        <v>Saturday</v>
      </c>
      <c r="G2128" s="3">
        <f>HOUR(CallLog[[#This Row],[Time]])</f>
        <v>13</v>
      </c>
      <c r="H2128" t="s">
        <v>32</v>
      </c>
      <c r="I2128" t="s">
        <v>18</v>
      </c>
      <c r="J2128" t="s">
        <v>18</v>
      </c>
      <c r="L2128" t="str">
        <f>IF(AND(CallLog[[#This Row],[Answered (Y/N)]]="Y", CallLog[[#This Row],[Speed of answer in seconds]]&lt;=20),
    "Within",
    "Breach")</f>
        <v>Breach</v>
      </c>
    </row>
    <row r="2129" spans="1:14" x14ac:dyDescent="0.3">
      <c r="A2129" t="s">
        <v>2189</v>
      </c>
      <c r="B2129" t="s">
        <v>16</v>
      </c>
      <c r="C2129" t="s">
        <v>2160</v>
      </c>
      <c r="D2129" s="1">
        <v>0.54400462962962959</v>
      </c>
      <c r="E2129" s="2">
        <f>CallLog[[#This Row],[Date]]+CallLog[[#This Row],[Time]]</f>
        <v>44233.544004629628</v>
      </c>
      <c r="F2129" s="1" t="str">
        <f>TEXT(CallLog[[#This Row],[Date]],"dddd")</f>
        <v>Saturday</v>
      </c>
      <c r="G2129" s="3">
        <f>HOUR(CallLog[[#This Row],[Time]])</f>
        <v>13</v>
      </c>
      <c r="H2129" t="s">
        <v>32</v>
      </c>
      <c r="I2129" t="s">
        <v>14</v>
      </c>
      <c r="J2129" t="s">
        <v>18</v>
      </c>
      <c r="K2129">
        <v>26</v>
      </c>
      <c r="L2129" t="str">
        <f>IF(AND(CallLog[[#This Row],[Answered (Y/N)]]="Y", CallLog[[#This Row],[Speed of answer in seconds]]&lt;=20),
    "Within",
    "Breach")</f>
        <v>Breach</v>
      </c>
      <c r="M2129" s="1">
        <v>2.4305555555555556E-3</v>
      </c>
      <c r="N2129">
        <v>3</v>
      </c>
    </row>
    <row r="2130" spans="1:14" x14ac:dyDescent="0.3">
      <c r="A2130" t="s">
        <v>2190</v>
      </c>
      <c r="B2130" t="s">
        <v>47</v>
      </c>
      <c r="C2130" t="s">
        <v>2160</v>
      </c>
      <c r="D2130" s="1">
        <v>0.56900462962962961</v>
      </c>
      <c r="E2130" s="2">
        <f>CallLog[[#This Row],[Date]]+CallLog[[#This Row],[Time]]</f>
        <v>44233.569004629629</v>
      </c>
      <c r="F2130" s="1" t="str">
        <f>TEXT(CallLog[[#This Row],[Date]],"dddd")</f>
        <v>Saturday</v>
      </c>
      <c r="G2130" s="3">
        <f>HOUR(CallLog[[#This Row],[Time]])</f>
        <v>13</v>
      </c>
      <c r="H2130" t="s">
        <v>17</v>
      </c>
      <c r="I2130" t="s">
        <v>14</v>
      </c>
      <c r="J2130" t="s">
        <v>14</v>
      </c>
      <c r="K2130">
        <v>96</v>
      </c>
      <c r="L2130" t="str">
        <f>IF(AND(CallLog[[#This Row],[Answered (Y/N)]]="Y", CallLog[[#This Row],[Speed of answer in seconds]]&lt;=20),
    "Within",
    "Breach")</f>
        <v>Breach</v>
      </c>
      <c r="M2130" s="1">
        <v>4.0509259259259257E-3</v>
      </c>
      <c r="N2130">
        <v>4</v>
      </c>
    </row>
    <row r="2131" spans="1:14" x14ac:dyDescent="0.3">
      <c r="A2131" t="s">
        <v>2191</v>
      </c>
      <c r="B2131" t="s">
        <v>22</v>
      </c>
      <c r="C2131" t="s">
        <v>2160</v>
      </c>
      <c r="D2131" s="1">
        <v>0.56900462962962961</v>
      </c>
      <c r="E2131" s="2">
        <f>CallLog[[#This Row],[Date]]+CallLog[[#This Row],[Time]]</f>
        <v>44233.569004629629</v>
      </c>
      <c r="F2131" s="1" t="str">
        <f>TEXT(CallLog[[#This Row],[Date]],"dddd")</f>
        <v>Saturday</v>
      </c>
      <c r="G2131" s="3">
        <f>HOUR(CallLog[[#This Row],[Time]])</f>
        <v>13</v>
      </c>
      <c r="H2131" t="s">
        <v>32</v>
      </c>
      <c r="I2131" t="s">
        <v>14</v>
      </c>
      <c r="J2131" t="s">
        <v>14</v>
      </c>
      <c r="K2131">
        <v>23</v>
      </c>
      <c r="L2131" t="str">
        <f>IF(AND(CallLog[[#This Row],[Answered (Y/N)]]="Y", CallLog[[#This Row],[Speed of answer in seconds]]&lt;=20),
    "Within",
    "Breach")</f>
        <v>Breach</v>
      </c>
      <c r="M2131" s="1">
        <v>4.1087962962962962E-3</v>
      </c>
      <c r="N2131">
        <v>5</v>
      </c>
    </row>
    <row r="2132" spans="1:14" x14ac:dyDescent="0.3">
      <c r="A2132" t="s">
        <v>2192</v>
      </c>
      <c r="B2132" t="s">
        <v>38</v>
      </c>
      <c r="C2132" t="s">
        <v>2160</v>
      </c>
      <c r="D2132" s="1">
        <v>0.57200231481481478</v>
      </c>
      <c r="E2132" s="2">
        <f>CallLog[[#This Row],[Date]]+CallLog[[#This Row],[Time]]</f>
        <v>44233.572002314817</v>
      </c>
      <c r="F2132" s="1" t="str">
        <f>TEXT(CallLog[[#This Row],[Date]],"dddd")</f>
        <v>Saturday</v>
      </c>
      <c r="G2132" s="3">
        <f>HOUR(CallLog[[#This Row],[Time]])</f>
        <v>13</v>
      </c>
      <c r="H2132" t="s">
        <v>24</v>
      </c>
      <c r="I2132" t="s">
        <v>18</v>
      </c>
      <c r="J2132" t="s">
        <v>18</v>
      </c>
      <c r="L2132" t="str">
        <f>IF(AND(CallLog[[#This Row],[Answered (Y/N)]]="Y", CallLog[[#This Row],[Speed of answer in seconds]]&lt;=20),
    "Within",
    "Breach")</f>
        <v>Breach</v>
      </c>
    </row>
    <row r="2133" spans="1:14" x14ac:dyDescent="0.3">
      <c r="A2133" t="s">
        <v>2193</v>
      </c>
      <c r="B2133" t="s">
        <v>11</v>
      </c>
      <c r="C2133" t="s">
        <v>2160</v>
      </c>
      <c r="D2133" s="1">
        <v>0.57200231481481478</v>
      </c>
      <c r="E2133" s="2">
        <f>CallLog[[#This Row],[Date]]+CallLog[[#This Row],[Time]]</f>
        <v>44233.572002314817</v>
      </c>
      <c r="F2133" s="1" t="str">
        <f>TEXT(CallLog[[#This Row],[Date]],"dddd")</f>
        <v>Saturday</v>
      </c>
      <c r="G2133" s="3">
        <f>HOUR(CallLog[[#This Row],[Time]])</f>
        <v>13</v>
      </c>
      <c r="H2133" t="s">
        <v>24</v>
      </c>
      <c r="I2133" t="s">
        <v>14</v>
      </c>
      <c r="J2133" t="s">
        <v>14</v>
      </c>
      <c r="K2133">
        <v>123</v>
      </c>
      <c r="L2133" t="str">
        <f>IF(AND(CallLog[[#This Row],[Answered (Y/N)]]="Y", CallLog[[#This Row],[Speed of answer in seconds]]&lt;=20),
    "Within",
    "Breach")</f>
        <v>Breach</v>
      </c>
      <c r="M2133" s="1">
        <v>1.8981481481481482E-3</v>
      </c>
      <c r="N2133">
        <v>3</v>
      </c>
    </row>
    <row r="2134" spans="1:14" x14ac:dyDescent="0.3">
      <c r="A2134" t="s">
        <v>2194</v>
      </c>
      <c r="B2134" t="s">
        <v>47</v>
      </c>
      <c r="C2134" t="s">
        <v>2160</v>
      </c>
      <c r="D2134" s="1">
        <v>0.62</v>
      </c>
      <c r="E2134" s="2">
        <f>CallLog[[#This Row],[Date]]+CallLog[[#This Row],[Time]]</f>
        <v>44233.62</v>
      </c>
      <c r="F2134" s="1" t="str">
        <f>TEXT(CallLog[[#This Row],[Date]],"dddd")</f>
        <v>Saturday</v>
      </c>
      <c r="G2134" s="3">
        <f>HOUR(CallLog[[#This Row],[Time]])</f>
        <v>14</v>
      </c>
      <c r="H2134" t="s">
        <v>17</v>
      </c>
      <c r="I2134" t="s">
        <v>18</v>
      </c>
      <c r="J2134" t="s">
        <v>18</v>
      </c>
      <c r="L2134" t="str">
        <f>IF(AND(CallLog[[#This Row],[Answered (Y/N)]]="Y", CallLog[[#This Row],[Speed of answer in seconds]]&lt;=20),
    "Within",
    "Breach")</f>
        <v>Breach</v>
      </c>
    </row>
    <row r="2135" spans="1:14" x14ac:dyDescent="0.3">
      <c r="A2135" t="s">
        <v>2195</v>
      </c>
      <c r="B2135" t="s">
        <v>47</v>
      </c>
      <c r="C2135" t="s">
        <v>2160</v>
      </c>
      <c r="D2135" s="1">
        <v>0.62</v>
      </c>
      <c r="E2135" s="2">
        <f>CallLog[[#This Row],[Date]]+CallLog[[#This Row],[Time]]</f>
        <v>44233.62</v>
      </c>
      <c r="F2135" s="1" t="str">
        <f>TEXT(CallLog[[#This Row],[Date]],"dddd")</f>
        <v>Saturday</v>
      </c>
      <c r="G2135" s="3">
        <f>HOUR(CallLog[[#This Row],[Time]])</f>
        <v>14</v>
      </c>
      <c r="H2135" t="s">
        <v>13</v>
      </c>
      <c r="I2135" t="s">
        <v>14</v>
      </c>
      <c r="J2135" t="s">
        <v>14</v>
      </c>
      <c r="K2135">
        <v>55</v>
      </c>
      <c r="L2135" t="str">
        <f>IF(AND(CallLog[[#This Row],[Answered (Y/N)]]="Y", CallLog[[#This Row],[Speed of answer in seconds]]&lt;=20),
    "Within",
    "Breach")</f>
        <v>Breach</v>
      </c>
      <c r="M2135" s="1">
        <v>2.8703703703703703E-3</v>
      </c>
      <c r="N2135">
        <v>5</v>
      </c>
    </row>
    <row r="2136" spans="1:14" x14ac:dyDescent="0.3">
      <c r="A2136" t="s">
        <v>2196</v>
      </c>
      <c r="B2136" t="s">
        <v>16</v>
      </c>
      <c r="C2136" t="s">
        <v>2160</v>
      </c>
      <c r="D2136" s="1">
        <v>0.62200231481481483</v>
      </c>
      <c r="E2136" s="2">
        <f>CallLog[[#This Row],[Date]]+CallLog[[#This Row],[Time]]</f>
        <v>44233.622002314813</v>
      </c>
      <c r="F2136" s="1" t="str">
        <f>TEXT(CallLog[[#This Row],[Date]],"dddd")</f>
        <v>Saturday</v>
      </c>
      <c r="G2136" s="3">
        <f>HOUR(CallLog[[#This Row],[Time]])</f>
        <v>14</v>
      </c>
      <c r="H2136" t="s">
        <v>17</v>
      </c>
      <c r="I2136" t="s">
        <v>14</v>
      </c>
      <c r="J2136" t="s">
        <v>14</v>
      </c>
      <c r="K2136">
        <v>44</v>
      </c>
      <c r="L2136" t="str">
        <f>IF(AND(CallLog[[#This Row],[Answered (Y/N)]]="Y", CallLog[[#This Row],[Speed of answer in seconds]]&lt;=20),
    "Within",
    "Breach")</f>
        <v>Breach</v>
      </c>
      <c r="M2136" s="1">
        <v>4.5717592592592589E-3</v>
      </c>
      <c r="N2136">
        <v>4</v>
      </c>
    </row>
    <row r="2137" spans="1:14" x14ac:dyDescent="0.3">
      <c r="A2137" t="s">
        <v>2197</v>
      </c>
      <c r="B2137" t="s">
        <v>11</v>
      </c>
      <c r="C2137" t="s">
        <v>2160</v>
      </c>
      <c r="D2137" s="1">
        <v>0.62200231481481483</v>
      </c>
      <c r="E2137" s="2">
        <f>CallLog[[#This Row],[Date]]+CallLog[[#This Row],[Time]]</f>
        <v>44233.622002314813</v>
      </c>
      <c r="F2137" s="1" t="str">
        <f>TEXT(CallLog[[#This Row],[Date]],"dddd")</f>
        <v>Saturday</v>
      </c>
      <c r="G2137" s="3">
        <f>HOUR(CallLog[[#This Row],[Time]])</f>
        <v>14</v>
      </c>
      <c r="H2137" t="s">
        <v>24</v>
      </c>
      <c r="I2137" t="s">
        <v>14</v>
      </c>
      <c r="J2137" t="s">
        <v>14</v>
      </c>
      <c r="K2137">
        <v>73</v>
      </c>
      <c r="L2137" t="str">
        <f>IF(AND(CallLog[[#This Row],[Answered (Y/N)]]="Y", CallLog[[#This Row],[Speed of answer in seconds]]&lt;=20),
    "Within",
    "Breach")</f>
        <v>Breach</v>
      </c>
      <c r="M2137" s="1">
        <v>3.6342592592592594E-3</v>
      </c>
      <c r="N2137">
        <v>1</v>
      </c>
    </row>
    <row r="2138" spans="1:14" x14ac:dyDescent="0.3">
      <c r="A2138" t="s">
        <v>2198</v>
      </c>
      <c r="B2138" t="s">
        <v>20</v>
      </c>
      <c r="C2138" t="s">
        <v>2160</v>
      </c>
      <c r="D2138" s="1">
        <v>0.66200231481481486</v>
      </c>
      <c r="E2138" s="2">
        <f>CallLog[[#This Row],[Date]]+CallLog[[#This Row],[Time]]</f>
        <v>44233.662002314813</v>
      </c>
      <c r="F2138" s="1" t="str">
        <f>TEXT(CallLog[[#This Row],[Date]],"dddd")</f>
        <v>Saturday</v>
      </c>
      <c r="G2138" s="3">
        <f>HOUR(CallLog[[#This Row],[Time]])</f>
        <v>15</v>
      </c>
      <c r="H2138" t="s">
        <v>24</v>
      </c>
      <c r="I2138" t="s">
        <v>14</v>
      </c>
      <c r="J2138" t="s">
        <v>14</v>
      </c>
      <c r="K2138">
        <v>63</v>
      </c>
      <c r="L2138" t="str">
        <f>IF(AND(CallLog[[#This Row],[Answered (Y/N)]]="Y", CallLog[[#This Row],[Speed of answer in seconds]]&lt;=20),
    "Within",
    "Breach")</f>
        <v>Breach</v>
      </c>
      <c r="M2138" s="1">
        <v>4.7569444444444447E-3</v>
      </c>
      <c r="N2138">
        <v>3</v>
      </c>
    </row>
    <row r="2139" spans="1:14" x14ac:dyDescent="0.3">
      <c r="A2139" t="s">
        <v>2199</v>
      </c>
      <c r="B2139" t="s">
        <v>11</v>
      </c>
      <c r="C2139" t="s">
        <v>2160</v>
      </c>
      <c r="D2139" s="1">
        <v>0.66200231481481486</v>
      </c>
      <c r="E2139" s="2">
        <f>CallLog[[#This Row],[Date]]+CallLog[[#This Row],[Time]]</f>
        <v>44233.662002314813</v>
      </c>
      <c r="F2139" s="1" t="str">
        <f>TEXT(CallLog[[#This Row],[Date]],"dddd")</f>
        <v>Saturday</v>
      </c>
      <c r="G2139" s="3">
        <f>HOUR(CallLog[[#This Row],[Time]])</f>
        <v>15</v>
      </c>
      <c r="H2139" t="s">
        <v>24</v>
      </c>
      <c r="I2139" t="s">
        <v>18</v>
      </c>
      <c r="J2139" t="s">
        <v>18</v>
      </c>
      <c r="L2139" t="str">
        <f>IF(AND(CallLog[[#This Row],[Answered (Y/N)]]="Y", CallLog[[#This Row],[Speed of answer in seconds]]&lt;=20),
    "Within",
    "Breach")</f>
        <v>Breach</v>
      </c>
    </row>
    <row r="2140" spans="1:14" x14ac:dyDescent="0.3">
      <c r="A2140" t="s">
        <v>2200</v>
      </c>
      <c r="B2140" t="s">
        <v>47</v>
      </c>
      <c r="C2140" t="s">
        <v>2160</v>
      </c>
      <c r="D2140" s="1">
        <v>0.69799768518518523</v>
      </c>
      <c r="E2140" s="2">
        <f>CallLog[[#This Row],[Date]]+CallLog[[#This Row],[Time]]</f>
        <v>44233.697997685187</v>
      </c>
      <c r="F2140" s="1" t="str">
        <f>TEXT(CallLog[[#This Row],[Date]],"dddd")</f>
        <v>Saturday</v>
      </c>
      <c r="G2140" s="3">
        <f>HOUR(CallLog[[#This Row],[Time]])</f>
        <v>16</v>
      </c>
      <c r="H2140" t="s">
        <v>29</v>
      </c>
      <c r="I2140" t="s">
        <v>14</v>
      </c>
      <c r="J2140" t="s">
        <v>14</v>
      </c>
      <c r="K2140">
        <v>82</v>
      </c>
      <c r="L2140" t="str">
        <f>IF(AND(CallLog[[#This Row],[Answered (Y/N)]]="Y", CallLog[[#This Row],[Speed of answer in seconds]]&lt;=20),
    "Within",
    "Breach")</f>
        <v>Breach</v>
      </c>
      <c r="M2140" s="1">
        <v>1.6782407407407408E-3</v>
      </c>
      <c r="N2140">
        <v>2</v>
      </c>
    </row>
    <row r="2141" spans="1:14" x14ac:dyDescent="0.3">
      <c r="A2141" t="s">
        <v>2201</v>
      </c>
      <c r="B2141" t="s">
        <v>22</v>
      </c>
      <c r="C2141" t="s">
        <v>2160</v>
      </c>
      <c r="D2141" s="1">
        <v>0.69799768518518523</v>
      </c>
      <c r="E2141" s="2">
        <f>CallLog[[#This Row],[Date]]+CallLog[[#This Row],[Time]]</f>
        <v>44233.697997685187</v>
      </c>
      <c r="F2141" s="1" t="str">
        <f>TEXT(CallLog[[#This Row],[Date]],"dddd")</f>
        <v>Saturday</v>
      </c>
      <c r="G2141" s="3">
        <f>HOUR(CallLog[[#This Row],[Time]])</f>
        <v>16</v>
      </c>
      <c r="H2141" t="s">
        <v>13</v>
      </c>
      <c r="I2141" t="s">
        <v>14</v>
      </c>
      <c r="J2141" t="s">
        <v>14</v>
      </c>
      <c r="K2141">
        <v>113</v>
      </c>
      <c r="L2141" t="str">
        <f>IF(AND(CallLog[[#This Row],[Answered (Y/N)]]="Y", CallLog[[#This Row],[Speed of answer in seconds]]&lt;=20),
    "Within",
    "Breach")</f>
        <v>Breach</v>
      </c>
      <c r="M2141" s="1">
        <v>4.363425925925926E-3</v>
      </c>
      <c r="N2141">
        <v>4</v>
      </c>
    </row>
    <row r="2142" spans="1:14" x14ac:dyDescent="0.3">
      <c r="A2142" t="s">
        <v>2202</v>
      </c>
      <c r="B2142" t="s">
        <v>22</v>
      </c>
      <c r="C2142" t="s">
        <v>2160</v>
      </c>
      <c r="D2142" s="1">
        <v>0.71</v>
      </c>
      <c r="E2142" s="2">
        <f>CallLog[[#This Row],[Date]]+CallLog[[#This Row],[Time]]</f>
        <v>44233.71</v>
      </c>
      <c r="F2142" s="1" t="str">
        <f>TEXT(CallLog[[#This Row],[Date]],"dddd")</f>
        <v>Saturday</v>
      </c>
      <c r="G2142" s="3">
        <f>HOUR(CallLog[[#This Row],[Time]])</f>
        <v>17</v>
      </c>
      <c r="H2142" t="s">
        <v>17</v>
      </c>
      <c r="I2142" t="s">
        <v>14</v>
      </c>
      <c r="J2142" t="s">
        <v>18</v>
      </c>
      <c r="K2142">
        <v>57</v>
      </c>
      <c r="L2142" t="str">
        <f>IF(AND(CallLog[[#This Row],[Answered (Y/N)]]="Y", CallLog[[#This Row],[Speed of answer in seconds]]&lt;=20),
    "Within",
    "Breach")</f>
        <v>Breach</v>
      </c>
      <c r="M2142" s="1">
        <v>4.3055555555555555E-3</v>
      </c>
      <c r="N2142">
        <v>4</v>
      </c>
    </row>
    <row r="2143" spans="1:14" x14ac:dyDescent="0.3">
      <c r="A2143" t="s">
        <v>2203</v>
      </c>
      <c r="B2143" t="s">
        <v>20</v>
      </c>
      <c r="C2143" t="s">
        <v>2160</v>
      </c>
      <c r="D2143" s="1">
        <v>0.71</v>
      </c>
      <c r="E2143" s="2">
        <f>CallLog[[#This Row],[Date]]+CallLog[[#This Row],[Time]]</f>
        <v>44233.71</v>
      </c>
      <c r="F2143" s="1" t="str">
        <f>TEXT(CallLog[[#This Row],[Date]],"dddd")</f>
        <v>Saturday</v>
      </c>
      <c r="G2143" s="3">
        <f>HOUR(CallLog[[#This Row],[Time]])</f>
        <v>17</v>
      </c>
      <c r="H2143" t="s">
        <v>32</v>
      </c>
      <c r="I2143" t="s">
        <v>14</v>
      </c>
      <c r="J2143" t="s">
        <v>14</v>
      </c>
      <c r="K2143">
        <v>63</v>
      </c>
      <c r="L2143" t="str">
        <f>IF(AND(CallLog[[#This Row],[Answered (Y/N)]]="Y", CallLog[[#This Row],[Speed of answer in seconds]]&lt;=20),
    "Within",
    "Breach")</f>
        <v>Breach</v>
      </c>
      <c r="M2143" s="1">
        <v>1.0069444444444444E-3</v>
      </c>
      <c r="N2143">
        <v>1</v>
      </c>
    </row>
    <row r="2144" spans="1:14" x14ac:dyDescent="0.3">
      <c r="A2144" t="s">
        <v>2204</v>
      </c>
      <c r="B2144" t="s">
        <v>11</v>
      </c>
      <c r="C2144" t="s">
        <v>2160</v>
      </c>
      <c r="D2144" s="1">
        <v>0.73</v>
      </c>
      <c r="E2144" s="2">
        <f>CallLog[[#This Row],[Date]]+CallLog[[#This Row],[Time]]</f>
        <v>44233.73</v>
      </c>
      <c r="F2144" s="1" t="str">
        <f>TEXT(CallLog[[#This Row],[Date]],"dddd")</f>
        <v>Saturday</v>
      </c>
      <c r="G2144" s="3">
        <f>HOUR(CallLog[[#This Row],[Time]])</f>
        <v>17</v>
      </c>
      <c r="H2144" t="s">
        <v>29</v>
      </c>
      <c r="I2144" t="s">
        <v>14</v>
      </c>
      <c r="J2144" t="s">
        <v>14</v>
      </c>
      <c r="K2144">
        <v>120</v>
      </c>
      <c r="L2144" t="str">
        <f>IF(AND(CallLog[[#This Row],[Answered (Y/N)]]="Y", CallLog[[#This Row],[Speed of answer in seconds]]&lt;=20),
    "Within",
    "Breach")</f>
        <v>Breach</v>
      </c>
      <c r="M2144" s="1">
        <v>3.6226851851851854E-3</v>
      </c>
      <c r="N2144">
        <v>4</v>
      </c>
    </row>
    <row r="2145" spans="1:14" x14ac:dyDescent="0.3">
      <c r="A2145" t="s">
        <v>2205</v>
      </c>
      <c r="B2145" t="s">
        <v>31</v>
      </c>
      <c r="C2145" t="s">
        <v>2160</v>
      </c>
      <c r="D2145" s="1">
        <v>0.73</v>
      </c>
      <c r="E2145" s="2">
        <f>CallLog[[#This Row],[Date]]+CallLog[[#This Row],[Time]]</f>
        <v>44233.73</v>
      </c>
      <c r="F2145" s="1" t="str">
        <f>TEXT(CallLog[[#This Row],[Date]],"dddd")</f>
        <v>Saturday</v>
      </c>
      <c r="G2145" s="3">
        <f>HOUR(CallLog[[#This Row],[Time]])</f>
        <v>17</v>
      </c>
      <c r="H2145" t="s">
        <v>17</v>
      </c>
      <c r="I2145" t="s">
        <v>14</v>
      </c>
      <c r="J2145" t="s">
        <v>14</v>
      </c>
      <c r="K2145">
        <v>68</v>
      </c>
      <c r="L2145" t="str">
        <f>IF(AND(CallLog[[#This Row],[Answered (Y/N)]]="Y", CallLog[[#This Row],[Speed of answer in seconds]]&lt;=20),
    "Within",
    "Breach")</f>
        <v>Breach</v>
      </c>
      <c r="M2145" s="1">
        <v>3.9583333333333337E-3</v>
      </c>
      <c r="N2145">
        <v>5</v>
      </c>
    </row>
    <row r="2146" spans="1:14" x14ac:dyDescent="0.3">
      <c r="A2146" t="s">
        <v>2206</v>
      </c>
      <c r="B2146" t="s">
        <v>38</v>
      </c>
      <c r="C2146" t="s">
        <v>2160</v>
      </c>
      <c r="D2146" s="1">
        <v>0.73299768518518515</v>
      </c>
      <c r="E2146" s="2">
        <f>CallLog[[#This Row],[Date]]+CallLog[[#This Row],[Time]]</f>
        <v>44233.732997685183</v>
      </c>
      <c r="F2146" s="1" t="str">
        <f>TEXT(CallLog[[#This Row],[Date]],"dddd")</f>
        <v>Saturday</v>
      </c>
      <c r="G2146" s="3">
        <f>HOUR(CallLog[[#This Row],[Time]])</f>
        <v>17</v>
      </c>
      <c r="H2146" t="s">
        <v>13</v>
      </c>
      <c r="I2146" t="s">
        <v>14</v>
      </c>
      <c r="J2146" t="s">
        <v>14</v>
      </c>
      <c r="K2146">
        <v>31</v>
      </c>
      <c r="L2146" t="str">
        <f>IF(AND(CallLog[[#This Row],[Answered (Y/N)]]="Y", CallLog[[#This Row],[Speed of answer in seconds]]&lt;=20),
    "Within",
    "Breach")</f>
        <v>Breach</v>
      </c>
      <c r="M2146" s="1">
        <v>1.5625000000000001E-3</v>
      </c>
      <c r="N2146">
        <v>3</v>
      </c>
    </row>
    <row r="2147" spans="1:14" x14ac:dyDescent="0.3">
      <c r="A2147" t="s">
        <v>2207</v>
      </c>
      <c r="B2147" t="s">
        <v>16</v>
      </c>
      <c r="C2147" t="s">
        <v>2160</v>
      </c>
      <c r="D2147" s="1">
        <v>0.73299768518518515</v>
      </c>
      <c r="E2147" s="2">
        <f>CallLog[[#This Row],[Date]]+CallLog[[#This Row],[Time]]</f>
        <v>44233.732997685183</v>
      </c>
      <c r="F2147" s="1" t="str">
        <f>TEXT(CallLog[[#This Row],[Date]],"dddd")</f>
        <v>Saturday</v>
      </c>
      <c r="G2147" s="3">
        <f>HOUR(CallLog[[#This Row],[Time]])</f>
        <v>17</v>
      </c>
      <c r="H2147" t="s">
        <v>32</v>
      </c>
      <c r="I2147" t="s">
        <v>14</v>
      </c>
      <c r="J2147" t="s">
        <v>14</v>
      </c>
      <c r="K2147">
        <v>44</v>
      </c>
      <c r="L2147" t="str">
        <f>IF(AND(CallLog[[#This Row],[Answered (Y/N)]]="Y", CallLog[[#This Row],[Speed of answer in seconds]]&lt;=20),
    "Within",
    "Breach")</f>
        <v>Breach</v>
      </c>
      <c r="M2147" s="1">
        <v>3.5300925925925925E-3</v>
      </c>
      <c r="N2147">
        <v>3</v>
      </c>
    </row>
    <row r="2148" spans="1:14" x14ac:dyDescent="0.3">
      <c r="A2148" t="s">
        <v>2208</v>
      </c>
      <c r="B2148" t="s">
        <v>16</v>
      </c>
      <c r="C2148" t="s">
        <v>2160</v>
      </c>
      <c r="D2148" s="1">
        <v>0.73299768518518515</v>
      </c>
      <c r="E2148" s="2">
        <f>CallLog[[#This Row],[Date]]+CallLog[[#This Row],[Time]]</f>
        <v>44233.732997685183</v>
      </c>
      <c r="F2148" s="1" t="str">
        <f>TEXT(CallLog[[#This Row],[Date]],"dddd")</f>
        <v>Saturday</v>
      </c>
      <c r="G2148" s="3">
        <f>HOUR(CallLog[[#This Row],[Time]])</f>
        <v>17</v>
      </c>
      <c r="H2148" t="s">
        <v>24</v>
      </c>
      <c r="I2148" t="s">
        <v>14</v>
      </c>
      <c r="J2148" t="s">
        <v>14</v>
      </c>
      <c r="K2148">
        <v>84</v>
      </c>
      <c r="L2148" t="str">
        <f>IF(AND(CallLog[[#This Row],[Answered (Y/N)]]="Y", CallLog[[#This Row],[Speed of answer in seconds]]&lt;=20),
    "Within",
    "Breach")</f>
        <v>Breach</v>
      </c>
      <c r="M2148" s="1">
        <v>2.4652777777777776E-3</v>
      </c>
      <c r="N2148">
        <v>5</v>
      </c>
    </row>
    <row r="2149" spans="1:14" x14ac:dyDescent="0.3">
      <c r="A2149" t="s">
        <v>2209</v>
      </c>
      <c r="B2149" t="s">
        <v>22</v>
      </c>
      <c r="C2149" t="s">
        <v>2160</v>
      </c>
      <c r="D2149" s="1">
        <v>0.73299768518518515</v>
      </c>
      <c r="E2149" s="2">
        <f>CallLog[[#This Row],[Date]]+CallLog[[#This Row],[Time]]</f>
        <v>44233.732997685183</v>
      </c>
      <c r="F2149" s="1" t="str">
        <f>TEXT(CallLog[[#This Row],[Date]],"dddd")</f>
        <v>Saturday</v>
      </c>
      <c r="G2149" s="3">
        <f>HOUR(CallLog[[#This Row],[Time]])</f>
        <v>17</v>
      </c>
      <c r="H2149" t="s">
        <v>17</v>
      </c>
      <c r="I2149" t="s">
        <v>14</v>
      </c>
      <c r="J2149" t="s">
        <v>14</v>
      </c>
      <c r="K2149">
        <v>79</v>
      </c>
      <c r="L2149" t="str">
        <f>IF(AND(CallLog[[#This Row],[Answered (Y/N)]]="Y", CallLog[[#This Row],[Speed of answer in seconds]]&lt;=20),
    "Within",
    "Breach")</f>
        <v>Breach</v>
      </c>
      <c r="M2149" s="1">
        <v>3.3449074074074076E-3</v>
      </c>
      <c r="N2149">
        <v>5</v>
      </c>
    </row>
    <row r="2150" spans="1:14" x14ac:dyDescent="0.3">
      <c r="A2150" t="s">
        <v>2210</v>
      </c>
      <c r="B2150" t="s">
        <v>11</v>
      </c>
      <c r="C2150" t="s">
        <v>2211</v>
      </c>
      <c r="D2150" s="1">
        <v>0.38200231481481484</v>
      </c>
      <c r="E2150" s="2">
        <f>CallLog[[#This Row],[Date]]+CallLog[[#This Row],[Time]]</f>
        <v>44234.382002314815</v>
      </c>
      <c r="F2150" s="1" t="str">
        <f>TEXT(CallLog[[#This Row],[Date]],"dddd")</f>
        <v>Sunday</v>
      </c>
      <c r="G2150" s="3">
        <f>HOUR(CallLog[[#This Row],[Time]])</f>
        <v>9</v>
      </c>
      <c r="H2150" t="s">
        <v>29</v>
      </c>
      <c r="I2150" t="s">
        <v>14</v>
      </c>
      <c r="J2150" t="s">
        <v>14</v>
      </c>
      <c r="K2150">
        <v>71</v>
      </c>
      <c r="L2150" t="str">
        <f>IF(AND(CallLog[[#This Row],[Answered (Y/N)]]="Y", CallLog[[#This Row],[Speed of answer in seconds]]&lt;=20),
    "Within",
    "Breach")</f>
        <v>Breach</v>
      </c>
      <c r="M2150" s="1">
        <v>4.7685185185185183E-3</v>
      </c>
      <c r="N2150">
        <v>3</v>
      </c>
    </row>
    <row r="2151" spans="1:14" x14ac:dyDescent="0.3">
      <c r="A2151" t="s">
        <v>2212</v>
      </c>
      <c r="B2151" t="s">
        <v>31</v>
      </c>
      <c r="C2151" t="s">
        <v>2211</v>
      </c>
      <c r="D2151" s="1">
        <v>0.38200231481481484</v>
      </c>
      <c r="E2151" s="2">
        <f>CallLog[[#This Row],[Date]]+CallLog[[#This Row],[Time]]</f>
        <v>44234.382002314815</v>
      </c>
      <c r="F2151" s="1" t="str">
        <f>TEXT(CallLog[[#This Row],[Date]],"dddd")</f>
        <v>Sunday</v>
      </c>
      <c r="G2151" s="3">
        <f>HOUR(CallLog[[#This Row],[Time]])</f>
        <v>9</v>
      </c>
      <c r="H2151" t="s">
        <v>29</v>
      </c>
      <c r="I2151" t="s">
        <v>14</v>
      </c>
      <c r="J2151" t="s">
        <v>14</v>
      </c>
      <c r="K2151">
        <v>94</v>
      </c>
      <c r="L2151" t="str">
        <f>IF(AND(CallLog[[#This Row],[Answered (Y/N)]]="Y", CallLog[[#This Row],[Speed of answer in seconds]]&lt;=20),
    "Within",
    "Breach")</f>
        <v>Breach</v>
      </c>
      <c r="M2151" s="1">
        <v>1.5856481481481481E-3</v>
      </c>
      <c r="N2151">
        <v>3</v>
      </c>
    </row>
    <row r="2152" spans="1:14" x14ac:dyDescent="0.3">
      <c r="A2152" t="s">
        <v>2213</v>
      </c>
      <c r="B2152" t="s">
        <v>38</v>
      </c>
      <c r="C2152" t="s">
        <v>2211</v>
      </c>
      <c r="D2152" s="1">
        <v>0.39500000000000002</v>
      </c>
      <c r="E2152" s="2">
        <f>CallLog[[#This Row],[Date]]+CallLog[[#This Row],[Time]]</f>
        <v>44234.394999999997</v>
      </c>
      <c r="F2152" s="1" t="str">
        <f>TEXT(CallLog[[#This Row],[Date]],"dddd")</f>
        <v>Sunday</v>
      </c>
      <c r="G2152" s="3">
        <f>HOUR(CallLog[[#This Row],[Time]])</f>
        <v>9</v>
      </c>
      <c r="H2152" t="s">
        <v>17</v>
      </c>
      <c r="I2152" t="s">
        <v>18</v>
      </c>
      <c r="J2152" t="s">
        <v>18</v>
      </c>
      <c r="L2152" t="str">
        <f>IF(AND(CallLog[[#This Row],[Answered (Y/N)]]="Y", CallLog[[#This Row],[Speed of answer in seconds]]&lt;=20),
    "Within",
    "Breach")</f>
        <v>Breach</v>
      </c>
    </row>
    <row r="2153" spans="1:14" x14ac:dyDescent="0.3">
      <c r="A2153" t="s">
        <v>2214</v>
      </c>
      <c r="B2153" t="s">
        <v>47</v>
      </c>
      <c r="C2153" t="s">
        <v>2211</v>
      </c>
      <c r="D2153" s="1">
        <v>0.39500000000000002</v>
      </c>
      <c r="E2153" s="2">
        <f>CallLog[[#This Row],[Date]]+CallLog[[#This Row],[Time]]</f>
        <v>44234.394999999997</v>
      </c>
      <c r="F2153" s="1" t="str">
        <f>TEXT(CallLog[[#This Row],[Date]],"dddd")</f>
        <v>Sunday</v>
      </c>
      <c r="G2153" s="3">
        <f>HOUR(CallLog[[#This Row],[Time]])</f>
        <v>9</v>
      </c>
      <c r="H2153" t="s">
        <v>24</v>
      </c>
      <c r="I2153" t="s">
        <v>14</v>
      </c>
      <c r="J2153" t="s">
        <v>14</v>
      </c>
      <c r="K2153">
        <v>11</v>
      </c>
      <c r="L2153" t="str">
        <f>IF(AND(CallLog[[#This Row],[Answered (Y/N)]]="Y", CallLog[[#This Row],[Speed of answer in seconds]]&lt;=20),
    "Within",
    "Breach")</f>
        <v>Within</v>
      </c>
      <c r="M2153" s="1">
        <v>4.7453703703703703E-3</v>
      </c>
      <c r="N2153">
        <v>5</v>
      </c>
    </row>
    <row r="2154" spans="1:14" x14ac:dyDescent="0.3">
      <c r="A2154" t="s">
        <v>2215</v>
      </c>
      <c r="B2154" t="s">
        <v>22</v>
      </c>
      <c r="C2154" t="s">
        <v>2211</v>
      </c>
      <c r="D2154" s="1">
        <v>0.39599537037037036</v>
      </c>
      <c r="E2154" s="2">
        <f>CallLog[[#This Row],[Date]]+CallLog[[#This Row],[Time]]</f>
        <v>44234.395995370367</v>
      </c>
      <c r="F2154" s="1" t="str">
        <f>TEXT(CallLog[[#This Row],[Date]],"dddd")</f>
        <v>Sunday</v>
      </c>
      <c r="G2154" s="3">
        <f>HOUR(CallLog[[#This Row],[Time]])</f>
        <v>9</v>
      </c>
      <c r="H2154" t="s">
        <v>32</v>
      </c>
      <c r="I2154" t="s">
        <v>14</v>
      </c>
      <c r="J2154" t="s">
        <v>14</v>
      </c>
      <c r="K2154">
        <v>51</v>
      </c>
      <c r="L2154" t="str">
        <f>IF(AND(CallLog[[#This Row],[Answered (Y/N)]]="Y", CallLog[[#This Row],[Speed of answer in seconds]]&lt;=20),
    "Within",
    "Breach")</f>
        <v>Breach</v>
      </c>
      <c r="M2154" s="1">
        <v>4.340277777777778E-3</v>
      </c>
      <c r="N2154">
        <v>1</v>
      </c>
    </row>
    <row r="2155" spans="1:14" x14ac:dyDescent="0.3">
      <c r="A2155" t="s">
        <v>2216</v>
      </c>
      <c r="B2155" t="s">
        <v>38</v>
      </c>
      <c r="C2155" t="s">
        <v>2211</v>
      </c>
      <c r="D2155" s="1">
        <v>0.39599537037037036</v>
      </c>
      <c r="E2155" s="2">
        <f>CallLog[[#This Row],[Date]]+CallLog[[#This Row],[Time]]</f>
        <v>44234.395995370367</v>
      </c>
      <c r="F2155" s="1" t="str">
        <f>TEXT(CallLog[[#This Row],[Date]],"dddd")</f>
        <v>Sunday</v>
      </c>
      <c r="G2155" s="3">
        <f>HOUR(CallLog[[#This Row],[Time]])</f>
        <v>9</v>
      </c>
      <c r="H2155" t="s">
        <v>32</v>
      </c>
      <c r="I2155" t="s">
        <v>14</v>
      </c>
      <c r="J2155" t="s">
        <v>18</v>
      </c>
      <c r="K2155">
        <v>12</v>
      </c>
      <c r="L2155" t="str">
        <f>IF(AND(CallLog[[#This Row],[Answered (Y/N)]]="Y", CallLog[[#This Row],[Speed of answer in seconds]]&lt;=20),
    "Within",
    "Breach")</f>
        <v>Within</v>
      </c>
      <c r="M2155" s="1">
        <v>4.2013888888888891E-3</v>
      </c>
      <c r="N2155">
        <v>3</v>
      </c>
    </row>
    <row r="2156" spans="1:14" x14ac:dyDescent="0.3">
      <c r="A2156" t="s">
        <v>2217</v>
      </c>
      <c r="B2156" t="s">
        <v>31</v>
      </c>
      <c r="C2156" t="s">
        <v>2211</v>
      </c>
      <c r="D2156" s="1">
        <v>0.41700231481481481</v>
      </c>
      <c r="E2156" s="2">
        <f>CallLog[[#This Row],[Date]]+CallLog[[#This Row],[Time]]</f>
        <v>44234.417002314818</v>
      </c>
      <c r="F2156" s="1" t="str">
        <f>TEXT(CallLog[[#This Row],[Date]],"dddd")</f>
        <v>Sunday</v>
      </c>
      <c r="G2156" s="3">
        <f>HOUR(CallLog[[#This Row],[Time]])</f>
        <v>10</v>
      </c>
      <c r="H2156" t="s">
        <v>29</v>
      </c>
      <c r="I2156" t="s">
        <v>14</v>
      </c>
      <c r="J2156" t="s">
        <v>14</v>
      </c>
      <c r="K2156">
        <v>16</v>
      </c>
      <c r="L2156" t="str">
        <f>IF(AND(CallLog[[#This Row],[Answered (Y/N)]]="Y", CallLog[[#This Row],[Speed of answer in seconds]]&lt;=20),
    "Within",
    "Breach")</f>
        <v>Within</v>
      </c>
      <c r="M2156" s="1">
        <v>3.7268518518518519E-3</v>
      </c>
      <c r="N2156">
        <v>4</v>
      </c>
    </row>
    <row r="2157" spans="1:14" x14ac:dyDescent="0.3">
      <c r="A2157" t="s">
        <v>2218</v>
      </c>
      <c r="B2157" t="s">
        <v>16</v>
      </c>
      <c r="C2157" t="s">
        <v>2211</v>
      </c>
      <c r="D2157" s="1">
        <v>0.41700231481481481</v>
      </c>
      <c r="E2157" s="2">
        <f>CallLog[[#This Row],[Date]]+CallLog[[#This Row],[Time]]</f>
        <v>44234.417002314818</v>
      </c>
      <c r="F2157" s="1" t="str">
        <f>TEXT(CallLog[[#This Row],[Date]],"dddd")</f>
        <v>Sunday</v>
      </c>
      <c r="G2157" s="3">
        <f>HOUR(CallLog[[#This Row],[Time]])</f>
        <v>10</v>
      </c>
      <c r="H2157" t="s">
        <v>24</v>
      </c>
      <c r="I2157" t="s">
        <v>18</v>
      </c>
      <c r="J2157" t="s">
        <v>18</v>
      </c>
      <c r="L2157" t="str">
        <f>IF(AND(CallLog[[#This Row],[Answered (Y/N)]]="Y", CallLog[[#This Row],[Speed of answer in seconds]]&lt;=20),
    "Within",
    "Breach")</f>
        <v>Breach</v>
      </c>
    </row>
    <row r="2158" spans="1:14" x14ac:dyDescent="0.3">
      <c r="A2158" t="s">
        <v>2219</v>
      </c>
      <c r="B2158" t="s">
        <v>31</v>
      </c>
      <c r="C2158" t="s">
        <v>2211</v>
      </c>
      <c r="D2158" s="1">
        <v>0.42099537037037038</v>
      </c>
      <c r="E2158" s="2">
        <f>CallLog[[#This Row],[Date]]+CallLog[[#This Row],[Time]]</f>
        <v>44234.420995370368</v>
      </c>
      <c r="F2158" s="1" t="str">
        <f>TEXT(CallLog[[#This Row],[Date]],"dddd")</f>
        <v>Sunday</v>
      </c>
      <c r="G2158" s="3">
        <f>HOUR(CallLog[[#This Row],[Time]])</f>
        <v>10</v>
      </c>
      <c r="H2158" t="s">
        <v>32</v>
      </c>
      <c r="I2158" t="s">
        <v>14</v>
      </c>
      <c r="J2158" t="s">
        <v>14</v>
      </c>
      <c r="K2158">
        <v>54</v>
      </c>
      <c r="L2158" t="str">
        <f>IF(AND(CallLog[[#This Row],[Answered (Y/N)]]="Y", CallLog[[#This Row],[Speed of answer in seconds]]&lt;=20),
    "Within",
    "Breach")</f>
        <v>Breach</v>
      </c>
      <c r="M2158" s="1">
        <v>3.0208333333333333E-3</v>
      </c>
      <c r="N2158">
        <v>3</v>
      </c>
    </row>
    <row r="2159" spans="1:14" x14ac:dyDescent="0.3">
      <c r="A2159" t="s">
        <v>2220</v>
      </c>
      <c r="B2159" t="s">
        <v>38</v>
      </c>
      <c r="C2159" t="s">
        <v>2211</v>
      </c>
      <c r="D2159" s="1">
        <v>0.42099537037037038</v>
      </c>
      <c r="E2159" s="2">
        <f>CallLog[[#This Row],[Date]]+CallLog[[#This Row],[Time]]</f>
        <v>44234.420995370368</v>
      </c>
      <c r="F2159" s="1" t="str">
        <f>TEXT(CallLog[[#This Row],[Date]],"dddd")</f>
        <v>Sunday</v>
      </c>
      <c r="G2159" s="3">
        <f>HOUR(CallLog[[#This Row],[Time]])</f>
        <v>10</v>
      </c>
      <c r="H2159" t="s">
        <v>29</v>
      </c>
      <c r="I2159" t="s">
        <v>14</v>
      </c>
      <c r="J2159" t="s">
        <v>14</v>
      </c>
      <c r="K2159">
        <v>106</v>
      </c>
      <c r="L2159" t="str">
        <f>IF(AND(CallLog[[#This Row],[Answered (Y/N)]]="Y", CallLog[[#This Row],[Speed of answer in seconds]]&lt;=20),
    "Within",
    "Breach")</f>
        <v>Breach</v>
      </c>
      <c r="M2159" s="1">
        <v>2.8472222222222223E-3</v>
      </c>
      <c r="N2159">
        <v>3</v>
      </c>
    </row>
    <row r="2160" spans="1:14" x14ac:dyDescent="0.3">
      <c r="A2160" t="s">
        <v>2221</v>
      </c>
      <c r="B2160" t="s">
        <v>11</v>
      </c>
      <c r="C2160" t="s">
        <v>2211</v>
      </c>
      <c r="D2160" s="1">
        <v>0.42599537037037039</v>
      </c>
      <c r="E2160" s="2">
        <f>CallLog[[#This Row],[Date]]+CallLog[[#This Row],[Time]]</f>
        <v>44234.425995370373</v>
      </c>
      <c r="F2160" s="1" t="str">
        <f>TEXT(CallLog[[#This Row],[Date]],"dddd")</f>
        <v>Sunday</v>
      </c>
      <c r="G2160" s="3">
        <f>HOUR(CallLog[[#This Row],[Time]])</f>
        <v>10</v>
      </c>
      <c r="H2160" t="s">
        <v>24</v>
      </c>
      <c r="I2160" t="s">
        <v>18</v>
      </c>
      <c r="J2160" t="s">
        <v>18</v>
      </c>
      <c r="L2160" t="str">
        <f>IF(AND(CallLog[[#This Row],[Answered (Y/N)]]="Y", CallLog[[#This Row],[Speed of answer in seconds]]&lt;=20),
    "Within",
    "Breach")</f>
        <v>Breach</v>
      </c>
    </row>
    <row r="2161" spans="1:14" x14ac:dyDescent="0.3">
      <c r="A2161" t="s">
        <v>2222</v>
      </c>
      <c r="B2161" t="s">
        <v>38</v>
      </c>
      <c r="C2161" t="s">
        <v>2211</v>
      </c>
      <c r="D2161" s="1">
        <v>0.42599537037037039</v>
      </c>
      <c r="E2161" s="2">
        <f>CallLog[[#This Row],[Date]]+CallLog[[#This Row],[Time]]</f>
        <v>44234.425995370373</v>
      </c>
      <c r="F2161" s="1" t="str">
        <f>TEXT(CallLog[[#This Row],[Date]],"dddd")</f>
        <v>Sunday</v>
      </c>
      <c r="G2161" s="3">
        <f>HOUR(CallLog[[#This Row],[Time]])</f>
        <v>10</v>
      </c>
      <c r="H2161" t="s">
        <v>29</v>
      </c>
      <c r="I2161" t="s">
        <v>14</v>
      </c>
      <c r="J2161" t="s">
        <v>14</v>
      </c>
      <c r="K2161">
        <v>13</v>
      </c>
      <c r="L2161" t="str">
        <f>IF(AND(CallLog[[#This Row],[Answered (Y/N)]]="Y", CallLog[[#This Row],[Speed of answer in seconds]]&lt;=20),
    "Within",
    "Breach")</f>
        <v>Within</v>
      </c>
      <c r="M2161" s="1">
        <v>8.1018518518518516E-4</v>
      </c>
      <c r="N2161">
        <v>3</v>
      </c>
    </row>
    <row r="2162" spans="1:14" x14ac:dyDescent="0.3">
      <c r="A2162" t="s">
        <v>2223</v>
      </c>
      <c r="B2162" t="s">
        <v>34</v>
      </c>
      <c r="C2162" t="s">
        <v>2211</v>
      </c>
      <c r="D2162" s="1">
        <v>0.44599537037037035</v>
      </c>
      <c r="E2162" s="2">
        <f>CallLog[[#This Row],[Date]]+CallLog[[#This Row],[Time]]</f>
        <v>44234.44599537037</v>
      </c>
      <c r="F2162" s="1" t="str">
        <f>TEXT(CallLog[[#This Row],[Date]],"dddd")</f>
        <v>Sunday</v>
      </c>
      <c r="G2162" s="3">
        <f>HOUR(CallLog[[#This Row],[Time]])</f>
        <v>10</v>
      </c>
      <c r="H2162" t="s">
        <v>32</v>
      </c>
      <c r="I2162" t="s">
        <v>14</v>
      </c>
      <c r="J2162" t="s">
        <v>18</v>
      </c>
      <c r="K2162">
        <v>97</v>
      </c>
      <c r="L2162" t="str">
        <f>IF(AND(CallLog[[#This Row],[Answered (Y/N)]]="Y", CallLog[[#This Row],[Speed of answer in seconds]]&lt;=20),
    "Within",
    "Breach")</f>
        <v>Breach</v>
      </c>
      <c r="M2162" s="1">
        <v>2.2685185185185187E-3</v>
      </c>
      <c r="N2162">
        <v>4</v>
      </c>
    </row>
    <row r="2163" spans="1:14" x14ac:dyDescent="0.3">
      <c r="A2163" t="s">
        <v>2224</v>
      </c>
      <c r="B2163" t="s">
        <v>38</v>
      </c>
      <c r="C2163" t="s">
        <v>2211</v>
      </c>
      <c r="D2163" s="1">
        <v>0.44599537037037035</v>
      </c>
      <c r="E2163" s="2">
        <f>CallLog[[#This Row],[Date]]+CallLog[[#This Row],[Time]]</f>
        <v>44234.44599537037</v>
      </c>
      <c r="F2163" s="1" t="str">
        <f>TEXT(CallLog[[#This Row],[Date]],"dddd")</f>
        <v>Sunday</v>
      </c>
      <c r="G2163" s="3">
        <f>HOUR(CallLog[[#This Row],[Time]])</f>
        <v>10</v>
      </c>
      <c r="H2163" t="s">
        <v>13</v>
      </c>
      <c r="I2163" t="s">
        <v>14</v>
      </c>
      <c r="J2163" t="s">
        <v>14</v>
      </c>
      <c r="K2163">
        <v>124</v>
      </c>
      <c r="L2163" t="str">
        <f>IF(AND(CallLog[[#This Row],[Answered (Y/N)]]="Y", CallLog[[#This Row],[Speed of answer in seconds]]&lt;=20),
    "Within",
    "Breach")</f>
        <v>Breach</v>
      </c>
      <c r="M2163" s="1">
        <v>3.4027777777777776E-3</v>
      </c>
      <c r="N2163">
        <v>4</v>
      </c>
    </row>
    <row r="2164" spans="1:14" x14ac:dyDescent="0.3">
      <c r="A2164" t="s">
        <v>2225</v>
      </c>
      <c r="B2164" t="s">
        <v>47</v>
      </c>
      <c r="C2164" t="s">
        <v>2211</v>
      </c>
      <c r="D2164" s="1">
        <v>0.45599537037037036</v>
      </c>
      <c r="E2164" s="2">
        <f>CallLog[[#This Row],[Date]]+CallLog[[#This Row],[Time]]</f>
        <v>44234.455995370372</v>
      </c>
      <c r="F2164" s="1" t="str">
        <f>TEXT(CallLog[[#This Row],[Date]],"dddd")</f>
        <v>Sunday</v>
      </c>
      <c r="G2164" s="3">
        <f>HOUR(CallLog[[#This Row],[Time]])</f>
        <v>10</v>
      </c>
      <c r="H2164" t="s">
        <v>17</v>
      </c>
      <c r="I2164" t="s">
        <v>14</v>
      </c>
      <c r="J2164" t="s">
        <v>14</v>
      </c>
      <c r="K2164">
        <v>46</v>
      </c>
      <c r="L2164" t="str">
        <f>IF(AND(CallLog[[#This Row],[Answered (Y/N)]]="Y", CallLog[[#This Row],[Speed of answer in seconds]]&lt;=20),
    "Within",
    "Breach")</f>
        <v>Breach</v>
      </c>
      <c r="M2164" s="1">
        <v>2.9166666666666668E-3</v>
      </c>
      <c r="N2164">
        <v>3</v>
      </c>
    </row>
    <row r="2165" spans="1:14" x14ac:dyDescent="0.3">
      <c r="A2165" t="s">
        <v>2226</v>
      </c>
      <c r="B2165" t="s">
        <v>38</v>
      </c>
      <c r="C2165" t="s">
        <v>2211</v>
      </c>
      <c r="D2165" s="1">
        <v>0.45599537037037036</v>
      </c>
      <c r="E2165" s="2">
        <f>CallLog[[#This Row],[Date]]+CallLog[[#This Row],[Time]]</f>
        <v>44234.455995370372</v>
      </c>
      <c r="F2165" s="1" t="str">
        <f>TEXT(CallLog[[#This Row],[Date]],"dddd")</f>
        <v>Sunday</v>
      </c>
      <c r="G2165" s="3">
        <f>HOUR(CallLog[[#This Row],[Time]])</f>
        <v>10</v>
      </c>
      <c r="H2165" t="s">
        <v>32</v>
      </c>
      <c r="I2165" t="s">
        <v>14</v>
      </c>
      <c r="J2165" t="s">
        <v>14</v>
      </c>
      <c r="K2165">
        <v>53</v>
      </c>
      <c r="L2165" t="str">
        <f>IF(AND(CallLog[[#This Row],[Answered (Y/N)]]="Y", CallLog[[#This Row],[Speed of answer in seconds]]&lt;=20),
    "Within",
    "Breach")</f>
        <v>Breach</v>
      </c>
      <c r="M2165" s="1">
        <v>4.5949074074074078E-3</v>
      </c>
      <c r="N2165">
        <v>4</v>
      </c>
    </row>
    <row r="2166" spans="1:14" x14ac:dyDescent="0.3">
      <c r="A2166" t="s">
        <v>2227</v>
      </c>
      <c r="B2166" t="s">
        <v>16</v>
      </c>
      <c r="C2166" t="s">
        <v>2211</v>
      </c>
      <c r="D2166" s="1">
        <v>0.47499999999999998</v>
      </c>
      <c r="E2166" s="2">
        <f>CallLog[[#This Row],[Date]]+CallLog[[#This Row],[Time]]</f>
        <v>44234.474999999999</v>
      </c>
      <c r="F2166" s="1" t="str">
        <f>TEXT(CallLog[[#This Row],[Date]],"dddd")</f>
        <v>Sunday</v>
      </c>
      <c r="G2166" s="3">
        <f>HOUR(CallLog[[#This Row],[Time]])</f>
        <v>11</v>
      </c>
      <c r="H2166" t="s">
        <v>24</v>
      </c>
      <c r="I2166" t="s">
        <v>14</v>
      </c>
      <c r="J2166" t="s">
        <v>14</v>
      </c>
      <c r="K2166">
        <v>51</v>
      </c>
      <c r="L2166" t="str">
        <f>IF(AND(CallLog[[#This Row],[Answered (Y/N)]]="Y", CallLog[[#This Row],[Speed of answer in seconds]]&lt;=20),
    "Within",
    "Breach")</f>
        <v>Breach</v>
      </c>
      <c r="M2166" s="1">
        <v>4.178240740740741E-3</v>
      </c>
      <c r="N2166">
        <v>2</v>
      </c>
    </row>
    <row r="2167" spans="1:14" x14ac:dyDescent="0.3">
      <c r="A2167" t="s">
        <v>2228</v>
      </c>
      <c r="B2167" t="s">
        <v>11</v>
      </c>
      <c r="C2167" t="s">
        <v>2211</v>
      </c>
      <c r="D2167" s="1">
        <v>0.47499999999999998</v>
      </c>
      <c r="E2167" s="2">
        <f>CallLog[[#This Row],[Date]]+CallLog[[#This Row],[Time]]</f>
        <v>44234.474999999999</v>
      </c>
      <c r="F2167" s="1" t="str">
        <f>TEXT(CallLog[[#This Row],[Date]],"dddd")</f>
        <v>Sunday</v>
      </c>
      <c r="G2167" s="3">
        <f>HOUR(CallLog[[#This Row],[Time]])</f>
        <v>11</v>
      </c>
      <c r="H2167" t="s">
        <v>17</v>
      </c>
      <c r="I2167" t="s">
        <v>14</v>
      </c>
      <c r="J2167" t="s">
        <v>14</v>
      </c>
      <c r="K2167">
        <v>51</v>
      </c>
      <c r="L2167" t="str">
        <f>IF(AND(CallLog[[#This Row],[Answered (Y/N)]]="Y", CallLog[[#This Row],[Speed of answer in seconds]]&lt;=20),
    "Within",
    "Breach")</f>
        <v>Breach</v>
      </c>
      <c r="M2167" s="1">
        <v>6.7129629629629625E-4</v>
      </c>
      <c r="N2167">
        <v>5</v>
      </c>
    </row>
    <row r="2168" spans="1:14" x14ac:dyDescent="0.3">
      <c r="A2168" t="s">
        <v>2229</v>
      </c>
      <c r="B2168" t="s">
        <v>16</v>
      </c>
      <c r="C2168" t="s">
        <v>2211</v>
      </c>
      <c r="D2168" s="1">
        <v>0.47499999999999998</v>
      </c>
      <c r="E2168" s="2">
        <f>CallLog[[#This Row],[Date]]+CallLog[[#This Row],[Time]]</f>
        <v>44234.474999999999</v>
      </c>
      <c r="F2168" s="1" t="str">
        <f>TEXT(CallLog[[#This Row],[Date]],"dddd")</f>
        <v>Sunday</v>
      </c>
      <c r="G2168" s="3">
        <f>HOUR(CallLog[[#This Row],[Time]])</f>
        <v>11</v>
      </c>
      <c r="H2168" t="s">
        <v>13</v>
      </c>
      <c r="I2168" t="s">
        <v>14</v>
      </c>
      <c r="J2168" t="s">
        <v>14</v>
      </c>
      <c r="K2168">
        <v>30</v>
      </c>
      <c r="L2168" t="str">
        <f>IF(AND(CallLog[[#This Row],[Answered (Y/N)]]="Y", CallLog[[#This Row],[Speed of answer in seconds]]&lt;=20),
    "Within",
    "Breach")</f>
        <v>Breach</v>
      </c>
      <c r="M2168" s="1">
        <v>1.3657407407407407E-3</v>
      </c>
      <c r="N2168">
        <v>4</v>
      </c>
    </row>
    <row r="2169" spans="1:14" x14ac:dyDescent="0.3">
      <c r="A2169" t="s">
        <v>2230</v>
      </c>
      <c r="B2169" t="s">
        <v>22</v>
      </c>
      <c r="C2169" t="s">
        <v>2211</v>
      </c>
      <c r="D2169" s="1">
        <v>0.47499999999999998</v>
      </c>
      <c r="E2169" s="2">
        <f>CallLog[[#This Row],[Date]]+CallLog[[#This Row],[Time]]</f>
        <v>44234.474999999999</v>
      </c>
      <c r="F2169" s="1" t="str">
        <f>TEXT(CallLog[[#This Row],[Date]],"dddd")</f>
        <v>Sunday</v>
      </c>
      <c r="G2169" s="3">
        <f>HOUR(CallLog[[#This Row],[Time]])</f>
        <v>11</v>
      </c>
      <c r="H2169" t="s">
        <v>32</v>
      </c>
      <c r="I2169" t="s">
        <v>14</v>
      </c>
      <c r="J2169" t="s">
        <v>14</v>
      </c>
      <c r="K2169">
        <v>51</v>
      </c>
      <c r="L2169" t="str">
        <f>IF(AND(CallLog[[#This Row],[Answered (Y/N)]]="Y", CallLog[[#This Row],[Speed of answer in seconds]]&lt;=20),
    "Within",
    "Breach")</f>
        <v>Breach</v>
      </c>
      <c r="M2169" s="1">
        <v>4.4444444444444444E-3</v>
      </c>
      <c r="N2169">
        <v>5</v>
      </c>
    </row>
    <row r="2170" spans="1:14" x14ac:dyDescent="0.3">
      <c r="A2170" t="s">
        <v>2231</v>
      </c>
      <c r="B2170" t="s">
        <v>16</v>
      </c>
      <c r="C2170" t="s">
        <v>2211</v>
      </c>
      <c r="D2170" s="1">
        <v>0.47599537037037037</v>
      </c>
      <c r="E2170" s="2">
        <f>CallLog[[#This Row],[Date]]+CallLog[[#This Row],[Time]]</f>
        <v>44234.475995370369</v>
      </c>
      <c r="F2170" s="1" t="str">
        <f>TEXT(CallLog[[#This Row],[Date]],"dddd")</f>
        <v>Sunday</v>
      </c>
      <c r="G2170" s="3">
        <f>HOUR(CallLog[[#This Row],[Time]])</f>
        <v>11</v>
      </c>
      <c r="H2170" t="s">
        <v>29</v>
      </c>
      <c r="I2170" t="s">
        <v>14</v>
      </c>
      <c r="J2170" t="s">
        <v>14</v>
      </c>
      <c r="K2170">
        <v>45</v>
      </c>
      <c r="L2170" t="str">
        <f>IF(AND(CallLog[[#This Row],[Answered (Y/N)]]="Y", CallLog[[#This Row],[Speed of answer in seconds]]&lt;=20),
    "Within",
    "Breach")</f>
        <v>Breach</v>
      </c>
      <c r="M2170" s="1">
        <v>1.8518518518518519E-3</v>
      </c>
      <c r="N2170">
        <v>1</v>
      </c>
    </row>
    <row r="2171" spans="1:14" x14ac:dyDescent="0.3">
      <c r="A2171" t="s">
        <v>2232</v>
      </c>
      <c r="B2171" t="s">
        <v>11</v>
      </c>
      <c r="C2171" t="s">
        <v>2211</v>
      </c>
      <c r="D2171" s="1">
        <v>0.47599537037037037</v>
      </c>
      <c r="E2171" s="2">
        <f>CallLog[[#This Row],[Date]]+CallLog[[#This Row],[Time]]</f>
        <v>44234.475995370369</v>
      </c>
      <c r="F2171" s="1" t="str">
        <f>TEXT(CallLog[[#This Row],[Date]],"dddd")</f>
        <v>Sunday</v>
      </c>
      <c r="G2171" s="3">
        <f>HOUR(CallLog[[#This Row],[Time]])</f>
        <v>11</v>
      </c>
      <c r="H2171" t="s">
        <v>13</v>
      </c>
      <c r="I2171" t="s">
        <v>14</v>
      </c>
      <c r="J2171" t="s">
        <v>14</v>
      </c>
      <c r="K2171">
        <v>43</v>
      </c>
      <c r="L2171" t="str">
        <f>IF(AND(CallLog[[#This Row],[Answered (Y/N)]]="Y", CallLog[[#This Row],[Speed of answer in seconds]]&lt;=20),
    "Within",
    "Breach")</f>
        <v>Breach</v>
      </c>
      <c r="M2171" s="1">
        <v>4.4791666666666669E-3</v>
      </c>
      <c r="N2171">
        <v>5</v>
      </c>
    </row>
    <row r="2172" spans="1:14" x14ac:dyDescent="0.3">
      <c r="A2172" t="s">
        <v>2233</v>
      </c>
      <c r="B2172" t="s">
        <v>22</v>
      </c>
      <c r="C2172" t="s">
        <v>2211</v>
      </c>
      <c r="D2172" s="1">
        <v>0.53400462962962958</v>
      </c>
      <c r="E2172" s="2">
        <f>CallLog[[#This Row],[Date]]+CallLog[[#This Row],[Time]]</f>
        <v>44234.534004629626</v>
      </c>
      <c r="F2172" s="1" t="str">
        <f>TEXT(CallLog[[#This Row],[Date]],"dddd")</f>
        <v>Sunday</v>
      </c>
      <c r="G2172" s="3">
        <f>HOUR(CallLog[[#This Row],[Time]])</f>
        <v>12</v>
      </c>
      <c r="H2172" t="s">
        <v>17</v>
      </c>
      <c r="I2172" t="s">
        <v>14</v>
      </c>
      <c r="J2172" t="s">
        <v>14</v>
      </c>
      <c r="K2172">
        <v>51</v>
      </c>
      <c r="L2172" t="str">
        <f>IF(AND(CallLog[[#This Row],[Answered (Y/N)]]="Y", CallLog[[#This Row],[Speed of answer in seconds]]&lt;=20),
    "Within",
    "Breach")</f>
        <v>Breach</v>
      </c>
      <c r="M2172" s="1">
        <v>8.564814814814815E-4</v>
      </c>
      <c r="N2172">
        <v>4</v>
      </c>
    </row>
    <row r="2173" spans="1:14" x14ac:dyDescent="0.3">
      <c r="A2173" t="s">
        <v>2234</v>
      </c>
      <c r="B2173" t="s">
        <v>16</v>
      </c>
      <c r="C2173" t="s">
        <v>2211</v>
      </c>
      <c r="D2173" s="1">
        <v>0.53400462962962958</v>
      </c>
      <c r="E2173" s="2">
        <f>CallLog[[#This Row],[Date]]+CallLog[[#This Row],[Time]]</f>
        <v>44234.534004629626</v>
      </c>
      <c r="F2173" s="1" t="str">
        <f>TEXT(CallLog[[#This Row],[Date]],"dddd")</f>
        <v>Sunday</v>
      </c>
      <c r="G2173" s="3">
        <f>HOUR(CallLog[[#This Row],[Time]])</f>
        <v>12</v>
      </c>
      <c r="H2173" t="s">
        <v>13</v>
      </c>
      <c r="I2173" t="s">
        <v>14</v>
      </c>
      <c r="J2173" t="s">
        <v>14</v>
      </c>
      <c r="K2173">
        <v>99</v>
      </c>
      <c r="L2173" t="str">
        <f>IF(AND(CallLog[[#This Row],[Answered (Y/N)]]="Y", CallLog[[#This Row],[Speed of answer in seconds]]&lt;=20),
    "Within",
    "Breach")</f>
        <v>Breach</v>
      </c>
      <c r="M2173" s="1">
        <v>2.8472222222222223E-3</v>
      </c>
      <c r="N2173">
        <v>4</v>
      </c>
    </row>
    <row r="2174" spans="1:14" x14ac:dyDescent="0.3">
      <c r="A2174" t="s">
        <v>2235</v>
      </c>
      <c r="B2174" t="s">
        <v>22</v>
      </c>
      <c r="C2174" t="s">
        <v>2211</v>
      </c>
      <c r="D2174" s="1">
        <v>0.54200231481481487</v>
      </c>
      <c r="E2174" s="2">
        <f>CallLog[[#This Row],[Date]]+CallLog[[#This Row],[Time]]</f>
        <v>44234.542002314818</v>
      </c>
      <c r="F2174" s="1" t="str">
        <f>TEXT(CallLog[[#This Row],[Date]],"dddd")</f>
        <v>Sunday</v>
      </c>
      <c r="G2174" s="3">
        <f>HOUR(CallLog[[#This Row],[Time]])</f>
        <v>13</v>
      </c>
      <c r="H2174" t="s">
        <v>29</v>
      </c>
      <c r="I2174" t="s">
        <v>14</v>
      </c>
      <c r="J2174" t="s">
        <v>14</v>
      </c>
      <c r="K2174">
        <v>94</v>
      </c>
      <c r="L2174" t="str">
        <f>IF(AND(CallLog[[#This Row],[Answered (Y/N)]]="Y", CallLog[[#This Row],[Speed of answer in seconds]]&lt;=20),
    "Within",
    "Breach")</f>
        <v>Breach</v>
      </c>
      <c r="M2174" s="1">
        <v>1.2731481481481483E-3</v>
      </c>
      <c r="N2174">
        <v>5</v>
      </c>
    </row>
    <row r="2175" spans="1:14" x14ac:dyDescent="0.3">
      <c r="A2175" t="s">
        <v>2236</v>
      </c>
      <c r="B2175" t="s">
        <v>20</v>
      </c>
      <c r="C2175" t="s">
        <v>2211</v>
      </c>
      <c r="D2175" s="1">
        <v>0.54200231481481487</v>
      </c>
      <c r="E2175" s="2">
        <f>CallLog[[#This Row],[Date]]+CallLog[[#This Row],[Time]]</f>
        <v>44234.542002314818</v>
      </c>
      <c r="F2175" s="1" t="str">
        <f>TEXT(CallLog[[#This Row],[Date]],"dddd")</f>
        <v>Sunday</v>
      </c>
      <c r="G2175" s="3">
        <f>HOUR(CallLog[[#This Row],[Time]])</f>
        <v>13</v>
      </c>
      <c r="H2175" t="s">
        <v>17</v>
      </c>
      <c r="I2175" t="s">
        <v>14</v>
      </c>
      <c r="J2175" t="s">
        <v>14</v>
      </c>
      <c r="K2175">
        <v>11</v>
      </c>
      <c r="L2175" t="str">
        <f>IF(AND(CallLog[[#This Row],[Answered (Y/N)]]="Y", CallLog[[#This Row],[Speed of answer in seconds]]&lt;=20),
    "Within",
    "Breach")</f>
        <v>Within</v>
      </c>
      <c r="M2175" s="1">
        <v>9.1435185185185185E-4</v>
      </c>
      <c r="N2175">
        <v>2</v>
      </c>
    </row>
    <row r="2176" spans="1:14" x14ac:dyDescent="0.3">
      <c r="A2176" t="s">
        <v>2237</v>
      </c>
      <c r="B2176" t="s">
        <v>11</v>
      </c>
      <c r="C2176" t="s">
        <v>2211</v>
      </c>
      <c r="D2176" s="1">
        <v>0.54500000000000004</v>
      </c>
      <c r="E2176" s="2">
        <f>CallLog[[#This Row],[Date]]+CallLog[[#This Row],[Time]]</f>
        <v>44234.544999999998</v>
      </c>
      <c r="F2176" s="1" t="str">
        <f>TEXT(CallLog[[#This Row],[Date]],"dddd")</f>
        <v>Sunday</v>
      </c>
      <c r="G2176" s="3">
        <f>HOUR(CallLog[[#This Row],[Time]])</f>
        <v>13</v>
      </c>
      <c r="H2176" t="s">
        <v>17</v>
      </c>
      <c r="I2176" t="s">
        <v>14</v>
      </c>
      <c r="J2176" t="s">
        <v>14</v>
      </c>
      <c r="K2176">
        <v>120</v>
      </c>
      <c r="L2176" t="str">
        <f>IF(AND(CallLog[[#This Row],[Answered (Y/N)]]="Y", CallLog[[#This Row],[Speed of answer in seconds]]&lt;=20),
    "Within",
    "Breach")</f>
        <v>Breach</v>
      </c>
      <c r="M2176" s="1">
        <v>4.6296296296296298E-4</v>
      </c>
      <c r="N2176">
        <v>3</v>
      </c>
    </row>
    <row r="2177" spans="1:14" x14ac:dyDescent="0.3">
      <c r="A2177" t="s">
        <v>2238</v>
      </c>
      <c r="B2177" t="s">
        <v>20</v>
      </c>
      <c r="C2177" t="s">
        <v>2211</v>
      </c>
      <c r="D2177" s="1">
        <v>0.54500000000000004</v>
      </c>
      <c r="E2177" s="2">
        <f>CallLog[[#This Row],[Date]]+CallLog[[#This Row],[Time]]</f>
        <v>44234.544999999998</v>
      </c>
      <c r="F2177" s="1" t="str">
        <f>TEXT(CallLog[[#This Row],[Date]],"dddd")</f>
        <v>Sunday</v>
      </c>
      <c r="G2177" s="3">
        <f>HOUR(CallLog[[#This Row],[Time]])</f>
        <v>13</v>
      </c>
      <c r="H2177" t="s">
        <v>29</v>
      </c>
      <c r="I2177" t="s">
        <v>14</v>
      </c>
      <c r="J2177" t="s">
        <v>14</v>
      </c>
      <c r="K2177">
        <v>70</v>
      </c>
      <c r="L2177" t="str">
        <f>IF(AND(CallLog[[#This Row],[Answered (Y/N)]]="Y", CallLog[[#This Row],[Speed of answer in seconds]]&lt;=20),
    "Within",
    "Breach")</f>
        <v>Breach</v>
      </c>
      <c r="M2177" s="1">
        <v>4.5486111111111109E-3</v>
      </c>
      <c r="N2177">
        <v>3</v>
      </c>
    </row>
    <row r="2178" spans="1:14" x14ac:dyDescent="0.3">
      <c r="A2178" t="s">
        <v>2239</v>
      </c>
      <c r="B2178" t="s">
        <v>16</v>
      </c>
      <c r="C2178" t="s">
        <v>2211</v>
      </c>
      <c r="D2178" s="1">
        <v>0.57499999999999996</v>
      </c>
      <c r="E2178" s="2">
        <f>CallLog[[#This Row],[Date]]+CallLog[[#This Row],[Time]]</f>
        <v>44234.574999999997</v>
      </c>
      <c r="F2178" s="1" t="str">
        <f>TEXT(CallLog[[#This Row],[Date]],"dddd")</f>
        <v>Sunday</v>
      </c>
      <c r="G2178" s="3">
        <f>HOUR(CallLog[[#This Row],[Time]])</f>
        <v>13</v>
      </c>
      <c r="H2178" t="s">
        <v>24</v>
      </c>
      <c r="I2178" t="s">
        <v>14</v>
      </c>
      <c r="J2178" t="s">
        <v>14</v>
      </c>
      <c r="K2178">
        <v>111</v>
      </c>
      <c r="L2178" t="str">
        <f>IF(AND(CallLog[[#This Row],[Answered (Y/N)]]="Y", CallLog[[#This Row],[Speed of answer in seconds]]&lt;=20),
    "Within",
    "Breach")</f>
        <v>Breach</v>
      </c>
      <c r="M2178" s="1">
        <v>4.6759259259259263E-3</v>
      </c>
      <c r="N2178">
        <v>5</v>
      </c>
    </row>
    <row r="2179" spans="1:14" x14ac:dyDescent="0.3">
      <c r="A2179" t="s">
        <v>2240</v>
      </c>
      <c r="B2179" t="s">
        <v>38</v>
      </c>
      <c r="C2179" t="s">
        <v>2211</v>
      </c>
      <c r="D2179" s="1">
        <v>0.57499999999999996</v>
      </c>
      <c r="E2179" s="2">
        <f>CallLog[[#This Row],[Date]]+CallLog[[#This Row],[Time]]</f>
        <v>44234.574999999997</v>
      </c>
      <c r="F2179" s="1" t="str">
        <f>TEXT(CallLog[[#This Row],[Date]],"dddd")</f>
        <v>Sunday</v>
      </c>
      <c r="G2179" s="3">
        <f>HOUR(CallLog[[#This Row],[Time]])</f>
        <v>13</v>
      </c>
      <c r="H2179" t="s">
        <v>17</v>
      </c>
      <c r="I2179" t="s">
        <v>14</v>
      </c>
      <c r="J2179" t="s">
        <v>14</v>
      </c>
      <c r="K2179">
        <v>85</v>
      </c>
      <c r="L2179" t="str">
        <f>IF(AND(CallLog[[#This Row],[Answered (Y/N)]]="Y", CallLog[[#This Row],[Speed of answer in seconds]]&lt;=20),
    "Within",
    "Breach")</f>
        <v>Breach</v>
      </c>
      <c r="M2179" s="1">
        <v>3.2754629629629631E-3</v>
      </c>
      <c r="N2179">
        <v>1</v>
      </c>
    </row>
    <row r="2180" spans="1:14" x14ac:dyDescent="0.3">
      <c r="A2180" t="s">
        <v>2241</v>
      </c>
      <c r="B2180" t="s">
        <v>11</v>
      </c>
      <c r="C2180" t="s">
        <v>2211</v>
      </c>
      <c r="D2180" s="1">
        <v>0.57799768518518524</v>
      </c>
      <c r="E2180" s="2">
        <f>CallLog[[#This Row],[Date]]+CallLog[[#This Row],[Time]]</f>
        <v>44234.577997685185</v>
      </c>
      <c r="F2180" s="1" t="str">
        <f>TEXT(CallLog[[#This Row],[Date]],"dddd")</f>
        <v>Sunday</v>
      </c>
      <c r="G2180" s="3">
        <f>HOUR(CallLog[[#This Row],[Time]])</f>
        <v>13</v>
      </c>
      <c r="H2180" t="s">
        <v>17</v>
      </c>
      <c r="I2180" t="s">
        <v>14</v>
      </c>
      <c r="J2180" t="s">
        <v>18</v>
      </c>
      <c r="K2180">
        <v>58</v>
      </c>
      <c r="L2180" t="str">
        <f>IF(AND(CallLog[[#This Row],[Answered (Y/N)]]="Y", CallLog[[#This Row],[Speed of answer in seconds]]&lt;=20),
    "Within",
    "Breach")</f>
        <v>Breach</v>
      </c>
      <c r="M2180" s="1">
        <v>1.0532407407407407E-3</v>
      </c>
      <c r="N2180">
        <v>2</v>
      </c>
    </row>
    <row r="2181" spans="1:14" x14ac:dyDescent="0.3">
      <c r="A2181" t="s">
        <v>2242</v>
      </c>
      <c r="B2181" t="s">
        <v>47</v>
      </c>
      <c r="C2181" t="s">
        <v>2211</v>
      </c>
      <c r="D2181" s="1">
        <v>0.57799768518518524</v>
      </c>
      <c r="E2181" s="2">
        <f>CallLog[[#This Row],[Date]]+CallLog[[#This Row],[Time]]</f>
        <v>44234.577997685185</v>
      </c>
      <c r="F2181" s="1" t="str">
        <f>TEXT(CallLog[[#This Row],[Date]],"dddd")</f>
        <v>Sunday</v>
      </c>
      <c r="G2181" s="3">
        <f>HOUR(CallLog[[#This Row],[Time]])</f>
        <v>13</v>
      </c>
      <c r="H2181" t="s">
        <v>29</v>
      </c>
      <c r="I2181" t="s">
        <v>18</v>
      </c>
      <c r="J2181" t="s">
        <v>18</v>
      </c>
      <c r="L2181" t="str">
        <f>IF(AND(CallLog[[#This Row],[Answered (Y/N)]]="Y", CallLog[[#This Row],[Speed of answer in seconds]]&lt;=20),
    "Within",
    "Breach")</f>
        <v>Breach</v>
      </c>
    </row>
    <row r="2182" spans="1:14" x14ac:dyDescent="0.3">
      <c r="A2182" t="s">
        <v>2243</v>
      </c>
      <c r="B2182" t="s">
        <v>22</v>
      </c>
      <c r="C2182" t="s">
        <v>2211</v>
      </c>
      <c r="D2182" s="1">
        <v>0.58900462962962963</v>
      </c>
      <c r="E2182" s="2">
        <f>CallLog[[#This Row],[Date]]+CallLog[[#This Row],[Time]]</f>
        <v>44234.589004629626</v>
      </c>
      <c r="F2182" s="1" t="str">
        <f>TEXT(CallLog[[#This Row],[Date]],"dddd")</f>
        <v>Sunday</v>
      </c>
      <c r="G2182" s="3">
        <f>HOUR(CallLog[[#This Row],[Time]])</f>
        <v>14</v>
      </c>
      <c r="H2182" t="s">
        <v>24</v>
      </c>
      <c r="I2182" t="s">
        <v>14</v>
      </c>
      <c r="J2182" t="s">
        <v>14</v>
      </c>
      <c r="K2182">
        <v>14</v>
      </c>
      <c r="L2182" t="str">
        <f>IF(AND(CallLog[[#This Row],[Answered (Y/N)]]="Y", CallLog[[#This Row],[Speed of answer in seconds]]&lt;=20),
    "Within",
    "Breach")</f>
        <v>Within</v>
      </c>
      <c r="M2182" s="1">
        <v>2.2800925925925927E-3</v>
      </c>
      <c r="N2182">
        <v>4</v>
      </c>
    </row>
    <row r="2183" spans="1:14" x14ac:dyDescent="0.3">
      <c r="A2183" t="s">
        <v>2244</v>
      </c>
      <c r="B2183" t="s">
        <v>38</v>
      </c>
      <c r="C2183" t="s">
        <v>2211</v>
      </c>
      <c r="D2183" s="1">
        <v>0.58900462962962963</v>
      </c>
      <c r="E2183" s="2">
        <f>CallLog[[#This Row],[Date]]+CallLog[[#This Row],[Time]]</f>
        <v>44234.589004629626</v>
      </c>
      <c r="F2183" s="1" t="str">
        <f>TEXT(CallLog[[#This Row],[Date]],"dddd")</f>
        <v>Sunday</v>
      </c>
      <c r="G2183" s="3">
        <f>HOUR(CallLog[[#This Row],[Time]])</f>
        <v>14</v>
      </c>
      <c r="H2183" t="s">
        <v>24</v>
      </c>
      <c r="I2183" t="s">
        <v>14</v>
      </c>
      <c r="J2183" t="s">
        <v>14</v>
      </c>
      <c r="K2183">
        <v>40</v>
      </c>
      <c r="L2183" t="str">
        <f>IF(AND(CallLog[[#This Row],[Answered (Y/N)]]="Y", CallLog[[#This Row],[Speed of answer in seconds]]&lt;=20),
    "Within",
    "Breach")</f>
        <v>Breach</v>
      </c>
      <c r="M2183" s="1">
        <v>3.0902777777777777E-3</v>
      </c>
      <c r="N2183">
        <v>4</v>
      </c>
    </row>
    <row r="2184" spans="1:14" x14ac:dyDescent="0.3">
      <c r="A2184" t="s">
        <v>2245</v>
      </c>
      <c r="B2184" t="s">
        <v>31</v>
      </c>
      <c r="C2184" t="s">
        <v>2211</v>
      </c>
      <c r="D2184" s="1">
        <v>0.59</v>
      </c>
      <c r="E2184" s="2">
        <f>CallLog[[#This Row],[Date]]+CallLog[[#This Row],[Time]]</f>
        <v>44234.59</v>
      </c>
      <c r="F2184" s="1" t="str">
        <f>TEXT(CallLog[[#This Row],[Date]],"dddd")</f>
        <v>Sunday</v>
      </c>
      <c r="G2184" s="3">
        <f>HOUR(CallLog[[#This Row],[Time]])</f>
        <v>14</v>
      </c>
      <c r="H2184" t="s">
        <v>13</v>
      </c>
      <c r="I2184" t="s">
        <v>14</v>
      </c>
      <c r="J2184" t="s">
        <v>14</v>
      </c>
      <c r="K2184">
        <v>51</v>
      </c>
      <c r="L2184" t="str">
        <f>IF(AND(CallLog[[#This Row],[Answered (Y/N)]]="Y", CallLog[[#This Row],[Speed of answer in seconds]]&lt;=20),
    "Within",
    "Breach")</f>
        <v>Breach</v>
      </c>
      <c r="M2184" s="1">
        <v>3.6342592592592594E-3</v>
      </c>
      <c r="N2184">
        <v>3</v>
      </c>
    </row>
    <row r="2185" spans="1:14" x14ac:dyDescent="0.3">
      <c r="A2185" t="s">
        <v>2246</v>
      </c>
      <c r="B2185" t="s">
        <v>22</v>
      </c>
      <c r="C2185" t="s">
        <v>2211</v>
      </c>
      <c r="D2185" s="1">
        <v>0.59</v>
      </c>
      <c r="E2185" s="2">
        <f>CallLog[[#This Row],[Date]]+CallLog[[#This Row],[Time]]</f>
        <v>44234.59</v>
      </c>
      <c r="F2185" s="1" t="str">
        <f>TEXT(CallLog[[#This Row],[Date]],"dddd")</f>
        <v>Sunday</v>
      </c>
      <c r="G2185" s="3">
        <f>HOUR(CallLog[[#This Row],[Time]])</f>
        <v>14</v>
      </c>
      <c r="H2185" t="s">
        <v>32</v>
      </c>
      <c r="I2185" t="s">
        <v>14</v>
      </c>
      <c r="J2185" t="s">
        <v>18</v>
      </c>
      <c r="K2185">
        <v>16</v>
      </c>
      <c r="L2185" t="str">
        <f>IF(AND(CallLog[[#This Row],[Answered (Y/N)]]="Y", CallLog[[#This Row],[Speed of answer in seconds]]&lt;=20),
    "Within",
    "Breach")</f>
        <v>Within</v>
      </c>
      <c r="M2185" s="1">
        <v>4.0162037037037041E-3</v>
      </c>
      <c r="N2185">
        <v>3</v>
      </c>
    </row>
    <row r="2186" spans="1:14" x14ac:dyDescent="0.3">
      <c r="A2186" t="s">
        <v>2247</v>
      </c>
      <c r="B2186" t="s">
        <v>22</v>
      </c>
      <c r="C2186" t="s">
        <v>2211</v>
      </c>
      <c r="D2186" s="1">
        <v>0.59799768518518515</v>
      </c>
      <c r="E2186" s="2">
        <f>CallLog[[#This Row],[Date]]+CallLog[[#This Row],[Time]]</f>
        <v>44234.597997685189</v>
      </c>
      <c r="F2186" s="1" t="str">
        <f>TEXT(CallLog[[#This Row],[Date]],"dddd")</f>
        <v>Sunday</v>
      </c>
      <c r="G2186" s="3">
        <f>HOUR(CallLog[[#This Row],[Time]])</f>
        <v>14</v>
      </c>
      <c r="H2186" t="s">
        <v>13</v>
      </c>
      <c r="I2186" t="s">
        <v>14</v>
      </c>
      <c r="J2186" t="s">
        <v>14</v>
      </c>
      <c r="K2186">
        <v>27</v>
      </c>
      <c r="L2186" t="str">
        <f>IF(AND(CallLog[[#This Row],[Answered (Y/N)]]="Y", CallLog[[#This Row],[Speed of answer in seconds]]&lt;=20),
    "Within",
    "Breach")</f>
        <v>Breach</v>
      </c>
      <c r="M2186" s="1">
        <v>2.6967592592592594E-3</v>
      </c>
      <c r="N2186">
        <v>3</v>
      </c>
    </row>
    <row r="2187" spans="1:14" x14ac:dyDescent="0.3">
      <c r="A2187" t="s">
        <v>2248</v>
      </c>
      <c r="B2187" t="s">
        <v>38</v>
      </c>
      <c r="C2187" t="s">
        <v>2211</v>
      </c>
      <c r="D2187" s="1">
        <v>0.59799768518518515</v>
      </c>
      <c r="E2187" s="2">
        <f>CallLog[[#This Row],[Date]]+CallLog[[#This Row],[Time]]</f>
        <v>44234.597997685189</v>
      </c>
      <c r="F2187" s="1" t="str">
        <f>TEXT(CallLog[[#This Row],[Date]],"dddd")</f>
        <v>Sunday</v>
      </c>
      <c r="G2187" s="3">
        <f>HOUR(CallLog[[#This Row],[Time]])</f>
        <v>14</v>
      </c>
      <c r="H2187" t="s">
        <v>13</v>
      </c>
      <c r="I2187" t="s">
        <v>14</v>
      </c>
      <c r="J2187" t="s">
        <v>14</v>
      </c>
      <c r="K2187">
        <v>14</v>
      </c>
      <c r="L2187" t="str">
        <f>IF(AND(CallLog[[#This Row],[Answered (Y/N)]]="Y", CallLog[[#This Row],[Speed of answer in seconds]]&lt;=20),
    "Within",
    "Breach")</f>
        <v>Within</v>
      </c>
      <c r="M2187" s="1">
        <v>4.4907407407407405E-3</v>
      </c>
      <c r="N2187">
        <v>1</v>
      </c>
    </row>
    <row r="2188" spans="1:14" x14ac:dyDescent="0.3">
      <c r="A2188" t="s">
        <v>2249</v>
      </c>
      <c r="B2188" t="s">
        <v>38</v>
      </c>
      <c r="C2188" t="s">
        <v>2211</v>
      </c>
      <c r="D2188" s="1">
        <v>0.63900462962962967</v>
      </c>
      <c r="E2188" s="2">
        <f>CallLog[[#This Row],[Date]]+CallLog[[#This Row],[Time]]</f>
        <v>44234.639004629629</v>
      </c>
      <c r="F2188" s="1" t="str">
        <f>TEXT(CallLog[[#This Row],[Date]],"dddd")</f>
        <v>Sunday</v>
      </c>
      <c r="G2188" s="3">
        <f>HOUR(CallLog[[#This Row],[Time]])</f>
        <v>15</v>
      </c>
      <c r="H2188" t="s">
        <v>24</v>
      </c>
      <c r="I2188" t="s">
        <v>14</v>
      </c>
      <c r="J2188" t="s">
        <v>14</v>
      </c>
      <c r="K2188">
        <v>105</v>
      </c>
      <c r="L2188" t="str">
        <f>IF(AND(CallLog[[#This Row],[Answered (Y/N)]]="Y", CallLog[[#This Row],[Speed of answer in seconds]]&lt;=20),
    "Within",
    "Breach")</f>
        <v>Breach</v>
      </c>
      <c r="M2188" s="1">
        <v>2.9745370370370373E-3</v>
      </c>
      <c r="N2188">
        <v>4</v>
      </c>
    </row>
    <row r="2189" spans="1:14" x14ac:dyDescent="0.3">
      <c r="A2189" t="s">
        <v>2250</v>
      </c>
      <c r="B2189" t="s">
        <v>11</v>
      </c>
      <c r="C2189" t="s">
        <v>2211</v>
      </c>
      <c r="D2189" s="1">
        <v>0.63900462962962967</v>
      </c>
      <c r="E2189" s="2">
        <f>CallLog[[#This Row],[Date]]+CallLog[[#This Row],[Time]]</f>
        <v>44234.639004629629</v>
      </c>
      <c r="F2189" s="1" t="str">
        <f>TEXT(CallLog[[#This Row],[Date]],"dddd")</f>
        <v>Sunday</v>
      </c>
      <c r="G2189" s="3">
        <f>HOUR(CallLog[[#This Row],[Time]])</f>
        <v>15</v>
      </c>
      <c r="H2189" t="s">
        <v>32</v>
      </c>
      <c r="I2189" t="s">
        <v>14</v>
      </c>
      <c r="J2189" t="s">
        <v>14</v>
      </c>
      <c r="K2189">
        <v>77</v>
      </c>
      <c r="L2189" t="str">
        <f>IF(AND(CallLog[[#This Row],[Answered (Y/N)]]="Y", CallLog[[#This Row],[Speed of answer in seconds]]&lt;=20),
    "Within",
    "Breach")</f>
        <v>Breach</v>
      </c>
      <c r="M2189" s="1">
        <v>7.5231481481481482E-4</v>
      </c>
      <c r="N2189">
        <v>4</v>
      </c>
    </row>
    <row r="2190" spans="1:14" x14ac:dyDescent="0.3">
      <c r="A2190" t="s">
        <v>2251</v>
      </c>
      <c r="B2190" t="s">
        <v>22</v>
      </c>
      <c r="C2190" t="s">
        <v>2211</v>
      </c>
      <c r="D2190" s="1">
        <v>0.67299768518518521</v>
      </c>
      <c r="E2190" s="2">
        <f>CallLog[[#This Row],[Date]]+CallLog[[#This Row],[Time]]</f>
        <v>44234.672997685186</v>
      </c>
      <c r="F2190" s="1" t="str">
        <f>TEXT(CallLog[[#This Row],[Date]],"dddd")</f>
        <v>Sunday</v>
      </c>
      <c r="G2190" s="3">
        <f>HOUR(CallLog[[#This Row],[Time]])</f>
        <v>16</v>
      </c>
      <c r="H2190" t="s">
        <v>24</v>
      </c>
      <c r="I2190" t="s">
        <v>14</v>
      </c>
      <c r="J2190" t="s">
        <v>18</v>
      </c>
      <c r="K2190">
        <v>71</v>
      </c>
      <c r="L2190" t="str">
        <f>IF(AND(CallLog[[#This Row],[Answered (Y/N)]]="Y", CallLog[[#This Row],[Speed of answer in seconds]]&lt;=20),
    "Within",
    "Breach")</f>
        <v>Breach</v>
      </c>
      <c r="M2190" s="1">
        <v>2.4074074074074076E-3</v>
      </c>
      <c r="N2190">
        <v>3</v>
      </c>
    </row>
    <row r="2191" spans="1:14" x14ac:dyDescent="0.3">
      <c r="A2191" t="s">
        <v>2252</v>
      </c>
      <c r="B2191" t="s">
        <v>47</v>
      </c>
      <c r="C2191" t="s">
        <v>2211</v>
      </c>
      <c r="D2191" s="1">
        <v>0.67299768518518521</v>
      </c>
      <c r="E2191" s="2">
        <f>CallLog[[#This Row],[Date]]+CallLog[[#This Row],[Time]]</f>
        <v>44234.672997685186</v>
      </c>
      <c r="F2191" s="1" t="str">
        <f>TEXT(CallLog[[#This Row],[Date]],"dddd")</f>
        <v>Sunday</v>
      </c>
      <c r="G2191" s="3">
        <f>HOUR(CallLog[[#This Row],[Time]])</f>
        <v>16</v>
      </c>
      <c r="H2191" t="s">
        <v>24</v>
      </c>
      <c r="I2191" t="s">
        <v>14</v>
      </c>
      <c r="J2191" t="s">
        <v>14</v>
      </c>
      <c r="K2191">
        <v>105</v>
      </c>
      <c r="L2191" t="str">
        <f>IF(AND(CallLog[[#This Row],[Answered (Y/N)]]="Y", CallLog[[#This Row],[Speed of answer in seconds]]&lt;=20),
    "Within",
    "Breach")</f>
        <v>Breach</v>
      </c>
      <c r="M2191" s="1">
        <v>2.9629629629629628E-3</v>
      </c>
      <c r="N2191">
        <v>4</v>
      </c>
    </row>
    <row r="2192" spans="1:14" x14ac:dyDescent="0.3">
      <c r="A2192" t="s">
        <v>2253</v>
      </c>
      <c r="B2192" t="s">
        <v>20</v>
      </c>
      <c r="C2192" t="s">
        <v>2211</v>
      </c>
      <c r="D2192" s="1">
        <v>0.68</v>
      </c>
      <c r="E2192" s="2">
        <f>CallLog[[#This Row],[Date]]+CallLog[[#This Row],[Time]]</f>
        <v>44234.68</v>
      </c>
      <c r="F2192" s="1" t="str">
        <f>TEXT(CallLog[[#This Row],[Date]],"dddd")</f>
        <v>Sunday</v>
      </c>
      <c r="G2192" s="3">
        <f>HOUR(CallLog[[#This Row],[Time]])</f>
        <v>16</v>
      </c>
      <c r="H2192" t="s">
        <v>29</v>
      </c>
      <c r="I2192" t="s">
        <v>14</v>
      </c>
      <c r="J2192" t="s">
        <v>14</v>
      </c>
      <c r="K2192">
        <v>107</v>
      </c>
      <c r="L2192" t="str">
        <f>IF(AND(CallLog[[#This Row],[Answered (Y/N)]]="Y", CallLog[[#This Row],[Speed of answer in seconds]]&lt;=20),
    "Within",
    "Breach")</f>
        <v>Breach</v>
      </c>
      <c r="M2192" s="1">
        <v>3.9583333333333337E-3</v>
      </c>
      <c r="N2192">
        <v>4</v>
      </c>
    </row>
    <row r="2193" spans="1:14" x14ac:dyDescent="0.3">
      <c r="A2193" t="s">
        <v>2254</v>
      </c>
      <c r="B2193" t="s">
        <v>38</v>
      </c>
      <c r="C2193" t="s">
        <v>2211</v>
      </c>
      <c r="D2193" s="1">
        <v>0.68</v>
      </c>
      <c r="E2193" s="2">
        <f>CallLog[[#This Row],[Date]]+CallLog[[#This Row],[Time]]</f>
        <v>44234.68</v>
      </c>
      <c r="F2193" s="1" t="str">
        <f>TEXT(CallLog[[#This Row],[Date]],"dddd")</f>
        <v>Sunday</v>
      </c>
      <c r="G2193" s="3">
        <f>HOUR(CallLog[[#This Row],[Time]])</f>
        <v>16</v>
      </c>
      <c r="H2193" t="s">
        <v>17</v>
      </c>
      <c r="I2193" t="s">
        <v>18</v>
      </c>
      <c r="J2193" t="s">
        <v>18</v>
      </c>
      <c r="L2193" t="str">
        <f>IF(AND(CallLog[[#This Row],[Answered (Y/N)]]="Y", CallLog[[#This Row],[Speed of answer in seconds]]&lt;=20),
    "Within",
    "Breach")</f>
        <v>Breach</v>
      </c>
    </row>
    <row r="2194" spans="1:14" x14ac:dyDescent="0.3">
      <c r="A2194" t="s">
        <v>2255</v>
      </c>
      <c r="B2194" t="s">
        <v>16</v>
      </c>
      <c r="C2194" t="s">
        <v>2211</v>
      </c>
      <c r="D2194" s="1">
        <v>0.68799768518518523</v>
      </c>
      <c r="E2194" s="2">
        <f>CallLog[[#This Row],[Date]]+CallLog[[#This Row],[Time]]</f>
        <v>44234.687997685185</v>
      </c>
      <c r="F2194" s="1" t="str">
        <f>TEXT(CallLog[[#This Row],[Date]],"dddd")</f>
        <v>Sunday</v>
      </c>
      <c r="G2194" s="3">
        <f>HOUR(CallLog[[#This Row],[Time]])</f>
        <v>16</v>
      </c>
      <c r="H2194" t="s">
        <v>29</v>
      </c>
      <c r="I2194" t="s">
        <v>14</v>
      </c>
      <c r="J2194" t="s">
        <v>14</v>
      </c>
      <c r="K2194">
        <v>53</v>
      </c>
      <c r="L2194" t="str">
        <f>IF(AND(CallLog[[#This Row],[Answered (Y/N)]]="Y", CallLog[[#This Row],[Speed of answer in seconds]]&lt;=20),
    "Within",
    "Breach")</f>
        <v>Breach</v>
      </c>
      <c r="M2194" s="1">
        <v>2.7083333333333334E-3</v>
      </c>
      <c r="N2194">
        <v>2</v>
      </c>
    </row>
    <row r="2195" spans="1:14" x14ac:dyDescent="0.3">
      <c r="A2195" t="s">
        <v>2256</v>
      </c>
      <c r="B2195" t="s">
        <v>34</v>
      </c>
      <c r="C2195" t="s">
        <v>2211</v>
      </c>
      <c r="D2195" s="1">
        <v>0.68799768518518523</v>
      </c>
      <c r="E2195" s="2">
        <f>CallLog[[#This Row],[Date]]+CallLog[[#This Row],[Time]]</f>
        <v>44234.687997685185</v>
      </c>
      <c r="F2195" s="1" t="str">
        <f>TEXT(CallLog[[#This Row],[Date]],"dddd")</f>
        <v>Sunday</v>
      </c>
      <c r="G2195" s="3">
        <f>HOUR(CallLog[[#This Row],[Time]])</f>
        <v>16</v>
      </c>
      <c r="H2195" t="s">
        <v>13</v>
      </c>
      <c r="I2195" t="s">
        <v>14</v>
      </c>
      <c r="J2195" t="s">
        <v>14</v>
      </c>
      <c r="K2195">
        <v>109</v>
      </c>
      <c r="L2195" t="str">
        <f>IF(AND(CallLog[[#This Row],[Answered (Y/N)]]="Y", CallLog[[#This Row],[Speed of answer in seconds]]&lt;=20),
    "Within",
    "Breach")</f>
        <v>Breach</v>
      </c>
      <c r="M2195" s="1">
        <v>2.5462962962962965E-3</v>
      </c>
      <c r="N2195">
        <v>4</v>
      </c>
    </row>
    <row r="2196" spans="1:14" x14ac:dyDescent="0.3">
      <c r="A2196" t="s">
        <v>2257</v>
      </c>
      <c r="B2196" t="s">
        <v>16</v>
      </c>
      <c r="C2196" t="s">
        <v>2211</v>
      </c>
      <c r="D2196" s="1">
        <v>0.68799768518518523</v>
      </c>
      <c r="E2196" s="2">
        <f>CallLog[[#This Row],[Date]]+CallLog[[#This Row],[Time]]</f>
        <v>44234.687997685185</v>
      </c>
      <c r="F2196" s="1" t="str">
        <f>TEXT(CallLog[[#This Row],[Date]],"dddd")</f>
        <v>Sunday</v>
      </c>
      <c r="G2196" s="3">
        <f>HOUR(CallLog[[#This Row],[Time]])</f>
        <v>16</v>
      </c>
      <c r="H2196" t="s">
        <v>17</v>
      </c>
      <c r="I2196" t="s">
        <v>14</v>
      </c>
      <c r="J2196" t="s">
        <v>14</v>
      </c>
      <c r="K2196">
        <v>18</v>
      </c>
      <c r="L2196" t="str">
        <f>IF(AND(CallLog[[#This Row],[Answered (Y/N)]]="Y", CallLog[[#This Row],[Speed of answer in seconds]]&lt;=20),
    "Within",
    "Breach")</f>
        <v>Within</v>
      </c>
      <c r="M2196" s="1">
        <v>2.9745370370370373E-3</v>
      </c>
      <c r="N2196">
        <v>4</v>
      </c>
    </row>
    <row r="2197" spans="1:14" x14ac:dyDescent="0.3">
      <c r="A2197" t="s">
        <v>2258</v>
      </c>
      <c r="B2197" t="s">
        <v>47</v>
      </c>
      <c r="C2197" t="s">
        <v>2211</v>
      </c>
      <c r="D2197" s="1">
        <v>0.68799768518518523</v>
      </c>
      <c r="E2197" s="2">
        <f>CallLog[[#This Row],[Date]]+CallLog[[#This Row],[Time]]</f>
        <v>44234.687997685185</v>
      </c>
      <c r="F2197" s="1" t="str">
        <f>TEXT(CallLog[[#This Row],[Date]],"dddd")</f>
        <v>Sunday</v>
      </c>
      <c r="G2197" s="3">
        <f>HOUR(CallLog[[#This Row],[Time]])</f>
        <v>16</v>
      </c>
      <c r="H2197" t="s">
        <v>29</v>
      </c>
      <c r="I2197" t="s">
        <v>14</v>
      </c>
      <c r="J2197" t="s">
        <v>14</v>
      </c>
      <c r="K2197">
        <v>34</v>
      </c>
      <c r="L2197" t="str">
        <f>IF(AND(CallLog[[#This Row],[Answered (Y/N)]]="Y", CallLog[[#This Row],[Speed of answer in seconds]]&lt;=20),
    "Within",
    "Breach")</f>
        <v>Breach</v>
      </c>
      <c r="M2197" s="1">
        <v>2.3958333333333331E-3</v>
      </c>
      <c r="N2197">
        <v>3</v>
      </c>
    </row>
    <row r="2198" spans="1:14" x14ac:dyDescent="0.3">
      <c r="A2198" t="s">
        <v>2259</v>
      </c>
      <c r="B2198" t="s">
        <v>31</v>
      </c>
      <c r="C2198" t="s">
        <v>2211</v>
      </c>
      <c r="D2198" s="1">
        <v>0.6909953703703704</v>
      </c>
      <c r="E2198" s="2">
        <f>CallLog[[#This Row],[Date]]+CallLog[[#This Row],[Time]]</f>
        <v>44234.690995370373</v>
      </c>
      <c r="F2198" s="1" t="str">
        <f>TEXT(CallLog[[#This Row],[Date]],"dddd")</f>
        <v>Sunday</v>
      </c>
      <c r="G2198" s="3">
        <f>HOUR(CallLog[[#This Row],[Time]])</f>
        <v>16</v>
      </c>
      <c r="H2198" t="s">
        <v>24</v>
      </c>
      <c r="I2198" t="s">
        <v>18</v>
      </c>
      <c r="J2198" t="s">
        <v>18</v>
      </c>
      <c r="L2198" t="str">
        <f>IF(AND(CallLog[[#This Row],[Answered (Y/N)]]="Y", CallLog[[#This Row],[Speed of answer in seconds]]&lt;=20),
    "Within",
    "Breach")</f>
        <v>Breach</v>
      </c>
    </row>
    <row r="2199" spans="1:14" x14ac:dyDescent="0.3">
      <c r="A2199" t="s">
        <v>2260</v>
      </c>
      <c r="B2199" t="s">
        <v>38</v>
      </c>
      <c r="C2199" t="s">
        <v>2211</v>
      </c>
      <c r="D2199" s="1">
        <v>0.6909953703703704</v>
      </c>
      <c r="E2199" s="2">
        <f>CallLog[[#This Row],[Date]]+CallLog[[#This Row],[Time]]</f>
        <v>44234.690995370373</v>
      </c>
      <c r="F2199" s="1" t="str">
        <f>TEXT(CallLog[[#This Row],[Date]],"dddd")</f>
        <v>Sunday</v>
      </c>
      <c r="G2199" s="3">
        <f>HOUR(CallLog[[#This Row],[Time]])</f>
        <v>16</v>
      </c>
      <c r="H2199" t="s">
        <v>13</v>
      </c>
      <c r="I2199" t="s">
        <v>14</v>
      </c>
      <c r="J2199" t="s">
        <v>14</v>
      </c>
      <c r="K2199">
        <v>102</v>
      </c>
      <c r="L2199" t="str">
        <f>IF(AND(CallLog[[#This Row],[Answered (Y/N)]]="Y", CallLog[[#This Row],[Speed of answer in seconds]]&lt;=20),
    "Within",
    "Breach")</f>
        <v>Breach</v>
      </c>
      <c r="M2199" s="1">
        <v>3.9699074074074072E-3</v>
      </c>
      <c r="N2199">
        <v>2</v>
      </c>
    </row>
    <row r="2200" spans="1:14" x14ac:dyDescent="0.3">
      <c r="A2200" t="s">
        <v>2261</v>
      </c>
      <c r="B2200" t="s">
        <v>38</v>
      </c>
      <c r="C2200" t="s">
        <v>2211</v>
      </c>
      <c r="D2200" s="1">
        <v>0.69400462962962961</v>
      </c>
      <c r="E2200" s="2">
        <f>CallLog[[#This Row],[Date]]+CallLog[[#This Row],[Time]]</f>
        <v>44234.694004629629</v>
      </c>
      <c r="F2200" s="1" t="str">
        <f>TEXT(CallLog[[#This Row],[Date]],"dddd")</f>
        <v>Sunday</v>
      </c>
      <c r="G2200" s="3">
        <f>HOUR(CallLog[[#This Row],[Time]])</f>
        <v>16</v>
      </c>
      <c r="H2200" t="s">
        <v>24</v>
      </c>
      <c r="I2200" t="s">
        <v>18</v>
      </c>
      <c r="J2200" t="s">
        <v>18</v>
      </c>
      <c r="L2200" t="str">
        <f>IF(AND(CallLog[[#This Row],[Answered (Y/N)]]="Y", CallLog[[#This Row],[Speed of answer in seconds]]&lt;=20),
    "Within",
    "Breach")</f>
        <v>Breach</v>
      </c>
    </row>
    <row r="2201" spans="1:14" x14ac:dyDescent="0.3">
      <c r="A2201" t="s">
        <v>2262</v>
      </c>
      <c r="B2201" t="s">
        <v>16</v>
      </c>
      <c r="C2201" t="s">
        <v>2211</v>
      </c>
      <c r="D2201" s="1">
        <v>0.69400462962962961</v>
      </c>
      <c r="E2201" s="2">
        <f>CallLog[[#This Row],[Date]]+CallLog[[#This Row],[Time]]</f>
        <v>44234.694004629629</v>
      </c>
      <c r="F2201" s="1" t="str">
        <f>TEXT(CallLog[[#This Row],[Date]],"dddd")</f>
        <v>Sunday</v>
      </c>
      <c r="G2201" s="3">
        <f>HOUR(CallLog[[#This Row],[Time]])</f>
        <v>16</v>
      </c>
      <c r="H2201" t="s">
        <v>24</v>
      </c>
      <c r="I2201" t="s">
        <v>18</v>
      </c>
      <c r="J2201" t="s">
        <v>18</v>
      </c>
      <c r="L2201" t="str">
        <f>IF(AND(CallLog[[#This Row],[Answered (Y/N)]]="Y", CallLog[[#This Row],[Speed of answer in seconds]]&lt;=20),
    "Within",
    "Breach")</f>
        <v>Breach</v>
      </c>
    </row>
    <row r="2202" spans="1:14" x14ac:dyDescent="0.3">
      <c r="A2202" t="s">
        <v>2263</v>
      </c>
      <c r="B2202" t="s">
        <v>20</v>
      </c>
      <c r="C2202" t="s">
        <v>2211</v>
      </c>
      <c r="D2202" s="1">
        <v>0.69700231481481478</v>
      </c>
      <c r="E2202" s="2">
        <f>CallLog[[#This Row],[Date]]+CallLog[[#This Row],[Time]]</f>
        <v>44234.697002314817</v>
      </c>
      <c r="F2202" s="1" t="str">
        <f>TEXT(CallLog[[#This Row],[Date]],"dddd")</f>
        <v>Sunday</v>
      </c>
      <c r="G2202" s="3">
        <f>HOUR(CallLog[[#This Row],[Time]])</f>
        <v>16</v>
      </c>
      <c r="H2202" t="s">
        <v>24</v>
      </c>
      <c r="I2202" t="s">
        <v>14</v>
      </c>
      <c r="J2202" t="s">
        <v>14</v>
      </c>
      <c r="K2202">
        <v>111</v>
      </c>
      <c r="L2202" t="str">
        <f>IF(AND(CallLog[[#This Row],[Answered (Y/N)]]="Y", CallLog[[#This Row],[Speed of answer in seconds]]&lt;=20),
    "Within",
    "Breach")</f>
        <v>Breach</v>
      </c>
      <c r="M2202" s="1">
        <v>9.2592592592592596E-4</v>
      </c>
      <c r="N2202">
        <v>5</v>
      </c>
    </row>
    <row r="2203" spans="1:14" x14ac:dyDescent="0.3">
      <c r="A2203" t="s">
        <v>2264</v>
      </c>
      <c r="B2203" t="s">
        <v>22</v>
      </c>
      <c r="C2203" t="s">
        <v>2211</v>
      </c>
      <c r="D2203" s="1">
        <v>0.69700231481481478</v>
      </c>
      <c r="E2203" s="2">
        <f>CallLog[[#This Row],[Date]]+CallLog[[#This Row],[Time]]</f>
        <v>44234.697002314817</v>
      </c>
      <c r="F2203" s="1" t="str">
        <f>TEXT(CallLog[[#This Row],[Date]],"dddd")</f>
        <v>Sunday</v>
      </c>
      <c r="G2203" s="3">
        <f>HOUR(CallLog[[#This Row],[Time]])</f>
        <v>16</v>
      </c>
      <c r="H2203" t="s">
        <v>29</v>
      </c>
      <c r="I2203" t="s">
        <v>14</v>
      </c>
      <c r="J2203" t="s">
        <v>14</v>
      </c>
      <c r="K2203">
        <v>81</v>
      </c>
      <c r="L2203" t="str">
        <f>IF(AND(CallLog[[#This Row],[Answered (Y/N)]]="Y", CallLog[[#This Row],[Speed of answer in seconds]]&lt;=20),
    "Within",
    "Breach")</f>
        <v>Breach</v>
      </c>
      <c r="M2203" s="1">
        <v>2.9398148148148148E-3</v>
      </c>
      <c r="N2203">
        <v>4</v>
      </c>
    </row>
    <row r="2204" spans="1:14" x14ac:dyDescent="0.3">
      <c r="A2204" t="s">
        <v>2265</v>
      </c>
      <c r="B2204" t="s">
        <v>11</v>
      </c>
      <c r="C2204" t="s">
        <v>2211</v>
      </c>
      <c r="D2204" s="1">
        <v>0.72599537037037032</v>
      </c>
      <c r="E2204" s="2">
        <f>CallLog[[#This Row],[Date]]+CallLog[[#This Row],[Time]]</f>
        <v>44234.725995370369</v>
      </c>
      <c r="F2204" s="1" t="str">
        <f>TEXT(CallLog[[#This Row],[Date]],"dddd")</f>
        <v>Sunday</v>
      </c>
      <c r="G2204" s="3">
        <f>HOUR(CallLog[[#This Row],[Time]])</f>
        <v>17</v>
      </c>
      <c r="H2204" t="s">
        <v>29</v>
      </c>
      <c r="I2204" t="s">
        <v>14</v>
      </c>
      <c r="J2204" t="s">
        <v>14</v>
      </c>
      <c r="K2204">
        <v>97</v>
      </c>
      <c r="L2204" t="str">
        <f>IF(AND(CallLog[[#This Row],[Answered (Y/N)]]="Y", CallLog[[#This Row],[Speed of answer in seconds]]&lt;=20),
    "Within",
    "Breach")</f>
        <v>Breach</v>
      </c>
      <c r="M2204" s="1">
        <v>3.6226851851851854E-3</v>
      </c>
      <c r="N2204">
        <v>3</v>
      </c>
    </row>
    <row r="2205" spans="1:14" x14ac:dyDescent="0.3">
      <c r="A2205" t="s">
        <v>2266</v>
      </c>
      <c r="B2205" t="s">
        <v>22</v>
      </c>
      <c r="C2205" t="s">
        <v>2211</v>
      </c>
      <c r="D2205" s="1">
        <v>0.72599537037037032</v>
      </c>
      <c r="E2205" s="2">
        <f>CallLog[[#This Row],[Date]]+CallLog[[#This Row],[Time]]</f>
        <v>44234.725995370369</v>
      </c>
      <c r="F2205" s="1" t="str">
        <f>TEXT(CallLog[[#This Row],[Date]],"dddd")</f>
        <v>Sunday</v>
      </c>
      <c r="G2205" s="3">
        <f>HOUR(CallLog[[#This Row],[Time]])</f>
        <v>17</v>
      </c>
      <c r="H2205" t="s">
        <v>13</v>
      </c>
      <c r="I2205" t="s">
        <v>18</v>
      </c>
      <c r="J2205" t="s">
        <v>18</v>
      </c>
      <c r="L2205" t="str">
        <f>IF(AND(CallLog[[#This Row],[Answered (Y/N)]]="Y", CallLog[[#This Row],[Speed of answer in seconds]]&lt;=20),
    "Within",
    "Breach")</f>
        <v>Breach</v>
      </c>
    </row>
    <row r="2206" spans="1:14" x14ac:dyDescent="0.3">
      <c r="A2206" t="s">
        <v>2267</v>
      </c>
      <c r="B2206" t="s">
        <v>31</v>
      </c>
      <c r="C2206" t="s">
        <v>2268</v>
      </c>
      <c r="D2206" s="1">
        <v>0.375</v>
      </c>
      <c r="E2206" s="2">
        <f>CallLog[[#This Row],[Date]]+CallLog[[#This Row],[Time]]</f>
        <v>44235.375</v>
      </c>
      <c r="F2206" s="1" t="str">
        <f>TEXT(CallLog[[#This Row],[Date]],"dddd")</f>
        <v>Monday</v>
      </c>
      <c r="G2206" s="3">
        <f>HOUR(CallLog[[#This Row],[Time]])</f>
        <v>9</v>
      </c>
      <c r="H2206" t="s">
        <v>29</v>
      </c>
      <c r="I2206" t="s">
        <v>18</v>
      </c>
      <c r="J2206" t="s">
        <v>18</v>
      </c>
      <c r="L2206" t="str">
        <f>IF(AND(CallLog[[#This Row],[Answered (Y/N)]]="Y", CallLog[[#This Row],[Speed of answer in seconds]]&lt;=20),
    "Within",
    "Breach")</f>
        <v>Breach</v>
      </c>
    </row>
    <row r="2207" spans="1:14" x14ac:dyDescent="0.3">
      <c r="A2207" t="s">
        <v>2269</v>
      </c>
      <c r="B2207" t="s">
        <v>16</v>
      </c>
      <c r="C2207" t="s">
        <v>2268</v>
      </c>
      <c r="D2207" s="1">
        <v>0.375</v>
      </c>
      <c r="E2207" s="2">
        <f>CallLog[[#This Row],[Date]]+CallLog[[#This Row],[Time]]</f>
        <v>44235.375</v>
      </c>
      <c r="F2207" s="1" t="str">
        <f>TEXT(CallLog[[#This Row],[Date]],"dddd")</f>
        <v>Monday</v>
      </c>
      <c r="G2207" s="3">
        <f>HOUR(CallLog[[#This Row],[Time]])</f>
        <v>9</v>
      </c>
      <c r="H2207" t="s">
        <v>13</v>
      </c>
      <c r="I2207" t="s">
        <v>14</v>
      </c>
      <c r="J2207" t="s">
        <v>14</v>
      </c>
      <c r="K2207">
        <v>17</v>
      </c>
      <c r="L2207" t="str">
        <f>IF(AND(CallLog[[#This Row],[Answered (Y/N)]]="Y", CallLog[[#This Row],[Speed of answer in seconds]]&lt;=20),
    "Within",
    "Breach")</f>
        <v>Within</v>
      </c>
      <c r="M2207" s="1">
        <v>4.0393518518518521E-3</v>
      </c>
      <c r="N2207">
        <v>4</v>
      </c>
    </row>
    <row r="2208" spans="1:14" x14ac:dyDescent="0.3">
      <c r="A2208" t="s">
        <v>2270</v>
      </c>
      <c r="B2208" t="s">
        <v>16</v>
      </c>
      <c r="C2208" t="s">
        <v>2268</v>
      </c>
      <c r="D2208" s="1">
        <v>0.38599537037037035</v>
      </c>
      <c r="E2208" s="2">
        <f>CallLog[[#This Row],[Date]]+CallLog[[#This Row],[Time]]</f>
        <v>44235.385995370372</v>
      </c>
      <c r="F2208" s="1" t="str">
        <f>TEXT(CallLog[[#This Row],[Date]],"dddd")</f>
        <v>Monday</v>
      </c>
      <c r="G2208" s="3">
        <f>HOUR(CallLog[[#This Row],[Time]])</f>
        <v>9</v>
      </c>
      <c r="H2208" t="s">
        <v>29</v>
      </c>
      <c r="I2208" t="s">
        <v>14</v>
      </c>
      <c r="J2208" t="s">
        <v>14</v>
      </c>
      <c r="K2208">
        <v>116</v>
      </c>
      <c r="L2208" t="str">
        <f>IF(AND(CallLog[[#This Row],[Answered (Y/N)]]="Y", CallLog[[#This Row],[Speed of answer in seconds]]&lt;=20),
    "Within",
    "Breach")</f>
        <v>Breach</v>
      </c>
      <c r="M2208" s="1">
        <v>2.8356481481481483E-3</v>
      </c>
      <c r="N2208">
        <v>4</v>
      </c>
    </row>
    <row r="2209" spans="1:14" x14ac:dyDescent="0.3">
      <c r="A2209" t="s">
        <v>2271</v>
      </c>
      <c r="B2209" t="s">
        <v>34</v>
      </c>
      <c r="C2209" t="s">
        <v>2268</v>
      </c>
      <c r="D2209" s="1">
        <v>0.38599537037037035</v>
      </c>
      <c r="E2209" s="2">
        <f>CallLog[[#This Row],[Date]]+CallLog[[#This Row],[Time]]</f>
        <v>44235.385995370372</v>
      </c>
      <c r="F2209" s="1" t="str">
        <f>TEXT(CallLog[[#This Row],[Date]],"dddd")</f>
        <v>Monday</v>
      </c>
      <c r="G2209" s="3">
        <f>HOUR(CallLog[[#This Row],[Time]])</f>
        <v>9</v>
      </c>
      <c r="H2209" t="s">
        <v>24</v>
      </c>
      <c r="I2209" t="s">
        <v>14</v>
      </c>
      <c r="J2209" t="s">
        <v>14</v>
      </c>
      <c r="K2209">
        <v>112</v>
      </c>
      <c r="L2209" t="str">
        <f>IF(AND(CallLog[[#This Row],[Answered (Y/N)]]="Y", CallLog[[#This Row],[Speed of answer in seconds]]&lt;=20),
    "Within",
    "Breach")</f>
        <v>Breach</v>
      </c>
      <c r="M2209" s="1">
        <v>3.2754629629629631E-3</v>
      </c>
      <c r="N2209">
        <v>3</v>
      </c>
    </row>
    <row r="2210" spans="1:14" x14ac:dyDescent="0.3">
      <c r="A2210" t="s">
        <v>2272</v>
      </c>
      <c r="B2210" t="s">
        <v>11</v>
      </c>
      <c r="C2210" t="s">
        <v>2268</v>
      </c>
      <c r="D2210" s="1">
        <v>0.39099537037037035</v>
      </c>
      <c r="E2210" s="2">
        <f>CallLog[[#This Row],[Date]]+CallLog[[#This Row],[Time]]</f>
        <v>44235.39099537037</v>
      </c>
      <c r="F2210" s="1" t="str">
        <f>TEXT(CallLog[[#This Row],[Date]],"dddd")</f>
        <v>Monday</v>
      </c>
      <c r="G2210" s="3">
        <f>HOUR(CallLog[[#This Row],[Time]])</f>
        <v>9</v>
      </c>
      <c r="H2210" t="s">
        <v>29</v>
      </c>
      <c r="I2210" t="s">
        <v>14</v>
      </c>
      <c r="J2210" t="s">
        <v>14</v>
      </c>
      <c r="K2210">
        <v>40</v>
      </c>
      <c r="L2210" t="str">
        <f>IF(AND(CallLog[[#This Row],[Answered (Y/N)]]="Y", CallLog[[#This Row],[Speed of answer in seconds]]&lt;=20),
    "Within",
    "Breach")</f>
        <v>Breach</v>
      </c>
      <c r="M2210" s="1">
        <v>4.6296296296296294E-3</v>
      </c>
      <c r="N2210">
        <v>1</v>
      </c>
    </row>
    <row r="2211" spans="1:14" x14ac:dyDescent="0.3">
      <c r="A2211" t="s">
        <v>2273</v>
      </c>
      <c r="B2211" t="s">
        <v>16</v>
      </c>
      <c r="C2211" t="s">
        <v>2268</v>
      </c>
      <c r="D2211" s="1">
        <v>0.39099537037037035</v>
      </c>
      <c r="E2211" s="2">
        <f>CallLog[[#This Row],[Date]]+CallLog[[#This Row],[Time]]</f>
        <v>44235.39099537037</v>
      </c>
      <c r="F2211" s="1" t="str">
        <f>TEXT(CallLog[[#This Row],[Date]],"dddd")</f>
        <v>Monday</v>
      </c>
      <c r="G2211" s="3">
        <f>HOUR(CallLog[[#This Row],[Time]])</f>
        <v>9</v>
      </c>
      <c r="H2211" t="s">
        <v>29</v>
      </c>
      <c r="I2211" t="s">
        <v>14</v>
      </c>
      <c r="J2211" t="s">
        <v>14</v>
      </c>
      <c r="K2211">
        <v>120</v>
      </c>
      <c r="L2211" t="str">
        <f>IF(AND(CallLog[[#This Row],[Answered (Y/N)]]="Y", CallLog[[#This Row],[Speed of answer in seconds]]&lt;=20),
    "Within",
    "Breach")</f>
        <v>Breach</v>
      </c>
      <c r="M2211" s="1">
        <v>1.8634259259259259E-3</v>
      </c>
      <c r="N2211">
        <v>5</v>
      </c>
    </row>
    <row r="2212" spans="1:14" x14ac:dyDescent="0.3">
      <c r="A2212" t="s">
        <v>2274</v>
      </c>
      <c r="B2212" t="s">
        <v>34</v>
      </c>
      <c r="C2212" t="s">
        <v>2268</v>
      </c>
      <c r="D2212" s="1">
        <v>0.42200231481481482</v>
      </c>
      <c r="E2212" s="2">
        <f>CallLog[[#This Row],[Date]]+CallLog[[#This Row],[Time]]</f>
        <v>44235.422002314815</v>
      </c>
      <c r="F2212" s="1" t="str">
        <f>TEXT(CallLog[[#This Row],[Date]],"dddd")</f>
        <v>Monday</v>
      </c>
      <c r="G2212" s="3">
        <f>HOUR(CallLog[[#This Row],[Time]])</f>
        <v>10</v>
      </c>
      <c r="H2212" t="s">
        <v>24</v>
      </c>
      <c r="I2212" t="s">
        <v>14</v>
      </c>
      <c r="J2212" t="s">
        <v>14</v>
      </c>
      <c r="K2212">
        <v>24</v>
      </c>
      <c r="L2212" t="str">
        <f>IF(AND(CallLog[[#This Row],[Answered (Y/N)]]="Y", CallLog[[#This Row],[Speed of answer in seconds]]&lt;=20),
    "Within",
    "Breach")</f>
        <v>Breach</v>
      </c>
      <c r="M2212" s="1">
        <v>7.1759259259259259E-4</v>
      </c>
      <c r="N2212">
        <v>4</v>
      </c>
    </row>
    <row r="2213" spans="1:14" x14ac:dyDescent="0.3">
      <c r="A2213" t="s">
        <v>2275</v>
      </c>
      <c r="B2213" t="s">
        <v>11</v>
      </c>
      <c r="C2213" t="s">
        <v>2268</v>
      </c>
      <c r="D2213" s="1">
        <v>0.42200231481481482</v>
      </c>
      <c r="E2213" s="2">
        <f>CallLog[[#This Row],[Date]]+CallLog[[#This Row],[Time]]</f>
        <v>44235.422002314815</v>
      </c>
      <c r="F2213" s="1" t="str">
        <f>TEXT(CallLog[[#This Row],[Date]],"dddd")</f>
        <v>Monday</v>
      </c>
      <c r="G2213" s="3">
        <f>HOUR(CallLog[[#This Row],[Time]])</f>
        <v>10</v>
      </c>
      <c r="H2213" t="s">
        <v>13</v>
      </c>
      <c r="I2213" t="s">
        <v>18</v>
      </c>
      <c r="J2213" t="s">
        <v>18</v>
      </c>
      <c r="L2213" t="str">
        <f>IF(AND(CallLog[[#This Row],[Answered (Y/N)]]="Y", CallLog[[#This Row],[Speed of answer in seconds]]&lt;=20),
    "Within",
    "Breach")</f>
        <v>Breach</v>
      </c>
    </row>
    <row r="2214" spans="1:14" x14ac:dyDescent="0.3">
      <c r="A2214" t="s">
        <v>2276</v>
      </c>
      <c r="B2214" t="s">
        <v>20</v>
      </c>
      <c r="C2214" t="s">
        <v>2268</v>
      </c>
      <c r="D2214" s="1">
        <v>0.43900462962962961</v>
      </c>
      <c r="E2214" s="2">
        <f>CallLog[[#This Row],[Date]]+CallLog[[#This Row],[Time]]</f>
        <v>44235.439004629632</v>
      </c>
      <c r="F2214" s="1" t="str">
        <f>TEXT(CallLog[[#This Row],[Date]],"dddd")</f>
        <v>Monday</v>
      </c>
      <c r="G2214" s="3">
        <f>HOUR(CallLog[[#This Row],[Time]])</f>
        <v>10</v>
      </c>
      <c r="H2214" t="s">
        <v>17</v>
      </c>
      <c r="I2214" t="s">
        <v>14</v>
      </c>
      <c r="J2214" t="s">
        <v>14</v>
      </c>
      <c r="K2214">
        <v>122</v>
      </c>
      <c r="L2214" t="str">
        <f>IF(AND(CallLog[[#This Row],[Answered (Y/N)]]="Y", CallLog[[#This Row],[Speed of answer in seconds]]&lt;=20),
    "Within",
    "Breach")</f>
        <v>Breach</v>
      </c>
      <c r="M2214" s="1">
        <v>1.9560185185185184E-3</v>
      </c>
      <c r="N2214">
        <v>3</v>
      </c>
    </row>
    <row r="2215" spans="1:14" x14ac:dyDescent="0.3">
      <c r="A2215" t="s">
        <v>2277</v>
      </c>
      <c r="B2215" t="s">
        <v>20</v>
      </c>
      <c r="C2215" t="s">
        <v>2268</v>
      </c>
      <c r="D2215" s="1">
        <v>0.43900462962962961</v>
      </c>
      <c r="E2215" s="2">
        <f>CallLog[[#This Row],[Date]]+CallLog[[#This Row],[Time]]</f>
        <v>44235.439004629632</v>
      </c>
      <c r="F2215" s="1" t="str">
        <f>TEXT(CallLog[[#This Row],[Date]],"dddd")</f>
        <v>Monday</v>
      </c>
      <c r="G2215" s="3">
        <f>HOUR(CallLog[[#This Row],[Time]])</f>
        <v>10</v>
      </c>
      <c r="H2215" t="s">
        <v>32</v>
      </c>
      <c r="I2215" t="s">
        <v>14</v>
      </c>
      <c r="J2215" t="s">
        <v>14</v>
      </c>
      <c r="K2215">
        <v>21</v>
      </c>
      <c r="L2215" t="str">
        <f>IF(AND(CallLog[[#This Row],[Answered (Y/N)]]="Y", CallLog[[#This Row],[Speed of answer in seconds]]&lt;=20),
    "Within",
    "Breach")</f>
        <v>Breach</v>
      </c>
      <c r="M2215" s="1">
        <v>4.2476851851851851E-3</v>
      </c>
      <c r="N2215">
        <v>3</v>
      </c>
    </row>
    <row r="2216" spans="1:14" x14ac:dyDescent="0.3">
      <c r="A2216" t="s">
        <v>2278</v>
      </c>
      <c r="B2216" t="s">
        <v>47</v>
      </c>
      <c r="C2216" t="s">
        <v>2268</v>
      </c>
      <c r="D2216" s="1">
        <v>0.50799768518518518</v>
      </c>
      <c r="E2216" s="2">
        <f>CallLog[[#This Row],[Date]]+CallLog[[#This Row],[Time]]</f>
        <v>44235.507997685185</v>
      </c>
      <c r="F2216" s="1" t="str">
        <f>TEXT(CallLog[[#This Row],[Date]],"dddd")</f>
        <v>Monday</v>
      </c>
      <c r="G2216" s="3">
        <f>HOUR(CallLog[[#This Row],[Time]])</f>
        <v>12</v>
      </c>
      <c r="H2216" t="s">
        <v>13</v>
      </c>
      <c r="I2216" t="s">
        <v>14</v>
      </c>
      <c r="J2216" t="s">
        <v>14</v>
      </c>
      <c r="K2216">
        <v>16</v>
      </c>
      <c r="L2216" t="str">
        <f>IF(AND(CallLog[[#This Row],[Answered (Y/N)]]="Y", CallLog[[#This Row],[Speed of answer in seconds]]&lt;=20),
    "Within",
    "Breach")</f>
        <v>Within</v>
      </c>
      <c r="M2216" s="1">
        <v>3.6111111111111109E-3</v>
      </c>
      <c r="N2216">
        <v>5</v>
      </c>
    </row>
    <row r="2217" spans="1:14" x14ac:dyDescent="0.3">
      <c r="A2217" t="s">
        <v>2279</v>
      </c>
      <c r="B2217" t="s">
        <v>20</v>
      </c>
      <c r="C2217" t="s">
        <v>2268</v>
      </c>
      <c r="D2217" s="1">
        <v>0.50799768518518518</v>
      </c>
      <c r="E2217" s="2">
        <f>CallLog[[#This Row],[Date]]+CallLog[[#This Row],[Time]]</f>
        <v>44235.507997685185</v>
      </c>
      <c r="F2217" s="1" t="str">
        <f>TEXT(CallLog[[#This Row],[Date]],"dddd")</f>
        <v>Monday</v>
      </c>
      <c r="G2217" s="3">
        <f>HOUR(CallLog[[#This Row],[Time]])</f>
        <v>12</v>
      </c>
      <c r="H2217" t="s">
        <v>32</v>
      </c>
      <c r="I2217" t="s">
        <v>18</v>
      </c>
      <c r="J2217" t="s">
        <v>18</v>
      </c>
      <c r="L2217" t="str">
        <f>IF(AND(CallLog[[#This Row],[Answered (Y/N)]]="Y", CallLog[[#This Row],[Speed of answer in seconds]]&lt;=20),
    "Within",
    "Breach")</f>
        <v>Breach</v>
      </c>
    </row>
    <row r="2218" spans="1:14" x14ac:dyDescent="0.3">
      <c r="A2218" t="s">
        <v>2280</v>
      </c>
      <c r="B2218" t="s">
        <v>22</v>
      </c>
      <c r="C2218" t="s">
        <v>2268</v>
      </c>
      <c r="D2218" s="1">
        <v>0.54799768518518521</v>
      </c>
      <c r="E2218" s="2">
        <f>CallLog[[#This Row],[Date]]+CallLog[[#This Row],[Time]]</f>
        <v>44235.547997685186</v>
      </c>
      <c r="F2218" s="1" t="str">
        <f>TEXT(CallLog[[#This Row],[Date]],"dddd")</f>
        <v>Monday</v>
      </c>
      <c r="G2218" s="3">
        <f>HOUR(CallLog[[#This Row],[Time]])</f>
        <v>13</v>
      </c>
      <c r="H2218" t="s">
        <v>32</v>
      </c>
      <c r="I2218" t="s">
        <v>14</v>
      </c>
      <c r="J2218" t="s">
        <v>14</v>
      </c>
      <c r="K2218">
        <v>65</v>
      </c>
      <c r="L2218" t="str">
        <f>IF(AND(CallLog[[#This Row],[Answered (Y/N)]]="Y", CallLog[[#This Row],[Speed of answer in seconds]]&lt;=20),
    "Within",
    "Breach")</f>
        <v>Breach</v>
      </c>
      <c r="M2218" s="1">
        <v>4.31712962962963E-3</v>
      </c>
      <c r="N2218">
        <v>4</v>
      </c>
    </row>
    <row r="2219" spans="1:14" x14ac:dyDescent="0.3">
      <c r="A2219" t="s">
        <v>2281</v>
      </c>
      <c r="B2219" t="s">
        <v>38</v>
      </c>
      <c r="C2219" t="s">
        <v>2268</v>
      </c>
      <c r="D2219" s="1">
        <v>0.54799768518518521</v>
      </c>
      <c r="E2219" s="2">
        <f>CallLog[[#This Row],[Date]]+CallLog[[#This Row],[Time]]</f>
        <v>44235.547997685186</v>
      </c>
      <c r="F2219" s="1" t="str">
        <f>TEXT(CallLog[[#This Row],[Date]],"dddd")</f>
        <v>Monday</v>
      </c>
      <c r="G2219" s="3">
        <f>HOUR(CallLog[[#This Row],[Time]])</f>
        <v>13</v>
      </c>
      <c r="H2219" t="s">
        <v>13</v>
      </c>
      <c r="I2219" t="s">
        <v>18</v>
      </c>
      <c r="J2219" t="s">
        <v>18</v>
      </c>
      <c r="L2219" t="str">
        <f>IF(AND(CallLog[[#This Row],[Answered (Y/N)]]="Y", CallLog[[#This Row],[Speed of answer in seconds]]&lt;=20),
    "Within",
    "Breach")</f>
        <v>Breach</v>
      </c>
    </row>
    <row r="2220" spans="1:14" x14ac:dyDescent="0.3">
      <c r="A2220" t="s">
        <v>2282</v>
      </c>
      <c r="B2220" t="s">
        <v>38</v>
      </c>
      <c r="C2220" t="s">
        <v>2268</v>
      </c>
      <c r="D2220" s="1">
        <v>0.55799768518518522</v>
      </c>
      <c r="E2220" s="2">
        <f>CallLog[[#This Row],[Date]]+CallLog[[#This Row],[Time]]</f>
        <v>44235.557997685188</v>
      </c>
      <c r="F2220" s="1" t="str">
        <f>TEXT(CallLog[[#This Row],[Date]],"dddd")</f>
        <v>Monday</v>
      </c>
      <c r="G2220" s="3">
        <f>HOUR(CallLog[[#This Row],[Time]])</f>
        <v>13</v>
      </c>
      <c r="H2220" t="s">
        <v>32</v>
      </c>
      <c r="I2220" t="s">
        <v>14</v>
      </c>
      <c r="J2220" t="s">
        <v>18</v>
      </c>
      <c r="K2220">
        <v>111</v>
      </c>
      <c r="L2220" t="str">
        <f>IF(AND(CallLog[[#This Row],[Answered (Y/N)]]="Y", CallLog[[#This Row],[Speed of answer in seconds]]&lt;=20),
    "Within",
    "Breach")</f>
        <v>Breach</v>
      </c>
      <c r="M2220" s="1">
        <v>3.6921296296296298E-3</v>
      </c>
      <c r="N2220">
        <v>1</v>
      </c>
    </row>
    <row r="2221" spans="1:14" x14ac:dyDescent="0.3">
      <c r="A2221" t="s">
        <v>2283</v>
      </c>
      <c r="B2221" t="s">
        <v>20</v>
      </c>
      <c r="C2221" t="s">
        <v>2268</v>
      </c>
      <c r="D2221" s="1">
        <v>0.55799768518518522</v>
      </c>
      <c r="E2221" s="2">
        <f>CallLog[[#This Row],[Date]]+CallLog[[#This Row],[Time]]</f>
        <v>44235.557997685188</v>
      </c>
      <c r="F2221" s="1" t="str">
        <f>TEXT(CallLog[[#This Row],[Date]],"dddd")</f>
        <v>Monday</v>
      </c>
      <c r="G2221" s="3">
        <f>HOUR(CallLog[[#This Row],[Time]])</f>
        <v>13</v>
      </c>
      <c r="H2221" t="s">
        <v>13</v>
      </c>
      <c r="I2221" t="s">
        <v>14</v>
      </c>
      <c r="J2221" t="s">
        <v>14</v>
      </c>
      <c r="K2221">
        <v>81</v>
      </c>
      <c r="L2221" t="str">
        <f>IF(AND(CallLog[[#This Row],[Answered (Y/N)]]="Y", CallLog[[#This Row],[Speed of answer in seconds]]&lt;=20),
    "Within",
    "Breach")</f>
        <v>Breach</v>
      </c>
      <c r="M2221" s="1">
        <v>6.3657407407407413E-4</v>
      </c>
      <c r="N2221">
        <v>2</v>
      </c>
    </row>
    <row r="2222" spans="1:14" x14ac:dyDescent="0.3">
      <c r="A2222" t="s">
        <v>2284</v>
      </c>
      <c r="B2222" t="s">
        <v>11</v>
      </c>
      <c r="C2222" t="s">
        <v>2268</v>
      </c>
      <c r="D2222" s="1">
        <v>0.59400462962962963</v>
      </c>
      <c r="E2222" s="2">
        <f>CallLog[[#This Row],[Date]]+CallLog[[#This Row],[Time]]</f>
        <v>44235.594004629631</v>
      </c>
      <c r="F2222" s="1" t="str">
        <f>TEXT(CallLog[[#This Row],[Date]],"dddd")</f>
        <v>Monday</v>
      </c>
      <c r="G2222" s="3">
        <f>HOUR(CallLog[[#This Row],[Time]])</f>
        <v>14</v>
      </c>
      <c r="H2222" t="s">
        <v>17</v>
      </c>
      <c r="I2222" t="s">
        <v>18</v>
      </c>
      <c r="J2222" t="s">
        <v>18</v>
      </c>
      <c r="L2222" t="str">
        <f>IF(AND(CallLog[[#This Row],[Answered (Y/N)]]="Y", CallLog[[#This Row],[Speed of answer in seconds]]&lt;=20),
    "Within",
    "Breach")</f>
        <v>Breach</v>
      </c>
    </row>
    <row r="2223" spans="1:14" x14ac:dyDescent="0.3">
      <c r="A2223" t="s">
        <v>2285</v>
      </c>
      <c r="B2223" t="s">
        <v>38</v>
      </c>
      <c r="C2223" t="s">
        <v>2268</v>
      </c>
      <c r="D2223" s="1">
        <v>0.59400462962962963</v>
      </c>
      <c r="E2223" s="2">
        <f>CallLog[[#This Row],[Date]]+CallLog[[#This Row],[Time]]</f>
        <v>44235.594004629631</v>
      </c>
      <c r="F2223" s="1" t="str">
        <f>TEXT(CallLog[[#This Row],[Date]],"dddd")</f>
        <v>Monday</v>
      </c>
      <c r="G2223" s="3">
        <f>HOUR(CallLog[[#This Row],[Time]])</f>
        <v>14</v>
      </c>
      <c r="H2223" t="s">
        <v>17</v>
      </c>
      <c r="I2223" t="s">
        <v>14</v>
      </c>
      <c r="J2223" t="s">
        <v>14</v>
      </c>
      <c r="K2223">
        <v>85</v>
      </c>
      <c r="L2223" t="str">
        <f>IF(AND(CallLog[[#This Row],[Answered (Y/N)]]="Y", CallLog[[#This Row],[Speed of answer in seconds]]&lt;=20),
    "Within",
    "Breach")</f>
        <v>Breach</v>
      </c>
      <c r="M2223" s="1">
        <v>3.1944444444444446E-3</v>
      </c>
      <c r="N2223">
        <v>3</v>
      </c>
    </row>
    <row r="2224" spans="1:14" x14ac:dyDescent="0.3">
      <c r="A2224" t="s">
        <v>2286</v>
      </c>
      <c r="B2224" t="s">
        <v>38</v>
      </c>
      <c r="C2224" t="s">
        <v>2268</v>
      </c>
      <c r="D2224" s="1">
        <v>0.6</v>
      </c>
      <c r="E2224" s="2">
        <f>CallLog[[#This Row],[Date]]+CallLog[[#This Row],[Time]]</f>
        <v>44235.6</v>
      </c>
      <c r="F2224" s="1" t="str">
        <f>TEXT(CallLog[[#This Row],[Date]],"dddd")</f>
        <v>Monday</v>
      </c>
      <c r="G2224" s="3">
        <f>HOUR(CallLog[[#This Row],[Time]])</f>
        <v>14</v>
      </c>
      <c r="H2224" t="s">
        <v>17</v>
      </c>
      <c r="I2224" t="s">
        <v>14</v>
      </c>
      <c r="J2224" t="s">
        <v>14</v>
      </c>
      <c r="K2224">
        <v>109</v>
      </c>
      <c r="L2224" t="str">
        <f>IF(AND(CallLog[[#This Row],[Answered (Y/N)]]="Y", CallLog[[#This Row],[Speed of answer in seconds]]&lt;=20),
    "Within",
    "Breach")</f>
        <v>Breach</v>
      </c>
      <c r="M2224" s="1">
        <v>4.1087962962962962E-3</v>
      </c>
      <c r="N2224">
        <v>4</v>
      </c>
    </row>
    <row r="2225" spans="1:14" x14ac:dyDescent="0.3">
      <c r="A2225" t="s">
        <v>2287</v>
      </c>
      <c r="B2225" t="s">
        <v>16</v>
      </c>
      <c r="C2225" t="s">
        <v>2268</v>
      </c>
      <c r="D2225" s="1">
        <v>0.6</v>
      </c>
      <c r="E2225" s="2">
        <f>CallLog[[#This Row],[Date]]+CallLog[[#This Row],[Time]]</f>
        <v>44235.6</v>
      </c>
      <c r="F2225" s="1" t="str">
        <f>TEXT(CallLog[[#This Row],[Date]],"dddd")</f>
        <v>Monday</v>
      </c>
      <c r="G2225" s="3">
        <f>HOUR(CallLog[[#This Row],[Time]])</f>
        <v>14</v>
      </c>
      <c r="H2225" t="s">
        <v>32</v>
      </c>
      <c r="I2225" t="s">
        <v>14</v>
      </c>
      <c r="J2225" t="s">
        <v>18</v>
      </c>
      <c r="K2225">
        <v>71</v>
      </c>
      <c r="L2225" t="str">
        <f>IF(AND(CallLog[[#This Row],[Answered (Y/N)]]="Y", CallLog[[#This Row],[Speed of answer in seconds]]&lt;=20),
    "Within",
    "Breach")</f>
        <v>Breach</v>
      </c>
      <c r="M2225" s="1">
        <v>1.1458333333333333E-3</v>
      </c>
      <c r="N2225">
        <v>4</v>
      </c>
    </row>
    <row r="2226" spans="1:14" x14ac:dyDescent="0.3">
      <c r="A2226" t="s">
        <v>2288</v>
      </c>
      <c r="B2226" t="s">
        <v>11</v>
      </c>
      <c r="C2226" t="s">
        <v>2268</v>
      </c>
      <c r="D2226" s="1">
        <v>0.60200231481481481</v>
      </c>
      <c r="E2226" s="2">
        <f>CallLog[[#This Row],[Date]]+CallLog[[#This Row],[Time]]</f>
        <v>44235.602002314816</v>
      </c>
      <c r="F2226" s="1" t="str">
        <f>TEXT(CallLog[[#This Row],[Date]],"dddd")</f>
        <v>Monday</v>
      </c>
      <c r="G2226" s="3">
        <f>HOUR(CallLog[[#This Row],[Time]])</f>
        <v>14</v>
      </c>
      <c r="H2226" t="s">
        <v>29</v>
      </c>
      <c r="I2226" t="s">
        <v>14</v>
      </c>
      <c r="J2226" t="s">
        <v>14</v>
      </c>
      <c r="K2226">
        <v>50</v>
      </c>
      <c r="L2226" t="str">
        <f>IF(AND(CallLog[[#This Row],[Answered (Y/N)]]="Y", CallLog[[#This Row],[Speed of answer in seconds]]&lt;=20),
    "Within",
    "Breach")</f>
        <v>Breach</v>
      </c>
      <c r="M2226" s="1">
        <v>1.4930555555555556E-3</v>
      </c>
      <c r="N2226">
        <v>3</v>
      </c>
    </row>
    <row r="2227" spans="1:14" x14ac:dyDescent="0.3">
      <c r="A2227" t="s">
        <v>2289</v>
      </c>
      <c r="B2227" t="s">
        <v>22</v>
      </c>
      <c r="C2227" t="s">
        <v>2268</v>
      </c>
      <c r="D2227" s="1">
        <v>0.60200231481481481</v>
      </c>
      <c r="E2227" s="2">
        <f>CallLog[[#This Row],[Date]]+CallLog[[#This Row],[Time]]</f>
        <v>44235.602002314816</v>
      </c>
      <c r="F2227" s="1" t="str">
        <f>TEXT(CallLog[[#This Row],[Date]],"dddd")</f>
        <v>Monday</v>
      </c>
      <c r="G2227" s="3">
        <f>HOUR(CallLog[[#This Row],[Time]])</f>
        <v>14</v>
      </c>
      <c r="H2227" t="s">
        <v>24</v>
      </c>
      <c r="I2227" t="s">
        <v>14</v>
      </c>
      <c r="J2227" t="s">
        <v>14</v>
      </c>
      <c r="K2227">
        <v>66</v>
      </c>
      <c r="L2227" t="str">
        <f>IF(AND(CallLog[[#This Row],[Answered (Y/N)]]="Y", CallLog[[#This Row],[Speed of answer in seconds]]&lt;=20),
    "Within",
    "Breach")</f>
        <v>Breach</v>
      </c>
      <c r="M2227" s="1">
        <v>7.291666666666667E-4</v>
      </c>
      <c r="N2227">
        <v>3</v>
      </c>
    </row>
    <row r="2228" spans="1:14" x14ac:dyDescent="0.3">
      <c r="A2228" t="s">
        <v>2290</v>
      </c>
      <c r="B2228" t="s">
        <v>16</v>
      </c>
      <c r="C2228" t="s">
        <v>2268</v>
      </c>
      <c r="D2228" s="1">
        <v>0.60700231481481481</v>
      </c>
      <c r="E2228" s="2">
        <f>CallLog[[#This Row],[Date]]+CallLog[[#This Row],[Time]]</f>
        <v>44235.607002314813</v>
      </c>
      <c r="F2228" s="1" t="str">
        <f>TEXT(CallLog[[#This Row],[Date]],"dddd")</f>
        <v>Monday</v>
      </c>
      <c r="G2228" s="3">
        <f>HOUR(CallLog[[#This Row],[Time]])</f>
        <v>14</v>
      </c>
      <c r="H2228" t="s">
        <v>32</v>
      </c>
      <c r="I2228" t="s">
        <v>14</v>
      </c>
      <c r="J2228" t="s">
        <v>14</v>
      </c>
      <c r="K2228">
        <v>36</v>
      </c>
      <c r="L2228" t="str">
        <f>IF(AND(CallLog[[#This Row],[Answered (Y/N)]]="Y", CallLog[[#This Row],[Speed of answer in seconds]]&lt;=20),
    "Within",
    "Breach")</f>
        <v>Breach</v>
      </c>
      <c r="M2228" s="1">
        <v>1.8055555555555555E-3</v>
      </c>
      <c r="N2228">
        <v>5</v>
      </c>
    </row>
    <row r="2229" spans="1:14" x14ac:dyDescent="0.3">
      <c r="A2229" t="s">
        <v>2291</v>
      </c>
      <c r="B2229" t="s">
        <v>34</v>
      </c>
      <c r="C2229" t="s">
        <v>2268</v>
      </c>
      <c r="D2229" s="1">
        <v>0.60700231481481481</v>
      </c>
      <c r="E2229" s="2">
        <f>CallLog[[#This Row],[Date]]+CallLog[[#This Row],[Time]]</f>
        <v>44235.607002314813</v>
      </c>
      <c r="F2229" s="1" t="str">
        <f>TEXT(CallLog[[#This Row],[Date]],"dddd")</f>
        <v>Monday</v>
      </c>
      <c r="G2229" s="3">
        <f>HOUR(CallLog[[#This Row],[Time]])</f>
        <v>14</v>
      </c>
      <c r="H2229" t="s">
        <v>32</v>
      </c>
      <c r="I2229" t="s">
        <v>14</v>
      </c>
      <c r="J2229" t="s">
        <v>14</v>
      </c>
      <c r="K2229">
        <v>57</v>
      </c>
      <c r="L2229" t="str">
        <f>IF(AND(CallLog[[#This Row],[Answered (Y/N)]]="Y", CallLog[[#This Row],[Speed of answer in seconds]]&lt;=20),
    "Within",
    "Breach")</f>
        <v>Breach</v>
      </c>
      <c r="M2229" s="1">
        <v>2.7314814814814814E-3</v>
      </c>
      <c r="N2229">
        <v>2</v>
      </c>
    </row>
    <row r="2230" spans="1:14" x14ac:dyDescent="0.3">
      <c r="A2230" t="s">
        <v>2292</v>
      </c>
      <c r="B2230" t="s">
        <v>22</v>
      </c>
      <c r="C2230" t="s">
        <v>2268</v>
      </c>
      <c r="D2230" s="1">
        <v>0.61</v>
      </c>
      <c r="E2230" s="2">
        <f>CallLog[[#This Row],[Date]]+CallLog[[#This Row],[Time]]</f>
        <v>44235.61</v>
      </c>
      <c r="F2230" s="1" t="str">
        <f>TEXT(CallLog[[#This Row],[Date]],"dddd")</f>
        <v>Monday</v>
      </c>
      <c r="G2230" s="3">
        <f>HOUR(CallLog[[#This Row],[Time]])</f>
        <v>14</v>
      </c>
      <c r="H2230" t="s">
        <v>17</v>
      </c>
      <c r="I2230" t="s">
        <v>14</v>
      </c>
      <c r="J2230" t="s">
        <v>14</v>
      </c>
      <c r="K2230">
        <v>124</v>
      </c>
      <c r="L2230" t="str">
        <f>IF(AND(CallLog[[#This Row],[Answered (Y/N)]]="Y", CallLog[[#This Row],[Speed of answer in seconds]]&lt;=20),
    "Within",
    "Breach")</f>
        <v>Breach</v>
      </c>
      <c r="M2230" s="1">
        <v>2.9050925925925928E-3</v>
      </c>
      <c r="N2230">
        <v>5</v>
      </c>
    </row>
    <row r="2231" spans="1:14" x14ac:dyDescent="0.3">
      <c r="A2231" t="s">
        <v>2293</v>
      </c>
      <c r="B2231" t="s">
        <v>38</v>
      </c>
      <c r="C2231" t="s">
        <v>2268</v>
      </c>
      <c r="D2231" s="1">
        <v>0.61</v>
      </c>
      <c r="E2231" s="2">
        <f>CallLog[[#This Row],[Date]]+CallLog[[#This Row],[Time]]</f>
        <v>44235.61</v>
      </c>
      <c r="F2231" s="1" t="str">
        <f>TEXT(CallLog[[#This Row],[Date]],"dddd")</f>
        <v>Monday</v>
      </c>
      <c r="G2231" s="3">
        <f>HOUR(CallLog[[#This Row],[Time]])</f>
        <v>14</v>
      </c>
      <c r="H2231" t="s">
        <v>13</v>
      </c>
      <c r="I2231" t="s">
        <v>14</v>
      </c>
      <c r="J2231" t="s">
        <v>14</v>
      </c>
      <c r="K2231">
        <v>57</v>
      </c>
      <c r="L2231" t="str">
        <f>IF(AND(CallLog[[#This Row],[Answered (Y/N)]]="Y", CallLog[[#This Row],[Speed of answer in seconds]]&lt;=20),
    "Within",
    "Breach")</f>
        <v>Breach</v>
      </c>
      <c r="M2231" s="1">
        <v>1.736111111111111E-3</v>
      </c>
      <c r="N2231">
        <v>1</v>
      </c>
    </row>
    <row r="2232" spans="1:14" x14ac:dyDescent="0.3">
      <c r="A2232" t="s">
        <v>2294</v>
      </c>
      <c r="B2232" t="s">
        <v>16</v>
      </c>
      <c r="C2232" t="s">
        <v>2268</v>
      </c>
      <c r="D2232" s="1">
        <v>0.62200231481481483</v>
      </c>
      <c r="E2232" s="2">
        <f>CallLog[[#This Row],[Date]]+CallLog[[#This Row],[Time]]</f>
        <v>44235.622002314813</v>
      </c>
      <c r="F2232" s="1" t="str">
        <f>TEXT(CallLog[[#This Row],[Date]],"dddd")</f>
        <v>Monday</v>
      </c>
      <c r="G2232" s="3">
        <f>HOUR(CallLog[[#This Row],[Time]])</f>
        <v>14</v>
      </c>
      <c r="H2232" t="s">
        <v>24</v>
      </c>
      <c r="I2232" t="s">
        <v>18</v>
      </c>
      <c r="J2232" t="s">
        <v>18</v>
      </c>
      <c r="L2232" t="str">
        <f>IF(AND(CallLog[[#This Row],[Answered (Y/N)]]="Y", CallLog[[#This Row],[Speed of answer in seconds]]&lt;=20),
    "Within",
    "Breach")</f>
        <v>Breach</v>
      </c>
    </row>
    <row r="2233" spans="1:14" x14ac:dyDescent="0.3">
      <c r="A2233" t="s">
        <v>2295</v>
      </c>
      <c r="B2233" t="s">
        <v>31</v>
      </c>
      <c r="C2233" t="s">
        <v>2268</v>
      </c>
      <c r="D2233" s="1">
        <v>0.62200231481481483</v>
      </c>
      <c r="E2233" s="2">
        <f>CallLog[[#This Row],[Date]]+CallLog[[#This Row],[Time]]</f>
        <v>44235.622002314813</v>
      </c>
      <c r="F2233" s="1" t="str">
        <f>TEXT(CallLog[[#This Row],[Date]],"dddd")</f>
        <v>Monday</v>
      </c>
      <c r="G2233" s="3">
        <f>HOUR(CallLog[[#This Row],[Time]])</f>
        <v>14</v>
      </c>
      <c r="H2233" t="s">
        <v>24</v>
      </c>
      <c r="I2233" t="s">
        <v>14</v>
      </c>
      <c r="J2233" t="s">
        <v>14</v>
      </c>
      <c r="K2233">
        <v>51</v>
      </c>
      <c r="L2233" t="str">
        <f>IF(AND(CallLog[[#This Row],[Answered (Y/N)]]="Y", CallLog[[#This Row],[Speed of answer in seconds]]&lt;=20),
    "Within",
    "Breach")</f>
        <v>Breach</v>
      </c>
      <c r="M2233" s="1">
        <v>3.5763888888888889E-3</v>
      </c>
      <c r="N2233">
        <v>5</v>
      </c>
    </row>
    <row r="2234" spans="1:14" x14ac:dyDescent="0.3">
      <c r="A2234" t="s">
        <v>2296</v>
      </c>
      <c r="B2234" t="s">
        <v>11</v>
      </c>
      <c r="C2234" t="s">
        <v>2268</v>
      </c>
      <c r="D2234" s="1">
        <v>0.67599537037037039</v>
      </c>
      <c r="E2234" s="2">
        <f>CallLog[[#This Row],[Date]]+CallLog[[#This Row],[Time]]</f>
        <v>44235.675995370373</v>
      </c>
      <c r="F2234" s="1" t="str">
        <f>TEXT(CallLog[[#This Row],[Date]],"dddd")</f>
        <v>Monday</v>
      </c>
      <c r="G2234" s="3">
        <f>HOUR(CallLog[[#This Row],[Time]])</f>
        <v>16</v>
      </c>
      <c r="H2234" t="s">
        <v>24</v>
      </c>
      <c r="I2234" t="s">
        <v>14</v>
      </c>
      <c r="J2234" t="s">
        <v>14</v>
      </c>
      <c r="K2234">
        <v>119</v>
      </c>
      <c r="L2234" t="str">
        <f>IF(AND(CallLog[[#This Row],[Answered (Y/N)]]="Y", CallLog[[#This Row],[Speed of answer in seconds]]&lt;=20),
    "Within",
    "Breach")</f>
        <v>Breach</v>
      </c>
      <c r="M2234" s="1">
        <v>4.6990740740740743E-3</v>
      </c>
      <c r="N2234">
        <v>3</v>
      </c>
    </row>
    <row r="2235" spans="1:14" x14ac:dyDescent="0.3">
      <c r="A2235" t="s">
        <v>2297</v>
      </c>
      <c r="B2235" t="s">
        <v>11</v>
      </c>
      <c r="C2235" t="s">
        <v>2268</v>
      </c>
      <c r="D2235" s="1">
        <v>0.67599537037037039</v>
      </c>
      <c r="E2235" s="2">
        <f>CallLog[[#This Row],[Date]]+CallLog[[#This Row],[Time]]</f>
        <v>44235.675995370373</v>
      </c>
      <c r="F2235" s="1" t="str">
        <f>TEXT(CallLog[[#This Row],[Date]],"dddd")</f>
        <v>Monday</v>
      </c>
      <c r="G2235" s="3">
        <f>HOUR(CallLog[[#This Row],[Time]])</f>
        <v>16</v>
      </c>
      <c r="H2235" t="s">
        <v>32</v>
      </c>
      <c r="I2235" t="s">
        <v>14</v>
      </c>
      <c r="J2235" t="s">
        <v>14</v>
      </c>
      <c r="K2235">
        <v>62</v>
      </c>
      <c r="L2235" t="str">
        <f>IF(AND(CallLog[[#This Row],[Answered (Y/N)]]="Y", CallLog[[#This Row],[Speed of answer in seconds]]&lt;=20),
    "Within",
    "Breach")</f>
        <v>Breach</v>
      </c>
      <c r="M2235" s="1">
        <v>3.3217592592592591E-3</v>
      </c>
      <c r="N2235">
        <v>3</v>
      </c>
    </row>
    <row r="2236" spans="1:14" x14ac:dyDescent="0.3">
      <c r="A2236" t="s">
        <v>2298</v>
      </c>
      <c r="B2236" t="s">
        <v>34</v>
      </c>
      <c r="C2236" t="s">
        <v>2268</v>
      </c>
      <c r="D2236" s="1">
        <v>0.6790046296296296</v>
      </c>
      <c r="E2236" s="2">
        <f>CallLog[[#This Row],[Date]]+CallLog[[#This Row],[Time]]</f>
        <v>44235.67900462963</v>
      </c>
      <c r="F2236" s="1" t="str">
        <f>TEXT(CallLog[[#This Row],[Date]],"dddd")</f>
        <v>Monday</v>
      </c>
      <c r="G2236" s="3">
        <f>HOUR(CallLog[[#This Row],[Time]])</f>
        <v>16</v>
      </c>
      <c r="H2236" t="s">
        <v>13</v>
      </c>
      <c r="I2236" t="s">
        <v>14</v>
      </c>
      <c r="J2236" t="s">
        <v>14</v>
      </c>
      <c r="K2236">
        <v>70</v>
      </c>
      <c r="L2236" t="str">
        <f>IF(AND(CallLog[[#This Row],[Answered (Y/N)]]="Y", CallLog[[#This Row],[Speed of answer in seconds]]&lt;=20),
    "Within",
    "Breach")</f>
        <v>Breach</v>
      </c>
      <c r="M2236" s="1">
        <v>2.2337962962962962E-3</v>
      </c>
      <c r="N2236">
        <v>5</v>
      </c>
    </row>
    <row r="2237" spans="1:14" x14ac:dyDescent="0.3">
      <c r="A2237" t="s">
        <v>2299</v>
      </c>
      <c r="B2237" t="s">
        <v>31</v>
      </c>
      <c r="C2237" t="s">
        <v>2268</v>
      </c>
      <c r="D2237" s="1">
        <v>0.6790046296296296</v>
      </c>
      <c r="E2237" s="2">
        <f>CallLog[[#This Row],[Date]]+CallLog[[#This Row],[Time]]</f>
        <v>44235.67900462963</v>
      </c>
      <c r="F2237" s="1" t="str">
        <f>TEXT(CallLog[[#This Row],[Date]],"dddd")</f>
        <v>Monday</v>
      </c>
      <c r="G2237" s="3">
        <f>HOUR(CallLog[[#This Row],[Time]])</f>
        <v>16</v>
      </c>
      <c r="H2237" t="s">
        <v>13</v>
      </c>
      <c r="I2237" t="s">
        <v>14</v>
      </c>
      <c r="J2237" t="s">
        <v>14</v>
      </c>
      <c r="K2237">
        <v>30</v>
      </c>
      <c r="L2237" t="str">
        <f>IF(AND(CallLog[[#This Row],[Answered (Y/N)]]="Y", CallLog[[#This Row],[Speed of answer in seconds]]&lt;=20),
    "Within",
    "Breach")</f>
        <v>Breach</v>
      </c>
      <c r="M2237" s="1">
        <v>2.9166666666666668E-3</v>
      </c>
      <c r="N2237">
        <v>4</v>
      </c>
    </row>
    <row r="2238" spans="1:14" x14ac:dyDescent="0.3">
      <c r="A2238" t="s">
        <v>2300</v>
      </c>
      <c r="B2238" t="s">
        <v>11</v>
      </c>
      <c r="C2238" t="s">
        <v>2268</v>
      </c>
      <c r="D2238" s="1">
        <v>0.68799768518518523</v>
      </c>
      <c r="E2238" s="2">
        <f>CallLog[[#This Row],[Date]]+CallLog[[#This Row],[Time]]</f>
        <v>44235.687997685185</v>
      </c>
      <c r="F2238" s="1" t="str">
        <f>TEXT(CallLog[[#This Row],[Date]],"dddd")</f>
        <v>Monday</v>
      </c>
      <c r="G2238" s="3">
        <f>HOUR(CallLog[[#This Row],[Time]])</f>
        <v>16</v>
      </c>
      <c r="H2238" t="s">
        <v>29</v>
      </c>
      <c r="I2238" t="s">
        <v>14</v>
      </c>
      <c r="J2238" t="s">
        <v>14</v>
      </c>
      <c r="K2238">
        <v>17</v>
      </c>
      <c r="L2238" t="str">
        <f>IF(AND(CallLog[[#This Row],[Answered (Y/N)]]="Y", CallLog[[#This Row],[Speed of answer in seconds]]&lt;=20),
    "Within",
    "Breach")</f>
        <v>Within</v>
      </c>
      <c r="M2238" s="1">
        <v>2.8703703703703703E-3</v>
      </c>
      <c r="N2238">
        <v>3</v>
      </c>
    </row>
    <row r="2239" spans="1:14" x14ac:dyDescent="0.3">
      <c r="A2239" t="s">
        <v>2301</v>
      </c>
      <c r="B2239" t="s">
        <v>34</v>
      </c>
      <c r="C2239" t="s">
        <v>2268</v>
      </c>
      <c r="D2239" s="1">
        <v>0.68799768518518523</v>
      </c>
      <c r="E2239" s="2">
        <f>CallLog[[#This Row],[Date]]+CallLog[[#This Row],[Time]]</f>
        <v>44235.687997685185</v>
      </c>
      <c r="F2239" s="1" t="str">
        <f>TEXT(CallLog[[#This Row],[Date]],"dddd")</f>
        <v>Monday</v>
      </c>
      <c r="G2239" s="3">
        <f>HOUR(CallLog[[#This Row],[Time]])</f>
        <v>16</v>
      </c>
      <c r="H2239" t="s">
        <v>32</v>
      </c>
      <c r="I2239" t="s">
        <v>14</v>
      </c>
      <c r="J2239" t="s">
        <v>14</v>
      </c>
      <c r="K2239">
        <v>43</v>
      </c>
      <c r="L2239" t="str">
        <f>IF(AND(CallLog[[#This Row],[Answered (Y/N)]]="Y", CallLog[[#This Row],[Speed of answer in seconds]]&lt;=20),
    "Within",
    "Breach")</f>
        <v>Breach</v>
      </c>
      <c r="M2239" s="1">
        <v>2.2916666666666667E-3</v>
      </c>
      <c r="N2239">
        <v>3</v>
      </c>
    </row>
    <row r="2240" spans="1:14" x14ac:dyDescent="0.3">
      <c r="A2240" t="s">
        <v>2302</v>
      </c>
      <c r="B2240" t="s">
        <v>47</v>
      </c>
      <c r="C2240" t="s">
        <v>2268</v>
      </c>
      <c r="D2240" s="1">
        <v>0.69799768518518523</v>
      </c>
      <c r="E2240" s="2">
        <f>CallLog[[#This Row],[Date]]+CallLog[[#This Row],[Time]]</f>
        <v>44235.697997685187</v>
      </c>
      <c r="F2240" s="1" t="str">
        <f>TEXT(CallLog[[#This Row],[Date]],"dddd")</f>
        <v>Monday</v>
      </c>
      <c r="G2240" s="3">
        <f>HOUR(CallLog[[#This Row],[Time]])</f>
        <v>16</v>
      </c>
      <c r="H2240" t="s">
        <v>17</v>
      </c>
      <c r="I2240" t="s">
        <v>14</v>
      </c>
      <c r="J2240" t="s">
        <v>14</v>
      </c>
      <c r="K2240">
        <v>81</v>
      </c>
      <c r="L2240" t="str">
        <f>IF(AND(CallLog[[#This Row],[Answered (Y/N)]]="Y", CallLog[[#This Row],[Speed of answer in seconds]]&lt;=20),
    "Within",
    "Breach")</f>
        <v>Breach</v>
      </c>
      <c r="M2240" s="1">
        <v>1.3425925925925925E-3</v>
      </c>
      <c r="N2240">
        <v>5</v>
      </c>
    </row>
    <row r="2241" spans="1:14" x14ac:dyDescent="0.3">
      <c r="A2241" t="s">
        <v>2303</v>
      </c>
      <c r="B2241" t="s">
        <v>38</v>
      </c>
      <c r="C2241" t="s">
        <v>2268</v>
      </c>
      <c r="D2241" s="1">
        <v>0.69799768518518523</v>
      </c>
      <c r="E2241" s="2">
        <f>CallLog[[#This Row],[Date]]+CallLog[[#This Row],[Time]]</f>
        <v>44235.697997685187</v>
      </c>
      <c r="F2241" s="1" t="str">
        <f>TEXT(CallLog[[#This Row],[Date]],"dddd")</f>
        <v>Monday</v>
      </c>
      <c r="G2241" s="3">
        <f>HOUR(CallLog[[#This Row],[Time]])</f>
        <v>16</v>
      </c>
      <c r="H2241" t="s">
        <v>29</v>
      </c>
      <c r="I2241" t="s">
        <v>14</v>
      </c>
      <c r="J2241" t="s">
        <v>14</v>
      </c>
      <c r="K2241">
        <v>58</v>
      </c>
      <c r="L2241" t="str">
        <f>IF(AND(CallLog[[#This Row],[Answered (Y/N)]]="Y", CallLog[[#This Row],[Speed of answer in seconds]]&lt;=20),
    "Within",
    "Breach")</f>
        <v>Breach</v>
      </c>
      <c r="M2241" s="1">
        <v>3.9004629629629628E-3</v>
      </c>
      <c r="N2241">
        <v>3</v>
      </c>
    </row>
    <row r="2242" spans="1:14" x14ac:dyDescent="0.3">
      <c r="A2242" t="s">
        <v>2304</v>
      </c>
      <c r="B2242" t="s">
        <v>38</v>
      </c>
      <c r="C2242" t="s">
        <v>2268</v>
      </c>
      <c r="D2242" s="1">
        <v>0.69900462962962961</v>
      </c>
      <c r="E2242" s="2">
        <f>CallLog[[#This Row],[Date]]+CallLog[[#This Row],[Time]]</f>
        <v>44235.699004629627</v>
      </c>
      <c r="F2242" s="1" t="str">
        <f>TEXT(CallLog[[#This Row],[Date]],"dddd")</f>
        <v>Monday</v>
      </c>
      <c r="G2242" s="3">
        <f>HOUR(CallLog[[#This Row],[Time]])</f>
        <v>16</v>
      </c>
      <c r="H2242" t="s">
        <v>13</v>
      </c>
      <c r="I2242" t="s">
        <v>14</v>
      </c>
      <c r="J2242" t="s">
        <v>14</v>
      </c>
      <c r="K2242">
        <v>59</v>
      </c>
      <c r="L2242" t="str">
        <f>IF(AND(CallLog[[#This Row],[Answered (Y/N)]]="Y", CallLog[[#This Row],[Speed of answer in seconds]]&lt;=20),
    "Within",
    "Breach")</f>
        <v>Breach</v>
      </c>
      <c r="M2242" s="1">
        <v>2.627314814814815E-3</v>
      </c>
      <c r="N2242">
        <v>4</v>
      </c>
    </row>
    <row r="2243" spans="1:14" x14ac:dyDescent="0.3">
      <c r="A2243" t="s">
        <v>2305</v>
      </c>
      <c r="B2243" t="s">
        <v>38</v>
      </c>
      <c r="C2243" t="s">
        <v>2268</v>
      </c>
      <c r="D2243" s="1">
        <v>0.69900462962962961</v>
      </c>
      <c r="E2243" s="2">
        <f>CallLog[[#This Row],[Date]]+CallLog[[#This Row],[Time]]</f>
        <v>44235.699004629627</v>
      </c>
      <c r="F2243" s="1" t="str">
        <f>TEXT(CallLog[[#This Row],[Date]],"dddd")</f>
        <v>Monday</v>
      </c>
      <c r="G2243" s="3">
        <f>HOUR(CallLog[[#This Row],[Time]])</f>
        <v>16</v>
      </c>
      <c r="H2243" t="s">
        <v>32</v>
      </c>
      <c r="I2243" t="s">
        <v>18</v>
      </c>
      <c r="J2243" t="s">
        <v>18</v>
      </c>
      <c r="L2243" t="str">
        <f>IF(AND(CallLog[[#This Row],[Answered (Y/N)]]="Y", CallLog[[#This Row],[Speed of answer in seconds]]&lt;=20),
    "Within",
    "Breach")</f>
        <v>Breach</v>
      </c>
    </row>
    <row r="2244" spans="1:14" x14ac:dyDescent="0.3">
      <c r="A2244" t="s">
        <v>2306</v>
      </c>
      <c r="B2244" t="s">
        <v>38</v>
      </c>
      <c r="C2244" t="s">
        <v>2268</v>
      </c>
      <c r="D2244" s="1">
        <v>0.71400462962962963</v>
      </c>
      <c r="E2244" s="2">
        <f>CallLog[[#This Row],[Date]]+CallLog[[#This Row],[Time]]</f>
        <v>44235.714004629626</v>
      </c>
      <c r="F2244" s="1" t="str">
        <f>TEXT(CallLog[[#This Row],[Date]],"dddd")</f>
        <v>Monday</v>
      </c>
      <c r="G2244" s="3">
        <f>HOUR(CallLog[[#This Row],[Time]])</f>
        <v>17</v>
      </c>
      <c r="H2244" t="s">
        <v>17</v>
      </c>
      <c r="I2244" t="s">
        <v>14</v>
      </c>
      <c r="J2244" t="s">
        <v>14</v>
      </c>
      <c r="K2244">
        <v>110</v>
      </c>
      <c r="L2244" t="str">
        <f>IF(AND(CallLog[[#This Row],[Answered (Y/N)]]="Y", CallLog[[#This Row],[Speed of answer in seconds]]&lt;=20),
    "Within",
    "Breach")</f>
        <v>Breach</v>
      </c>
      <c r="M2244" s="1">
        <v>3.6689814814814814E-3</v>
      </c>
      <c r="N2244">
        <v>5</v>
      </c>
    </row>
    <row r="2245" spans="1:14" x14ac:dyDescent="0.3">
      <c r="A2245" t="s">
        <v>2307</v>
      </c>
      <c r="B2245" t="s">
        <v>11</v>
      </c>
      <c r="C2245" t="s">
        <v>2268</v>
      </c>
      <c r="D2245" s="1">
        <v>0.71400462962962963</v>
      </c>
      <c r="E2245" s="2">
        <f>CallLog[[#This Row],[Date]]+CallLog[[#This Row],[Time]]</f>
        <v>44235.714004629626</v>
      </c>
      <c r="F2245" s="1" t="str">
        <f>TEXT(CallLog[[#This Row],[Date]],"dddd")</f>
        <v>Monday</v>
      </c>
      <c r="G2245" s="3">
        <f>HOUR(CallLog[[#This Row],[Time]])</f>
        <v>17</v>
      </c>
      <c r="H2245" t="s">
        <v>32</v>
      </c>
      <c r="I2245" t="s">
        <v>14</v>
      </c>
      <c r="J2245" t="s">
        <v>14</v>
      </c>
      <c r="K2245">
        <v>91</v>
      </c>
      <c r="L2245" t="str">
        <f>IF(AND(CallLog[[#This Row],[Answered (Y/N)]]="Y", CallLog[[#This Row],[Speed of answer in seconds]]&lt;=20),
    "Within",
    "Breach")</f>
        <v>Breach</v>
      </c>
      <c r="M2245" s="1">
        <v>1.0300925925925926E-3</v>
      </c>
      <c r="N2245">
        <v>3</v>
      </c>
    </row>
    <row r="2246" spans="1:14" x14ac:dyDescent="0.3">
      <c r="A2246" t="s">
        <v>2308</v>
      </c>
      <c r="B2246" t="s">
        <v>22</v>
      </c>
      <c r="C2246" t="s">
        <v>2268</v>
      </c>
      <c r="D2246" s="1">
        <v>0.74799768518518517</v>
      </c>
      <c r="E2246" s="2">
        <f>CallLog[[#This Row],[Date]]+CallLog[[#This Row],[Time]]</f>
        <v>44235.747997685183</v>
      </c>
      <c r="F2246" s="1" t="str">
        <f>TEXT(CallLog[[#This Row],[Date]],"dddd")</f>
        <v>Monday</v>
      </c>
      <c r="G2246" s="3">
        <f>HOUR(CallLog[[#This Row],[Time]])</f>
        <v>17</v>
      </c>
      <c r="H2246" t="s">
        <v>29</v>
      </c>
      <c r="I2246" t="s">
        <v>14</v>
      </c>
      <c r="J2246" t="s">
        <v>14</v>
      </c>
      <c r="K2246">
        <v>12</v>
      </c>
      <c r="L2246" t="str">
        <f>IF(AND(CallLog[[#This Row],[Answered (Y/N)]]="Y", CallLog[[#This Row],[Speed of answer in seconds]]&lt;=20),
    "Within",
    "Breach")</f>
        <v>Within</v>
      </c>
      <c r="M2246" s="1">
        <v>5.5555555555555556E-4</v>
      </c>
      <c r="N2246">
        <v>3</v>
      </c>
    </row>
    <row r="2247" spans="1:14" x14ac:dyDescent="0.3">
      <c r="A2247" t="s">
        <v>2309</v>
      </c>
      <c r="B2247" t="s">
        <v>47</v>
      </c>
      <c r="C2247" t="s">
        <v>2268</v>
      </c>
      <c r="D2247" s="1">
        <v>0.74799768518518517</v>
      </c>
      <c r="E2247" s="2">
        <f>CallLog[[#This Row],[Date]]+CallLog[[#This Row],[Time]]</f>
        <v>44235.747997685183</v>
      </c>
      <c r="F2247" s="1" t="str">
        <f>TEXT(CallLog[[#This Row],[Date]],"dddd")</f>
        <v>Monday</v>
      </c>
      <c r="G2247" s="3">
        <f>HOUR(CallLog[[#This Row],[Time]])</f>
        <v>17</v>
      </c>
      <c r="H2247" t="s">
        <v>24</v>
      </c>
      <c r="I2247" t="s">
        <v>14</v>
      </c>
      <c r="J2247" t="s">
        <v>14</v>
      </c>
      <c r="K2247">
        <v>38</v>
      </c>
      <c r="L2247" t="str">
        <f>IF(AND(CallLog[[#This Row],[Answered (Y/N)]]="Y", CallLog[[#This Row],[Speed of answer in seconds]]&lt;=20),
    "Within",
    "Breach")</f>
        <v>Breach</v>
      </c>
      <c r="M2247" s="1">
        <v>4.7222222222222223E-3</v>
      </c>
      <c r="N2247">
        <v>5</v>
      </c>
    </row>
    <row r="2248" spans="1:14" x14ac:dyDescent="0.3">
      <c r="A2248" t="s">
        <v>2310</v>
      </c>
      <c r="B2248" t="s">
        <v>16</v>
      </c>
      <c r="C2248" t="s">
        <v>2311</v>
      </c>
      <c r="D2248" s="1">
        <v>0.38400462962962961</v>
      </c>
      <c r="E2248" s="2">
        <f>CallLog[[#This Row],[Date]]+CallLog[[#This Row],[Time]]</f>
        <v>44236.384004629632</v>
      </c>
      <c r="F2248" s="1" t="str">
        <f>TEXT(CallLog[[#This Row],[Date]],"dddd")</f>
        <v>Tuesday</v>
      </c>
      <c r="G2248" s="3">
        <f>HOUR(CallLog[[#This Row],[Time]])</f>
        <v>9</v>
      </c>
      <c r="H2248" t="s">
        <v>24</v>
      </c>
      <c r="I2248" t="s">
        <v>14</v>
      </c>
      <c r="J2248" t="s">
        <v>14</v>
      </c>
      <c r="K2248">
        <v>83</v>
      </c>
      <c r="L2248" t="str">
        <f>IF(AND(CallLog[[#This Row],[Answered (Y/N)]]="Y", CallLog[[#This Row],[Speed of answer in seconds]]&lt;=20),
    "Within",
    "Breach")</f>
        <v>Breach</v>
      </c>
      <c r="M2248" s="1">
        <v>8.7962962962962962E-4</v>
      </c>
      <c r="N2248">
        <v>5</v>
      </c>
    </row>
    <row r="2249" spans="1:14" x14ac:dyDescent="0.3">
      <c r="A2249" t="s">
        <v>2312</v>
      </c>
      <c r="B2249" t="s">
        <v>34</v>
      </c>
      <c r="C2249" t="s">
        <v>2311</v>
      </c>
      <c r="D2249" s="1">
        <v>0.38400462962962961</v>
      </c>
      <c r="E2249" s="2">
        <f>CallLog[[#This Row],[Date]]+CallLog[[#This Row],[Time]]</f>
        <v>44236.384004629632</v>
      </c>
      <c r="F2249" s="1" t="str">
        <f>TEXT(CallLog[[#This Row],[Date]],"dddd")</f>
        <v>Tuesday</v>
      </c>
      <c r="G2249" s="3">
        <f>HOUR(CallLog[[#This Row],[Time]])</f>
        <v>9</v>
      </c>
      <c r="H2249" t="s">
        <v>17</v>
      </c>
      <c r="I2249" t="s">
        <v>14</v>
      </c>
      <c r="J2249" t="s">
        <v>14</v>
      </c>
      <c r="K2249">
        <v>31</v>
      </c>
      <c r="L2249" t="str">
        <f>IF(AND(CallLog[[#This Row],[Answered (Y/N)]]="Y", CallLog[[#This Row],[Speed of answer in seconds]]&lt;=20),
    "Within",
    "Breach")</f>
        <v>Breach</v>
      </c>
      <c r="M2249" s="1">
        <v>2.3958333333333331E-3</v>
      </c>
      <c r="N2249">
        <v>4</v>
      </c>
    </row>
    <row r="2250" spans="1:14" x14ac:dyDescent="0.3">
      <c r="A2250" t="s">
        <v>2313</v>
      </c>
      <c r="B2250" t="s">
        <v>20</v>
      </c>
      <c r="C2250" t="s">
        <v>2311</v>
      </c>
      <c r="D2250" s="1">
        <v>0.39500000000000002</v>
      </c>
      <c r="E2250" s="2">
        <f>CallLog[[#This Row],[Date]]+CallLog[[#This Row],[Time]]</f>
        <v>44236.394999999997</v>
      </c>
      <c r="F2250" s="1" t="str">
        <f>TEXT(CallLog[[#This Row],[Date]],"dddd")</f>
        <v>Tuesday</v>
      </c>
      <c r="G2250" s="3">
        <f>HOUR(CallLog[[#This Row],[Time]])</f>
        <v>9</v>
      </c>
      <c r="H2250" t="s">
        <v>32</v>
      </c>
      <c r="I2250" t="s">
        <v>14</v>
      </c>
      <c r="J2250" t="s">
        <v>14</v>
      </c>
      <c r="K2250">
        <v>105</v>
      </c>
      <c r="L2250" t="str">
        <f>IF(AND(CallLog[[#This Row],[Answered (Y/N)]]="Y", CallLog[[#This Row],[Speed of answer in seconds]]&lt;=20),
    "Within",
    "Breach")</f>
        <v>Breach</v>
      </c>
      <c r="M2250" s="1">
        <v>3.7037037037037041E-4</v>
      </c>
      <c r="N2250">
        <v>5</v>
      </c>
    </row>
    <row r="2251" spans="1:14" x14ac:dyDescent="0.3">
      <c r="A2251" t="s">
        <v>2314</v>
      </c>
      <c r="B2251" t="s">
        <v>11</v>
      </c>
      <c r="C2251" t="s">
        <v>2311</v>
      </c>
      <c r="D2251" s="1">
        <v>0.39500000000000002</v>
      </c>
      <c r="E2251" s="2">
        <f>CallLog[[#This Row],[Date]]+CallLog[[#This Row],[Time]]</f>
        <v>44236.394999999997</v>
      </c>
      <c r="F2251" s="1" t="str">
        <f>TEXT(CallLog[[#This Row],[Date]],"dddd")</f>
        <v>Tuesday</v>
      </c>
      <c r="G2251" s="3">
        <f>HOUR(CallLog[[#This Row],[Time]])</f>
        <v>9</v>
      </c>
      <c r="H2251" t="s">
        <v>32</v>
      </c>
      <c r="I2251" t="s">
        <v>14</v>
      </c>
      <c r="J2251" t="s">
        <v>14</v>
      </c>
      <c r="K2251">
        <v>98</v>
      </c>
      <c r="L2251" t="str">
        <f>IF(AND(CallLog[[#This Row],[Answered (Y/N)]]="Y", CallLog[[#This Row],[Speed of answer in seconds]]&lt;=20),
    "Within",
    "Breach")</f>
        <v>Breach</v>
      </c>
      <c r="M2251" s="1">
        <v>9.3749999999999997E-4</v>
      </c>
      <c r="N2251">
        <v>5</v>
      </c>
    </row>
    <row r="2252" spans="1:14" x14ac:dyDescent="0.3">
      <c r="A2252" t="s">
        <v>2315</v>
      </c>
      <c r="B2252" t="s">
        <v>34</v>
      </c>
      <c r="C2252" t="s">
        <v>2311</v>
      </c>
      <c r="D2252" s="1">
        <v>0.42400462962962965</v>
      </c>
      <c r="E2252" s="2">
        <f>CallLog[[#This Row],[Date]]+CallLog[[#This Row],[Time]]</f>
        <v>44236.424004629633</v>
      </c>
      <c r="F2252" s="1" t="str">
        <f>TEXT(CallLog[[#This Row],[Date]],"dddd")</f>
        <v>Tuesday</v>
      </c>
      <c r="G2252" s="3">
        <f>HOUR(CallLog[[#This Row],[Time]])</f>
        <v>10</v>
      </c>
      <c r="H2252" t="s">
        <v>17</v>
      </c>
      <c r="I2252" t="s">
        <v>14</v>
      </c>
      <c r="J2252" t="s">
        <v>14</v>
      </c>
      <c r="K2252">
        <v>56</v>
      </c>
      <c r="L2252" t="str">
        <f>IF(AND(CallLog[[#This Row],[Answered (Y/N)]]="Y", CallLog[[#This Row],[Speed of answer in seconds]]&lt;=20),
    "Within",
    "Breach")</f>
        <v>Breach</v>
      </c>
      <c r="M2252" s="1">
        <v>2.7893518518518519E-3</v>
      </c>
      <c r="N2252">
        <v>2</v>
      </c>
    </row>
    <row r="2253" spans="1:14" x14ac:dyDescent="0.3">
      <c r="A2253" t="s">
        <v>2316</v>
      </c>
      <c r="B2253" t="s">
        <v>16</v>
      </c>
      <c r="C2253" t="s">
        <v>2311</v>
      </c>
      <c r="D2253" s="1">
        <v>0.42400462962962965</v>
      </c>
      <c r="E2253" s="2">
        <f>CallLog[[#This Row],[Date]]+CallLog[[#This Row],[Time]]</f>
        <v>44236.424004629633</v>
      </c>
      <c r="F2253" s="1" t="str">
        <f>TEXT(CallLog[[#This Row],[Date]],"dddd")</f>
        <v>Tuesday</v>
      </c>
      <c r="G2253" s="3">
        <f>HOUR(CallLog[[#This Row],[Time]])</f>
        <v>10</v>
      </c>
      <c r="H2253" t="s">
        <v>17</v>
      </c>
      <c r="I2253" t="s">
        <v>14</v>
      </c>
      <c r="J2253" t="s">
        <v>14</v>
      </c>
      <c r="K2253">
        <v>83</v>
      </c>
      <c r="L2253" t="str">
        <f>IF(AND(CallLog[[#This Row],[Answered (Y/N)]]="Y", CallLog[[#This Row],[Speed of answer in seconds]]&lt;=20),
    "Within",
    "Breach")</f>
        <v>Breach</v>
      </c>
      <c r="M2253" s="1">
        <v>3.6226851851851854E-3</v>
      </c>
      <c r="N2253">
        <v>5</v>
      </c>
    </row>
    <row r="2254" spans="1:14" x14ac:dyDescent="0.3">
      <c r="A2254" t="s">
        <v>2317</v>
      </c>
      <c r="B2254" t="s">
        <v>22</v>
      </c>
      <c r="C2254" t="s">
        <v>2311</v>
      </c>
      <c r="D2254" s="1">
        <v>0.43599537037037039</v>
      </c>
      <c r="E2254" s="2">
        <f>CallLog[[#This Row],[Date]]+CallLog[[#This Row],[Time]]</f>
        <v>44236.435995370368</v>
      </c>
      <c r="F2254" s="1" t="str">
        <f>TEXT(CallLog[[#This Row],[Date]],"dddd")</f>
        <v>Tuesday</v>
      </c>
      <c r="G2254" s="3">
        <f>HOUR(CallLog[[#This Row],[Time]])</f>
        <v>10</v>
      </c>
      <c r="H2254" t="s">
        <v>24</v>
      </c>
      <c r="I2254" t="s">
        <v>14</v>
      </c>
      <c r="J2254" t="s">
        <v>14</v>
      </c>
      <c r="K2254">
        <v>42</v>
      </c>
      <c r="L2254" t="str">
        <f>IF(AND(CallLog[[#This Row],[Answered (Y/N)]]="Y", CallLog[[#This Row],[Speed of answer in seconds]]&lt;=20),
    "Within",
    "Breach")</f>
        <v>Breach</v>
      </c>
      <c r="M2254" s="1">
        <v>1.8981481481481482E-3</v>
      </c>
      <c r="N2254">
        <v>2</v>
      </c>
    </row>
    <row r="2255" spans="1:14" x14ac:dyDescent="0.3">
      <c r="A2255" t="s">
        <v>2318</v>
      </c>
      <c r="B2255" t="s">
        <v>47</v>
      </c>
      <c r="C2255" t="s">
        <v>2311</v>
      </c>
      <c r="D2255" s="1">
        <v>0.43599537037037039</v>
      </c>
      <c r="E2255" s="2">
        <f>CallLog[[#This Row],[Date]]+CallLog[[#This Row],[Time]]</f>
        <v>44236.435995370368</v>
      </c>
      <c r="F2255" s="1" t="str">
        <f>TEXT(CallLog[[#This Row],[Date]],"dddd")</f>
        <v>Tuesday</v>
      </c>
      <c r="G2255" s="3">
        <f>HOUR(CallLog[[#This Row],[Time]])</f>
        <v>10</v>
      </c>
      <c r="H2255" t="s">
        <v>29</v>
      </c>
      <c r="I2255" t="s">
        <v>14</v>
      </c>
      <c r="J2255" t="s">
        <v>14</v>
      </c>
      <c r="K2255">
        <v>59</v>
      </c>
      <c r="L2255" t="str">
        <f>IF(AND(CallLog[[#This Row],[Answered (Y/N)]]="Y", CallLog[[#This Row],[Speed of answer in seconds]]&lt;=20),
    "Within",
    "Breach")</f>
        <v>Breach</v>
      </c>
      <c r="M2255" s="1">
        <v>3.5416666666666665E-3</v>
      </c>
      <c r="N2255">
        <v>3</v>
      </c>
    </row>
    <row r="2256" spans="1:14" x14ac:dyDescent="0.3">
      <c r="A2256" t="s">
        <v>2319</v>
      </c>
      <c r="B2256" t="s">
        <v>47</v>
      </c>
      <c r="C2256" t="s">
        <v>2311</v>
      </c>
      <c r="D2256" s="1">
        <v>0.44900462962962961</v>
      </c>
      <c r="E2256" s="2">
        <f>CallLog[[#This Row],[Date]]+CallLog[[#This Row],[Time]]</f>
        <v>44236.449004629627</v>
      </c>
      <c r="F2256" s="1" t="str">
        <f>TEXT(CallLog[[#This Row],[Date]],"dddd")</f>
        <v>Tuesday</v>
      </c>
      <c r="G2256" s="3">
        <f>HOUR(CallLog[[#This Row],[Time]])</f>
        <v>10</v>
      </c>
      <c r="H2256" t="s">
        <v>29</v>
      </c>
      <c r="I2256" t="s">
        <v>14</v>
      </c>
      <c r="J2256" t="s">
        <v>14</v>
      </c>
      <c r="K2256">
        <v>62</v>
      </c>
      <c r="L2256" t="str">
        <f>IF(AND(CallLog[[#This Row],[Answered (Y/N)]]="Y", CallLog[[#This Row],[Speed of answer in seconds]]&lt;=20),
    "Within",
    "Breach")</f>
        <v>Breach</v>
      </c>
      <c r="M2256" s="1">
        <v>4.7685185185185183E-3</v>
      </c>
      <c r="N2256">
        <v>4</v>
      </c>
    </row>
    <row r="2257" spans="1:14" x14ac:dyDescent="0.3">
      <c r="A2257" t="s">
        <v>2320</v>
      </c>
      <c r="B2257" t="s">
        <v>31</v>
      </c>
      <c r="C2257" t="s">
        <v>2311</v>
      </c>
      <c r="D2257" s="1">
        <v>0.44900462962962961</v>
      </c>
      <c r="E2257" s="2">
        <f>CallLog[[#This Row],[Date]]+CallLog[[#This Row],[Time]]</f>
        <v>44236.449004629627</v>
      </c>
      <c r="F2257" s="1" t="str">
        <f>TEXT(CallLog[[#This Row],[Date]],"dddd")</f>
        <v>Tuesday</v>
      </c>
      <c r="G2257" s="3">
        <f>HOUR(CallLog[[#This Row],[Time]])</f>
        <v>10</v>
      </c>
      <c r="H2257" t="s">
        <v>29</v>
      </c>
      <c r="I2257" t="s">
        <v>14</v>
      </c>
      <c r="J2257" t="s">
        <v>14</v>
      </c>
      <c r="K2257">
        <v>63</v>
      </c>
      <c r="L2257" t="str">
        <f>IF(AND(CallLog[[#This Row],[Answered (Y/N)]]="Y", CallLog[[#This Row],[Speed of answer in seconds]]&lt;=20),
    "Within",
    "Breach")</f>
        <v>Breach</v>
      </c>
      <c r="M2257" s="1">
        <v>2.9629629629629628E-3</v>
      </c>
      <c r="N2257">
        <v>1</v>
      </c>
    </row>
    <row r="2258" spans="1:14" x14ac:dyDescent="0.3">
      <c r="A2258" t="s">
        <v>2321</v>
      </c>
      <c r="B2258" t="s">
        <v>34</v>
      </c>
      <c r="C2258" t="s">
        <v>2311</v>
      </c>
      <c r="D2258" s="1">
        <v>0.48099537037037038</v>
      </c>
      <c r="E2258" s="2">
        <f>CallLog[[#This Row],[Date]]+CallLog[[#This Row],[Time]]</f>
        <v>44236.480995370373</v>
      </c>
      <c r="F2258" s="1" t="str">
        <f>TEXT(CallLog[[#This Row],[Date]],"dddd")</f>
        <v>Tuesday</v>
      </c>
      <c r="G2258" s="3">
        <f>HOUR(CallLog[[#This Row],[Time]])</f>
        <v>11</v>
      </c>
      <c r="H2258" t="s">
        <v>17</v>
      </c>
      <c r="I2258" t="s">
        <v>14</v>
      </c>
      <c r="J2258" t="s">
        <v>14</v>
      </c>
      <c r="K2258">
        <v>108</v>
      </c>
      <c r="L2258" t="str">
        <f>IF(AND(CallLog[[#This Row],[Answered (Y/N)]]="Y", CallLog[[#This Row],[Speed of answer in seconds]]&lt;=20),
    "Within",
    "Breach")</f>
        <v>Breach</v>
      </c>
      <c r="M2258" s="1">
        <v>1.8865740740740742E-3</v>
      </c>
      <c r="N2258">
        <v>3</v>
      </c>
    </row>
    <row r="2259" spans="1:14" x14ac:dyDescent="0.3">
      <c r="A2259" t="s">
        <v>2322</v>
      </c>
      <c r="B2259" t="s">
        <v>47</v>
      </c>
      <c r="C2259" t="s">
        <v>2311</v>
      </c>
      <c r="D2259" s="1">
        <v>0.48099537037037038</v>
      </c>
      <c r="E2259" s="2">
        <f>CallLog[[#This Row],[Date]]+CallLog[[#This Row],[Time]]</f>
        <v>44236.480995370373</v>
      </c>
      <c r="F2259" s="1" t="str">
        <f>TEXT(CallLog[[#This Row],[Date]],"dddd")</f>
        <v>Tuesday</v>
      </c>
      <c r="G2259" s="3">
        <f>HOUR(CallLog[[#This Row],[Time]])</f>
        <v>11</v>
      </c>
      <c r="H2259" t="s">
        <v>24</v>
      </c>
      <c r="I2259" t="s">
        <v>14</v>
      </c>
      <c r="J2259" t="s">
        <v>18</v>
      </c>
      <c r="K2259">
        <v>100</v>
      </c>
      <c r="L2259" t="str">
        <f>IF(AND(CallLog[[#This Row],[Answered (Y/N)]]="Y", CallLog[[#This Row],[Speed of answer in seconds]]&lt;=20),
    "Within",
    "Breach")</f>
        <v>Breach</v>
      </c>
      <c r="M2259" s="1">
        <v>4.6874999999999998E-3</v>
      </c>
      <c r="N2259">
        <v>5</v>
      </c>
    </row>
    <row r="2260" spans="1:14" x14ac:dyDescent="0.3">
      <c r="A2260" t="s">
        <v>2323</v>
      </c>
      <c r="B2260" t="s">
        <v>38</v>
      </c>
      <c r="C2260" t="s">
        <v>2311</v>
      </c>
      <c r="D2260" s="1">
        <v>0.51400462962962967</v>
      </c>
      <c r="E2260" s="2">
        <f>CallLog[[#This Row],[Date]]+CallLog[[#This Row],[Time]]</f>
        <v>44236.514004629629</v>
      </c>
      <c r="F2260" s="1" t="str">
        <f>TEXT(CallLog[[#This Row],[Date]],"dddd")</f>
        <v>Tuesday</v>
      </c>
      <c r="G2260" s="3">
        <f>HOUR(CallLog[[#This Row],[Time]])</f>
        <v>12</v>
      </c>
      <c r="H2260" t="s">
        <v>13</v>
      </c>
      <c r="I2260" t="s">
        <v>14</v>
      </c>
      <c r="J2260" t="s">
        <v>14</v>
      </c>
      <c r="K2260">
        <v>69</v>
      </c>
      <c r="L2260" t="str">
        <f>IF(AND(CallLog[[#This Row],[Answered (Y/N)]]="Y", CallLog[[#This Row],[Speed of answer in seconds]]&lt;=20),
    "Within",
    "Breach")</f>
        <v>Breach</v>
      </c>
      <c r="M2260" s="1">
        <v>4.0509259259259257E-3</v>
      </c>
      <c r="N2260">
        <v>3</v>
      </c>
    </row>
    <row r="2261" spans="1:14" x14ac:dyDescent="0.3">
      <c r="A2261" t="s">
        <v>2324</v>
      </c>
      <c r="B2261" t="s">
        <v>34</v>
      </c>
      <c r="C2261" t="s">
        <v>2311</v>
      </c>
      <c r="D2261" s="1">
        <v>0.51400462962962967</v>
      </c>
      <c r="E2261" s="2">
        <f>CallLog[[#This Row],[Date]]+CallLog[[#This Row],[Time]]</f>
        <v>44236.514004629629</v>
      </c>
      <c r="F2261" s="1" t="str">
        <f>TEXT(CallLog[[#This Row],[Date]],"dddd")</f>
        <v>Tuesday</v>
      </c>
      <c r="G2261" s="3">
        <f>HOUR(CallLog[[#This Row],[Time]])</f>
        <v>12</v>
      </c>
      <c r="H2261" t="s">
        <v>29</v>
      </c>
      <c r="I2261" t="s">
        <v>14</v>
      </c>
      <c r="J2261" t="s">
        <v>14</v>
      </c>
      <c r="K2261">
        <v>66</v>
      </c>
      <c r="L2261" t="str">
        <f>IF(AND(CallLog[[#This Row],[Answered (Y/N)]]="Y", CallLog[[#This Row],[Speed of answer in seconds]]&lt;=20),
    "Within",
    "Breach")</f>
        <v>Breach</v>
      </c>
      <c r="M2261" s="1">
        <v>3.3912037037037036E-3</v>
      </c>
      <c r="N2261">
        <v>2</v>
      </c>
    </row>
    <row r="2262" spans="1:14" x14ac:dyDescent="0.3">
      <c r="A2262" t="s">
        <v>2325</v>
      </c>
      <c r="B2262" t="s">
        <v>47</v>
      </c>
      <c r="C2262" t="s">
        <v>2311</v>
      </c>
      <c r="D2262" s="1">
        <v>0.52</v>
      </c>
      <c r="E2262" s="2">
        <f>CallLog[[#This Row],[Date]]+CallLog[[#This Row],[Time]]</f>
        <v>44236.52</v>
      </c>
      <c r="F2262" s="1" t="str">
        <f>TEXT(CallLog[[#This Row],[Date]],"dddd")</f>
        <v>Tuesday</v>
      </c>
      <c r="G2262" s="3">
        <f>HOUR(CallLog[[#This Row],[Time]])</f>
        <v>12</v>
      </c>
      <c r="H2262" t="s">
        <v>24</v>
      </c>
      <c r="I2262" t="s">
        <v>18</v>
      </c>
      <c r="J2262" t="s">
        <v>18</v>
      </c>
      <c r="L2262" t="str">
        <f>IF(AND(CallLog[[#This Row],[Answered (Y/N)]]="Y", CallLog[[#This Row],[Speed of answer in seconds]]&lt;=20),
    "Within",
    "Breach")</f>
        <v>Breach</v>
      </c>
    </row>
    <row r="2263" spans="1:14" x14ac:dyDescent="0.3">
      <c r="A2263" t="s">
        <v>2326</v>
      </c>
      <c r="B2263" t="s">
        <v>20</v>
      </c>
      <c r="C2263" t="s">
        <v>2311</v>
      </c>
      <c r="D2263" s="1">
        <v>0.52</v>
      </c>
      <c r="E2263" s="2">
        <f>CallLog[[#This Row],[Date]]+CallLog[[#This Row],[Time]]</f>
        <v>44236.52</v>
      </c>
      <c r="F2263" s="1" t="str">
        <f>TEXT(CallLog[[#This Row],[Date]],"dddd")</f>
        <v>Tuesday</v>
      </c>
      <c r="G2263" s="3">
        <f>HOUR(CallLog[[#This Row],[Time]])</f>
        <v>12</v>
      </c>
      <c r="H2263" t="s">
        <v>32</v>
      </c>
      <c r="I2263" t="s">
        <v>18</v>
      </c>
      <c r="J2263" t="s">
        <v>18</v>
      </c>
      <c r="L2263" t="str">
        <f>IF(AND(CallLog[[#This Row],[Answered (Y/N)]]="Y", CallLog[[#This Row],[Speed of answer in seconds]]&lt;=20),
    "Within",
    "Breach")</f>
        <v>Breach</v>
      </c>
    </row>
    <row r="2264" spans="1:14" x14ac:dyDescent="0.3">
      <c r="A2264" t="s">
        <v>2327</v>
      </c>
      <c r="B2264" t="s">
        <v>47</v>
      </c>
      <c r="C2264" t="s">
        <v>2311</v>
      </c>
      <c r="D2264" s="1">
        <v>0.52599537037037036</v>
      </c>
      <c r="E2264" s="2">
        <f>CallLog[[#This Row],[Date]]+CallLog[[#This Row],[Time]]</f>
        <v>44236.525995370372</v>
      </c>
      <c r="F2264" s="1" t="str">
        <f>TEXT(CallLog[[#This Row],[Date]],"dddd")</f>
        <v>Tuesday</v>
      </c>
      <c r="G2264" s="3">
        <f>HOUR(CallLog[[#This Row],[Time]])</f>
        <v>12</v>
      </c>
      <c r="H2264" t="s">
        <v>24</v>
      </c>
      <c r="I2264" t="s">
        <v>14</v>
      </c>
      <c r="J2264" t="s">
        <v>14</v>
      </c>
      <c r="K2264">
        <v>122</v>
      </c>
      <c r="L2264" t="str">
        <f>IF(AND(CallLog[[#This Row],[Answered (Y/N)]]="Y", CallLog[[#This Row],[Speed of answer in seconds]]&lt;=20),
    "Within",
    "Breach")</f>
        <v>Breach</v>
      </c>
      <c r="M2264" s="1">
        <v>5.5555555555555556E-4</v>
      </c>
      <c r="N2264">
        <v>4</v>
      </c>
    </row>
    <row r="2265" spans="1:14" x14ac:dyDescent="0.3">
      <c r="A2265" t="s">
        <v>2328</v>
      </c>
      <c r="B2265" t="s">
        <v>47</v>
      </c>
      <c r="C2265" t="s">
        <v>2311</v>
      </c>
      <c r="D2265" s="1">
        <v>0.52599537037037036</v>
      </c>
      <c r="E2265" s="2">
        <f>CallLog[[#This Row],[Date]]+CallLog[[#This Row],[Time]]</f>
        <v>44236.525995370372</v>
      </c>
      <c r="F2265" s="1" t="str">
        <f>TEXT(CallLog[[#This Row],[Date]],"dddd")</f>
        <v>Tuesday</v>
      </c>
      <c r="G2265" s="3">
        <f>HOUR(CallLog[[#This Row],[Time]])</f>
        <v>12</v>
      </c>
      <c r="H2265" t="s">
        <v>29</v>
      </c>
      <c r="I2265" t="s">
        <v>14</v>
      </c>
      <c r="J2265" t="s">
        <v>14</v>
      </c>
      <c r="K2265">
        <v>44</v>
      </c>
      <c r="L2265" t="str">
        <f>IF(AND(CallLog[[#This Row],[Answered (Y/N)]]="Y", CallLog[[#This Row],[Speed of answer in seconds]]&lt;=20),
    "Within",
    "Breach")</f>
        <v>Breach</v>
      </c>
      <c r="M2265" s="1">
        <v>3.7731481481481483E-3</v>
      </c>
      <c r="N2265">
        <v>4</v>
      </c>
    </row>
    <row r="2266" spans="1:14" x14ac:dyDescent="0.3">
      <c r="A2266" t="s">
        <v>2329</v>
      </c>
      <c r="B2266" t="s">
        <v>16</v>
      </c>
      <c r="C2266" t="s">
        <v>2311</v>
      </c>
      <c r="D2266" s="1">
        <v>0.5329976851851852</v>
      </c>
      <c r="E2266" s="2">
        <f>CallLog[[#This Row],[Date]]+CallLog[[#This Row],[Time]]</f>
        <v>44236.532997685186</v>
      </c>
      <c r="F2266" s="1" t="str">
        <f>TEXT(CallLog[[#This Row],[Date]],"dddd")</f>
        <v>Tuesday</v>
      </c>
      <c r="G2266" s="3">
        <f>HOUR(CallLog[[#This Row],[Time]])</f>
        <v>12</v>
      </c>
      <c r="H2266" t="s">
        <v>13</v>
      </c>
      <c r="I2266" t="s">
        <v>18</v>
      </c>
      <c r="J2266" t="s">
        <v>18</v>
      </c>
      <c r="L2266" t="str">
        <f>IF(AND(CallLog[[#This Row],[Answered (Y/N)]]="Y", CallLog[[#This Row],[Speed of answer in seconds]]&lt;=20),
    "Within",
    "Breach")</f>
        <v>Breach</v>
      </c>
    </row>
    <row r="2267" spans="1:14" x14ac:dyDescent="0.3">
      <c r="A2267" t="s">
        <v>2330</v>
      </c>
      <c r="B2267" t="s">
        <v>22</v>
      </c>
      <c r="C2267" t="s">
        <v>2311</v>
      </c>
      <c r="D2267" s="1">
        <v>0.5329976851851852</v>
      </c>
      <c r="E2267" s="2">
        <f>CallLog[[#This Row],[Date]]+CallLog[[#This Row],[Time]]</f>
        <v>44236.532997685186</v>
      </c>
      <c r="F2267" s="1" t="str">
        <f>TEXT(CallLog[[#This Row],[Date]],"dddd")</f>
        <v>Tuesday</v>
      </c>
      <c r="G2267" s="3">
        <f>HOUR(CallLog[[#This Row],[Time]])</f>
        <v>12</v>
      </c>
      <c r="H2267" t="s">
        <v>17</v>
      </c>
      <c r="I2267" t="s">
        <v>18</v>
      </c>
      <c r="J2267" t="s">
        <v>18</v>
      </c>
      <c r="L2267" t="str">
        <f>IF(AND(CallLog[[#This Row],[Answered (Y/N)]]="Y", CallLog[[#This Row],[Speed of answer in seconds]]&lt;=20),
    "Within",
    "Breach")</f>
        <v>Breach</v>
      </c>
    </row>
    <row r="2268" spans="1:14" x14ac:dyDescent="0.3">
      <c r="A2268" t="s">
        <v>2331</v>
      </c>
      <c r="B2268" t="s">
        <v>34</v>
      </c>
      <c r="C2268" t="s">
        <v>2311</v>
      </c>
      <c r="D2268" s="1">
        <v>0.5329976851851852</v>
      </c>
      <c r="E2268" s="2">
        <f>CallLog[[#This Row],[Date]]+CallLog[[#This Row],[Time]]</f>
        <v>44236.532997685186</v>
      </c>
      <c r="F2268" s="1" t="str">
        <f>TEXT(CallLog[[#This Row],[Date]],"dddd")</f>
        <v>Tuesday</v>
      </c>
      <c r="G2268" s="3">
        <f>HOUR(CallLog[[#This Row],[Time]])</f>
        <v>12</v>
      </c>
      <c r="H2268" t="s">
        <v>13</v>
      </c>
      <c r="I2268" t="s">
        <v>14</v>
      </c>
      <c r="J2268" t="s">
        <v>14</v>
      </c>
      <c r="K2268">
        <v>48</v>
      </c>
      <c r="L2268" t="str">
        <f>IF(AND(CallLog[[#This Row],[Answered (Y/N)]]="Y", CallLog[[#This Row],[Speed of answer in seconds]]&lt;=20),
    "Within",
    "Breach")</f>
        <v>Breach</v>
      </c>
      <c r="M2268" s="1">
        <v>3.8425925925925928E-3</v>
      </c>
      <c r="N2268">
        <v>3</v>
      </c>
    </row>
    <row r="2269" spans="1:14" x14ac:dyDescent="0.3">
      <c r="A2269" t="s">
        <v>2332</v>
      </c>
      <c r="B2269" t="s">
        <v>47</v>
      </c>
      <c r="C2269" t="s">
        <v>2311</v>
      </c>
      <c r="D2269" s="1">
        <v>0.5329976851851852</v>
      </c>
      <c r="E2269" s="2">
        <f>CallLog[[#This Row],[Date]]+CallLog[[#This Row],[Time]]</f>
        <v>44236.532997685186</v>
      </c>
      <c r="F2269" s="1" t="str">
        <f>TEXT(CallLog[[#This Row],[Date]],"dddd")</f>
        <v>Tuesday</v>
      </c>
      <c r="G2269" s="3">
        <f>HOUR(CallLog[[#This Row],[Time]])</f>
        <v>12</v>
      </c>
      <c r="H2269" t="s">
        <v>13</v>
      </c>
      <c r="I2269" t="s">
        <v>14</v>
      </c>
      <c r="J2269" t="s">
        <v>14</v>
      </c>
      <c r="K2269">
        <v>82</v>
      </c>
      <c r="L2269" t="str">
        <f>IF(AND(CallLog[[#This Row],[Answered (Y/N)]]="Y", CallLog[[#This Row],[Speed of answer in seconds]]&lt;=20),
    "Within",
    "Breach")</f>
        <v>Breach</v>
      </c>
      <c r="M2269" s="1">
        <v>2.650462962962963E-3</v>
      </c>
      <c r="N2269">
        <v>1</v>
      </c>
    </row>
    <row r="2270" spans="1:14" x14ac:dyDescent="0.3">
      <c r="A2270" t="s">
        <v>2333</v>
      </c>
      <c r="B2270" t="s">
        <v>22</v>
      </c>
      <c r="C2270" t="s">
        <v>2311</v>
      </c>
      <c r="D2270" s="1">
        <v>0.53500000000000003</v>
      </c>
      <c r="E2270" s="2">
        <f>CallLog[[#This Row],[Date]]+CallLog[[#This Row],[Time]]</f>
        <v>44236.535000000003</v>
      </c>
      <c r="F2270" s="1" t="str">
        <f>TEXT(CallLog[[#This Row],[Date]],"dddd")</f>
        <v>Tuesday</v>
      </c>
      <c r="G2270" s="3">
        <f>HOUR(CallLog[[#This Row],[Time]])</f>
        <v>12</v>
      </c>
      <c r="H2270" t="s">
        <v>32</v>
      </c>
      <c r="I2270" t="s">
        <v>14</v>
      </c>
      <c r="J2270" t="s">
        <v>18</v>
      </c>
      <c r="K2270">
        <v>17</v>
      </c>
      <c r="L2270" t="str">
        <f>IF(AND(CallLog[[#This Row],[Answered (Y/N)]]="Y", CallLog[[#This Row],[Speed of answer in seconds]]&lt;=20),
    "Within",
    "Breach")</f>
        <v>Within</v>
      </c>
      <c r="M2270" s="1">
        <v>3.5416666666666665E-3</v>
      </c>
      <c r="N2270">
        <v>2</v>
      </c>
    </row>
    <row r="2271" spans="1:14" x14ac:dyDescent="0.3">
      <c r="A2271" t="s">
        <v>2334</v>
      </c>
      <c r="B2271" t="s">
        <v>22</v>
      </c>
      <c r="C2271" t="s">
        <v>2311</v>
      </c>
      <c r="D2271" s="1">
        <v>0.53500000000000003</v>
      </c>
      <c r="E2271" s="2">
        <f>CallLog[[#This Row],[Date]]+CallLog[[#This Row],[Time]]</f>
        <v>44236.535000000003</v>
      </c>
      <c r="F2271" s="1" t="str">
        <f>TEXT(CallLog[[#This Row],[Date]],"dddd")</f>
        <v>Tuesday</v>
      </c>
      <c r="G2271" s="3">
        <f>HOUR(CallLog[[#This Row],[Time]])</f>
        <v>12</v>
      </c>
      <c r="H2271" t="s">
        <v>24</v>
      </c>
      <c r="I2271" t="s">
        <v>14</v>
      </c>
      <c r="J2271" t="s">
        <v>14</v>
      </c>
      <c r="K2271">
        <v>52</v>
      </c>
      <c r="L2271" t="str">
        <f>IF(AND(CallLog[[#This Row],[Answered (Y/N)]]="Y", CallLog[[#This Row],[Speed of answer in seconds]]&lt;=20),
    "Within",
    "Breach")</f>
        <v>Breach</v>
      </c>
      <c r="M2271" s="1">
        <v>1.3541666666666667E-3</v>
      </c>
      <c r="N2271">
        <v>5</v>
      </c>
    </row>
    <row r="2272" spans="1:14" x14ac:dyDescent="0.3">
      <c r="A2272" t="s">
        <v>2335</v>
      </c>
      <c r="B2272" t="s">
        <v>11</v>
      </c>
      <c r="C2272" t="s">
        <v>2311</v>
      </c>
      <c r="D2272" s="1">
        <v>0.54200231481481487</v>
      </c>
      <c r="E2272" s="2">
        <f>CallLog[[#This Row],[Date]]+CallLog[[#This Row],[Time]]</f>
        <v>44236.542002314818</v>
      </c>
      <c r="F2272" s="1" t="str">
        <f>TEXT(CallLog[[#This Row],[Date]],"dddd")</f>
        <v>Tuesday</v>
      </c>
      <c r="G2272" s="3">
        <f>HOUR(CallLog[[#This Row],[Time]])</f>
        <v>13</v>
      </c>
      <c r="H2272" t="s">
        <v>29</v>
      </c>
      <c r="I2272" t="s">
        <v>14</v>
      </c>
      <c r="J2272" t="s">
        <v>14</v>
      </c>
      <c r="K2272">
        <v>61</v>
      </c>
      <c r="L2272" t="str">
        <f>IF(AND(CallLog[[#This Row],[Answered (Y/N)]]="Y", CallLog[[#This Row],[Speed of answer in seconds]]&lt;=20),
    "Within",
    "Breach")</f>
        <v>Breach</v>
      </c>
      <c r="M2272" s="1">
        <v>4.1087962962962962E-3</v>
      </c>
      <c r="N2272">
        <v>5</v>
      </c>
    </row>
    <row r="2273" spans="1:14" x14ac:dyDescent="0.3">
      <c r="A2273" t="s">
        <v>2336</v>
      </c>
      <c r="B2273" t="s">
        <v>47</v>
      </c>
      <c r="C2273" t="s">
        <v>2311</v>
      </c>
      <c r="D2273" s="1">
        <v>0.54200231481481487</v>
      </c>
      <c r="E2273" s="2">
        <f>CallLog[[#This Row],[Date]]+CallLog[[#This Row],[Time]]</f>
        <v>44236.542002314818</v>
      </c>
      <c r="F2273" s="1" t="str">
        <f>TEXT(CallLog[[#This Row],[Date]],"dddd")</f>
        <v>Tuesday</v>
      </c>
      <c r="G2273" s="3">
        <f>HOUR(CallLog[[#This Row],[Time]])</f>
        <v>13</v>
      </c>
      <c r="H2273" t="s">
        <v>29</v>
      </c>
      <c r="I2273" t="s">
        <v>14</v>
      </c>
      <c r="J2273" t="s">
        <v>14</v>
      </c>
      <c r="K2273">
        <v>103</v>
      </c>
      <c r="L2273" t="str">
        <f>IF(AND(CallLog[[#This Row],[Answered (Y/N)]]="Y", CallLog[[#This Row],[Speed of answer in seconds]]&lt;=20),
    "Within",
    "Breach")</f>
        <v>Breach</v>
      </c>
      <c r="M2273" s="1">
        <v>2.3842592592592591E-3</v>
      </c>
      <c r="N2273">
        <v>4</v>
      </c>
    </row>
    <row r="2274" spans="1:14" x14ac:dyDescent="0.3">
      <c r="A2274" t="s">
        <v>2337</v>
      </c>
      <c r="B2274" t="s">
        <v>11</v>
      </c>
      <c r="C2274" t="s">
        <v>2311</v>
      </c>
      <c r="D2274" s="1">
        <v>0.54599537037037038</v>
      </c>
      <c r="E2274" s="2">
        <f>CallLog[[#This Row],[Date]]+CallLog[[#This Row],[Time]]</f>
        <v>44236.545995370368</v>
      </c>
      <c r="F2274" s="1" t="str">
        <f>TEXT(CallLog[[#This Row],[Date]],"dddd")</f>
        <v>Tuesday</v>
      </c>
      <c r="G2274" s="3">
        <f>HOUR(CallLog[[#This Row],[Time]])</f>
        <v>13</v>
      </c>
      <c r="H2274" t="s">
        <v>29</v>
      </c>
      <c r="I2274" t="s">
        <v>14</v>
      </c>
      <c r="J2274" t="s">
        <v>14</v>
      </c>
      <c r="K2274">
        <v>30</v>
      </c>
      <c r="L2274" t="str">
        <f>IF(AND(CallLog[[#This Row],[Answered (Y/N)]]="Y", CallLog[[#This Row],[Speed of answer in seconds]]&lt;=20),
    "Within",
    "Breach")</f>
        <v>Breach</v>
      </c>
      <c r="M2274" s="1">
        <v>8.2175925925925927E-4</v>
      </c>
      <c r="N2274">
        <v>4</v>
      </c>
    </row>
    <row r="2275" spans="1:14" x14ac:dyDescent="0.3">
      <c r="A2275" t="s">
        <v>2338</v>
      </c>
      <c r="B2275" t="s">
        <v>22</v>
      </c>
      <c r="C2275" t="s">
        <v>2311</v>
      </c>
      <c r="D2275" s="1">
        <v>0.54599537037037038</v>
      </c>
      <c r="E2275" s="2">
        <f>CallLog[[#This Row],[Date]]+CallLog[[#This Row],[Time]]</f>
        <v>44236.545995370368</v>
      </c>
      <c r="F2275" s="1" t="str">
        <f>TEXT(CallLog[[#This Row],[Date]],"dddd")</f>
        <v>Tuesday</v>
      </c>
      <c r="G2275" s="3">
        <f>HOUR(CallLog[[#This Row],[Time]])</f>
        <v>13</v>
      </c>
      <c r="H2275" t="s">
        <v>17</v>
      </c>
      <c r="I2275" t="s">
        <v>18</v>
      </c>
      <c r="J2275" t="s">
        <v>18</v>
      </c>
      <c r="L2275" t="str">
        <f>IF(AND(CallLog[[#This Row],[Answered (Y/N)]]="Y", CallLog[[#This Row],[Speed of answer in seconds]]&lt;=20),
    "Within",
    "Breach")</f>
        <v>Breach</v>
      </c>
    </row>
    <row r="2276" spans="1:14" x14ac:dyDescent="0.3">
      <c r="A2276" t="s">
        <v>2339</v>
      </c>
      <c r="B2276" t="s">
        <v>31</v>
      </c>
      <c r="C2276" t="s">
        <v>2311</v>
      </c>
      <c r="D2276" s="1">
        <v>0.55700231481481477</v>
      </c>
      <c r="E2276" s="2">
        <f>CallLog[[#This Row],[Date]]+CallLog[[#This Row],[Time]]</f>
        <v>44236.557002314818</v>
      </c>
      <c r="F2276" s="1" t="str">
        <f>TEXT(CallLog[[#This Row],[Date]],"dddd")</f>
        <v>Tuesday</v>
      </c>
      <c r="G2276" s="3">
        <f>HOUR(CallLog[[#This Row],[Time]])</f>
        <v>13</v>
      </c>
      <c r="H2276" t="s">
        <v>32</v>
      </c>
      <c r="I2276" t="s">
        <v>14</v>
      </c>
      <c r="J2276" t="s">
        <v>14</v>
      </c>
      <c r="K2276">
        <v>21</v>
      </c>
      <c r="L2276" t="str">
        <f>IF(AND(CallLog[[#This Row],[Answered (Y/N)]]="Y", CallLog[[#This Row],[Speed of answer in seconds]]&lt;=20),
    "Within",
    "Breach")</f>
        <v>Breach</v>
      </c>
      <c r="M2276" s="1">
        <v>2.2222222222222222E-3</v>
      </c>
      <c r="N2276">
        <v>5</v>
      </c>
    </row>
    <row r="2277" spans="1:14" x14ac:dyDescent="0.3">
      <c r="A2277" t="s">
        <v>2340</v>
      </c>
      <c r="B2277" t="s">
        <v>31</v>
      </c>
      <c r="C2277" t="s">
        <v>2311</v>
      </c>
      <c r="D2277" s="1">
        <v>0.55700231481481477</v>
      </c>
      <c r="E2277" s="2">
        <f>CallLog[[#This Row],[Date]]+CallLog[[#This Row],[Time]]</f>
        <v>44236.557002314818</v>
      </c>
      <c r="F2277" s="1" t="str">
        <f>TEXT(CallLog[[#This Row],[Date]],"dddd")</f>
        <v>Tuesday</v>
      </c>
      <c r="G2277" s="3">
        <f>HOUR(CallLog[[#This Row],[Time]])</f>
        <v>13</v>
      </c>
      <c r="H2277" t="s">
        <v>32</v>
      </c>
      <c r="I2277" t="s">
        <v>14</v>
      </c>
      <c r="J2277" t="s">
        <v>14</v>
      </c>
      <c r="K2277">
        <v>117</v>
      </c>
      <c r="L2277" t="str">
        <f>IF(AND(CallLog[[#This Row],[Answered (Y/N)]]="Y", CallLog[[#This Row],[Speed of answer in seconds]]&lt;=20),
    "Within",
    "Breach")</f>
        <v>Breach</v>
      </c>
      <c r="M2277" s="1">
        <v>2.9861111111111113E-3</v>
      </c>
      <c r="N2277">
        <v>5</v>
      </c>
    </row>
    <row r="2278" spans="1:14" x14ac:dyDescent="0.3">
      <c r="A2278" t="s">
        <v>2341</v>
      </c>
      <c r="B2278" t="s">
        <v>31</v>
      </c>
      <c r="C2278" t="s">
        <v>2311</v>
      </c>
      <c r="D2278" s="1">
        <v>0.56200231481481477</v>
      </c>
      <c r="E2278" s="2">
        <f>CallLog[[#This Row],[Date]]+CallLog[[#This Row],[Time]]</f>
        <v>44236.562002314815</v>
      </c>
      <c r="F2278" s="1" t="str">
        <f>TEXT(CallLog[[#This Row],[Date]],"dddd")</f>
        <v>Tuesday</v>
      </c>
      <c r="G2278" s="3">
        <f>HOUR(CallLog[[#This Row],[Time]])</f>
        <v>13</v>
      </c>
      <c r="H2278" t="s">
        <v>29</v>
      </c>
      <c r="I2278" t="s">
        <v>18</v>
      </c>
      <c r="J2278" t="s">
        <v>18</v>
      </c>
      <c r="L2278" t="str">
        <f>IF(AND(CallLog[[#This Row],[Answered (Y/N)]]="Y", CallLog[[#This Row],[Speed of answer in seconds]]&lt;=20),
    "Within",
    "Breach")</f>
        <v>Breach</v>
      </c>
    </row>
    <row r="2279" spans="1:14" x14ac:dyDescent="0.3">
      <c r="A2279" t="s">
        <v>2342</v>
      </c>
      <c r="B2279" t="s">
        <v>34</v>
      </c>
      <c r="C2279" t="s">
        <v>2311</v>
      </c>
      <c r="D2279" s="1">
        <v>0.56200231481481477</v>
      </c>
      <c r="E2279" s="2">
        <f>CallLog[[#This Row],[Date]]+CallLog[[#This Row],[Time]]</f>
        <v>44236.562002314815</v>
      </c>
      <c r="F2279" s="1" t="str">
        <f>TEXT(CallLog[[#This Row],[Date]],"dddd")</f>
        <v>Tuesday</v>
      </c>
      <c r="G2279" s="3">
        <f>HOUR(CallLog[[#This Row],[Time]])</f>
        <v>13</v>
      </c>
      <c r="H2279" t="s">
        <v>29</v>
      </c>
      <c r="I2279" t="s">
        <v>14</v>
      </c>
      <c r="J2279" t="s">
        <v>14</v>
      </c>
      <c r="K2279">
        <v>110</v>
      </c>
      <c r="L2279" t="str">
        <f>IF(AND(CallLog[[#This Row],[Answered (Y/N)]]="Y", CallLog[[#This Row],[Speed of answer in seconds]]&lt;=20),
    "Within",
    "Breach")</f>
        <v>Breach</v>
      </c>
      <c r="M2279" s="1">
        <v>4.5486111111111109E-3</v>
      </c>
      <c r="N2279">
        <v>3</v>
      </c>
    </row>
    <row r="2280" spans="1:14" x14ac:dyDescent="0.3">
      <c r="A2280" t="s">
        <v>2343</v>
      </c>
      <c r="B2280" t="s">
        <v>16</v>
      </c>
      <c r="C2280" t="s">
        <v>2311</v>
      </c>
      <c r="D2280" s="1">
        <v>0.60400462962962964</v>
      </c>
      <c r="E2280" s="2">
        <f>CallLog[[#This Row],[Date]]+CallLog[[#This Row],[Time]]</f>
        <v>44236.604004629633</v>
      </c>
      <c r="F2280" s="1" t="str">
        <f>TEXT(CallLog[[#This Row],[Date]],"dddd")</f>
        <v>Tuesday</v>
      </c>
      <c r="G2280" s="3">
        <f>HOUR(CallLog[[#This Row],[Time]])</f>
        <v>14</v>
      </c>
      <c r="H2280" t="s">
        <v>24</v>
      </c>
      <c r="I2280" t="s">
        <v>14</v>
      </c>
      <c r="J2280" t="s">
        <v>18</v>
      </c>
      <c r="K2280">
        <v>47</v>
      </c>
      <c r="L2280" t="str">
        <f>IF(AND(CallLog[[#This Row],[Answered (Y/N)]]="Y", CallLog[[#This Row],[Speed of answer in seconds]]&lt;=20),
    "Within",
    "Breach")</f>
        <v>Breach</v>
      </c>
      <c r="M2280" s="1">
        <v>4.6527777777777774E-3</v>
      </c>
      <c r="N2280">
        <v>3</v>
      </c>
    </row>
    <row r="2281" spans="1:14" x14ac:dyDescent="0.3">
      <c r="A2281" t="s">
        <v>2344</v>
      </c>
      <c r="B2281" t="s">
        <v>11</v>
      </c>
      <c r="C2281" t="s">
        <v>2311</v>
      </c>
      <c r="D2281" s="1">
        <v>0.60400462962962964</v>
      </c>
      <c r="E2281" s="2">
        <f>CallLog[[#This Row],[Date]]+CallLog[[#This Row],[Time]]</f>
        <v>44236.604004629633</v>
      </c>
      <c r="F2281" s="1" t="str">
        <f>TEXT(CallLog[[#This Row],[Date]],"dddd")</f>
        <v>Tuesday</v>
      </c>
      <c r="G2281" s="3">
        <f>HOUR(CallLog[[#This Row],[Time]])</f>
        <v>14</v>
      </c>
      <c r="H2281" t="s">
        <v>32</v>
      </c>
      <c r="I2281" t="s">
        <v>14</v>
      </c>
      <c r="J2281" t="s">
        <v>14</v>
      </c>
      <c r="K2281">
        <v>48</v>
      </c>
      <c r="L2281" t="str">
        <f>IF(AND(CallLog[[#This Row],[Answered (Y/N)]]="Y", CallLog[[#This Row],[Speed of answer in seconds]]&lt;=20),
    "Within",
    "Breach")</f>
        <v>Breach</v>
      </c>
      <c r="M2281" s="1">
        <v>1.4236111111111112E-3</v>
      </c>
      <c r="N2281">
        <v>4</v>
      </c>
    </row>
    <row r="2282" spans="1:14" x14ac:dyDescent="0.3">
      <c r="A2282" t="s">
        <v>2345</v>
      </c>
      <c r="B2282" t="s">
        <v>38</v>
      </c>
      <c r="C2282" t="s">
        <v>2311</v>
      </c>
      <c r="D2282" s="1">
        <v>0.60400462962962964</v>
      </c>
      <c r="E2282" s="2">
        <f>CallLog[[#This Row],[Date]]+CallLog[[#This Row],[Time]]</f>
        <v>44236.604004629633</v>
      </c>
      <c r="F2282" s="1" t="str">
        <f>TEXT(CallLog[[#This Row],[Date]],"dddd")</f>
        <v>Tuesday</v>
      </c>
      <c r="G2282" s="3">
        <f>HOUR(CallLog[[#This Row],[Time]])</f>
        <v>14</v>
      </c>
      <c r="H2282" t="s">
        <v>17</v>
      </c>
      <c r="I2282" t="s">
        <v>14</v>
      </c>
      <c r="J2282" t="s">
        <v>14</v>
      </c>
      <c r="K2282">
        <v>63</v>
      </c>
      <c r="L2282" t="str">
        <f>IF(AND(CallLog[[#This Row],[Answered (Y/N)]]="Y", CallLog[[#This Row],[Speed of answer in seconds]]&lt;=20),
    "Within",
    "Breach")</f>
        <v>Breach</v>
      </c>
      <c r="M2282" s="1">
        <v>2.4421296296296296E-3</v>
      </c>
      <c r="N2282">
        <v>5</v>
      </c>
    </row>
    <row r="2283" spans="1:14" x14ac:dyDescent="0.3">
      <c r="A2283" t="s">
        <v>2346</v>
      </c>
      <c r="B2283" t="s">
        <v>34</v>
      </c>
      <c r="C2283" t="s">
        <v>2311</v>
      </c>
      <c r="D2283" s="1">
        <v>0.60400462962962964</v>
      </c>
      <c r="E2283" s="2">
        <f>CallLog[[#This Row],[Date]]+CallLog[[#This Row],[Time]]</f>
        <v>44236.604004629633</v>
      </c>
      <c r="F2283" s="1" t="str">
        <f>TEXT(CallLog[[#This Row],[Date]],"dddd")</f>
        <v>Tuesday</v>
      </c>
      <c r="G2283" s="3">
        <f>HOUR(CallLog[[#This Row],[Time]])</f>
        <v>14</v>
      </c>
      <c r="H2283" t="s">
        <v>24</v>
      </c>
      <c r="I2283" t="s">
        <v>18</v>
      </c>
      <c r="J2283" t="s">
        <v>18</v>
      </c>
      <c r="L2283" t="str">
        <f>IF(AND(CallLog[[#This Row],[Answered (Y/N)]]="Y", CallLog[[#This Row],[Speed of answer in seconds]]&lt;=20),
    "Within",
    "Breach")</f>
        <v>Breach</v>
      </c>
    </row>
    <row r="2284" spans="1:14" x14ac:dyDescent="0.3">
      <c r="A2284" t="s">
        <v>2347</v>
      </c>
      <c r="B2284" t="s">
        <v>11</v>
      </c>
      <c r="C2284" t="s">
        <v>2311</v>
      </c>
      <c r="D2284" s="1">
        <v>0.63900462962962967</v>
      </c>
      <c r="E2284" s="2">
        <f>CallLog[[#This Row],[Date]]+CallLog[[#This Row],[Time]]</f>
        <v>44236.639004629629</v>
      </c>
      <c r="F2284" s="1" t="str">
        <f>TEXT(CallLog[[#This Row],[Date]],"dddd")</f>
        <v>Tuesday</v>
      </c>
      <c r="G2284" s="3">
        <f>HOUR(CallLog[[#This Row],[Time]])</f>
        <v>15</v>
      </c>
      <c r="H2284" t="s">
        <v>17</v>
      </c>
      <c r="I2284" t="s">
        <v>18</v>
      </c>
      <c r="J2284" t="s">
        <v>18</v>
      </c>
      <c r="L2284" t="str">
        <f>IF(AND(CallLog[[#This Row],[Answered (Y/N)]]="Y", CallLog[[#This Row],[Speed of answer in seconds]]&lt;=20),
    "Within",
    "Breach")</f>
        <v>Breach</v>
      </c>
    </row>
    <row r="2285" spans="1:14" x14ac:dyDescent="0.3">
      <c r="A2285" t="s">
        <v>2348</v>
      </c>
      <c r="B2285" t="s">
        <v>31</v>
      </c>
      <c r="C2285" t="s">
        <v>2311</v>
      </c>
      <c r="D2285" s="1">
        <v>0.63900462962962967</v>
      </c>
      <c r="E2285" s="2">
        <f>CallLog[[#This Row],[Date]]+CallLog[[#This Row],[Time]]</f>
        <v>44236.639004629629</v>
      </c>
      <c r="F2285" s="1" t="str">
        <f>TEXT(CallLog[[#This Row],[Date]],"dddd")</f>
        <v>Tuesday</v>
      </c>
      <c r="G2285" s="3">
        <f>HOUR(CallLog[[#This Row],[Time]])</f>
        <v>15</v>
      </c>
      <c r="H2285" t="s">
        <v>29</v>
      </c>
      <c r="I2285" t="s">
        <v>14</v>
      </c>
      <c r="J2285" t="s">
        <v>14</v>
      </c>
      <c r="K2285">
        <v>78</v>
      </c>
      <c r="L2285" t="str">
        <f>IF(AND(CallLog[[#This Row],[Answered (Y/N)]]="Y", CallLog[[#This Row],[Speed of answer in seconds]]&lt;=20),
    "Within",
    "Breach")</f>
        <v>Breach</v>
      </c>
      <c r="M2285" s="1">
        <v>1.1921296296296296E-3</v>
      </c>
      <c r="N2285">
        <v>3</v>
      </c>
    </row>
    <row r="2286" spans="1:14" x14ac:dyDescent="0.3">
      <c r="A2286" t="s">
        <v>2349</v>
      </c>
      <c r="B2286" t="s">
        <v>47</v>
      </c>
      <c r="C2286" t="s">
        <v>2311</v>
      </c>
      <c r="D2286" s="1">
        <v>0.6629976851851852</v>
      </c>
      <c r="E2286" s="2">
        <f>CallLog[[#This Row],[Date]]+CallLog[[#This Row],[Time]]</f>
        <v>44236.662997685184</v>
      </c>
      <c r="F2286" s="1" t="str">
        <f>TEXT(CallLog[[#This Row],[Date]],"dddd")</f>
        <v>Tuesday</v>
      </c>
      <c r="G2286" s="3">
        <f>HOUR(CallLog[[#This Row],[Time]])</f>
        <v>15</v>
      </c>
      <c r="H2286" t="s">
        <v>29</v>
      </c>
      <c r="I2286" t="s">
        <v>14</v>
      </c>
      <c r="J2286" t="s">
        <v>14</v>
      </c>
      <c r="K2286">
        <v>80</v>
      </c>
      <c r="L2286" t="str">
        <f>IF(AND(CallLog[[#This Row],[Answered (Y/N)]]="Y", CallLog[[#This Row],[Speed of answer in seconds]]&lt;=20),
    "Within",
    "Breach")</f>
        <v>Breach</v>
      </c>
      <c r="M2286" s="1">
        <v>4.6064814814814814E-3</v>
      </c>
      <c r="N2286">
        <v>5</v>
      </c>
    </row>
    <row r="2287" spans="1:14" x14ac:dyDescent="0.3">
      <c r="A2287" t="s">
        <v>2350</v>
      </c>
      <c r="B2287" t="s">
        <v>38</v>
      </c>
      <c r="C2287" t="s">
        <v>2311</v>
      </c>
      <c r="D2287" s="1">
        <v>0.6629976851851852</v>
      </c>
      <c r="E2287" s="2">
        <f>CallLog[[#This Row],[Date]]+CallLog[[#This Row],[Time]]</f>
        <v>44236.662997685184</v>
      </c>
      <c r="F2287" s="1" t="str">
        <f>TEXT(CallLog[[#This Row],[Date]],"dddd")</f>
        <v>Tuesday</v>
      </c>
      <c r="G2287" s="3">
        <f>HOUR(CallLog[[#This Row],[Time]])</f>
        <v>15</v>
      </c>
      <c r="H2287" t="s">
        <v>17</v>
      </c>
      <c r="I2287" t="s">
        <v>18</v>
      </c>
      <c r="J2287" t="s">
        <v>18</v>
      </c>
      <c r="L2287" t="str">
        <f>IF(AND(CallLog[[#This Row],[Answered (Y/N)]]="Y", CallLog[[#This Row],[Speed of answer in seconds]]&lt;=20),
    "Within",
    "Breach")</f>
        <v>Breach</v>
      </c>
    </row>
    <row r="2288" spans="1:14" x14ac:dyDescent="0.3">
      <c r="A2288" t="s">
        <v>2351</v>
      </c>
      <c r="B2288" t="s">
        <v>38</v>
      </c>
      <c r="C2288" t="s">
        <v>2311</v>
      </c>
      <c r="D2288" s="1">
        <v>0.68</v>
      </c>
      <c r="E2288" s="2">
        <f>CallLog[[#This Row],[Date]]+CallLog[[#This Row],[Time]]</f>
        <v>44236.68</v>
      </c>
      <c r="F2288" s="1" t="str">
        <f>TEXT(CallLog[[#This Row],[Date]],"dddd")</f>
        <v>Tuesday</v>
      </c>
      <c r="G2288" s="3">
        <f>HOUR(CallLog[[#This Row],[Time]])</f>
        <v>16</v>
      </c>
      <c r="H2288" t="s">
        <v>29</v>
      </c>
      <c r="I2288" t="s">
        <v>14</v>
      </c>
      <c r="J2288" t="s">
        <v>14</v>
      </c>
      <c r="K2288">
        <v>93</v>
      </c>
      <c r="L2288" t="str">
        <f>IF(AND(CallLog[[#This Row],[Answered (Y/N)]]="Y", CallLog[[#This Row],[Speed of answer in seconds]]&lt;=20),
    "Within",
    "Breach")</f>
        <v>Breach</v>
      </c>
      <c r="M2288" s="1">
        <v>1.0069444444444444E-3</v>
      </c>
      <c r="N2288">
        <v>5</v>
      </c>
    </row>
    <row r="2289" spans="1:14" x14ac:dyDescent="0.3">
      <c r="A2289" t="s">
        <v>2352</v>
      </c>
      <c r="B2289" t="s">
        <v>22</v>
      </c>
      <c r="C2289" t="s">
        <v>2311</v>
      </c>
      <c r="D2289" s="1">
        <v>0.68</v>
      </c>
      <c r="E2289" s="2">
        <f>CallLog[[#This Row],[Date]]+CallLog[[#This Row],[Time]]</f>
        <v>44236.68</v>
      </c>
      <c r="F2289" s="1" t="str">
        <f>TEXT(CallLog[[#This Row],[Date]],"dddd")</f>
        <v>Tuesday</v>
      </c>
      <c r="G2289" s="3">
        <f>HOUR(CallLog[[#This Row],[Time]])</f>
        <v>16</v>
      </c>
      <c r="H2289" t="s">
        <v>29</v>
      </c>
      <c r="I2289" t="s">
        <v>14</v>
      </c>
      <c r="J2289" t="s">
        <v>14</v>
      </c>
      <c r="K2289">
        <v>88</v>
      </c>
      <c r="L2289" t="str">
        <f>IF(AND(CallLog[[#This Row],[Answered (Y/N)]]="Y", CallLog[[#This Row],[Speed of answer in seconds]]&lt;=20),
    "Within",
    "Breach")</f>
        <v>Breach</v>
      </c>
      <c r="M2289" s="1">
        <v>1.1111111111111111E-3</v>
      </c>
      <c r="N2289">
        <v>5</v>
      </c>
    </row>
    <row r="2290" spans="1:14" x14ac:dyDescent="0.3">
      <c r="A2290" t="s">
        <v>2353</v>
      </c>
      <c r="B2290" t="s">
        <v>34</v>
      </c>
      <c r="C2290" t="s">
        <v>2311</v>
      </c>
      <c r="D2290" s="1">
        <v>0.68099537037037039</v>
      </c>
      <c r="E2290" s="2">
        <f>CallLog[[#This Row],[Date]]+CallLog[[#This Row],[Time]]</f>
        <v>44236.680995370371</v>
      </c>
      <c r="F2290" s="1" t="str">
        <f>TEXT(CallLog[[#This Row],[Date]],"dddd")</f>
        <v>Tuesday</v>
      </c>
      <c r="G2290" s="3">
        <f>HOUR(CallLog[[#This Row],[Time]])</f>
        <v>16</v>
      </c>
      <c r="H2290" t="s">
        <v>32</v>
      </c>
      <c r="I2290" t="s">
        <v>14</v>
      </c>
      <c r="J2290" t="s">
        <v>14</v>
      </c>
      <c r="K2290">
        <v>14</v>
      </c>
      <c r="L2290" t="str">
        <f>IF(AND(CallLog[[#This Row],[Answered (Y/N)]]="Y", CallLog[[#This Row],[Speed of answer in seconds]]&lt;=20),
    "Within",
    "Breach")</f>
        <v>Within</v>
      </c>
      <c r="M2290" s="1">
        <v>2.4305555555555556E-3</v>
      </c>
      <c r="N2290">
        <v>5</v>
      </c>
    </row>
    <row r="2291" spans="1:14" x14ac:dyDescent="0.3">
      <c r="A2291" t="s">
        <v>2354</v>
      </c>
      <c r="B2291" t="s">
        <v>16</v>
      </c>
      <c r="C2291" t="s">
        <v>2311</v>
      </c>
      <c r="D2291" s="1">
        <v>0.68099537037037039</v>
      </c>
      <c r="E2291" s="2">
        <f>CallLog[[#This Row],[Date]]+CallLog[[#This Row],[Time]]</f>
        <v>44236.680995370371</v>
      </c>
      <c r="F2291" s="1" t="str">
        <f>TEXT(CallLog[[#This Row],[Date]],"dddd")</f>
        <v>Tuesday</v>
      </c>
      <c r="G2291" s="3">
        <f>HOUR(CallLog[[#This Row],[Time]])</f>
        <v>16</v>
      </c>
      <c r="H2291" t="s">
        <v>29</v>
      </c>
      <c r="I2291" t="s">
        <v>14</v>
      </c>
      <c r="J2291" t="s">
        <v>14</v>
      </c>
      <c r="K2291">
        <v>59</v>
      </c>
      <c r="L2291" t="str">
        <f>IF(AND(CallLog[[#This Row],[Answered (Y/N)]]="Y", CallLog[[#This Row],[Speed of answer in seconds]]&lt;=20),
    "Within",
    "Breach")</f>
        <v>Breach</v>
      </c>
      <c r="M2291" s="1">
        <v>3.1944444444444446E-3</v>
      </c>
      <c r="N2291">
        <v>3</v>
      </c>
    </row>
    <row r="2292" spans="1:14" x14ac:dyDescent="0.3">
      <c r="A2292" t="s">
        <v>2355</v>
      </c>
      <c r="B2292" t="s">
        <v>20</v>
      </c>
      <c r="C2292" t="s">
        <v>2311</v>
      </c>
      <c r="D2292" s="1">
        <v>0.68200231481481477</v>
      </c>
      <c r="E2292" s="2">
        <f>CallLog[[#This Row],[Date]]+CallLog[[#This Row],[Time]]</f>
        <v>44236.682002314818</v>
      </c>
      <c r="F2292" s="1" t="str">
        <f>TEXT(CallLog[[#This Row],[Date]],"dddd")</f>
        <v>Tuesday</v>
      </c>
      <c r="G2292" s="3">
        <f>HOUR(CallLog[[#This Row],[Time]])</f>
        <v>16</v>
      </c>
      <c r="H2292" t="s">
        <v>17</v>
      </c>
      <c r="I2292" t="s">
        <v>14</v>
      </c>
      <c r="J2292" t="s">
        <v>14</v>
      </c>
      <c r="K2292">
        <v>101</v>
      </c>
      <c r="L2292" t="str">
        <f>IF(AND(CallLog[[#This Row],[Answered (Y/N)]]="Y", CallLog[[#This Row],[Speed of answer in seconds]]&lt;=20),
    "Within",
    "Breach")</f>
        <v>Breach</v>
      </c>
      <c r="M2292" s="1">
        <v>9.0277777777777774E-4</v>
      </c>
      <c r="N2292">
        <v>2</v>
      </c>
    </row>
    <row r="2293" spans="1:14" x14ac:dyDescent="0.3">
      <c r="A2293" t="s">
        <v>2356</v>
      </c>
      <c r="B2293" t="s">
        <v>22</v>
      </c>
      <c r="C2293" t="s">
        <v>2311</v>
      </c>
      <c r="D2293" s="1">
        <v>0.68200231481481477</v>
      </c>
      <c r="E2293" s="2">
        <f>CallLog[[#This Row],[Date]]+CallLog[[#This Row],[Time]]</f>
        <v>44236.682002314818</v>
      </c>
      <c r="F2293" s="1" t="str">
        <f>TEXT(CallLog[[#This Row],[Date]],"dddd")</f>
        <v>Tuesday</v>
      </c>
      <c r="G2293" s="3">
        <f>HOUR(CallLog[[#This Row],[Time]])</f>
        <v>16</v>
      </c>
      <c r="H2293" t="s">
        <v>32</v>
      </c>
      <c r="I2293" t="s">
        <v>14</v>
      </c>
      <c r="J2293" t="s">
        <v>14</v>
      </c>
      <c r="K2293">
        <v>38</v>
      </c>
      <c r="L2293" t="str">
        <f>IF(AND(CallLog[[#This Row],[Answered (Y/N)]]="Y", CallLog[[#This Row],[Speed of answer in seconds]]&lt;=20),
    "Within",
    "Breach")</f>
        <v>Breach</v>
      </c>
      <c r="M2293" s="1">
        <v>4.9768518518518521E-4</v>
      </c>
      <c r="N2293">
        <v>2</v>
      </c>
    </row>
    <row r="2294" spans="1:14" x14ac:dyDescent="0.3">
      <c r="A2294" t="s">
        <v>2357</v>
      </c>
      <c r="B2294" t="s">
        <v>31</v>
      </c>
      <c r="C2294" t="s">
        <v>2311</v>
      </c>
      <c r="D2294" s="1">
        <v>0.68900462962962961</v>
      </c>
      <c r="E2294" s="2">
        <f>CallLog[[#This Row],[Date]]+CallLog[[#This Row],[Time]]</f>
        <v>44236.689004629632</v>
      </c>
      <c r="F2294" s="1" t="str">
        <f>TEXT(CallLog[[#This Row],[Date]],"dddd")</f>
        <v>Tuesday</v>
      </c>
      <c r="G2294" s="3">
        <f>HOUR(CallLog[[#This Row],[Time]])</f>
        <v>16</v>
      </c>
      <c r="H2294" t="s">
        <v>17</v>
      </c>
      <c r="I2294" t="s">
        <v>14</v>
      </c>
      <c r="J2294" t="s">
        <v>14</v>
      </c>
      <c r="K2294">
        <v>104</v>
      </c>
      <c r="L2294" t="str">
        <f>IF(AND(CallLog[[#This Row],[Answered (Y/N)]]="Y", CallLog[[#This Row],[Speed of answer in seconds]]&lt;=20),
    "Within",
    "Breach")</f>
        <v>Breach</v>
      </c>
      <c r="M2294" s="1">
        <v>1.7824074074074075E-3</v>
      </c>
      <c r="N2294">
        <v>1</v>
      </c>
    </row>
    <row r="2295" spans="1:14" x14ac:dyDescent="0.3">
      <c r="A2295" t="s">
        <v>2358</v>
      </c>
      <c r="B2295" t="s">
        <v>20</v>
      </c>
      <c r="C2295" t="s">
        <v>2311</v>
      </c>
      <c r="D2295" s="1">
        <v>0.68900462962962961</v>
      </c>
      <c r="E2295" s="2">
        <f>CallLog[[#This Row],[Date]]+CallLog[[#This Row],[Time]]</f>
        <v>44236.689004629632</v>
      </c>
      <c r="F2295" s="1" t="str">
        <f>TEXT(CallLog[[#This Row],[Date]],"dddd")</f>
        <v>Tuesday</v>
      </c>
      <c r="G2295" s="3">
        <f>HOUR(CallLog[[#This Row],[Time]])</f>
        <v>16</v>
      </c>
      <c r="H2295" t="s">
        <v>29</v>
      </c>
      <c r="I2295" t="s">
        <v>14</v>
      </c>
      <c r="J2295" t="s">
        <v>14</v>
      </c>
      <c r="K2295">
        <v>29</v>
      </c>
      <c r="L2295" t="str">
        <f>IF(AND(CallLog[[#This Row],[Answered (Y/N)]]="Y", CallLog[[#This Row],[Speed of answer in seconds]]&lt;=20),
    "Within",
    "Breach")</f>
        <v>Breach</v>
      </c>
      <c r="M2295" s="1">
        <v>7.407407407407407E-4</v>
      </c>
      <c r="N2295">
        <v>4</v>
      </c>
    </row>
    <row r="2296" spans="1:14" x14ac:dyDescent="0.3">
      <c r="A2296" t="s">
        <v>2359</v>
      </c>
      <c r="B2296" t="s">
        <v>11</v>
      </c>
      <c r="C2296" t="s">
        <v>2311</v>
      </c>
      <c r="D2296" s="1">
        <v>0.70299768518518524</v>
      </c>
      <c r="E2296" s="2">
        <f>CallLog[[#This Row],[Date]]+CallLog[[#This Row],[Time]]</f>
        <v>44236.702997685185</v>
      </c>
      <c r="F2296" s="1" t="str">
        <f>TEXT(CallLog[[#This Row],[Date]],"dddd")</f>
        <v>Tuesday</v>
      </c>
      <c r="G2296" s="3">
        <f>HOUR(CallLog[[#This Row],[Time]])</f>
        <v>16</v>
      </c>
      <c r="H2296" t="s">
        <v>32</v>
      </c>
      <c r="I2296" t="s">
        <v>14</v>
      </c>
      <c r="J2296" t="s">
        <v>14</v>
      </c>
      <c r="K2296">
        <v>67</v>
      </c>
      <c r="L2296" t="str">
        <f>IF(AND(CallLog[[#This Row],[Answered (Y/N)]]="Y", CallLog[[#This Row],[Speed of answer in seconds]]&lt;=20),
    "Within",
    "Breach")</f>
        <v>Breach</v>
      </c>
      <c r="M2296" s="1">
        <v>1.2847222222222223E-3</v>
      </c>
      <c r="N2296">
        <v>2</v>
      </c>
    </row>
    <row r="2297" spans="1:14" x14ac:dyDescent="0.3">
      <c r="A2297" t="s">
        <v>2360</v>
      </c>
      <c r="B2297" t="s">
        <v>47</v>
      </c>
      <c r="C2297" t="s">
        <v>2311</v>
      </c>
      <c r="D2297" s="1">
        <v>0.70299768518518524</v>
      </c>
      <c r="E2297" s="2">
        <f>CallLog[[#This Row],[Date]]+CallLog[[#This Row],[Time]]</f>
        <v>44236.702997685185</v>
      </c>
      <c r="F2297" s="1" t="str">
        <f>TEXT(CallLog[[#This Row],[Date]],"dddd")</f>
        <v>Tuesday</v>
      </c>
      <c r="G2297" s="3">
        <f>HOUR(CallLog[[#This Row],[Time]])</f>
        <v>16</v>
      </c>
      <c r="H2297" t="s">
        <v>29</v>
      </c>
      <c r="I2297" t="s">
        <v>14</v>
      </c>
      <c r="J2297" t="s">
        <v>14</v>
      </c>
      <c r="K2297">
        <v>75</v>
      </c>
      <c r="L2297" t="str">
        <f>IF(AND(CallLog[[#This Row],[Answered (Y/N)]]="Y", CallLog[[#This Row],[Speed of answer in seconds]]&lt;=20),
    "Within",
    "Breach")</f>
        <v>Breach</v>
      </c>
      <c r="M2297" s="1">
        <v>3.414351851851852E-3</v>
      </c>
      <c r="N2297">
        <v>5</v>
      </c>
    </row>
    <row r="2298" spans="1:14" x14ac:dyDescent="0.3">
      <c r="A2298" t="s">
        <v>2361</v>
      </c>
      <c r="B2298" t="s">
        <v>22</v>
      </c>
      <c r="C2298" t="s">
        <v>2311</v>
      </c>
      <c r="D2298" s="1">
        <v>0.71099537037037042</v>
      </c>
      <c r="E2298" s="2">
        <f>CallLog[[#This Row],[Date]]+CallLog[[#This Row],[Time]]</f>
        <v>44236.710995370369</v>
      </c>
      <c r="F2298" s="1" t="str">
        <f>TEXT(CallLog[[#This Row],[Date]],"dddd")</f>
        <v>Tuesday</v>
      </c>
      <c r="G2298" s="3">
        <f>HOUR(CallLog[[#This Row],[Time]])</f>
        <v>17</v>
      </c>
      <c r="H2298" t="s">
        <v>24</v>
      </c>
      <c r="I2298" t="s">
        <v>14</v>
      </c>
      <c r="J2298" t="s">
        <v>14</v>
      </c>
      <c r="K2298">
        <v>110</v>
      </c>
      <c r="L2298" t="str">
        <f>IF(AND(CallLog[[#This Row],[Answered (Y/N)]]="Y", CallLog[[#This Row],[Speed of answer in seconds]]&lt;=20),
    "Within",
    "Breach")</f>
        <v>Breach</v>
      </c>
      <c r="M2298" s="1">
        <v>7.291666666666667E-4</v>
      </c>
      <c r="N2298">
        <v>1</v>
      </c>
    </row>
    <row r="2299" spans="1:14" x14ac:dyDescent="0.3">
      <c r="A2299" t="s">
        <v>2362</v>
      </c>
      <c r="B2299" t="s">
        <v>31</v>
      </c>
      <c r="C2299" t="s">
        <v>2311</v>
      </c>
      <c r="D2299" s="1">
        <v>0.71099537037037042</v>
      </c>
      <c r="E2299" s="2">
        <f>CallLog[[#This Row],[Date]]+CallLog[[#This Row],[Time]]</f>
        <v>44236.710995370369</v>
      </c>
      <c r="F2299" s="1" t="str">
        <f>TEXT(CallLog[[#This Row],[Date]],"dddd")</f>
        <v>Tuesday</v>
      </c>
      <c r="G2299" s="3">
        <f>HOUR(CallLog[[#This Row],[Time]])</f>
        <v>17</v>
      </c>
      <c r="H2299" t="s">
        <v>32</v>
      </c>
      <c r="I2299" t="s">
        <v>14</v>
      </c>
      <c r="J2299" t="s">
        <v>18</v>
      </c>
      <c r="K2299">
        <v>36</v>
      </c>
      <c r="L2299" t="str">
        <f>IF(AND(CallLog[[#This Row],[Answered (Y/N)]]="Y", CallLog[[#This Row],[Speed of answer in seconds]]&lt;=20),
    "Within",
    "Breach")</f>
        <v>Breach</v>
      </c>
      <c r="M2299" s="1">
        <v>4.7569444444444447E-3</v>
      </c>
      <c r="N2299">
        <v>2</v>
      </c>
    </row>
    <row r="2300" spans="1:14" x14ac:dyDescent="0.3">
      <c r="A2300" t="s">
        <v>2363</v>
      </c>
      <c r="B2300" t="s">
        <v>11</v>
      </c>
      <c r="C2300" t="s">
        <v>2311</v>
      </c>
      <c r="D2300" s="1">
        <v>0.72900462962962964</v>
      </c>
      <c r="E2300" s="2">
        <f>CallLog[[#This Row],[Date]]+CallLog[[#This Row],[Time]]</f>
        <v>44236.729004629633</v>
      </c>
      <c r="F2300" s="1" t="str">
        <f>TEXT(CallLog[[#This Row],[Date]],"dddd")</f>
        <v>Tuesday</v>
      </c>
      <c r="G2300" s="3">
        <f>HOUR(CallLog[[#This Row],[Time]])</f>
        <v>17</v>
      </c>
      <c r="H2300" t="s">
        <v>13</v>
      </c>
      <c r="I2300" t="s">
        <v>14</v>
      </c>
      <c r="J2300" t="s">
        <v>14</v>
      </c>
      <c r="K2300">
        <v>96</v>
      </c>
      <c r="L2300" t="str">
        <f>IF(AND(CallLog[[#This Row],[Answered (Y/N)]]="Y", CallLog[[#This Row],[Speed of answer in seconds]]&lt;=20),
    "Within",
    "Breach")</f>
        <v>Breach</v>
      </c>
      <c r="M2300" s="1">
        <v>4.4444444444444444E-3</v>
      </c>
      <c r="N2300">
        <v>2</v>
      </c>
    </row>
    <row r="2301" spans="1:14" x14ac:dyDescent="0.3">
      <c r="A2301" t="s">
        <v>2364</v>
      </c>
      <c r="B2301" t="s">
        <v>34</v>
      </c>
      <c r="C2301" t="s">
        <v>2311</v>
      </c>
      <c r="D2301" s="1">
        <v>0.72900462962962964</v>
      </c>
      <c r="E2301" s="2">
        <f>CallLog[[#This Row],[Date]]+CallLog[[#This Row],[Time]]</f>
        <v>44236.729004629633</v>
      </c>
      <c r="F2301" s="1" t="str">
        <f>TEXT(CallLog[[#This Row],[Date]],"dddd")</f>
        <v>Tuesday</v>
      </c>
      <c r="G2301" s="3">
        <f>HOUR(CallLog[[#This Row],[Time]])</f>
        <v>17</v>
      </c>
      <c r="H2301" t="s">
        <v>17</v>
      </c>
      <c r="I2301" t="s">
        <v>14</v>
      </c>
      <c r="J2301" t="s">
        <v>18</v>
      </c>
      <c r="K2301">
        <v>91</v>
      </c>
      <c r="L2301" t="str">
        <f>IF(AND(CallLog[[#This Row],[Answered (Y/N)]]="Y", CallLog[[#This Row],[Speed of answer in seconds]]&lt;=20),
    "Within",
    "Breach")</f>
        <v>Breach</v>
      </c>
      <c r="M2301" s="1">
        <v>2.5810185185185185E-3</v>
      </c>
      <c r="N2301">
        <v>4</v>
      </c>
    </row>
    <row r="2302" spans="1:14" x14ac:dyDescent="0.3">
      <c r="A2302" t="s">
        <v>2365</v>
      </c>
      <c r="B2302" t="s">
        <v>47</v>
      </c>
      <c r="C2302" t="s">
        <v>2311</v>
      </c>
      <c r="D2302" s="1">
        <v>0.74799768518518517</v>
      </c>
      <c r="E2302" s="2">
        <f>CallLog[[#This Row],[Date]]+CallLog[[#This Row],[Time]]</f>
        <v>44236.747997685183</v>
      </c>
      <c r="F2302" s="1" t="str">
        <f>TEXT(CallLog[[#This Row],[Date]],"dddd")</f>
        <v>Tuesday</v>
      </c>
      <c r="G2302" s="3">
        <f>HOUR(CallLog[[#This Row],[Time]])</f>
        <v>17</v>
      </c>
      <c r="H2302" t="s">
        <v>29</v>
      </c>
      <c r="I2302" t="s">
        <v>18</v>
      </c>
      <c r="J2302" t="s">
        <v>18</v>
      </c>
      <c r="L2302" t="str">
        <f>IF(AND(CallLog[[#This Row],[Answered (Y/N)]]="Y", CallLog[[#This Row],[Speed of answer in seconds]]&lt;=20),
    "Within",
    "Breach")</f>
        <v>Breach</v>
      </c>
    </row>
    <row r="2303" spans="1:14" x14ac:dyDescent="0.3">
      <c r="A2303" t="s">
        <v>2366</v>
      </c>
      <c r="B2303" t="s">
        <v>16</v>
      </c>
      <c r="C2303" t="s">
        <v>2311</v>
      </c>
      <c r="D2303" s="1">
        <v>0.74799768518518517</v>
      </c>
      <c r="E2303" s="2">
        <f>CallLog[[#This Row],[Date]]+CallLog[[#This Row],[Time]]</f>
        <v>44236.747997685183</v>
      </c>
      <c r="F2303" s="1" t="str">
        <f>TEXT(CallLog[[#This Row],[Date]],"dddd")</f>
        <v>Tuesday</v>
      </c>
      <c r="G2303" s="3">
        <f>HOUR(CallLog[[#This Row],[Time]])</f>
        <v>17</v>
      </c>
      <c r="H2303" t="s">
        <v>32</v>
      </c>
      <c r="I2303" t="s">
        <v>14</v>
      </c>
      <c r="J2303" t="s">
        <v>14</v>
      </c>
      <c r="K2303">
        <v>53</v>
      </c>
      <c r="L2303" t="str">
        <f>IF(AND(CallLog[[#This Row],[Answered (Y/N)]]="Y", CallLog[[#This Row],[Speed of answer in seconds]]&lt;=20),
    "Within",
    "Breach")</f>
        <v>Breach</v>
      </c>
      <c r="M2303" s="1">
        <v>7.8703703703703705E-4</v>
      </c>
      <c r="N2303">
        <v>4</v>
      </c>
    </row>
    <row r="2304" spans="1:14" x14ac:dyDescent="0.3">
      <c r="A2304" t="s">
        <v>2367</v>
      </c>
      <c r="B2304" t="s">
        <v>34</v>
      </c>
      <c r="C2304" t="s">
        <v>2368</v>
      </c>
      <c r="D2304" s="1">
        <v>0.3759953703703704</v>
      </c>
      <c r="E2304" s="2">
        <f>CallLog[[#This Row],[Date]]+CallLog[[#This Row],[Time]]</f>
        <v>44237.37599537037</v>
      </c>
      <c r="F2304" s="1" t="str">
        <f>TEXT(CallLog[[#This Row],[Date]],"dddd")</f>
        <v>Wednesday</v>
      </c>
      <c r="G2304" s="3">
        <f>HOUR(CallLog[[#This Row],[Time]])</f>
        <v>9</v>
      </c>
      <c r="H2304" t="s">
        <v>32</v>
      </c>
      <c r="I2304" t="s">
        <v>14</v>
      </c>
      <c r="J2304" t="s">
        <v>14</v>
      </c>
      <c r="K2304">
        <v>112</v>
      </c>
      <c r="L2304" t="str">
        <f>IF(AND(CallLog[[#This Row],[Answered (Y/N)]]="Y", CallLog[[#This Row],[Speed of answer in seconds]]&lt;=20),
    "Within",
    "Breach")</f>
        <v>Breach</v>
      </c>
      <c r="M2304" s="1">
        <v>3.8657407407407408E-3</v>
      </c>
      <c r="N2304">
        <v>3</v>
      </c>
    </row>
    <row r="2305" spans="1:14" x14ac:dyDescent="0.3">
      <c r="A2305" t="s">
        <v>2369</v>
      </c>
      <c r="B2305" t="s">
        <v>20</v>
      </c>
      <c r="C2305" t="s">
        <v>2368</v>
      </c>
      <c r="D2305" s="1">
        <v>0.3759953703703704</v>
      </c>
      <c r="E2305" s="2">
        <f>CallLog[[#This Row],[Date]]+CallLog[[#This Row],[Time]]</f>
        <v>44237.37599537037</v>
      </c>
      <c r="F2305" s="1" t="str">
        <f>TEXT(CallLog[[#This Row],[Date]],"dddd")</f>
        <v>Wednesday</v>
      </c>
      <c r="G2305" s="3">
        <f>HOUR(CallLog[[#This Row],[Time]])</f>
        <v>9</v>
      </c>
      <c r="H2305" t="s">
        <v>29</v>
      </c>
      <c r="I2305" t="s">
        <v>18</v>
      </c>
      <c r="J2305" t="s">
        <v>18</v>
      </c>
      <c r="L2305" t="str">
        <f>IF(AND(CallLog[[#This Row],[Answered (Y/N)]]="Y", CallLog[[#This Row],[Speed of answer in seconds]]&lt;=20),
    "Within",
    "Breach")</f>
        <v>Breach</v>
      </c>
    </row>
    <row r="2306" spans="1:14" x14ac:dyDescent="0.3">
      <c r="A2306" t="s">
        <v>2370</v>
      </c>
      <c r="B2306" t="s">
        <v>38</v>
      </c>
      <c r="C2306" t="s">
        <v>2368</v>
      </c>
      <c r="D2306" s="1">
        <v>0.38400462962962961</v>
      </c>
      <c r="E2306" s="2">
        <f>CallLog[[#This Row],[Date]]+CallLog[[#This Row],[Time]]</f>
        <v>44237.384004629632</v>
      </c>
      <c r="F2306" s="1" t="str">
        <f>TEXT(CallLog[[#This Row],[Date]],"dddd")</f>
        <v>Wednesday</v>
      </c>
      <c r="G2306" s="3">
        <f>HOUR(CallLog[[#This Row],[Time]])</f>
        <v>9</v>
      </c>
      <c r="H2306" t="s">
        <v>17</v>
      </c>
      <c r="I2306" t="s">
        <v>14</v>
      </c>
      <c r="J2306" t="s">
        <v>14</v>
      </c>
      <c r="K2306">
        <v>87</v>
      </c>
      <c r="L2306" t="str">
        <f>IF(AND(CallLog[[#This Row],[Answered (Y/N)]]="Y", CallLog[[#This Row],[Speed of answer in seconds]]&lt;=20),
    "Within",
    "Breach")</f>
        <v>Breach</v>
      </c>
      <c r="M2306" s="1">
        <v>9.6064814814814819E-4</v>
      </c>
      <c r="N2306">
        <v>3</v>
      </c>
    </row>
    <row r="2307" spans="1:14" x14ac:dyDescent="0.3">
      <c r="A2307" t="s">
        <v>2371</v>
      </c>
      <c r="B2307" t="s">
        <v>11</v>
      </c>
      <c r="C2307" t="s">
        <v>2368</v>
      </c>
      <c r="D2307" s="1">
        <v>0.38400462962962961</v>
      </c>
      <c r="E2307" s="2">
        <f>CallLog[[#This Row],[Date]]+CallLog[[#This Row],[Time]]</f>
        <v>44237.384004629632</v>
      </c>
      <c r="F2307" s="1" t="str">
        <f>TEXT(CallLog[[#This Row],[Date]],"dddd")</f>
        <v>Wednesday</v>
      </c>
      <c r="G2307" s="3">
        <f>HOUR(CallLog[[#This Row],[Time]])</f>
        <v>9</v>
      </c>
      <c r="H2307" t="s">
        <v>29</v>
      </c>
      <c r="I2307" t="s">
        <v>14</v>
      </c>
      <c r="J2307" t="s">
        <v>14</v>
      </c>
      <c r="K2307">
        <v>78</v>
      </c>
      <c r="L2307" t="str">
        <f>IF(AND(CallLog[[#This Row],[Answered (Y/N)]]="Y", CallLog[[#This Row],[Speed of answer in seconds]]&lt;=20),
    "Within",
    "Breach")</f>
        <v>Breach</v>
      </c>
      <c r="M2307" s="1">
        <v>1.2152777777777778E-3</v>
      </c>
      <c r="N2307">
        <v>5</v>
      </c>
    </row>
    <row r="2308" spans="1:14" x14ac:dyDescent="0.3">
      <c r="A2308" t="s">
        <v>2372</v>
      </c>
      <c r="B2308" t="s">
        <v>31</v>
      </c>
      <c r="C2308" t="s">
        <v>2368</v>
      </c>
      <c r="D2308" s="1">
        <v>0.38799768518518518</v>
      </c>
      <c r="E2308" s="2">
        <f>CallLog[[#This Row],[Date]]+CallLog[[#This Row],[Time]]</f>
        <v>44237.387997685182</v>
      </c>
      <c r="F2308" s="1" t="str">
        <f>TEXT(CallLog[[#This Row],[Date]],"dddd")</f>
        <v>Wednesday</v>
      </c>
      <c r="G2308" s="3">
        <f>HOUR(CallLog[[#This Row],[Time]])</f>
        <v>9</v>
      </c>
      <c r="H2308" t="s">
        <v>24</v>
      </c>
      <c r="I2308" t="s">
        <v>14</v>
      </c>
      <c r="J2308" t="s">
        <v>18</v>
      </c>
      <c r="K2308">
        <v>16</v>
      </c>
      <c r="L2308" t="str">
        <f>IF(AND(CallLog[[#This Row],[Answered (Y/N)]]="Y", CallLog[[#This Row],[Speed of answer in seconds]]&lt;=20),
    "Within",
    "Breach")</f>
        <v>Within</v>
      </c>
      <c r="M2308" s="1">
        <v>1.3078703703703703E-3</v>
      </c>
      <c r="N2308">
        <v>4</v>
      </c>
    </row>
    <row r="2309" spans="1:14" x14ac:dyDescent="0.3">
      <c r="A2309" t="s">
        <v>2373</v>
      </c>
      <c r="B2309" t="s">
        <v>31</v>
      </c>
      <c r="C2309" t="s">
        <v>2368</v>
      </c>
      <c r="D2309" s="1">
        <v>0.38799768518518518</v>
      </c>
      <c r="E2309" s="2">
        <f>CallLog[[#This Row],[Date]]+CallLog[[#This Row],[Time]]</f>
        <v>44237.387997685182</v>
      </c>
      <c r="F2309" s="1" t="str">
        <f>TEXT(CallLog[[#This Row],[Date]],"dddd")</f>
        <v>Wednesday</v>
      </c>
      <c r="G2309" s="3">
        <f>HOUR(CallLog[[#This Row],[Time]])</f>
        <v>9</v>
      </c>
      <c r="H2309" t="s">
        <v>32</v>
      </c>
      <c r="I2309" t="s">
        <v>14</v>
      </c>
      <c r="J2309" t="s">
        <v>14</v>
      </c>
      <c r="K2309">
        <v>56</v>
      </c>
      <c r="L2309" t="str">
        <f>IF(AND(CallLog[[#This Row],[Answered (Y/N)]]="Y", CallLog[[#This Row],[Speed of answer in seconds]]&lt;=20),
    "Within",
    "Breach")</f>
        <v>Breach</v>
      </c>
      <c r="M2309" s="1">
        <v>4.6064814814814814E-3</v>
      </c>
      <c r="N2309">
        <v>4</v>
      </c>
    </row>
    <row r="2310" spans="1:14" x14ac:dyDescent="0.3">
      <c r="A2310" t="s">
        <v>2374</v>
      </c>
      <c r="B2310" t="s">
        <v>11</v>
      </c>
      <c r="C2310" t="s">
        <v>2368</v>
      </c>
      <c r="D2310" s="1">
        <v>0.44299768518518517</v>
      </c>
      <c r="E2310" s="2">
        <f>CallLog[[#This Row],[Date]]+CallLog[[#This Row],[Time]]</f>
        <v>44237.442997685182</v>
      </c>
      <c r="F2310" s="1" t="str">
        <f>TEXT(CallLog[[#This Row],[Date]],"dddd")</f>
        <v>Wednesday</v>
      </c>
      <c r="G2310" s="3">
        <f>HOUR(CallLog[[#This Row],[Time]])</f>
        <v>10</v>
      </c>
      <c r="H2310" t="s">
        <v>17</v>
      </c>
      <c r="I2310" t="s">
        <v>14</v>
      </c>
      <c r="J2310" t="s">
        <v>14</v>
      </c>
      <c r="K2310">
        <v>87</v>
      </c>
      <c r="L2310" t="str">
        <f>IF(AND(CallLog[[#This Row],[Answered (Y/N)]]="Y", CallLog[[#This Row],[Speed of answer in seconds]]&lt;=20),
    "Within",
    "Breach")</f>
        <v>Breach</v>
      </c>
      <c r="M2310" s="1">
        <v>4.7337962962962967E-3</v>
      </c>
      <c r="N2310">
        <v>3</v>
      </c>
    </row>
    <row r="2311" spans="1:14" x14ac:dyDescent="0.3">
      <c r="A2311" t="s">
        <v>2375</v>
      </c>
      <c r="B2311" t="s">
        <v>16</v>
      </c>
      <c r="C2311" t="s">
        <v>2368</v>
      </c>
      <c r="D2311" s="1">
        <v>0.44299768518518517</v>
      </c>
      <c r="E2311" s="2">
        <f>CallLog[[#This Row],[Date]]+CallLog[[#This Row],[Time]]</f>
        <v>44237.442997685182</v>
      </c>
      <c r="F2311" s="1" t="str">
        <f>TEXT(CallLog[[#This Row],[Date]],"dddd")</f>
        <v>Wednesday</v>
      </c>
      <c r="G2311" s="3">
        <f>HOUR(CallLog[[#This Row],[Time]])</f>
        <v>10</v>
      </c>
      <c r="H2311" t="s">
        <v>13</v>
      </c>
      <c r="I2311" t="s">
        <v>18</v>
      </c>
      <c r="J2311" t="s">
        <v>18</v>
      </c>
      <c r="L2311" t="str">
        <f>IF(AND(CallLog[[#This Row],[Answered (Y/N)]]="Y", CallLog[[#This Row],[Speed of answer in seconds]]&lt;=20),
    "Within",
    "Breach")</f>
        <v>Breach</v>
      </c>
    </row>
    <row r="2312" spans="1:14" x14ac:dyDescent="0.3">
      <c r="A2312" t="s">
        <v>2376</v>
      </c>
      <c r="B2312" t="s">
        <v>31</v>
      </c>
      <c r="C2312" t="s">
        <v>2368</v>
      </c>
      <c r="D2312" s="1">
        <v>0.46099537037037036</v>
      </c>
      <c r="E2312" s="2">
        <f>CallLog[[#This Row],[Date]]+CallLog[[#This Row],[Time]]</f>
        <v>44237.460995370369</v>
      </c>
      <c r="F2312" s="1" t="str">
        <f>TEXT(CallLog[[#This Row],[Date]],"dddd")</f>
        <v>Wednesday</v>
      </c>
      <c r="G2312" s="3">
        <f>HOUR(CallLog[[#This Row],[Time]])</f>
        <v>11</v>
      </c>
      <c r="H2312" t="s">
        <v>29</v>
      </c>
      <c r="I2312" t="s">
        <v>14</v>
      </c>
      <c r="J2312" t="s">
        <v>18</v>
      </c>
      <c r="K2312">
        <v>46</v>
      </c>
      <c r="L2312" t="str">
        <f>IF(AND(CallLog[[#This Row],[Answered (Y/N)]]="Y", CallLog[[#This Row],[Speed of answer in seconds]]&lt;=20),
    "Within",
    "Breach")</f>
        <v>Breach</v>
      </c>
      <c r="M2312" s="1">
        <v>4.0972222222222226E-3</v>
      </c>
      <c r="N2312">
        <v>4</v>
      </c>
    </row>
    <row r="2313" spans="1:14" x14ac:dyDescent="0.3">
      <c r="A2313" t="s">
        <v>2377</v>
      </c>
      <c r="B2313" t="s">
        <v>16</v>
      </c>
      <c r="C2313" t="s">
        <v>2368</v>
      </c>
      <c r="D2313" s="1">
        <v>0.46099537037037036</v>
      </c>
      <c r="E2313" s="2">
        <f>CallLog[[#This Row],[Date]]+CallLog[[#This Row],[Time]]</f>
        <v>44237.460995370369</v>
      </c>
      <c r="F2313" s="1" t="str">
        <f>TEXT(CallLog[[#This Row],[Date]],"dddd")</f>
        <v>Wednesday</v>
      </c>
      <c r="G2313" s="3">
        <f>HOUR(CallLog[[#This Row],[Time]])</f>
        <v>11</v>
      </c>
      <c r="H2313" t="s">
        <v>24</v>
      </c>
      <c r="I2313" t="s">
        <v>14</v>
      </c>
      <c r="J2313" t="s">
        <v>14</v>
      </c>
      <c r="K2313">
        <v>116</v>
      </c>
      <c r="L2313" t="str">
        <f>IF(AND(CallLog[[#This Row],[Answered (Y/N)]]="Y", CallLog[[#This Row],[Speed of answer in seconds]]&lt;=20),
    "Within",
    "Breach")</f>
        <v>Breach</v>
      </c>
      <c r="M2313" s="1">
        <v>4.31712962962963E-3</v>
      </c>
      <c r="N2313">
        <v>3</v>
      </c>
    </row>
    <row r="2314" spans="1:14" x14ac:dyDescent="0.3">
      <c r="A2314" t="s">
        <v>2378</v>
      </c>
      <c r="B2314" t="s">
        <v>20</v>
      </c>
      <c r="C2314" t="s">
        <v>2368</v>
      </c>
      <c r="D2314" s="1">
        <v>0.46500000000000002</v>
      </c>
      <c r="E2314" s="2">
        <f>CallLog[[#This Row],[Date]]+CallLog[[#This Row],[Time]]</f>
        <v>44237.464999999997</v>
      </c>
      <c r="F2314" s="1" t="str">
        <f>TEXT(CallLog[[#This Row],[Date]],"dddd")</f>
        <v>Wednesday</v>
      </c>
      <c r="G2314" s="3">
        <f>HOUR(CallLog[[#This Row],[Time]])</f>
        <v>11</v>
      </c>
      <c r="H2314" t="s">
        <v>17</v>
      </c>
      <c r="I2314" t="s">
        <v>14</v>
      </c>
      <c r="J2314" t="s">
        <v>14</v>
      </c>
      <c r="K2314">
        <v>26</v>
      </c>
      <c r="L2314" t="str">
        <f>IF(AND(CallLog[[#This Row],[Answered (Y/N)]]="Y", CallLog[[#This Row],[Speed of answer in seconds]]&lt;=20),
    "Within",
    "Breach")</f>
        <v>Breach</v>
      </c>
      <c r="M2314" s="1">
        <v>1.1458333333333333E-3</v>
      </c>
      <c r="N2314">
        <v>4</v>
      </c>
    </row>
    <row r="2315" spans="1:14" x14ac:dyDescent="0.3">
      <c r="A2315" t="s">
        <v>2379</v>
      </c>
      <c r="B2315" t="s">
        <v>34</v>
      </c>
      <c r="C2315" t="s">
        <v>2368</v>
      </c>
      <c r="D2315" s="1">
        <v>0.46500000000000002</v>
      </c>
      <c r="E2315" s="2">
        <f>CallLog[[#This Row],[Date]]+CallLog[[#This Row],[Time]]</f>
        <v>44237.464999999997</v>
      </c>
      <c r="F2315" s="1" t="str">
        <f>TEXT(CallLog[[#This Row],[Date]],"dddd")</f>
        <v>Wednesday</v>
      </c>
      <c r="G2315" s="3">
        <f>HOUR(CallLog[[#This Row],[Time]])</f>
        <v>11</v>
      </c>
      <c r="H2315" t="s">
        <v>17</v>
      </c>
      <c r="I2315" t="s">
        <v>14</v>
      </c>
      <c r="J2315" t="s">
        <v>14</v>
      </c>
      <c r="K2315">
        <v>94</v>
      </c>
      <c r="L2315" t="str">
        <f>IF(AND(CallLog[[#This Row],[Answered (Y/N)]]="Y", CallLog[[#This Row],[Speed of answer in seconds]]&lt;=20),
    "Within",
    "Breach")</f>
        <v>Breach</v>
      </c>
      <c r="M2315" s="1">
        <v>2.6967592592592594E-3</v>
      </c>
      <c r="N2315">
        <v>2</v>
      </c>
    </row>
    <row r="2316" spans="1:14" x14ac:dyDescent="0.3">
      <c r="A2316" t="s">
        <v>2380</v>
      </c>
      <c r="B2316" t="s">
        <v>34</v>
      </c>
      <c r="C2316" t="s">
        <v>2368</v>
      </c>
      <c r="D2316" s="1">
        <v>0.47200231481481481</v>
      </c>
      <c r="E2316" s="2">
        <f>CallLog[[#This Row],[Date]]+CallLog[[#This Row],[Time]]</f>
        <v>44237.472002314818</v>
      </c>
      <c r="F2316" s="1" t="str">
        <f>TEXT(CallLog[[#This Row],[Date]],"dddd")</f>
        <v>Wednesday</v>
      </c>
      <c r="G2316" s="3">
        <f>HOUR(CallLog[[#This Row],[Time]])</f>
        <v>11</v>
      </c>
      <c r="H2316" t="s">
        <v>32</v>
      </c>
      <c r="I2316" t="s">
        <v>14</v>
      </c>
      <c r="J2316" t="s">
        <v>18</v>
      </c>
      <c r="K2316">
        <v>87</v>
      </c>
      <c r="L2316" t="str">
        <f>IF(AND(CallLog[[#This Row],[Answered (Y/N)]]="Y", CallLog[[#This Row],[Speed of answer in seconds]]&lt;=20),
    "Within",
    "Breach")</f>
        <v>Breach</v>
      </c>
      <c r="M2316" s="1">
        <v>9.3749999999999997E-4</v>
      </c>
      <c r="N2316">
        <v>3</v>
      </c>
    </row>
    <row r="2317" spans="1:14" x14ac:dyDescent="0.3">
      <c r="A2317" t="s">
        <v>2381</v>
      </c>
      <c r="B2317" t="s">
        <v>22</v>
      </c>
      <c r="C2317" t="s">
        <v>2368</v>
      </c>
      <c r="D2317" s="1">
        <v>0.47200231481481481</v>
      </c>
      <c r="E2317" s="2">
        <f>CallLog[[#This Row],[Date]]+CallLog[[#This Row],[Time]]</f>
        <v>44237.472002314818</v>
      </c>
      <c r="F2317" s="1" t="str">
        <f>TEXT(CallLog[[#This Row],[Date]],"dddd")</f>
        <v>Wednesday</v>
      </c>
      <c r="G2317" s="3">
        <f>HOUR(CallLog[[#This Row],[Time]])</f>
        <v>11</v>
      </c>
      <c r="H2317" t="s">
        <v>17</v>
      </c>
      <c r="I2317" t="s">
        <v>14</v>
      </c>
      <c r="J2317" t="s">
        <v>14</v>
      </c>
      <c r="K2317">
        <v>14</v>
      </c>
      <c r="L2317" t="str">
        <f>IF(AND(CallLog[[#This Row],[Answered (Y/N)]]="Y", CallLog[[#This Row],[Speed of answer in seconds]]&lt;=20),
    "Within",
    "Breach")</f>
        <v>Within</v>
      </c>
      <c r="M2317" s="1">
        <v>9.1435185185185185E-4</v>
      </c>
      <c r="N2317">
        <v>3</v>
      </c>
    </row>
    <row r="2318" spans="1:14" x14ac:dyDescent="0.3">
      <c r="A2318" t="s">
        <v>2382</v>
      </c>
      <c r="B2318" t="s">
        <v>31</v>
      </c>
      <c r="C2318" t="s">
        <v>2368</v>
      </c>
      <c r="D2318" s="1">
        <v>0.47900462962962964</v>
      </c>
      <c r="E2318" s="2">
        <f>CallLog[[#This Row],[Date]]+CallLog[[#This Row],[Time]]</f>
        <v>44237.479004629633</v>
      </c>
      <c r="F2318" s="1" t="str">
        <f>TEXT(CallLog[[#This Row],[Date]],"dddd")</f>
        <v>Wednesday</v>
      </c>
      <c r="G2318" s="3">
        <f>HOUR(CallLog[[#This Row],[Time]])</f>
        <v>11</v>
      </c>
      <c r="H2318" t="s">
        <v>13</v>
      </c>
      <c r="I2318" t="s">
        <v>14</v>
      </c>
      <c r="J2318" t="s">
        <v>14</v>
      </c>
      <c r="K2318">
        <v>49</v>
      </c>
      <c r="L2318" t="str">
        <f>IF(AND(CallLog[[#This Row],[Answered (Y/N)]]="Y", CallLog[[#This Row],[Speed of answer in seconds]]&lt;=20),
    "Within",
    "Breach")</f>
        <v>Breach</v>
      </c>
      <c r="M2318" s="1">
        <v>2.673611111111111E-3</v>
      </c>
      <c r="N2318">
        <v>3</v>
      </c>
    </row>
    <row r="2319" spans="1:14" x14ac:dyDescent="0.3">
      <c r="A2319" t="s">
        <v>2383</v>
      </c>
      <c r="B2319" t="s">
        <v>20</v>
      </c>
      <c r="C2319" t="s">
        <v>2368</v>
      </c>
      <c r="D2319" s="1">
        <v>0.47900462962962964</v>
      </c>
      <c r="E2319" s="2">
        <f>CallLog[[#This Row],[Date]]+CallLog[[#This Row],[Time]]</f>
        <v>44237.479004629633</v>
      </c>
      <c r="F2319" s="1" t="str">
        <f>TEXT(CallLog[[#This Row],[Date]],"dddd")</f>
        <v>Wednesday</v>
      </c>
      <c r="G2319" s="3">
        <f>HOUR(CallLog[[#This Row],[Time]])</f>
        <v>11</v>
      </c>
      <c r="H2319" t="s">
        <v>13</v>
      </c>
      <c r="I2319" t="s">
        <v>14</v>
      </c>
      <c r="J2319" t="s">
        <v>14</v>
      </c>
      <c r="K2319">
        <v>91</v>
      </c>
      <c r="L2319" t="str">
        <f>IF(AND(CallLog[[#This Row],[Answered (Y/N)]]="Y", CallLog[[#This Row],[Speed of answer in seconds]]&lt;=20),
    "Within",
    "Breach")</f>
        <v>Breach</v>
      </c>
      <c r="M2319" s="1">
        <v>1.5277777777777779E-3</v>
      </c>
      <c r="N2319">
        <v>2</v>
      </c>
    </row>
    <row r="2320" spans="1:14" x14ac:dyDescent="0.3">
      <c r="A2320" t="s">
        <v>2384</v>
      </c>
      <c r="B2320" t="s">
        <v>16</v>
      </c>
      <c r="C2320" t="s">
        <v>2368</v>
      </c>
      <c r="D2320" s="1">
        <v>0.48</v>
      </c>
      <c r="E2320" s="2">
        <f>CallLog[[#This Row],[Date]]+CallLog[[#This Row],[Time]]</f>
        <v>44237.48</v>
      </c>
      <c r="F2320" s="1" t="str">
        <f>TEXT(CallLog[[#This Row],[Date]],"dddd")</f>
        <v>Wednesday</v>
      </c>
      <c r="G2320" s="3">
        <f>HOUR(CallLog[[#This Row],[Time]])</f>
        <v>11</v>
      </c>
      <c r="H2320" t="s">
        <v>13</v>
      </c>
      <c r="I2320" t="s">
        <v>14</v>
      </c>
      <c r="J2320" t="s">
        <v>14</v>
      </c>
      <c r="K2320">
        <v>63</v>
      </c>
      <c r="L2320" t="str">
        <f>IF(AND(CallLog[[#This Row],[Answered (Y/N)]]="Y", CallLog[[#This Row],[Speed of answer in seconds]]&lt;=20),
    "Within",
    "Breach")</f>
        <v>Breach</v>
      </c>
      <c r="M2320" s="1">
        <v>1.8287037037037037E-3</v>
      </c>
      <c r="N2320">
        <v>3</v>
      </c>
    </row>
    <row r="2321" spans="1:14" x14ac:dyDescent="0.3">
      <c r="A2321" t="s">
        <v>2385</v>
      </c>
      <c r="B2321" t="s">
        <v>11</v>
      </c>
      <c r="C2321" t="s">
        <v>2368</v>
      </c>
      <c r="D2321" s="1">
        <v>0.48</v>
      </c>
      <c r="E2321" s="2">
        <f>CallLog[[#This Row],[Date]]+CallLog[[#This Row],[Time]]</f>
        <v>44237.48</v>
      </c>
      <c r="F2321" s="1" t="str">
        <f>TEXT(CallLog[[#This Row],[Date]],"dddd")</f>
        <v>Wednesday</v>
      </c>
      <c r="G2321" s="3">
        <f>HOUR(CallLog[[#This Row],[Time]])</f>
        <v>11</v>
      </c>
      <c r="H2321" t="s">
        <v>29</v>
      </c>
      <c r="I2321" t="s">
        <v>14</v>
      </c>
      <c r="J2321" t="s">
        <v>14</v>
      </c>
      <c r="K2321">
        <v>92</v>
      </c>
      <c r="L2321" t="str">
        <f>IF(AND(CallLog[[#This Row],[Answered (Y/N)]]="Y", CallLog[[#This Row],[Speed of answer in seconds]]&lt;=20),
    "Within",
    "Breach")</f>
        <v>Breach</v>
      </c>
      <c r="M2321" s="1">
        <v>1.9444444444444444E-3</v>
      </c>
      <c r="N2321">
        <v>4</v>
      </c>
    </row>
    <row r="2322" spans="1:14" x14ac:dyDescent="0.3">
      <c r="A2322" t="s">
        <v>2386</v>
      </c>
      <c r="B2322" t="s">
        <v>16</v>
      </c>
      <c r="C2322" t="s">
        <v>2368</v>
      </c>
      <c r="D2322" s="1">
        <v>0.49400462962962965</v>
      </c>
      <c r="E2322" s="2">
        <f>CallLog[[#This Row],[Date]]+CallLog[[#This Row],[Time]]</f>
        <v>44237.494004629632</v>
      </c>
      <c r="F2322" s="1" t="str">
        <f>TEXT(CallLog[[#This Row],[Date]],"dddd")</f>
        <v>Wednesday</v>
      </c>
      <c r="G2322" s="3">
        <f>HOUR(CallLog[[#This Row],[Time]])</f>
        <v>11</v>
      </c>
      <c r="H2322" t="s">
        <v>24</v>
      </c>
      <c r="I2322" t="s">
        <v>18</v>
      </c>
      <c r="J2322" t="s">
        <v>18</v>
      </c>
      <c r="L2322" t="str">
        <f>IF(AND(CallLog[[#This Row],[Answered (Y/N)]]="Y", CallLog[[#This Row],[Speed of answer in seconds]]&lt;=20),
    "Within",
    "Breach")</f>
        <v>Breach</v>
      </c>
    </row>
    <row r="2323" spans="1:14" x14ac:dyDescent="0.3">
      <c r="A2323" t="s">
        <v>2387</v>
      </c>
      <c r="B2323" t="s">
        <v>20</v>
      </c>
      <c r="C2323" t="s">
        <v>2368</v>
      </c>
      <c r="D2323" s="1">
        <v>0.49400462962962965</v>
      </c>
      <c r="E2323" s="2">
        <f>CallLog[[#This Row],[Date]]+CallLog[[#This Row],[Time]]</f>
        <v>44237.494004629632</v>
      </c>
      <c r="F2323" s="1" t="str">
        <f>TEXT(CallLog[[#This Row],[Date]],"dddd")</f>
        <v>Wednesday</v>
      </c>
      <c r="G2323" s="3">
        <f>HOUR(CallLog[[#This Row],[Time]])</f>
        <v>11</v>
      </c>
      <c r="H2323" t="s">
        <v>24</v>
      </c>
      <c r="I2323" t="s">
        <v>18</v>
      </c>
      <c r="J2323" t="s">
        <v>18</v>
      </c>
      <c r="L2323" t="str">
        <f>IF(AND(CallLog[[#This Row],[Answered (Y/N)]]="Y", CallLog[[#This Row],[Speed of answer in seconds]]&lt;=20),
    "Within",
    "Breach")</f>
        <v>Breach</v>
      </c>
    </row>
    <row r="2324" spans="1:14" x14ac:dyDescent="0.3">
      <c r="A2324" t="s">
        <v>2388</v>
      </c>
      <c r="B2324" t="s">
        <v>31</v>
      </c>
      <c r="C2324" t="s">
        <v>2368</v>
      </c>
      <c r="D2324" s="1">
        <v>0.51099537037037035</v>
      </c>
      <c r="E2324" s="2">
        <f>CallLog[[#This Row],[Date]]+CallLog[[#This Row],[Time]]</f>
        <v>44237.510995370372</v>
      </c>
      <c r="F2324" s="1" t="str">
        <f>TEXT(CallLog[[#This Row],[Date]],"dddd")</f>
        <v>Wednesday</v>
      </c>
      <c r="G2324" s="3">
        <f>HOUR(CallLog[[#This Row],[Time]])</f>
        <v>12</v>
      </c>
      <c r="H2324" t="s">
        <v>17</v>
      </c>
      <c r="I2324" t="s">
        <v>14</v>
      </c>
      <c r="J2324" t="s">
        <v>14</v>
      </c>
      <c r="K2324">
        <v>34</v>
      </c>
      <c r="L2324" t="str">
        <f>IF(AND(CallLog[[#This Row],[Answered (Y/N)]]="Y", CallLog[[#This Row],[Speed of answer in seconds]]&lt;=20),
    "Within",
    "Breach")</f>
        <v>Breach</v>
      </c>
      <c r="M2324" s="1">
        <v>1.724537037037037E-3</v>
      </c>
      <c r="N2324">
        <v>5</v>
      </c>
    </row>
    <row r="2325" spans="1:14" x14ac:dyDescent="0.3">
      <c r="A2325" t="s">
        <v>2389</v>
      </c>
      <c r="B2325" t="s">
        <v>31</v>
      </c>
      <c r="C2325" t="s">
        <v>2368</v>
      </c>
      <c r="D2325" s="1">
        <v>0.51099537037037035</v>
      </c>
      <c r="E2325" s="2">
        <f>CallLog[[#This Row],[Date]]+CallLog[[#This Row],[Time]]</f>
        <v>44237.510995370372</v>
      </c>
      <c r="F2325" s="1" t="str">
        <f>TEXT(CallLog[[#This Row],[Date]],"dddd")</f>
        <v>Wednesday</v>
      </c>
      <c r="G2325" s="3">
        <f>HOUR(CallLog[[#This Row],[Time]])</f>
        <v>12</v>
      </c>
      <c r="H2325" t="s">
        <v>24</v>
      </c>
      <c r="I2325" t="s">
        <v>14</v>
      </c>
      <c r="J2325" t="s">
        <v>14</v>
      </c>
      <c r="K2325">
        <v>88</v>
      </c>
      <c r="L2325" t="str">
        <f>IF(AND(CallLog[[#This Row],[Answered (Y/N)]]="Y", CallLog[[#This Row],[Speed of answer in seconds]]&lt;=20),
    "Within",
    "Breach")</f>
        <v>Breach</v>
      </c>
      <c r="M2325" s="1">
        <v>2.5810185185185185E-3</v>
      </c>
      <c r="N2325">
        <v>3</v>
      </c>
    </row>
    <row r="2326" spans="1:14" x14ac:dyDescent="0.3">
      <c r="A2326" t="s">
        <v>2390</v>
      </c>
      <c r="B2326" t="s">
        <v>38</v>
      </c>
      <c r="C2326" t="s">
        <v>2368</v>
      </c>
      <c r="D2326" s="1">
        <v>0.51400462962962967</v>
      </c>
      <c r="E2326" s="2">
        <f>CallLog[[#This Row],[Date]]+CallLog[[#This Row],[Time]]</f>
        <v>44237.514004629629</v>
      </c>
      <c r="F2326" s="1" t="str">
        <f>TEXT(CallLog[[#This Row],[Date]],"dddd")</f>
        <v>Wednesday</v>
      </c>
      <c r="G2326" s="3">
        <f>HOUR(CallLog[[#This Row],[Time]])</f>
        <v>12</v>
      </c>
      <c r="H2326" t="s">
        <v>29</v>
      </c>
      <c r="I2326" t="s">
        <v>14</v>
      </c>
      <c r="J2326" t="s">
        <v>14</v>
      </c>
      <c r="K2326">
        <v>28</v>
      </c>
      <c r="L2326" t="str">
        <f>IF(AND(CallLog[[#This Row],[Answered (Y/N)]]="Y", CallLog[[#This Row],[Speed of answer in seconds]]&lt;=20),
    "Within",
    "Breach")</f>
        <v>Breach</v>
      </c>
      <c r="M2326" s="1">
        <v>1.3657407407407407E-3</v>
      </c>
      <c r="N2326">
        <v>3</v>
      </c>
    </row>
    <row r="2327" spans="1:14" x14ac:dyDescent="0.3">
      <c r="A2327" t="s">
        <v>2391</v>
      </c>
      <c r="B2327" t="s">
        <v>16</v>
      </c>
      <c r="C2327" t="s">
        <v>2368</v>
      </c>
      <c r="D2327" s="1">
        <v>0.51400462962962967</v>
      </c>
      <c r="E2327" s="2">
        <f>CallLog[[#This Row],[Date]]+CallLog[[#This Row],[Time]]</f>
        <v>44237.514004629629</v>
      </c>
      <c r="F2327" s="1" t="str">
        <f>TEXT(CallLog[[#This Row],[Date]],"dddd")</f>
        <v>Wednesday</v>
      </c>
      <c r="G2327" s="3">
        <f>HOUR(CallLog[[#This Row],[Time]])</f>
        <v>12</v>
      </c>
      <c r="H2327" t="s">
        <v>17</v>
      </c>
      <c r="I2327" t="s">
        <v>18</v>
      </c>
      <c r="J2327" t="s">
        <v>18</v>
      </c>
      <c r="L2327" t="str">
        <f>IF(AND(CallLog[[#This Row],[Answered (Y/N)]]="Y", CallLog[[#This Row],[Speed of answer in seconds]]&lt;=20),
    "Within",
    "Breach")</f>
        <v>Breach</v>
      </c>
    </row>
    <row r="2328" spans="1:14" x14ac:dyDescent="0.3">
      <c r="A2328" t="s">
        <v>2392</v>
      </c>
      <c r="B2328" t="s">
        <v>31</v>
      </c>
      <c r="C2328" t="s">
        <v>2368</v>
      </c>
      <c r="D2328" s="1">
        <v>0.51599537037037035</v>
      </c>
      <c r="E2328" s="2">
        <f>CallLog[[#This Row],[Date]]+CallLog[[#This Row],[Time]]</f>
        <v>44237.51599537037</v>
      </c>
      <c r="F2328" s="1" t="str">
        <f>TEXT(CallLog[[#This Row],[Date]],"dddd")</f>
        <v>Wednesday</v>
      </c>
      <c r="G2328" s="3">
        <f>HOUR(CallLog[[#This Row],[Time]])</f>
        <v>12</v>
      </c>
      <c r="H2328" t="s">
        <v>13</v>
      </c>
      <c r="I2328" t="s">
        <v>18</v>
      </c>
      <c r="J2328" t="s">
        <v>18</v>
      </c>
      <c r="L2328" t="str">
        <f>IF(AND(CallLog[[#This Row],[Answered (Y/N)]]="Y", CallLog[[#This Row],[Speed of answer in seconds]]&lt;=20),
    "Within",
    "Breach")</f>
        <v>Breach</v>
      </c>
    </row>
    <row r="2329" spans="1:14" x14ac:dyDescent="0.3">
      <c r="A2329" t="s">
        <v>2393</v>
      </c>
      <c r="B2329" t="s">
        <v>38</v>
      </c>
      <c r="C2329" t="s">
        <v>2368</v>
      </c>
      <c r="D2329" s="1">
        <v>0.51599537037037035</v>
      </c>
      <c r="E2329" s="2">
        <f>CallLog[[#This Row],[Date]]+CallLog[[#This Row],[Time]]</f>
        <v>44237.51599537037</v>
      </c>
      <c r="F2329" s="1" t="str">
        <f>TEXT(CallLog[[#This Row],[Date]],"dddd")</f>
        <v>Wednesday</v>
      </c>
      <c r="G2329" s="3">
        <f>HOUR(CallLog[[#This Row],[Time]])</f>
        <v>12</v>
      </c>
      <c r="H2329" t="s">
        <v>13</v>
      </c>
      <c r="I2329" t="s">
        <v>14</v>
      </c>
      <c r="J2329" t="s">
        <v>14</v>
      </c>
      <c r="K2329">
        <v>103</v>
      </c>
      <c r="L2329" t="str">
        <f>IF(AND(CallLog[[#This Row],[Answered (Y/N)]]="Y", CallLog[[#This Row],[Speed of answer in seconds]]&lt;=20),
    "Within",
    "Breach")</f>
        <v>Breach</v>
      </c>
      <c r="M2329" s="1">
        <v>6.018518518518519E-4</v>
      </c>
      <c r="N2329">
        <v>2</v>
      </c>
    </row>
    <row r="2330" spans="1:14" x14ac:dyDescent="0.3">
      <c r="A2330" t="s">
        <v>2394</v>
      </c>
      <c r="B2330" t="s">
        <v>34</v>
      </c>
      <c r="C2330" t="s">
        <v>2368</v>
      </c>
      <c r="D2330" s="1">
        <v>0.5329976851851852</v>
      </c>
      <c r="E2330" s="2">
        <f>CallLog[[#This Row],[Date]]+CallLog[[#This Row],[Time]]</f>
        <v>44237.532997685186</v>
      </c>
      <c r="F2330" s="1" t="str">
        <f>TEXT(CallLog[[#This Row],[Date]],"dddd")</f>
        <v>Wednesday</v>
      </c>
      <c r="G2330" s="3">
        <f>HOUR(CallLog[[#This Row],[Time]])</f>
        <v>12</v>
      </c>
      <c r="H2330" t="s">
        <v>17</v>
      </c>
      <c r="I2330" t="s">
        <v>14</v>
      </c>
      <c r="J2330" t="s">
        <v>14</v>
      </c>
      <c r="K2330">
        <v>11</v>
      </c>
      <c r="L2330" t="str">
        <f>IF(AND(CallLog[[#This Row],[Answered (Y/N)]]="Y", CallLog[[#This Row],[Speed of answer in seconds]]&lt;=20),
    "Within",
    "Breach")</f>
        <v>Within</v>
      </c>
      <c r="M2330" s="1">
        <v>7.1759259259259259E-4</v>
      </c>
      <c r="N2330">
        <v>1</v>
      </c>
    </row>
    <row r="2331" spans="1:14" x14ac:dyDescent="0.3">
      <c r="A2331" t="s">
        <v>2395</v>
      </c>
      <c r="B2331" t="s">
        <v>47</v>
      </c>
      <c r="C2331" t="s">
        <v>2368</v>
      </c>
      <c r="D2331" s="1">
        <v>0.5329976851851852</v>
      </c>
      <c r="E2331" s="2">
        <f>CallLog[[#This Row],[Date]]+CallLog[[#This Row],[Time]]</f>
        <v>44237.532997685186</v>
      </c>
      <c r="F2331" s="1" t="str">
        <f>TEXT(CallLog[[#This Row],[Date]],"dddd")</f>
        <v>Wednesday</v>
      </c>
      <c r="G2331" s="3">
        <f>HOUR(CallLog[[#This Row],[Time]])</f>
        <v>12</v>
      </c>
      <c r="H2331" t="s">
        <v>29</v>
      </c>
      <c r="I2331" t="s">
        <v>18</v>
      </c>
      <c r="J2331" t="s">
        <v>18</v>
      </c>
      <c r="L2331" t="str">
        <f>IF(AND(CallLog[[#This Row],[Answered (Y/N)]]="Y", CallLog[[#This Row],[Speed of answer in seconds]]&lt;=20),
    "Within",
    "Breach")</f>
        <v>Breach</v>
      </c>
    </row>
    <row r="2332" spans="1:14" x14ac:dyDescent="0.3">
      <c r="A2332" t="s">
        <v>2396</v>
      </c>
      <c r="B2332" t="s">
        <v>16</v>
      </c>
      <c r="C2332" t="s">
        <v>2368</v>
      </c>
      <c r="D2332" s="1">
        <v>0.54099537037037038</v>
      </c>
      <c r="E2332" s="2">
        <f>CallLog[[#This Row],[Date]]+CallLog[[#This Row],[Time]]</f>
        <v>44237.540995370371</v>
      </c>
      <c r="F2332" s="1" t="str">
        <f>TEXT(CallLog[[#This Row],[Date]],"dddd")</f>
        <v>Wednesday</v>
      </c>
      <c r="G2332" s="3">
        <f>HOUR(CallLog[[#This Row],[Time]])</f>
        <v>12</v>
      </c>
      <c r="H2332" t="s">
        <v>24</v>
      </c>
      <c r="I2332" t="s">
        <v>14</v>
      </c>
      <c r="J2332" t="s">
        <v>14</v>
      </c>
      <c r="K2332">
        <v>65</v>
      </c>
      <c r="L2332" t="str">
        <f>IF(AND(CallLog[[#This Row],[Answered (Y/N)]]="Y", CallLog[[#This Row],[Speed of answer in seconds]]&lt;=20),
    "Within",
    "Breach")</f>
        <v>Breach</v>
      </c>
      <c r="M2332" s="1">
        <v>1.8749999999999999E-3</v>
      </c>
      <c r="N2332">
        <v>5</v>
      </c>
    </row>
    <row r="2333" spans="1:14" x14ac:dyDescent="0.3">
      <c r="A2333" t="s">
        <v>2397</v>
      </c>
      <c r="B2333" t="s">
        <v>47</v>
      </c>
      <c r="C2333" t="s">
        <v>2368</v>
      </c>
      <c r="D2333" s="1">
        <v>0.54099537037037038</v>
      </c>
      <c r="E2333" s="2">
        <f>CallLog[[#This Row],[Date]]+CallLog[[#This Row],[Time]]</f>
        <v>44237.540995370371</v>
      </c>
      <c r="F2333" s="1" t="str">
        <f>TEXT(CallLog[[#This Row],[Date]],"dddd")</f>
        <v>Wednesday</v>
      </c>
      <c r="G2333" s="3">
        <f>HOUR(CallLog[[#This Row],[Time]])</f>
        <v>12</v>
      </c>
      <c r="H2333" t="s">
        <v>24</v>
      </c>
      <c r="I2333" t="s">
        <v>14</v>
      </c>
      <c r="J2333" t="s">
        <v>18</v>
      </c>
      <c r="K2333">
        <v>46</v>
      </c>
      <c r="L2333" t="str">
        <f>IF(AND(CallLog[[#This Row],[Answered (Y/N)]]="Y", CallLog[[#This Row],[Speed of answer in seconds]]&lt;=20),
    "Within",
    "Breach")</f>
        <v>Breach</v>
      </c>
      <c r="M2333" s="1">
        <v>4.2592592592592595E-3</v>
      </c>
      <c r="N2333">
        <v>2</v>
      </c>
    </row>
    <row r="2334" spans="1:14" x14ac:dyDescent="0.3">
      <c r="A2334" t="s">
        <v>2398</v>
      </c>
      <c r="B2334" t="s">
        <v>20</v>
      </c>
      <c r="C2334" t="s">
        <v>2368</v>
      </c>
      <c r="D2334" s="1">
        <v>0.54500000000000004</v>
      </c>
      <c r="E2334" s="2">
        <f>CallLog[[#This Row],[Date]]+CallLog[[#This Row],[Time]]</f>
        <v>44237.544999999998</v>
      </c>
      <c r="F2334" s="1" t="str">
        <f>TEXT(CallLog[[#This Row],[Date]],"dddd")</f>
        <v>Wednesday</v>
      </c>
      <c r="G2334" s="3">
        <f>HOUR(CallLog[[#This Row],[Time]])</f>
        <v>13</v>
      </c>
      <c r="H2334" t="s">
        <v>24</v>
      </c>
      <c r="I2334" t="s">
        <v>14</v>
      </c>
      <c r="J2334" t="s">
        <v>14</v>
      </c>
      <c r="K2334">
        <v>77</v>
      </c>
      <c r="L2334" t="str">
        <f>IF(AND(CallLog[[#This Row],[Answered (Y/N)]]="Y", CallLog[[#This Row],[Speed of answer in seconds]]&lt;=20),
    "Within",
    "Breach")</f>
        <v>Breach</v>
      </c>
      <c r="M2334" s="1">
        <v>4.409722222222222E-3</v>
      </c>
      <c r="N2334">
        <v>1</v>
      </c>
    </row>
    <row r="2335" spans="1:14" x14ac:dyDescent="0.3">
      <c r="A2335" t="s">
        <v>2399</v>
      </c>
      <c r="B2335" t="s">
        <v>47</v>
      </c>
      <c r="C2335" t="s">
        <v>2368</v>
      </c>
      <c r="D2335" s="1">
        <v>0.54500000000000004</v>
      </c>
      <c r="E2335" s="2">
        <f>CallLog[[#This Row],[Date]]+CallLog[[#This Row],[Time]]</f>
        <v>44237.544999999998</v>
      </c>
      <c r="F2335" s="1" t="str">
        <f>TEXT(CallLog[[#This Row],[Date]],"dddd")</f>
        <v>Wednesday</v>
      </c>
      <c r="G2335" s="3">
        <f>HOUR(CallLog[[#This Row],[Time]])</f>
        <v>13</v>
      </c>
      <c r="H2335" t="s">
        <v>13</v>
      </c>
      <c r="I2335" t="s">
        <v>14</v>
      </c>
      <c r="J2335" t="s">
        <v>18</v>
      </c>
      <c r="K2335">
        <v>53</v>
      </c>
      <c r="L2335" t="str">
        <f>IF(AND(CallLog[[#This Row],[Answered (Y/N)]]="Y", CallLog[[#This Row],[Speed of answer in seconds]]&lt;=20),
    "Within",
    "Breach")</f>
        <v>Breach</v>
      </c>
      <c r="M2335" s="1">
        <v>4.0162037037037041E-3</v>
      </c>
      <c r="N2335">
        <v>2</v>
      </c>
    </row>
    <row r="2336" spans="1:14" x14ac:dyDescent="0.3">
      <c r="A2336" t="s">
        <v>2400</v>
      </c>
      <c r="B2336" t="s">
        <v>31</v>
      </c>
      <c r="C2336" t="s">
        <v>2368</v>
      </c>
      <c r="D2336" s="1">
        <v>0.54500000000000004</v>
      </c>
      <c r="E2336" s="2">
        <f>CallLog[[#This Row],[Date]]+CallLog[[#This Row],[Time]]</f>
        <v>44237.544999999998</v>
      </c>
      <c r="F2336" s="1" t="str">
        <f>TEXT(CallLog[[#This Row],[Date]],"dddd")</f>
        <v>Wednesday</v>
      </c>
      <c r="G2336" s="3">
        <f>HOUR(CallLog[[#This Row],[Time]])</f>
        <v>13</v>
      </c>
      <c r="H2336" t="s">
        <v>24</v>
      </c>
      <c r="I2336" t="s">
        <v>14</v>
      </c>
      <c r="J2336" t="s">
        <v>14</v>
      </c>
      <c r="K2336">
        <v>30</v>
      </c>
      <c r="L2336" t="str">
        <f>IF(AND(CallLog[[#This Row],[Answered (Y/N)]]="Y", CallLog[[#This Row],[Speed of answer in seconds]]&lt;=20),
    "Within",
    "Breach")</f>
        <v>Breach</v>
      </c>
      <c r="M2336" s="1">
        <v>1.6319444444444445E-3</v>
      </c>
      <c r="N2336">
        <v>4</v>
      </c>
    </row>
    <row r="2337" spans="1:14" x14ac:dyDescent="0.3">
      <c r="A2337" t="s">
        <v>2401</v>
      </c>
      <c r="B2337" t="s">
        <v>34</v>
      </c>
      <c r="C2337" t="s">
        <v>2368</v>
      </c>
      <c r="D2337" s="1">
        <v>0.54500000000000004</v>
      </c>
      <c r="E2337" s="2">
        <f>CallLog[[#This Row],[Date]]+CallLog[[#This Row],[Time]]</f>
        <v>44237.544999999998</v>
      </c>
      <c r="F2337" s="1" t="str">
        <f>TEXT(CallLog[[#This Row],[Date]],"dddd")</f>
        <v>Wednesday</v>
      </c>
      <c r="G2337" s="3">
        <f>HOUR(CallLog[[#This Row],[Time]])</f>
        <v>13</v>
      </c>
      <c r="H2337" t="s">
        <v>29</v>
      </c>
      <c r="I2337" t="s">
        <v>14</v>
      </c>
      <c r="J2337" t="s">
        <v>14</v>
      </c>
      <c r="K2337">
        <v>106</v>
      </c>
      <c r="L2337" t="str">
        <f>IF(AND(CallLog[[#This Row],[Answered (Y/N)]]="Y", CallLog[[#This Row],[Speed of answer in seconds]]&lt;=20),
    "Within",
    "Breach")</f>
        <v>Breach</v>
      </c>
      <c r="M2337" s="1">
        <v>1.7708333333333332E-3</v>
      </c>
      <c r="N2337">
        <v>2</v>
      </c>
    </row>
    <row r="2338" spans="1:14" x14ac:dyDescent="0.3">
      <c r="A2338" t="s">
        <v>2402</v>
      </c>
      <c r="B2338" t="s">
        <v>34</v>
      </c>
      <c r="C2338" t="s">
        <v>2368</v>
      </c>
      <c r="D2338" s="1">
        <v>0.57400462962962961</v>
      </c>
      <c r="E2338" s="2">
        <f>CallLog[[#This Row],[Date]]+CallLog[[#This Row],[Time]]</f>
        <v>44237.574004629627</v>
      </c>
      <c r="F2338" s="1" t="str">
        <f>TEXT(CallLog[[#This Row],[Date]],"dddd")</f>
        <v>Wednesday</v>
      </c>
      <c r="G2338" s="3">
        <f>HOUR(CallLog[[#This Row],[Time]])</f>
        <v>13</v>
      </c>
      <c r="H2338" t="s">
        <v>32</v>
      </c>
      <c r="I2338" t="s">
        <v>14</v>
      </c>
      <c r="J2338" t="s">
        <v>14</v>
      </c>
      <c r="K2338">
        <v>13</v>
      </c>
      <c r="L2338" t="str">
        <f>IF(AND(CallLog[[#This Row],[Answered (Y/N)]]="Y", CallLog[[#This Row],[Speed of answer in seconds]]&lt;=20),
    "Within",
    "Breach")</f>
        <v>Within</v>
      </c>
      <c r="M2338" s="1">
        <v>4.0509259259259257E-3</v>
      </c>
      <c r="N2338">
        <v>4</v>
      </c>
    </row>
    <row r="2339" spans="1:14" x14ac:dyDescent="0.3">
      <c r="A2339" t="s">
        <v>2403</v>
      </c>
      <c r="B2339" t="s">
        <v>38</v>
      </c>
      <c r="C2339" t="s">
        <v>2368</v>
      </c>
      <c r="D2339" s="1">
        <v>0.57400462962962961</v>
      </c>
      <c r="E2339" s="2">
        <f>CallLog[[#This Row],[Date]]+CallLog[[#This Row],[Time]]</f>
        <v>44237.574004629627</v>
      </c>
      <c r="F2339" s="1" t="str">
        <f>TEXT(CallLog[[#This Row],[Date]],"dddd")</f>
        <v>Wednesday</v>
      </c>
      <c r="G2339" s="3">
        <f>HOUR(CallLog[[#This Row],[Time]])</f>
        <v>13</v>
      </c>
      <c r="H2339" t="s">
        <v>13</v>
      </c>
      <c r="I2339" t="s">
        <v>14</v>
      </c>
      <c r="J2339" t="s">
        <v>14</v>
      </c>
      <c r="K2339">
        <v>45</v>
      </c>
      <c r="L2339" t="str">
        <f>IF(AND(CallLog[[#This Row],[Answered (Y/N)]]="Y", CallLog[[#This Row],[Speed of answer in seconds]]&lt;=20),
    "Within",
    "Breach")</f>
        <v>Breach</v>
      </c>
      <c r="M2339" s="1">
        <v>3.9004629629629628E-3</v>
      </c>
      <c r="N2339">
        <v>5</v>
      </c>
    </row>
    <row r="2340" spans="1:14" x14ac:dyDescent="0.3">
      <c r="A2340" t="s">
        <v>2404</v>
      </c>
      <c r="B2340" t="s">
        <v>20</v>
      </c>
      <c r="C2340" t="s">
        <v>2368</v>
      </c>
      <c r="D2340" s="1">
        <v>0.59</v>
      </c>
      <c r="E2340" s="2">
        <f>CallLog[[#This Row],[Date]]+CallLog[[#This Row],[Time]]</f>
        <v>44237.59</v>
      </c>
      <c r="F2340" s="1" t="str">
        <f>TEXT(CallLog[[#This Row],[Date]],"dddd")</f>
        <v>Wednesday</v>
      </c>
      <c r="G2340" s="3">
        <f>HOUR(CallLog[[#This Row],[Time]])</f>
        <v>14</v>
      </c>
      <c r="H2340" t="s">
        <v>32</v>
      </c>
      <c r="I2340" t="s">
        <v>18</v>
      </c>
      <c r="J2340" t="s">
        <v>18</v>
      </c>
      <c r="L2340" t="str">
        <f>IF(AND(CallLog[[#This Row],[Answered (Y/N)]]="Y", CallLog[[#This Row],[Speed of answer in seconds]]&lt;=20),
    "Within",
    "Breach")</f>
        <v>Breach</v>
      </c>
    </row>
    <row r="2341" spans="1:14" x14ac:dyDescent="0.3">
      <c r="A2341" t="s">
        <v>2405</v>
      </c>
      <c r="B2341" t="s">
        <v>22</v>
      </c>
      <c r="C2341" t="s">
        <v>2368</v>
      </c>
      <c r="D2341" s="1">
        <v>0.59</v>
      </c>
      <c r="E2341" s="2">
        <f>CallLog[[#This Row],[Date]]+CallLog[[#This Row],[Time]]</f>
        <v>44237.59</v>
      </c>
      <c r="F2341" s="1" t="str">
        <f>TEXT(CallLog[[#This Row],[Date]],"dddd")</f>
        <v>Wednesday</v>
      </c>
      <c r="G2341" s="3">
        <f>HOUR(CallLog[[#This Row],[Time]])</f>
        <v>14</v>
      </c>
      <c r="H2341" t="s">
        <v>32</v>
      </c>
      <c r="I2341" t="s">
        <v>14</v>
      </c>
      <c r="J2341" t="s">
        <v>14</v>
      </c>
      <c r="K2341">
        <v>19</v>
      </c>
      <c r="L2341" t="str">
        <f>IF(AND(CallLog[[#This Row],[Answered (Y/N)]]="Y", CallLog[[#This Row],[Speed of answer in seconds]]&lt;=20),
    "Within",
    "Breach")</f>
        <v>Within</v>
      </c>
      <c r="M2341" s="1">
        <v>1.261574074074074E-3</v>
      </c>
      <c r="N2341">
        <v>5</v>
      </c>
    </row>
    <row r="2342" spans="1:14" x14ac:dyDescent="0.3">
      <c r="A2342" t="s">
        <v>2406</v>
      </c>
      <c r="B2342" t="s">
        <v>16</v>
      </c>
      <c r="C2342" t="s">
        <v>2368</v>
      </c>
      <c r="D2342" s="1">
        <v>0.62900462962962966</v>
      </c>
      <c r="E2342" s="2">
        <f>CallLog[[#This Row],[Date]]+CallLog[[#This Row],[Time]]</f>
        <v>44237.629004629627</v>
      </c>
      <c r="F2342" s="1" t="str">
        <f>TEXT(CallLog[[#This Row],[Date]],"dddd")</f>
        <v>Wednesday</v>
      </c>
      <c r="G2342" s="3">
        <f>HOUR(CallLog[[#This Row],[Time]])</f>
        <v>15</v>
      </c>
      <c r="H2342" t="s">
        <v>24</v>
      </c>
      <c r="I2342" t="s">
        <v>14</v>
      </c>
      <c r="J2342" t="s">
        <v>14</v>
      </c>
      <c r="K2342">
        <v>64</v>
      </c>
      <c r="L2342" t="str">
        <f>IF(AND(CallLog[[#This Row],[Answered (Y/N)]]="Y", CallLog[[#This Row],[Speed of answer in seconds]]&lt;=20),
    "Within",
    "Breach")</f>
        <v>Breach</v>
      </c>
      <c r="M2342" s="1">
        <v>1.9675925925925924E-3</v>
      </c>
      <c r="N2342">
        <v>5</v>
      </c>
    </row>
    <row r="2343" spans="1:14" x14ac:dyDescent="0.3">
      <c r="A2343" t="s">
        <v>2407</v>
      </c>
      <c r="B2343" t="s">
        <v>47</v>
      </c>
      <c r="C2343" t="s">
        <v>2368</v>
      </c>
      <c r="D2343" s="1">
        <v>0.62900462962962966</v>
      </c>
      <c r="E2343" s="2">
        <f>CallLog[[#This Row],[Date]]+CallLog[[#This Row],[Time]]</f>
        <v>44237.629004629627</v>
      </c>
      <c r="F2343" s="1" t="str">
        <f>TEXT(CallLog[[#This Row],[Date]],"dddd")</f>
        <v>Wednesday</v>
      </c>
      <c r="G2343" s="3">
        <f>HOUR(CallLog[[#This Row],[Time]])</f>
        <v>15</v>
      </c>
      <c r="H2343" t="s">
        <v>32</v>
      </c>
      <c r="I2343" t="s">
        <v>14</v>
      </c>
      <c r="J2343" t="s">
        <v>18</v>
      </c>
      <c r="K2343">
        <v>47</v>
      </c>
      <c r="L2343" t="str">
        <f>IF(AND(CallLog[[#This Row],[Answered (Y/N)]]="Y", CallLog[[#This Row],[Speed of answer in seconds]]&lt;=20),
    "Within",
    "Breach")</f>
        <v>Breach</v>
      </c>
      <c r="M2343" s="1">
        <v>1.4004629629629629E-3</v>
      </c>
      <c r="N2343">
        <v>5</v>
      </c>
    </row>
    <row r="2344" spans="1:14" x14ac:dyDescent="0.3">
      <c r="A2344" t="s">
        <v>2408</v>
      </c>
      <c r="B2344" t="s">
        <v>22</v>
      </c>
      <c r="C2344" t="s">
        <v>2368</v>
      </c>
      <c r="D2344" s="1">
        <v>0.65700231481481486</v>
      </c>
      <c r="E2344" s="2">
        <f>CallLog[[#This Row],[Date]]+CallLog[[#This Row],[Time]]</f>
        <v>44237.657002314816</v>
      </c>
      <c r="F2344" s="1" t="str">
        <f>TEXT(CallLog[[#This Row],[Date]],"dddd")</f>
        <v>Wednesday</v>
      </c>
      <c r="G2344" s="3">
        <f>HOUR(CallLog[[#This Row],[Time]])</f>
        <v>15</v>
      </c>
      <c r="H2344" t="s">
        <v>24</v>
      </c>
      <c r="I2344" t="s">
        <v>14</v>
      </c>
      <c r="J2344" t="s">
        <v>14</v>
      </c>
      <c r="K2344">
        <v>120</v>
      </c>
      <c r="L2344" t="str">
        <f>IF(AND(CallLog[[#This Row],[Answered (Y/N)]]="Y", CallLog[[#This Row],[Speed of answer in seconds]]&lt;=20),
    "Within",
    "Breach")</f>
        <v>Breach</v>
      </c>
      <c r="M2344" s="1">
        <v>6.4814814814814813E-4</v>
      </c>
      <c r="N2344">
        <v>3</v>
      </c>
    </row>
    <row r="2345" spans="1:14" x14ac:dyDescent="0.3">
      <c r="A2345" t="s">
        <v>2409</v>
      </c>
      <c r="B2345" t="s">
        <v>20</v>
      </c>
      <c r="C2345" t="s">
        <v>2368</v>
      </c>
      <c r="D2345" s="1">
        <v>0.65700231481481486</v>
      </c>
      <c r="E2345" s="2">
        <f>CallLog[[#This Row],[Date]]+CallLog[[#This Row],[Time]]</f>
        <v>44237.657002314816</v>
      </c>
      <c r="F2345" s="1" t="str">
        <f>TEXT(CallLog[[#This Row],[Date]],"dddd")</f>
        <v>Wednesday</v>
      </c>
      <c r="G2345" s="3">
        <f>HOUR(CallLog[[#This Row],[Time]])</f>
        <v>15</v>
      </c>
      <c r="H2345" t="s">
        <v>13</v>
      </c>
      <c r="I2345" t="s">
        <v>14</v>
      </c>
      <c r="J2345" t="s">
        <v>14</v>
      </c>
      <c r="K2345">
        <v>85</v>
      </c>
      <c r="L2345" t="str">
        <f>IF(AND(CallLog[[#This Row],[Answered (Y/N)]]="Y", CallLog[[#This Row],[Speed of answer in seconds]]&lt;=20),
    "Within",
    "Breach")</f>
        <v>Breach</v>
      </c>
      <c r="M2345" s="1">
        <v>1.4930555555555556E-3</v>
      </c>
      <c r="N2345">
        <v>3</v>
      </c>
    </row>
    <row r="2346" spans="1:14" x14ac:dyDescent="0.3">
      <c r="A2346" t="s">
        <v>2410</v>
      </c>
      <c r="B2346" t="s">
        <v>47</v>
      </c>
      <c r="C2346" t="s">
        <v>2368</v>
      </c>
      <c r="D2346" s="1">
        <v>0.68200231481481477</v>
      </c>
      <c r="E2346" s="2">
        <f>CallLog[[#This Row],[Date]]+CallLog[[#This Row],[Time]]</f>
        <v>44237.682002314818</v>
      </c>
      <c r="F2346" s="1" t="str">
        <f>TEXT(CallLog[[#This Row],[Date]],"dddd")</f>
        <v>Wednesday</v>
      </c>
      <c r="G2346" s="3">
        <f>HOUR(CallLog[[#This Row],[Time]])</f>
        <v>16</v>
      </c>
      <c r="H2346" t="s">
        <v>13</v>
      </c>
      <c r="I2346" t="s">
        <v>14</v>
      </c>
      <c r="J2346" t="s">
        <v>14</v>
      </c>
      <c r="K2346">
        <v>64</v>
      </c>
      <c r="L2346" t="str">
        <f>IF(AND(CallLog[[#This Row],[Answered (Y/N)]]="Y", CallLog[[#This Row],[Speed of answer in seconds]]&lt;=20),
    "Within",
    "Breach")</f>
        <v>Breach</v>
      </c>
      <c r="M2346" s="1">
        <v>1.1342592592592593E-3</v>
      </c>
      <c r="N2346">
        <v>3</v>
      </c>
    </row>
    <row r="2347" spans="1:14" x14ac:dyDescent="0.3">
      <c r="A2347" t="s">
        <v>2411</v>
      </c>
      <c r="B2347" t="s">
        <v>11</v>
      </c>
      <c r="C2347" t="s">
        <v>2368</v>
      </c>
      <c r="D2347" s="1">
        <v>0.68200231481481477</v>
      </c>
      <c r="E2347" s="2">
        <f>CallLog[[#This Row],[Date]]+CallLog[[#This Row],[Time]]</f>
        <v>44237.682002314818</v>
      </c>
      <c r="F2347" s="1" t="str">
        <f>TEXT(CallLog[[#This Row],[Date]],"dddd")</f>
        <v>Wednesday</v>
      </c>
      <c r="G2347" s="3">
        <f>HOUR(CallLog[[#This Row],[Time]])</f>
        <v>16</v>
      </c>
      <c r="H2347" t="s">
        <v>29</v>
      </c>
      <c r="I2347" t="s">
        <v>18</v>
      </c>
      <c r="J2347" t="s">
        <v>18</v>
      </c>
      <c r="L2347" t="str">
        <f>IF(AND(CallLog[[#This Row],[Answered (Y/N)]]="Y", CallLog[[#This Row],[Speed of answer in seconds]]&lt;=20),
    "Within",
    "Breach")</f>
        <v>Breach</v>
      </c>
    </row>
    <row r="2348" spans="1:14" x14ac:dyDescent="0.3">
      <c r="A2348" t="s">
        <v>2412</v>
      </c>
      <c r="B2348" t="s">
        <v>38</v>
      </c>
      <c r="C2348" t="s">
        <v>2368</v>
      </c>
      <c r="D2348" s="1">
        <v>0.68500000000000005</v>
      </c>
      <c r="E2348" s="2">
        <f>CallLog[[#This Row],[Date]]+CallLog[[#This Row],[Time]]</f>
        <v>44237.684999999998</v>
      </c>
      <c r="F2348" s="1" t="str">
        <f>TEXT(CallLog[[#This Row],[Date]],"dddd")</f>
        <v>Wednesday</v>
      </c>
      <c r="G2348" s="3">
        <f>HOUR(CallLog[[#This Row],[Time]])</f>
        <v>16</v>
      </c>
      <c r="H2348" t="s">
        <v>17</v>
      </c>
      <c r="I2348" t="s">
        <v>14</v>
      </c>
      <c r="J2348" t="s">
        <v>14</v>
      </c>
      <c r="K2348">
        <v>73</v>
      </c>
      <c r="L2348" t="str">
        <f>IF(AND(CallLog[[#This Row],[Answered (Y/N)]]="Y", CallLog[[#This Row],[Speed of answer in seconds]]&lt;=20),
    "Within",
    "Breach")</f>
        <v>Breach</v>
      </c>
      <c r="M2348" s="1">
        <v>4.2939814814814811E-3</v>
      </c>
      <c r="N2348">
        <v>5</v>
      </c>
    </row>
    <row r="2349" spans="1:14" x14ac:dyDescent="0.3">
      <c r="A2349" t="s">
        <v>2413</v>
      </c>
      <c r="B2349" t="s">
        <v>16</v>
      </c>
      <c r="C2349" t="s">
        <v>2368</v>
      </c>
      <c r="D2349" s="1">
        <v>0.68500000000000005</v>
      </c>
      <c r="E2349" s="2">
        <f>CallLog[[#This Row],[Date]]+CallLog[[#This Row],[Time]]</f>
        <v>44237.684999999998</v>
      </c>
      <c r="F2349" s="1" t="str">
        <f>TEXT(CallLog[[#This Row],[Date]],"dddd")</f>
        <v>Wednesday</v>
      </c>
      <c r="G2349" s="3">
        <f>HOUR(CallLog[[#This Row],[Time]])</f>
        <v>16</v>
      </c>
      <c r="H2349" t="s">
        <v>17</v>
      </c>
      <c r="I2349" t="s">
        <v>18</v>
      </c>
      <c r="J2349" t="s">
        <v>18</v>
      </c>
      <c r="L2349" t="str">
        <f>IF(AND(CallLog[[#This Row],[Answered (Y/N)]]="Y", CallLog[[#This Row],[Speed of answer in seconds]]&lt;=20),
    "Within",
    "Breach")</f>
        <v>Breach</v>
      </c>
    </row>
    <row r="2350" spans="1:14" x14ac:dyDescent="0.3">
      <c r="A2350" t="s">
        <v>2414</v>
      </c>
      <c r="B2350" t="s">
        <v>34</v>
      </c>
      <c r="C2350" t="s">
        <v>2368</v>
      </c>
      <c r="D2350" s="1">
        <v>0.68599537037037039</v>
      </c>
      <c r="E2350" s="2">
        <f>CallLog[[#This Row],[Date]]+CallLog[[#This Row],[Time]]</f>
        <v>44237.685995370368</v>
      </c>
      <c r="F2350" s="1" t="str">
        <f>TEXT(CallLog[[#This Row],[Date]],"dddd")</f>
        <v>Wednesday</v>
      </c>
      <c r="G2350" s="3">
        <f>HOUR(CallLog[[#This Row],[Time]])</f>
        <v>16</v>
      </c>
      <c r="H2350" t="s">
        <v>17</v>
      </c>
      <c r="I2350" t="s">
        <v>18</v>
      </c>
      <c r="J2350" t="s">
        <v>18</v>
      </c>
      <c r="L2350" t="str">
        <f>IF(AND(CallLog[[#This Row],[Answered (Y/N)]]="Y", CallLog[[#This Row],[Speed of answer in seconds]]&lt;=20),
    "Within",
    "Breach")</f>
        <v>Breach</v>
      </c>
    </row>
    <row r="2351" spans="1:14" x14ac:dyDescent="0.3">
      <c r="A2351" t="s">
        <v>2415</v>
      </c>
      <c r="B2351" t="s">
        <v>38</v>
      </c>
      <c r="C2351" t="s">
        <v>2368</v>
      </c>
      <c r="D2351" s="1">
        <v>0.68599537037037039</v>
      </c>
      <c r="E2351" s="2">
        <f>CallLog[[#This Row],[Date]]+CallLog[[#This Row],[Time]]</f>
        <v>44237.685995370368</v>
      </c>
      <c r="F2351" s="1" t="str">
        <f>TEXT(CallLog[[#This Row],[Date]],"dddd")</f>
        <v>Wednesday</v>
      </c>
      <c r="G2351" s="3">
        <f>HOUR(CallLog[[#This Row],[Time]])</f>
        <v>16</v>
      </c>
      <c r="H2351" t="s">
        <v>13</v>
      </c>
      <c r="I2351" t="s">
        <v>14</v>
      </c>
      <c r="J2351" t="s">
        <v>14</v>
      </c>
      <c r="K2351">
        <v>122</v>
      </c>
      <c r="L2351" t="str">
        <f>IF(AND(CallLog[[#This Row],[Answered (Y/N)]]="Y", CallLog[[#This Row],[Speed of answer in seconds]]&lt;=20),
    "Within",
    "Breach")</f>
        <v>Breach</v>
      </c>
      <c r="M2351" s="1">
        <v>3.1828703703703702E-3</v>
      </c>
      <c r="N2351">
        <v>4</v>
      </c>
    </row>
    <row r="2352" spans="1:14" x14ac:dyDescent="0.3">
      <c r="A2352" t="s">
        <v>2416</v>
      </c>
      <c r="B2352" t="s">
        <v>47</v>
      </c>
      <c r="C2352" t="s">
        <v>2368</v>
      </c>
      <c r="D2352" s="1">
        <v>0.68599537037037039</v>
      </c>
      <c r="E2352" s="2">
        <f>CallLog[[#This Row],[Date]]+CallLog[[#This Row],[Time]]</f>
        <v>44237.685995370368</v>
      </c>
      <c r="F2352" s="1" t="str">
        <f>TEXT(CallLog[[#This Row],[Date]],"dddd")</f>
        <v>Wednesday</v>
      </c>
      <c r="G2352" s="3">
        <f>HOUR(CallLog[[#This Row],[Time]])</f>
        <v>16</v>
      </c>
      <c r="H2352" t="s">
        <v>13</v>
      </c>
      <c r="I2352" t="s">
        <v>18</v>
      </c>
      <c r="J2352" t="s">
        <v>18</v>
      </c>
      <c r="L2352" t="str">
        <f>IF(AND(CallLog[[#This Row],[Answered (Y/N)]]="Y", CallLog[[#This Row],[Speed of answer in seconds]]&lt;=20),
    "Within",
    "Breach")</f>
        <v>Breach</v>
      </c>
    </row>
    <row r="2353" spans="1:14" x14ac:dyDescent="0.3">
      <c r="A2353" t="s">
        <v>2417</v>
      </c>
      <c r="B2353" t="s">
        <v>11</v>
      </c>
      <c r="C2353" t="s">
        <v>2368</v>
      </c>
      <c r="D2353" s="1">
        <v>0.68599537037037039</v>
      </c>
      <c r="E2353" s="2">
        <f>CallLog[[#This Row],[Date]]+CallLog[[#This Row],[Time]]</f>
        <v>44237.685995370368</v>
      </c>
      <c r="F2353" s="1" t="str">
        <f>TEXT(CallLog[[#This Row],[Date]],"dddd")</f>
        <v>Wednesday</v>
      </c>
      <c r="G2353" s="3">
        <f>HOUR(CallLog[[#This Row],[Time]])</f>
        <v>16</v>
      </c>
      <c r="H2353" t="s">
        <v>13</v>
      </c>
      <c r="I2353" t="s">
        <v>18</v>
      </c>
      <c r="J2353" t="s">
        <v>18</v>
      </c>
      <c r="L2353" t="str">
        <f>IF(AND(CallLog[[#This Row],[Answered (Y/N)]]="Y", CallLog[[#This Row],[Speed of answer in seconds]]&lt;=20),
    "Within",
    "Breach")</f>
        <v>Breach</v>
      </c>
    </row>
    <row r="2354" spans="1:14" x14ac:dyDescent="0.3">
      <c r="A2354" t="s">
        <v>2418</v>
      </c>
      <c r="B2354" t="s">
        <v>11</v>
      </c>
      <c r="C2354" t="s">
        <v>2368</v>
      </c>
      <c r="D2354" s="1">
        <v>0.71400462962962963</v>
      </c>
      <c r="E2354" s="2">
        <f>CallLog[[#This Row],[Date]]+CallLog[[#This Row],[Time]]</f>
        <v>44237.714004629626</v>
      </c>
      <c r="F2354" s="1" t="str">
        <f>TEXT(CallLog[[#This Row],[Date]],"dddd")</f>
        <v>Wednesday</v>
      </c>
      <c r="G2354" s="3">
        <f>HOUR(CallLog[[#This Row],[Time]])</f>
        <v>17</v>
      </c>
      <c r="H2354" t="s">
        <v>17</v>
      </c>
      <c r="I2354" t="s">
        <v>14</v>
      </c>
      <c r="J2354" t="s">
        <v>14</v>
      </c>
      <c r="K2354">
        <v>114</v>
      </c>
      <c r="L2354" t="str">
        <f>IF(AND(CallLog[[#This Row],[Answered (Y/N)]]="Y", CallLog[[#This Row],[Speed of answer in seconds]]&lt;=20),
    "Within",
    "Breach")</f>
        <v>Breach</v>
      </c>
      <c r="M2354" s="1">
        <v>4.7916666666666663E-3</v>
      </c>
      <c r="N2354">
        <v>3</v>
      </c>
    </row>
    <row r="2355" spans="1:14" x14ac:dyDescent="0.3">
      <c r="A2355" t="s">
        <v>2419</v>
      </c>
      <c r="B2355" t="s">
        <v>16</v>
      </c>
      <c r="C2355" t="s">
        <v>2368</v>
      </c>
      <c r="D2355" s="1">
        <v>0.71400462962962963</v>
      </c>
      <c r="E2355" s="2">
        <f>CallLog[[#This Row],[Date]]+CallLog[[#This Row],[Time]]</f>
        <v>44237.714004629626</v>
      </c>
      <c r="F2355" s="1" t="str">
        <f>TEXT(CallLog[[#This Row],[Date]],"dddd")</f>
        <v>Wednesday</v>
      </c>
      <c r="G2355" s="3">
        <f>HOUR(CallLog[[#This Row],[Time]])</f>
        <v>17</v>
      </c>
      <c r="H2355" t="s">
        <v>17</v>
      </c>
      <c r="I2355" t="s">
        <v>14</v>
      </c>
      <c r="J2355" t="s">
        <v>14</v>
      </c>
      <c r="K2355">
        <v>30</v>
      </c>
      <c r="L2355" t="str">
        <f>IF(AND(CallLog[[#This Row],[Answered (Y/N)]]="Y", CallLog[[#This Row],[Speed of answer in seconds]]&lt;=20),
    "Within",
    "Breach")</f>
        <v>Breach</v>
      </c>
      <c r="M2355" s="1">
        <v>4.5254629629629629E-3</v>
      </c>
      <c r="N2355">
        <v>1</v>
      </c>
    </row>
    <row r="2356" spans="1:14" x14ac:dyDescent="0.3">
      <c r="A2356" t="s">
        <v>2420</v>
      </c>
      <c r="B2356" t="s">
        <v>11</v>
      </c>
      <c r="C2356" t="s">
        <v>2368</v>
      </c>
      <c r="D2356" s="1">
        <v>0.72099537037037043</v>
      </c>
      <c r="E2356" s="2">
        <f>CallLog[[#This Row],[Date]]+CallLog[[#This Row],[Time]]</f>
        <v>44237.720995370371</v>
      </c>
      <c r="F2356" s="1" t="str">
        <f>TEXT(CallLog[[#This Row],[Date]],"dddd")</f>
        <v>Wednesday</v>
      </c>
      <c r="G2356" s="3">
        <f>HOUR(CallLog[[#This Row],[Time]])</f>
        <v>17</v>
      </c>
      <c r="H2356" t="s">
        <v>29</v>
      </c>
      <c r="I2356" t="s">
        <v>14</v>
      </c>
      <c r="J2356" t="s">
        <v>14</v>
      </c>
      <c r="K2356">
        <v>47</v>
      </c>
      <c r="L2356" t="str">
        <f>IF(AND(CallLog[[#This Row],[Answered (Y/N)]]="Y", CallLog[[#This Row],[Speed of answer in seconds]]&lt;=20),
    "Within",
    "Breach")</f>
        <v>Breach</v>
      </c>
      <c r="M2356" s="1">
        <v>5.4398148148148144E-4</v>
      </c>
      <c r="N2356">
        <v>4</v>
      </c>
    </row>
    <row r="2357" spans="1:14" x14ac:dyDescent="0.3">
      <c r="A2357" t="s">
        <v>2421</v>
      </c>
      <c r="B2357" t="s">
        <v>34</v>
      </c>
      <c r="C2357" t="s">
        <v>2368</v>
      </c>
      <c r="D2357" s="1">
        <v>0.72099537037037043</v>
      </c>
      <c r="E2357" s="2">
        <f>CallLog[[#This Row],[Date]]+CallLog[[#This Row],[Time]]</f>
        <v>44237.720995370371</v>
      </c>
      <c r="F2357" s="1" t="str">
        <f>TEXT(CallLog[[#This Row],[Date]],"dddd")</f>
        <v>Wednesday</v>
      </c>
      <c r="G2357" s="3">
        <f>HOUR(CallLog[[#This Row],[Time]])</f>
        <v>17</v>
      </c>
      <c r="H2357" t="s">
        <v>24</v>
      </c>
      <c r="I2357" t="s">
        <v>14</v>
      </c>
      <c r="J2357" t="s">
        <v>14</v>
      </c>
      <c r="K2357">
        <v>23</v>
      </c>
      <c r="L2357" t="str">
        <f>IF(AND(CallLog[[#This Row],[Answered (Y/N)]]="Y", CallLog[[#This Row],[Speed of answer in seconds]]&lt;=20),
    "Within",
    "Breach")</f>
        <v>Breach</v>
      </c>
      <c r="M2357" s="1">
        <v>2.5115740740740741E-3</v>
      </c>
      <c r="N2357">
        <v>2</v>
      </c>
    </row>
    <row r="2358" spans="1:14" x14ac:dyDescent="0.3">
      <c r="A2358" t="s">
        <v>2422</v>
      </c>
      <c r="B2358" t="s">
        <v>22</v>
      </c>
      <c r="C2358" t="s">
        <v>2368</v>
      </c>
      <c r="D2358" s="1">
        <v>0.72599537037037032</v>
      </c>
      <c r="E2358" s="2">
        <f>CallLog[[#This Row],[Date]]+CallLog[[#This Row],[Time]]</f>
        <v>44237.725995370369</v>
      </c>
      <c r="F2358" s="1" t="str">
        <f>TEXT(CallLog[[#This Row],[Date]],"dddd")</f>
        <v>Wednesday</v>
      </c>
      <c r="G2358" s="3">
        <f>HOUR(CallLog[[#This Row],[Time]])</f>
        <v>17</v>
      </c>
      <c r="H2358" t="s">
        <v>24</v>
      </c>
      <c r="I2358" t="s">
        <v>14</v>
      </c>
      <c r="J2358" t="s">
        <v>14</v>
      </c>
      <c r="K2358">
        <v>99</v>
      </c>
      <c r="L2358" t="str">
        <f>IF(AND(CallLog[[#This Row],[Answered (Y/N)]]="Y", CallLog[[#This Row],[Speed of answer in seconds]]&lt;=20),
    "Within",
    "Breach")</f>
        <v>Breach</v>
      </c>
      <c r="M2358" s="1">
        <v>1.1805555555555556E-3</v>
      </c>
      <c r="N2358">
        <v>3</v>
      </c>
    </row>
    <row r="2359" spans="1:14" x14ac:dyDescent="0.3">
      <c r="A2359" t="s">
        <v>2423</v>
      </c>
      <c r="B2359" t="s">
        <v>20</v>
      </c>
      <c r="C2359" t="s">
        <v>2368</v>
      </c>
      <c r="D2359" s="1">
        <v>0.72599537037037032</v>
      </c>
      <c r="E2359" s="2">
        <f>CallLog[[#This Row],[Date]]+CallLog[[#This Row],[Time]]</f>
        <v>44237.725995370369</v>
      </c>
      <c r="F2359" s="1" t="str">
        <f>TEXT(CallLog[[#This Row],[Date]],"dddd")</f>
        <v>Wednesday</v>
      </c>
      <c r="G2359" s="3">
        <f>HOUR(CallLog[[#This Row],[Time]])</f>
        <v>17</v>
      </c>
      <c r="H2359" t="s">
        <v>13</v>
      </c>
      <c r="I2359" t="s">
        <v>14</v>
      </c>
      <c r="J2359" t="s">
        <v>14</v>
      </c>
      <c r="K2359">
        <v>51</v>
      </c>
      <c r="L2359" t="str">
        <f>IF(AND(CallLog[[#This Row],[Answered (Y/N)]]="Y", CallLog[[#This Row],[Speed of answer in seconds]]&lt;=20),
    "Within",
    "Breach")</f>
        <v>Breach</v>
      </c>
      <c r="M2359" s="1">
        <v>3.3680555555555556E-3</v>
      </c>
      <c r="N2359">
        <v>4</v>
      </c>
    </row>
    <row r="2360" spans="1:14" x14ac:dyDescent="0.3">
      <c r="A2360" t="s">
        <v>2424</v>
      </c>
      <c r="B2360" t="s">
        <v>11</v>
      </c>
      <c r="C2360" t="s">
        <v>2368</v>
      </c>
      <c r="D2360" s="1">
        <v>0.72799768518518515</v>
      </c>
      <c r="E2360" s="2">
        <f>CallLog[[#This Row],[Date]]+CallLog[[#This Row],[Time]]</f>
        <v>44237.727997685186</v>
      </c>
      <c r="F2360" s="1" t="str">
        <f>TEXT(CallLog[[#This Row],[Date]],"dddd")</f>
        <v>Wednesday</v>
      </c>
      <c r="G2360" s="3">
        <f>HOUR(CallLog[[#This Row],[Time]])</f>
        <v>17</v>
      </c>
      <c r="H2360" t="s">
        <v>13</v>
      </c>
      <c r="I2360" t="s">
        <v>14</v>
      </c>
      <c r="J2360" t="s">
        <v>14</v>
      </c>
      <c r="K2360">
        <v>20</v>
      </c>
      <c r="L2360" t="str">
        <f>IF(AND(CallLog[[#This Row],[Answered (Y/N)]]="Y", CallLog[[#This Row],[Speed of answer in seconds]]&lt;=20),
    "Within",
    "Breach")</f>
        <v>Within</v>
      </c>
      <c r="M2360" s="1">
        <v>3.5416666666666665E-3</v>
      </c>
      <c r="N2360">
        <v>1</v>
      </c>
    </row>
    <row r="2361" spans="1:14" x14ac:dyDescent="0.3">
      <c r="A2361" t="s">
        <v>2425</v>
      </c>
      <c r="B2361" t="s">
        <v>31</v>
      </c>
      <c r="C2361" t="s">
        <v>2368</v>
      </c>
      <c r="D2361" s="1">
        <v>0.72799768518518515</v>
      </c>
      <c r="E2361" s="2">
        <f>CallLog[[#This Row],[Date]]+CallLog[[#This Row],[Time]]</f>
        <v>44237.727997685186</v>
      </c>
      <c r="F2361" s="1" t="str">
        <f>TEXT(CallLog[[#This Row],[Date]],"dddd")</f>
        <v>Wednesday</v>
      </c>
      <c r="G2361" s="3">
        <f>HOUR(CallLog[[#This Row],[Time]])</f>
        <v>17</v>
      </c>
      <c r="H2361" t="s">
        <v>29</v>
      </c>
      <c r="I2361" t="s">
        <v>14</v>
      </c>
      <c r="J2361" t="s">
        <v>14</v>
      </c>
      <c r="K2361">
        <v>25</v>
      </c>
      <c r="L2361" t="str">
        <f>IF(AND(CallLog[[#This Row],[Answered (Y/N)]]="Y", CallLog[[#This Row],[Speed of answer in seconds]]&lt;=20),
    "Within",
    "Breach")</f>
        <v>Breach</v>
      </c>
      <c r="M2361" s="1">
        <v>4.340277777777778E-3</v>
      </c>
      <c r="N2361">
        <v>5</v>
      </c>
    </row>
    <row r="2362" spans="1:14" x14ac:dyDescent="0.3">
      <c r="A2362" t="s">
        <v>2426</v>
      </c>
      <c r="B2362" t="s">
        <v>31</v>
      </c>
      <c r="C2362" t="s">
        <v>2368</v>
      </c>
      <c r="D2362" s="1">
        <v>0.73299768518518515</v>
      </c>
      <c r="E2362" s="2">
        <f>CallLog[[#This Row],[Date]]+CallLog[[#This Row],[Time]]</f>
        <v>44237.732997685183</v>
      </c>
      <c r="F2362" s="1" t="str">
        <f>TEXT(CallLog[[#This Row],[Date]],"dddd")</f>
        <v>Wednesday</v>
      </c>
      <c r="G2362" s="3">
        <f>HOUR(CallLog[[#This Row],[Time]])</f>
        <v>17</v>
      </c>
      <c r="H2362" t="s">
        <v>13</v>
      </c>
      <c r="I2362" t="s">
        <v>18</v>
      </c>
      <c r="J2362" t="s">
        <v>18</v>
      </c>
      <c r="L2362" t="str">
        <f>IF(AND(CallLog[[#This Row],[Answered (Y/N)]]="Y", CallLog[[#This Row],[Speed of answer in seconds]]&lt;=20),
    "Within",
    "Breach")</f>
        <v>Breach</v>
      </c>
    </row>
    <row r="2363" spans="1:14" x14ac:dyDescent="0.3">
      <c r="A2363" t="s">
        <v>2427</v>
      </c>
      <c r="B2363" t="s">
        <v>31</v>
      </c>
      <c r="C2363" t="s">
        <v>2368</v>
      </c>
      <c r="D2363" s="1">
        <v>0.73299768518518515</v>
      </c>
      <c r="E2363" s="2">
        <f>CallLog[[#This Row],[Date]]+CallLog[[#This Row],[Time]]</f>
        <v>44237.732997685183</v>
      </c>
      <c r="F2363" s="1" t="str">
        <f>TEXT(CallLog[[#This Row],[Date]],"dddd")</f>
        <v>Wednesday</v>
      </c>
      <c r="G2363" s="3">
        <f>HOUR(CallLog[[#This Row],[Time]])</f>
        <v>17</v>
      </c>
      <c r="H2363" t="s">
        <v>13</v>
      </c>
      <c r="I2363" t="s">
        <v>14</v>
      </c>
      <c r="J2363" t="s">
        <v>14</v>
      </c>
      <c r="K2363">
        <v>69</v>
      </c>
      <c r="L2363" t="str">
        <f>IF(AND(CallLog[[#This Row],[Answered (Y/N)]]="Y", CallLog[[#This Row],[Speed of answer in seconds]]&lt;=20),
    "Within",
    "Breach")</f>
        <v>Breach</v>
      </c>
      <c r="M2363" s="1">
        <v>2.9629629629629628E-3</v>
      </c>
      <c r="N2363">
        <v>3</v>
      </c>
    </row>
    <row r="2364" spans="1:14" x14ac:dyDescent="0.3">
      <c r="A2364" t="s">
        <v>2428</v>
      </c>
      <c r="B2364" t="s">
        <v>47</v>
      </c>
      <c r="C2364" t="s">
        <v>2368</v>
      </c>
      <c r="D2364" s="1">
        <v>0.73900462962962965</v>
      </c>
      <c r="E2364" s="2">
        <f>CallLog[[#This Row],[Date]]+CallLog[[#This Row],[Time]]</f>
        <v>44237.739004629628</v>
      </c>
      <c r="F2364" s="1" t="str">
        <f>TEXT(CallLog[[#This Row],[Date]],"dddd")</f>
        <v>Wednesday</v>
      </c>
      <c r="G2364" s="3">
        <f>HOUR(CallLog[[#This Row],[Time]])</f>
        <v>17</v>
      </c>
      <c r="H2364" t="s">
        <v>29</v>
      </c>
      <c r="I2364" t="s">
        <v>14</v>
      </c>
      <c r="J2364" t="s">
        <v>14</v>
      </c>
      <c r="K2364">
        <v>118</v>
      </c>
      <c r="L2364" t="str">
        <f>IF(AND(CallLog[[#This Row],[Answered (Y/N)]]="Y", CallLog[[#This Row],[Speed of answer in seconds]]&lt;=20),
    "Within",
    "Breach")</f>
        <v>Breach</v>
      </c>
      <c r="M2364" s="1">
        <v>3.9351851851851848E-3</v>
      </c>
      <c r="N2364">
        <v>4</v>
      </c>
    </row>
    <row r="2365" spans="1:14" x14ac:dyDescent="0.3">
      <c r="A2365" t="s">
        <v>2429</v>
      </c>
      <c r="B2365" t="s">
        <v>11</v>
      </c>
      <c r="C2365" t="s">
        <v>2368</v>
      </c>
      <c r="D2365" s="1">
        <v>0.73900462962962965</v>
      </c>
      <c r="E2365" s="2">
        <f>CallLog[[#This Row],[Date]]+CallLog[[#This Row],[Time]]</f>
        <v>44237.739004629628</v>
      </c>
      <c r="F2365" s="1" t="str">
        <f>TEXT(CallLog[[#This Row],[Date]],"dddd")</f>
        <v>Wednesday</v>
      </c>
      <c r="G2365" s="3">
        <f>HOUR(CallLog[[#This Row],[Time]])</f>
        <v>17</v>
      </c>
      <c r="H2365" t="s">
        <v>24</v>
      </c>
      <c r="I2365" t="s">
        <v>14</v>
      </c>
      <c r="J2365" t="s">
        <v>14</v>
      </c>
      <c r="K2365">
        <v>108</v>
      </c>
      <c r="L2365" t="str">
        <f>IF(AND(CallLog[[#This Row],[Answered (Y/N)]]="Y", CallLog[[#This Row],[Speed of answer in seconds]]&lt;=20),
    "Within",
    "Breach")</f>
        <v>Breach</v>
      </c>
      <c r="M2365" s="1">
        <v>3.2407407407407406E-3</v>
      </c>
      <c r="N2365">
        <v>5</v>
      </c>
    </row>
    <row r="2366" spans="1:14" x14ac:dyDescent="0.3">
      <c r="A2366" t="s">
        <v>2430</v>
      </c>
      <c r="B2366" t="s">
        <v>38</v>
      </c>
      <c r="C2366" t="s">
        <v>2431</v>
      </c>
      <c r="D2366" s="1">
        <v>0.37900462962962961</v>
      </c>
      <c r="E2366" s="2">
        <f>CallLog[[#This Row],[Date]]+CallLog[[#This Row],[Time]]</f>
        <v>44238.379004629627</v>
      </c>
      <c r="F2366" s="1" t="str">
        <f>TEXT(CallLog[[#This Row],[Date]],"dddd")</f>
        <v>Thursday</v>
      </c>
      <c r="G2366" s="3">
        <f>HOUR(CallLog[[#This Row],[Time]])</f>
        <v>9</v>
      </c>
      <c r="H2366" t="s">
        <v>32</v>
      </c>
      <c r="I2366" t="s">
        <v>14</v>
      </c>
      <c r="J2366" t="s">
        <v>14</v>
      </c>
      <c r="K2366">
        <v>59</v>
      </c>
      <c r="L2366" t="str">
        <f>IF(AND(CallLog[[#This Row],[Answered (Y/N)]]="Y", CallLog[[#This Row],[Speed of answer in seconds]]&lt;=20),
    "Within",
    "Breach")</f>
        <v>Breach</v>
      </c>
      <c r="M2366" s="1">
        <v>3.1365740740740742E-3</v>
      </c>
      <c r="N2366">
        <v>5</v>
      </c>
    </row>
    <row r="2367" spans="1:14" x14ac:dyDescent="0.3">
      <c r="A2367" t="s">
        <v>2432</v>
      </c>
      <c r="B2367" t="s">
        <v>11</v>
      </c>
      <c r="C2367" t="s">
        <v>2431</v>
      </c>
      <c r="D2367" s="1">
        <v>0.37900462962962961</v>
      </c>
      <c r="E2367" s="2">
        <f>CallLog[[#This Row],[Date]]+CallLog[[#This Row],[Time]]</f>
        <v>44238.379004629627</v>
      </c>
      <c r="F2367" s="1" t="str">
        <f>TEXT(CallLog[[#This Row],[Date]],"dddd")</f>
        <v>Thursday</v>
      </c>
      <c r="G2367" s="3">
        <f>HOUR(CallLog[[#This Row],[Time]])</f>
        <v>9</v>
      </c>
      <c r="H2367" t="s">
        <v>17</v>
      </c>
      <c r="I2367" t="s">
        <v>14</v>
      </c>
      <c r="J2367" t="s">
        <v>14</v>
      </c>
      <c r="K2367">
        <v>103</v>
      </c>
      <c r="L2367" t="str">
        <f>IF(AND(CallLog[[#This Row],[Answered (Y/N)]]="Y", CallLog[[#This Row],[Speed of answer in seconds]]&lt;=20),
    "Within",
    "Breach")</f>
        <v>Breach</v>
      </c>
      <c r="M2367" s="1">
        <v>9.4907407407407408E-4</v>
      </c>
      <c r="N2367">
        <v>3</v>
      </c>
    </row>
    <row r="2368" spans="1:14" x14ac:dyDescent="0.3">
      <c r="A2368" t="s">
        <v>2433</v>
      </c>
      <c r="B2368" t="s">
        <v>16</v>
      </c>
      <c r="C2368" t="s">
        <v>2431</v>
      </c>
      <c r="D2368" s="1">
        <v>0.38299768518518518</v>
      </c>
      <c r="E2368" s="2">
        <f>CallLog[[#This Row],[Date]]+CallLog[[#This Row],[Time]]</f>
        <v>44238.382997685185</v>
      </c>
      <c r="F2368" s="1" t="str">
        <f>TEXT(CallLog[[#This Row],[Date]],"dddd")</f>
        <v>Thursday</v>
      </c>
      <c r="G2368" s="3">
        <f>HOUR(CallLog[[#This Row],[Time]])</f>
        <v>9</v>
      </c>
      <c r="H2368" t="s">
        <v>24</v>
      </c>
      <c r="I2368" t="s">
        <v>18</v>
      </c>
      <c r="J2368" t="s">
        <v>18</v>
      </c>
      <c r="L2368" t="str">
        <f>IF(AND(CallLog[[#This Row],[Answered (Y/N)]]="Y", CallLog[[#This Row],[Speed of answer in seconds]]&lt;=20),
    "Within",
    "Breach")</f>
        <v>Breach</v>
      </c>
    </row>
    <row r="2369" spans="1:14" x14ac:dyDescent="0.3">
      <c r="A2369" t="s">
        <v>2434</v>
      </c>
      <c r="B2369" t="s">
        <v>31</v>
      </c>
      <c r="C2369" t="s">
        <v>2431</v>
      </c>
      <c r="D2369" s="1">
        <v>0.38299768518518518</v>
      </c>
      <c r="E2369" s="2">
        <f>CallLog[[#This Row],[Date]]+CallLog[[#This Row],[Time]]</f>
        <v>44238.382997685185</v>
      </c>
      <c r="F2369" s="1" t="str">
        <f>TEXT(CallLog[[#This Row],[Date]],"dddd")</f>
        <v>Thursday</v>
      </c>
      <c r="G2369" s="3">
        <f>HOUR(CallLog[[#This Row],[Time]])</f>
        <v>9</v>
      </c>
      <c r="H2369" t="s">
        <v>13</v>
      </c>
      <c r="I2369" t="s">
        <v>14</v>
      </c>
      <c r="J2369" t="s">
        <v>14</v>
      </c>
      <c r="K2369">
        <v>112</v>
      </c>
      <c r="L2369" t="str">
        <f>IF(AND(CallLog[[#This Row],[Answered (Y/N)]]="Y", CallLog[[#This Row],[Speed of answer in seconds]]&lt;=20),
    "Within",
    "Breach")</f>
        <v>Breach</v>
      </c>
      <c r="M2369" s="1">
        <v>9.7222222222222219E-4</v>
      </c>
      <c r="N2369">
        <v>1</v>
      </c>
    </row>
    <row r="2370" spans="1:14" x14ac:dyDescent="0.3">
      <c r="A2370" t="s">
        <v>2435</v>
      </c>
      <c r="B2370" t="s">
        <v>11</v>
      </c>
      <c r="C2370" t="s">
        <v>2431</v>
      </c>
      <c r="D2370" s="1">
        <v>0.39900462962962963</v>
      </c>
      <c r="E2370" s="2">
        <f>CallLog[[#This Row],[Date]]+CallLog[[#This Row],[Time]]</f>
        <v>44238.399004629631</v>
      </c>
      <c r="F2370" s="1" t="str">
        <f>TEXT(CallLog[[#This Row],[Date]],"dddd")</f>
        <v>Thursday</v>
      </c>
      <c r="G2370" s="3">
        <f>HOUR(CallLog[[#This Row],[Time]])</f>
        <v>9</v>
      </c>
      <c r="H2370" t="s">
        <v>32</v>
      </c>
      <c r="I2370" t="s">
        <v>14</v>
      </c>
      <c r="J2370" t="s">
        <v>14</v>
      </c>
      <c r="K2370">
        <v>38</v>
      </c>
      <c r="L2370" t="str">
        <f>IF(AND(CallLog[[#This Row],[Answered (Y/N)]]="Y", CallLog[[#This Row],[Speed of answer in seconds]]&lt;=20),
    "Within",
    "Breach")</f>
        <v>Breach</v>
      </c>
      <c r="M2370" s="1">
        <v>2.4305555555555556E-3</v>
      </c>
      <c r="N2370">
        <v>5</v>
      </c>
    </row>
    <row r="2371" spans="1:14" x14ac:dyDescent="0.3">
      <c r="A2371" t="s">
        <v>2436</v>
      </c>
      <c r="B2371" t="s">
        <v>31</v>
      </c>
      <c r="C2371" t="s">
        <v>2431</v>
      </c>
      <c r="D2371" s="1">
        <v>0.39900462962962963</v>
      </c>
      <c r="E2371" s="2">
        <f>CallLog[[#This Row],[Date]]+CallLog[[#This Row],[Time]]</f>
        <v>44238.399004629631</v>
      </c>
      <c r="F2371" s="1" t="str">
        <f>TEXT(CallLog[[#This Row],[Date]],"dddd")</f>
        <v>Thursday</v>
      </c>
      <c r="G2371" s="3">
        <f>HOUR(CallLog[[#This Row],[Time]])</f>
        <v>9</v>
      </c>
      <c r="H2371" t="s">
        <v>13</v>
      </c>
      <c r="I2371" t="s">
        <v>14</v>
      </c>
      <c r="J2371" t="s">
        <v>14</v>
      </c>
      <c r="K2371">
        <v>81</v>
      </c>
      <c r="L2371" t="str">
        <f>IF(AND(CallLog[[#This Row],[Answered (Y/N)]]="Y", CallLog[[#This Row],[Speed of answer in seconds]]&lt;=20),
    "Within",
    "Breach")</f>
        <v>Breach</v>
      </c>
      <c r="M2371" s="1">
        <v>3.2870370370370371E-3</v>
      </c>
      <c r="N2371">
        <v>3</v>
      </c>
    </row>
    <row r="2372" spans="1:14" x14ac:dyDescent="0.3">
      <c r="A2372" t="s">
        <v>2437</v>
      </c>
      <c r="B2372" t="s">
        <v>38</v>
      </c>
      <c r="C2372" t="s">
        <v>2431</v>
      </c>
      <c r="D2372" s="1">
        <v>0.40599537037037037</v>
      </c>
      <c r="E2372" s="2">
        <f>CallLog[[#This Row],[Date]]+CallLog[[#This Row],[Time]]</f>
        <v>44238.405995370369</v>
      </c>
      <c r="F2372" s="1" t="str">
        <f>TEXT(CallLog[[#This Row],[Date]],"dddd")</f>
        <v>Thursday</v>
      </c>
      <c r="G2372" s="3">
        <f>HOUR(CallLog[[#This Row],[Time]])</f>
        <v>9</v>
      </c>
      <c r="H2372" t="s">
        <v>29</v>
      </c>
      <c r="I2372" t="s">
        <v>14</v>
      </c>
      <c r="J2372" t="s">
        <v>18</v>
      </c>
      <c r="K2372">
        <v>115</v>
      </c>
      <c r="L2372" t="str">
        <f>IF(AND(CallLog[[#This Row],[Answered (Y/N)]]="Y", CallLog[[#This Row],[Speed of answer in seconds]]&lt;=20),
    "Within",
    "Breach")</f>
        <v>Breach</v>
      </c>
      <c r="M2372" s="1">
        <v>2.1064814814814813E-3</v>
      </c>
      <c r="N2372">
        <v>4</v>
      </c>
    </row>
    <row r="2373" spans="1:14" x14ac:dyDescent="0.3">
      <c r="A2373" t="s">
        <v>2438</v>
      </c>
      <c r="B2373" t="s">
        <v>22</v>
      </c>
      <c r="C2373" t="s">
        <v>2431</v>
      </c>
      <c r="D2373" s="1">
        <v>0.40599537037037037</v>
      </c>
      <c r="E2373" s="2">
        <f>CallLog[[#This Row],[Date]]+CallLog[[#This Row],[Time]]</f>
        <v>44238.405995370369</v>
      </c>
      <c r="F2373" s="1" t="str">
        <f>TEXT(CallLog[[#This Row],[Date]],"dddd")</f>
        <v>Thursday</v>
      </c>
      <c r="G2373" s="3">
        <f>HOUR(CallLog[[#This Row],[Time]])</f>
        <v>9</v>
      </c>
      <c r="H2373" t="s">
        <v>13</v>
      </c>
      <c r="I2373" t="s">
        <v>18</v>
      </c>
      <c r="J2373" t="s">
        <v>18</v>
      </c>
      <c r="L2373" t="str">
        <f>IF(AND(CallLog[[#This Row],[Answered (Y/N)]]="Y", CallLog[[#This Row],[Speed of answer in seconds]]&lt;=20),
    "Within",
    "Breach")</f>
        <v>Breach</v>
      </c>
    </row>
    <row r="2374" spans="1:14" x14ac:dyDescent="0.3">
      <c r="A2374" t="s">
        <v>2439</v>
      </c>
      <c r="B2374" t="s">
        <v>20</v>
      </c>
      <c r="C2374" t="s">
        <v>2431</v>
      </c>
      <c r="D2374" s="1">
        <v>0.42499999999999999</v>
      </c>
      <c r="E2374" s="2">
        <f>CallLog[[#This Row],[Date]]+CallLog[[#This Row],[Time]]</f>
        <v>44238.425000000003</v>
      </c>
      <c r="F2374" s="1" t="str">
        <f>TEXT(CallLog[[#This Row],[Date]],"dddd")</f>
        <v>Thursday</v>
      </c>
      <c r="G2374" s="3">
        <f>HOUR(CallLog[[#This Row],[Time]])</f>
        <v>10</v>
      </c>
      <c r="H2374" t="s">
        <v>13</v>
      </c>
      <c r="I2374" t="s">
        <v>14</v>
      </c>
      <c r="J2374" t="s">
        <v>14</v>
      </c>
      <c r="K2374">
        <v>45</v>
      </c>
      <c r="L2374" t="str">
        <f>IF(AND(CallLog[[#This Row],[Answered (Y/N)]]="Y", CallLog[[#This Row],[Speed of answer in seconds]]&lt;=20),
    "Within",
    "Breach")</f>
        <v>Breach</v>
      </c>
      <c r="M2374" s="1">
        <v>7.407407407407407E-4</v>
      </c>
      <c r="N2374">
        <v>4</v>
      </c>
    </row>
    <row r="2375" spans="1:14" x14ac:dyDescent="0.3">
      <c r="A2375" t="s">
        <v>2440</v>
      </c>
      <c r="B2375" t="s">
        <v>47</v>
      </c>
      <c r="C2375" t="s">
        <v>2431</v>
      </c>
      <c r="D2375" s="1">
        <v>0.42499999999999999</v>
      </c>
      <c r="E2375" s="2">
        <f>CallLog[[#This Row],[Date]]+CallLog[[#This Row],[Time]]</f>
        <v>44238.425000000003</v>
      </c>
      <c r="F2375" s="1" t="str">
        <f>TEXT(CallLog[[#This Row],[Date]],"dddd")</f>
        <v>Thursday</v>
      </c>
      <c r="G2375" s="3">
        <f>HOUR(CallLog[[#This Row],[Time]])</f>
        <v>10</v>
      </c>
      <c r="H2375" t="s">
        <v>29</v>
      </c>
      <c r="I2375" t="s">
        <v>14</v>
      </c>
      <c r="J2375" t="s">
        <v>14</v>
      </c>
      <c r="K2375">
        <v>11</v>
      </c>
      <c r="L2375" t="str">
        <f>IF(AND(CallLog[[#This Row],[Answered (Y/N)]]="Y", CallLog[[#This Row],[Speed of answer in seconds]]&lt;=20),
    "Within",
    "Breach")</f>
        <v>Within</v>
      </c>
      <c r="M2375" s="1">
        <v>1.4583333333333334E-3</v>
      </c>
      <c r="N2375">
        <v>5</v>
      </c>
    </row>
    <row r="2376" spans="1:14" x14ac:dyDescent="0.3">
      <c r="A2376" t="s">
        <v>2441</v>
      </c>
      <c r="B2376" t="s">
        <v>34</v>
      </c>
      <c r="C2376" t="s">
        <v>2431</v>
      </c>
      <c r="D2376" s="1">
        <v>0.43299768518518517</v>
      </c>
      <c r="E2376" s="2">
        <f>CallLog[[#This Row],[Date]]+CallLog[[#This Row],[Time]]</f>
        <v>44238.432997685188</v>
      </c>
      <c r="F2376" s="1" t="str">
        <f>TEXT(CallLog[[#This Row],[Date]],"dddd")</f>
        <v>Thursday</v>
      </c>
      <c r="G2376" s="3">
        <f>HOUR(CallLog[[#This Row],[Time]])</f>
        <v>10</v>
      </c>
      <c r="H2376" t="s">
        <v>32</v>
      </c>
      <c r="I2376" t="s">
        <v>14</v>
      </c>
      <c r="J2376" t="s">
        <v>14</v>
      </c>
      <c r="K2376">
        <v>93</v>
      </c>
      <c r="L2376" t="str">
        <f>IF(AND(CallLog[[#This Row],[Answered (Y/N)]]="Y", CallLog[[#This Row],[Speed of answer in seconds]]&lt;=20),
    "Within",
    "Breach")</f>
        <v>Breach</v>
      </c>
      <c r="M2376" s="1">
        <v>1.5856481481481481E-3</v>
      </c>
      <c r="N2376">
        <v>1</v>
      </c>
    </row>
    <row r="2377" spans="1:14" x14ac:dyDescent="0.3">
      <c r="A2377" t="s">
        <v>2442</v>
      </c>
      <c r="B2377" t="s">
        <v>16</v>
      </c>
      <c r="C2377" t="s">
        <v>2431</v>
      </c>
      <c r="D2377" s="1">
        <v>0.43299768518518517</v>
      </c>
      <c r="E2377" s="2">
        <f>CallLog[[#This Row],[Date]]+CallLog[[#This Row],[Time]]</f>
        <v>44238.432997685188</v>
      </c>
      <c r="F2377" s="1" t="str">
        <f>TEXT(CallLog[[#This Row],[Date]],"dddd")</f>
        <v>Thursday</v>
      </c>
      <c r="G2377" s="3">
        <f>HOUR(CallLog[[#This Row],[Time]])</f>
        <v>10</v>
      </c>
      <c r="H2377" t="s">
        <v>32</v>
      </c>
      <c r="I2377" t="s">
        <v>14</v>
      </c>
      <c r="J2377" t="s">
        <v>14</v>
      </c>
      <c r="K2377">
        <v>107</v>
      </c>
      <c r="L2377" t="str">
        <f>IF(AND(CallLog[[#This Row],[Answered (Y/N)]]="Y", CallLog[[#This Row],[Speed of answer in seconds]]&lt;=20),
    "Within",
    "Breach")</f>
        <v>Breach</v>
      </c>
      <c r="M2377" s="1">
        <v>1.2152777777777778E-3</v>
      </c>
      <c r="N2377">
        <v>5</v>
      </c>
    </row>
    <row r="2378" spans="1:14" x14ac:dyDescent="0.3">
      <c r="A2378" t="s">
        <v>2443</v>
      </c>
      <c r="B2378" t="s">
        <v>38</v>
      </c>
      <c r="C2378" t="s">
        <v>2431</v>
      </c>
      <c r="D2378" s="1">
        <v>0.43700231481481483</v>
      </c>
      <c r="E2378" s="2">
        <f>CallLog[[#This Row],[Date]]+CallLog[[#This Row],[Time]]</f>
        <v>44238.437002314815</v>
      </c>
      <c r="F2378" s="1" t="str">
        <f>TEXT(CallLog[[#This Row],[Date]],"dddd")</f>
        <v>Thursday</v>
      </c>
      <c r="G2378" s="3">
        <f>HOUR(CallLog[[#This Row],[Time]])</f>
        <v>10</v>
      </c>
      <c r="H2378" t="s">
        <v>24</v>
      </c>
      <c r="I2378" t="s">
        <v>14</v>
      </c>
      <c r="J2378" t="s">
        <v>14</v>
      </c>
      <c r="K2378">
        <v>36</v>
      </c>
      <c r="L2378" t="str">
        <f>IF(AND(CallLog[[#This Row],[Answered (Y/N)]]="Y", CallLog[[#This Row],[Speed of answer in seconds]]&lt;=20),
    "Within",
    "Breach")</f>
        <v>Breach</v>
      </c>
      <c r="M2378" s="1">
        <v>3.9004629629629628E-3</v>
      </c>
      <c r="N2378">
        <v>3</v>
      </c>
    </row>
    <row r="2379" spans="1:14" x14ac:dyDescent="0.3">
      <c r="A2379" t="s">
        <v>2444</v>
      </c>
      <c r="B2379" t="s">
        <v>22</v>
      </c>
      <c r="C2379" t="s">
        <v>2431</v>
      </c>
      <c r="D2379" s="1">
        <v>0.43700231481481483</v>
      </c>
      <c r="E2379" s="2">
        <f>CallLog[[#This Row],[Date]]+CallLog[[#This Row],[Time]]</f>
        <v>44238.437002314815</v>
      </c>
      <c r="F2379" s="1" t="str">
        <f>TEXT(CallLog[[#This Row],[Date]],"dddd")</f>
        <v>Thursday</v>
      </c>
      <c r="G2379" s="3">
        <f>HOUR(CallLog[[#This Row],[Time]])</f>
        <v>10</v>
      </c>
      <c r="H2379" t="s">
        <v>13</v>
      </c>
      <c r="I2379" t="s">
        <v>14</v>
      </c>
      <c r="J2379" t="s">
        <v>14</v>
      </c>
      <c r="K2379">
        <v>81</v>
      </c>
      <c r="L2379" t="str">
        <f>IF(AND(CallLog[[#This Row],[Answered (Y/N)]]="Y", CallLog[[#This Row],[Speed of answer in seconds]]&lt;=20),
    "Within",
    "Breach")</f>
        <v>Breach</v>
      </c>
      <c r="M2379" s="1">
        <v>3.0092592592592593E-3</v>
      </c>
      <c r="N2379">
        <v>1</v>
      </c>
    </row>
    <row r="2380" spans="1:14" x14ac:dyDescent="0.3">
      <c r="A2380" t="s">
        <v>2445</v>
      </c>
      <c r="B2380" t="s">
        <v>22</v>
      </c>
      <c r="C2380" t="s">
        <v>2431</v>
      </c>
      <c r="D2380" s="1">
        <v>0.4620023148148148</v>
      </c>
      <c r="E2380" s="2">
        <f>CallLog[[#This Row],[Date]]+CallLog[[#This Row],[Time]]</f>
        <v>44238.462002314816</v>
      </c>
      <c r="F2380" s="1" t="str">
        <f>TEXT(CallLog[[#This Row],[Date]],"dddd")</f>
        <v>Thursday</v>
      </c>
      <c r="G2380" s="3">
        <f>HOUR(CallLog[[#This Row],[Time]])</f>
        <v>11</v>
      </c>
      <c r="H2380" t="s">
        <v>24</v>
      </c>
      <c r="I2380" t="s">
        <v>14</v>
      </c>
      <c r="J2380" t="s">
        <v>14</v>
      </c>
      <c r="K2380">
        <v>58</v>
      </c>
      <c r="L2380" t="str">
        <f>IF(AND(CallLog[[#This Row],[Answered (Y/N)]]="Y", CallLog[[#This Row],[Speed of answer in seconds]]&lt;=20),
    "Within",
    "Breach")</f>
        <v>Breach</v>
      </c>
      <c r="M2380" s="1">
        <v>4.5254629629629629E-3</v>
      </c>
      <c r="N2380">
        <v>3</v>
      </c>
    </row>
    <row r="2381" spans="1:14" x14ac:dyDescent="0.3">
      <c r="A2381" t="s">
        <v>2446</v>
      </c>
      <c r="B2381" t="s">
        <v>11</v>
      </c>
      <c r="C2381" t="s">
        <v>2431</v>
      </c>
      <c r="D2381" s="1">
        <v>0.4620023148148148</v>
      </c>
      <c r="E2381" s="2">
        <f>CallLog[[#This Row],[Date]]+CallLog[[#This Row],[Time]]</f>
        <v>44238.462002314816</v>
      </c>
      <c r="F2381" s="1" t="str">
        <f>TEXT(CallLog[[#This Row],[Date]],"dddd")</f>
        <v>Thursday</v>
      </c>
      <c r="G2381" s="3">
        <f>HOUR(CallLog[[#This Row],[Time]])</f>
        <v>11</v>
      </c>
      <c r="H2381" t="s">
        <v>13</v>
      </c>
      <c r="I2381" t="s">
        <v>18</v>
      </c>
      <c r="J2381" t="s">
        <v>18</v>
      </c>
      <c r="L2381" t="str">
        <f>IF(AND(CallLog[[#This Row],[Answered (Y/N)]]="Y", CallLog[[#This Row],[Speed of answer in seconds]]&lt;=20),
    "Within",
    "Breach")</f>
        <v>Breach</v>
      </c>
    </row>
    <row r="2382" spans="1:14" x14ac:dyDescent="0.3">
      <c r="A2382" t="s">
        <v>2447</v>
      </c>
      <c r="B2382" t="s">
        <v>31</v>
      </c>
      <c r="C2382" t="s">
        <v>2431</v>
      </c>
      <c r="D2382" s="1">
        <v>0.4670023148148148</v>
      </c>
      <c r="E2382" s="2">
        <f>CallLog[[#This Row],[Date]]+CallLog[[#This Row],[Time]]</f>
        <v>44238.467002314814</v>
      </c>
      <c r="F2382" s="1" t="str">
        <f>TEXT(CallLog[[#This Row],[Date]],"dddd")</f>
        <v>Thursday</v>
      </c>
      <c r="G2382" s="3">
        <f>HOUR(CallLog[[#This Row],[Time]])</f>
        <v>11</v>
      </c>
      <c r="H2382" t="s">
        <v>13</v>
      </c>
      <c r="I2382" t="s">
        <v>14</v>
      </c>
      <c r="J2382" t="s">
        <v>14</v>
      </c>
      <c r="K2382">
        <v>102</v>
      </c>
      <c r="L2382" t="str">
        <f>IF(AND(CallLog[[#This Row],[Answered (Y/N)]]="Y", CallLog[[#This Row],[Speed of answer in seconds]]&lt;=20),
    "Within",
    "Breach")</f>
        <v>Breach</v>
      </c>
      <c r="M2382" s="1">
        <v>4.31712962962963E-3</v>
      </c>
      <c r="N2382">
        <v>5</v>
      </c>
    </row>
    <row r="2383" spans="1:14" x14ac:dyDescent="0.3">
      <c r="A2383" t="s">
        <v>2448</v>
      </c>
      <c r="B2383" t="s">
        <v>16</v>
      </c>
      <c r="C2383" t="s">
        <v>2431</v>
      </c>
      <c r="D2383" s="1">
        <v>0.4670023148148148</v>
      </c>
      <c r="E2383" s="2">
        <f>CallLog[[#This Row],[Date]]+CallLog[[#This Row],[Time]]</f>
        <v>44238.467002314814</v>
      </c>
      <c r="F2383" s="1" t="str">
        <f>TEXT(CallLog[[#This Row],[Date]],"dddd")</f>
        <v>Thursday</v>
      </c>
      <c r="G2383" s="3">
        <f>HOUR(CallLog[[#This Row],[Time]])</f>
        <v>11</v>
      </c>
      <c r="H2383" t="s">
        <v>32</v>
      </c>
      <c r="I2383" t="s">
        <v>14</v>
      </c>
      <c r="J2383" t="s">
        <v>14</v>
      </c>
      <c r="K2383">
        <v>63</v>
      </c>
      <c r="L2383" t="str">
        <f>IF(AND(CallLog[[#This Row],[Answered (Y/N)]]="Y", CallLog[[#This Row],[Speed of answer in seconds]]&lt;=20),
    "Within",
    "Breach")</f>
        <v>Breach</v>
      </c>
      <c r="M2383" s="1">
        <v>4.0740740740740737E-3</v>
      </c>
      <c r="N2383">
        <v>4</v>
      </c>
    </row>
    <row r="2384" spans="1:14" x14ac:dyDescent="0.3">
      <c r="A2384" t="s">
        <v>2449</v>
      </c>
      <c r="B2384" t="s">
        <v>47</v>
      </c>
      <c r="C2384" t="s">
        <v>2431</v>
      </c>
      <c r="D2384" s="1">
        <v>0.49599537037037039</v>
      </c>
      <c r="E2384" s="2">
        <f>CallLog[[#This Row],[Date]]+CallLog[[#This Row],[Time]]</f>
        <v>44238.495995370373</v>
      </c>
      <c r="F2384" s="1" t="str">
        <f>TEXT(CallLog[[#This Row],[Date]],"dddd")</f>
        <v>Thursday</v>
      </c>
      <c r="G2384" s="3">
        <f>HOUR(CallLog[[#This Row],[Time]])</f>
        <v>11</v>
      </c>
      <c r="H2384" t="s">
        <v>32</v>
      </c>
      <c r="I2384" t="s">
        <v>14</v>
      </c>
      <c r="J2384" t="s">
        <v>14</v>
      </c>
      <c r="K2384">
        <v>106</v>
      </c>
      <c r="L2384" t="str">
        <f>IF(AND(CallLog[[#This Row],[Answered (Y/N)]]="Y", CallLog[[#This Row],[Speed of answer in seconds]]&lt;=20),
    "Within",
    "Breach")</f>
        <v>Breach</v>
      </c>
      <c r="M2384" s="1">
        <v>4.7453703703703698E-4</v>
      </c>
      <c r="N2384">
        <v>4</v>
      </c>
    </row>
    <row r="2385" spans="1:14" x14ac:dyDescent="0.3">
      <c r="A2385" t="s">
        <v>2450</v>
      </c>
      <c r="B2385" t="s">
        <v>16</v>
      </c>
      <c r="C2385" t="s">
        <v>2431</v>
      </c>
      <c r="D2385" s="1">
        <v>0.49599537037037039</v>
      </c>
      <c r="E2385" s="2">
        <f>CallLog[[#This Row],[Date]]+CallLog[[#This Row],[Time]]</f>
        <v>44238.495995370373</v>
      </c>
      <c r="F2385" s="1" t="str">
        <f>TEXT(CallLog[[#This Row],[Date]],"dddd")</f>
        <v>Thursday</v>
      </c>
      <c r="G2385" s="3">
        <f>HOUR(CallLog[[#This Row],[Time]])</f>
        <v>11</v>
      </c>
      <c r="H2385" t="s">
        <v>29</v>
      </c>
      <c r="I2385" t="s">
        <v>18</v>
      </c>
      <c r="J2385" t="s">
        <v>18</v>
      </c>
      <c r="L2385" t="str">
        <f>IF(AND(CallLog[[#This Row],[Answered (Y/N)]]="Y", CallLog[[#This Row],[Speed of answer in seconds]]&lt;=20),
    "Within",
    "Breach")</f>
        <v>Breach</v>
      </c>
    </row>
    <row r="2386" spans="1:14" x14ac:dyDescent="0.3">
      <c r="A2386" t="s">
        <v>2451</v>
      </c>
      <c r="B2386" t="s">
        <v>31</v>
      </c>
      <c r="C2386" t="s">
        <v>2431</v>
      </c>
      <c r="D2386" s="1">
        <v>0.49700231481481483</v>
      </c>
      <c r="E2386" s="2">
        <f>CallLog[[#This Row],[Date]]+CallLog[[#This Row],[Time]]</f>
        <v>44238.497002314813</v>
      </c>
      <c r="F2386" s="1" t="str">
        <f>TEXT(CallLog[[#This Row],[Date]],"dddd")</f>
        <v>Thursday</v>
      </c>
      <c r="G2386" s="3">
        <f>HOUR(CallLog[[#This Row],[Time]])</f>
        <v>11</v>
      </c>
      <c r="H2386" t="s">
        <v>24</v>
      </c>
      <c r="I2386" t="s">
        <v>14</v>
      </c>
      <c r="J2386" t="s">
        <v>14</v>
      </c>
      <c r="K2386">
        <v>31</v>
      </c>
      <c r="L2386" t="str">
        <f>IF(AND(CallLog[[#This Row],[Answered (Y/N)]]="Y", CallLog[[#This Row],[Speed of answer in seconds]]&lt;=20),
    "Within",
    "Breach")</f>
        <v>Breach</v>
      </c>
      <c r="M2386" s="1">
        <v>5.4398148148148144E-4</v>
      </c>
      <c r="N2386">
        <v>4</v>
      </c>
    </row>
    <row r="2387" spans="1:14" x14ac:dyDescent="0.3">
      <c r="A2387" t="s">
        <v>2452</v>
      </c>
      <c r="B2387" t="s">
        <v>47</v>
      </c>
      <c r="C2387" t="s">
        <v>2431</v>
      </c>
      <c r="D2387" s="1">
        <v>0.49700231481481483</v>
      </c>
      <c r="E2387" s="2">
        <f>CallLog[[#This Row],[Date]]+CallLog[[#This Row],[Time]]</f>
        <v>44238.497002314813</v>
      </c>
      <c r="F2387" s="1" t="str">
        <f>TEXT(CallLog[[#This Row],[Date]],"dddd")</f>
        <v>Thursday</v>
      </c>
      <c r="G2387" s="3">
        <f>HOUR(CallLog[[#This Row],[Time]])</f>
        <v>11</v>
      </c>
      <c r="H2387" t="s">
        <v>13</v>
      </c>
      <c r="I2387" t="s">
        <v>14</v>
      </c>
      <c r="J2387" t="s">
        <v>14</v>
      </c>
      <c r="K2387">
        <v>93</v>
      </c>
      <c r="L2387" t="str">
        <f>IF(AND(CallLog[[#This Row],[Answered (Y/N)]]="Y", CallLog[[#This Row],[Speed of answer in seconds]]&lt;=20),
    "Within",
    "Breach")</f>
        <v>Breach</v>
      </c>
      <c r="M2387" s="1">
        <v>3.4027777777777776E-3</v>
      </c>
      <c r="N2387">
        <v>5</v>
      </c>
    </row>
    <row r="2388" spans="1:14" x14ac:dyDescent="0.3">
      <c r="A2388" t="s">
        <v>2453</v>
      </c>
      <c r="B2388" t="s">
        <v>11</v>
      </c>
      <c r="C2388" t="s">
        <v>2431</v>
      </c>
      <c r="D2388" s="1">
        <v>0.5</v>
      </c>
      <c r="E2388" s="2">
        <f>CallLog[[#This Row],[Date]]+CallLog[[#This Row],[Time]]</f>
        <v>44238.5</v>
      </c>
      <c r="F2388" s="1" t="str">
        <f>TEXT(CallLog[[#This Row],[Date]],"dddd")</f>
        <v>Thursday</v>
      </c>
      <c r="G2388" s="3">
        <f>HOUR(CallLog[[#This Row],[Time]])</f>
        <v>12</v>
      </c>
      <c r="H2388" t="s">
        <v>24</v>
      </c>
      <c r="I2388" t="s">
        <v>18</v>
      </c>
      <c r="J2388" t="s">
        <v>18</v>
      </c>
      <c r="L2388" t="str">
        <f>IF(AND(CallLog[[#This Row],[Answered (Y/N)]]="Y", CallLog[[#This Row],[Speed of answer in seconds]]&lt;=20),
    "Within",
    "Breach")</f>
        <v>Breach</v>
      </c>
    </row>
    <row r="2389" spans="1:14" x14ac:dyDescent="0.3">
      <c r="A2389" t="s">
        <v>2454</v>
      </c>
      <c r="B2389" t="s">
        <v>16</v>
      </c>
      <c r="C2389" t="s">
        <v>2431</v>
      </c>
      <c r="D2389" s="1">
        <v>0.5</v>
      </c>
      <c r="E2389" s="2">
        <f>CallLog[[#This Row],[Date]]+CallLog[[#This Row],[Time]]</f>
        <v>44238.5</v>
      </c>
      <c r="F2389" s="1" t="str">
        <f>TEXT(CallLog[[#This Row],[Date]],"dddd")</f>
        <v>Thursday</v>
      </c>
      <c r="G2389" s="3">
        <f>HOUR(CallLog[[#This Row],[Time]])</f>
        <v>12</v>
      </c>
      <c r="H2389" t="s">
        <v>29</v>
      </c>
      <c r="I2389" t="s">
        <v>14</v>
      </c>
      <c r="J2389" t="s">
        <v>14</v>
      </c>
      <c r="K2389">
        <v>66</v>
      </c>
      <c r="L2389" t="str">
        <f>IF(AND(CallLog[[#This Row],[Answered (Y/N)]]="Y", CallLog[[#This Row],[Speed of answer in seconds]]&lt;=20),
    "Within",
    "Breach")</f>
        <v>Breach</v>
      </c>
      <c r="M2389" s="1">
        <v>2.2106481481481482E-3</v>
      </c>
      <c r="N2389">
        <v>4</v>
      </c>
    </row>
    <row r="2390" spans="1:14" x14ac:dyDescent="0.3">
      <c r="A2390" t="s">
        <v>2455</v>
      </c>
      <c r="B2390" t="s">
        <v>16</v>
      </c>
      <c r="C2390" t="s">
        <v>2431</v>
      </c>
      <c r="D2390" s="1">
        <v>0.5</v>
      </c>
      <c r="E2390" s="2">
        <f>CallLog[[#This Row],[Date]]+CallLog[[#This Row],[Time]]</f>
        <v>44238.5</v>
      </c>
      <c r="F2390" s="1" t="str">
        <f>TEXT(CallLog[[#This Row],[Date]],"dddd")</f>
        <v>Thursday</v>
      </c>
      <c r="G2390" s="3">
        <f>HOUR(CallLog[[#This Row],[Time]])</f>
        <v>12</v>
      </c>
      <c r="H2390" t="s">
        <v>24</v>
      </c>
      <c r="I2390" t="s">
        <v>18</v>
      </c>
      <c r="J2390" t="s">
        <v>18</v>
      </c>
      <c r="L2390" t="str">
        <f>IF(AND(CallLog[[#This Row],[Answered (Y/N)]]="Y", CallLog[[#This Row],[Speed of answer in seconds]]&lt;=20),
    "Within",
    "Breach")</f>
        <v>Breach</v>
      </c>
    </row>
    <row r="2391" spans="1:14" x14ac:dyDescent="0.3">
      <c r="A2391" t="s">
        <v>2456</v>
      </c>
      <c r="B2391" t="s">
        <v>16</v>
      </c>
      <c r="C2391" t="s">
        <v>2431</v>
      </c>
      <c r="D2391" s="1">
        <v>0.5</v>
      </c>
      <c r="E2391" s="2">
        <f>CallLog[[#This Row],[Date]]+CallLog[[#This Row],[Time]]</f>
        <v>44238.5</v>
      </c>
      <c r="F2391" s="1" t="str">
        <f>TEXT(CallLog[[#This Row],[Date]],"dddd")</f>
        <v>Thursday</v>
      </c>
      <c r="G2391" s="3">
        <f>HOUR(CallLog[[#This Row],[Time]])</f>
        <v>12</v>
      </c>
      <c r="H2391" t="s">
        <v>29</v>
      </c>
      <c r="I2391" t="s">
        <v>18</v>
      </c>
      <c r="J2391" t="s">
        <v>18</v>
      </c>
      <c r="L2391" t="str">
        <f>IF(AND(CallLog[[#This Row],[Answered (Y/N)]]="Y", CallLog[[#This Row],[Speed of answer in seconds]]&lt;=20),
    "Within",
    "Breach")</f>
        <v>Breach</v>
      </c>
    </row>
    <row r="2392" spans="1:14" x14ac:dyDescent="0.3">
      <c r="A2392" t="s">
        <v>2457</v>
      </c>
      <c r="B2392" t="s">
        <v>11</v>
      </c>
      <c r="C2392" t="s">
        <v>2431</v>
      </c>
      <c r="D2392" s="1">
        <v>0.50299768518518517</v>
      </c>
      <c r="E2392" s="2">
        <f>CallLog[[#This Row],[Date]]+CallLog[[#This Row],[Time]]</f>
        <v>44238.502997685187</v>
      </c>
      <c r="F2392" s="1" t="str">
        <f>TEXT(CallLog[[#This Row],[Date]],"dddd")</f>
        <v>Thursday</v>
      </c>
      <c r="G2392" s="3">
        <f>HOUR(CallLog[[#This Row],[Time]])</f>
        <v>12</v>
      </c>
      <c r="H2392" t="s">
        <v>24</v>
      </c>
      <c r="I2392" t="s">
        <v>14</v>
      </c>
      <c r="J2392" t="s">
        <v>14</v>
      </c>
      <c r="K2392">
        <v>18</v>
      </c>
      <c r="L2392" t="str">
        <f>IF(AND(CallLog[[#This Row],[Answered (Y/N)]]="Y", CallLog[[#This Row],[Speed of answer in seconds]]&lt;=20),
    "Within",
    "Breach")</f>
        <v>Within</v>
      </c>
      <c r="M2392" s="1">
        <v>1.4814814814814814E-3</v>
      </c>
      <c r="N2392">
        <v>5</v>
      </c>
    </row>
    <row r="2393" spans="1:14" x14ac:dyDescent="0.3">
      <c r="A2393" t="s">
        <v>2458</v>
      </c>
      <c r="B2393" t="s">
        <v>38</v>
      </c>
      <c r="C2393" t="s">
        <v>2431</v>
      </c>
      <c r="D2393" s="1">
        <v>0.50299768518518517</v>
      </c>
      <c r="E2393" s="2">
        <f>CallLog[[#This Row],[Date]]+CallLog[[#This Row],[Time]]</f>
        <v>44238.502997685187</v>
      </c>
      <c r="F2393" s="1" t="str">
        <f>TEXT(CallLog[[#This Row],[Date]],"dddd")</f>
        <v>Thursday</v>
      </c>
      <c r="G2393" s="3">
        <f>HOUR(CallLog[[#This Row],[Time]])</f>
        <v>12</v>
      </c>
      <c r="H2393" t="s">
        <v>29</v>
      </c>
      <c r="I2393" t="s">
        <v>14</v>
      </c>
      <c r="J2393" t="s">
        <v>14</v>
      </c>
      <c r="K2393">
        <v>65</v>
      </c>
      <c r="L2393" t="str">
        <f>IF(AND(CallLog[[#This Row],[Answered (Y/N)]]="Y", CallLog[[#This Row],[Speed of answer in seconds]]&lt;=20),
    "Within",
    "Breach")</f>
        <v>Breach</v>
      </c>
      <c r="M2393" s="1">
        <v>3.9699074074074072E-3</v>
      </c>
      <c r="N2393">
        <v>5</v>
      </c>
    </row>
    <row r="2394" spans="1:14" x14ac:dyDescent="0.3">
      <c r="A2394" t="s">
        <v>2459</v>
      </c>
      <c r="B2394" t="s">
        <v>47</v>
      </c>
      <c r="C2394" t="s">
        <v>2431</v>
      </c>
      <c r="D2394" s="1">
        <v>0.51099537037037035</v>
      </c>
      <c r="E2394" s="2">
        <f>CallLog[[#This Row],[Date]]+CallLog[[#This Row],[Time]]</f>
        <v>44238.510995370372</v>
      </c>
      <c r="F2394" s="1" t="str">
        <f>TEXT(CallLog[[#This Row],[Date]],"dddd")</f>
        <v>Thursday</v>
      </c>
      <c r="G2394" s="3">
        <f>HOUR(CallLog[[#This Row],[Time]])</f>
        <v>12</v>
      </c>
      <c r="H2394" t="s">
        <v>13</v>
      </c>
      <c r="I2394" t="s">
        <v>14</v>
      </c>
      <c r="J2394" t="s">
        <v>14</v>
      </c>
      <c r="K2394">
        <v>116</v>
      </c>
      <c r="L2394" t="str">
        <f>IF(AND(CallLog[[#This Row],[Answered (Y/N)]]="Y", CallLog[[#This Row],[Speed of answer in seconds]]&lt;=20),
    "Within",
    "Breach")</f>
        <v>Breach</v>
      </c>
      <c r="M2394" s="1">
        <v>2.9166666666666668E-3</v>
      </c>
      <c r="N2394">
        <v>2</v>
      </c>
    </row>
    <row r="2395" spans="1:14" x14ac:dyDescent="0.3">
      <c r="A2395" t="s">
        <v>2460</v>
      </c>
      <c r="B2395" t="s">
        <v>47</v>
      </c>
      <c r="C2395" t="s">
        <v>2431</v>
      </c>
      <c r="D2395" s="1">
        <v>0.51099537037037035</v>
      </c>
      <c r="E2395" s="2">
        <f>CallLog[[#This Row],[Date]]+CallLog[[#This Row],[Time]]</f>
        <v>44238.510995370372</v>
      </c>
      <c r="F2395" s="1" t="str">
        <f>TEXT(CallLog[[#This Row],[Date]],"dddd")</f>
        <v>Thursday</v>
      </c>
      <c r="G2395" s="3">
        <f>HOUR(CallLog[[#This Row],[Time]])</f>
        <v>12</v>
      </c>
      <c r="H2395" t="s">
        <v>24</v>
      </c>
      <c r="I2395" t="s">
        <v>18</v>
      </c>
      <c r="J2395" t="s">
        <v>18</v>
      </c>
      <c r="L2395" t="str">
        <f>IF(AND(CallLog[[#This Row],[Answered (Y/N)]]="Y", CallLog[[#This Row],[Speed of answer in seconds]]&lt;=20),
    "Within",
    "Breach")</f>
        <v>Breach</v>
      </c>
    </row>
    <row r="2396" spans="1:14" x14ac:dyDescent="0.3">
      <c r="A2396" t="s">
        <v>2461</v>
      </c>
      <c r="B2396" t="s">
        <v>20</v>
      </c>
      <c r="C2396" t="s">
        <v>2431</v>
      </c>
      <c r="D2396" s="1">
        <v>0.52099537037037036</v>
      </c>
      <c r="E2396" s="2">
        <f>CallLog[[#This Row],[Date]]+CallLog[[#This Row],[Time]]</f>
        <v>44238.520995370367</v>
      </c>
      <c r="F2396" s="1" t="str">
        <f>TEXT(CallLog[[#This Row],[Date]],"dddd")</f>
        <v>Thursday</v>
      </c>
      <c r="G2396" s="3">
        <f>HOUR(CallLog[[#This Row],[Time]])</f>
        <v>12</v>
      </c>
      <c r="H2396" t="s">
        <v>24</v>
      </c>
      <c r="I2396" t="s">
        <v>18</v>
      </c>
      <c r="J2396" t="s">
        <v>18</v>
      </c>
      <c r="L2396" t="str">
        <f>IF(AND(CallLog[[#This Row],[Answered (Y/N)]]="Y", CallLog[[#This Row],[Speed of answer in seconds]]&lt;=20),
    "Within",
    "Breach")</f>
        <v>Breach</v>
      </c>
    </row>
    <row r="2397" spans="1:14" x14ac:dyDescent="0.3">
      <c r="A2397" t="s">
        <v>2462</v>
      </c>
      <c r="B2397" t="s">
        <v>38</v>
      </c>
      <c r="C2397" t="s">
        <v>2431</v>
      </c>
      <c r="D2397" s="1">
        <v>0.52099537037037036</v>
      </c>
      <c r="E2397" s="2">
        <f>CallLog[[#This Row],[Date]]+CallLog[[#This Row],[Time]]</f>
        <v>44238.520995370367</v>
      </c>
      <c r="F2397" s="1" t="str">
        <f>TEXT(CallLog[[#This Row],[Date]],"dddd")</f>
        <v>Thursday</v>
      </c>
      <c r="G2397" s="3">
        <f>HOUR(CallLog[[#This Row],[Time]])</f>
        <v>12</v>
      </c>
      <c r="H2397" t="s">
        <v>29</v>
      </c>
      <c r="I2397" t="s">
        <v>14</v>
      </c>
      <c r="J2397" t="s">
        <v>14</v>
      </c>
      <c r="K2397">
        <v>19</v>
      </c>
      <c r="L2397" t="str">
        <f>IF(AND(CallLog[[#This Row],[Answered (Y/N)]]="Y", CallLog[[#This Row],[Speed of answer in seconds]]&lt;=20),
    "Within",
    "Breach")</f>
        <v>Within</v>
      </c>
      <c r="M2397" s="1">
        <v>3.8773148148148148E-3</v>
      </c>
      <c r="N2397">
        <v>5</v>
      </c>
    </row>
    <row r="2398" spans="1:14" x14ac:dyDescent="0.3">
      <c r="A2398" t="s">
        <v>2463</v>
      </c>
      <c r="B2398" t="s">
        <v>47</v>
      </c>
      <c r="C2398" t="s">
        <v>2431</v>
      </c>
      <c r="D2398" s="1">
        <v>0.52400462962962968</v>
      </c>
      <c r="E2398" s="2">
        <f>CallLog[[#This Row],[Date]]+CallLog[[#This Row],[Time]]</f>
        <v>44238.524004629631</v>
      </c>
      <c r="F2398" s="1" t="str">
        <f>TEXT(CallLog[[#This Row],[Date]],"dddd")</f>
        <v>Thursday</v>
      </c>
      <c r="G2398" s="3">
        <f>HOUR(CallLog[[#This Row],[Time]])</f>
        <v>12</v>
      </c>
      <c r="H2398" t="s">
        <v>17</v>
      </c>
      <c r="I2398" t="s">
        <v>18</v>
      </c>
      <c r="J2398" t="s">
        <v>18</v>
      </c>
      <c r="L2398" t="str">
        <f>IF(AND(CallLog[[#This Row],[Answered (Y/N)]]="Y", CallLog[[#This Row],[Speed of answer in seconds]]&lt;=20),
    "Within",
    "Breach")</f>
        <v>Breach</v>
      </c>
    </row>
    <row r="2399" spans="1:14" x14ac:dyDescent="0.3">
      <c r="A2399" t="s">
        <v>2464</v>
      </c>
      <c r="B2399" t="s">
        <v>22</v>
      </c>
      <c r="C2399" t="s">
        <v>2431</v>
      </c>
      <c r="D2399" s="1">
        <v>0.52400462962962968</v>
      </c>
      <c r="E2399" s="2">
        <f>CallLog[[#This Row],[Date]]+CallLog[[#This Row],[Time]]</f>
        <v>44238.524004629631</v>
      </c>
      <c r="F2399" s="1" t="str">
        <f>TEXT(CallLog[[#This Row],[Date]],"dddd")</f>
        <v>Thursday</v>
      </c>
      <c r="G2399" s="3">
        <f>HOUR(CallLog[[#This Row],[Time]])</f>
        <v>12</v>
      </c>
      <c r="H2399" t="s">
        <v>17</v>
      </c>
      <c r="I2399" t="s">
        <v>14</v>
      </c>
      <c r="J2399" t="s">
        <v>14</v>
      </c>
      <c r="K2399">
        <v>120</v>
      </c>
      <c r="L2399" t="str">
        <f>IF(AND(CallLog[[#This Row],[Answered (Y/N)]]="Y", CallLog[[#This Row],[Speed of answer in seconds]]&lt;=20),
    "Within",
    "Breach")</f>
        <v>Breach</v>
      </c>
      <c r="M2399" s="1">
        <v>4.7916666666666663E-3</v>
      </c>
      <c r="N2399">
        <v>3</v>
      </c>
    </row>
    <row r="2400" spans="1:14" x14ac:dyDescent="0.3">
      <c r="A2400" t="s">
        <v>2465</v>
      </c>
      <c r="B2400" t="s">
        <v>38</v>
      </c>
      <c r="C2400" t="s">
        <v>2431</v>
      </c>
      <c r="D2400" s="1">
        <v>0.52500000000000002</v>
      </c>
      <c r="E2400" s="2">
        <f>CallLog[[#This Row],[Date]]+CallLog[[#This Row],[Time]]</f>
        <v>44238.525000000001</v>
      </c>
      <c r="F2400" s="1" t="str">
        <f>TEXT(CallLog[[#This Row],[Date]],"dddd")</f>
        <v>Thursday</v>
      </c>
      <c r="G2400" s="3">
        <f>HOUR(CallLog[[#This Row],[Time]])</f>
        <v>12</v>
      </c>
      <c r="H2400" t="s">
        <v>29</v>
      </c>
      <c r="I2400" t="s">
        <v>14</v>
      </c>
      <c r="J2400" t="s">
        <v>14</v>
      </c>
      <c r="K2400">
        <v>32</v>
      </c>
      <c r="L2400" t="str">
        <f>IF(AND(CallLog[[#This Row],[Answered (Y/N)]]="Y", CallLog[[#This Row],[Speed of answer in seconds]]&lt;=20),
    "Within",
    "Breach")</f>
        <v>Breach</v>
      </c>
      <c r="M2400" s="1">
        <v>6.3657407407407413E-4</v>
      </c>
      <c r="N2400">
        <v>3</v>
      </c>
    </row>
    <row r="2401" spans="1:14" x14ac:dyDescent="0.3">
      <c r="A2401" t="s">
        <v>2466</v>
      </c>
      <c r="B2401" t="s">
        <v>20</v>
      </c>
      <c r="C2401" t="s">
        <v>2431</v>
      </c>
      <c r="D2401" s="1">
        <v>0.52500000000000002</v>
      </c>
      <c r="E2401" s="2">
        <f>CallLog[[#This Row],[Date]]+CallLog[[#This Row],[Time]]</f>
        <v>44238.525000000001</v>
      </c>
      <c r="F2401" s="1" t="str">
        <f>TEXT(CallLog[[#This Row],[Date]],"dddd")</f>
        <v>Thursday</v>
      </c>
      <c r="G2401" s="3">
        <f>HOUR(CallLog[[#This Row],[Time]])</f>
        <v>12</v>
      </c>
      <c r="H2401" t="s">
        <v>29</v>
      </c>
      <c r="I2401" t="s">
        <v>14</v>
      </c>
      <c r="J2401" t="s">
        <v>14</v>
      </c>
      <c r="K2401">
        <v>121</v>
      </c>
      <c r="L2401" t="str">
        <f>IF(AND(CallLog[[#This Row],[Answered (Y/N)]]="Y", CallLog[[#This Row],[Speed of answer in seconds]]&lt;=20),
    "Within",
    "Breach")</f>
        <v>Breach</v>
      </c>
      <c r="M2401" s="1">
        <v>3.9930555555555552E-3</v>
      </c>
      <c r="N2401">
        <v>2</v>
      </c>
    </row>
    <row r="2402" spans="1:14" x14ac:dyDescent="0.3">
      <c r="A2402" t="s">
        <v>2467</v>
      </c>
      <c r="B2402" t="s">
        <v>31</v>
      </c>
      <c r="C2402" t="s">
        <v>2431</v>
      </c>
      <c r="D2402" s="1">
        <v>0.53500000000000003</v>
      </c>
      <c r="E2402" s="2">
        <f>CallLog[[#This Row],[Date]]+CallLog[[#This Row],[Time]]</f>
        <v>44238.535000000003</v>
      </c>
      <c r="F2402" s="1" t="str">
        <f>TEXT(CallLog[[#This Row],[Date]],"dddd")</f>
        <v>Thursday</v>
      </c>
      <c r="G2402" s="3">
        <f>HOUR(CallLog[[#This Row],[Time]])</f>
        <v>12</v>
      </c>
      <c r="H2402" t="s">
        <v>13</v>
      </c>
      <c r="I2402" t="s">
        <v>18</v>
      </c>
      <c r="J2402" t="s">
        <v>18</v>
      </c>
      <c r="L2402" t="str">
        <f>IF(AND(CallLog[[#This Row],[Answered (Y/N)]]="Y", CallLog[[#This Row],[Speed of answer in seconds]]&lt;=20),
    "Within",
    "Breach")</f>
        <v>Breach</v>
      </c>
    </row>
    <row r="2403" spans="1:14" x14ac:dyDescent="0.3">
      <c r="A2403" t="s">
        <v>2468</v>
      </c>
      <c r="B2403" t="s">
        <v>22</v>
      </c>
      <c r="C2403" t="s">
        <v>2431</v>
      </c>
      <c r="D2403" s="1">
        <v>0.53500000000000003</v>
      </c>
      <c r="E2403" s="2">
        <f>CallLog[[#This Row],[Date]]+CallLog[[#This Row],[Time]]</f>
        <v>44238.535000000003</v>
      </c>
      <c r="F2403" s="1" t="str">
        <f>TEXT(CallLog[[#This Row],[Date]],"dddd")</f>
        <v>Thursday</v>
      </c>
      <c r="G2403" s="3">
        <f>HOUR(CallLog[[#This Row],[Time]])</f>
        <v>12</v>
      </c>
      <c r="H2403" t="s">
        <v>29</v>
      </c>
      <c r="I2403" t="s">
        <v>14</v>
      </c>
      <c r="J2403" t="s">
        <v>14</v>
      </c>
      <c r="K2403">
        <v>82</v>
      </c>
      <c r="L2403" t="str">
        <f>IF(AND(CallLog[[#This Row],[Answered (Y/N)]]="Y", CallLog[[#This Row],[Speed of answer in seconds]]&lt;=20),
    "Within",
    "Breach")</f>
        <v>Breach</v>
      </c>
      <c r="M2403" s="1">
        <v>2.3263888888888887E-3</v>
      </c>
      <c r="N2403">
        <v>4</v>
      </c>
    </row>
    <row r="2404" spans="1:14" x14ac:dyDescent="0.3">
      <c r="A2404" t="s">
        <v>2469</v>
      </c>
      <c r="B2404" t="s">
        <v>38</v>
      </c>
      <c r="C2404" t="s">
        <v>2431</v>
      </c>
      <c r="D2404" s="1">
        <v>0.54</v>
      </c>
      <c r="E2404" s="2">
        <f>CallLog[[#This Row],[Date]]+CallLog[[#This Row],[Time]]</f>
        <v>44238.54</v>
      </c>
      <c r="F2404" s="1" t="str">
        <f>TEXT(CallLog[[#This Row],[Date]],"dddd")</f>
        <v>Thursday</v>
      </c>
      <c r="G2404" s="3">
        <f>HOUR(CallLog[[#This Row],[Time]])</f>
        <v>12</v>
      </c>
      <c r="H2404" t="s">
        <v>13</v>
      </c>
      <c r="I2404" t="s">
        <v>14</v>
      </c>
      <c r="J2404" t="s">
        <v>14</v>
      </c>
      <c r="K2404">
        <v>53</v>
      </c>
      <c r="L2404" t="str">
        <f>IF(AND(CallLog[[#This Row],[Answered (Y/N)]]="Y", CallLog[[#This Row],[Speed of answer in seconds]]&lt;=20),
    "Within",
    "Breach")</f>
        <v>Breach</v>
      </c>
      <c r="M2404" s="1">
        <v>1.5972222222222223E-3</v>
      </c>
      <c r="N2404">
        <v>4</v>
      </c>
    </row>
    <row r="2405" spans="1:14" x14ac:dyDescent="0.3">
      <c r="A2405" t="s">
        <v>2470</v>
      </c>
      <c r="B2405" t="s">
        <v>20</v>
      </c>
      <c r="C2405" t="s">
        <v>2431</v>
      </c>
      <c r="D2405" s="1">
        <v>0.54</v>
      </c>
      <c r="E2405" s="2">
        <f>CallLog[[#This Row],[Date]]+CallLog[[#This Row],[Time]]</f>
        <v>44238.54</v>
      </c>
      <c r="F2405" s="1" t="str">
        <f>TEXT(CallLog[[#This Row],[Date]],"dddd")</f>
        <v>Thursday</v>
      </c>
      <c r="G2405" s="3">
        <f>HOUR(CallLog[[#This Row],[Time]])</f>
        <v>12</v>
      </c>
      <c r="H2405" t="s">
        <v>24</v>
      </c>
      <c r="I2405" t="s">
        <v>18</v>
      </c>
      <c r="J2405" t="s">
        <v>18</v>
      </c>
      <c r="L2405" t="str">
        <f>IF(AND(CallLog[[#This Row],[Answered (Y/N)]]="Y", CallLog[[#This Row],[Speed of answer in seconds]]&lt;=20),
    "Within",
    "Breach")</f>
        <v>Breach</v>
      </c>
    </row>
    <row r="2406" spans="1:14" x14ac:dyDescent="0.3">
      <c r="A2406" t="s">
        <v>2471</v>
      </c>
      <c r="B2406" t="s">
        <v>16</v>
      </c>
      <c r="C2406" t="s">
        <v>2431</v>
      </c>
      <c r="D2406" s="1">
        <v>0.55000000000000004</v>
      </c>
      <c r="E2406" s="2">
        <f>CallLog[[#This Row],[Date]]+CallLog[[#This Row],[Time]]</f>
        <v>44238.55</v>
      </c>
      <c r="F2406" s="1" t="str">
        <f>TEXT(CallLog[[#This Row],[Date]],"dddd")</f>
        <v>Thursday</v>
      </c>
      <c r="G2406" s="3">
        <f>HOUR(CallLog[[#This Row],[Time]])</f>
        <v>13</v>
      </c>
      <c r="H2406" t="s">
        <v>17</v>
      </c>
      <c r="I2406" t="s">
        <v>14</v>
      </c>
      <c r="J2406" t="s">
        <v>14</v>
      </c>
      <c r="K2406">
        <v>16</v>
      </c>
      <c r="L2406" t="str">
        <f>IF(AND(CallLog[[#This Row],[Answered (Y/N)]]="Y", CallLog[[#This Row],[Speed of answer in seconds]]&lt;=20),
    "Within",
    "Breach")</f>
        <v>Within</v>
      </c>
      <c r="M2406" s="1">
        <v>3.6111111111111109E-3</v>
      </c>
      <c r="N2406">
        <v>4</v>
      </c>
    </row>
    <row r="2407" spans="1:14" x14ac:dyDescent="0.3">
      <c r="A2407" t="s">
        <v>2472</v>
      </c>
      <c r="B2407" t="s">
        <v>38</v>
      </c>
      <c r="C2407" t="s">
        <v>2431</v>
      </c>
      <c r="D2407" s="1">
        <v>0.55000000000000004</v>
      </c>
      <c r="E2407" s="2">
        <f>CallLog[[#This Row],[Date]]+CallLog[[#This Row],[Time]]</f>
        <v>44238.55</v>
      </c>
      <c r="F2407" s="1" t="str">
        <f>TEXT(CallLog[[#This Row],[Date]],"dddd")</f>
        <v>Thursday</v>
      </c>
      <c r="G2407" s="3">
        <f>HOUR(CallLog[[#This Row],[Time]])</f>
        <v>13</v>
      </c>
      <c r="H2407" t="s">
        <v>29</v>
      </c>
      <c r="I2407" t="s">
        <v>14</v>
      </c>
      <c r="J2407" t="s">
        <v>14</v>
      </c>
      <c r="K2407">
        <v>67</v>
      </c>
      <c r="L2407" t="str">
        <f>IF(AND(CallLog[[#This Row],[Answered (Y/N)]]="Y", CallLog[[#This Row],[Speed of answer in seconds]]&lt;=20),
    "Within",
    "Breach")</f>
        <v>Breach</v>
      </c>
      <c r="M2407" s="1">
        <v>4.2939814814814811E-3</v>
      </c>
      <c r="N2407">
        <v>3</v>
      </c>
    </row>
    <row r="2408" spans="1:14" x14ac:dyDescent="0.3">
      <c r="A2408" t="s">
        <v>2473</v>
      </c>
      <c r="B2408" t="s">
        <v>47</v>
      </c>
      <c r="C2408" t="s">
        <v>2431</v>
      </c>
      <c r="D2408" s="1">
        <v>0.55700231481481477</v>
      </c>
      <c r="E2408" s="2">
        <f>CallLog[[#This Row],[Date]]+CallLog[[#This Row],[Time]]</f>
        <v>44238.557002314818</v>
      </c>
      <c r="F2408" s="1" t="str">
        <f>TEXT(CallLog[[#This Row],[Date]],"dddd")</f>
        <v>Thursday</v>
      </c>
      <c r="G2408" s="3">
        <f>HOUR(CallLog[[#This Row],[Time]])</f>
        <v>13</v>
      </c>
      <c r="H2408" t="s">
        <v>32</v>
      </c>
      <c r="I2408" t="s">
        <v>14</v>
      </c>
      <c r="J2408" t="s">
        <v>14</v>
      </c>
      <c r="K2408">
        <v>95</v>
      </c>
      <c r="L2408" t="str">
        <f>IF(AND(CallLog[[#This Row],[Answered (Y/N)]]="Y", CallLog[[#This Row],[Speed of answer in seconds]]&lt;=20),
    "Within",
    "Breach")</f>
        <v>Breach</v>
      </c>
      <c r="M2408" s="1">
        <v>2.0717592592592593E-3</v>
      </c>
      <c r="N2408">
        <v>4</v>
      </c>
    </row>
    <row r="2409" spans="1:14" x14ac:dyDescent="0.3">
      <c r="A2409" t="s">
        <v>2474</v>
      </c>
      <c r="B2409" t="s">
        <v>11</v>
      </c>
      <c r="C2409" t="s">
        <v>2431</v>
      </c>
      <c r="D2409" s="1">
        <v>0.55700231481481477</v>
      </c>
      <c r="E2409" s="2">
        <f>CallLog[[#This Row],[Date]]+CallLog[[#This Row],[Time]]</f>
        <v>44238.557002314818</v>
      </c>
      <c r="F2409" s="1" t="str">
        <f>TEXT(CallLog[[#This Row],[Date]],"dddd")</f>
        <v>Thursday</v>
      </c>
      <c r="G2409" s="3">
        <f>HOUR(CallLog[[#This Row],[Time]])</f>
        <v>13</v>
      </c>
      <c r="H2409" t="s">
        <v>29</v>
      </c>
      <c r="I2409" t="s">
        <v>14</v>
      </c>
      <c r="J2409" t="s">
        <v>14</v>
      </c>
      <c r="K2409">
        <v>75</v>
      </c>
      <c r="L2409" t="str">
        <f>IF(AND(CallLog[[#This Row],[Answered (Y/N)]]="Y", CallLog[[#This Row],[Speed of answer in seconds]]&lt;=20),
    "Within",
    "Breach")</f>
        <v>Breach</v>
      </c>
      <c r="M2409" s="1">
        <v>1.8749999999999999E-3</v>
      </c>
      <c r="N2409">
        <v>3</v>
      </c>
    </row>
    <row r="2410" spans="1:14" x14ac:dyDescent="0.3">
      <c r="A2410" t="s">
        <v>2475</v>
      </c>
      <c r="B2410" t="s">
        <v>31</v>
      </c>
      <c r="C2410" t="s">
        <v>2431</v>
      </c>
      <c r="D2410" s="1">
        <v>0.56299768518518523</v>
      </c>
      <c r="E2410" s="2">
        <f>CallLog[[#This Row],[Date]]+CallLog[[#This Row],[Time]]</f>
        <v>44238.562997685185</v>
      </c>
      <c r="F2410" s="1" t="str">
        <f>TEXT(CallLog[[#This Row],[Date]],"dddd")</f>
        <v>Thursday</v>
      </c>
      <c r="G2410" s="3">
        <f>HOUR(CallLog[[#This Row],[Time]])</f>
        <v>13</v>
      </c>
      <c r="H2410" t="s">
        <v>32</v>
      </c>
      <c r="I2410" t="s">
        <v>14</v>
      </c>
      <c r="J2410" t="s">
        <v>14</v>
      </c>
      <c r="K2410">
        <v>53</v>
      </c>
      <c r="L2410" t="str">
        <f>IF(AND(CallLog[[#This Row],[Answered (Y/N)]]="Y", CallLog[[#This Row],[Speed of answer in seconds]]&lt;=20),
    "Within",
    "Breach")</f>
        <v>Breach</v>
      </c>
      <c r="M2410" s="1">
        <v>3.7615740740740739E-3</v>
      </c>
      <c r="N2410">
        <v>3</v>
      </c>
    </row>
    <row r="2411" spans="1:14" x14ac:dyDescent="0.3">
      <c r="A2411" t="s">
        <v>2476</v>
      </c>
      <c r="B2411" t="s">
        <v>34</v>
      </c>
      <c r="C2411" t="s">
        <v>2431</v>
      </c>
      <c r="D2411" s="1">
        <v>0.56299768518518523</v>
      </c>
      <c r="E2411" s="2">
        <f>CallLog[[#This Row],[Date]]+CallLog[[#This Row],[Time]]</f>
        <v>44238.562997685185</v>
      </c>
      <c r="F2411" s="1" t="str">
        <f>TEXT(CallLog[[#This Row],[Date]],"dddd")</f>
        <v>Thursday</v>
      </c>
      <c r="G2411" s="3">
        <f>HOUR(CallLog[[#This Row],[Time]])</f>
        <v>13</v>
      </c>
      <c r="H2411" t="s">
        <v>13</v>
      </c>
      <c r="I2411" t="s">
        <v>14</v>
      </c>
      <c r="J2411" t="s">
        <v>14</v>
      </c>
      <c r="K2411">
        <v>116</v>
      </c>
      <c r="L2411" t="str">
        <f>IF(AND(CallLog[[#This Row],[Answered (Y/N)]]="Y", CallLog[[#This Row],[Speed of answer in seconds]]&lt;=20),
    "Within",
    "Breach")</f>
        <v>Breach</v>
      </c>
      <c r="M2411" s="1">
        <v>5.6712962962962967E-4</v>
      </c>
      <c r="N2411">
        <v>5</v>
      </c>
    </row>
    <row r="2412" spans="1:14" x14ac:dyDescent="0.3">
      <c r="A2412" t="s">
        <v>2477</v>
      </c>
      <c r="B2412" t="s">
        <v>20</v>
      </c>
      <c r="C2412" t="s">
        <v>2431</v>
      </c>
      <c r="D2412" s="1">
        <v>0.56799768518518523</v>
      </c>
      <c r="E2412" s="2">
        <f>CallLog[[#This Row],[Date]]+CallLog[[#This Row],[Time]]</f>
        <v>44238.567997685182</v>
      </c>
      <c r="F2412" s="1" t="str">
        <f>TEXT(CallLog[[#This Row],[Date]],"dddd")</f>
        <v>Thursday</v>
      </c>
      <c r="G2412" s="3">
        <f>HOUR(CallLog[[#This Row],[Time]])</f>
        <v>13</v>
      </c>
      <c r="H2412" t="s">
        <v>17</v>
      </c>
      <c r="I2412" t="s">
        <v>14</v>
      </c>
      <c r="J2412" t="s">
        <v>14</v>
      </c>
      <c r="K2412">
        <v>83</v>
      </c>
      <c r="L2412" t="str">
        <f>IF(AND(CallLog[[#This Row],[Answered (Y/N)]]="Y", CallLog[[#This Row],[Speed of answer in seconds]]&lt;=20),
    "Within",
    "Breach")</f>
        <v>Breach</v>
      </c>
      <c r="M2412" s="1">
        <v>3.0439814814814813E-3</v>
      </c>
      <c r="N2412">
        <v>3</v>
      </c>
    </row>
    <row r="2413" spans="1:14" x14ac:dyDescent="0.3">
      <c r="A2413" t="s">
        <v>2478</v>
      </c>
      <c r="B2413" t="s">
        <v>31</v>
      </c>
      <c r="C2413" t="s">
        <v>2431</v>
      </c>
      <c r="D2413" s="1">
        <v>0.56799768518518523</v>
      </c>
      <c r="E2413" s="2">
        <f>CallLog[[#This Row],[Date]]+CallLog[[#This Row],[Time]]</f>
        <v>44238.567997685182</v>
      </c>
      <c r="F2413" s="1" t="str">
        <f>TEXT(CallLog[[#This Row],[Date]],"dddd")</f>
        <v>Thursday</v>
      </c>
      <c r="G2413" s="3">
        <f>HOUR(CallLog[[#This Row],[Time]])</f>
        <v>13</v>
      </c>
      <c r="H2413" t="s">
        <v>13</v>
      </c>
      <c r="I2413" t="s">
        <v>14</v>
      </c>
      <c r="J2413" t="s">
        <v>14</v>
      </c>
      <c r="K2413">
        <v>92</v>
      </c>
      <c r="L2413" t="str">
        <f>IF(AND(CallLog[[#This Row],[Answered (Y/N)]]="Y", CallLog[[#This Row],[Speed of answer in seconds]]&lt;=20),
    "Within",
    "Breach")</f>
        <v>Breach</v>
      </c>
      <c r="M2413" s="1">
        <v>1.5625000000000001E-3</v>
      </c>
      <c r="N2413">
        <v>4</v>
      </c>
    </row>
    <row r="2414" spans="1:14" x14ac:dyDescent="0.3">
      <c r="A2414" t="s">
        <v>2479</v>
      </c>
      <c r="B2414" t="s">
        <v>38</v>
      </c>
      <c r="C2414" t="s">
        <v>2431</v>
      </c>
      <c r="D2414" s="1">
        <v>0.57400462962962961</v>
      </c>
      <c r="E2414" s="2">
        <f>CallLog[[#This Row],[Date]]+CallLog[[#This Row],[Time]]</f>
        <v>44238.574004629627</v>
      </c>
      <c r="F2414" s="1" t="str">
        <f>TEXT(CallLog[[#This Row],[Date]],"dddd")</f>
        <v>Thursday</v>
      </c>
      <c r="G2414" s="3">
        <f>HOUR(CallLog[[#This Row],[Time]])</f>
        <v>13</v>
      </c>
      <c r="H2414" t="s">
        <v>29</v>
      </c>
      <c r="I2414" t="s">
        <v>14</v>
      </c>
      <c r="J2414" t="s">
        <v>14</v>
      </c>
      <c r="K2414">
        <v>24</v>
      </c>
      <c r="L2414" t="str">
        <f>IF(AND(CallLog[[#This Row],[Answered (Y/N)]]="Y", CallLog[[#This Row],[Speed of answer in seconds]]&lt;=20),
    "Within",
    "Breach")</f>
        <v>Breach</v>
      </c>
      <c r="M2414" s="1">
        <v>1.8634259259259259E-3</v>
      </c>
      <c r="N2414">
        <v>3</v>
      </c>
    </row>
    <row r="2415" spans="1:14" x14ac:dyDescent="0.3">
      <c r="A2415" t="s">
        <v>2480</v>
      </c>
      <c r="B2415" t="s">
        <v>38</v>
      </c>
      <c r="C2415" t="s">
        <v>2431</v>
      </c>
      <c r="D2415" s="1">
        <v>0.57400462962962961</v>
      </c>
      <c r="E2415" s="2">
        <f>CallLog[[#This Row],[Date]]+CallLog[[#This Row],[Time]]</f>
        <v>44238.574004629627</v>
      </c>
      <c r="F2415" s="1" t="str">
        <f>TEXT(CallLog[[#This Row],[Date]],"dddd")</f>
        <v>Thursday</v>
      </c>
      <c r="G2415" s="3">
        <f>HOUR(CallLog[[#This Row],[Time]])</f>
        <v>13</v>
      </c>
      <c r="H2415" t="s">
        <v>13</v>
      </c>
      <c r="I2415" t="s">
        <v>14</v>
      </c>
      <c r="J2415" t="s">
        <v>14</v>
      </c>
      <c r="K2415">
        <v>16</v>
      </c>
      <c r="L2415" t="str">
        <f>IF(AND(CallLog[[#This Row],[Answered (Y/N)]]="Y", CallLog[[#This Row],[Speed of answer in seconds]]&lt;=20),
    "Within",
    "Breach")</f>
        <v>Within</v>
      </c>
      <c r="M2415" s="1">
        <v>2.9745370370370373E-3</v>
      </c>
      <c r="N2415">
        <v>4</v>
      </c>
    </row>
    <row r="2416" spans="1:14" x14ac:dyDescent="0.3">
      <c r="A2416" t="s">
        <v>2481</v>
      </c>
      <c r="B2416" t="s">
        <v>31</v>
      </c>
      <c r="C2416" t="s">
        <v>2431</v>
      </c>
      <c r="D2416" s="1">
        <v>0.58599537037037042</v>
      </c>
      <c r="E2416" s="2">
        <f>CallLog[[#This Row],[Date]]+CallLog[[#This Row],[Time]]</f>
        <v>44238.585995370369</v>
      </c>
      <c r="F2416" s="1" t="str">
        <f>TEXT(CallLog[[#This Row],[Date]],"dddd")</f>
        <v>Thursday</v>
      </c>
      <c r="G2416" s="3">
        <f>HOUR(CallLog[[#This Row],[Time]])</f>
        <v>14</v>
      </c>
      <c r="H2416" t="s">
        <v>13</v>
      </c>
      <c r="I2416" t="s">
        <v>14</v>
      </c>
      <c r="J2416" t="s">
        <v>14</v>
      </c>
      <c r="K2416">
        <v>24</v>
      </c>
      <c r="L2416" t="str">
        <f>IF(AND(CallLog[[#This Row],[Answered (Y/N)]]="Y", CallLog[[#This Row],[Speed of answer in seconds]]&lt;=20),
    "Within",
    "Breach")</f>
        <v>Breach</v>
      </c>
      <c r="M2416" s="1">
        <v>1.6435185185185185E-3</v>
      </c>
      <c r="N2416">
        <v>5</v>
      </c>
    </row>
    <row r="2417" spans="1:14" x14ac:dyDescent="0.3">
      <c r="A2417" t="s">
        <v>2482</v>
      </c>
      <c r="B2417" t="s">
        <v>38</v>
      </c>
      <c r="C2417" t="s">
        <v>2431</v>
      </c>
      <c r="D2417" s="1">
        <v>0.58599537037037042</v>
      </c>
      <c r="E2417" s="2">
        <f>CallLog[[#This Row],[Date]]+CallLog[[#This Row],[Time]]</f>
        <v>44238.585995370369</v>
      </c>
      <c r="F2417" s="1" t="str">
        <f>TEXT(CallLog[[#This Row],[Date]],"dddd")</f>
        <v>Thursday</v>
      </c>
      <c r="G2417" s="3">
        <f>HOUR(CallLog[[#This Row],[Time]])</f>
        <v>14</v>
      </c>
      <c r="H2417" t="s">
        <v>17</v>
      </c>
      <c r="I2417" t="s">
        <v>14</v>
      </c>
      <c r="J2417" t="s">
        <v>14</v>
      </c>
      <c r="K2417">
        <v>114</v>
      </c>
      <c r="L2417" t="str">
        <f>IF(AND(CallLog[[#This Row],[Answered (Y/N)]]="Y", CallLog[[#This Row],[Speed of answer in seconds]]&lt;=20),
    "Within",
    "Breach")</f>
        <v>Breach</v>
      </c>
      <c r="M2417" s="1">
        <v>2.650462962962963E-3</v>
      </c>
      <c r="N2417">
        <v>2</v>
      </c>
    </row>
    <row r="2418" spans="1:14" x14ac:dyDescent="0.3">
      <c r="A2418" t="s">
        <v>2483</v>
      </c>
      <c r="B2418" t="s">
        <v>31</v>
      </c>
      <c r="C2418" t="s">
        <v>2431</v>
      </c>
      <c r="D2418" s="1">
        <v>0.58599537037037042</v>
      </c>
      <c r="E2418" s="2">
        <f>CallLog[[#This Row],[Date]]+CallLog[[#This Row],[Time]]</f>
        <v>44238.585995370369</v>
      </c>
      <c r="F2418" s="1" t="str">
        <f>TEXT(CallLog[[#This Row],[Date]],"dddd")</f>
        <v>Thursday</v>
      </c>
      <c r="G2418" s="3">
        <f>HOUR(CallLog[[#This Row],[Time]])</f>
        <v>14</v>
      </c>
      <c r="H2418" t="s">
        <v>13</v>
      </c>
      <c r="I2418" t="s">
        <v>18</v>
      </c>
      <c r="J2418" t="s">
        <v>18</v>
      </c>
      <c r="L2418" t="str">
        <f>IF(AND(CallLog[[#This Row],[Answered (Y/N)]]="Y", CallLog[[#This Row],[Speed of answer in seconds]]&lt;=20),
    "Within",
    "Breach")</f>
        <v>Breach</v>
      </c>
    </row>
    <row r="2419" spans="1:14" x14ac:dyDescent="0.3">
      <c r="A2419" t="s">
        <v>2484</v>
      </c>
      <c r="B2419" t="s">
        <v>31</v>
      </c>
      <c r="C2419" t="s">
        <v>2431</v>
      </c>
      <c r="D2419" s="1">
        <v>0.58599537037037042</v>
      </c>
      <c r="E2419" s="2">
        <f>CallLog[[#This Row],[Date]]+CallLog[[#This Row],[Time]]</f>
        <v>44238.585995370369</v>
      </c>
      <c r="F2419" s="1" t="str">
        <f>TEXT(CallLog[[#This Row],[Date]],"dddd")</f>
        <v>Thursday</v>
      </c>
      <c r="G2419" s="3">
        <f>HOUR(CallLog[[#This Row],[Time]])</f>
        <v>14</v>
      </c>
      <c r="H2419" t="s">
        <v>17</v>
      </c>
      <c r="I2419" t="s">
        <v>14</v>
      </c>
      <c r="J2419" t="s">
        <v>14</v>
      </c>
      <c r="K2419">
        <v>120</v>
      </c>
      <c r="L2419" t="str">
        <f>IF(AND(CallLog[[#This Row],[Answered (Y/N)]]="Y", CallLog[[#This Row],[Speed of answer in seconds]]&lt;=20),
    "Within",
    "Breach")</f>
        <v>Breach</v>
      </c>
      <c r="M2419" s="1">
        <v>4.1319444444444442E-3</v>
      </c>
      <c r="N2419">
        <v>4</v>
      </c>
    </row>
    <row r="2420" spans="1:14" x14ac:dyDescent="0.3">
      <c r="A2420" t="s">
        <v>2485</v>
      </c>
      <c r="B2420" t="s">
        <v>38</v>
      </c>
      <c r="C2420" t="s">
        <v>2431</v>
      </c>
      <c r="D2420" s="1">
        <v>0.60099537037037032</v>
      </c>
      <c r="E2420" s="2">
        <f>CallLog[[#This Row],[Date]]+CallLog[[#This Row],[Time]]</f>
        <v>44238.600995370369</v>
      </c>
      <c r="F2420" s="1" t="str">
        <f>TEXT(CallLog[[#This Row],[Date]],"dddd")</f>
        <v>Thursday</v>
      </c>
      <c r="G2420" s="3">
        <f>HOUR(CallLog[[#This Row],[Time]])</f>
        <v>14</v>
      </c>
      <c r="H2420" t="s">
        <v>32</v>
      </c>
      <c r="I2420" t="s">
        <v>14</v>
      </c>
      <c r="J2420" t="s">
        <v>14</v>
      </c>
      <c r="K2420">
        <v>89</v>
      </c>
      <c r="L2420" t="str">
        <f>IF(AND(CallLog[[#This Row],[Answered (Y/N)]]="Y", CallLog[[#This Row],[Speed of answer in seconds]]&lt;=20),
    "Within",
    "Breach")</f>
        <v>Breach</v>
      </c>
      <c r="M2420" s="1">
        <v>4.8263888888888887E-3</v>
      </c>
      <c r="N2420">
        <v>5</v>
      </c>
    </row>
    <row r="2421" spans="1:14" x14ac:dyDescent="0.3">
      <c r="A2421" t="s">
        <v>2486</v>
      </c>
      <c r="B2421" t="s">
        <v>38</v>
      </c>
      <c r="C2421" t="s">
        <v>2431</v>
      </c>
      <c r="D2421" s="1">
        <v>0.60099537037037032</v>
      </c>
      <c r="E2421" s="2">
        <f>CallLog[[#This Row],[Date]]+CallLog[[#This Row],[Time]]</f>
        <v>44238.600995370369</v>
      </c>
      <c r="F2421" s="1" t="str">
        <f>TEXT(CallLog[[#This Row],[Date]],"dddd")</f>
        <v>Thursday</v>
      </c>
      <c r="G2421" s="3">
        <f>HOUR(CallLog[[#This Row],[Time]])</f>
        <v>14</v>
      </c>
      <c r="H2421" t="s">
        <v>24</v>
      </c>
      <c r="I2421" t="s">
        <v>14</v>
      </c>
      <c r="J2421" t="s">
        <v>14</v>
      </c>
      <c r="K2421">
        <v>83</v>
      </c>
      <c r="L2421" t="str">
        <f>IF(AND(CallLog[[#This Row],[Answered (Y/N)]]="Y", CallLog[[#This Row],[Speed of answer in seconds]]&lt;=20),
    "Within",
    "Breach")</f>
        <v>Breach</v>
      </c>
      <c r="M2421" s="1">
        <v>1.0300925925925926E-3</v>
      </c>
      <c r="N2421">
        <v>4</v>
      </c>
    </row>
    <row r="2422" spans="1:14" x14ac:dyDescent="0.3">
      <c r="A2422" t="s">
        <v>2487</v>
      </c>
      <c r="B2422" t="s">
        <v>47</v>
      </c>
      <c r="C2422" t="s">
        <v>2431</v>
      </c>
      <c r="D2422" s="1">
        <v>0.62</v>
      </c>
      <c r="E2422" s="2">
        <f>CallLog[[#This Row],[Date]]+CallLog[[#This Row],[Time]]</f>
        <v>44238.62</v>
      </c>
      <c r="F2422" s="1" t="str">
        <f>TEXT(CallLog[[#This Row],[Date]],"dddd")</f>
        <v>Thursday</v>
      </c>
      <c r="G2422" s="3">
        <f>HOUR(CallLog[[#This Row],[Time]])</f>
        <v>14</v>
      </c>
      <c r="H2422" t="s">
        <v>32</v>
      </c>
      <c r="I2422" t="s">
        <v>14</v>
      </c>
      <c r="J2422" t="s">
        <v>14</v>
      </c>
      <c r="K2422">
        <v>71</v>
      </c>
      <c r="L2422" t="str">
        <f>IF(AND(CallLog[[#This Row],[Answered (Y/N)]]="Y", CallLog[[#This Row],[Speed of answer in seconds]]&lt;=20),
    "Within",
    "Breach")</f>
        <v>Breach</v>
      </c>
      <c r="M2422" s="1">
        <v>1.7824074074074075E-3</v>
      </c>
      <c r="N2422">
        <v>5</v>
      </c>
    </row>
    <row r="2423" spans="1:14" x14ac:dyDescent="0.3">
      <c r="A2423" t="s">
        <v>2488</v>
      </c>
      <c r="B2423" t="s">
        <v>22</v>
      </c>
      <c r="C2423" t="s">
        <v>2431</v>
      </c>
      <c r="D2423" s="1">
        <v>0.62</v>
      </c>
      <c r="E2423" s="2">
        <f>CallLog[[#This Row],[Date]]+CallLog[[#This Row],[Time]]</f>
        <v>44238.62</v>
      </c>
      <c r="F2423" s="1" t="str">
        <f>TEXT(CallLog[[#This Row],[Date]],"dddd")</f>
        <v>Thursday</v>
      </c>
      <c r="G2423" s="3">
        <f>HOUR(CallLog[[#This Row],[Time]])</f>
        <v>14</v>
      </c>
      <c r="H2423" t="s">
        <v>32</v>
      </c>
      <c r="I2423" t="s">
        <v>14</v>
      </c>
      <c r="J2423" t="s">
        <v>14</v>
      </c>
      <c r="K2423">
        <v>62</v>
      </c>
      <c r="L2423" t="str">
        <f>IF(AND(CallLog[[#This Row],[Answered (Y/N)]]="Y", CallLog[[#This Row],[Speed of answer in seconds]]&lt;=20),
    "Within",
    "Breach")</f>
        <v>Breach</v>
      </c>
      <c r="M2423" s="1">
        <v>1.3888888888888889E-3</v>
      </c>
      <c r="N2423">
        <v>4</v>
      </c>
    </row>
    <row r="2424" spans="1:14" x14ac:dyDescent="0.3">
      <c r="A2424" t="s">
        <v>2489</v>
      </c>
      <c r="B2424" t="s">
        <v>16</v>
      </c>
      <c r="C2424" t="s">
        <v>2431</v>
      </c>
      <c r="D2424" s="1">
        <v>0.62799768518518517</v>
      </c>
      <c r="E2424" s="2">
        <f>CallLog[[#This Row],[Date]]+CallLog[[#This Row],[Time]]</f>
        <v>44238.627997685187</v>
      </c>
      <c r="F2424" s="1" t="str">
        <f>TEXT(CallLog[[#This Row],[Date]],"dddd")</f>
        <v>Thursday</v>
      </c>
      <c r="G2424" s="3">
        <f>HOUR(CallLog[[#This Row],[Time]])</f>
        <v>15</v>
      </c>
      <c r="H2424" t="s">
        <v>24</v>
      </c>
      <c r="I2424" t="s">
        <v>14</v>
      </c>
      <c r="J2424" t="s">
        <v>14</v>
      </c>
      <c r="K2424">
        <v>84</v>
      </c>
      <c r="L2424" t="str">
        <f>IF(AND(CallLog[[#This Row],[Answered (Y/N)]]="Y", CallLog[[#This Row],[Speed of answer in seconds]]&lt;=20),
    "Within",
    "Breach")</f>
        <v>Breach</v>
      </c>
      <c r="M2424" s="1">
        <v>2.2569444444444442E-3</v>
      </c>
      <c r="N2424">
        <v>2</v>
      </c>
    </row>
    <row r="2425" spans="1:14" x14ac:dyDescent="0.3">
      <c r="A2425" t="s">
        <v>2490</v>
      </c>
      <c r="B2425" t="s">
        <v>47</v>
      </c>
      <c r="C2425" t="s">
        <v>2431</v>
      </c>
      <c r="D2425" s="1">
        <v>0.62799768518518517</v>
      </c>
      <c r="E2425" s="2">
        <f>CallLog[[#This Row],[Date]]+CallLog[[#This Row],[Time]]</f>
        <v>44238.627997685187</v>
      </c>
      <c r="F2425" s="1" t="str">
        <f>TEXT(CallLog[[#This Row],[Date]],"dddd")</f>
        <v>Thursday</v>
      </c>
      <c r="G2425" s="3">
        <f>HOUR(CallLog[[#This Row],[Time]])</f>
        <v>15</v>
      </c>
      <c r="H2425" t="s">
        <v>17</v>
      </c>
      <c r="I2425" t="s">
        <v>14</v>
      </c>
      <c r="J2425" t="s">
        <v>14</v>
      </c>
      <c r="K2425">
        <v>17</v>
      </c>
      <c r="L2425" t="str">
        <f>IF(AND(CallLog[[#This Row],[Answered (Y/N)]]="Y", CallLog[[#This Row],[Speed of answer in seconds]]&lt;=20),
    "Within",
    "Breach")</f>
        <v>Within</v>
      </c>
      <c r="M2425" s="1">
        <v>9.3749999999999997E-4</v>
      </c>
      <c r="N2425">
        <v>4</v>
      </c>
    </row>
    <row r="2426" spans="1:14" x14ac:dyDescent="0.3">
      <c r="A2426" t="s">
        <v>2491</v>
      </c>
      <c r="B2426" t="s">
        <v>22</v>
      </c>
      <c r="C2426" t="s">
        <v>2431</v>
      </c>
      <c r="D2426" s="1">
        <v>0.63299768518518518</v>
      </c>
      <c r="E2426" s="2">
        <f>CallLog[[#This Row],[Date]]+CallLog[[#This Row],[Time]]</f>
        <v>44238.632997685185</v>
      </c>
      <c r="F2426" s="1" t="str">
        <f>TEXT(CallLog[[#This Row],[Date]],"dddd")</f>
        <v>Thursday</v>
      </c>
      <c r="G2426" s="3">
        <f>HOUR(CallLog[[#This Row],[Time]])</f>
        <v>15</v>
      </c>
      <c r="H2426" t="s">
        <v>13</v>
      </c>
      <c r="I2426" t="s">
        <v>14</v>
      </c>
      <c r="J2426" t="s">
        <v>14</v>
      </c>
      <c r="K2426">
        <v>24</v>
      </c>
      <c r="L2426" t="str">
        <f>IF(AND(CallLog[[#This Row],[Answered (Y/N)]]="Y", CallLog[[#This Row],[Speed of answer in seconds]]&lt;=20),
    "Within",
    "Breach")</f>
        <v>Breach</v>
      </c>
      <c r="M2426" s="1">
        <v>2.673611111111111E-3</v>
      </c>
      <c r="N2426">
        <v>4</v>
      </c>
    </row>
    <row r="2427" spans="1:14" x14ac:dyDescent="0.3">
      <c r="A2427" t="s">
        <v>2492</v>
      </c>
      <c r="B2427" t="s">
        <v>34</v>
      </c>
      <c r="C2427" t="s">
        <v>2431</v>
      </c>
      <c r="D2427" s="1">
        <v>0.63299768518518518</v>
      </c>
      <c r="E2427" s="2">
        <f>CallLog[[#This Row],[Date]]+CallLog[[#This Row],[Time]]</f>
        <v>44238.632997685185</v>
      </c>
      <c r="F2427" s="1" t="str">
        <f>TEXT(CallLog[[#This Row],[Date]],"dddd")</f>
        <v>Thursday</v>
      </c>
      <c r="G2427" s="3">
        <f>HOUR(CallLog[[#This Row],[Time]])</f>
        <v>15</v>
      </c>
      <c r="H2427" t="s">
        <v>32</v>
      </c>
      <c r="I2427" t="s">
        <v>14</v>
      </c>
      <c r="J2427" t="s">
        <v>14</v>
      </c>
      <c r="K2427">
        <v>108</v>
      </c>
      <c r="L2427" t="str">
        <f>IF(AND(CallLog[[#This Row],[Answered (Y/N)]]="Y", CallLog[[#This Row],[Speed of answer in seconds]]&lt;=20),
    "Within",
    "Breach")</f>
        <v>Breach</v>
      </c>
      <c r="M2427" s="1">
        <v>3.8657407407407408E-3</v>
      </c>
      <c r="N2427">
        <v>3</v>
      </c>
    </row>
    <row r="2428" spans="1:14" x14ac:dyDescent="0.3">
      <c r="A2428" t="s">
        <v>2493</v>
      </c>
      <c r="B2428" t="s">
        <v>11</v>
      </c>
      <c r="C2428" t="s">
        <v>2431</v>
      </c>
      <c r="D2428" s="1">
        <v>0.66599537037037038</v>
      </c>
      <c r="E2428" s="2">
        <f>CallLog[[#This Row],[Date]]+CallLog[[#This Row],[Time]]</f>
        <v>44238.665995370371</v>
      </c>
      <c r="F2428" s="1" t="str">
        <f>TEXT(CallLog[[#This Row],[Date]],"dddd")</f>
        <v>Thursday</v>
      </c>
      <c r="G2428" s="3">
        <f>HOUR(CallLog[[#This Row],[Time]])</f>
        <v>15</v>
      </c>
      <c r="H2428" t="s">
        <v>24</v>
      </c>
      <c r="I2428" t="s">
        <v>14</v>
      </c>
      <c r="J2428" t="s">
        <v>14</v>
      </c>
      <c r="K2428">
        <v>13</v>
      </c>
      <c r="L2428" t="str">
        <f>IF(AND(CallLog[[#This Row],[Answered (Y/N)]]="Y", CallLog[[#This Row],[Speed of answer in seconds]]&lt;=20),
    "Within",
    "Breach")</f>
        <v>Within</v>
      </c>
      <c r="M2428" s="1">
        <v>1.4351851851851852E-3</v>
      </c>
      <c r="N2428">
        <v>3</v>
      </c>
    </row>
    <row r="2429" spans="1:14" x14ac:dyDescent="0.3">
      <c r="A2429" t="s">
        <v>2494</v>
      </c>
      <c r="B2429" t="s">
        <v>16</v>
      </c>
      <c r="C2429" t="s">
        <v>2431</v>
      </c>
      <c r="D2429" s="1">
        <v>0.66599537037037038</v>
      </c>
      <c r="E2429" s="2">
        <f>CallLog[[#This Row],[Date]]+CallLog[[#This Row],[Time]]</f>
        <v>44238.665995370371</v>
      </c>
      <c r="F2429" s="1" t="str">
        <f>TEXT(CallLog[[#This Row],[Date]],"dddd")</f>
        <v>Thursday</v>
      </c>
      <c r="G2429" s="3">
        <f>HOUR(CallLog[[#This Row],[Time]])</f>
        <v>15</v>
      </c>
      <c r="H2429" t="s">
        <v>17</v>
      </c>
      <c r="I2429" t="s">
        <v>14</v>
      </c>
      <c r="J2429" t="s">
        <v>14</v>
      </c>
      <c r="K2429">
        <v>119</v>
      </c>
      <c r="L2429" t="str">
        <f>IF(AND(CallLog[[#This Row],[Answered (Y/N)]]="Y", CallLog[[#This Row],[Speed of answer in seconds]]&lt;=20),
    "Within",
    "Breach")</f>
        <v>Breach</v>
      </c>
      <c r="M2429" s="1">
        <v>4.43287037037037E-3</v>
      </c>
      <c r="N2429">
        <v>3</v>
      </c>
    </row>
    <row r="2430" spans="1:14" x14ac:dyDescent="0.3">
      <c r="A2430" t="s">
        <v>2495</v>
      </c>
      <c r="B2430" t="s">
        <v>47</v>
      </c>
      <c r="C2430" t="s">
        <v>2431</v>
      </c>
      <c r="D2430" s="1">
        <v>0.68700231481481477</v>
      </c>
      <c r="E2430" s="2">
        <f>CallLog[[#This Row],[Date]]+CallLog[[#This Row],[Time]]</f>
        <v>44238.687002314815</v>
      </c>
      <c r="F2430" s="1" t="str">
        <f>TEXT(CallLog[[#This Row],[Date]],"dddd")</f>
        <v>Thursday</v>
      </c>
      <c r="G2430" s="3">
        <f>HOUR(CallLog[[#This Row],[Time]])</f>
        <v>16</v>
      </c>
      <c r="H2430" t="s">
        <v>24</v>
      </c>
      <c r="I2430" t="s">
        <v>14</v>
      </c>
      <c r="J2430" t="s">
        <v>14</v>
      </c>
      <c r="K2430">
        <v>80</v>
      </c>
      <c r="L2430" t="str">
        <f>IF(AND(CallLog[[#This Row],[Answered (Y/N)]]="Y", CallLog[[#This Row],[Speed of answer in seconds]]&lt;=20),
    "Within",
    "Breach")</f>
        <v>Breach</v>
      </c>
      <c r="M2430" s="1">
        <v>3.8425925925925928E-3</v>
      </c>
      <c r="N2430">
        <v>2</v>
      </c>
    </row>
    <row r="2431" spans="1:14" x14ac:dyDescent="0.3">
      <c r="A2431" t="s">
        <v>2496</v>
      </c>
      <c r="B2431" t="s">
        <v>34</v>
      </c>
      <c r="C2431" t="s">
        <v>2431</v>
      </c>
      <c r="D2431" s="1">
        <v>0.68700231481481477</v>
      </c>
      <c r="E2431" s="2">
        <f>CallLog[[#This Row],[Date]]+CallLog[[#This Row],[Time]]</f>
        <v>44238.687002314815</v>
      </c>
      <c r="F2431" s="1" t="str">
        <f>TEXT(CallLog[[#This Row],[Date]],"dddd")</f>
        <v>Thursday</v>
      </c>
      <c r="G2431" s="3">
        <f>HOUR(CallLog[[#This Row],[Time]])</f>
        <v>16</v>
      </c>
      <c r="H2431" t="s">
        <v>13</v>
      </c>
      <c r="I2431" t="s">
        <v>14</v>
      </c>
      <c r="J2431" t="s">
        <v>14</v>
      </c>
      <c r="K2431">
        <v>99</v>
      </c>
      <c r="L2431" t="str">
        <f>IF(AND(CallLog[[#This Row],[Answered (Y/N)]]="Y", CallLog[[#This Row],[Speed of answer in seconds]]&lt;=20),
    "Within",
    "Breach")</f>
        <v>Breach</v>
      </c>
      <c r="M2431" s="1">
        <v>1.2962962962962963E-3</v>
      </c>
      <c r="N2431">
        <v>4</v>
      </c>
    </row>
    <row r="2432" spans="1:14" x14ac:dyDescent="0.3">
      <c r="A2432" t="s">
        <v>2497</v>
      </c>
      <c r="B2432" t="s">
        <v>38</v>
      </c>
      <c r="C2432" t="s">
        <v>2431</v>
      </c>
      <c r="D2432" s="1">
        <v>0.70200231481481479</v>
      </c>
      <c r="E2432" s="2">
        <f>CallLog[[#This Row],[Date]]+CallLog[[#This Row],[Time]]</f>
        <v>44238.702002314814</v>
      </c>
      <c r="F2432" s="1" t="str">
        <f>TEXT(CallLog[[#This Row],[Date]],"dddd")</f>
        <v>Thursday</v>
      </c>
      <c r="G2432" s="3">
        <f>HOUR(CallLog[[#This Row],[Time]])</f>
        <v>16</v>
      </c>
      <c r="H2432" t="s">
        <v>32</v>
      </c>
      <c r="I2432" t="s">
        <v>14</v>
      </c>
      <c r="J2432" t="s">
        <v>14</v>
      </c>
      <c r="K2432">
        <v>60</v>
      </c>
      <c r="L2432" t="str">
        <f>IF(AND(CallLog[[#This Row],[Answered (Y/N)]]="Y", CallLog[[#This Row],[Speed of answer in seconds]]&lt;=20),
    "Within",
    "Breach")</f>
        <v>Breach</v>
      </c>
      <c r="M2432" s="1">
        <v>4.0856481481481481E-3</v>
      </c>
      <c r="N2432">
        <v>4</v>
      </c>
    </row>
    <row r="2433" spans="1:14" x14ac:dyDescent="0.3">
      <c r="A2433" t="s">
        <v>2498</v>
      </c>
      <c r="B2433" t="s">
        <v>22</v>
      </c>
      <c r="C2433" t="s">
        <v>2431</v>
      </c>
      <c r="D2433" s="1">
        <v>0.70200231481481479</v>
      </c>
      <c r="E2433" s="2">
        <f>CallLog[[#This Row],[Date]]+CallLog[[#This Row],[Time]]</f>
        <v>44238.702002314814</v>
      </c>
      <c r="F2433" s="1" t="str">
        <f>TEXT(CallLog[[#This Row],[Date]],"dddd")</f>
        <v>Thursday</v>
      </c>
      <c r="G2433" s="3">
        <f>HOUR(CallLog[[#This Row],[Time]])</f>
        <v>16</v>
      </c>
      <c r="H2433" t="s">
        <v>29</v>
      </c>
      <c r="I2433" t="s">
        <v>14</v>
      </c>
      <c r="J2433" t="s">
        <v>14</v>
      </c>
      <c r="K2433">
        <v>121</v>
      </c>
      <c r="L2433" t="str">
        <f>IF(AND(CallLog[[#This Row],[Answered (Y/N)]]="Y", CallLog[[#This Row],[Speed of answer in seconds]]&lt;=20),
    "Within",
    "Breach")</f>
        <v>Breach</v>
      </c>
      <c r="M2433" s="1">
        <v>3.3796296296296296E-3</v>
      </c>
      <c r="N2433">
        <v>4</v>
      </c>
    </row>
    <row r="2434" spans="1:14" x14ac:dyDescent="0.3">
      <c r="A2434" t="s">
        <v>2499</v>
      </c>
      <c r="B2434" t="s">
        <v>11</v>
      </c>
      <c r="C2434" t="s">
        <v>2431</v>
      </c>
      <c r="D2434" s="1">
        <v>0.71</v>
      </c>
      <c r="E2434" s="2">
        <f>CallLog[[#This Row],[Date]]+CallLog[[#This Row],[Time]]</f>
        <v>44238.71</v>
      </c>
      <c r="F2434" s="1" t="str">
        <f>TEXT(CallLog[[#This Row],[Date]],"dddd")</f>
        <v>Thursday</v>
      </c>
      <c r="G2434" s="3">
        <f>HOUR(CallLog[[#This Row],[Time]])</f>
        <v>17</v>
      </c>
      <c r="H2434" t="s">
        <v>17</v>
      </c>
      <c r="I2434" t="s">
        <v>18</v>
      </c>
      <c r="J2434" t="s">
        <v>18</v>
      </c>
      <c r="L2434" t="str">
        <f>IF(AND(CallLog[[#This Row],[Answered (Y/N)]]="Y", CallLog[[#This Row],[Speed of answer in seconds]]&lt;=20),
    "Within",
    "Breach")</f>
        <v>Breach</v>
      </c>
    </row>
    <row r="2435" spans="1:14" x14ac:dyDescent="0.3">
      <c r="A2435" t="s">
        <v>2500</v>
      </c>
      <c r="B2435" t="s">
        <v>16</v>
      </c>
      <c r="C2435" t="s">
        <v>2431</v>
      </c>
      <c r="D2435" s="1">
        <v>0.71</v>
      </c>
      <c r="E2435" s="2">
        <f>CallLog[[#This Row],[Date]]+CallLog[[#This Row],[Time]]</f>
        <v>44238.71</v>
      </c>
      <c r="F2435" s="1" t="str">
        <f>TEXT(CallLog[[#This Row],[Date]],"dddd")</f>
        <v>Thursday</v>
      </c>
      <c r="G2435" s="3">
        <f>HOUR(CallLog[[#This Row],[Time]])</f>
        <v>17</v>
      </c>
      <c r="H2435" t="s">
        <v>13</v>
      </c>
      <c r="I2435" t="s">
        <v>14</v>
      </c>
      <c r="J2435" t="s">
        <v>14</v>
      </c>
      <c r="K2435">
        <v>91</v>
      </c>
      <c r="L2435" t="str">
        <f>IF(AND(CallLog[[#This Row],[Answered (Y/N)]]="Y", CallLog[[#This Row],[Speed of answer in seconds]]&lt;=20),
    "Within",
    "Breach")</f>
        <v>Breach</v>
      </c>
      <c r="M2435" s="1">
        <v>4.2592592592592595E-3</v>
      </c>
      <c r="N2435">
        <v>2</v>
      </c>
    </row>
    <row r="2436" spans="1:14" x14ac:dyDescent="0.3">
      <c r="A2436" t="s">
        <v>2501</v>
      </c>
      <c r="B2436" t="s">
        <v>22</v>
      </c>
      <c r="C2436" t="s">
        <v>2431</v>
      </c>
      <c r="D2436" s="1">
        <v>0.72499999999999998</v>
      </c>
      <c r="E2436" s="2">
        <f>CallLog[[#This Row],[Date]]+CallLog[[#This Row],[Time]]</f>
        <v>44238.724999999999</v>
      </c>
      <c r="F2436" s="1" t="str">
        <f>TEXT(CallLog[[#This Row],[Date]],"dddd")</f>
        <v>Thursday</v>
      </c>
      <c r="G2436" s="3">
        <f>HOUR(CallLog[[#This Row],[Time]])</f>
        <v>17</v>
      </c>
      <c r="H2436" t="s">
        <v>24</v>
      </c>
      <c r="I2436" t="s">
        <v>14</v>
      </c>
      <c r="J2436" t="s">
        <v>14</v>
      </c>
      <c r="K2436">
        <v>91</v>
      </c>
      <c r="L2436" t="str">
        <f>IF(AND(CallLog[[#This Row],[Answered (Y/N)]]="Y", CallLog[[#This Row],[Speed of answer in seconds]]&lt;=20),
    "Within",
    "Breach")</f>
        <v>Breach</v>
      </c>
      <c r="M2436" s="1">
        <v>1.2152777777777778E-3</v>
      </c>
      <c r="N2436">
        <v>2</v>
      </c>
    </row>
    <row r="2437" spans="1:14" x14ac:dyDescent="0.3">
      <c r="A2437" t="s">
        <v>2502</v>
      </c>
      <c r="B2437" t="s">
        <v>11</v>
      </c>
      <c r="C2437" t="s">
        <v>2431</v>
      </c>
      <c r="D2437" s="1">
        <v>0.72499999999999998</v>
      </c>
      <c r="E2437" s="2">
        <f>CallLog[[#This Row],[Date]]+CallLog[[#This Row],[Time]]</f>
        <v>44238.724999999999</v>
      </c>
      <c r="F2437" s="1" t="str">
        <f>TEXT(CallLog[[#This Row],[Date]],"dddd")</f>
        <v>Thursday</v>
      </c>
      <c r="G2437" s="3">
        <f>HOUR(CallLog[[#This Row],[Time]])</f>
        <v>17</v>
      </c>
      <c r="H2437" t="s">
        <v>29</v>
      </c>
      <c r="I2437" t="s">
        <v>14</v>
      </c>
      <c r="J2437" t="s">
        <v>14</v>
      </c>
      <c r="K2437">
        <v>99</v>
      </c>
      <c r="L2437" t="str">
        <f>IF(AND(CallLog[[#This Row],[Answered (Y/N)]]="Y", CallLog[[#This Row],[Speed of answer in seconds]]&lt;=20),
    "Within",
    "Breach")</f>
        <v>Breach</v>
      </c>
      <c r="M2437" s="1">
        <v>7.5231481481481482E-4</v>
      </c>
      <c r="N2437">
        <v>3</v>
      </c>
    </row>
    <row r="2438" spans="1:14" x14ac:dyDescent="0.3">
      <c r="A2438" t="s">
        <v>2503</v>
      </c>
      <c r="B2438" t="s">
        <v>38</v>
      </c>
      <c r="C2438" t="s">
        <v>2504</v>
      </c>
      <c r="D2438" s="1">
        <v>0.38400462962962961</v>
      </c>
      <c r="E2438" s="2">
        <f>CallLog[[#This Row],[Date]]+CallLog[[#This Row],[Time]]</f>
        <v>44239.384004629632</v>
      </c>
      <c r="F2438" s="1" t="str">
        <f>TEXT(CallLog[[#This Row],[Date]],"dddd")</f>
        <v>Friday</v>
      </c>
      <c r="G2438" s="3">
        <f>HOUR(CallLog[[#This Row],[Time]])</f>
        <v>9</v>
      </c>
      <c r="H2438" t="s">
        <v>13</v>
      </c>
      <c r="I2438" t="s">
        <v>18</v>
      </c>
      <c r="J2438" t="s">
        <v>18</v>
      </c>
      <c r="L2438" t="str">
        <f>IF(AND(CallLog[[#This Row],[Answered (Y/N)]]="Y", CallLog[[#This Row],[Speed of answer in seconds]]&lt;=20),
    "Within",
    "Breach")</f>
        <v>Breach</v>
      </c>
    </row>
    <row r="2439" spans="1:14" x14ac:dyDescent="0.3">
      <c r="A2439" t="s">
        <v>2505</v>
      </c>
      <c r="B2439" t="s">
        <v>34</v>
      </c>
      <c r="C2439" t="s">
        <v>2504</v>
      </c>
      <c r="D2439" s="1">
        <v>0.38400462962962961</v>
      </c>
      <c r="E2439" s="2">
        <f>CallLog[[#This Row],[Date]]+CallLog[[#This Row],[Time]]</f>
        <v>44239.384004629632</v>
      </c>
      <c r="F2439" s="1" t="str">
        <f>TEXT(CallLog[[#This Row],[Date]],"dddd")</f>
        <v>Friday</v>
      </c>
      <c r="G2439" s="3">
        <f>HOUR(CallLog[[#This Row],[Time]])</f>
        <v>9</v>
      </c>
      <c r="H2439" t="s">
        <v>24</v>
      </c>
      <c r="I2439" t="s">
        <v>18</v>
      </c>
      <c r="J2439" t="s">
        <v>18</v>
      </c>
      <c r="L2439" t="str">
        <f>IF(AND(CallLog[[#This Row],[Answered (Y/N)]]="Y", CallLog[[#This Row],[Speed of answer in seconds]]&lt;=20),
    "Within",
    "Breach")</f>
        <v>Breach</v>
      </c>
    </row>
    <row r="2440" spans="1:14" x14ac:dyDescent="0.3">
      <c r="A2440" t="s">
        <v>2506</v>
      </c>
      <c r="B2440" t="s">
        <v>38</v>
      </c>
      <c r="C2440" t="s">
        <v>2504</v>
      </c>
      <c r="D2440" s="1">
        <v>0.41700231481481481</v>
      </c>
      <c r="E2440" s="2">
        <f>CallLog[[#This Row],[Date]]+CallLog[[#This Row],[Time]]</f>
        <v>44239.417002314818</v>
      </c>
      <c r="F2440" s="1" t="str">
        <f>TEXT(CallLog[[#This Row],[Date]],"dddd")</f>
        <v>Friday</v>
      </c>
      <c r="G2440" s="3">
        <f>HOUR(CallLog[[#This Row],[Time]])</f>
        <v>10</v>
      </c>
      <c r="H2440" t="s">
        <v>17</v>
      </c>
      <c r="I2440" t="s">
        <v>14</v>
      </c>
      <c r="J2440" t="s">
        <v>14</v>
      </c>
      <c r="K2440">
        <v>101</v>
      </c>
      <c r="L2440" t="str">
        <f>IF(AND(CallLog[[#This Row],[Answered (Y/N)]]="Y", CallLog[[#This Row],[Speed of answer in seconds]]&lt;=20),
    "Within",
    "Breach")</f>
        <v>Breach</v>
      </c>
      <c r="M2440" s="1">
        <v>3.6574074074074074E-3</v>
      </c>
      <c r="N2440">
        <v>3</v>
      </c>
    </row>
    <row r="2441" spans="1:14" x14ac:dyDescent="0.3">
      <c r="A2441" t="s">
        <v>2507</v>
      </c>
      <c r="B2441" t="s">
        <v>11</v>
      </c>
      <c r="C2441" t="s">
        <v>2504</v>
      </c>
      <c r="D2441" s="1">
        <v>0.41700231481481481</v>
      </c>
      <c r="E2441" s="2">
        <f>CallLog[[#This Row],[Date]]+CallLog[[#This Row],[Time]]</f>
        <v>44239.417002314818</v>
      </c>
      <c r="F2441" s="1" t="str">
        <f>TEXT(CallLog[[#This Row],[Date]],"dddd")</f>
        <v>Friday</v>
      </c>
      <c r="G2441" s="3">
        <f>HOUR(CallLog[[#This Row],[Time]])</f>
        <v>10</v>
      </c>
      <c r="H2441" t="s">
        <v>17</v>
      </c>
      <c r="I2441" t="s">
        <v>14</v>
      </c>
      <c r="J2441" t="s">
        <v>14</v>
      </c>
      <c r="K2441">
        <v>61</v>
      </c>
      <c r="L2441" t="str">
        <f>IF(AND(CallLog[[#This Row],[Answered (Y/N)]]="Y", CallLog[[#This Row],[Speed of answer in seconds]]&lt;=20),
    "Within",
    "Breach")</f>
        <v>Breach</v>
      </c>
      <c r="M2441" s="1">
        <v>3.0671296296296297E-3</v>
      </c>
      <c r="N2441">
        <v>1</v>
      </c>
    </row>
    <row r="2442" spans="1:14" x14ac:dyDescent="0.3">
      <c r="A2442" t="s">
        <v>2508</v>
      </c>
      <c r="B2442" t="s">
        <v>16</v>
      </c>
      <c r="C2442" t="s">
        <v>2504</v>
      </c>
      <c r="D2442" s="1">
        <v>0.42599537037037039</v>
      </c>
      <c r="E2442" s="2">
        <f>CallLog[[#This Row],[Date]]+CallLog[[#This Row],[Time]]</f>
        <v>44239.425995370373</v>
      </c>
      <c r="F2442" s="1" t="str">
        <f>TEXT(CallLog[[#This Row],[Date]],"dddd")</f>
        <v>Friday</v>
      </c>
      <c r="G2442" s="3">
        <f>HOUR(CallLog[[#This Row],[Time]])</f>
        <v>10</v>
      </c>
      <c r="H2442" t="s">
        <v>32</v>
      </c>
      <c r="I2442" t="s">
        <v>14</v>
      </c>
      <c r="J2442" t="s">
        <v>14</v>
      </c>
      <c r="K2442">
        <v>35</v>
      </c>
      <c r="L2442" t="str">
        <f>IF(AND(CallLog[[#This Row],[Answered (Y/N)]]="Y", CallLog[[#This Row],[Speed of answer in seconds]]&lt;=20),
    "Within",
    "Breach")</f>
        <v>Breach</v>
      </c>
      <c r="M2442" s="1">
        <v>1.7476851851851852E-3</v>
      </c>
      <c r="N2442">
        <v>4</v>
      </c>
    </row>
    <row r="2443" spans="1:14" x14ac:dyDescent="0.3">
      <c r="A2443" t="s">
        <v>2509</v>
      </c>
      <c r="B2443" t="s">
        <v>34</v>
      </c>
      <c r="C2443" t="s">
        <v>2504</v>
      </c>
      <c r="D2443" s="1">
        <v>0.42599537037037039</v>
      </c>
      <c r="E2443" s="2">
        <f>CallLog[[#This Row],[Date]]+CallLog[[#This Row],[Time]]</f>
        <v>44239.425995370373</v>
      </c>
      <c r="F2443" s="1" t="str">
        <f>TEXT(CallLog[[#This Row],[Date]],"dddd")</f>
        <v>Friday</v>
      </c>
      <c r="G2443" s="3">
        <f>HOUR(CallLog[[#This Row],[Time]])</f>
        <v>10</v>
      </c>
      <c r="H2443" t="s">
        <v>13</v>
      </c>
      <c r="I2443" t="s">
        <v>14</v>
      </c>
      <c r="J2443" t="s">
        <v>18</v>
      </c>
      <c r="K2443">
        <v>55</v>
      </c>
      <c r="L2443" t="str">
        <f>IF(AND(CallLog[[#This Row],[Answered (Y/N)]]="Y", CallLog[[#This Row],[Speed of answer in seconds]]&lt;=20),
    "Within",
    "Breach")</f>
        <v>Breach</v>
      </c>
      <c r="M2443" s="1">
        <v>2.9398148148148148E-3</v>
      </c>
      <c r="N2443">
        <v>1</v>
      </c>
    </row>
    <row r="2444" spans="1:14" x14ac:dyDescent="0.3">
      <c r="A2444" t="s">
        <v>2510</v>
      </c>
      <c r="B2444" t="s">
        <v>38</v>
      </c>
      <c r="C2444" t="s">
        <v>2504</v>
      </c>
      <c r="D2444" s="1">
        <v>0.42799768518518516</v>
      </c>
      <c r="E2444" s="2">
        <f>CallLog[[#This Row],[Date]]+CallLog[[#This Row],[Time]]</f>
        <v>44239.427997685183</v>
      </c>
      <c r="F2444" s="1" t="str">
        <f>TEXT(CallLog[[#This Row],[Date]],"dddd")</f>
        <v>Friday</v>
      </c>
      <c r="G2444" s="3">
        <f>HOUR(CallLog[[#This Row],[Time]])</f>
        <v>10</v>
      </c>
      <c r="H2444" t="s">
        <v>29</v>
      </c>
      <c r="I2444" t="s">
        <v>18</v>
      </c>
      <c r="J2444" t="s">
        <v>18</v>
      </c>
      <c r="L2444" t="str">
        <f>IF(AND(CallLog[[#This Row],[Answered (Y/N)]]="Y", CallLog[[#This Row],[Speed of answer in seconds]]&lt;=20),
    "Within",
    "Breach")</f>
        <v>Breach</v>
      </c>
    </row>
    <row r="2445" spans="1:14" x14ac:dyDescent="0.3">
      <c r="A2445" t="s">
        <v>2511</v>
      </c>
      <c r="B2445" t="s">
        <v>31</v>
      </c>
      <c r="C2445" t="s">
        <v>2504</v>
      </c>
      <c r="D2445" s="1">
        <v>0.42799768518518516</v>
      </c>
      <c r="E2445" s="2">
        <f>CallLog[[#This Row],[Date]]+CallLog[[#This Row],[Time]]</f>
        <v>44239.427997685183</v>
      </c>
      <c r="F2445" s="1" t="str">
        <f>TEXT(CallLog[[#This Row],[Date]],"dddd")</f>
        <v>Friday</v>
      </c>
      <c r="G2445" s="3">
        <f>HOUR(CallLog[[#This Row],[Time]])</f>
        <v>10</v>
      </c>
      <c r="H2445" t="s">
        <v>17</v>
      </c>
      <c r="I2445" t="s">
        <v>18</v>
      </c>
      <c r="J2445" t="s">
        <v>18</v>
      </c>
      <c r="L2445" t="str">
        <f>IF(AND(CallLog[[#This Row],[Answered (Y/N)]]="Y", CallLog[[#This Row],[Speed of answer in seconds]]&lt;=20),
    "Within",
    "Breach")</f>
        <v>Breach</v>
      </c>
    </row>
    <row r="2446" spans="1:14" x14ac:dyDescent="0.3">
      <c r="A2446" t="s">
        <v>2512</v>
      </c>
      <c r="B2446" t="s">
        <v>16</v>
      </c>
      <c r="C2446" t="s">
        <v>2504</v>
      </c>
      <c r="D2446" s="1">
        <v>0.43400462962962966</v>
      </c>
      <c r="E2446" s="2">
        <f>CallLog[[#This Row],[Date]]+CallLog[[#This Row],[Time]]</f>
        <v>44239.434004629627</v>
      </c>
      <c r="F2446" s="1" t="str">
        <f>TEXT(CallLog[[#This Row],[Date]],"dddd")</f>
        <v>Friday</v>
      </c>
      <c r="G2446" s="3">
        <f>HOUR(CallLog[[#This Row],[Time]])</f>
        <v>10</v>
      </c>
      <c r="H2446" t="s">
        <v>29</v>
      </c>
      <c r="I2446" t="s">
        <v>14</v>
      </c>
      <c r="J2446" t="s">
        <v>14</v>
      </c>
      <c r="K2446">
        <v>107</v>
      </c>
      <c r="L2446" t="str">
        <f>IF(AND(CallLog[[#This Row],[Answered (Y/N)]]="Y", CallLog[[#This Row],[Speed of answer in seconds]]&lt;=20),
    "Within",
    "Breach")</f>
        <v>Breach</v>
      </c>
      <c r="M2446" s="1">
        <v>2.662037037037037E-3</v>
      </c>
      <c r="N2446">
        <v>5</v>
      </c>
    </row>
    <row r="2447" spans="1:14" x14ac:dyDescent="0.3">
      <c r="A2447" t="s">
        <v>2513</v>
      </c>
      <c r="B2447" t="s">
        <v>16</v>
      </c>
      <c r="C2447" t="s">
        <v>2504</v>
      </c>
      <c r="D2447" s="1">
        <v>0.43400462962962966</v>
      </c>
      <c r="E2447" s="2">
        <f>CallLog[[#This Row],[Date]]+CallLog[[#This Row],[Time]]</f>
        <v>44239.434004629627</v>
      </c>
      <c r="F2447" s="1" t="str">
        <f>TEXT(CallLog[[#This Row],[Date]],"dddd")</f>
        <v>Friday</v>
      </c>
      <c r="G2447" s="3">
        <f>HOUR(CallLog[[#This Row],[Time]])</f>
        <v>10</v>
      </c>
      <c r="H2447" t="s">
        <v>32</v>
      </c>
      <c r="I2447" t="s">
        <v>14</v>
      </c>
      <c r="J2447" t="s">
        <v>14</v>
      </c>
      <c r="K2447">
        <v>21</v>
      </c>
      <c r="L2447" t="str">
        <f>IF(AND(CallLog[[#This Row],[Answered (Y/N)]]="Y", CallLog[[#This Row],[Speed of answer in seconds]]&lt;=20),
    "Within",
    "Breach")</f>
        <v>Breach</v>
      </c>
      <c r="M2447" s="1">
        <v>4.8611111111111112E-3</v>
      </c>
      <c r="N2447">
        <v>5</v>
      </c>
    </row>
    <row r="2448" spans="1:14" x14ac:dyDescent="0.3">
      <c r="A2448" t="s">
        <v>2514</v>
      </c>
      <c r="B2448" t="s">
        <v>34</v>
      </c>
      <c r="C2448" t="s">
        <v>2504</v>
      </c>
      <c r="D2448" s="1">
        <v>0.435</v>
      </c>
      <c r="E2448" s="2">
        <f>CallLog[[#This Row],[Date]]+CallLog[[#This Row],[Time]]</f>
        <v>44239.434999999998</v>
      </c>
      <c r="F2448" s="1" t="str">
        <f>TEXT(CallLog[[#This Row],[Date]],"dddd")</f>
        <v>Friday</v>
      </c>
      <c r="G2448" s="3">
        <f>HOUR(CallLog[[#This Row],[Time]])</f>
        <v>10</v>
      </c>
      <c r="H2448" t="s">
        <v>13</v>
      </c>
      <c r="I2448" t="s">
        <v>14</v>
      </c>
      <c r="J2448" t="s">
        <v>14</v>
      </c>
      <c r="K2448">
        <v>79</v>
      </c>
      <c r="L2448" t="str">
        <f>IF(AND(CallLog[[#This Row],[Answered (Y/N)]]="Y", CallLog[[#This Row],[Speed of answer in seconds]]&lt;=20),
    "Within",
    "Breach")</f>
        <v>Breach</v>
      </c>
      <c r="M2448" s="1">
        <v>2.4421296296296296E-3</v>
      </c>
      <c r="N2448">
        <v>4</v>
      </c>
    </row>
    <row r="2449" spans="1:14" x14ac:dyDescent="0.3">
      <c r="A2449" t="s">
        <v>2515</v>
      </c>
      <c r="B2449" t="s">
        <v>11</v>
      </c>
      <c r="C2449" t="s">
        <v>2504</v>
      </c>
      <c r="D2449" s="1">
        <v>0.435</v>
      </c>
      <c r="E2449" s="2">
        <f>CallLog[[#This Row],[Date]]+CallLog[[#This Row],[Time]]</f>
        <v>44239.434999999998</v>
      </c>
      <c r="F2449" s="1" t="str">
        <f>TEXT(CallLog[[#This Row],[Date]],"dddd")</f>
        <v>Friday</v>
      </c>
      <c r="G2449" s="3">
        <f>HOUR(CallLog[[#This Row],[Time]])</f>
        <v>10</v>
      </c>
      <c r="H2449" t="s">
        <v>24</v>
      </c>
      <c r="I2449" t="s">
        <v>14</v>
      </c>
      <c r="J2449" t="s">
        <v>14</v>
      </c>
      <c r="K2449">
        <v>67</v>
      </c>
      <c r="L2449" t="str">
        <f>IF(AND(CallLog[[#This Row],[Answered (Y/N)]]="Y", CallLog[[#This Row],[Speed of answer in seconds]]&lt;=20),
    "Within",
    "Breach")</f>
        <v>Breach</v>
      </c>
      <c r="M2449" s="1">
        <v>1.5856481481481481E-3</v>
      </c>
      <c r="N2449">
        <v>3</v>
      </c>
    </row>
    <row r="2450" spans="1:14" x14ac:dyDescent="0.3">
      <c r="A2450" t="s">
        <v>2516</v>
      </c>
      <c r="B2450" t="s">
        <v>16</v>
      </c>
      <c r="C2450" t="s">
        <v>2504</v>
      </c>
      <c r="D2450" s="1">
        <v>0.43900462962962961</v>
      </c>
      <c r="E2450" s="2">
        <f>CallLog[[#This Row],[Date]]+CallLog[[#This Row],[Time]]</f>
        <v>44239.439004629632</v>
      </c>
      <c r="F2450" s="1" t="str">
        <f>TEXT(CallLog[[#This Row],[Date]],"dddd")</f>
        <v>Friday</v>
      </c>
      <c r="G2450" s="3">
        <f>HOUR(CallLog[[#This Row],[Time]])</f>
        <v>10</v>
      </c>
      <c r="H2450" t="s">
        <v>17</v>
      </c>
      <c r="I2450" t="s">
        <v>14</v>
      </c>
      <c r="J2450" t="s">
        <v>14</v>
      </c>
      <c r="K2450">
        <v>32</v>
      </c>
      <c r="L2450" t="str">
        <f>IF(AND(CallLog[[#This Row],[Answered (Y/N)]]="Y", CallLog[[#This Row],[Speed of answer in seconds]]&lt;=20),
    "Within",
    "Breach")</f>
        <v>Breach</v>
      </c>
      <c r="M2450" s="1">
        <v>1.2962962962962963E-3</v>
      </c>
      <c r="N2450">
        <v>3</v>
      </c>
    </row>
    <row r="2451" spans="1:14" x14ac:dyDescent="0.3">
      <c r="A2451" t="s">
        <v>2517</v>
      </c>
      <c r="B2451" t="s">
        <v>16</v>
      </c>
      <c r="C2451" t="s">
        <v>2504</v>
      </c>
      <c r="D2451" s="1">
        <v>0.43900462962962961</v>
      </c>
      <c r="E2451" s="2">
        <f>CallLog[[#This Row],[Date]]+CallLog[[#This Row],[Time]]</f>
        <v>44239.439004629632</v>
      </c>
      <c r="F2451" s="1" t="str">
        <f>TEXT(CallLog[[#This Row],[Date]],"dddd")</f>
        <v>Friday</v>
      </c>
      <c r="G2451" s="3">
        <f>HOUR(CallLog[[#This Row],[Time]])</f>
        <v>10</v>
      </c>
      <c r="H2451" t="s">
        <v>13</v>
      </c>
      <c r="I2451" t="s">
        <v>18</v>
      </c>
      <c r="J2451" t="s">
        <v>18</v>
      </c>
      <c r="L2451" t="str">
        <f>IF(AND(CallLog[[#This Row],[Answered (Y/N)]]="Y", CallLog[[#This Row],[Speed of answer in seconds]]&lt;=20),
    "Within",
    "Breach")</f>
        <v>Breach</v>
      </c>
    </row>
    <row r="2452" spans="1:14" x14ac:dyDescent="0.3">
      <c r="A2452" t="s">
        <v>2518</v>
      </c>
      <c r="B2452" t="s">
        <v>38</v>
      </c>
      <c r="C2452" t="s">
        <v>2504</v>
      </c>
      <c r="D2452" s="1">
        <v>0.44900462962962961</v>
      </c>
      <c r="E2452" s="2">
        <f>CallLog[[#This Row],[Date]]+CallLog[[#This Row],[Time]]</f>
        <v>44239.449004629627</v>
      </c>
      <c r="F2452" s="1" t="str">
        <f>TEXT(CallLog[[#This Row],[Date]],"dddd")</f>
        <v>Friday</v>
      </c>
      <c r="G2452" s="3">
        <f>HOUR(CallLog[[#This Row],[Time]])</f>
        <v>10</v>
      </c>
      <c r="H2452" t="s">
        <v>13</v>
      </c>
      <c r="I2452" t="s">
        <v>14</v>
      </c>
      <c r="J2452" t="s">
        <v>14</v>
      </c>
      <c r="K2452">
        <v>79</v>
      </c>
      <c r="L2452" t="str">
        <f>IF(AND(CallLog[[#This Row],[Answered (Y/N)]]="Y", CallLog[[#This Row],[Speed of answer in seconds]]&lt;=20),
    "Within",
    "Breach")</f>
        <v>Breach</v>
      </c>
      <c r="M2452" s="1">
        <v>3.2986111111111111E-3</v>
      </c>
      <c r="N2452">
        <v>4</v>
      </c>
    </row>
    <row r="2453" spans="1:14" x14ac:dyDescent="0.3">
      <c r="A2453" t="s">
        <v>2519</v>
      </c>
      <c r="B2453" t="s">
        <v>31</v>
      </c>
      <c r="C2453" t="s">
        <v>2504</v>
      </c>
      <c r="D2453" s="1">
        <v>0.44900462962962961</v>
      </c>
      <c r="E2453" s="2">
        <f>CallLog[[#This Row],[Date]]+CallLog[[#This Row],[Time]]</f>
        <v>44239.449004629627</v>
      </c>
      <c r="F2453" s="1" t="str">
        <f>TEXT(CallLog[[#This Row],[Date]],"dddd")</f>
        <v>Friday</v>
      </c>
      <c r="G2453" s="3">
        <f>HOUR(CallLog[[#This Row],[Time]])</f>
        <v>10</v>
      </c>
      <c r="H2453" t="s">
        <v>29</v>
      </c>
      <c r="I2453" t="s">
        <v>14</v>
      </c>
      <c r="J2453" t="s">
        <v>14</v>
      </c>
      <c r="K2453">
        <v>117</v>
      </c>
      <c r="L2453" t="str">
        <f>IF(AND(CallLog[[#This Row],[Answered (Y/N)]]="Y", CallLog[[#This Row],[Speed of answer in seconds]]&lt;=20),
    "Within",
    "Breach")</f>
        <v>Breach</v>
      </c>
      <c r="M2453" s="1">
        <v>2.7662037037037039E-3</v>
      </c>
      <c r="N2453">
        <v>3</v>
      </c>
    </row>
    <row r="2454" spans="1:14" x14ac:dyDescent="0.3">
      <c r="A2454" t="s">
        <v>2520</v>
      </c>
      <c r="B2454" t="s">
        <v>47</v>
      </c>
      <c r="C2454" t="s">
        <v>2504</v>
      </c>
      <c r="D2454" s="1">
        <v>0.45400462962962962</v>
      </c>
      <c r="E2454" s="2">
        <f>CallLog[[#This Row],[Date]]+CallLog[[#This Row],[Time]]</f>
        <v>44239.454004629632</v>
      </c>
      <c r="F2454" s="1" t="str">
        <f>TEXT(CallLog[[#This Row],[Date]],"dddd")</f>
        <v>Friday</v>
      </c>
      <c r="G2454" s="3">
        <f>HOUR(CallLog[[#This Row],[Time]])</f>
        <v>10</v>
      </c>
      <c r="H2454" t="s">
        <v>17</v>
      </c>
      <c r="I2454" t="s">
        <v>14</v>
      </c>
      <c r="J2454" t="s">
        <v>14</v>
      </c>
      <c r="K2454">
        <v>110</v>
      </c>
      <c r="L2454" t="str">
        <f>IF(AND(CallLog[[#This Row],[Answered (Y/N)]]="Y", CallLog[[#This Row],[Speed of answer in seconds]]&lt;=20),
    "Within",
    "Breach")</f>
        <v>Breach</v>
      </c>
      <c r="M2454" s="1">
        <v>3.1365740740740742E-3</v>
      </c>
      <c r="N2454">
        <v>4</v>
      </c>
    </row>
    <row r="2455" spans="1:14" x14ac:dyDescent="0.3">
      <c r="A2455" t="s">
        <v>2521</v>
      </c>
      <c r="B2455" t="s">
        <v>47</v>
      </c>
      <c r="C2455" t="s">
        <v>2504</v>
      </c>
      <c r="D2455" s="1">
        <v>0.45400462962962962</v>
      </c>
      <c r="E2455" s="2">
        <f>CallLog[[#This Row],[Date]]+CallLog[[#This Row],[Time]]</f>
        <v>44239.454004629632</v>
      </c>
      <c r="F2455" s="1" t="str">
        <f>TEXT(CallLog[[#This Row],[Date]],"dddd")</f>
        <v>Friday</v>
      </c>
      <c r="G2455" s="3">
        <f>HOUR(CallLog[[#This Row],[Time]])</f>
        <v>10</v>
      </c>
      <c r="H2455" t="s">
        <v>29</v>
      </c>
      <c r="I2455" t="s">
        <v>14</v>
      </c>
      <c r="J2455" t="s">
        <v>14</v>
      </c>
      <c r="K2455">
        <v>31</v>
      </c>
      <c r="L2455" t="str">
        <f>IF(AND(CallLog[[#This Row],[Answered (Y/N)]]="Y", CallLog[[#This Row],[Speed of answer in seconds]]&lt;=20),
    "Within",
    "Breach")</f>
        <v>Breach</v>
      </c>
      <c r="M2455" s="1">
        <v>3.7037037037037041E-4</v>
      </c>
      <c r="N2455">
        <v>4</v>
      </c>
    </row>
    <row r="2456" spans="1:14" x14ac:dyDescent="0.3">
      <c r="A2456" t="s">
        <v>2522</v>
      </c>
      <c r="B2456" t="s">
        <v>47</v>
      </c>
      <c r="C2456" t="s">
        <v>2504</v>
      </c>
      <c r="D2456" s="1">
        <v>0.46400462962962963</v>
      </c>
      <c r="E2456" s="2">
        <f>CallLog[[#This Row],[Date]]+CallLog[[#This Row],[Time]]</f>
        <v>44239.464004629626</v>
      </c>
      <c r="F2456" s="1" t="str">
        <f>TEXT(CallLog[[#This Row],[Date]],"dddd")</f>
        <v>Friday</v>
      </c>
      <c r="G2456" s="3">
        <f>HOUR(CallLog[[#This Row],[Time]])</f>
        <v>11</v>
      </c>
      <c r="H2456" t="s">
        <v>13</v>
      </c>
      <c r="I2456" t="s">
        <v>18</v>
      </c>
      <c r="J2456" t="s">
        <v>18</v>
      </c>
      <c r="L2456" t="str">
        <f>IF(AND(CallLog[[#This Row],[Answered (Y/N)]]="Y", CallLog[[#This Row],[Speed of answer in seconds]]&lt;=20),
    "Within",
    "Breach")</f>
        <v>Breach</v>
      </c>
    </row>
    <row r="2457" spans="1:14" x14ac:dyDescent="0.3">
      <c r="A2457" t="s">
        <v>2523</v>
      </c>
      <c r="B2457" t="s">
        <v>22</v>
      </c>
      <c r="C2457" t="s">
        <v>2504</v>
      </c>
      <c r="D2457" s="1">
        <v>0.46400462962962963</v>
      </c>
      <c r="E2457" s="2">
        <f>CallLog[[#This Row],[Date]]+CallLog[[#This Row],[Time]]</f>
        <v>44239.464004629626</v>
      </c>
      <c r="F2457" s="1" t="str">
        <f>TEXT(CallLog[[#This Row],[Date]],"dddd")</f>
        <v>Friday</v>
      </c>
      <c r="G2457" s="3">
        <f>HOUR(CallLog[[#This Row],[Time]])</f>
        <v>11</v>
      </c>
      <c r="H2457" t="s">
        <v>32</v>
      </c>
      <c r="I2457" t="s">
        <v>14</v>
      </c>
      <c r="J2457" t="s">
        <v>14</v>
      </c>
      <c r="K2457">
        <v>87</v>
      </c>
      <c r="L2457" t="str">
        <f>IF(AND(CallLog[[#This Row],[Answered (Y/N)]]="Y", CallLog[[#This Row],[Speed of answer in seconds]]&lt;=20),
    "Within",
    "Breach")</f>
        <v>Breach</v>
      </c>
      <c r="M2457" s="1">
        <v>4.5138888888888885E-3</v>
      </c>
      <c r="N2457">
        <v>4</v>
      </c>
    </row>
    <row r="2458" spans="1:14" x14ac:dyDescent="0.3">
      <c r="A2458" t="s">
        <v>2524</v>
      </c>
      <c r="B2458" t="s">
        <v>16</v>
      </c>
      <c r="C2458" t="s">
        <v>2504</v>
      </c>
      <c r="D2458" s="1">
        <v>0.47700231481481481</v>
      </c>
      <c r="E2458" s="2">
        <f>CallLog[[#This Row],[Date]]+CallLog[[#This Row],[Time]]</f>
        <v>44239.477002314816</v>
      </c>
      <c r="F2458" s="1" t="str">
        <f>TEXT(CallLog[[#This Row],[Date]],"dddd")</f>
        <v>Friday</v>
      </c>
      <c r="G2458" s="3">
        <f>HOUR(CallLog[[#This Row],[Time]])</f>
        <v>11</v>
      </c>
      <c r="H2458" t="s">
        <v>17</v>
      </c>
      <c r="I2458" t="s">
        <v>14</v>
      </c>
      <c r="J2458" t="s">
        <v>14</v>
      </c>
      <c r="K2458">
        <v>99</v>
      </c>
      <c r="L2458" t="str">
        <f>IF(AND(CallLog[[#This Row],[Answered (Y/N)]]="Y", CallLog[[#This Row],[Speed of answer in seconds]]&lt;=20),
    "Within",
    "Breach")</f>
        <v>Breach</v>
      </c>
      <c r="M2458" s="1">
        <v>4.8032407407407407E-3</v>
      </c>
      <c r="N2458">
        <v>5</v>
      </c>
    </row>
    <row r="2459" spans="1:14" x14ac:dyDescent="0.3">
      <c r="A2459" t="s">
        <v>2525</v>
      </c>
      <c r="B2459" t="s">
        <v>38</v>
      </c>
      <c r="C2459" t="s">
        <v>2504</v>
      </c>
      <c r="D2459" s="1">
        <v>0.47700231481481481</v>
      </c>
      <c r="E2459" s="2">
        <f>CallLog[[#This Row],[Date]]+CallLog[[#This Row],[Time]]</f>
        <v>44239.477002314816</v>
      </c>
      <c r="F2459" s="1" t="str">
        <f>TEXT(CallLog[[#This Row],[Date]],"dddd")</f>
        <v>Friday</v>
      </c>
      <c r="G2459" s="3">
        <f>HOUR(CallLog[[#This Row],[Time]])</f>
        <v>11</v>
      </c>
      <c r="H2459" t="s">
        <v>32</v>
      </c>
      <c r="I2459" t="s">
        <v>14</v>
      </c>
      <c r="J2459" t="s">
        <v>14</v>
      </c>
      <c r="K2459">
        <v>83</v>
      </c>
      <c r="L2459" t="str">
        <f>IF(AND(CallLog[[#This Row],[Answered (Y/N)]]="Y", CallLog[[#This Row],[Speed of answer in seconds]]&lt;=20),
    "Within",
    "Breach")</f>
        <v>Breach</v>
      </c>
      <c r="M2459" s="1">
        <v>2.5810185185185185E-3</v>
      </c>
      <c r="N2459">
        <v>4</v>
      </c>
    </row>
    <row r="2460" spans="1:14" x14ac:dyDescent="0.3">
      <c r="A2460" t="s">
        <v>2526</v>
      </c>
      <c r="B2460" t="s">
        <v>11</v>
      </c>
      <c r="C2460" t="s">
        <v>2504</v>
      </c>
      <c r="D2460" s="1">
        <v>0.49599537037037039</v>
      </c>
      <c r="E2460" s="2">
        <f>CallLog[[#This Row],[Date]]+CallLog[[#This Row],[Time]]</f>
        <v>44239.495995370373</v>
      </c>
      <c r="F2460" s="1" t="str">
        <f>TEXT(CallLog[[#This Row],[Date]],"dddd")</f>
        <v>Friday</v>
      </c>
      <c r="G2460" s="3">
        <f>HOUR(CallLog[[#This Row],[Time]])</f>
        <v>11</v>
      </c>
      <c r="H2460" t="s">
        <v>29</v>
      </c>
      <c r="I2460" t="s">
        <v>14</v>
      </c>
      <c r="J2460" t="s">
        <v>14</v>
      </c>
      <c r="K2460">
        <v>36</v>
      </c>
      <c r="L2460" t="str">
        <f>IF(AND(CallLog[[#This Row],[Answered (Y/N)]]="Y", CallLog[[#This Row],[Speed of answer in seconds]]&lt;=20),
    "Within",
    "Breach")</f>
        <v>Breach</v>
      </c>
      <c r="M2460" s="1">
        <v>4.31712962962963E-3</v>
      </c>
      <c r="N2460">
        <v>3</v>
      </c>
    </row>
    <row r="2461" spans="1:14" x14ac:dyDescent="0.3">
      <c r="A2461" t="s">
        <v>2527</v>
      </c>
      <c r="B2461" t="s">
        <v>47</v>
      </c>
      <c r="C2461" t="s">
        <v>2504</v>
      </c>
      <c r="D2461" s="1">
        <v>0.49599537037037039</v>
      </c>
      <c r="E2461" s="2">
        <f>CallLog[[#This Row],[Date]]+CallLog[[#This Row],[Time]]</f>
        <v>44239.495995370373</v>
      </c>
      <c r="F2461" s="1" t="str">
        <f>TEXT(CallLog[[#This Row],[Date]],"dddd")</f>
        <v>Friday</v>
      </c>
      <c r="G2461" s="3">
        <f>HOUR(CallLog[[#This Row],[Time]])</f>
        <v>11</v>
      </c>
      <c r="H2461" t="s">
        <v>29</v>
      </c>
      <c r="I2461" t="s">
        <v>14</v>
      </c>
      <c r="J2461" t="s">
        <v>14</v>
      </c>
      <c r="K2461">
        <v>67</v>
      </c>
      <c r="L2461" t="str">
        <f>IF(AND(CallLog[[#This Row],[Answered (Y/N)]]="Y", CallLog[[#This Row],[Speed of answer in seconds]]&lt;=20),
    "Within",
    "Breach")</f>
        <v>Breach</v>
      </c>
      <c r="M2461" s="1">
        <v>4.7685185185185183E-3</v>
      </c>
      <c r="N2461">
        <v>3</v>
      </c>
    </row>
    <row r="2462" spans="1:14" x14ac:dyDescent="0.3">
      <c r="A2462" t="s">
        <v>2528</v>
      </c>
      <c r="B2462" t="s">
        <v>20</v>
      </c>
      <c r="C2462" t="s">
        <v>2504</v>
      </c>
      <c r="D2462" s="1">
        <v>0.51</v>
      </c>
      <c r="E2462" s="2">
        <f>CallLog[[#This Row],[Date]]+CallLog[[#This Row],[Time]]</f>
        <v>44239.51</v>
      </c>
      <c r="F2462" s="1" t="str">
        <f>TEXT(CallLog[[#This Row],[Date]],"dddd")</f>
        <v>Friday</v>
      </c>
      <c r="G2462" s="3">
        <f>HOUR(CallLog[[#This Row],[Time]])</f>
        <v>12</v>
      </c>
      <c r="H2462" t="s">
        <v>17</v>
      </c>
      <c r="I2462" t="s">
        <v>14</v>
      </c>
      <c r="J2462" t="s">
        <v>14</v>
      </c>
      <c r="K2462">
        <v>91</v>
      </c>
      <c r="L2462" t="str">
        <f>IF(AND(CallLog[[#This Row],[Answered (Y/N)]]="Y", CallLog[[#This Row],[Speed of answer in seconds]]&lt;=20),
    "Within",
    "Breach")</f>
        <v>Breach</v>
      </c>
      <c r="M2462" s="1">
        <v>2.1527777777777778E-3</v>
      </c>
      <c r="N2462">
        <v>4</v>
      </c>
    </row>
    <row r="2463" spans="1:14" x14ac:dyDescent="0.3">
      <c r="A2463" t="s">
        <v>2529</v>
      </c>
      <c r="B2463" t="s">
        <v>47</v>
      </c>
      <c r="C2463" t="s">
        <v>2504</v>
      </c>
      <c r="D2463" s="1">
        <v>0.51</v>
      </c>
      <c r="E2463" s="2">
        <f>CallLog[[#This Row],[Date]]+CallLog[[#This Row],[Time]]</f>
        <v>44239.51</v>
      </c>
      <c r="F2463" s="1" t="str">
        <f>TEXT(CallLog[[#This Row],[Date]],"dddd")</f>
        <v>Friday</v>
      </c>
      <c r="G2463" s="3">
        <f>HOUR(CallLog[[#This Row],[Time]])</f>
        <v>12</v>
      </c>
      <c r="H2463" t="s">
        <v>17</v>
      </c>
      <c r="I2463" t="s">
        <v>18</v>
      </c>
      <c r="J2463" t="s">
        <v>18</v>
      </c>
      <c r="L2463" t="str">
        <f>IF(AND(CallLog[[#This Row],[Answered (Y/N)]]="Y", CallLog[[#This Row],[Speed of answer in seconds]]&lt;=20),
    "Within",
    "Breach")</f>
        <v>Breach</v>
      </c>
    </row>
    <row r="2464" spans="1:14" x14ac:dyDescent="0.3">
      <c r="A2464" t="s">
        <v>2530</v>
      </c>
      <c r="B2464" t="s">
        <v>22</v>
      </c>
      <c r="C2464" t="s">
        <v>2504</v>
      </c>
      <c r="D2464" s="1">
        <v>0.51700231481481485</v>
      </c>
      <c r="E2464" s="2">
        <f>CallLog[[#This Row],[Date]]+CallLog[[#This Row],[Time]]</f>
        <v>44239.517002314817</v>
      </c>
      <c r="F2464" s="1" t="str">
        <f>TEXT(CallLog[[#This Row],[Date]],"dddd")</f>
        <v>Friday</v>
      </c>
      <c r="G2464" s="3">
        <f>HOUR(CallLog[[#This Row],[Time]])</f>
        <v>12</v>
      </c>
      <c r="H2464" t="s">
        <v>32</v>
      </c>
      <c r="I2464" t="s">
        <v>14</v>
      </c>
      <c r="J2464" t="s">
        <v>14</v>
      </c>
      <c r="K2464">
        <v>29</v>
      </c>
      <c r="L2464" t="str">
        <f>IF(AND(CallLog[[#This Row],[Answered (Y/N)]]="Y", CallLog[[#This Row],[Speed of answer in seconds]]&lt;=20),
    "Within",
    "Breach")</f>
        <v>Breach</v>
      </c>
      <c r="M2464" s="1">
        <v>4.1203703703703706E-3</v>
      </c>
      <c r="N2464">
        <v>3</v>
      </c>
    </row>
    <row r="2465" spans="1:14" x14ac:dyDescent="0.3">
      <c r="A2465" t="s">
        <v>2531</v>
      </c>
      <c r="B2465" t="s">
        <v>11</v>
      </c>
      <c r="C2465" t="s">
        <v>2504</v>
      </c>
      <c r="D2465" s="1">
        <v>0.51700231481481485</v>
      </c>
      <c r="E2465" s="2">
        <f>CallLog[[#This Row],[Date]]+CallLog[[#This Row],[Time]]</f>
        <v>44239.517002314817</v>
      </c>
      <c r="F2465" s="1" t="str">
        <f>TEXT(CallLog[[#This Row],[Date]],"dddd")</f>
        <v>Friday</v>
      </c>
      <c r="G2465" s="3">
        <f>HOUR(CallLog[[#This Row],[Time]])</f>
        <v>12</v>
      </c>
      <c r="H2465" t="s">
        <v>29</v>
      </c>
      <c r="I2465" t="s">
        <v>14</v>
      </c>
      <c r="J2465" t="s">
        <v>14</v>
      </c>
      <c r="K2465">
        <v>86</v>
      </c>
      <c r="L2465" t="str">
        <f>IF(AND(CallLog[[#This Row],[Answered (Y/N)]]="Y", CallLog[[#This Row],[Speed of answer in seconds]]&lt;=20),
    "Within",
    "Breach")</f>
        <v>Breach</v>
      </c>
      <c r="M2465" s="1">
        <v>2.9166666666666668E-3</v>
      </c>
      <c r="N2465">
        <v>1</v>
      </c>
    </row>
    <row r="2466" spans="1:14" x14ac:dyDescent="0.3">
      <c r="A2466" t="s">
        <v>2532</v>
      </c>
      <c r="B2466" t="s">
        <v>31</v>
      </c>
      <c r="C2466" t="s">
        <v>2504</v>
      </c>
      <c r="D2466" s="1">
        <v>0.53500000000000003</v>
      </c>
      <c r="E2466" s="2">
        <f>CallLog[[#This Row],[Date]]+CallLog[[#This Row],[Time]]</f>
        <v>44239.535000000003</v>
      </c>
      <c r="F2466" s="1" t="str">
        <f>TEXT(CallLog[[#This Row],[Date]],"dddd")</f>
        <v>Friday</v>
      </c>
      <c r="G2466" s="3">
        <f>HOUR(CallLog[[#This Row],[Time]])</f>
        <v>12</v>
      </c>
      <c r="H2466" t="s">
        <v>24</v>
      </c>
      <c r="I2466" t="s">
        <v>14</v>
      </c>
      <c r="J2466" t="s">
        <v>14</v>
      </c>
      <c r="K2466">
        <v>58</v>
      </c>
      <c r="L2466" t="str">
        <f>IF(AND(CallLog[[#This Row],[Answered (Y/N)]]="Y", CallLog[[#This Row],[Speed of answer in seconds]]&lt;=20),
    "Within",
    "Breach")</f>
        <v>Breach</v>
      </c>
      <c r="M2466" s="1">
        <v>1.2962962962962963E-3</v>
      </c>
      <c r="N2466">
        <v>5</v>
      </c>
    </row>
    <row r="2467" spans="1:14" x14ac:dyDescent="0.3">
      <c r="A2467" t="s">
        <v>2533</v>
      </c>
      <c r="B2467" t="s">
        <v>22</v>
      </c>
      <c r="C2467" t="s">
        <v>2504</v>
      </c>
      <c r="D2467" s="1">
        <v>0.53500000000000003</v>
      </c>
      <c r="E2467" s="2">
        <f>CallLog[[#This Row],[Date]]+CallLog[[#This Row],[Time]]</f>
        <v>44239.535000000003</v>
      </c>
      <c r="F2467" s="1" t="str">
        <f>TEXT(CallLog[[#This Row],[Date]],"dddd")</f>
        <v>Friday</v>
      </c>
      <c r="G2467" s="3">
        <f>HOUR(CallLog[[#This Row],[Time]])</f>
        <v>12</v>
      </c>
      <c r="H2467" t="s">
        <v>24</v>
      </c>
      <c r="I2467" t="s">
        <v>14</v>
      </c>
      <c r="J2467" t="s">
        <v>14</v>
      </c>
      <c r="K2467">
        <v>57</v>
      </c>
      <c r="L2467" t="str">
        <f>IF(AND(CallLog[[#This Row],[Answered (Y/N)]]="Y", CallLog[[#This Row],[Speed of answer in seconds]]&lt;=20),
    "Within",
    "Breach")</f>
        <v>Breach</v>
      </c>
      <c r="M2467" s="1">
        <v>5.3240740740740744E-4</v>
      </c>
      <c r="N2467">
        <v>1</v>
      </c>
    </row>
    <row r="2468" spans="1:14" x14ac:dyDescent="0.3">
      <c r="A2468" t="s">
        <v>2534</v>
      </c>
      <c r="B2468" t="s">
        <v>31</v>
      </c>
      <c r="C2468" t="s">
        <v>2504</v>
      </c>
      <c r="D2468" s="1">
        <v>0.54700231481481476</v>
      </c>
      <c r="E2468" s="2">
        <f>CallLog[[#This Row],[Date]]+CallLog[[#This Row],[Time]]</f>
        <v>44239.547002314815</v>
      </c>
      <c r="F2468" s="1" t="str">
        <f>TEXT(CallLog[[#This Row],[Date]],"dddd")</f>
        <v>Friday</v>
      </c>
      <c r="G2468" s="3">
        <f>HOUR(CallLog[[#This Row],[Time]])</f>
        <v>13</v>
      </c>
      <c r="H2468" t="s">
        <v>32</v>
      </c>
      <c r="I2468" t="s">
        <v>14</v>
      </c>
      <c r="J2468" t="s">
        <v>14</v>
      </c>
      <c r="K2468">
        <v>70</v>
      </c>
      <c r="L2468" t="str">
        <f>IF(AND(CallLog[[#This Row],[Answered (Y/N)]]="Y", CallLog[[#This Row],[Speed of answer in seconds]]&lt;=20),
    "Within",
    "Breach")</f>
        <v>Breach</v>
      </c>
      <c r="M2468" s="1">
        <v>3.3333333333333335E-3</v>
      </c>
      <c r="N2468">
        <v>3</v>
      </c>
    </row>
    <row r="2469" spans="1:14" x14ac:dyDescent="0.3">
      <c r="A2469" t="s">
        <v>2535</v>
      </c>
      <c r="B2469" t="s">
        <v>31</v>
      </c>
      <c r="C2469" t="s">
        <v>2504</v>
      </c>
      <c r="D2469" s="1">
        <v>0.54700231481481476</v>
      </c>
      <c r="E2469" s="2">
        <f>CallLog[[#This Row],[Date]]+CallLog[[#This Row],[Time]]</f>
        <v>44239.547002314815</v>
      </c>
      <c r="F2469" s="1" t="str">
        <f>TEXT(CallLog[[#This Row],[Date]],"dddd")</f>
        <v>Friday</v>
      </c>
      <c r="G2469" s="3">
        <f>HOUR(CallLog[[#This Row],[Time]])</f>
        <v>13</v>
      </c>
      <c r="H2469" t="s">
        <v>29</v>
      </c>
      <c r="I2469" t="s">
        <v>18</v>
      </c>
      <c r="J2469" t="s">
        <v>18</v>
      </c>
      <c r="L2469" t="str">
        <f>IF(AND(CallLog[[#This Row],[Answered (Y/N)]]="Y", CallLog[[#This Row],[Speed of answer in seconds]]&lt;=20),
    "Within",
    "Breach")</f>
        <v>Breach</v>
      </c>
    </row>
    <row r="2470" spans="1:14" x14ac:dyDescent="0.3">
      <c r="A2470" t="s">
        <v>2536</v>
      </c>
      <c r="B2470" t="s">
        <v>34</v>
      </c>
      <c r="C2470" t="s">
        <v>2504</v>
      </c>
      <c r="D2470" s="1">
        <v>0.5590046296296296</v>
      </c>
      <c r="E2470" s="2">
        <f>CallLog[[#This Row],[Date]]+CallLog[[#This Row],[Time]]</f>
        <v>44239.559004629627</v>
      </c>
      <c r="F2470" s="1" t="str">
        <f>TEXT(CallLog[[#This Row],[Date]],"dddd")</f>
        <v>Friday</v>
      </c>
      <c r="G2470" s="3">
        <f>HOUR(CallLog[[#This Row],[Time]])</f>
        <v>13</v>
      </c>
      <c r="H2470" t="s">
        <v>13</v>
      </c>
      <c r="I2470" t="s">
        <v>14</v>
      </c>
      <c r="J2470" t="s">
        <v>14</v>
      </c>
      <c r="K2470">
        <v>77</v>
      </c>
      <c r="L2470" t="str">
        <f>IF(AND(CallLog[[#This Row],[Answered (Y/N)]]="Y", CallLog[[#This Row],[Speed of answer in seconds]]&lt;=20),
    "Within",
    "Breach")</f>
        <v>Breach</v>
      </c>
      <c r="M2470" s="1">
        <v>1.6203703703703703E-3</v>
      </c>
      <c r="N2470">
        <v>4</v>
      </c>
    </row>
    <row r="2471" spans="1:14" x14ac:dyDescent="0.3">
      <c r="A2471" t="s">
        <v>2537</v>
      </c>
      <c r="B2471" t="s">
        <v>47</v>
      </c>
      <c r="C2471" t="s">
        <v>2504</v>
      </c>
      <c r="D2471" s="1">
        <v>0.5590046296296296</v>
      </c>
      <c r="E2471" s="2">
        <f>CallLog[[#This Row],[Date]]+CallLog[[#This Row],[Time]]</f>
        <v>44239.559004629627</v>
      </c>
      <c r="F2471" s="1" t="str">
        <f>TEXT(CallLog[[#This Row],[Date]],"dddd")</f>
        <v>Friday</v>
      </c>
      <c r="G2471" s="3">
        <f>HOUR(CallLog[[#This Row],[Time]])</f>
        <v>13</v>
      </c>
      <c r="H2471" t="s">
        <v>13</v>
      </c>
      <c r="I2471" t="s">
        <v>14</v>
      </c>
      <c r="J2471" t="s">
        <v>14</v>
      </c>
      <c r="K2471">
        <v>31</v>
      </c>
      <c r="L2471" t="str">
        <f>IF(AND(CallLog[[#This Row],[Answered (Y/N)]]="Y", CallLog[[#This Row],[Speed of answer in seconds]]&lt;=20),
    "Within",
    "Breach")</f>
        <v>Breach</v>
      </c>
      <c r="M2471" s="1">
        <v>3.6574074074074074E-3</v>
      </c>
      <c r="N2471">
        <v>5</v>
      </c>
    </row>
    <row r="2472" spans="1:14" x14ac:dyDescent="0.3">
      <c r="A2472" t="s">
        <v>2538</v>
      </c>
      <c r="B2472" t="s">
        <v>11</v>
      </c>
      <c r="C2472" t="s">
        <v>2504</v>
      </c>
      <c r="D2472" s="1">
        <v>0.56200231481481477</v>
      </c>
      <c r="E2472" s="2">
        <f>CallLog[[#This Row],[Date]]+CallLog[[#This Row],[Time]]</f>
        <v>44239.562002314815</v>
      </c>
      <c r="F2472" s="1" t="str">
        <f>TEXT(CallLog[[#This Row],[Date]],"dddd")</f>
        <v>Friday</v>
      </c>
      <c r="G2472" s="3">
        <f>HOUR(CallLog[[#This Row],[Time]])</f>
        <v>13</v>
      </c>
      <c r="H2472" t="s">
        <v>17</v>
      </c>
      <c r="I2472" t="s">
        <v>14</v>
      </c>
      <c r="J2472" t="s">
        <v>14</v>
      </c>
      <c r="K2472">
        <v>43</v>
      </c>
      <c r="L2472" t="str">
        <f>IF(AND(CallLog[[#This Row],[Answered (Y/N)]]="Y", CallLog[[#This Row],[Speed of answer in seconds]]&lt;=20),
    "Within",
    "Breach")</f>
        <v>Breach</v>
      </c>
      <c r="M2472" s="1">
        <v>6.4814814814814813E-4</v>
      </c>
      <c r="N2472">
        <v>2</v>
      </c>
    </row>
    <row r="2473" spans="1:14" x14ac:dyDescent="0.3">
      <c r="A2473" t="s">
        <v>2539</v>
      </c>
      <c r="B2473" t="s">
        <v>31</v>
      </c>
      <c r="C2473" t="s">
        <v>2504</v>
      </c>
      <c r="D2473" s="1">
        <v>0.56200231481481477</v>
      </c>
      <c r="E2473" s="2">
        <f>CallLog[[#This Row],[Date]]+CallLog[[#This Row],[Time]]</f>
        <v>44239.562002314815</v>
      </c>
      <c r="F2473" s="1" t="str">
        <f>TEXT(CallLog[[#This Row],[Date]],"dddd")</f>
        <v>Friday</v>
      </c>
      <c r="G2473" s="3">
        <f>HOUR(CallLog[[#This Row],[Time]])</f>
        <v>13</v>
      </c>
      <c r="H2473" t="s">
        <v>17</v>
      </c>
      <c r="I2473" t="s">
        <v>14</v>
      </c>
      <c r="J2473" t="s">
        <v>14</v>
      </c>
      <c r="K2473">
        <v>38</v>
      </c>
      <c r="L2473" t="str">
        <f>IF(AND(CallLog[[#This Row],[Answered (Y/N)]]="Y", CallLog[[#This Row],[Speed of answer in seconds]]&lt;=20),
    "Within",
    "Breach")</f>
        <v>Breach</v>
      </c>
      <c r="M2473" s="1">
        <v>3.5416666666666665E-3</v>
      </c>
      <c r="N2473">
        <v>4</v>
      </c>
    </row>
    <row r="2474" spans="1:14" x14ac:dyDescent="0.3">
      <c r="A2474" t="s">
        <v>2540</v>
      </c>
      <c r="B2474" t="s">
        <v>11</v>
      </c>
      <c r="C2474" t="s">
        <v>2504</v>
      </c>
      <c r="D2474" s="1">
        <v>0.66200231481481486</v>
      </c>
      <c r="E2474" s="2">
        <f>CallLog[[#This Row],[Date]]+CallLog[[#This Row],[Time]]</f>
        <v>44239.662002314813</v>
      </c>
      <c r="F2474" s="1" t="str">
        <f>TEXT(CallLog[[#This Row],[Date]],"dddd")</f>
        <v>Friday</v>
      </c>
      <c r="G2474" s="3">
        <f>HOUR(CallLog[[#This Row],[Time]])</f>
        <v>15</v>
      </c>
      <c r="H2474" t="s">
        <v>17</v>
      </c>
      <c r="I2474" t="s">
        <v>18</v>
      </c>
      <c r="J2474" t="s">
        <v>18</v>
      </c>
      <c r="L2474" t="str">
        <f>IF(AND(CallLog[[#This Row],[Answered (Y/N)]]="Y", CallLog[[#This Row],[Speed of answer in seconds]]&lt;=20),
    "Within",
    "Breach")</f>
        <v>Breach</v>
      </c>
    </row>
    <row r="2475" spans="1:14" x14ac:dyDescent="0.3">
      <c r="A2475" t="s">
        <v>2541</v>
      </c>
      <c r="B2475" t="s">
        <v>11</v>
      </c>
      <c r="C2475" t="s">
        <v>2504</v>
      </c>
      <c r="D2475" s="1">
        <v>0.66200231481481486</v>
      </c>
      <c r="E2475" s="2">
        <f>CallLog[[#This Row],[Date]]+CallLog[[#This Row],[Time]]</f>
        <v>44239.662002314813</v>
      </c>
      <c r="F2475" s="1" t="str">
        <f>TEXT(CallLog[[#This Row],[Date]],"dddd")</f>
        <v>Friday</v>
      </c>
      <c r="G2475" s="3">
        <f>HOUR(CallLog[[#This Row],[Time]])</f>
        <v>15</v>
      </c>
      <c r="H2475" t="s">
        <v>13</v>
      </c>
      <c r="I2475" t="s">
        <v>14</v>
      </c>
      <c r="J2475" t="s">
        <v>18</v>
      </c>
      <c r="K2475">
        <v>83</v>
      </c>
      <c r="L2475" t="str">
        <f>IF(AND(CallLog[[#This Row],[Answered (Y/N)]]="Y", CallLog[[#This Row],[Speed of answer in seconds]]&lt;=20),
    "Within",
    "Breach")</f>
        <v>Breach</v>
      </c>
      <c r="M2475" s="1">
        <v>1.6666666666666668E-3</v>
      </c>
      <c r="N2475">
        <v>5</v>
      </c>
    </row>
    <row r="2476" spans="1:14" x14ac:dyDescent="0.3">
      <c r="A2476" t="s">
        <v>2542</v>
      </c>
      <c r="B2476" t="s">
        <v>31</v>
      </c>
      <c r="C2476" t="s">
        <v>2504</v>
      </c>
      <c r="D2476" s="1">
        <v>0.71799768518518514</v>
      </c>
      <c r="E2476" s="2">
        <f>CallLog[[#This Row],[Date]]+CallLog[[#This Row],[Time]]</f>
        <v>44239.717997685184</v>
      </c>
      <c r="F2476" s="1" t="str">
        <f>TEXT(CallLog[[#This Row],[Date]],"dddd")</f>
        <v>Friday</v>
      </c>
      <c r="G2476" s="3">
        <f>HOUR(CallLog[[#This Row],[Time]])</f>
        <v>17</v>
      </c>
      <c r="H2476" t="s">
        <v>29</v>
      </c>
      <c r="I2476" t="s">
        <v>14</v>
      </c>
      <c r="J2476" t="s">
        <v>14</v>
      </c>
      <c r="K2476">
        <v>122</v>
      </c>
      <c r="L2476" t="str">
        <f>IF(AND(CallLog[[#This Row],[Answered (Y/N)]]="Y", CallLog[[#This Row],[Speed of answer in seconds]]&lt;=20),
    "Within",
    "Breach")</f>
        <v>Breach</v>
      </c>
      <c r="M2476" s="1">
        <v>3.1365740740740742E-3</v>
      </c>
      <c r="N2476">
        <v>5</v>
      </c>
    </row>
    <row r="2477" spans="1:14" x14ac:dyDescent="0.3">
      <c r="A2477" t="s">
        <v>2543</v>
      </c>
      <c r="B2477" t="s">
        <v>47</v>
      </c>
      <c r="C2477" t="s">
        <v>2504</v>
      </c>
      <c r="D2477" s="1">
        <v>0.71799768518518514</v>
      </c>
      <c r="E2477" s="2">
        <f>CallLog[[#This Row],[Date]]+CallLog[[#This Row],[Time]]</f>
        <v>44239.717997685184</v>
      </c>
      <c r="F2477" s="1" t="str">
        <f>TEXT(CallLog[[#This Row],[Date]],"dddd")</f>
        <v>Friday</v>
      </c>
      <c r="G2477" s="3">
        <f>HOUR(CallLog[[#This Row],[Time]])</f>
        <v>17</v>
      </c>
      <c r="H2477" t="s">
        <v>17</v>
      </c>
      <c r="I2477" t="s">
        <v>14</v>
      </c>
      <c r="J2477" t="s">
        <v>14</v>
      </c>
      <c r="K2477">
        <v>42</v>
      </c>
      <c r="L2477" t="str">
        <f>IF(AND(CallLog[[#This Row],[Answered (Y/N)]]="Y", CallLog[[#This Row],[Speed of answer in seconds]]&lt;=20),
    "Within",
    "Breach")</f>
        <v>Breach</v>
      </c>
      <c r="M2477" s="1">
        <v>4.7222222222222223E-3</v>
      </c>
      <c r="N2477">
        <v>5</v>
      </c>
    </row>
    <row r="2478" spans="1:14" x14ac:dyDescent="0.3">
      <c r="A2478" t="s">
        <v>2544</v>
      </c>
      <c r="B2478" t="s">
        <v>16</v>
      </c>
      <c r="C2478" t="s">
        <v>2504</v>
      </c>
      <c r="D2478" s="1">
        <v>0.745</v>
      </c>
      <c r="E2478" s="2">
        <f>CallLog[[#This Row],[Date]]+CallLog[[#This Row],[Time]]</f>
        <v>44239.745000000003</v>
      </c>
      <c r="F2478" s="1" t="str">
        <f>TEXT(CallLog[[#This Row],[Date]],"dddd")</f>
        <v>Friday</v>
      </c>
      <c r="G2478" s="3">
        <f>HOUR(CallLog[[#This Row],[Time]])</f>
        <v>17</v>
      </c>
      <c r="H2478" t="s">
        <v>32</v>
      </c>
      <c r="I2478" t="s">
        <v>14</v>
      </c>
      <c r="J2478" t="s">
        <v>14</v>
      </c>
      <c r="K2478">
        <v>61</v>
      </c>
      <c r="L2478" t="str">
        <f>IF(AND(CallLog[[#This Row],[Answered (Y/N)]]="Y", CallLog[[#This Row],[Speed of answer in seconds]]&lt;=20),
    "Within",
    "Breach")</f>
        <v>Breach</v>
      </c>
      <c r="M2478" s="1">
        <v>8.2175925925925927E-4</v>
      </c>
      <c r="N2478">
        <v>4</v>
      </c>
    </row>
    <row r="2479" spans="1:14" x14ac:dyDescent="0.3">
      <c r="A2479" t="s">
        <v>2545</v>
      </c>
      <c r="B2479" t="s">
        <v>31</v>
      </c>
      <c r="C2479" t="s">
        <v>2504</v>
      </c>
      <c r="D2479" s="1">
        <v>0.745</v>
      </c>
      <c r="E2479" s="2">
        <f>CallLog[[#This Row],[Date]]+CallLog[[#This Row],[Time]]</f>
        <v>44239.745000000003</v>
      </c>
      <c r="F2479" s="1" t="str">
        <f>TEXT(CallLog[[#This Row],[Date]],"dddd")</f>
        <v>Friday</v>
      </c>
      <c r="G2479" s="3">
        <f>HOUR(CallLog[[#This Row],[Time]])</f>
        <v>17</v>
      </c>
      <c r="H2479" t="s">
        <v>32</v>
      </c>
      <c r="I2479" t="s">
        <v>14</v>
      </c>
      <c r="J2479" t="s">
        <v>18</v>
      </c>
      <c r="K2479">
        <v>103</v>
      </c>
      <c r="L2479" t="str">
        <f>IF(AND(CallLog[[#This Row],[Answered (Y/N)]]="Y", CallLog[[#This Row],[Speed of answer in seconds]]&lt;=20),
    "Within",
    "Breach")</f>
        <v>Breach</v>
      </c>
      <c r="M2479" s="1">
        <v>2.7430555555555554E-3</v>
      </c>
      <c r="N2479">
        <v>3</v>
      </c>
    </row>
    <row r="2480" spans="1:14" x14ac:dyDescent="0.3">
      <c r="A2480" t="s">
        <v>2546</v>
      </c>
      <c r="B2480" t="s">
        <v>16</v>
      </c>
      <c r="C2480" t="s">
        <v>2504</v>
      </c>
      <c r="D2480" s="1">
        <v>0.745</v>
      </c>
      <c r="E2480" s="2">
        <f>CallLog[[#This Row],[Date]]+CallLog[[#This Row],[Time]]</f>
        <v>44239.745000000003</v>
      </c>
      <c r="F2480" s="1" t="str">
        <f>TEXT(CallLog[[#This Row],[Date]],"dddd")</f>
        <v>Friday</v>
      </c>
      <c r="G2480" s="3">
        <f>HOUR(CallLog[[#This Row],[Time]])</f>
        <v>17</v>
      </c>
      <c r="H2480" t="s">
        <v>32</v>
      </c>
      <c r="I2480" t="s">
        <v>14</v>
      </c>
      <c r="J2480" t="s">
        <v>14</v>
      </c>
      <c r="K2480">
        <v>110</v>
      </c>
      <c r="L2480" t="str">
        <f>IF(AND(CallLog[[#This Row],[Answered (Y/N)]]="Y", CallLog[[#This Row],[Speed of answer in seconds]]&lt;=20),
    "Within",
    "Breach")</f>
        <v>Breach</v>
      </c>
      <c r="M2480" s="1">
        <v>3.7731481481481483E-3</v>
      </c>
      <c r="N2480">
        <v>4</v>
      </c>
    </row>
    <row r="2481" spans="1:14" x14ac:dyDescent="0.3">
      <c r="A2481" t="s">
        <v>2547</v>
      </c>
      <c r="B2481" t="s">
        <v>11</v>
      </c>
      <c r="C2481" t="s">
        <v>2504</v>
      </c>
      <c r="D2481" s="1">
        <v>0.745</v>
      </c>
      <c r="E2481" s="2">
        <f>CallLog[[#This Row],[Date]]+CallLog[[#This Row],[Time]]</f>
        <v>44239.745000000003</v>
      </c>
      <c r="F2481" s="1" t="str">
        <f>TEXT(CallLog[[#This Row],[Date]],"dddd")</f>
        <v>Friday</v>
      </c>
      <c r="G2481" s="3">
        <f>HOUR(CallLog[[#This Row],[Time]])</f>
        <v>17</v>
      </c>
      <c r="H2481" t="s">
        <v>32</v>
      </c>
      <c r="I2481" t="s">
        <v>18</v>
      </c>
      <c r="J2481" t="s">
        <v>18</v>
      </c>
      <c r="L2481" t="str">
        <f>IF(AND(CallLog[[#This Row],[Answered (Y/N)]]="Y", CallLog[[#This Row],[Speed of answer in seconds]]&lt;=20),
    "Within",
    "Breach")</f>
        <v>Breach</v>
      </c>
    </row>
    <row r="2482" spans="1:14" x14ac:dyDescent="0.3">
      <c r="A2482" t="s">
        <v>2548</v>
      </c>
      <c r="B2482" t="s">
        <v>38</v>
      </c>
      <c r="C2482" t="s">
        <v>2549</v>
      </c>
      <c r="D2482" s="1">
        <v>0.38500000000000001</v>
      </c>
      <c r="E2482" s="2">
        <f>CallLog[[#This Row],[Date]]+CallLog[[#This Row],[Time]]</f>
        <v>44240.385000000002</v>
      </c>
      <c r="F2482" s="1" t="str">
        <f>TEXT(CallLog[[#This Row],[Date]],"dddd")</f>
        <v>Saturday</v>
      </c>
      <c r="G2482" s="3">
        <f>HOUR(CallLog[[#This Row],[Time]])</f>
        <v>9</v>
      </c>
      <c r="H2482" t="s">
        <v>24</v>
      </c>
      <c r="I2482" t="s">
        <v>18</v>
      </c>
      <c r="J2482" t="s">
        <v>18</v>
      </c>
      <c r="L2482" t="str">
        <f>IF(AND(CallLog[[#This Row],[Answered (Y/N)]]="Y", CallLog[[#This Row],[Speed of answer in seconds]]&lt;=20),
    "Within",
    "Breach")</f>
        <v>Breach</v>
      </c>
    </row>
    <row r="2483" spans="1:14" x14ac:dyDescent="0.3">
      <c r="A2483" t="s">
        <v>2550</v>
      </c>
      <c r="B2483" t="s">
        <v>47</v>
      </c>
      <c r="C2483" t="s">
        <v>2549</v>
      </c>
      <c r="D2483" s="1">
        <v>0.38500000000000001</v>
      </c>
      <c r="E2483" s="2">
        <f>CallLog[[#This Row],[Date]]+CallLog[[#This Row],[Time]]</f>
        <v>44240.385000000002</v>
      </c>
      <c r="F2483" s="1" t="str">
        <f>TEXT(CallLog[[#This Row],[Date]],"dddd")</f>
        <v>Saturday</v>
      </c>
      <c r="G2483" s="3">
        <f>HOUR(CallLog[[#This Row],[Time]])</f>
        <v>9</v>
      </c>
      <c r="H2483" t="s">
        <v>17</v>
      </c>
      <c r="I2483" t="s">
        <v>18</v>
      </c>
      <c r="J2483" t="s">
        <v>18</v>
      </c>
      <c r="L2483" t="str">
        <f>IF(AND(CallLog[[#This Row],[Answered (Y/N)]]="Y", CallLog[[#This Row],[Speed of answer in seconds]]&lt;=20),
    "Within",
    "Breach")</f>
        <v>Breach</v>
      </c>
    </row>
    <row r="2484" spans="1:14" x14ac:dyDescent="0.3">
      <c r="A2484" t="s">
        <v>2551</v>
      </c>
      <c r="B2484" t="s">
        <v>38</v>
      </c>
      <c r="C2484" t="s">
        <v>2549</v>
      </c>
      <c r="D2484" s="1">
        <v>0.39799768518518519</v>
      </c>
      <c r="E2484" s="2">
        <f>CallLog[[#This Row],[Date]]+CallLog[[#This Row],[Time]]</f>
        <v>44240.397997685184</v>
      </c>
      <c r="F2484" s="1" t="str">
        <f>TEXT(CallLog[[#This Row],[Date]],"dddd")</f>
        <v>Saturday</v>
      </c>
      <c r="G2484" s="3">
        <f>HOUR(CallLog[[#This Row],[Time]])</f>
        <v>9</v>
      </c>
      <c r="H2484" t="s">
        <v>17</v>
      </c>
      <c r="I2484" t="s">
        <v>14</v>
      </c>
      <c r="J2484" t="s">
        <v>14</v>
      </c>
      <c r="K2484">
        <v>88</v>
      </c>
      <c r="L2484" t="str">
        <f>IF(AND(CallLog[[#This Row],[Answered (Y/N)]]="Y", CallLog[[#This Row],[Speed of answer in seconds]]&lt;=20),
    "Within",
    "Breach")</f>
        <v>Breach</v>
      </c>
      <c r="M2484" s="1">
        <v>1.5625000000000001E-3</v>
      </c>
      <c r="N2484">
        <v>2</v>
      </c>
    </row>
    <row r="2485" spans="1:14" x14ac:dyDescent="0.3">
      <c r="A2485" t="s">
        <v>2552</v>
      </c>
      <c r="B2485" t="s">
        <v>31</v>
      </c>
      <c r="C2485" t="s">
        <v>2549</v>
      </c>
      <c r="D2485" s="1">
        <v>0.39799768518518519</v>
      </c>
      <c r="E2485" s="2">
        <f>CallLog[[#This Row],[Date]]+CallLog[[#This Row],[Time]]</f>
        <v>44240.397997685184</v>
      </c>
      <c r="F2485" s="1" t="str">
        <f>TEXT(CallLog[[#This Row],[Date]],"dddd")</f>
        <v>Saturday</v>
      </c>
      <c r="G2485" s="3">
        <f>HOUR(CallLog[[#This Row],[Time]])</f>
        <v>9</v>
      </c>
      <c r="H2485" t="s">
        <v>32</v>
      </c>
      <c r="I2485" t="s">
        <v>18</v>
      </c>
      <c r="J2485" t="s">
        <v>18</v>
      </c>
      <c r="L2485" t="str">
        <f>IF(AND(CallLog[[#This Row],[Answered (Y/N)]]="Y", CallLog[[#This Row],[Speed of answer in seconds]]&lt;=20),
    "Within",
    "Breach")</f>
        <v>Breach</v>
      </c>
    </row>
    <row r="2486" spans="1:14" x14ac:dyDescent="0.3">
      <c r="A2486" t="s">
        <v>2553</v>
      </c>
      <c r="B2486" t="s">
        <v>20</v>
      </c>
      <c r="C2486" t="s">
        <v>2549</v>
      </c>
      <c r="D2486" s="1">
        <v>0.4</v>
      </c>
      <c r="E2486" s="2">
        <f>CallLog[[#This Row],[Date]]+CallLog[[#This Row],[Time]]</f>
        <v>44240.4</v>
      </c>
      <c r="F2486" s="1" t="str">
        <f>TEXT(CallLog[[#This Row],[Date]],"dddd")</f>
        <v>Saturday</v>
      </c>
      <c r="G2486" s="3">
        <f>HOUR(CallLog[[#This Row],[Time]])</f>
        <v>9</v>
      </c>
      <c r="H2486" t="s">
        <v>17</v>
      </c>
      <c r="I2486" t="s">
        <v>14</v>
      </c>
      <c r="J2486" t="s">
        <v>14</v>
      </c>
      <c r="K2486">
        <v>57</v>
      </c>
      <c r="L2486" t="str">
        <f>IF(AND(CallLog[[#This Row],[Answered (Y/N)]]="Y", CallLog[[#This Row],[Speed of answer in seconds]]&lt;=20),
    "Within",
    "Breach")</f>
        <v>Breach</v>
      </c>
      <c r="M2486" s="1">
        <v>1.6666666666666668E-3</v>
      </c>
      <c r="N2486">
        <v>5</v>
      </c>
    </row>
    <row r="2487" spans="1:14" x14ac:dyDescent="0.3">
      <c r="A2487" t="s">
        <v>2554</v>
      </c>
      <c r="B2487" t="s">
        <v>31</v>
      </c>
      <c r="C2487" t="s">
        <v>2549</v>
      </c>
      <c r="D2487" s="1">
        <v>0.4</v>
      </c>
      <c r="E2487" s="2">
        <f>CallLog[[#This Row],[Date]]+CallLog[[#This Row],[Time]]</f>
        <v>44240.4</v>
      </c>
      <c r="F2487" s="1" t="str">
        <f>TEXT(CallLog[[#This Row],[Date]],"dddd")</f>
        <v>Saturday</v>
      </c>
      <c r="G2487" s="3">
        <f>HOUR(CallLog[[#This Row],[Time]])</f>
        <v>9</v>
      </c>
      <c r="H2487" t="s">
        <v>24</v>
      </c>
      <c r="I2487" t="s">
        <v>18</v>
      </c>
      <c r="J2487" t="s">
        <v>18</v>
      </c>
      <c r="L2487" t="str">
        <f>IF(AND(CallLog[[#This Row],[Answered (Y/N)]]="Y", CallLog[[#This Row],[Speed of answer in seconds]]&lt;=20),
    "Within",
    "Breach")</f>
        <v>Breach</v>
      </c>
    </row>
    <row r="2488" spans="1:14" x14ac:dyDescent="0.3">
      <c r="A2488" t="s">
        <v>2555</v>
      </c>
      <c r="B2488" t="s">
        <v>16</v>
      </c>
      <c r="C2488" t="s">
        <v>2549</v>
      </c>
      <c r="D2488" s="1">
        <v>0.40400462962962963</v>
      </c>
      <c r="E2488" s="2">
        <f>CallLog[[#This Row],[Date]]+CallLog[[#This Row],[Time]]</f>
        <v>44240.404004629629</v>
      </c>
      <c r="F2488" s="1" t="str">
        <f>TEXT(CallLog[[#This Row],[Date]],"dddd")</f>
        <v>Saturday</v>
      </c>
      <c r="G2488" s="3">
        <f>HOUR(CallLog[[#This Row],[Time]])</f>
        <v>9</v>
      </c>
      <c r="H2488" t="s">
        <v>13</v>
      </c>
      <c r="I2488" t="s">
        <v>18</v>
      </c>
      <c r="J2488" t="s">
        <v>18</v>
      </c>
      <c r="L2488" t="str">
        <f>IF(AND(CallLog[[#This Row],[Answered (Y/N)]]="Y", CallLog[[#This Row],[Speed of answer in seconds]]&lt;=20),
    "Within",
    "Breach")</f>
        <v>Breach</v>
      </c>
    </row>
    <row r="2489" spans="1:14" x14ac:dyDescent="0.3">
      <c r="A2489" t="s">
        <v>2556</v>
      </c>
      <c r="B2489" t="s">
        <v>47</v>
      </c>
      <c r="C2489" t="s">
        <v>2549</v>
      </c>
      <c r="D2489" s="1">
        <v>0.40400462962962963</v>
      </c>
      <c r="E2489" s="2">
        <f>CallLog[[#This Row],[Date]]+CallLog[[#This Row],[Time]]</f>
        <v>44240.404004629629</v>
      </c>
      <c r="F2489" s="1" t="str">
        <f>TEXT(CallLog[[#This Row],[Date]],"dddd")</f>
        <v>Saturday</v>
      </c>
      <c r="G2489" s="3">
        <f>HOUR(CallLog[[#This Row],[Time]])</f>
        <v>9</v>
      </c>
      <c r="H2489" t="s">
        <v>13</v>
      </c>
      <c r="I2489" t="s">
        <v>14</v>
      </c>
      <c r="J2489" t="s">
        <v>14</v>
      </c>
      <c r="K2489">
        <v>37</v>
      </c>
      <c r="L2489" t="str">
        <f>IF(AND(CallLog[[#This Row],[Answered (Y/N)]]="Y", CallLog[[#This Row],[Speed of answer in seconds]]&lt;=20),
    "Within",
    "Breach")</f>
        <v>Breach</v>
      </c>
      <c r="M2489" s="1">
        <v>4.2245370370370371E-3</v>
      </c>
      <c r="N2489">
        <v>3</v>
      </c>
    </row>
    <row r="2490" spans="1:14" x14ac:dyDescent="0.3">
      <c r="A2490" t="s">
        <v>2557</v>
      </c>
      <c r="B2490" t="s">
        <v>22</v>
      </c>
      <c r="C2490" t="s">
        <v>2549</v>
      </c>
      <c r="D2490" s="1">
        <v>0.4129976851851852</v>
      </c>
      <c r="E2490" s="2">
        <f>CallLog[[#This Row],[Date]]+CallLog[[#This Row],[Time]]</f>
        <v>44240.412997685184</v>
      </c>
      <c r="F2490" s="1" t="str">
        <f>TEXT(CallLog[[#This Row],[Date]],"dddd")</f>
        <v>Saturday</v>
      </c>
      <c r="G2490" s="3">
        <f>HOUR(CallLog[[#This Row],[Time]])</f>
        <v>9</v>
      </c>
      <c r="H2490" t="s">
        <v>24</v>
      </c>
      <c r="I2490" t="s">
        <v>14</v>
      </c>
      <c r="J2490" t="s">
        <v>14</v>
      </c>
      <c r="K2490">
        <v>62</v>
      </c>
      <c r="L2490" t="str">
        <f>IF(AND(CallLog[[#This Row],[Answered (Y/N)]]="Y", CallLog[[#This Row],[Speed of answer in seconds]]&lt;=20),
    "Within",
    "Breach")</f>
        <v>Breach</v>
      </c>
      <c r="M2490" s="1">
        <v>8.564814814814815E-4</v>
      </c>
      <c r="N2490">
        <v>2</v>
      </c>
    </row>
    <row r="2491" spans="1:14" x14ac:dyDescent="0.3">
      <c r="A2491" t="s">
        <v>2558</v>
      </c>
      <c r="B2491" t="s">
        <v>22</v>
      </c>
      <c r="C2491" t="s">
        <v>2549</v>
      </c>
      <c r="D2491" s="1">
        <v>0.4129976851851852</v>
      </c>
      <c r="E2491" s="2">
        <f>CallLog[[#This Row],[Date]]+CallLog[[#This Row],[Time]]</f>
        <v>44240.412997685184</v>
      </c>
      <c r="F2491" s="1" t="str">
        <f>TEXT(CallLog[[#This Row],[Date]],"dddd")</f>
        <v>Saturday</v>
      </c>
      <c r="G2491" s="3">
        <f>HOUR(CallLog[[#This Row],[Time]])</f>
        <v>9</v>
      </c>
      <c r="H2491" t="s">
        <v>32</v>
      </c>
      <c r="I2491" t="s">
        <v>14</v>
      </c>
      <c r="J2491" t="s">
        <v>14</v>
      </c>
      <c r="K2491">
        <v>48</v>
      </c>
      <c r="L2491" t="str">
        <f>IF(AND(CallLog[[#This Row],[Answered (Y/N)]]="Y", CallLog[[#This Row],[Speed of answer in seconds]]&lt;=20),
    "Within",
    "Breach")</f>
        <v>Breach</v>
      </c>
      <c r="M2491" s="1">
        <v>1.0069444444444444E-3</v>
      </c>
      <c r="N2491">
        <v>4</v>
      </c>
    </row>
    <row r="2492" spans="1:14" x14ac:dyDescent="0.3">
      <c r="A2492" t="s">
        <v>2559</v>
      </c>
      <c r="B2492" t="s">
        <v>47</v>
      </c>
      <c r="C2492" t="s">
        <v>2549</v>
      </c>
      <c r="D2492" s="1">
        <v>0.42400462962962965</v>
      </c>
      <c r="E2492" s="2">
        <f>CallLog[[#This Row],[Date]]+CallLog[[#This Row],[Time]]</f>
        <v>44240.424004629633</v>
      </c>
      <c r="F2492" s="1" t="str">
        <f>TEXT(CallLog[[#This Row],[Date]],"dddd")</f>
        <v>Saturday</v>
      </c>
      <c r="G2492" s="3">
        <f>HOUR(CallLog[[#This Row],[Time]])</f>
        <v>10</v>
      </c>
      <c r="H2492" t="s">
        <v>17</v>
      </c>
      <c r="I2492" t="s">
        <v>14</v>
      </c>
      <c r="J2492" t="s">
        <v>14</v>
      </c>
      <c r="K2492">
        <v>123</v>
      </c>
      <c r="L2492" t="str">
        <f>IF(AND(CallLog[[#This Row],[Answered (Y/N)]]="Y", CallLog[[#This Row],[Speed of answer in seconds]]&lt;=20),
    "Within",
    "Breach")</f>
        <v>Breach</v>
      </c>
      <c r="M2492" s="1">
        <v>2.2222222222222222E-3</v>
      </c>
      <c r="N2492">
        <v>3</v>
      </c>
    </row>
    <row r="2493" spans="1:14" x14ac:dyDescent="0.3">
      <c r="A2493" t="s">
        <v>2560</v>
      </c>
      <c r="B2493" t="s">
        <v>22</v>
      </c>
      <c r="C2493" t="s">
        <v>2549</v>
      </c>
      <c r="D2493" s="1">
        <v>0.42400462962962965</v>
      </c>
      <c r="E2493" s="2">
        <f>CallLog[[#This Row],[Date]]+CallLog[[#This Row],[Time]]</f>
        <v>44240.424004629633</v>
      </c>
      <c r="F2493" s="1" t="str">
        <f>TEXT(CallLog[[#This Row],[Date]],"dddd")</f>
        <v>Saturday</v>
      </c>
      <c r="G2493" s="3">
        <f>HOUR(CallLog[[#This Row],[Time]])</f>
        <v>10</v>
      </c>
      <c r="H2493" t="s">
        <v>13</v>
      </c>
      <c r="I2493" t="s">
        <v>14</v>
      </c>
      <c r="J2493" t="s">
        <v>14</v>
      </c>
      <c r="K2493">
        <v>83</v>
      </c>
      <c r="L2493" t="str">
        <f>IF(AND(CallLog[[#This Row],[Answered (Y/N)]]="Y", CallLog[[#This Row],[Speed of answer in seconds]]&lt;=20),
    "Within",
    "Breach")</f>
        <v>Breach</v>
      </c>
      <c r="M2493" s="1">
        <v>5.7870370370370367E-4</v>
      </c>
      <c r="N2493">
        <v>5</v>
      </c>
    </row>
    <row r="2494" spans="1:14" x14ac:dyDescent="0.3">
      <c r="A2494" t="s">
        <v>2561</v>
      </c>
      <c r="B2494" t="s">
        <v>34</v>
      </c>
      <c r="C2494" t="s">
        <v>2549</v>
      </c>
      <c r="D2494" s="1">
        <v>0.44</v>
      </c>
      <c r="E2494" s="2">
        <f>CallLog[[#This Row],[Date]]+CallLog[[#This Row],[Time]]</f>
        <v>44240.44</v>
      </c>
      <c r="F2494" s="1" t="str">
        <f>TEXT(CallLog[[#This Row],[Date]],"dddd")</f>
        <v>Saturday</v>
      </c>
      <c r="G2494" s="3">
        <f>HOUR(CallLog[[#This Row],[Time]])</f>
        <v>10</v>
      </c>
      <c r="H2494" t="s">
        <v>29</v>
      </c>
      <c r="I2494" t="s">
        <v>14</v>
      </c>
      <c r="J2494" t="s">
        <v>14</v>
      </c>
      <c r="K2494">
        <v>23</v>
      </c>
      <c r="L2494" t="str">
        <f>IF(AND(CallLog[[#This Row],[Answered (Y/N)]]="Y", CallLog[[#This Row],[Speed of answer in seconds]]&lt;=20),
    "Within",
    "Breach")</f>
        <v>Breach</v>
      </c>
      <c r="M2494" s="1">
        <v>1.9791666666666668E-3</v>
      </c>
      <c r="N2494">
        <v>5</v>
      </c>
    </row>
    <row r="2495" spans="1:14" x14ac:dyDescent="0.3">
      <c r="A2495" t="s">
        <v>2562</v>
      </c>
      <c r="B2495" t="s">
        <v>47</v>
      </c>
      <c r="C2495" t="s">
        <v>2549</v>
      </c>
      <c r="D2495" s="1">
        <v>0.44</v>
      </c>
      <c r="E2495" s="2">
        <f>CallLog[[#This Row],[Date]]+CallLog[[#This Row],[Time]]</f>
        <v>44240.44</v>
      </c>
      <c r="F2495" s="1" t="str">
        <f>TEXT(CallLog[[#This Row],[Date]],"dddd")</f>
        <v>Saturday</v>
      </c>
      <c r="G2495" s="3">
        <f>HOUR(CallLog[[#This Row],[Time]])</f>
        <v>10</v>
      </c>
      <c r="H2495" t="s">
        <v>24</v>
      </c>
      <c r="I2495" t="s">
        <v>18</v>
      </c>
      <c r="J2495" t="s">
        <v>18</v>
      </c>
      <c r="L2495" t="str">
        <f>IF(AND(CallLog[[#This Row],[Answered (Y/N)]]="Y", CallLog[[#This Row],[Speed of answer in seconds]]&lt;=20),
    "Within",
    "Breach")</f>
        <v>Breach</v>
      </c>
    </row>
    <row r="2496" spans="1:14" x14ac:dyDescent="0.3">
      <c r="A2496" t="s">
        <v>2563</v>
      </c>
      <c r="B2496" t="s">
        <v>22</v>
      </c>
      <c r="C2496" t="s">
        <v>2549</v>
      </c>
      <c r="D2496" s="1">
        <v>0.44799768518518518</v>
      </c>
      <c r="E2496" s="2">
        <f>CallLog[[#This Row],[Date]]+CallLog[[#This Row],[Time]]</f>
        <v>44240.447997685187</v>
      </c>
      <c r="F2496" s="1" t="str">
        <f>TEXT(CallLog[[#This Row],[Date]],"dddd")</f>
        <v>Saturday</v>
      </c>
      <c r="G2496" s="3">
        <f>HOUR(CallLog[[#This Row],[Time]])</f>
        <v>10</v>
      </c>
      <c r="H2496" t="s">
        <v>32</v>
      </c>
      <c r="I2496" t="s">
        <v>14</v>
      </c>
      <c r="J2496" t="s">
        <v>18</v>
      </c>
      <c r="K2496">
        <v>27</v>
      </c>
      <c r="L2496" t="str">
        <f>IF(AND(CallLog[[#This Row],[Answered (Y/N)]]="Y", CallLog[[#This Row],[Speed of answer in seconds]]&lt;=20),
    "Within",
    "Breach")</f>
        <v>Breach</v>
      </c>
      <c r="M2496" s="1">
        <v>3.5995370370370369E-3</v>
      </c>
      <c r="N2496">
        <v>3</v>
      </c>
    </row>
    <row r="2497" spans="1:14" x14ac:dyDescent="0.3">
      <c r="A2497" t="s">
        <v>2564</v>
      </c>
      <c r="B2497" t="s">
        <v>34</v>
      </c>
      <c r="C2497" t="s">
        <v>2549</v>
      </c>
      <c r="D2497" s="1">
        <v>0.44799768518518518</v>
      </c>
      <c r="E2497" s="2">
        <f>CallLog[[#This Row],[Date]]+CallLog[[#This Row],[Time]]</f>
        <v>44240.447997685187</v>
      </c>
      <c r="F2497" s="1" t="str">
        <f>TEXT(CallLog[[#This Row],[Date]],"dddd")</f>
        <v>Saturday</v>
      </c>
      <c r="G2497" s="3">
        <f>HOUR(CallLog[[#This Row],[Time]])</f>
        <v>10</v>
      </c>
      <c r="H2497" t="s">
        <v>29</v>
      </c>
      <c r="I2497" t="s">
        <v>14</v>
      </c>
      <c r="J2497" t="s">
        <v>14</v>
      </c>
      <c r="K2497">
        <v>78</v>
      </c>
      <c r="L2497" t="str">
        <f>IF(AND(CallLog[[#This Row],[Answered (Y/N)]]="Y", CallLog[[#This Row],[Speed of answer in seconds]]&lt;=20),
    "Within",
    "Breach")</f>
        <v>Breach</v>
      </c>
      <c r="M2497" s="1">
        <v>4.43287037037037E-3</v>
      </c>
      <c r="N2497">
        <v>5</v>
      </c>
    </row>
    <row r="2498" spans="1:14" x14ac:dyDescent="0.3">
      <c r="A2498" t="s">
        <v>2565</v>
      </c>
      <c r="B2498" t="s">
        <v>16</v>
      </c>
      <c r="C2498" t="s">
        <v>2549</v>
      </c>
      <c r="D2498" s="1">
        <v>0.46099537037037036</v>
      </c>
      <c r="E2498" s="2">
        <f>CallLog[[#This Row],[Date]]+CallLog[[#This Row],[Time]]</f>
        <v>44240.460995370369</v>
      </c>
      <c r="F2498" s="1" t="str">
        <f>TEXT(CallLog[[#This Row],[Date]],"dddd")</f>
        <v>Saturday</v>
      </c>
      <c r="G2498" s="3">
        <f>HOUR(CallLog[[#This Row],[Time]])</f>
        <v>11</v>
      </c>
      <c r="H2498" t="s">
        <v>32</v>
      </c>
      <c r="I2498" t="s">
        <v>14</v>
      </c>
      <c r="J2498" t="s">
        <v>14</v>
      </c>
      <c r="K2498">
        <v>82</v>
      </c>
      <c r="L2498" t="str">
        <f>IF(AND(CallLog[[#This Row],[Answered (Y/N)]]="Y", CallLog[[#This Row],[Speed of answer in seconds]]&lt;=20),
    "Within",
    "Breach")</f>
        <v>Breach</v>
      </c>
      <c r="M2498" s="1">
        <v>3.6111111111111109E-3</v>
      </c>
      <c r="N2498">
        <v>3</v>
      </c>
    </row>
    <row r="2499" spans="1:14" x14ac:dyDescent="0.3">
      <c r="A2499" t="s">
        <v>2566</v>
      </c>
      <c r="B2499" t="s">
        <v>31</v>
      </c>
      <c r="C2499" t="s">
        <v>2549</v>
      </c>
      <c r="D2499" s="1">
        <v>0.46099537037037036</v>
      </c>
      <c r="E2499" s="2">
        <f>CallLog[[#This Row],[Date]]+CallLog[[#This Row],[Time]]</f>
        <v>44240.460995370369</v>
      </c>
      <c r="F2499" s="1" t="str">
        <f>TEXT(CallLog[[#This Row],[Date]],"dddd")</f>
        <v>Saturday</v>
      </c>
      <c r="G2499" s="3">
        <f>HOUR(CallLog[[#This Row],[Time]])</f>
        <v>11</v>
      </c>
      <c r="H2499" t="s">
        <v>32</v>
      </c>
      <c r="I2499" t="s">
        <v>14</v>
      </c>
      <c r="J2499" t="s">
        <v>14</v>
      </c>
      <c r="K2499">
        <v>50</v>
      </c>
      <c r="L2499" t="str">
        <f>IF(AND(CallLog[[#This Row],[Answered (Y/N)]]="Y", CallLog[[#This Row],[Speed of answer in seconds]]&lt;=20),
    "Within",
    "Breach")</f>
        <v>Breach</v>
      </c>
      <c r="M2499" s="1">
        <v>3.7847222222222223E-3</v>
      </c>
      <c r="N2499">
        <v>4</v>
      </c>
    </row>
    <row r="2500" spans="1:14" x14ac:dyDescent="0.3">
      <c r="A2500" t="s">
        <v>2567</v>
      </c>
      <c r="B2500" t="s">
        <v>11</v>
      </c>
      <c r="C2500" t="s">
        <v>2549</v>
      </c>
      <c r="D2500" s="1">
        <v>0.48099537037037038</v>
      </c>
      <c r="E2500" s="2">
        <f>CallLog[[#This Row],[Date]]+CallLog[[#This Row],[Time]]</f>
        <v>44240.480995370373</v>
      </c>
      <c r="F2500" s="1" t="str">
        <f>TEXT(CallLog[[#This Row],[Date]],"dddd")</f>
        <v>Saturday</v>
      </c>
      <c r="G2500" s="3">
        <f>HOUR(CallLog[[#This Row],[Time]])</f>
        <v>11</v>
      </c>
      <c r="H2500" t="s">
        <v>29</v>
      </c>
      <c r="I2500" t="s">
        <v>14</v>
      </c>
      <c r="J2500" t="s">
        <v>14</v>
      </c>
      <c r="K2500">
        <v>90</v>
      </c>
      <c r="L2500" t="str">
        <f>IF(AND(CallLog[[#This Row],[Answered (Y/N)]]="Y", CallLog[[#This Row],[Speed of answer in seconds]]&lt;=20),
    "Within",
    "Breach")</f>
        <v>Breach</v>
      </c>
      <c r="M2500" s="1">
        <v>7.8703703703703705E-4</v>
      </c>
      <c r="N2500">
        <v>4</v>
      </c>
    </row>
    <row r="2501" spans="1:14" x14ac:dyDescent="0.3">
      <c r="A2501" t="s">
        <v>2568</v>
      </c>
      <c r="B2501" t="s">
        <v>34</v>
      </c>
      <c r="C2501" t="s">
        <v>2549</v>
      </c>
      <c r="D2501" s="1">
        <v>0.48099537037037038</v>
      </c>
      <c r="E2501" s="2">
        <f>CallLog[[#This Row],[Date]]+CallLog[[#This Row],[Time]]</f>
        <v>44240.480995370373</v>
      </c>
      <c r="F2501" s="1" t="str">
        <f>TEXT(CallLog[[#This Row],[Date]],"dddd")</f>
        <v>Saturday</v>
      </c>
      <c r="G2501" s="3">
        <f>HOUR(CallLog[[#This Row],[Time]])</f>
        <v>11</v>
      </c>
      <c r="H2501" t="s">
        <v>29</v>
      </c>
      <c r="I2501" t="s">
        <v>14</v>
      </c>
      <c r="J2501" t="s">
        <v>14</v>
      </c>
      <c r="K2501">
        <v>89</v>
      </c>
      <c r="L2501" t="str">
        <f>IF(AND(CallLog[[#This Row],[Answered (Y/N)]]="Y", CallLog[[#This Row],[Speed of answer in seconds]]&lt;=20),
    "Within",
    "Breach")</f>
        <v>Breach</v>
      </c>
      <c r="M2501" s="1">
        <v>3.6226851851851854E-3</v>
      </c>
      <c r="N2501">
        <v>3</v>
      </c>
    </row>
    <row r="2502" spans="1:14" x14ac:dyDescent="0.3">
      <c r="A2502" t="s">
        <v>2569</v>
      </c>
      <c r="B2502" t="s">
        <v>38</v>
      </c>
      <c r="C2502" t="s">
        <v>2549</v>
      </c>
      <c r="D2502" s="1">
        <v>0.50900462962962967</v>
      </c>
      <c r="E2502" s="2">
        <f>CallLog[[#This Row],[Date]]+CallLog[[#This Row],[Time]]</f>
        <v>44240.509004629632</v>
      </c>
      <c r="F2502" s="1" t="str">
        <f>TEXT(CallLog[[#This Row],[Date]],"dddd")</f>
        <v>Saturday</v>
      </c>
      <c r="G2502" s="3">
        <f>HOUR(CallLog[[#This Row],[Time]])</f>
        <v>12</v>
      </c>
      <c r="H2502" t="s">
        <v>24</v>
      </c>
      <c r="I2502" t="s">
        <v>14</v>
      </c>
      <c r="J2502" t="s">
        <v>14</v>
      </c>
      <c r="K2502">
        <v>79</v>
      </c>
      <c r="L2502" t="str">
        <f>IF(AND(CallLog[[#This Row],[Answered (Y/N)]]="Y", CallLog[[#This Row],[Speed of answer in seconds]]&lt;=20),
    "Within",
    "Breach")</f>
        <v>Breach</v>
      </c>
      <c r="M2502" s="1">
        <v>4.7106481481481478E-3</v>
      </c>
      <c r="N2502">
        <v>1</v>
      </c>
    </row>
    <row r="2503" spans="1:14" x14ac:dyDescent="0.3">
      <c r="A2503" t="s">
        <v>2570</v>
      </c>
      <c r="B2503" t="s">
        <v>22</v>
      </c>
      <c r="C2503" t="s">
        <v>2549</v>
      </c>
      <c r="D2503" s="1">
        <v>0.50900462962962967</v>
      </c>
      <c r="E2503" s="2">
        <f>CallLog[[#This Row],[Date]]+CallLog[[#This Row],[Time]]</f>
        <v>44240.509004629632</v>
      </c>
      <c r="F2503" s="1" t="str">
        <f>TEXT(CallLog[[#This Row],[Date]],"dddd")</f>
        <v>Saturday</v>
      </c>
      <c r="G2503" s="3">
        <f>HOUR(CallLog[[#This Row],[Time]])</f>
        <v>12</v>
      </c>
      <c r="H2503" t="s">
        <v>13</v>
      </c>
      <c r="I2503" t="s">
        <v>14</v>
      </c>
      <c r="J2503" t="s">
        <v>14</v>
      </c>
      <c r="K2503">
        <v>123</v>
      </c>
      <c r="L2503" t="str">
        <f>IF(AND(CallLog[[#This Row],[Answered (Y/N)]]="Y", CallLog[[#This Row],[Speed of answer in seconds]]&lt;=20),
    "Within",
    "Breach")</f>
        <v>Breach</v>
      </c>
      <c r="M2503" s="1">
        <v>4.6527777777777774E-3</v>
      </c>
      <c r="N2503">
        <v>2</v>
      </c>
    </row>
    <row r="2504" spans="1:14" x14ac:dyDescent="0.3">
      <c r="A2504" t="s">
        <v>2571</v>
      </c>
      <c r="B2504" t="s">
        <v>47</v>
      </c>
      <c r="C2504" t="s">
        <v>2549</v>
      </c>
      <c r="D2504" s="1">
        <v>0.51799768518518519</v>
      </c>
      <c r="E2504" s="2">
        <f>CallLog[[#This Row],[Date]]+CallLog[[#This Row],[Time]]</f>
        <v>44240.517997685187</v>
      </c>
      <c r="F2504" s="1" t="str">
        <f>TEXT(CallLog[[#This Row],[Date]],"dddd")</f>
        <v>Saturday</v>
      </c>
      <c r="G2504" s="3">
        <f>HOUR(CallLog[[#This Row],[Time]])</f>
        <v>12</v>
      </c>
      <c r="H2504" t="s">
        <v>29</v>
      </c>
      <c r="I2504" t="s">
        <v>14</v>
      </c>
      <c r="J2504" t="s">
        <v>14</v>
      </c>
      <c r="K2504">
        <v>97</v>
      </c>
      <c r="L2504" t="str">
        <f>IF(AND(CallLog[[#This Row],[Answered (Y/N)]]="Y", CallLog[[#This Row],[Speed of answer in seconds]]&lt;=20),
    "Within",
    "Breach")</f>
        <v>Breach</v>
      </c>
      <c r="M2504" s="1">
        <v>1.7592592592592592E-3</v>
      </c>
      <c r="N2504">
        <v>1</v>
      </c>
    </row>
    <row r="2505" spans="1:14" x14ac:dyDescent="0.3">
      <c r="A2505" t="s">
        <v>2572</v>
      </c>
      <c r="B2505" t="s">
        <v>47</v>
      </c>
      <c r="C2505" t="s">
        <v>2549</v>
      </c>
      <c r="D2505" s="1">
        <v>0.51799768518518519</v>
      </c>
      <c r="E2505" s="2">
        <f>CallLog[[#This Row],[Date]]+CallLog[[#This Row],[Time]]</f>
        <v>44240.517997685187</v>
      </c>
      <c r="F2505" s="1" t="str">
        <f>TEXT(CallLog[[#This Row],[Date]],"dddd")</f>
        <v>Saturday</v>
      </c>
      <c r="G2505" s="3">
        <f>HOUR(CallLog[[#This Row],[Time]])</f>
        <v>12</v>
      </c>
      <c r="H2505" t="s">
        <v>17</v>
      </c>
      <c r="I2505" t="s">
        <v>14</v>
      </c>
      <c r="J2505" t="s">
        <v>14</v>
      </c>
      <c r="K2505">
        <v>74</v>
      </c>
      <c r="L2505" t="str">
        <f>IF(AND(CallLog[[#This Row],[Answered (Y/N)]]="Y", CallLog[[#This Row],[Speed of answer in seconds]]&lt;=20),
    "Within",
    "Breach")</f>
        <v>Breach</v>
      </c>
      <c r="M2505" s="1">
        <v>4.1319444444444442E-3</v>
      </c>
      <c r="N2505">
        <v>3</v>
      </c>
    </row>
    <row r="2506" spans="1:14" x14ac:dyDescent="0.3">
      <c r="A2506" t="s">
        <v>2573</v>
      </c>
      <c r="B2506" t="s">
        <v>31</v>
      </c>
      <c r="C2506" t="s">
        <v>2549</v>
      </c>
      <c r="D2506" s="1">
        <v>0.51900462962962968</v>
      </c>
      <c r="E2506" s="2">
        <f>CallLog[[#This Row],[Date]]+CallLog[[#This Row],[Time]]</f>
        <v>44240.519004629627</v>
      </c>
      <c r="F2506" s="1" t="str">
        <f>TEXT(CallLog[[#This Row],[Date]],"dddd")</f>
        <v>Saturday</v>
      </c>
      <c r="G2506" s="3">
        <f>HOUR(CallLog[[#This Row],[Time]])</f>
        <v>12</v>
      </c>
      <c r="H2506" t="s">
        <v>29</v>
      </c>
      <c r="I2506" t="s">
        <v>14</v>
      </c>
      <c r="J2506" t="s">
        <v>14</v>
      </c>
      <c r="K2506">
        <v>68</v>
      </c>
      <c r="L2506" t="str">
        <f>IF(AND(CallLog[[#This Row],[Answered (Y/N)]]="Y", CallLog[[#This Row],[Speed of answer in seconds]]&lt;=20),
    "Within",
    "Breach")</f>
        <v>Breach</v>
      </c>
      <c r="M2506" s="1">
        <v>2.1990740740740742E-3</v>
      </c>
      <c r="N2506">
        <v>5</v>
      </c>
    </row>
    <row r="2507" spans="1:14" x14ac:dyDescent="0.3">
      <c r="A2507" t="s">
        <v>2574</v>
      </c>
      <c r="B2507" t="s">
        <v>34</v>
      </c>
      <c r="C2507" t="s">
        <v>2549</v>
      </c>
      <c r="D2507" s="1">
        <v>0.51900462962962968</v>
      </c>
      <c r="E2507" s="2">
        <f>CallLog[[#This Row],[Date]]+CallLog[[#This Row],[Time]]</f>
        <v>44240.519004629627</v>
      </c>
      <c r="F2507" s="1" t="str">
        <f>TEXT(CallLog[[#This Row],[Date]],"dddd")</f>
        <v>Saturday</v>
      </c>
      <c r="G2507" s="3">
        <f>HOUR(CallLog[[#This Row],[Time]])</f>
        <v>12</v>
      </c>
      <c r="H2507" t="s">
        <v>32</v>
      </c>
      <c r="I2507" t="s">
        <v>14</v>
      </c>
      <c r="J2507" t="s">
        <v>14</v>
      </c>
      <c r="K2507">
        <v>100</v>
      </c>
      <c r="L2507" t="str">
        <f>IF(AND(CallLog[[#This Row],[Answered (Y/N)]]="Y", CallLog[[#This Row],[Speed of answer in seconds]]&lt;=20),
    "Within",
    "Breach")</f>
        <v>Breach</v>
      </c>
      <c r="M2507" s="1">
        <v>3.0787037037037037E-3</v>
      </c>
      <c r="N2507">
        <v>5</v>
      </c>
    </row>
    <row r="2508" spans="1:14" x14ac:dyDescent="0.3">
      <c r="A2508" t="s">
        <v>2575</v>
      </c>
      <c r="B2508" t="s">
        <v>31</v>
      </c>
      <c r="C2508" t="s">
        <v>2549</v>
      </c>
      <c r="D2508" s="1">
        <v>0.52</v>
      </c>
      <c r="E2508" s="2">
        <f>CallLog[[#This Row],[Date]]+CallLog[[#This Row],[Time]]</f>
        <v>44240.52</v>
      </c>
      <c r="F2508" s="1" t="str">
        <f>TEXT(CallLog[[#This Row],[Date]],"dddd")</f>
        <v>Saturday</v>
      </c>
      <c r="G2508" s="3">
        <f>HOUR(CallLog[[#This Row],[Time]])</f>
        <v>12</v>
      </c>
      <c r="H2508" t="s">
        <v>29</v>
      </c>
      <c r="I2508" t="s">
        <v>18</v>
      </c>
      <c r="J2508" t="s">
        <v>18</v>
      </c>
      <c r="L2508" t="str">
        <f>IF(AND(CallLog[[#This Row],[Answered (Y/N)]]="Y", CallLog[[#This Row],[Speed of answer in seconds]]&lt;=20),
    "Within",
    "Breach")</f>
        <v>Breach</v>
      </c>
    </row>
    <row r="2509" spans="1:14" x14ac:dyDescent="0.3">
      <c r="A2509" t="s">
        <v>2576</v>
      </c>
      <c r="B2509" t="s">
        <v>38</v>
      </c>
      <c r="C2509" t="s">
        <v>2549</v>
      </c>
      <c r="D2509" s="1">
        <v>0.52</v>
      </c>
      <c r="E2509" s="2">
        <f>CallLog[[#This Row],[Date]]+CallLog[[#This Row],[Time]]</f>
        <v>44240.52</v>
      </c>
      <c r="F2509" s="1" t="str">
        <f>TEXT(CallLog[[#This Row],[Date]],"dddd")</f>
        <v>Saturday</v>
      </c>
      <c r="G2509" s="3">
        <f>HOUR(CallLog[[#This Row],[Time]])</f>
        <v>12</v>
      </c>
      <c r="H2509" t="s">
        <v>13</v>
      </c>
      <c r="I2509" t="s">
        <v>14</v>
      </c>
      <c r="J2509" t="s">
        <v>14</v>
      </c>
      <c r="K2509">
        <v>34</v>
      </c>
      <c r="L2509" t="str">
        <f>IF(AND(CallLog[[#This Row],[Answered (Y/N)]]="Y", CallLog[[#This Row],[Speed of answer in seconds]]&lt;=20),
    "Within",
    "Breach")</f>
        <v>Breach</v>
      </c>
      <c r="M2509" s="1">
        <v>3.1134259259259257E-3</v>
      </c>
      <c r="N2509">
        <v>4</v>
      </c>
    </row>
    <row r="2510" spans="1:14" x14ac:dyDescent="0.3">
      <c r="A2510" t="s">
        <v>2577</v>
      </c>
      <c r="B2510" t="s">
        <v>47</v>
      </c>
      <c r="C2510" t="s">
        <v>2549</v>
      </c>
      <c r="D2510" s="1">
        <v>0.5329976851851852</v>
      </c>
      <c r="E2510" s="2">
        <f>CallLog[[#This Row],[Date]]+CallLog[[#This Row],[Time]]</f>
        <v>44240.532997685186</v>
      </c>
      <c r="F2510" s="1" t="str">
        <f>TEXT(CallLog[[#This Row],[Date]],"dddd")</f>
        <v>Saturday</v>
      </c>
      <c r="G2510" s="3">
        <f>HOUR(CallLog[[#This Row],[Time]])</f>
        <v>12</v>
      </c>
      <c r="H2510" t="s">
        <v>17</v>
      </c>
      <c r="I2510" t="s">
        <v>18</v>
      </c>
      <c r="J2510" t="s">
        <v>18</v>
      </c>
      <c r="L2510" t="str">
        <f>IF(AND(CallLog[[#This Row],[Answered (Y/N)]]="Y", CallLog[[#This Row],[Speed of answer in seconds]]&lt;=20),
    "Within",
    "Breach")</f>
        <v>Breach</v>
      </c>
    </row>
    <row r="2511" spans="1:14" x14ac:dyDescent="0.3">
      <c r="A2511" t="s">
        <v>2578</v>
      </c>
      <c r="B2511" t="s">
        <v>22</v>
      </c>
      <c r="C2511" t="s">
        <v>2549</v>
      </c>
      <c r="D2511" s="1">
        <v>0.5329976851851852</v>
      </c>
      <c r="E2511" s="2">
        <f>CallLog[[#This Row],[Date]]+CallLog[[#This Row],[Time]]</f>
        <v>44240.532997685186</v>
      </c>
      <c r="F2511" s="1" t="str">
        <f>TEXT(CallLog[[#This Row],[Date]],"dddd")</f>
        <v>Saturday</v>
      </c>
      <c r="G2511" s="3">
        <f>HOUR(CallLog[[#This Row],[Time]])</f>
        <v>12</v>
      </c>
      <c r="H2511" t="s">
        <v>13</v>
      </c>
      <c r="I2511" t="s">
        <v>14</v>
      </c>
      <c r="J2511" t="s">
        <v>14</v>
      </c>
      <c r="K2511">
        <v>33</v>
      </c>
      <c r="L2511" t="str">
        <f>IF(AND(CallLog[[#This Row],[Answered (Y/N)]]="Y", CallLog[[#This Row],[Speed of answer in seconds]]&lt;=20),
    "Within",
    "Breach")</f>
        <v>Breach</v>
      </c>
      <c r="M2511" s="1">
        <v>2.6157407407407405E-3</v>
      </c>
      <c r="N2511">
        <v>1</v>
      </c>
    </row>
    <row r="2512" spans="1:14" x14ac:dyDescent="0.3">
      <c r="A2512" t="s">
        <v>2579</v>
      </c>
      <c r="B2512" t="s">
        <v>22</v>
      </c>
      <c r="C2512" t="s">
        <v>2549</v>
      </c>
      <c r="D2512" s="1">
        <v>0.53700231481481486</v>
      </c>
      <c r="E2512" s="2">
        <f>CallLog[[#This Row],[Date]]+CallLog[[#This Row],[Time]]</f>
        <v>44240.537002314813</v>
      </c>
      <c r="F2512" s="1" t="str">
        <f>TEXT(CallLog[[#This Row],[Date]],"dddd")</f>
        <v>Saturday</v>
      </c>
      <c r="G2512" s="3">
        <f>HOUR(CallLog[[#This Row],[Time]])</f>
        <v>12</v>
      </c>
      <c r="H2512" t="s">
        <v>13</v>
      </c>
      <c r="I2512" t="s">
        <v>14</v>
      </c>
      <c r="J2512" t="s">
        <v>14</v>
      </c>
      <c r="K2512">
        <v>63</v>
      </c>
      <c r="L2512" t="str">
        <f>IF(AND(CallLog[[#This Row],[Answered (Y/N)]]="Y", CallLog[[#This Row],[Speed of answer in seconds]]&lt;=20),
    "Within",
    "Breach")</f>
        <v>Breach</v>
      </c>
      <c r="M2512" s="1">
        <v>3.6226851851851854E-3</v>
      </c>
      <c r="N2512">
        <v>5</v>
      </c>
    </row>
    <row r="2513" spans="1:14" x14ac:dyDescent="0.3">
      <c r="A2513" t="s">
        <v>2580</v>
      </c>
      <c r="B2513" t="s">
        <v>22</v>
      </c>
      <c r="C2513" t="s">
        <v>2549</v>
      </c>
      <c r="D2513" s="1">
        <v>0.53700231481481486</v>
      </c>
      <c r="E2513" s="2">
        <f>CallLog[[#This Row],[Date]]+CallLog[[#This Row],[Time]]</f>
        <v>44240.537002314813</v>
      </c>
      <c r="F2513" s="1" t="str">
        <f>TEXT(CallLog[[#This Row],[Date]],"dddd")</f>
        <v>Saturday</v>
      </c>
      <c r="G2513" s="3">
        <f>HOUR(CallLog[[#This Row],[Time]])</f>
        <v>12</v>
      </c>
      <c r="H2513" t="s">
        <v>17</v>
      </c>
      <c r="I2513" t="s">
        <v>14</v>
      </c>
      <c r="J2513" t="s">
        <v>14</v>
      </c>
      <c r="K2513">
        <v>54</v>
      </c>
      <c r="L2513" t="str">
        <f>IF(AND(CallLog[[#This Row],[Answered (Y/N)]]="Y", CallLog[[#This Row],[Speed of answer in seconds]]&lt;=20),
    "Within",
    "Breach")</f>
        <v>Breach</v>
      </c>
      <c r="M2513" s="1">
        <v>2.0601851851851853E-3</v>
      </c>
      <c r="N2513">
        <v>1</v>
      </c>
    </row>
    <row r="2514" spans="1:14" x14ac:dyDescent="0.3">
      <c r="A2514" t="s">
        <v>2581</v>
      </c>
      <c r="B2514" t="s">
        <v>22</v>
      </c>
      <c r="C2514" t="s">
        <v>2549</v>
      </c>
      <c r="D2514" s="1">
        <v>0.55099537037037039</v>
      </c>
      <c r="E2514" s="2">
        <f>CallLog[[#This Row],[Date]]+CallLog[[#This Row],[Time]]</f>
        <v>44240.550995370373</v>
      </c>
      <c r="F2514" s="1" t="str">
        <f>TEXT(CallLog[[#This Row],[Date]],"dddd")</f>
        <v>Saturday</v>
      </c>
      <c r="G2514" s="3">
        <f>HOUR(CallLog[[#This Row],[Time]])</f>
        <v>13</v>
      </c>
      <c r="H2514" t="s">
        <v>29</v>
      </c>
      <c r="I2514" t="s">
        <v>18</v>
      </c>
      <c r="J2514" t="s">
        <v>18</v>
      </c>
      <c r="L2514" t="str">
        <f>IF(AND(CallLog[[#This Row],[Answered (Y/N)]]="Y", CallLog[[#This Row],[Speed of answer in seconds]]&lt;=20),
    "Within",
    "Breach")</f>
        <v>Breach</v>
      </c>
    </row>
    <row r="2515" spans="1:14" x14ac:dyDescent="0.3">
      <c r="A2515" t="s">
        <v>2582</v>
      </c>
      <c r="B2515" t="s">
        <v>22</v>
      </c>
      <c r="C2515" t="s">
        <v>2549</v>
      </c>
      <c r="D2515" s="1">
        <v>0.55099537037037039</v>
      </c>
      <c r="E2515" s="2">
        <f>CallLog[[#This Row],[Date]]+CallLog[[#This Row],[Time]]</f>
        <v>44240.550995370373</v>
      </c>
      <c r="F2515" s="1" t="str">
        <f>TEXT(CallLog[[#This Row],[Date]],"dddd")</f>
        <v>Saturday</v>
      </c>
      <c r="G2515" s="3">
        <f>HOUR(CallLog[[#This Row],[Time]])</f>
        <v>13</v>
      </c>
      <c r="H2515" t="s">
        <v>17</v>
      </c>
      <c r="I2515" t="s">
        <v>14</v>
      </c>
      <c r="J2515" t="s">
        <v>14</v>
      </c>
      <c r="K2515">
        <v>91</v>
      </c>
      <c r="L2515" t="str">
        <f>IF(AND(CallLog[[#This Row],[Answered (Y/N)]]="Y", CallLog[[#This Row],[Speed of answer in seconds]]&lt;=20),
    "Within",
    "Breach")</f>
        <v>Breach</v>
      </c>
      <c r="M2515" s="1">
        <v>2.5694444444444445E-3</v>
      </c>
      <c r="N2515">
        <v>2</v>
      </c>
    </row>
    <row r="2516" spans="1:14" x14ac:dyDescent="0.3">
      <c r="A2516" t="s">
        <v>2583</v>
      </c>
      <c r="B2516" t="s">
        <v>16</v>
      </c>
      <c r="C2516" t="s">
        <v>2549</v>
      </c>
      <c r="D2516" s="1">
        <v>0.55299768518518522</v>
      </c>
      <c r="E2516" s="2">
        <f>CallLog[[#This Row],[Date]]+CallLog[[#This Row],[Time]]</f>
        <v>44240.552997685183</v>
      </c>
      <c r="F2516" s="1" t="str">
        <f>TEXT(CallLog[[#This Row],[Date]],"dddd")</f>
        <v>Saturday</v>
      </c>
      <c r="G2516" s="3">
        <f>HOUR(CallLog[[#This Row],[Time]])</f>
        <v>13</v>
      </c>
      <c r="H2516" t="s">
        <v>24</v>
      </c>
      <c r="I2516" t="s">
        <v>14</v>
      </c>
      <c r="J2516" t="s">
        <v>14</v>
      </c>
      <c r="K2516">
        <v>89</v>
      </c>
      <c r="L2516" t="str">
        <f>IF(AND(CallLog[[#This Row],[Answered (Y/N)]]="Y", CallLog[[#This Row],[Speed of answer in seconds]]&lt;=20),
    "Within",
    "Breach")</f>
        <v>Breach</v>
      </c>
      <c r="M2516" s="1">
        <v>2.9513888888888888E-3</v>
      </c>
      <c r="N2516">
        <v>4</v>
      </c>
    </row>
    <row r="2517" spans="1:14" x14ac:dyDescent="0.3">
      <c r="A2517" t="s">
        <v>2584</v>
      </c>
      <c r="B2517" t="s">
        <v>34</v>
      </c>
      <c r="C2517" t="s">
        <v>2549</v>
      </c>
      <c r="D2517" s="1">
        <v>0.55299768518518522</v>
      </c>
      <c r="E2517" s="2">
        <f>CallLog[[#This Row],[Date]]+CallLog[[#This Row],[Time]]</f>
        <v>44240.552997685183</v>
      </c>
      <c r="F2517" s="1" t="str">
        <f>TEXT(CallLog[[#This Row],[Date]],"dddd")</f>
        <v>Saturday</v>
      </c>
      <c r="G2517" s="3">
        <f>HOUR(CallLog[[#This Row],[Time]])</f>
        <v>13</v>
      </c>
      <c r="H2517" t="s">
        <v>24</v>
      </c>
      <c r="I2517" t="s">
        <v>14</v>
      </c>
      <c r="J2517" t="s">
        <v>14</v>
      </c>
      <c r="K2517">
        <v>75</v>
      </c>
      <c r="L2517" t="str">
        <f>IF(AND(CallLog[[#This Row],[Answered (Y/N)]]="Y", CallLog[[#This Row],[Speed of answer in seconds]]&lt;=20),
    "Within",
    "Breach")</f>
        <v>Breach</v>
      </c>
      <c r="M2517" s="1">
        <v>3.2291666666666666E-3</v>
      </c>
      <c r="N2517">
        <v>5</v>
      </c>
    </row>
    <row r="2518" spans="1:14" x14ac:dyDescent="0.3">
      <c r="A2518" t="s">
        <v>2585</v>
      </c>
      <c r="B2518" t="s">
        <v>22</v>
      </c>
      <c r="C2518" t="s">
        <v>2549</v>
      </c>
      <c r="D2518" s="1">
        <v>0.56299768518518523</v>
      </c>
      <c r="E2518" s="2">
        <f>CallLog[[#This Row],[Date]]+CallLog[[#This Row],[Time]]</f>
        <v>44240.562997685185</v>
      </c>
      <c r="F2518" s="1" t="str">
        <f>TEXT(CallLog[[#This Row],[Date]],"dddd")</f>
        <v>Saturday</v>
      </c>
      <c r="G2518" s="3">
        <f>HOUR(CallLog[[#This Row],[Time]])</f>
        <v>13</v>
      </c>
      <c r="H2518" t="s">
        <v>32</v>
      </c>
      <c r="I2518" t="s">
        <v>14</v>
      </c>
      <c r="J2518" t="s">
        <v>14</v>
      </c>
      <c r="K2518">
        <v>54</v>
      </c>
      <c r="L2518" t="str">
        <f>IF(AND(CallLog[[#This Row],[Answered (Y/N)]]="Y", CallLog[[#This Row],[Speed of answer in seconds]]&lt;=20),
    "Within",
    "Breach")</f>
        <v>Breach</v>
      </c>
      <c r="M2518" s="1">
        <v>4.0509259259259258E-4</v>
      </c>
      <c r="N2518">
        <v>4</v>
      </c>
    </row>
    <row r="2519" spans="1:14" x14ac:dyDescent="0.3">
      <c r="A2519" t="s">
        <v>2586</v>
      </c>
      <c r="B2519" t="s">
        <v>20</v>
      </c>
      <c r="C2519" t="s">
        <v>2549</v>
      </c>
      <c r="D2519" s="1">
        <v>0.56299768518518523</v>
      </c>
      <c r="E2519" s="2">
        <f>CallLog[[#This Row],[Date]]+CallLog[[#This Row],[Time]]</f>
        <v>44240.562997685185</v>
      </c>
      <c r="F2519" s="1" t="str">
        <f>TEXT(CallLog[[#This Row],[Date]],"dddd")</f>
        <v>Saturday</v>
      </c>
      <c r="G2519" s="3">
        <f>HOUR(CallLog[[#This Row],[Time]])</f>
        <v>13</v>
      </c>
      <c r="H2519" t="s">
        <v>24</v>
      </c>
      <c r="I2519" t="s">
        <v>14</v>
      </c>
      <c r="J2519" t="s">
        <v>14</v>
      </c>
      <c r="K2519">
        <v>43</v>
      </c>
      <c r="L2519" t="str">
        <f>IF(AND(CallLog[[#This Row],[Answered (Y/N)]]="Y", CallLog[[#This Row],[Speed of answer in seconds]]&lt;=20),
    "Within",
    "Breach")</f>
        <v>Breach</v>
      </c>
      <c r="M2519" s="1">
        <v>2.1759259259259258E-3</v>
      </c>
      <c r="N2519">
        <v>3</v>
      </c>
    </row>
    <row r="2520" spans="1:14" x14ac:dyDescent="0.3">
      <c r="A2520" t="s">
        <v>2587</v>
      </c>
      <c r="B2520" t="s">
        <v>20</v>
      </c>
      <c r="C2520" t="s">
        <v>2549</v>
      </c>
      <c r="D2520" s="1">
        <v>0.60299768518518515</v>
      </c>
      <c r="E2520" s="2">
        <f>CallLog[[#This Row],[Date]]+CallLog[[#This Row],[Time]]</f>
        <v>44240.602997685186</v>
      </c>
      <c r="F2520" s="1" t="str">
        <f>TEXT(CallLog[[#This Row],[Date]],"dddd")</f>
        <v>Saturday</v>
      </c>
      <c r="G2520" s="3">
        <f>HOUR(CallLog[[#This Row],[Time]])</f>
        <v>14</v>
      </c>
      <c r="H2520" t="s">
        <v>29</v>
      </c>
      <c r="I2520" t="s">
        <v>14</v>
      </c>
      <c r="J2520" t="s">
        <v>14</v>
      </c>
      <c r="K2520">
        <v>45</v>
      </c>
      <c r="L2520" t="str">
        <f>IF(AND(CallLog[[#This Row],[Answered (Y/N)]]="Y", CallLog[[#This Row],[Speed of answer in seconds]]&lt;=20),
    "Within",
    "Breach")</f>
        <v>Breach</v>
      </c>
      <c r="M2520" s="1">
        <v>4.7800925925925927E-3</v>
      </c>
      <c r="N2520">
        <v>4</v>
      </c>
    </row>
    <row r="2521" spans="1:14" x14ac:dyDescent="0.3">
      <c r="A2521" t="s">
        <v>2588</v>
      </c>
      <c r="B2521" t="s">
        <v>38</v>
      </c>
      <c r="C2521" t="s">
        <v>2549</v>
      </c>
      <c r="D2521" s="1">
        <v>0.60299768518518515</v>
      </c>
      <c r="E2521" s="2">
        <f>CallLog[[#This Row],[Date]]+CallLog[[#This Row],[Time]]</f>
        <v>44240.602997685186</v>
      </c>
      <c r="F2521" s="1" t="str">
        <f>TEXT(CallLog[[#This Row],[Date]],"dddd")</f>
        <v>Saturday</v>
      </c>
      <c r="G2521" s="3">
        <f>HOUR(CallLog[[#This Row],[Time]])</f>
        <v>14</v>
      </c>
      <c r="H2521" t="s">
        <v>24</v>
      </c>
      <c r="I2521" t="s">
        <v>14</v>
      </c>
      <c r="J2521" t="s">
        <v>14</v>
      </c>
      <c r="K2521">
        <v>79</v>
      </c>
      <c r="L2521" t="str">
        <f>IF(AND(CallLog[[#This Row],[Answered (Y/N)]]="Y", CallLog[[#This Row],[Speed of answer in seconds]]&lt;=20),
    "Within",
    "Breach")</f>
        <v>Breach</v>
      </c>
      <c r="M2521" s="1">
        <v>3.5879629629629629E-4</v>
      </c>
      <c r="N2521">
        <v>5</v>
      </c>
    </row>
    <row r="2522" spans="1:14" x14ac:dyDescent="0.3">
      <c r="A2522" t="s">
        <v>2589</v>
      </c>
      <c r="B2522" t="s">
        <v>34</v>
      </c>
      <c r="C2522" t="s">
        <v>2549</v>
      </c>
      <c r="D2522" s="1">
        <v>0.61099537037037033</v>
      </c>
      <c r="E2522" s="2">
        <f>CallLog[[#This Row],[Date]]+CallLog[[#This Row],[Time]]</f>
        <v>44240.610995370371</v>
      </c>
      <c r="F2522" s="1" t="str">
        <f>TEXT(CallLog[[#This Row],[Date]],"dddd")</f>
        <v>Saturday</v>
      </c>
      <c r="G2522" s="3">
        <f>HOUR(CallLog[[#This Row],[Time]])</f>
        <v>14</v>
      </c>
      <c r="H2522" t="s">
        <v>17</v>
      </c>
      <c r="I2522" t="s">
        <v>14</v>
      </c>
      <c r="J2522" t="s">
        <v>14</v>
      </c>
      <c r="K2522">
        <v>27</v>
      </c>
      <c r="L2522" t="str">
        <f>IF(AND(CallLog[[#This Row],[Answered (Y/N)]]="Y", CallLog[[#This Row],[Speed of answer in seconds]]&lt;=20),
    "Within",
    "Breach")</f>
        <v>Breach</v>
      </c>
      <c r="M2522" s="1">
        <v>2.2453703703703702E-3</v>
      </c>
      <c r="N2522">
        <v>3</v>
      </c>
    </row>
    <row r="2523" spans="1:14" x14ac:dyDescent="0.3">
      <c r="A2523" t="s">
        <v>2590</v>
      </c>
      <c r="B2523" t="s">
        <v>11</v>
      </c>
      <c r="C2523" t="s">
        <v>2549</v>
      </c>
      <c r="D2523" s="1">
        <v>0.61099537037037033</v>
      </c>
      <c r="E2523" s="2">
        <f>CallLog[[#This Row],[Date]]+CallLog[[#This Row],[Time]]</f>
        <v>44240.610995370371</v>
      </c>
      <c r="F2523" s="1" t="str">
        <f>TEXT(CallLog[[#This Row],[Date]],"dddd")</f>
        <v>Saturday</v>
      </c>
      <c r="G2523" s="3">
        <f>HOUR(CallLog[[#This Row],[Time]])</f>
        <v>14</v>
      </c>
      <c r="H2523" t="s">
        <v>24</v>
      </c>
      <c r="I2523" t="s">
        <v>14</v>
      </c>
      <c r="J2523" t="s">
        <v>14</v>
      </c>
      <c r="K2523">
        <v>59</v>
      </c>
      <c r="L2523" t="str">
        <f>IF(AND(CallLog[[#This Row],[Answered (Y/N)]]="Y", CallLog[[#This Row],[Speed of answer in seconds]]&lt;=20),
    "Within",
    "Breach")</f>
        <v>Breach</v>
      </c>
      <c r="M2523" s="1">
        <v>3.8541666666666668E-3</v>
      </c>
      <c r="N2523">
        <v>3</v>
      </c>
    </row>
    <row r="2524" spans="1:14" x14ac:dyDescent="0.3">
      <c r="A2524" t="s">
        <v>2591</v>
      </c>
      <c r="B2524" t="s">
        <v>20</v>
      </c>
      <c r="C2524" t="s">
        <v>2549</v>
      </c>
      <c r="D2524" s="1">
        <v>0.63500000000000001</v>
      </c>
      <c r="E2524" s="2">
        <f>CallLog[[#This Row],[Date]]+CallLog[[#This Row],[Time]]</f>
        <v>44240.635000000002</v>
      </c>
      <c r="F2524" s="1" t="str">
        <f>TEXT(CallLog[[#This Row],[Date]],"dddd")</f>
        <v>Saturday</v>
      </c>
      <c r="G2524" s="3">
        <f>HOUR(CallLog[[#This Row],[Time]])</f>
        <v>15</v>
      </c>
      <c r="H2524" t="s">
        <v>13</v>
      </c>
      <c r="I2524" t="s">
        <v>14</v>
      </c>
      <c r="J2524" t="s">
        <v>18</v>
      </c>
      <c r="K2524">
        <v>70</v>
      </c>
      <c r="L2524" t="str">
        <f>IF(AND(CallLog[[#This Row],[Answered (Y/N)]]="Y", CallLog[[#This Row],[Speed of answer in seconds]]&lt;=20),
    "Within",
    "Breach")</f>
        <v>Breach</v>
      </c>
      <c r="M2524" s="1">
        <v>6.018518518518519E-4</v>
      </c>
      <c r="N2524">
        <v>4</v>
      </c>
    </row>
    <row r="2525" spans="1:14" x14ac:dyDescent="0.3">
      <c r="A2525" t="s">
        <v>2592</v>
      </c>
      <c r="B2525" t="s">
        <v>47</v>
      </c>
      <c r="C2525" t="s">
        <v>2549</v>
      </c>
      <c r="D2525" s="1">
        <v>0.63500000000000001</v>
      </c>
      <c r="E2525" s="2">
        <f>CallLog[[#This Row],[Date]]+CallLog[[#This Row],[Time]]</f>
        <v>44240.635000000002</v>
      </c>
      <c r="F2525" s="1" t="str">
        <f>TEXT(CallLog[[#This Row],[Date]],"dddd")</f>
        <v>Saturday</v>
      </c>
      <c r="G2525" s="3">
        <f>HOUR(CallLog[[#This Row],[Time]])</f>
        <v>15</v>
      </c>
      <c r="H2525" t="s">
        <v>24</v>
      </c>
      <c r="I2525" t="s">
        <v>14</v>
      </c>
      <c r="J2525" t="s">
        <v>18</v>
      </c>
      <c r="K2525">
        <v>92</v>
      </c>
      <c r="L2525" t="str">
        <f>IF(AND(CallLog[[#This Row],[Answered (Y/N)]]="Y", CallLog[[#This Row],[Speed of answer in seconds]]&lt;=20),
    "Within",
    "Breach")</f>
        <v>Breach</v>
      </c>
      <c r="M2525" s="1">
        <v>9.9537037037037042E-4</v>
      </c>
      <c r="N2525">
        <v>5</v>
      </c>
    </row>
    <row r="2526" spans="1:14" x14ac:dyDescent="0.3">
      <c r="A2526" t="s">
        <v>2593</v>
      </c>
      <c r="B2526" t="s">
        <v>22</v>
      </c>
      <c r="C2526" t="s">
        <v>2549</v>
      </c>
      <c r="D2526" s="1">
        <v>0.64799768518518519</v>
      </c>
      <c r="E2526" s="2">
        <f>CallLog[[#This Row],[Date]]+CallLog[[#This Row],[Time]]</f>
        <v>44240.647997685184</v>
      </c>
      <c r="F2526" s="1" t="str">
        <f>TEXT(CallLog[[#This Row],[Date]],"dddd")</f>
        <v>Saturday</v>
      </c>
      <c r="G2526" s="3">
        <f>HOUR(CallLog[[#This Row],[Time]])</f>
        <v>15</v>
      </c>
      <c r="H2526" t="s">
        <v>17</v>
      </c>
      <c r="I2526" t="s">
        <v>14</v>
      </c>
      <c r="J2526" t="s">
        <v>14</v>
      </c>
      <c r="K2526">
        <v>96</v>
      </c>
      <c r="L2526" t="str">
        <f>IF(AND(CallLog[[#This Row],[Answered (Y/N)]]="Y", CallLog[[#This Row],[Speed of answer in seconds]]&lt;=20),
    "Within",
    "Breach")</f>
        <v>Breach</v>
      </c>
      <c r="M2526" s="1">
        <v>3.1828703703703702E-3</v>
      </c>
      <c r="N2526">
        <v>2</v>
      </c>
    </row>
    <row r="2527" spans="1:14" x14ac:dyDescent="0.3">
      <c r="A2527" t="s">
        <v>2594</v>
      </c>
      <c r="B2527" t="s">
        <v>16</v>
      </c>
      <c r="C2527" t="s">
        <v>2549</v>
      </c>
      <c r="D2527" s="1">
        <v>0.64799768518518519</v>
      </c>
      <c r="E2527" s="2">
        <f>CallLog[[#This Row],[Date]]+CallLog[[#This Row],[Time]]</f>
        <v>44240.647997685184</v>
      </c>
      <c r="F2527" s="1" t="str">
        <f>TEXT(CallLog[[#This Row],[Date]],"dddd")</f>
        <v>Saturday</v>
      </c>
      <c r="G2527" s="3">
        <f>HOUR(CallLog[[#This Row],[Time]])</f>
        <v>15</v>
      </c>
      <c r="H2527" t="s">
        <v>32</v>
      </c>
      <c r="I2527" t="s">
        <v>14</v>
      </c>
      <c r="J2527" t="s">
        <v>14</v>
      </c>
      <c r="K2527">
        <v>79</v>
      </c>
      <c r="L2527" t="str">
        <f>IF(AND(CallLog[[#This Row],[Answered (Y/N)]]="Y", CallLog[[#This Row],[Speed of answer in seconds]]&lt;=20),
    "Within",
    "Breach")</f>
        <v>Breach</v>
      </c>
      <c r="M2527" s="1">
        <v>3.5879629629629629E-3</v>
      </c>
      <c r="N2527">
        <v>5</v>
      </c>
    </row>
    <row r="2528" spans="1:14" x14ac:dyDescent="0.3">
      <c r="A2528" t="s">
        <v>2595</v>
      </c>
      <c r="B2528" t="s">
        <v>22</v>
      </c>
      <c r="C2528" t="s">
        <v>2549</v>
      </c>
      <c r="D2528" s="1">
        <v>0.66500000000000004</v>
      </c>
      <c r="E2528" s="2">
        <f>CallLog[[#This Row],[Date]]+CallLog[[#This Row],[Time]]</f>
        <v>44240.665000000001</v>
      </c>
      <c r="F2528" s="1" t="str">
        <f>TEXT(CallLog[[#This Row],[Date]],"dddd")</f>
        <v>Saturday</v>
      </c>
      <c r="G2528" s="3">
        <f>HOUR(CallLog[[#This Row],[Time]])</f>
        <v>15</v>
      </c>
      <c r="H2528" t="s">
        <v>29</v>
      </c>
      <c r="I2528" t="s">
        <v>14</v>
      </c>
      <c r="J2528" t="s">
        <v>14</v>
      </c>
      <c r="K2528">
        <v>115</v>
      </c>
      <c r="L2528" t="str">
        <f>IF(AND(CallLog[[#This Row],[Answered (Y/N)]]="Y", CallLog[[#This Row],[Speed of answer in seconds]]&lt;=20),
    "Within",
    "Breach")</f>
        <v>Breach</v>
      </c>
      <c r="M2528" s="1">
        <v>7.5231481481481482E-4</v>
      </c>
      <c r="N2528">
        <v>5</v>
      </c>
    </row>
    <row r="2529" spans="1:14" x14ac:dyDescent="0.3">
      <c r="A2529" t="s">
        <v>2596</v>
      </c>
      <c r="B2529" t="s">
        <v>31</v>
      </c>
      <c r="C2529" t="s">
        <v>2549</v>
      </c>
      <c r="D2529" s="1">
        <v>0.66500000000000004</v>
      </c>
      <c r="E2529" s="2">
        <f>CallLog[[#This Row],[Date]]+CallLog[[#This Row],[Time]]</f>
        <v>44240.665000000001</v>
      </c>
      <c r="F2529" s="1" t="str">
        <f>TEXT(CallLog[[#This Row],[Date]],"dddd")</f>
        <v>Saturday</v>
      </c>
      <c r="G2529" s="3">
        <f>HOUR(CallLog[[#This Row],[Time]])</f>
        <v>15</v>
      </c>
      <c r="H2529" t="s">
        <v>24</v>
      </c>
      <c r="I2529" t="s">
        <v>14</v>
      </c>
      <c r="J2529" t="s">
        <v>14</v>
      </c>
      <c r="K2529">
        <v>71</v>
      </c>
      <c r="L2529" t="str">
        <f>IF(AND(CallLog[[#This Row],[Answered (Y/N)]]="Y", CallLog[[#This Row],[Speed of answer in seconds]]&lt;=20),
    "Within",
    "Breach")</f>
        <v>Breach</v>
      </c>
      <c r="M2529" s="1">
        <v>4.0046296296296297E-3</v>
      </c>
      <c r="N2529">
        <v>3</v>
      </c>
    </row>
    <row r="2530" spans="1:14" x14ac:dyDescent="0.3">
      <c r="A2530" t="s">
        <v>2597</v>
      </c>
      <c r="B2530" t="s">
        <v>38</v>
      </c>
      <c r="C2530" t="s">
        <v>2549</v>
      </c>
      <c r="D2530" s="1">
        <v>0.67799768518518522</v>
      </c>
      <c r="E2530" s="2">
        <f>CallLog[[#This Row],[Date]]+CallLog[[#This Row],[Time]]</f>
        <v>44240.677997685183</v>
      </c>
      <c r="F2530" s="1" t="str">
        <f>TEXT(CallLog[[#This Row],[Date]],"dddd")</f>
        <v>Saturday</v>
      </c>
      <c r="G2530" s="3">
        <f>HOUR(CallLog[[#This Row],[Time]])</f>
        <v>16</v>
      </c>
      <c r="H2530" t="s">
        <v>32</v>
      </c>
      <c r="I2530" t="s">
        <v>18</v>
      </c>
      <c r="J2530" t="s">
        <v>18</v>
      </c>
      <c r="L2530" t="str">
        <f>IF(AND(CallLog[[#This Row],[Answered (Y/N)]]="Y", CallLog[[#This Row],[Speed of answer in seconds]]&lt;=20),
    "Within",
    "Breach")</f>
        <v>Breach</v>
      </c>
    </row>
    <row r="2531" spans="1:14" x14ac:dyDescent="0.3">
      <c r="A2531" t="s">
        <v>2598</v>
      </c>
      <c r="B2531" t="s">
        <v>20</v>
      </c>
      <c r="C2531" t="s">
        <v>2549</v>
      </c>
      <c r="D2531" s="1">
        <v>0.67799768518518522</v>
      </c>
      <c r="E2531" s="2">
        <f>CallLog[[#This Row],[Date]]+CallLog[[#This Row],[Time]]</f>
        <v>44240.677997685183</v>
      </c>
      <c r="F2531" s="1" t="str">
        <f>TEXT(CallLog[[#This Row],[Date]],"dddd")</f>
        <v>Saturday</v>
      </c>
      <c r="G2531" s="3">
        <f>HOUR(CallLog[[#This Row],[Time]])</f>
        <v>16</v>
      </c>
      <c r="H2531" t="s">
        <v>24</v>
      </c>
      <c r="I2531" t="s">
        <v>14</v>
      </c>
      <c r="J2531" t="s">
        <v>18</v>
      </c>
      <c r="K2531">
        <v>124</v>
      </c>
      <c r="L2531" t="str">
        <f>IF(AND(CallLog[[#This Row],[Answered (Y/N)]]="Y", CallLog[[#This Row],[Speed of answer in seconds]]&lt;=20),
    "Within",
    "Breach")</f>
        <v>Breach</v>
      </c>
      <c r="M2531" s="1">
        <v>3.9467592592592592E-3</v>
      </c>
      <c r="N2531">
        <v>4</v>
      </c>
    </row>
    <row r="2532" spans="1:14" x14ac:dyDescent="0.3">
      <c r="A2532" t="s">
        <v>2599</v>
      </c>
      <c r="B2532" t="s">
        <v>11</v>
      </c>
      <c r="C2532" t="s">
        <v>2549</v>
      </c>
      <c r="D2532" s="1">
        <v>0.70200231481481479</v>
      </c>
      <c r="E2532" s="2">
        <f>CallLog[[#This Row],[Date]]+CallLog[[#This Row],[Time]]</f>
        <v>44240.702002314814</v>
      </c>
      <c r="F2532" s="1" t="str">
        <f>TEXT(CallLog[[#This Row],[Date]],"dddd")</f>
        <v>Saturday</v>
      </c>
      <c r="G2532" s="3">
        <f>HOUR(CallLog[[#This Row],[Time]])</f>
        <v>16</v>
      </c>
      <c r="H2532" t="s">
        <v>24</v>
      </c>
      <c r="I2532" t="s">
        <v>18</v>
      </c>
      <c r="J2532" t="s">
        <v>18</v>
      </c>
      <c r="L2532" t="str">
        <f>IF(AND(CallLog[[#This Row],[Answered (Y/N)]]="Y", CallLog[[#This Row],[Speed of answer in seconds]]&lt;=20),
    "Within",
    "Breach")</f>
        <v>Breach</v>
      </c>
    </row>
    <row r="2533" spans="1:14" x14ac:dyDescent="0.3">
      <c r="A2533" t="s">
        <v>2600</v>
      </c>
      <c r="B2533" t="s">
        <v>34</v>
      </c>
      <c r="C2533" t="s">
        <v>2549</v>
      </c>
      <c r="D2533" s="1">
        <v>0.70200231481481479</v>
      </c>
      <c r="E2533" s="2">
        <f>CallLog[[#This Row],[Date]]+CallLog[[#This Row],[Time]]</f>
        <v>44240.702002314814</v>
      </c>
      <c r="F2533" s="1" t="str">
        <f>TEXT(CallLog[[#This Row],[Date]],"dddd")</f>
        <v>Saturday</v>
      </c>
      <c r="G2533" s="3">
        <f>HOUR(CallLog[[#This Row],[Time]])</f>
        <v>16</v>
      </c>
      <c r="H2533" t="s">
        <v>13</v>
      </c>
      <c r="I2533" t="s">
        <v>14</v>
      </c>
      <c r="J2533" t="s">
        <v>14</v>
      </c>
      <c r="K2533">
        <v>35</v>
      </c>
      <c r="L2533" t="str">
        <f>IF(AND(CallLog[[#This Row],[Answered (Y/N)]]="Y", CallLog[[#This Row],[Speed of answer in seconds]]&lt;=20),
    "Within",
    "Breach")</f>
        <v>Breach</v>
      </c>
      <c r="M2533" s="1">
        <v>3.5879629629629629E-4</v>
      </c>
      <c r="N2533">
        <v>5</v>
      </c>
    </row>
    <row r="2534" spans="1:14" x14ac:dyDescent="0.3">
      <c r="A2534" t="s">
        <v>2601</v>
      </c>
      <c r="B2534" t="s">
        <v>47</v>
      </c>
      <c r="C2534" t="s">
        <v>2549</v>
      </c>
      <c r="D2534" s="1">
        <v>0.72099537037037043</v>
      </c>
      <c r="E2534" s="2">
        <f>CallLog[[#This Row],[Date]]+CallLog[[#This Row],[Time]]</f>
        <v>44240.720995370371</v>
      </c>
      <c r="F2534" s="1" t="str">
        <f>TEXT(CallLog[[#This Row],[Date]],"dddd")</f>
        <v>Saturday</v>
      </c>
      <c r="G2534" s="3">
        <f>HOUR(CallLog[[#This Row],[Time]])</f>
        <v>17</v>
      </c>
      <c r="H2534" t="s">
        <v>13</v>
      </c>
      <c r="I2534" t="s">
        <v>14</v>
      </c>
      <c r="J2534" t="s">
        <v>14</v>
      </c>
      <c r="K2534">
        <v>106</v>
      </c>
      <c r="L2534" t="str">
        <f>IF(AND(CallLog[[#This Row],[Answered (Y/N)]]="Y", CallLog[[#This Row],[Speed of answer in seconds]]&lt;=20),
    "Within",
    "Breach")</f>
        <v>Breach</v>
      </c>
      <c r="M2534" s="1">
        <v>2.3379629629629631E-3</v>
      </c>
      <c r="N2534">
        <v>3</v>
      </c>
    </row>
    <row r="2535" spans="1:14" x14ac:dyDescent="0.3">
      <c r="A2535" t="s">
        <v>2602</v>
      </c>
      <c r="B2535" t="s">
        <v>47</v>
      </c>
      <c r="C2535" t="s">
        <v>2549</v>
      </c>
      <c r="D2535" s="1">
        <v>0.72099537037037043</v>
      </c>
      <c r="E2535" s="2">
        <f>CallLog[[#This Row],[Date]]+CallLog[[#This Row],[Time]]</f>
        <v>44240.720995370371</v>
      </c>
      <c r="F2535" s="1" t="str">
        <f>TEXT(CallLog[[#This Row],[Date]],"dddd")</f>
        <v>Saturday</v>
      </c>
      <c r="G2535" s="3">
        <f>HOUR(CallLog[[#This Row],[Time]])</f>
        <v>17</v>
      </c>
      <c r="H2535" t="s">
        <v>13</v>
      </c>
      <c r="I2535" t="s">
        <v>14</v>
      </c>
      <c r="J2535" t="s">
        <v>14</v>
      </c>
      <c r="K2535">
        <v>32</v>
      </c>
      <c r="L2535" t="str">
        <f>IF(AND(CallLog[[#This Row],[Answered (Y/N)]]="Y", CallLog[[#This Row],[Speed of answer in seconds]]&lt;=20),
    "Within",
    "Breach")</f>
        <v>Breach</v>
      </c>
      <c r="M2535" s="1">
        <v>2.4652777777777776E-3</v>
      </c>
      <c r="N2535">
        <v>4</v>
      </c>
    </row>
    <row r="2536" spans="1:14" x14ac:dyDescent="0.3">
      <c r="A2536" t="s">
        <v>2603</v>
      </c>
      <c r="B2536" t="s">
        <v>31</v>
      </c>
      <c r="C2536" t="s">
        <v>2604</v>
      </c>
      <c r="D2536" s="1">
        <v>0.38</v>
      </c>
      <c r="E2536" s="2">
        <f>CallLog[[#This Row],[Date]]+CallLog[[#This Row],[Time]]</f>
        <v>44241.38</v>
      </c>
      <c r="F2536" s="1" t="str">
        <f>TEXT(CallLog[[#This Row],[Date]],"dddd")</f>
        <v>Sunday</v>
      </c>
      <c r="G2536" s="3">
        <f>HOUR(CallLog[[#This Row],[Time]])</f>
        <v>9</v>
      </c>
      <c r="H2536" t="s">
        <v>24</v>
      </c>
      <c r="I2536" t="s">
        <v>14</v>
      </c>
      <c r="J2536" t="s">
        <v>14</v>
      </c>
      <c r="K2536">
        <v>119</v>
      </c>
      <c r="L2536" t="str">
        <f>IF(AND(CallLog[[#This Row],[Answered (Y/N)]]="Y", CallLog[[#This Row],[Speed of answer in seconds]]&lt;=20),
    "Within",
    "Breach")</f>
        <v>Breach</v>
      </c>
      <c r="M2536" s="1">
        <v>2.9861111111111113E-3</v>
      </c>
      <c r="N2536">
        <v>4</v>
      </c>
    </row>
    <row r="2537" spans="1:14" x14ac:dyDescent="0.3">
      <c r="A2537" t="s">
        <v>2605</v>
      </c>
      <c r="B2537" t="s">
        <v>22</v>
      </c>
      <c r="C2537" t="s">
        <v>2604</v>
      </c>
      <c r="D2537" s="1">
        <v>0.38</v>
      </c>
      <c r="E2537" s="2">
        <f>CallLog[[#This Row],[Date]]+CallLog[[#This Row],[Time]]</f>
        <v>44241.38</v>
      </c>
      <c r="F2537" s="1" t="str">
        <f>TEXT(CallLog[[#This Row],[Date]],"dddd")</f>
        <v>Sunday</v>
      </c>
      <c r="G2537" s="3">
        <f>HOUR(CallLog[[#This Row],[Time]])</f>
        <v>9</v>
      </c>
      <c r="H2537" t="s">
        <v>13</v>
      </c>
      <c r="I2537" t="s">
        <v>14</v>
      </c>
      <c r="J2537" t="s">
        <v>14</v>
      </c>
      <c r="K2537">
        <v>112</v>
      </c>
      <c r="L2537" t="str">
        <f>IF(AND(CallLog[[#This Row],[Answered (Y/N)]]="Y", CallLog[[#This Row],[Speed of answer in seconds]]&lt;=20),
    "Within",
    "Breach")</f>
        <v>Breach</v>
      </c>
      <c r="M2537" s="1">
        <v>3.1134259259259257E-3</v>
      </c>
      <c r="N2537">
        <v>2</v>
      </c>
    </row>
    <row r="2538" spans="1:14" x14ac:dyDescent="0.3">
      <c r="A2538" t="s">
        <v>2606</v>
      </c>
      <c r="B2538" t="s">
        <v>20</v>
      </c>
      <c r="C2538" t="s">
        <v>2604</v>
      </c>
      <c r="D2538" s="1">
        <v>0.4020023148148148</v>
      </c>
      <c r="E2538" s="2">
        <f>CallLog[[#This Row],[Date]]+CallLog[[#This Row],[Time]]</f>
        <v>44241.402002314811</v>
      </c>
      <c r="F2538" s="1" t="str">
        <f>TEXT(CallLog[[#This Row],[Date]],"dddd")</f>
        <v>Sunday</v>
      </c>
      <c r="G2538" s="3">
        <f>HOUR(CallLog[[#This Row],[Time]])</f>
        <v>9</v>
      </c>
      <c r="H2538" t="s">
        <v>17</v>
      </c>
      <c r="I2538" t="s">
        <v>14</v>
      </c>
      <c r="J2538" t="s">
        <v>14</v>
      </c>
      <c r="K2538">
        <v>49</v>
      </c>
      <c r="L2538" t="str">
        <f>IF(AND(CallLog[[#This Row],[Answered (Y/N)]]="Y", CallLog[[#This Row],[Speed of answer in seconds]]&lt;=20),
    "Within",
    "Breach")</f>
        <v>Breach</v>
      </c>
      <c r="M2538" s="1">
        <v>2.8935185185185184E-3</v>
      </c>
      <c r="N2538">
        <v>1</v>
      </c>
    </row>
    <row r="2539" spans="1:14" x14ac:dyDescent="0.3">
      <c r="A2539" t="s">
        <v>2607</v>
      </c>
      <c r="B2539" t="s">
        <v>20</v>
      </c>
      <c r="C2539" t="s">
        <v>2604</v>
      </c>
      <c r="D2539" s="1">
        <v>0.4020023148148148</v>
      </c>
      <c r="E2539" s="2">
        <f>CallLog[[#This Row],[Date]]+CallLog[[#This Row],[Time]]</f>
        <v>44241.402002314811</v>
      </c>
      <c r="F2539" s="1" t="str">
        <f>TEXT(CallLog[[#This Row],[Date]],"dddd")</f>
        <v>Sunday</v>
      </c>
      <c r="G2539" s="3">
        <f>HOUR(CallLog[[#This Row],[Time]])</f>
        <v>9</v>
      </c>
      <c r="H2539" t="s">
        <v>13</v>
      </c>
      <c r="I2539" t="s">
        <v>18</v>
      </c>
      <c r="J2539" t="s">
        <v>18</v>
      </c>
      <c r="L2539" t="str">
        <f>IF(AND(CallLog[[#This Row],[Answered (Y/N)]]="Y", CallLog[[#This Row],[Speed of answer in seconds]]&lt;=20),
    "Within",
    "Breach")</f>
        <v>Breach</v>
      </c>
    </row>
    <row r="2540" spans="1:14" x14ac:dyDescent="0.3">
      <c r="A2540" t="s">
        <v>2608</v>
      </c>
      <c r="B2540" t="s">
        <v>34</v>
      </c>
      <c r="C2540" t="s">
        <v>2604</v>
      </c>
      <c r="D2540" s="1">
        <v>0.4070023148148148</v>
      </c>
      <c r="E2540" s="2">
        <f>CallLog[[#This Row],[Date]]+CallLog[[#This Row],[Time]]</f>
        <v>44241.407002314816</v>
      </c>
      <c r="F2540" s="1" t="str">
        <f>TEXT(CallLog[[#This Row],[Date]],"dddd")</f>
        <v>Sunday</v>
      </c>
      <c r="G2540" s="3">
        <f>HOUR(CallLog[[#This Row],[Time]])</f>
        <v>9</v>
      </c>
      <c r="H2540" t="s">
        <v>29</v>
      </c>
      <c r="I2540" t="s">
        <v>14</v>
      </c>
      <c r="J2540" t="s">
        <v>14</v>
      </c>
      <c r="K2540">
        <v>74</v>
      </c>
      <c r="L2540" t="str">
        <f>IF(AND(CallLog[[#This Row],[Answered (Y/N)]]="Y", CallLog[[#This Row],[Speed of answer in seconds]]&lt;=20),
    "Within",
    "Breach")</f>
        <v>Breach</v>
      </c>
      <c r="M2540" s="1">
        <v>3.4027777777777776E-3</v>
      </c>
      <c r="N2540">
        <v>3</v>
      </c>
    </row>
    <row r="2541" spans="1:14" x14ac:dyDescent="0.3">
      <c r="A2541" t="s">
        <v>2609</v>
      </c>
      <c r="B2541" t="s">
        <v>22</v>
      </c>
      <c r="C2541" t="s">
        <v>2604</v>
      </c>
      <c r="D2541" s="1">
        <v>0.4070023148148148</v>
      </c>
      <c r="E2541" s="2">
        <f>CallLog[[#This Row],[Date]]+CallLog[[#This Row],[Time]]</f>
        <v>44241.407002314816</v>
      </c>
      <c r="F2541" s="1" t="str">
        <f>TEXT(CallLog[[#This Row],[Date]],"dddd")</f>
        <v>Sunday</v>
      </c>
      <c r="G2541" s="3">
        <f>HOUR(CallLog[[#This Row],[Time]])</f>
        <v>9</v>
      </c>
      <c r="H2541" t="s">
        <v>32</v>
      </c>
      <c r="I2541" t="s">
        <v>14</v>
      </c>
      <c r="J2541" t="s">
        <v>18</v>
      </c>
      <c r="K2541">
        <v>117</v>
      </c>
      <c r="L2541" t="str">
        <f>IF(AND(CallLog[[#This Row],[Answered (Y/N)]]="Y", CallLog[[#This Row],[Speed of answer in seconds]]&lt;=20),
    "Within",
    "Breach")</f>
        <v>Breach</v>
      </c>
      <c r="M2541" s="1">
        <v>1.9097222222222222E-3</v>
      </c>
      <c r="N2541">
        <v>4</v>
      </c>
    </row>
    <row r="2542" spans="1:14" x14ac:dyDescent="0.3">
      <c r="A2542" t="s">
        <v>2610</v>
      </c>
      <c r="B2542" t="s">
        <v>31</v>
      </c>
      <c r="C2542" t="s">
        <v>2604</v>
      </c>
      <c r="D2542" s="1">
        <v>0.40900462962962963</v>
      </c>
      <c r="E2542" s="2">
        <f>CallLog[[#This Row],[Date]]+CallLog[[#This Row],[Time]]</f>
        <v>44241.409004629626</v>
      </c>
      <c r="F2542" s="1" t="str">
        <f>TEXT(CallLog[[#This Row],[Date]],"dddd")</f>
        <v>Sunday</v>
      </c>
      <c r="G2542" s="3">
        <f>HOUR(CallLog[[#This Row],[Time]])</f>
        <v>9</v>
      </c>
      <c r="H2542" t="s">
        <v>13</v>
      </c>
      <c r="I2542" t="s">
        <v>18</v>
      </c>
      <c r="J2542" t="s">
        <v>18</v>
      </c>
      <c r="L2542" t="str">
        <f>IF(AND(CallLog[[#This Row],[Answered (Y/N)]]="Y", CallLog[[#This Row],[Speed of answer in seconds]]&lt;=20),
    "Within",
    "Breach")</f>
        <v>Breach</v>
      </c>
    </row>
    <row r="2543" spans="1:14" x14ac:dyDescent="0.3">
      <c r="A2543" t="s">
        <v>2611</v>
      </c>
      <c r="B2543" t="s">
        <v>11</v>
      </c>
      <c r="C2543" t="s">
        <v>2604</v>
      </c>
      <c r="D2543" s="1">
        <v>0.40900462962962963</v>
      </c>
      <c r="E2543" s="2">
        <f>CallLog[[#This Row],[Date]]+CallLog[[#This Row],[Time]]</f>
        <v>44241.409004629626</v>
      </c>
      <c r="F2543" s="1" t="str">
        <f>TEXT(CallLog[[#This Row],[Date]],"dddd")</f>
        <v>Sunday</v>
      </c>
      <c r="G2543" s="3">
        <f>HOUR(CallLog[[#This Row],[Time]])</f>
        <v>9</v>
      </c>
      <c r="H2543" t="s">
        <v>29</v>
      </c>
      <c r="I2543" t="s">
        <v>14</v>
      </c>
      <c r="J2543" t="s">
        <v>14</v>
      </c>
      <c r="K2543">
        <v>40</v>
      </c>
      <c r="L2543" t="str">
        <f>IF(AND(CallLog[[#This Row],[Answered (Y/N)]]="Y", CallLog[[#This Row],[Speed of answer in seconds]]&lt;=20),
    "Within",
    "Breach")</f>
        <v>Breach</v>
      </c>
      <c r="M2543" s="1">
        <v>4.7569444444444447E-3</v>
      </c>
      <c r="N2543">
        <v>1</v>
      </c>
    </row>
    <row r="2544" spans="1:14" x14ac:dyDescent="0.3">
      <c r="A2544" t="s">
        <v>2612</v>
      </c>
      <c r="B2544" t="s">
        <v>38</v>
      </c>
      <c r="C2544" t="s">
        <v>2604</v>
      </c>
      <c r="D2544" s="1">
        <v>0.43400462962962966</v>
      </c>
      <c r="E2544" s="2">
        <f>CallLog[[#This Row],[Date]]+CallLog[[#This Row],[Time]]</f>
        <v>44241.434004629627</v>
      </c>
      <c r="F2544" s="1" t="str">
        <f>TEXT(CallLog[[#This Row],[Date]],"dddd")</f>
        <v>Sunday</v>
      </c>
      <c r="G2544" s="3">
        <f>HOUR(CallLog[[#This Row],[Time]])</f>
        <v>10</v>
      </c>
      <c r="H2544" t="s">
        <v>13</v>
      </c>
      <c r="I2544" t="s">
        <v>14</v>
      </c>
      <c r="J2544" t="s">
        <v>14</v>
      </c>
      <c r="K2544">
        <v>87</v>
      </c>
      <c r="L2544" t="str">
        <f>IF(AND(CallLog[[#This Row],[Answered (Y/N)]]="Y", CallLog[[#This Row],[Speed of answer in seconds]]&lt;=20),
    "Within",
    "Breach")</f>
        <v>Breach</v>
      </c>
      <c r="M2544" s="1">
        <v>3.3912037037037036E-3</v>
      </c>
      <c r="N2544">
        <v>5</v>
      </c>
    </row>
    <row r="2545" spans="1:14" x14ac:dyDescent="0.3">
      <c r="A2545" t="s">
        <v>2613</v>
      </c>
      <c r="B2545" t="s">
        <v>38</v>
      </c>
      <c r="C2545" t="s">
        <v>2604</v>
      </c>
      <c r="D2545" s="1">
        <v>0.43400462962962966</v>
      </c>
      <c r="E2545" s="2">
        <f>CallLog[[#This Row],[Date]]+CallLog[[#This Row],[Time]]</f>
        <v>44241.434004629627</v>
      </c>
      <c r="F2545" s="1" t="str">
        <f>TEXT(CallLog[[#This Row],[Date]],"dddd")</f>
        <v>Sunday</v>
      </c>
      <c r="G2545" s="3">
        <f>HOUR(CallLog[[#This Row],[Time]])</f>
        <v>10</v>
      </c>
      <c r="H2545" t="s">
        <v>32</v>
      </c>
      <c r="I2545" t="s">
        <v>14</v>
      </c>
      <c r="J2545" t="s">
        <v>14</v>
      </c>
      <c r="K2545">
        <v>58</v>
      </c>
      <c r="L2545" t="str">
        <f>IF(AND(CallLog[[#This Row],[Answered (Y/N)]]="Y", CallLog[[#This Row],[Speed of answer in seconds]]&lt;=20),
    "Within",
    "Breach")</f>
        <v>Breach</v>
      </c>
      <c r="M2545" s="1">
        <v>9.7222222222222219E-4</v>
      </c>
      <c r="N2545">
        <v>4</v>
      </c>
    </row>
    <row r="2546" spans="1:14" x14ac:dyDescent="0.3">
      <c r="A2546" t="s">
        <v>2614</v>
      </c>
      <c r="B2546" t="s">
        <v>16</v>
      </c>
      <c r="C2546" t="s">
        <v>2604</v>
      </c>
      <c r="D2546" s="1">
        <v>0.43799768518518517</v>
      </c>
      <c r="E2546" s="2">
        <f>CallLog[[#This Row],[Date]]+CallLog[[#This Row],[Time]]</f>
        <v>44241.437997685185</v>
      </c>
      <c r="F2546" s="1" t="str">
        <f>TEXT(CallLog[[#This Row],[Date]],"dddd")</f>
        <v>Sunday</v>
      </c>
      <c r="G2546" s="3">
        <f>HOUR(CallLog[[#This Row],[Time]])</f>
        <v>10</v>
      </c>
      <c r="H2546" t="s">
        <v>17</v>
      </c>
      <c r="I2546" t="s">
        <v>14</v>
      </c>
      <c r="J2546" t="s">
        <v>14</v>
      </c>
      <c r="K2546">
        <v>84</v>
      </c>
      <c r="L2546" t="str">
        <f>IF(AND(CallLog[[#This Row],[Answered (Y/N)]]="Y", CallLog[[#This Row],[Speed of answer in seconds]]&lt;=20),
    "Within",
    "Breach")</f>
        <v>Breach</v>
      </c>
      <c r="M2546" s="1">
        <v>4.1666666666666666E-3</v>
      </c>
      <c r="N2546">
        <v>4</v>
      </c>
    </row>
    <row r="2547" spans="1:14" x14ac:dyDescent="0.3">
      <c r="A2547" t="s">
        <v>2615</v>
      </c>
      <c r="B2547" t="s">
        <v>31</v>
      </c>
      <c r="C2547" t="s">
        <v>2604</v>
      </c>
      <c r="D2547" s="1">
        <v>0.43799768518518517</v>
      </c>
      <c r="E2547" s="2">
        <f>CallLog[[#This Row],[Date]]+CallLog[[#This Row],[Time]]</f>
        <v>44241.437997685185</v>
      </c>
      <c r="F2547" s="1" t="str">
        <f>TEXT(CallLog[[#This Row],[Date]],"dddd")</f>
        <v>Sunday</v>
      </c>
      <c r="G2547" s="3">
        <f>HOUR(CallLog[[#This Row],[Time]])</f>
        <v>10</v>
      </c>
      <c r="H2547" t="s">
        <v>24</v>
      </c>
      <c r="I2547" t="s">
        <v>14</v>
      </c>
      <c r="J2547" t="s">
        <v>14</v>
      </c>
      <c r="K2547">
        <v>54</v>
      </c>
      <c r="L2547" t="str">
        <f>IF(AND(CallLog[[#This Row],[Answered (Y/N)]]="Y", CallLog[[#This Row],[Speed of answer in seconds]]&lt;=20),
    "Within",
    "Breach")</f>
        <v>Breach</v>
      </c>
      <c r="M2547" s="1">
        <v>1.5856481481481481E-3</v>
      </c>
      <c r="N2547">
        <v>2</v>
      </c>
    </row>
    <row r="2548" spans="1:14" x14ac:dyDescent="0.3">
      <c r="A2548" t="s">
        <v>2616</v>
      </c>
      <c r="B2548" t="s">
        <v>47</v>
      </c>
      <c r="C2548" t="s">
        <v>2604</v>
      </c>
      <c r="D2548" s="1">
        <v>0.45299768518518518</v>
      </c>
      <c r="E2548" s="2">
        <f>CallLog[[#This Row],[Date]]+CallLog[[#This Row],[Time]]</f>
        <v>44241.452997685185</v>
      </c>
      <c r="F2548" s="1" t="str">
        <f>TEXT(CallLog[[#This Row],[Date]],"dddd")</f>
        <v>Sunday</v>
      </c>
      <c r="G2548" s="3">
        <f>HOUR(CallLog[[#This Row],[Time]])</f>
        <v>10</v>
      </c>
      <c r="H2548" t="s">
        <v>13</v>
      </c>
      <c r="I2548" t="s">
        <v>14</v>
      </c>
      <c r="J2548" t="s">
        <v>14</v>
      </c>
      <c r="K2548">
        <v>13</v>
      </c>
      <c r="L2548" t="str">
        <f>IF(AND(CallLog[[#This Row],[Answered (Y/N)]]="Y", CallLog[[#This Row],[Speed of answer in seconds]]&lt;=20),
    "Within",
    "Breach")</f>
        <v>Within</v>
      </c>
      <c r="M2548" s="1">
        <v>3.8888888888888888E-3</v>
      </c>
      <c r="N2548">
        <v>5</v>
      </c>
    </row>
    <row r="2549" spans="1:14" x14ac:dyDescent="0.3">
      <c r="A2549" t="s">
        <v>2617</v>
      </c>
      <c r="B2549" t="s">
        <v>11</v>
      </c>
      <c r="C2549" t="s">
        <v>2604</v>
      </c>
      <c r="D2549" s="1">
        <v>0.45299768518518518</v>
      </c>
      <c r="E2549" s="2">
        <f>CallLog[[#This Row],[Date]]+CallLog[[#This Row],[Time]]</f>
        <v>44241.452997685185</v>
      </c>
      <c r="F2549" s="1" t="str">
        <f>TEXT(CallLog[[#This Row],[Date]],"dddd")</f>
        <v>Sunday</v>
      </c>
      <c r="G2549" s="3">
        <f>HOUR(CallLog[[#This Row],[Time]])</f>
        <v>10</v>
      </c>
      <c r="H2549" t="s">
        <v>17</v>
      </c>
      <c r="I2549" t="s">
        <v>18</v>
      </c>
      <c r="J2549" t="s">
        <v>18</v>
      </c>
      <c r="L2549" t="str">
        <f>IF(AND(CallLog[[#This Row],[Answered (Y/N)]]="Y", CallLog[[#This Row],[Speed of answer in seconds]]&lt;=20),
    "Within",
    "Breach")</f>
        <v>Breach</v>
      </c>
    </row>
    <row r="2550" spans="1:14" x14ac:dyDescent="0.3">
      <c r="A2550" t="s">
        <v>2618</v>
      </c>
      <c r="B2550" t="s">
        <v>31</v>
      </c>
      <c r="C2550" t="s">
        <v>2604</v>
      </c>
      <c r="D2550" s="1">
        <v>0.49599537037037039</v>
      </c>
      <c r="E2550" s="2">
        <f>CallLog[[#This Row],[Date]]+CallLog[[#This Row],[Time]]</f>
        <v>44241.495995370373</v>
      </c>
      <c r="F2550" s="1" t="str">
        <f>TEXT(CallLog[[#This Row],[Date]],"dddd")</f>
        <v>Sunday</v>
      </c>
      <c r="G2550" s="3">
        <f>HOUR(CallLog[[#This Row],[Time]])</f>
        <v>11</v>
      </c>
      <c r="H2550" t="s">
        <v>17</v>
      </c>
      <c r="I2550" t="s">
        <v>14</v>
      </c>
      <c r="J2550" t="s">
        <v>14</v>
      </c>
      <c r="K2550">
        <v>42</v>
      </c>
      <c r="L2550" t="str">
        <f>IF(AND(CallLog[[#This Row],[Answered (Y/N)]]="Y", CallLog[[#This Row],[Speed of answer in seconds]]&lt;=20),
    "Within",
    "Breach")</f>
        <v>Breach</v>
      </c>
      <c r="M2550" s="1">
        <v>4.1666666666666669E-4</v>
      </c>
      <c r="N2550">
        <v>4</v>
      </c>
    </row>
    <row r="2551" spans="1:14" x14ac:dyDescent="0.3">
      <c r="A2551" t="s">
        <v>2619</v>
      </c>
      <c r="B2551" t="s">
        <v>20</v>
      </c>
      <c r="C2551" t="s">
        <v>2604</v>
      </c>
      <c r="D2551" s="1">
        <v>0.49599537037037039</v>
      </c>
      <c r="E2551" s="2">
        <f>CallLog[[#This Row],[Date]]+CallLog[[#This Row],[Time]]</f>
        <v>44241.495995370373</v>
      </c>
      <c r="F2551" s="1" t="str">
        <f>TEXT(CallLog[[#This Row],[Date]],"dddd")</f>
        <v>Sunday</v>
      </c>
      <c r="G2551" s="3">
        <f>HOUR(CallLog[[#This Row],[Time]])</f>
        <v>11</v>
      </c>
      <c r="H2551" t="s">
        <v>24</v>
      </c>
      <c r="I2551" t="s">
        <v>14</v>
      </c>
      <c r="J2551" t="s">
        <v>14</v>
      </c>
      <c r="K2551">
        <v>12</v>
      </c>
      <c r="L2551" t="str">
        <f>IF(AND(CallLog[[#This Row],[Answered (Y/N)]]="Y", CallLog[[#This Row],[Speed of answer in seconds]]&lt;=20),
    "Within",
    "Breach")</f>
        <v>Within</v>
      </c>
      <c r="M2551" s="1">
        <v>1.8055555555555555E-3</v>
      </c>
      <c r="N2551">
        <v>1</v>
      </c>
    </row>
    <row r="2552" spans="1:14" x14ac:dyDescent="0.3">
      <c r="A2552" t="s">
        <v>2620</v>
      </c>
      <c r="B2552" t="s">
        <v>11</v>
      </c>
      <c r="C2552" t="s">
        <v>2604</v>
      </c>
      <c r="D2552" s="1">
        <v>0.52200231481481485</v>
      </c>
      <c r="E2552" s="2">
        <f>CallLog[[#This Row],[Date]]+CallLog[[#This Row],[Time]]</f>
        <v>44241.522002314814</v>
      </c>
      <c r="F2552" s="1" t="str">
        <f>TEXT(CallLog[[#This Row],[Date]],"dddd")</f>
        <v>Sunday</v>
      </c>
      <c r="G2552" s="3">
        <f>HOUR(CallLog[[#This Row],[Time]])</f>
        <v>12</v>
      </c>
      <c r="H2552" t="s">
        <v>29</v>
      </c>
      <c r="I2552" t="s">
        <v>14</v>
      </c>
      <c r="J2552" t="s">
        <v>14</v>
      </c>
      <c r="K2552">
        <v>13</v>
      </c>
      <c r="L2552" t="str">
        <f>IF(AND(CallLog[[#This Row],[Answered (Y/N)]]="Y", CallLog[[#This Row],[Speed of answer in seconds]]&lt;=20),
    "Within",
    "Breach")</f>
        <v>Within</v>
      </c>
      <c r="M2552" s="1">
        <v>3.2407407407407406E-3</v>
      </c>
      <c r="N2552">
        <v>3</v>
      </c>
    </row>
    <row r="2553" spans="1:14" x14ac:dyDescent="0.3">
      <c r="A2553" t="s">
        <v>2621</v>
      </c>
      <c r="B2553" t="s">
        <v>22</v>
      </c>
      <c r="C2553" t="s">
        <v>2604</v>
      </c>
      <c r="D2553" s="1">
        <v>0.52200231481481485</v>
      </c>
      <c r="E2553" s="2">
        <f>CallLog[[#This Row],[Date]]+CallLog[[#This Row],[Time]]</f>
        <v>44241.522002314814</v>
      </c>
      <c r="F2553" s="1" t="str">
        <f>TEXT(CallLog[[#This Row],[Date]],"dddd")</f>
        <v>Sunday</v>
      </c>
      <c r="G2553" s="3">
        <f>HOUR(CallLog[[#This Row],[Time]])</f>
        <v>12</v>
      </c>
      <c r="H2553" t="s">
        <v>13</v>
      </c>
      <c r="I2553" t="s">
        <v>18</v>
      </c>
      <c r="J2553" t="s">
        <v>18</v>
      </c>
      <c r="L2553" t="str">
        <f>IF(AND(CallLog[[#This Row],[Answered (Y/N)]]="Y", CallLog[[#This Row],[Speed of answer in seconds]]&lt;=20),
    "Within",
    "Breach")</f>
        <v>Breach</v>
      </c>
    </row>
    <row r="2554" spans="1:14" x14ac:dyDescent="0.3">
      <c r="A2554" t="s">
        <v>2622</v>
      </c>
      <c r="B2554" t="s">
        <v>11</v>
      </c>
      <c r="C2554" t="s">
        <v>2604</v>
      </c>
      <c r="D2554" s="1">
        <v>0.52900462962962957</v>
      </c>
      <c r="E2554" s="2">
        <f>CallLog[[#This Row],[Date]]+CallLog[[#This Row],[Time]]</f>
        <v>44241.529004629629</v>
      </c>
      <c r="F2554" s="1" t="str">
        <f>TEXT(CallLog[[#This Row],[Date]],"dddd")</f>
        <v>Sunday</v>
      </c>
      <c r="G2554" s="3">
        <f>HOUR(CallLog[[#This Row],[Time]])</f>
        <v>12</v>
      </c>
      <c r="H2554" t="s">
        <v>32</v>
      </c>
      <c r="I2554" t="s">
        <v>14</v>
      </c>
      <c r="J2554" t="s">
        <v>14</v>
      </c>
      <c r="K2554">
        <v>100</v>
      </c>
      <c r="L2554" t="str">
        <f>IF(AND(CallLog[[#This Row],[Answered (Y/N)]]="Y", CallLog[[#This Row],[Speed of answer in seconds]]&lt;=20),
    "Within",
    "Breach")</f>
        <v>Breach</v>
      </c>
      <c r="M2554" s="1">
        <v>2.2106481481481482E-3</v>
      </c>
      <c r="N2554">
        <v>5</v>
      </c>
    </row>
    <row r="2555" spans="1:14" x14ac:dyDescent="0.3">
      <c r="A2555" t="s">
        <v>2623</v>
      </c>
      <c r="B2555" t="s">
        <v>34</v>
      </c>
      <c r="C2555" t="s">
        <v>2604</v>
      </c>
      <c r="D2555" s="1">
        <v>0.52900462962962957</v>
      </c>
      <c r="E2555" s="2">
        <f>CallLog[[#This Row],[Date]]+CallLog[[#This Row],[Time]]</f>
        <v>44241.529004629629</v>
      </c>
      <c r="F2555" s="1" t="str">
        <f>TEXT(CallLog[[#This Row],[Date]],"dddd")</f>
        <v>Sunday</v>
      </c>
      <c r="G2555" s="3">
        <f>HOUR(CallLog[[#This Row],[Time]])</f>
        <v>12</v>
      </c>
      <c r="H2555" t="s">
        <v>24</v>
      </c>
      <c r="I2555" t="s">
        <v>14</v>
      </c>
      <c r="J2555" t="s">
        <v>14</v>
      </c>
      <c r="K2555">
        <v>70</v>
      </c>
      <c r="L2555" t="str">
        <f>IF(AND(CallLog[[#This Row],[Answered (Y/N)]]="Y", CallLog[[#This Row],[Speed of answer in seconds]]&lt;=20),
    "Within",
    "Breach")</f>
        <v>Breach</v>
      </c>
      <c r="M2555" s="1">
        <v>8.1018518518518516E-4</v>
      </c>
      <c r="N2555">
        <v>2</v>
      </c>
    </row>
    <row r="2556" spans="1:14" x14ac:dyDescent="0.3">
      <c r="A2556" t="s">
        <v>2624</v>
      </c>
      <c r="B2556" t="s">
        <v>20</v>
      </c>
      <c r="C2556" t="s">
        <v>2604</v>
      </c>
      <c r="D2556" s="1">
        <v>0.54</v>
      </c>
      <c r="E2556" s="2">
        <f>CallLog[[#This Row],[Date]]+CallLog[[#This Row],[Time]]</f>
        <v>44241.54</v>
      </c>
      <c r="F2556" s="1" t="str">
        <f>TEXT(CallLog[[#This Row],[Date]],"dddd")</f>
        <v>Sunday</v>
      </c>
      <c r="G2556" s="3">
        <f>HOUR(CallLog[[#This Row],[Time]])</f>
        <v>12</v>
      </c>
      <c r="H2556" t="s">
        <v>32</v>
      </c>
      <c r="I2556" t="s">
        <v>18</v>
      </c>
      <c r="J2556" t="s">
        <v>18</v>
      </c>
      <c r="L2556" t="str">
        <f>IF(AND(CallLog[[#This Row],[Answered (Y/N)]]="Y", CallLog[[#This Row],[Speed of answer in seconds]]&lt;=20),
    "Within",
    "Breach")</f>
        <v>Breach</v>
      </c>
    </row>
    <row r="2557" spans="1:14" x14ac:dyDescent="0.3">
      <c r="A2557" t="s">
        <v>2625</v>
      </c>
      <c r="B2557" t="s">
        <v>31</v>
      </c>
      <c r="C2557" t="s">
        <v>2604</v>
      </c>
      <c r="D2557" s="1">
        <v>0.54</v>
      </c>
      <c r="E2557" s="2">
        <f>CallLog[[#This Row],[Date]]+CallLog[[#This Row],[Time]]</f>
        <v>44241.54</v>
      </c>
      <c r="F2557" s="1" t="str">
        <f>TEXT(CallLog[[#This Row],[Date]],"dddd")</f>
        <v>Sunday</v>
      </c>
      <c r="G2557" s="3">
        <f>HOUR(CallLog[[#This Row],[Time]])</f>
        <v>12</v>
      </c>
      <c r="H2557" t="s">
        <v>17</v>
      </c>
      <c r="I2557" t="s">
        <v>18</v>
      </c>
      <c r="J2557" t="s">
        <v>18</v>
      </c>
      <c r="L2557" t="str">
        <f>IF(AND(CallLog[[#This Row],[Answered (Y/N)]]="Y", CallLog[[#This Row],[Speed of answer in seconds]]&lt;=20),
    "Within",
    "Breach")</f>
        <v>Breach</v>
      </c>
    </row>
    <row r="2558" spans="1:14" x14ac:dyDescent="0.3">
      <c r="A2558" t="s">
        <v>2626</v>
      </c>
      <c r="B2558" t="s">
        <v>16</v>
      </c>
      <c r="C2558" t="s">
        <v>2604</v>
      </c>
      <c r="D2558" s="1">
        <v>0.55099537037037039</v>
      </c>
      <c r="E2558" s="2">
        <f>CallLog[[#This Row],[Date]]+CallLog[[#This Row],[Time]]</f>
        <v>44241.550995370373</v>
      </c>
      <c r="F2558" s="1" t="str">
        <f>TEXT(CallLog[[#This Row],[Date]],"dddd")</f>
        <v>Sunday</v>
      </c>
      <c r="G2558" s="3">
        <f>HOUR(CallLog[[#This Row],[Time]])</f>
        <v>13</v>
      </c>
      <c r="H2558" t="s">
        <v>17</v>
      </c>
      <c r="I2558" t="s">
        <v>14</v>
      </c>
      <c r="J2558" t="s">
        <v>14</v>
      </c>
      <c r="K2558">
        <v>102</v>
      </c>
      <c r="L2558" t="str">
        <f>IF(AND(CallLog[[#This Row],[Answered (Y/N)]]="Y", CallLog[[#This Row],[Speed of answer in seconds]]&lt;=20),
    "Within",
    "Breach")</f>
        <v>Breach</v>
      </c>
      <c r="M2558" s="1">
        <v>4.0856481481481481E-3</v>
      </c>
      <c r="N2558">
        <v>4</v>
      </c>
    </row>
    <row r="2559" spans="1:14" x14ac:dyDescent="0.3">
      <c r="A2559" t="s">
        <v>2627</v>
      </c>
      <c r="B2559" t="s">
        <v>16</v>
      </c>
      <c r="C2559" t="s">
        <v>2604</v>
      </c>
      <c r="D2559" s="1">
        <v>0.55099537037037039</v>
      </c>
      <c r="E2559" s="2">
        <f>CallLog[[#This Row],[Date]]+CallLog[[#This Row],[Time]]</f>
        <v>44241.550995370373</v>
      </c>
      <c r="F2559" s="1" t="str">
        <f>TEXT(CallLog[[#This Row],[Date]],"dddd")</f>
        <v>Sunday</v>
      </c>
      <c r="G2559" s="3">
        <f>HOUR(CallLog[[#This Row],[Time]])</f>
        <v>13</v>
      </c>
      <c r="H2559" t="s">
        <v>17</v>
      </c>
      <c r="I2559" t="s">
        <v>14</v>
      </c>
      <c r="J2559" t="s">
        <v>14</v>
      </c>
      <c r="K2559">
        <v>82</v>
      </c>
      <c r="L2559" t="str">
        <f>IF(AND(CallLog[[#This Row],[Answered (Y/N)]]="Y", CallLog[[#This Row],[Speed of answer in seconds]]&lt;=20),
    "Within",
    "Breach")</f>
        <v>Breach</v>
      </c>
      <c r="M2559" s="1">
        <v>2.3032407407407407E-3</v>
      </c>
      <c r="N2559">
        <v>3</v>
      </c>
    </row>
    <row r="2560" spans="1:14" x14ac:dyDescent="0.3">
      <c r="A2560" t="s">
        <v>2628</v>
      </c>
      <c r="B2560" t="s">
        <v>34</v>
      </c>
      <c r="C2560" t="s">
        <v>2604</v>
      </c>
      <c r="D2560" s="1">
        <v>0.56000000000000005</v>
      </c>
      <c r="E2560" s="2">
        <f>CallLog[[#This Row],[Date]]+CallLog[[#This Row],[Time]]</f>
        <v>44241.56</v>
      </c>
      <c r="F2560" s="1" t="str">
        <f>TEXT(CallLog[[#This Row],[Date]],"dddd")</f>
        <v>Sunday</v>
      </c>
      <c r="G2560" s="3">
        <f>HOUR(CallLog[[#This Row],[Time]])</f>
        <v>13</v>
      </c>
      <c r="H2560" t="s">
        <v>32</v>
      </c>
      <c r="I2560" t="s">
        <v>14</v>
      </c>
      <c r="J2560" t="s">
        <v>18</v>
      </c>
      <c r="K2560">
        <v>24</v>
      </c>
      <c r="L2560" t="str">
        <f>IF(AND(CallLog[[#This Row],[Answered (Y/N)]]="Y", CallLog[[#This Row],[Speed of answer in seconds]]&lt;=20),
    "Within",
    "Breach")</f>
        <v>Breach</v>
      </c>
      <c r="M2560" s="1">
        <v>2.8587962962962963E-3</v>
      </c>
      <c r="N2560">
        <v>5</v>
      </c>
    </row>
    <row r="2561" spans="1:14" x14ac:dyDescent="0.3">
      <c r="A2561" t="s">
        <v>2629</v>
      </c>
      <c r="B2561" t="s">
        <v>20</v>
      </c>
      <c r="C2561" t="s">
        <v>2604</v>
      </c>
      <c r="D2561" s="1">
        <v>0.56000000000000005</v>
      </c>
      <c r="E2561" s="2">
        <f>CallLog[[#This Row],[Date]]+CallLog[[#This Row],[Time]]</f>
        <v>44241.56</v>
      </c>
      <c r="F2561" s="1" t="str">
        <f>TEXT(CallLog[[#This Row],[Date]],"dddd")</f>
        <v>Sunday</v>
      </c>
      <c r="G2561" s="3">
        <f>HOUR(CallLog[[#This Row],[Time]])</f>
        <v>13</v>
      </c>
      <c r="H2561" t="s">
        <v>29</v>
      </c>
      <c r="I2561" t="s">
        <v>14</v>
      </c>
      <c r="J2561" t="s">
        <v>14</v>
      </c>
      <c r="K2561">
        <v>10</v>
      </c>
      <c r="L2561" t="str">
        <f>IF(AND(CallLog[[#This Row],[Answered (Y/N)]]="Y", CallLog[[#This Row],[Speed of answer in seconds]]&lt;=20),
    "Within",
    "Breach")</f>
        <v>Within</v>
      </c>
      <c r="M2561" s="1">
        <v>1.1458333333333333E-3</v>
      </c>
      <c r="N2561">
        <v>5</v>
      </c>
    </row>
    <row r="2562" spans="1:14" x14ac:dyDescent="0.3">
      <c r="A2562" t="s">
        <v>2630</v>
      </c>
      <c r="B2562" t="s">
        <v>31</v>
      </c>
      <c r="C2562" t="s">
        <v>2604</v>
      </c>
      <c r="D2562" s="1">
        <v>0.57400462962962961</v>
      </c>
      <c r="E2562" s="2">
        <f>CallLog[[#This Row],[Date]]+CallLog[[#This Row],[Time]]</f>
        <v>44241.574004629627</v>
      </c>
      <c r="F2562" s="1" t="str">
        <f>TEXT(CallLog[[#This Row],[Date]],"dddd")</f>
        <v>Sunday</v>
      </c>
      <c r="G2562" s="3">
        <f>HOUR(CallLog[[#This Row],[Time]])</f>
        <v>13</v>
      </c>
      <c r="H2562" t="s">
        <v>24</v>
      </c>
      <c r="I2562" t="s">
        <v>18</v>
      </c>
      <c r="J2562" t="s">
        <v>18</v>
      </c>
      <c r="L2562" t="str">
        <f>IF(AND(CallLog[[#This Row],[Answered (Y/N)]]="Y", CallLog[[#This Row],[Speed of answer in seconds]]&lt;=20),
    "Within",
    "Breach")</f>
        <v>Breach</v>
      </c>
    </row>
    <row r="2563" spans="1:14" x14ac:dyDescent="0.3">
      <c r="A2563" t="s">
        <v>2631</v>
      </c>
      <c r="B2563" t="s">
        <v>20</v>
      </c>
      <c r="C2563" t="s">
        <v>2604</v>
      </c>
      <c r="D2563" s="1">
        <v>0.57400462962962961</v>
      </c>
      <c r="E2563" s="2">
        <f>CallLog[[#This Row],[Date]]+CallLog[[#This Row],[Time]]</f>
        <v>44241.574004629627</v>
      </c>
      <c r="F2563" s="1" t="str">
        <f>TEXT(CallLog[[#This Row],[Date]],"dddd")</f>
        <v>Sunday</v>
      </c>
      <c r="G2563" s="3">
        <f>HOUR(CallLog[[#This Row],[Time]])</f>
        <v>13</v>
      </c>
      <c r="H2563" t="s">
        <v>32</v>
      </c>
      <c r="I2563" t="s">
        <v>14</v>
      </c>
      <c r="J2563" t="s">
        <v>14</v>
      </c>
      <c r="K2563">
        <v>80</v>
      </c>
      <c r="L2563" t="str">
        <f>IF(AND(CallLog[[#This Row],[Answered (Y/N)]]="Y", CallLog[[#This Row],[Speed of answer in seconds]]&lt;=20),
    "Within",
    "Breach")</f>
        <v>Breach</v>
      </c>
      <c r="M2563" s="1">
        <v>3.4837962962962965E-3</v>
      </c>
      <c r="N2563">
        <v>1</v>
      </c>
    </row>
    <row r="2564" spans="1:14" x14ac:dyDescent="0.3">
      <c r="A2564" t="s">
        <v>2632</v>
      </c>
      <c r="B2564" t="s">
        <v>20</v>
      </c>
      <c r="C2564" t="s">
        <v>2604</v>
      </c>
      <c r="D2564" s="1">
        <v>0.57700231481481479</v>
      </c>
      <c r="E2564" s="2">
        <f>CallLog[[#This Row],[Date]]+CallLog[[#This Row],[Time]]</f>
        <v>44241.577002314814</v>
      </c>
      <c r="F2564" s="1" t="str">
        <f>TEXT(CallLog[[#This Row],[Date]],"dddd")</f>
        <v>Sunday</v>
      </c>
      <c r="G2564" s="3">
        <f>HOUR(CallLog[[#This Row],[Time]])</f>
        <v>13</v>
      </c>
      <c r="H2564" t="s">
        <v>17</v>
      </c>
      <c r="I2564" t="s">
        <v>14</v>
      </c>
      <c r="J2564" t="s">
        <v>14</v>
      </c>
      <c r="K2564">
        <v>63</v>
      </c>
      <c r="L2564" t="str">
        <f>IF(AND(CallLog[[#This Row],[Answered (Y/N)]]="Y", CallLog[[#This Row],[Speed of answer in seconds]]&lt;=20),
    "Within",
    "Breach")</f>
        <v>Breach</v>
      </c>
      <c r="M2564" s="1">
        <v>4.3287037037037035E-3</v>
      </c>
      <c r="N2564">
        <v>4</v>
      </c>
    </row>
    <row r="2565" spans="1:14" x14ac:dyDescent="0.3">
      <c r="A2565" t="s">
        <v>2633</v>
      </c>
      <c r="B2565" t="s">
        <v>22</v>
      </c>
      <c r="C2565" t="s">
        <v>2604</v>
      </c>
      <c r="D2565" s="1">
        <v>0.57700231481481479</v>
      </c>
      <c r="E2565" s="2">
        <f>CallLog[[#This Row],[Date]]+CallLog[[#This Row],[Time]]</f>
        <v>44241.577002314814</v>
      </c>
      <c r="F2565" s="1" t="str">
        <f>TEXT(CallLog[[#This Row],[Date]],"dddd")</f>
        <v>Sunday</v>
      </c>
      <c r="G2565" s="3">
        <f>HOUR(CallLog[[#This Row],[Time]])</f>
        <v>13</v>
      </c>
      <c r="H2565" t="s">
        <v>13</v>
      </c>
      <c r="I2565" t="s">
        <v>14</v>
      </c>
      <c r="J2565" t="s">
        <v>14</v>
      </c>
      <c r="K2565">
        <v>43</v>
      </c>
      <c r="L2565" t="str">
        <f>IF(AND(CallLog[[#This Row],[Answered (Y/N)]]="Y", CallLog[[#This Row],[Speed of answer in seconds]]&lt;=20),
    "Within",
    "Breach")</f>
        <v>Breach</v>
      </c>
      <c r="M2565" s="1">
        <v>4.7800925925925927E-3</v>
      </c>
      <c r="N2565">
        <v>4</v>
      </c>
    </row>
    <row r="2566" spans="1:14" x14ac:dyDescent="0.3">
      <c r="A2566" t="s">
        <v>2634</v>
      </c>
      <c r="B2566" t="s">
        <v>47</v>
      </c>
      <c r="C2566" t="s">
        <v>2604</v>
      </c>
      <c r="D2566" s="1">
        <v>0.59799768518518515</v>
      </c>
      <c r="E2566" s="2">
        <f>CallLog[[#This Row],[Date]]+CallLog[[#This Row],[Time]]</f>
        <v>44241.597997685189</v>
      </c>
      <c r="F2566" s="1" t="str">
        <f>TEXT(CallLog[[#This Row],[Date]],"dddd")</f>
        <v>Sunday</v>
      </c>
      <c r="G2566" s="3">
        <f>HOUR(CallLog[[#This Row],[Time]])</f>
        <v>14</v>
      </c>
      <c r="H2566" t="s">
        <v>24</v>
      </c>
      <c r="I2566" t="s">
        <v>18</v>
      </c>
      <c r="J2566" t="s">
        <v>18</v>
      </c>
      <c r="L2566" t="str">
        <f>IF(AND(CallLog[[#This Row],[Answered (Y/N)]]="Y", CallLog[[#This Row],[Speed of answer in seconds]]&lt;=20),
    "Within",
    "Breach")</f>
        <v>Breach</v>
      </c>
    </row>
    <row r="2567" spans="1:14" x14ac:dyDescent="0.3">
      <c r="A2567" t="s">
        <v>2635</v>
      </c>
      <c r="B2567" t="s">
        <v>11</v>
      </c>
      <c r="C2567" t="s">
        <v>2604</v>
      </c>
      <c r="D2567" s="1">
        <v>0.59799768518518515</v>
      </c>
      <c r="E2567" s="2">
        <f>CallLog[[#This Row],[Date]]+CallLog[[#This Row],[Time]]</f>
        <v>44241.597997685189</v>
      </c>
      <c r="F2567" s="1" t="str">
        <f>TEXT(CallLog[[#This Row],[Date]],"dddd")</f>
        <v>Sunday</v>
      </c>
      <c r="G2567" s="3">
        <f>HOUR(CallLog[[#This Row],[Time]])</f>
        <v>14</v>
      </c>
      <c r="H2567" t="s">
        <v>24</v>
      </c>
      <c r="I2567" t="s">
        <v>14</v>
      </c>
      <c r="J2567" t="s">
        <v>14</v>
      </c>
      <c r="K2567">
        <v>87</v>
      </c>
      <c r="L2567" t="str">
        <f>IF(AND(CallLog[[#This Row],[Answered (Y/N)]]="Y", CallLog[[#This Row],[Speed of answer in seconds]]&lt;=20),
    "Within",
    "Breach")</f>
        <v>Breach</v>
      </c>
      <c r="M2567" s="1">
        <v>1.4120370370370369E-3</v>
      </c>
      <c r="N2567">
        <v>4</v>
      </c>
    </row>
    <row r="2568" spans="1:14" x14ac:dyDescent="0.3">
      <c r="A2568" t="s">
        <v>2636</v>
      </c>
      <c r="B2568" t="s">
        <v>34</v>
      </c>
      <c r="C2568" t="s">
        <v>2604</v>
      </c>
      <c r="D2568" s="1">
        <v>0.6</v>
      </c>
      <c r="E2568" s="2">
        <f>CallLog[[#This Row],[Date]]+CallLog[[#This Row],[Time]]</f>
        <v>44241.599999999999</v>
      </c>
      <c r="F2568" s="1" t="str">
        <f>TEXT(CallLog[[#This Row],[Date]],"dddd")</f>
        <v>Sunday</v>
      </c>
      <c r="G2568" s="3">
        <f>HOUR(CallLog[[#This Row],[Time]])</f>
        <v>14</v>
      </c>
      <c r="H2568" t="s">
        <v>17</v>
      </c>
      <c r="I2568" t="s">
        <v>14</v>
      </c>
      <c r="J2568" t="s">
        <v>14</v>
      </c>
      <c r="K2568">
        <v>125</v>
      </c>
      <c r="L2568" t="str">
        <f>IF(AND(CallLog[[#This Row],[Answered (Y/N)]]="Y", CallLog[[#This Row],[Speed of answer in seconds]]&lt;=20),
    "Within",
    "Breach")</f>
        <v>Breach</v>
      </c>
      <c r="M2568" s="1">
        <v>4.2129629629629626E-3</v>
      </c>
      <c r="N2568">
        <v>4</v>
      </c>
    </row>
    <row r="2569" spans="1:14" x14ac:dyDescent="0.3">
      <c r="A2569" t="s">
        <v>2637</v>
      </c>
      <c r="B2569" t="s">
        <v>20</v>
      </c>
      <c r="C2569" t="s">
        <v>2604</v>
      </c>
      <c r="D2569" s="1">
        <v>0.6</v>
      </c>
      <c r="E2569" s="2">
        <f>CallLog[[#This Row],[Date]]+CallLog[[#This Row],[Time]]</f>
        <v>44241.599999999999</v>
      </c>
      <c r="F2569" s="1" t="str">
        <f>TEXT(CallLog[[#This Row],[Date]],"dddd")</f>
        <v>Sunday</v>
      </c>
      <c r="G2569" s="3">
        <f>HOUR(CallLog[[#This Row],[Time]])</f>
        <v>14</v>
      </c>
      <c r="H2569" t="s">
        <v>24</v>
      </c>
      <c r="I2569" t="s">
        <v>14</v>
      </c>
      <c r="J2569" t="s">
        <v>14</v>
      </c>
      <c r="K2569">
        <v>56</v>
      </c>
      <c r="L2569" t="str">
        <f>IF(AND(CallLog[[#This Row],[Answered (Y/N)]]="Y", CallLog[[#This Row],[Speed of answer in seconds]]&lt;=20),
    "Within",
    "Breach")</f>
        <v>Breach</v>
      </c>
      <c r="M2569" s="1">
        <v>2.685185185185185E-3</v>
      </c>
      <c r="N2569">
        <v>1</v>
      </c>
    </row>
    <row r="2570" spans="1:14" x14ac:dyDescent="0.3">
      <c r="A2570" t="s">
        <v>2638</v>
      </c>
      <c r="B2570" t="s">
        <v>22</v>
      </c>
      <c r="C2570" t="s">
        <v>2604</v>
      </c>
      <c r="D2570" s="1">
        <v>0.61799768518518516</v>
      </c>
      <c r="E2570" s="2">
        <f>CallLog[[#This Row],[Date]]+CallLog[[#This Row],[Time]]</f>
        <v>44241.617997685185</v>
      </c>
      <c r="F2570" s="1" t="str">
        <f>TEXT(CallLog[[#This Row],[Date]],"dddd")</f>
        <v>Sunday</v>
      </c>
      <c r="G2570" s="3">
        <f>HOUR(CallLog[[#This Row],[Time]])</f>
        <v>14</v>
      </c>
      <c r="H2570" t="s">
        <v>24</v>
      </c>
      <c r="I2570" t="s">
        <v>14</v>
      </c>
      <c r="J2570" t="s">
        <v>14</v>
      </c>
      <c r="K2570">
        <v>88</v>
      </c>
      <c r="L2570" t="str">
        <f>IF(AND(CallLog[[#This Row],[Answered (Y/N)]]="Y", CallLog[[#This Row],[Speed of answer in seconds]]&lt;=20),
    "Within",
    "Breach")</f>
        <v>Breach</v>
      </c>
      <c r="M2570" s="1">
        <v>2.6157407407407405E-3</v>
      </c>
      <c r="N2570">
        <v>3</v>
      </c>
    </row>
    <row r="2571" spans="1:14" x14ac:dyDescent="0.3">
      <c r="A2571" t="s">
        <v>2639</v>
      </c>
      <c r="B2571" t="s">
        <v>31</v>
      </c>
      <c r="C2571" t="s">
        <v>2604</v>
      </c>
      <c r="D2571" s="1">
        <v>0.61799768518518516</v>
      </c>
      <c r="E2571" s="2">
        <f>CallLog[[#This Row],[Date]]+CallLog[[#This Row],[Time]]</f>
        <v>44241.617997685185</v>
      </c>
      <c r="F2571" s="1" t="str">
        <f>TEXT(CallLog[[#This Row],[Date]],"dddd")</f>
        <v>Sunday</v>
      </c>
      <c r="G2571" s="3">
        <f>HOUR(CallLog[[#This Row],[Time]])</f>
        <v>14</v>
      </c>
      <c r="H2571" t="s">
        <v>24</v>
      </c>
      <c r="I2571" t="s">
        <v>14</v>
      </c>
      <c r="J2571" t="s">
        <v>14</v>
      </c>
      <c r="K2571">
        <v>45</v>
      </c>
      <c r="L2571" t="str">
        <f>IF(AND(CallLog[[#This Row],[Answered (Y/N)]]="Y", CallLog[[#This Row],[Speed of answer in seconds]]&lt;=20),
    "Within",
    "Breach")</f>
        <v>Breach</v>
      </c>
      <c r="M2571" s="1">
        <v>8.9120370370370373E-4</v>
      </c>
      <c r="N2571">
        <v>4</v>
      </c>
    </row>
    <row r="2572" spans="1:14" x14ac:dyDescent="0.3">
      <c r="A2572" t="s">
        <v>2640</v>
      </c>
      <c r="B2572" t="s">
        <v>47</v>
      </c>
      <c r="C2572" t="s">
        <v>2604</v>
      </c>
      <c r="D2572" s="1">
        <v>0.61900462962962965</v>
      </c>
      <c r="E2572" s="2">
        <f>CallLog[[#This Row],[Date]]+CallLog[[#This Row],[Time]]</f>
        <v>44241.619004629632</v>
      </c>
      <c r="F2572" s="1" t="str">
        <f>TEXT(CallLog[[#This Row],[Date]],"dddd")</f>
        <v>Sunday</v>
      </c>
      <c r="G2572" s="3">
        <f>HOUR(CallLog[[#This Row],[Time]])</f>
        <v>14</v>
      </c>
      <c r="H2572" t="s">
        <v>17</v>
      </c>
      <c r="I2572" t="s">
        <v>14</v>
      </c>
      <c r="J2572" t="s">
        <v>14</v>
      </c>
      <c r="K2572">
        <v>24</v>
      </c>
      <c r="L2572" t="str">
        <f>IF(AND(CallLog[[#This Row],[Answered (Y/N)]]="Y", CallLog[[#This Row],[Speed of answer in seconds]]&lt;=20),
    "Within",
    "Breach")</f>
        <v>Breach</v>
      </c>
      <c r="M2572" s="1">
        <v>1.4004629629629629E-3</v>
      </c>
      <c r="N2572">
        <v>4</v>
      </c>
    </row>
    <row r="2573" spans="1:14" x14ac:dyDescent="0.3">
      <c r="A2573" t="s">
        <v>2641</v>
      </c>
      <c r="B2573" t="s">
        <v>31</v>
      </c>
      <c r="C2573" t="s">
        <v>2604</v>
      </c>
      <c r="D2573" s="1">
        <v>0.61900462962962965</v>
      </c>
      <c r="E2573" s="2">
        <f>CallLog[[#This Row],[Date]]+CallLog[[#This Row],[Time]]</f>
        <v>44241.619004629632</v>
      </c>
      <c r="F2573" s="1" t="str">
        <f>TEXT(CallLog[[#This Row],[Date]],"dddd")</f>
        <v>Sunday</v>
      </c>
      <c r="G2573" s="3">
        <f>HOUR(CallLog[[#This Row],[Time]])</f>
        <v>14</v>
      </c>
      <c r="H2573" t="s">
        <v>13</v>
      </c>
      <c r="I2573" t="s">
        <v>14</v>
      </c>
      <c r="J2573" t="s">
        <v>14</v>
      </c>
      <c r="K2573">
        <v>23</v>
      </c>
      <c r="L2573" t="str">
        <f>IF(AND(CallLog[[#This Row],[Answered (Y/N)]]="Y", CallLog[[#This Row],[Speed of answer in seconds]]&lt;=20),
    "Within",
    "Breach")</f>
        <v>Breach</v>
      </c>
      <c r="M2573" s="1">
        <v>2.9166666666666668E-3</v>
      </c>
      <c r="N2573">
        <v>5</v>
      </c>
    </row>
    <row r="2574" spans="1:14" x14ac:dyDescent="0.3">
      <c r="A2574" t="s">
        <v>2642</v>
      </c>
      <c r="B2574" t="s">
        <v>16</v>
      </c>
      <c r="C2574" t="s">
        <v>2604</v>
      </c>
      <c r="D2574" s="1">
        <v>0.64900462962962968</v>
      </c>
      <c r="E2574" s="2">
        <f>CallLog[[#This Row],[Date]]+CallLog[[#This Row],[Time]]</f>
        <v>44241.649004629631</v>
      </c>
      <c r="F2574" s="1" t="str">
        <f>TEXT(CallLog[[#This Row],[Date]],"dddd")</f>
        <v>Sunday</v>
      </c>
      <c r="G2574" s="3">
        <f>HOUR(CallLog[[#This Row],[Time]])</f>
        <v>15</v>
      </c>
      <c r="H2574" t="s">
        <v>24</v>
      </c>
      <c r="I2574" t="s">
        <v>14</v>
      </c>
      <c r="J2574" t="s">
        <v>14</v>
      </c>
      <c r="K2574">
        <v>66</v>
      </c>
      <c r="L2574" t="str">
        <f>IF(AND(CallLog[[#This Row],[Answered (Y/N)]]="Y", CallLog[[#This Row],[Speed of answer in seconds]]&lt;=20),
    "Within",
    "Breach")</f>
        <v>Breach</v>
      </c>
      <c r="M2574" s="1">
        <v>4.7106481481481478E-3</v>
      </c>
      <c r="N2574">
        <v>5</v>
      </c>
    </row>
    <row r="2575" spans="1:14" x14ac:dyDescent="0.3">
      <c r="A2575" t="s">
        <v>2643</v>
      </c>
      <c r="B2575" t="s">
        <v>38</v>
      </c>
      <c r="C2575" t="s">
        <v>2604</v>
      </c>
      <c r="D2575" s="1">
        <v>0.64900462962962968</v>
      </c>
      <c r="E2575" s="2">
        <f>CallLog[[#This Row],[Date]]+CallLog[[#This Row],[Time]]</f>
        <v>44241.649004629631</v>
      </c>
      <c r="F2575" s="1" t="str">
        <f>TEXT(CallLog[[#This Row],[Date]],"dddd")</f>
        <v>Sunday</v>
      </c>
      <c r="G2575" s="3">
        <f>HOUR(CallLog[[#This Row],[Time]])</f>
        <v>15</v>
      </c>
      <c r="H2575" t="s">
        <v>29</v>
      </c>
      <c r="I2575" t="s">
        <v>18</v>
      </c>
      <c r="J2575" t="s">
        <v>18</v>
      </c>
      <c r="L2575" t="str">
        <f>IF(AND(CallLog[[#This Row],[Answered (Y/N)]]="Y", CallLog[[#This Row],[Speed of answer in seconds]]&lt;=20),
    "Within",
    "Breach")</f>
        <v>Breach</v>
      </c>
    </row>
    <row r="2576" spans="1:14" x14ac:dyDescent="0.3">
      <c r="A2576" t="s">
        <v>2644</v>
      </c>
      <c r="B2576" t="s">
        <v>34</v>
      </c>
      <c r="C2576" t="s">
        <v>2604</v>
      </c>
      <c r="D2576" s="1">
        <v>0.68599537037037039</v>
      </c>
      <c r="E2576" s="2">
        <f>CallLog[[#This Row],[Date]]+CallLog[[#This Row],[Time]]</f>
        <v>44241.685995370368</v>
      </c>
      <c r="F2576" s="1" t="str">
        <f>TEXT(CallLog[[#This Row],[Date]],"dddd")</f>
        <v>Sunday</v>
      </c>
      <c r="G2576" s="3">
        <f>HOUR(CallLog[[#This Row],[Time]])</f>
        <v>16</v>
      </c>
      <c r="H2576" t="s">
        <v>32</v>
      </c>
      <c r="I2576" t="s">
        <v>14</v>
      </c>
      <c r="J2576" t="s">
        <v>14</v>
      </c>
      <c r="K2576">
        <v>67</v>
      </c>
      <c r="L2576" t="str">
        <f>IF(AND(CallLog[[#This Row],[Answered (Y/N)]]="Y", CallLog[[#This Row],[Speed of answer in seconds]]&lt;=20),
    "Within",
    "Breach")</f>
        <v>Breach</v>
      </c>
      <c r="M2576" s="1">
        <v>1.0995370370370371E-3</v>
      </c>
      <c r="N2576">
        <v>4</v>
      </c>
    </row>
    <row r="2577" spans="1:14" x14ac:dyDescent="0.3">
      <c r="A2577" t="s">
        <v>2645</v>
      </c>
      <c r="B2577" t="s">
        <v>16</v>
      </c>
      <c r="C2577" t="s">
        <v>2604</v>
      </c>
      <c r="D2577" s="1">
        <v>0.68599537037037039</v>
      </c>
      <c r="E2577" s="2">
        <f>CallLog[[#This Row],[Date]]+CallLog[[#This Row],[Time]]</f>
        <v>44241.685995370368</v>
      </c>
      <c r="F2577" s="1" t="str">
        <f>TEXT(CallLog[[#This Row],[Date]],"dddd")</f>
        <v>Sunday</v>
      </c>
      <c r="G2577" s="3">
        <f>HOUR(CallLog[[#This Row],[Time]])</f>
        <v>16</v>
      </c>
      <c r="H2577" t="s">
        <v>17</v>
      </c>
      <c r="I2577" t="s">
        <v>14</v>
      </c>
      <c r="J2577" t="s">
        <v>14</v>
      </c>
      <c r="K2577">
        <v>39</v>
      </c>
      <c r="L2577" t="str">
        <f>IF(AND(CallLog[[#This Row],[Answered (Y/N)]]="Y", CallLog[[#This Row],[Speed of answer in seconds]]&lt;=20),
    "Within",
    "Breach")</f>
        <v>Breach</v>
      </c>
      <c r="M2577" s="1">
        <v>3.6342592592592594E-3</v>
      </c>
      <c r="N2577">
        <v>1</v>
      </c>
    </row>
    <row r="2578" spans="1:14" x14ac:dyDescent="0.3">
      <c r="A2578" t="s">
        <v>2646</v>
      </c>
      <c r="B2578" t="s">
        <v>16</v>
      </c>
      <c r="C2578" t="s">
        <v>2604</v>
      </c>
      <c r="D2578" s="1">
        <v>0.69299768518518523</v>
      </c>
      <c r="E2578" s="2">
        <f>CallLog[[#This Row],[Date]]+CallLog[[#This Row],[Time]]</f>
        <v>44241.692997685182</v>
      </c>
      <c r="F2578" s="1" t="str">
        <f>TEXT(CallLog[[#This Row],[Date]],"dddd")</f>
        <v>Sunday</v>
      </c>
      <c r="G2578" s="3">
        <f>HOUR(CallLog[[#This Row],[Time]])</f>
        <v>16</v>
      </c>
      <c r="H2578" t="s">
        <v>32</v>
      </c>
      <c r="I2578" t="s">
        <v>14</v>
      </c>
      <c r="J2578" t="s">
        <v>14</v>
      </c>
      <c r="K2578">
        <v>70</v>
      </c>
      <c r="L2578" t="str">
        <f>IF(AND(CallLog[[#This Row],[Answered (Y/N)]]="Y", CallLog[[#This Row],[Speed of answer in seconds]]&lt;=20),
    "Within",
    "Breach")</f>
        <v>Breach</v>
      </c>
      <c r="M2578" s="1">
        <v>4.5138888888888892E-4</v>
      </c>
      <c r="N2578">
        <v>1</v>
      </c>
    </row>
    <row r="2579" spans="1:14" x14ac:dyDescent="0.3">
      <c r="A2579" t="s">
        <v>2647</v>
      </c>
      <c r="B2579" t="s">
        <v>31</v>
      </c>
      <c r="C2579" t="s">
        <v>2604</v>
      </c>
      <c r="D2579" s="1">
        <v>0.69299768518518523</v>
      </c>
      <c r="E2579" s="2">
        <f>CallLog[[#This Row],[Date]]+CallLog[[#This Row],[Time]]</f>
        <v>44241.692997685182</v>
      </c>
      <c r="F2579" s="1" t="str">
        <f>TEXT(CallLog[[#This Row],[Date]],"dddd")</f>
        <v>Sunday</v>
      </c>
      <c r="G2579" s="3">
        <f>HOUR(CallLog[[#This Row],[Time]])</f>
        <v>16</v>
      </c>
      <c r="H2579" t="s">
        <v>29</v>
      </c>
      <c r="I2579" t="s">
        <v>14</v>
      </c>
      <c r="J2579" t="s">
        <v>14</v>
      </c>
      <c r="K2579">
        <v>40</v>
      </c>
      <c r="L2579" t="str">
        <f>IF(AND(CallLog[[#This Row],[Answered (Y/N)]]="Y", CallLog[[#This Row],[Speed of answer in seconds]]&lt;=20),
    "Within",
    "Breach")</f>
        <v>Breach</v>
      </c>
      <c r="M2579" s="1">
        <v>4.6180555555555558E-3</v>
      </c>
      <c r="N2579">
        <v>5</v>
      </c>
    </row>
    <row r="2580" spans="1:14" x14ac:dyDescent="0.3">
      <c r="A2580" t="s">
        <v>2648</v>
      </c>
      <c r="B2580" t="s">
        <v>20</v>
      </c>
      <c r="C2580" t="s">
        <v>2604</v>
      </c>
      <c r="D2580" s="1">
        <v>0.69299768518518523</v>
      </c>
      <c r="E2580" s="2">
        <f>CallLog[[#This Row],[Date]]+CallLog[[#This Row],[Time]]</f>
        <v>44241.692997685182</v>
      </c>
      <c r="F2580" s="1" t="str">
        <f>TEXT(CallLog[[#This Row],[Date]],"dddd")</f>
        <v>Sunday</v>
      </c>
      <c r="G2580" s="3">
        <f>HOUR(CallLog[[#This Row],[Time]])</f>
        <v>16</v>
      </c>
      <c r="H2580" t="s">
        <v>13</v>
      </c>
      <c r="I2580" t="s">
        <v>18</v>
      </c>
      <c r="J2580" t="s">
        <v>18</v>
      </c>
      <c r="L2580" t="str">
        <f>IF(AND(CallLog[[#This Row],[Answered (Y/N)]]="Y", CallLog[[#This Row],[Speed of answer in seconds]]&lt;=20),
    "Within",
    "Breach")</f>
        <v>Breach</v>
      </c>
    </row>
    <row r="2581" spans="1:14" x14ac:dyDescent="0.3">
      <c r="A2581" t="s">
        <v>2649</v>
      </c>
      <c r="B2581" t="s">
        <v>38</v>
      </c>
      <c r="C2581" t="s">
        <v>2604</v>
      </c>
      <c r="D2581" s="1">
        <v>0.69299768518518523</v>
      </c>
      <c r="E2581" s="2">
        <f>CallLog[[#This Row],[Date]]+CallLog[[#This Row],[Time]]</f>
        <v>44241.692997685182</v>
      </c>
      <c r="F2581" s="1" t="str">
        <f>TEXT(CallLog[[#This Row],[Date]],"dddd")</f>
        <v>Sunday</v>
      </c>
      <c r="G2581" s="3">
        <f>HOUR(CallLog[[#This Row],[Time]])</f>
        <v>16</v>
      </c>
      <c r="H2581" t="s">
        <v>29</v>
      </c>
      <c r="I2581" t="s">
        <v>14</v>
      </c>
      <c r="J2581" t="s">
        <v>14</v>
      </c>
      <c r="K2581">
        <v>28</v>
      </c>
      <c r="L2581" t="str">
        <f>IF(AND(CallLog[[#This Row],[Answered (Y/N)]]="Y", CallLog[[#This Row],[Speed of answer in seconds]]&lt;=20),
    "Within",
    "Breach")</f>
        <v>Breach</v>
      </c>
      <c r="M2581" s="1">
        <v>4.4675925925925924E-3</v>
      </c>
      <c r="N2581">
        <v>3</v>
      </c>
    </row>
    <row r="2582" spans="1:14" x14ac:dyDescent="0.3">
      <c r="A2582" t="s">
        <v>2650</v>
      </c>
      <c r="B2582" t="s">
        <v>34</v>
      </c>
      <c r="C2582" t="s">
        <v>2604</v>
      </c>
      <c r="D2582" s="1">
        <v>0.70200231481481479</v>
      </c>
      <c r="E2582" s="2">
        <f>CallLog[[#This Row],[Date]]+CallLog[[#This Row],[Time]]</f>
        <v>44241.702002314814</v>
      </c>
      <c r="F2582" s="1" t="str">
        <f>TEXT(CallLog[[#This Row],[Date]],"dddd")</f>
        <v>Sunday</v>
      </c>
      <c r="G2582" s="3">
        <f>HOUR(CallLog[[#This Row],[Time]])</f>
        <v>16</v>
      </c>
      <c r="H2582" t="s">
        <v>17</v>
      </c>
      <c r="I2582" t="s">
        <v>14</v>
      </c>
      <c r="J2582" t="s">
        <v>14</v>
      </c>
      <c r="K2582">
        <v>107</v>
      </c>
      <c r="L2582" t="str">
        <f>IF(AND(CallLog[[#This Row],[Answered (Y/N)]]="Y", CallLog[[#This Row],[Speed of answer in seconds]]&lt;=20),
    "Within",
    "Breach")</f>
        <v>Breach</v>
      </c>
      <c r="M2582" s="1">
        <v>2.5347222222222221E-3</v>
      </c>
      <c r="N2582">
        <v>2</v>
      </c>
    </row>
    <row r="2583" spans="1:14" x14ac:dyDescent="0.3">
      <c r="A2583" t="s">
        <v>2651</v>
      </c>
      <c r="B2583" t="s">
        <v>20</v>
      </c>
      <c r="C2583" t="s">
        <v>2604</v>
      </c>
      <c r="D2583" s="1">
        <v>0.70200231481481479</v>
      </c>
      <c r="E2583" s="2">
        <f>CallLog[[#This Row],[Date]]+CallLog[[#This Row],[Time]]</f>
        <v>44241.702002314814</v>
      </c>
      <c r="F2583" s="1" t="str">
        <f>TEXT(CallLog[[#This Row],[Date]],"dddd")</f>
        <v>Sunday</v>
      </c>
      <c r="G2583" s="3">
        <f>HOUR(CallLog[[#This Row],[Time]])</f>
        <v>16</v>
      </c>
      <c r="H2583" t="s">
        <v>24</v>
      </c>
      <c r="I2583" t="s">
        <v>14</v>
      </c>
      <c r="J2583" t="s">
        <v>14</v>
      </c>
      <c r="K2583">
        <v>62</v>
      </c>
      <c r="L2583" t="str">
        <f>IF(AND(CallLog[[#This Row],[Answered (Y/N)]]="Y", CallLog[[#This Row],[Speed of answer in seconds]]&lt;=20),
    "Within",
    "Breach")</f>
        <v>Breach</v>
      </c>
      <c r="M2583" s="1">
        <v>3.2638888888888891E-3</v>
      </c>
      <c r="N2583">
        <v>4</v>
      </c>
    </row>
    <row r="2584" spans="1:14" x14ac:dyDescent="0.3">
      <c r="A2584" t="s">
        <v>2652</v>
      </c>
      <c r="B2584" t="s">
        <v>11</v>
      </c>
      <c r="C2584" t="s">
        <v>2604</v>
      </c>
      <c r="D2584" s="1">
        <v>0.70400462962962962</v>
      </c>
      <c r="E2584" s="2">
        <f>CallLog[[#This Row],[Date]]+CallLog[[#This Row],[Time]]</f>
        <v>44241.704004629632</v>
      </c>
      <c r="F2584" s="1" t="str">
        <f>TEXT(CallLog[[#This Row],[Date]],"dddd")</f>
        <v>Sunday</v>
      </c>
      <c r="G2584" s="3">
        <f>HOUR(CallLog[[#This Row],[Time]])</f>
        <v>16</v>
      </c>
      <c r="H2584" t="s">
        <v>17</v>
      </c>
      <c r="I2584" t="s">
        <v>14</v>
      </c>
      <c r="J2584" t="s">
        <v>14</v>
      </c>
      <c r="K2584">
        <v>80</v>
      </c>
      <c r="L2584" t="str">
        <f>IF(AND(CallLog[[#This Row],[Answered (Y/N)]]="Y", CallLog[[#This Row],[Speed of answer in seconds]]&lt;=20),
    "Within",
    "Breach")</f>
        <v>Breach</v>
      </c>
      <c r="M2584" s="1">
        <v>3.0092592592592593E-3</v>
      </c>
      <c r="N2584">
        <v>4</v>
      </c>
    </row>
    <row r="2585" spans="1:14" x14ac:dyDescent="0.3">
      <c r="A2585" t="s">
        <v>2653</v>
      </c>
      <c r="B2585" t="s">
        <v>20</v>
      </c>
      <c r="C2585" t="s">
        <v>2604</v>
      </c>
      <c r="D2585" s="1">
        <v>0.70400462962962962</v>
      </c>
      <c r="E2585" s="2">
        <f>CallLog[[#This Row],[Date]]+CallLog[[#This Row],[Time]]</f>
        <v>44241.704004629632</v>
      </c>
      <c r="F2585" s="1" t="str">
        <f>TEXT(CallLog[[#This Row],[Date]],"dddd")</f>
        <v>Sunday</v>
      </c>
      <c r="G2585" s="3">
        <f>HOUR(CallLog[[#This Row],[Time]])</f>
        <v>16</v>
      </c>
      <c r="H2585" t="s">
        <v>13</v>
      </c>
      <c r="I2585" t="s">
        <v>14</v>
      </c>
      <c r="J2585" t="s">
        <v>14</v>
      </c>
      <c r="K2585">
        <v>63</v>
      </c>
      <c r="L2585" t="str">
        <f>IF(AND(CallLog[[#This Row],[Answered (Y/N)]]="Y", CallLog[[#This Row],[Speed of answer in seconds]]&lt;=20),
    "Within",
    "Breach")</f>
        <v>Breach</v>
      </c>
      <c r="M2585" s="1">
        <v>2.1527777777777778E-3</v>
      </c>
      <c r="N2585">
        <v>3</v>
      </c>
    </row>
    <row r="2586" spans="1:14" x14ac:dyDescent="0.3">
      <c r="A2586" t="s">
        <v>2654</v>
      </c>
      <c r="B2586" t="s">
        <v>16</v>
      </c>
      <c r="C2586" t="s">
        <v>2604</v>
      </c>
      <c r="D2586" s="1">
        <v>0.71499999999999997</v>
      </c>
      <c r="E2586" s="2">
        <f>CallLog[[#This Row],[Date]]+CallLog[[#This Row],[Time]]</f>
        <v>44241.714999999997</v>
      </c>
      <c r="F2586" s="1" t="str">
        <f>TEXT(CallLog[[#This Row],[Date]],"dddd")</f>
        <v>Sunday</v>
      </c>
      <c r="G2586" s="3">
        <f>HOUR(CallLog[[#This Row],[Time]])</f>
        <v>17</v>
      </c>
      <c r="H2586" t="s">
        <v>17</v>
      </c>
      <c r="I2586" t="s">
        <v>14</v>
      </c>
      <c r="J2586" t="s">
        <v>14</v>
      </c>
      <c r="K2586">
        <v>36</v>
      </c>
      <c r="L2586" t="str">
        <f>IF(AND(CallLog[[#This Row],[Answered (Y/N)]]="Y", CallLog[[#This Row],[Speed of answer in seconds]]&lt;=20),
    "Within",
    "Breach")</f>
        <v>Breach</v>
      </c>
      <c r="M2586" s="1">
        <v>3.6805555555555554E-3</v>
      </c>
      <c r="N2586">
        <v>3</v>
      </c>
    </row>
    <row r="2587" spans="1:14" x14ac:dyDescent="0.3">
      <c r="A2587" t="s">
        <v>2655</v>
      </c>
      <c r="B2587" t="s">
        <v>47</v>
      </c>
      <c r="C2587" t="s">
        <v>2604</v>
      </c>
      <c r="D2587" s="1">
        <v>0.71499999999999997</v>
      </c>
      <c r="E2587" s="2">
        <f>CallLog[[#This Row],[Date]]+CallLog[[#This Row],[Time]]</f>
        <v>44241.714999999997</v>
      </c>
      <c r="F2587" s="1" t="str">
        <f>TEXT(CallLog[[#This Row],[Date]],"dddd")</f>
        <v>Sunday</v>
      </c>
      <c r="G2587" s="3">
        <f>HOUR(CallLog[[#This Row],[Time]])</f>
        <v>17</v>
      </c>
      <c r="H2587" t="s">
        <v>13</v>
      </c>
      <c r="I2587" t="s">
        <v>14</v>
      </c>
      <c r="J2587" t="s">
        <v>14</v>
      </c>
      <c r="K2587">
        <v>64</v>
      </c>
      <c r="L2587" t="str">
        <f>IF(AND(CallLog[[#This Row],[Answered (Y/N)]]="Y", CallLog[[#This Row],[Speed of answer in seconds]]&lt;=20),
    "Within",
    "Breach")</f>
        <v>Breach</v>
      </c>
      <c r="M2587" s="1">
        <v>1.4467592592592592E-3</v>
      </c>
      <c r="N2587">
        <v>3</v>
      </c>
    </row>
    <row r="2588" spans="1:14" x14ac:dyDescent="0.3">
      <c r="A2588" t="s">
        <v>2656</v>
      </c>
      <c r="B2588" t="s">
        <v>22</v>
      </c>
      <c r="C2588" t="s">
        <v>2604</v>
      </c>
      <c r="D2588" s="1">
        <v>0.71499999999999997</v>
      </c>
      <c r="E2588" s="2">
        <f>CallLog[[#This Row],[Date]]+CallLog[[#This Row],[Time]]</f>
        <v>44241.714999999997</v>
      </c>
      <c r="F2588" s="1" t="str">
        <f>TEXT(CallLog[[#This Row],[Date]],"dddd")</f>
        <v>Sunday</v>
      </c>
      <c r="G2588" s="3">
        <f>HOUR(CallLog[[#This Row],[Time]])</f>
        <v>17</v>
      </c>
      <c r="H2588" t="s">
        <v>13</v>
      </c>
      <c r="I2588" t="s">
        <v>14</v>
      </c>
      <c r="J2588" t="s">
        <v>14</v>
      </c>
      <c r="K2588">
        <v>110</v>
      </c>
      <c r="L2588" t="str">
        <f>IF(AND(CallLog[[#This Row],[Answered (Y/N)]]="Y", CallLog[[#This Row],[Speed of answer in seconds]]&lt;=20),
    "Within",
    "Breach")</f>
        <v>Breach</v>
      </c>
      <c r="M2588" s="1">
        <v>3.9699074074074072E-3</v>
      </c>
      <c r="N2588">
        <v>3</v>
      </c>
    </row>
    <row r="2589" spans="1:14" x14ac:dyDescent="0.3">
      <c r="A2589" t="s">
        <v>2657</v>
      </c>
      <c r="B2589" t="s">
        <v>31</v>
      </c>
      <c r="C2589" t="s">
        <v>2604</v>
      </c>
      <c r="D2589" s="1">
        <v>0.71499999999999997</v>
      </c>
      <c r="E2589" s="2">
        <f>CallLog[[#This Row],[Date]]+CallLog[[#This Row],[Time]]</f>
        <v>44241.714999999997</v>
      </c>
      <c r="F2589" s="1" t="str">
        <f>TEXT(CallLog[[#This Row],[Date]],"dddd")</f>
        <v>Sunday</v>
      </c>
      <c r="G2589" s="3">
        <f>HOUR(CallLog[[#This Row],[Time]])</f>
        <v>17</v>
      </c>
      <c r="H2589" t="s">
        <v>29</v>
      </c>
      <c r="I2589" t="s">
        <v>14</v>
      </c>
      <c r="J2589" t="s">
        <v>14</v>
      </c>
      <c r="K2589">
        <v>43</v>
      </c>
      <c r="L2589" t="str">
        <f>IF(AND(CallLog[[#This Row],[Answered (Y/N)]]="Y", CallLog[[#This Row],[Speed of answer in seconds]]&lt;=20),
    "Within",
    "Breach")</f>
        <v>Breach</v>
      </c>
      <c r="M2589" s="1">
        <v>4.4212962962962964E-3</v>
      </c>
      <c r="N2589">
        <v>3</v>
      </c>
    </row>
    <row r="2590" spans="1:14" x14ac:dyDescent="0.3">
      <c r="A2590" t="s">
        <v>2658</v>
      </c>
      <c r="B2590" t="s">
        <v>31</v>
      </c>
      <c r="C2590" t="s">
        <v>2604</v>
      </c>
      <c r="D2590" s="1">
        <v>0.71599537037037042</v>
      </c>
      <c r="E2590" s="2">
        <f>CallLog[[#This Row],[Date]]+CallLog[[#This Row],[Time]]</f>
        <v>44241.715995370374</v>
      </c>
      <c r="F2590" s="1" t="str">
        <f>TEXT(CallLog[[#This Row],[Date]],"dddd")</f>
        <v>Sunday</v>
      </c>
      <c r="G2590" s="3">
        <f>HOUR(CallLog[[#This Row],[Time]])</f>
        <v>17</v>
      </c>
      <c r="H2590" t="s">
        <v>17</v>
      </c>
      <c r="I2590" t="s">
        <v>14</v>
      </c>
      <c r="J2590" t="s">
        <v>14</v>
      </c>
      <c r="K2590">
        <v>76</v>
      </c>
      <c r="L2590" t="str">
        <f>IF(AND(CallLog[[#This Row],[Answered (Y/N)]]="Y", CallLog[[#This Row],[Speed of answer in seconds]]&lt;=20),
    "Within",
    "Breach")</f>
        <v>Breach</v>
      </c>
      <c r="M2590" s="1">
        <v>3.2870370370370371E-3</v>
      </c>
      <c r="N2590">
        <v>5</v>
      </c>
    </row>
    <row r="2591" spans="1:14" x14ac:dyDescent="0.3">
      <c r="A2591" t="s">
        <v>2659</v>
      </c>
      <c r="B2591" t="s">
        <v>34</v>
      </c>
      <c r="C2591" t="s">
        <v>2604</v>
      </c>
      <c r="D2591" s="1">
        <v>0.71599537037037042</v>
      </c>
      <c r="E2591" s="2">
        <f>CallLog[[#This Row],[Date]]+CallLog[[#This Row],[Time]]</f>
        <v>44241.715995370374</v>
      </c>
      <c r="F2591" s="1" t="str">
        <f>TEXT(CallLog[[#This Row],[Date]],"dddd")</f>
        <v>Sunday</v>
      </c>
      <c r="G2591" s="3">
        <f>HOUR(CallLog[[#This Row],[Time]])</f>
        <v>17</v>
      </c>
      <c r="H2591" t="s">
        <v>17</v>
      </c>
      <c r="I2591" t="s">
        <v>14</v>
      </c>
      <c r="J2591" t="s">
        <v>14</v>
      </c>
      <c r="K2591">
        <v>45</v>
      </c>
      <c r="L2591" t="str">
        <f>IF(AND(CallLog[[#This Row],[Answered (Y/N)]]="Y", CallLog[[#This Row],[Speed of answer in seconds]]&lt;=20),
    "Within",
    "Breach")</f>
        <v>Breach</v>
      </c>
      <c r="M2591" s="1">
        <v>1.724537037037037E-3</v>
      </c>
      <c r="N2591">
        <v>2</v>
      </c>
    </row>
    <row r="2592" spans="1:14" x14ac:dyDescent="0.3">
      <c r="A2592" t="s">
        <v>2660</v>
      </c>
      <c r="B2592" t="s">
        <v>38</v>
      </c>
      <c r="C2592" t="s">
        <v>2604</v>
      </c>
      <c r="D2592" s="1">
        <v>0.73400462962962965</v>
      </c>
      <c r="E2592" s="2">
        <f>CallLog[[#This Row],[Date]]+CallLog[[#This Row],[Time]]</f>
        <v>44241.73400462963</v>
      </c>
      <c r="F2592" s="1" t="str">
        <f>TEXT(CallLog[[#This Row],[Date]],"dddd")</f>
        <v>Sunday</v>
      </c>
      <c r="G2592" s="3">
        <f>HOUR(CallLog[[#This Row],[Time]])</f>
        <v>17</v>
      </c>
      <c r="H2592" t="s">
        <v>32</v>
      </c>
      <c r="I2592" t="s">
        <v>14</v>
      </c>
      <c r="J2592" t="s">
        <v>18</v>
      </c>
      <c r="K2592">
        <v>109</v>
      </c>
      <c r="L2592" t="str">
        <f>IF(AND(CallLog[[#This Row],[Answered (Y/N)]]="Y", CallLog[[#This Row],[Speed of answer in seconds]]&lt;=20),
    "Within",
    "Breach")</f>
        <v>Breach</v>
      </c>
      <c r="M2592" s="1">
        <v>8.3333333333333339E-4</v>
      </c>
      <c r="N2592">
        <v>3</v>
      </c>
    </row>
    <row r="2593" spans="1:14" x14ac:dyDescent="0.3">
      <c r="A2593" t="s">
        <v>2661</v>
      </c>
      <c r="B2593" t="s">
        <v>34</v>
      </c>
      <c r="C2593" t="s">
        <v>2604</v>
      </c>
      <c r="D2593" s="1">
        <v>0.73400462962962965</v>
      </c>
      <c r="E2593" s="2">
        <f>CallLog[[#This Row],[Date]]+CallLog[[#This Row],[Time]]</f>
        <v>44241.73400462963</v>
      </c>
      <c r="F2593" s="1" t="str">
        <f>TEXT(CallLog[[#This Row],[Date]],"dddd")</f>
        <v>Sunday</v>
      </c>
      <c r="G2593" s="3">
        <f>HOUR(CallLog[[#This Row],[Time]])</f>
        <v>17</v>
      </c>
      <c r="H2593" t="s">
        <v>32</v>
      </c>
      <c r="I2593" t="s">
        <v>14</v>
      </c>
      <c r="J2593" t="s">
        <v>14</v>
      </c>
      <c r="K2593">
        <v>68</v>
      </c>
      <c r="L2593" t="str">
        <f>IF(AND(CallLog[[#This Row],[Answered (Y/N)]]="Y", CallLog[[#This Row],[Speed of answer in seconds]]&lt;=20),
    "Within",
    "Breach")</f>
        <v>Breach</v>
      </c>
      <c r="M2593" s="1">
        <v>4.7916666666666663E-3</v>
      </c>
      <c r="N2593">
        <v>4</v>
      </c>
    </row>
    <row r="2594" spans="1:14" x14ac:dyDescent="0.3">
      <c r="A2594" t="s">
        <v>2662</v>
      </c>
      <c r="B2594" t="s">
        <v>22</v>
      </c>
      <c r="C2594" t="s">
        <v>2604</v>
      </c>
      <c r="D2594" s="1">
        <v>0.73799768518518516</v>
      </c>
      <c r="E2594" s="2">
        <f>CallLog[[#This Row],[Date]]+CallLog[[#This Row],[Time]]</f>
        <v>44241.737997685188</v>
      </c>
      <c r="F2594" s="1" t="str">
        <f>TEXT(CallLog[[#This Row],[Date]],"dddd")</f>
        <v>Sunday</v>
      </c>
      <c r="G2594" s="3">
        <f>HOUR(CallLog[[#This Row],[Time]])</f>
        <v>17</v>
      </c>
      <c r="H2594" t="s">
        <v>13</v>
      </c>
      <c r="I2594" t="s">
        <v>14</v>
      </c>
      <c r="J2594" t="s">
        <v>18</v>
      </c>
      <c r="K2594">
        <v>99</v>
      </c>
      <c r="L2594" t="str">
        <f>IF(AND(CallLog[[#This Row],[Answered (Y/N)]]="Y", CallLog[[#This Row],[Speed of answer in seconds]]&lt;=20),
    "Within",
    "Breach")</f>
        <v>Breach</v>
      </c>
      <c r="M2594" s="1">
        <v>4.7916666666666663E-3</v>
      </c>
      <c r="N2594">
        <v>1</v>
      </c>
    </row>
    <row r="2595" spans="1:14" x14ac:dyDescent="0.3">
      <c r="A2595" t="s">
        <v>2663</v>
      </c>
      <c r="B2595" t="s">
        <v>47</v>
      </c>
      <c r="C2595" t="s">
        <v>2604</v>
      </c>
      <c r="D2595" s="1">
        <v>0.73799768518518516</v>
      </c>
      <c r="E2595" s="2">
        <f>CallLog[[#This Row],[Date]]+CallLog[[#This Row],[Time]]</f>
        <v>44241.737997685188</v>
      </c>
      <c r="F2595" s="1" t="str">
        <f>TEXT(CallLog[[#This Row],[Date]],"dddd")</f>
        <v>Sunday</v>
      </c>
      <c r="G2595" s="3">
        <f>HOUR(CallLog[[#This Row],[Time]])</f>
        <v>17</v>
      </c>
      <c r="H2595" t="s">
        <v>13</v>
      </c>
      <c r="I2595" t="s">
        <v>14</v>
      </c>
      <c r="J2595" t="s">
        <v>14</v>
      </c>
      <c r="K2595">
        <v>27</v>
      </c>
      <c r="L2595" t="str">
        <f>IF(AND(CallLog[[#This Row],[Answered (Y/N)]]="Y", CallLog[[#This Row],[Speed of answer in seconds]]&lt;=20),
    "Within",
    "Breach")</f>
        <v>Breach</v>
      </c>
      <c r="M2595" s="1">
        <v>2.8356481481481483E-3</v>
      </c>
      <c r="N2595">
        <v>4</v>
      </c>
    </row>
    <row r="2596" spans="1:14" x14ac:dyDescent="0.3">
      <c r="A2596" t="s">
        <v>2664</v>
      </c>
      <c r="B2596" t="s">
        <v>22</v>
      </c>
      <c r="C2596" t="s">
        <v>2665</v>
      </c>
      <c r="D2596" s="1">
        <v>0.375</v>
      </c>
      <c r="E2596" s="2">
        <f>CallLog[[#This Row],[Date]]+CallLog[[#This Row],[Time]]</f>
        <v>44242.375</v>
      </c>
      <c r="F2596" s="1" t="str">
        <f>TEXT(CallLog[[#This Row],[Date]],"dddd")</f>
        <v>Monday</v>
      </c>
      <c r="G2596" s="3">
        <f>HOUR(CallLog[[#This Row],[Time]])</f>
        <v>9</v>
      </c>
      <c r="H2596" t="s">
        <v>32</v>
      </c>
      <c r="I2596" t="s">
        <v>14</v>
      </c>
      <c r="J2596" t="s">
        <v>14</v>
      </c>
      <c r="K2596">
        <v>14</v>
      </c>
      <c r="L2596" t="str">
        <f>IF(AND(CallLog[[#This Row],[Answered (Y/N)]]="Y", CallLog[[#This Row],[Speed of answer in seconds]]&lt;=20),
    "Within",
    "Breach")</f>
        <v>Within</v>
      </c>
      <c r="M2596" s="1">
        <v>6.7129629629629625E-4</v>
      </c>
      <c r="N2596">
        <v>3</v>
      </c>
    </row>
    <row r="2597" spans="1:14" x14ac:dyDescent="0.3">
      <c r="A2597" t="s">
        <v>2666</v>
      </c>
      <c r="B2597" t="s">
        <v>22</v>
      </c>
      <c r="C2597" t="s">
        <v>2665</v>
      </c>
      <c r="D2597" s="1">
        <v>0.375</v>
      </c>
      <c r="E2597" s="2">
        <f>CallLog[[#This Row],[Date]]+CallLog[[#This Row],[Time]]</f>
        <v>44242.375</v>
      </c>
      <c r="F2597" s="1" t="str">
        <f>TEXT(CallLog[[#This Row],[Date]],"dddd")</f>
        <v>Monday</v>
      </c>
      <c r="G2597" s="3">
        <f>HOUR(CallLog[[#This Row],[Time]])</f>
        <v>9</v>
      </c>
      <c r="H2597" t="s">
        <v>29</v>
      </c>
      <c r="I2597" t="s">
        <v>14</v>
      </c>
      <c r="J2597" t="s">
        <v>14</v>
      </c>
      <c r="K2597">
        <v>81</v>
      </c>
      <c r="L2597" t="str">
        <f>IF(AND(CallLog[[#This Row],[Answered (Y/N)]]="Y", CallLog[[#This Row],[Speed of answer in seconds]]&lt;=20),
    "Within",
    "Breach")</f>
        <v>Breach</v>
      </c>
      <c r="M2597" s="1">
        <v>3.0208333333333333E-3</v>
      </c>
      <c r="N2597">
        <v>3</v>
      </c>
    </row>
    <row r="2598" spans="1:14" x14ac:dyDescent="0.3">
      <c r="A2598" t="s">
        <v>2667</v>
      </c>
      <c r="B2598" t="s">
        <v>47</v>
      </c>
      <c r="C2598" t="s">
        <v>2665</v>
      </c>
      <c r="D2598" s="1">
        <v>0.39799768518518519</v>
      </c>
      <c r="E2598" s="2">
        <f>CallLog[[#This Row],[Date]]+CallLog[[#This Row],[Time]]</f>
        <v>44242.397997685184</v>
      </c>
      <c r="F2598" s="1" t="str">
        <f>TEXT(CallLog[[#This Row],[Date]],"dddd")</f>
        <v>Monday</v>
      </c>
      <c r="G2598" s="3">
        <f>HOUR(CallLog[[#This Row],[Time]])</f>
        <v>9</v>
      </c>
      <c r="H2598" t="s">
        <v>29</v>
      </c>
      <c r="I2598" t="s">
        <v>14</v>
      </c>
      <c r="J2598" t="s">
        <v>14</v>
      </c>
      <c r="K2598">
        <v>24</v>
      </c>
      <c r="L2598" t="str">
        <f>IF(AND(CallLog[[#This Row],[Answered (Y/N)]]="Y", CallLog[[#This Row],[Speed of answer in seconds]]&lt;=20),
    "Within",
    "Breach")</f>
        <v>Breach</v>
      </c>
      <c r="M2598" s="1">
        <v>2.1643518518518518E-3</v>
      </c>
      <c r="N2598">
        <v>3</v>
      </c>
    </row>
    <row r="2599" spans="1:14" x14ac:dyDescent="0.3">
      <c r="A2599" t="s">
        <v>2668</v>
      </c>
      <c r="B2599" t="s">
        <v>47</v>
      </c>
      <c r="C2599" t="s">
        <v>2665</v>
      </c>
      <c r="D2599" s="1">
        <v>0.39799768518518519</v>
      </c>
      <c r="E2599" s="2">
        <f>CallLog[[#This Row],[Date]]+CallLog[[#This Row],[Time]]</f>
        <v>44242.397997685184</v>
      </c>
      <c r="F2599" s="1" t="str">
        <f>TEXT(CallLog[[#This Row],[Date]],"dddd")</f>
        <v>Monday</v>
      </c>
      <c r="G2599" s="3">
        <f>HOUR(CallLog[[#This Row],[Time]])</f>
        <v>9</v>
      </c>
      <c r="H2599" t="s">
        <v>13</v>
      </c>
      <c r="I2599" t="s">
        <v>14</v>
      </c>
      <c r="J2599" t="s">
        <v>14</v>
      </c>
      <c r="K2599">
        <v>13</v>
      </c>
      <c r="L2599" t="str">
        <f>IF(AND(CallLog[[#This Row],[Answered (Y/N)]]="Y", CallLog[[#This Row],[Speed of answer in seconds]]&lt;=20),
    "Within",
    "Breach")</f>
        <v>Within</v>
      </c>
      <c r="M2599" s="1">
        <v>4.0277777777777777E-3</v>
      </c>
      <c r="N2599">
        <v>1</v>
      </c>
    </row>
    <row r="2600" spans="1:14" x14ac:dyDescent="0.3">
      <c r="A2600" t="s">
        <v>2669</v>
      </c>
      <c r="B2600" t="s">
        <v>16</v>
      </c>
      <c r="C2600" t="s">
        <v>2665</v>
      </c>
      <c r="D2600" s="1">
        <v>0.41799768518518521</v>
      </c>
      <c r="E2600" s="2">
        <f>CallLog[[#This Row],[Date]]+CallLog[[#This Row],[Time]]</f>
        <v>44242.417997685188</v>
      </c>
      <c r="F2600" s="1" t="str">
        <f>TEXT(CallLog[[#This Row],[Date]],"dddd")</f>
        <v>Monday</v>
      </c>
      <c r="G2600" s="3">
        <f>HOUR(CallLog[[#This Row],[Time]])</f>
        <v>10</v>
      </c>
      <c r="H2600" t="s">
        <v>17</v>
      </c>
      <c r="I2600" t="s">
        <v>14</v>
      </c>
      <c r="J2600" t="s">
        <v>14</v>
      </c>
      <c r="K2600">
        <v>89</v>
      </c>
      <c r="L2600" t="str">
        <f>IF(AND(CallLog[[#This Row],[Answered (Y/N)]]="Y", CallLog[[#This Row],[Speed of answer in seconds]]&lt;=20),
    "Within",
    "Breach")</f>
        <v>Breach</v>
      </c>
      <c r="M2600" s="1">
        <v>6.134259259259259E-4</v>
      </c>
      <c r="N2600">
        <v>1</v>
      </c>
    </row>
    <row r="2601" spans="1:14" x14ac:dyDescent="0.3">
      <c r="A2601" t="s">
        <v>2670</v>
      </c>
      <c r="B2601" t="s">
        <v>16</v>
      </c>
      <c r="C2601" t="s">
        <v>2665</v>
      </c>
      <c r="D2601" s="1">
        <v>0.41799768518518521</v>
      </c>
      <c r="E2601" s="2">
        <f>CallLog[[#This Row],[Date]]+CallLog[[#This Row],[Time]]</f>
        <v>44242.417997685188</v>
      </c>
      <c r="F2601" s="1" t="str">
        <f>TEXT(CallLog[[#This Row],[Date]],"dddd")</f>
        <v>Monday</v>
      </c>
      <c r="G2601" s="3">
        <f>HOUR(CallLog[[#This Row],[Time]])</f>
        <v>10</v>
      </c>
      <c r="H2601" t="s">
        <v>32</v>
      </c>
      <c r="I2601" t="s">
        <v>14</v>
      </c>
      <c r="J2601" t="s">
        <v>14</v>
      </c>
      <c r="K2601">
        <v>103</v>
      </c>
      <c r="L2601" t="str">
        <f>IF(AND(CallLog[[#This Row],[Answered (Y/N)]]="Y", CallLog[[#This Row],[Speed of answer in seconds]]&lt;=20),
    "Within",
    "Breach")</f>
        <v>Breach</v>
      </c>
      <c r="M2601" s="1">
        <v>4.1319444444444442E-3</v>
      </c>
      <c r="N2601">
        <v>4</v>
      </c>
    </row>
    <row r="2602" spans="1:14" x14ac:dyDescent="0.3">
      <c r="A2602" t="s">
        <v>2671</v>
      </c>
      <c r="B2602" t="s">
        <v>31</v>
      </c>
      <c r="C2602" t="s">
        <v>2665</v>
      </c>
      <c r="D2602" s="1">
        <v>0.41799768518518521</v>
      </c>
      <c r="E2602" s="2">
        <f>CallLog[[#This Row],[Date]]+CallLog[[#This Row],[Time]]</f>
        <v>44242.417997685188</v>
      </c>
      <c r="F2602" s="1" t="str">
        <f>TEXT(CallLog[[#This Row],[Date]],"dddd")</f>
        <v>Monday</v>
      </c>
      <c r="G2602" s="3">
        <f>HOUR(CallLog[[#This Row],[Time]])</f>
        <v>10</v>
      </c>
      <c r="H2602" t="s">
        <v>24</v>
      </c>
      <c r="I2602" t="s">
        <v>14</v>
      </c>
      <c r="J2602" t="s">
        <v>14</v>
      </c>
      <c r="K2602">
        <v>103</v>
      </c>
      <c r="L2602" t="str">
        <f>IF(AND(CallLog[[#This Row],[Answered (Y/N)]]="Y", CallLog[[#This Row],[Speed of answer in seconds]]&lt;=20),
    "Within",
    "Breach")</f>
        <v>Breach</v>
      </c>
      <c r="M2602" s="1">
        <v>2.638888888888889E-3</v>
      </c>
      <c r="N2602">
        <v>3</v>
      </c>
    </row>
    <row r="2603" spans="1:14" x14ac:dyDescent="0.3">
      <c r="A2603" t="s">
        <v>2672</v>
      </c>
      <c r="B2603" t="s">
        <v>22</v>
      </c>
      <c r="C2603" t="s">
        <v>2665</v>
      </c>
      <c r="D2603" s="1">
        <v>0.41799768518518521</v>
      </c>
      <c r="E2603" s="2">
        <f>CallLog[[#This Row],[Date]]+CallLog[[#This Row],[Time]]</f>
        <v>44242.417997685188</v>
      </c>
      <c r="F2603" s="1" t="str">
        <f>TEXT(CallLog[[#This Row],[Date]],"dddd")</f>
        <v>Monday</v>
      </c>
      <c r="G2603" s="3">
        <f>HOUR(CallLog[[#This Row],[Time]])</f>
        <v>10</v>
      </c>
      <c r="H2603" t="s">
        <v>24</v>
      </c>
      <c r="I2603" t="s">
        <v>18</v>
      </c>
      <c r="J2603" t="s">
        <v>18</v>
      </c>
      <c r="L2603" t="str">
        <f>IF(AND(CallLog[[#This Row],[Answered (Y/N)]]="Y", CallLog[[#This Row],[Speed of answer in seconds]]&lt;=20),
    "Within",
    "Breach")</f>
        <v>Breach</v>
      </c>
    </row>
    <row r="2604" spans="1:14" x14ac:dyDescent="0.3">
      <c r="A2604" t="s">
        <v>2673</v>
      </c>
      <c r="B2604" t="s">
        <v>20</v>
      </c>
      <c r="C2604" t="s">
        <v>2665</v>
      </c>
      <c r="D2604" s="1">
        <v>0.43099537037037039</v>
      </c>
      <c r="E2604" s="2">
        <f>CallLog[[#This Row],[Date]]+CallLog[[#This Row],[Time]]</f>
        <v>44242.430995370371</v>
      </c>
      <c r="F2604" s="1" t="str">
        <f>TEXT(CallLog[[#This Row],[Date]],"dddd")</f>
        <v>Monday</v>
      </c>
      <c r="G2604" s="3">
        <f>HOUR(CallLog[[#This Row],[Time]])</f>
        <v>10</v>
      </c>
      <c r="H2604" t="s">
        <v>13</v>
      </c>
      <c r="I2604" t="s">
        <v>14</v>
      </c>
      <c r="J2604" t="s">
        <v>18</v>
      </c>
      <c r="K2604">
        <v>59</v>
      </c>
      <c r="L2604" t="str">
        <f>IF(AND(CallLog[[#This Row],[Answered (Y/N)]]="Y", CallLog[[#This Row],[Speed of answer in seconds]]&lt;=20),
    "Within",
    "Breach")</f>
        <v>Breach</v>
      </c>
      <c r="M2604" s="1">
        <v>2.4421296296296296E-3</v>
      </c>
      <c r="N2604">
        <v>3</v>
      </c>
    </row>
    <row r="2605" spans="1:14" x14ac:dyDescent="0.3">
      <c r="A2605" t="s">
        <v>2674</v>
      </c>
      <c r="B2605" t="s">
        <v>34</v>
      </c>
      <c r="C2605" t="s">
        <v>2665</v>
      </c>
      <c r="D2605" s="1">
        <v>0.43099537037037039</v>
      </c>
      <c r="E2605" s="2">
        <f>CallLog[[#This Row],[Date]]+CallLog[[#This Row],[Time]]</f>
        <v>44242.430995370371</v>
      </c>
      <c r="F2605" s="1" t="str">
        <f>TEXT(CallLog[[#This Row],[Date]],"dddd")</f>
        <v>Monday</v>
      </c>
      <c r="G2605" s="3">
        <f>HOUR(CallLog[[#This Row],[Time]])</f>
        <v>10</v>
      </c>
      <c r="H2605" t="s">
        <v>24</v>
      </c>
      <c r="I2605" t="s">
        <v>14</v>
      </c>
      <c r="J2605" t="s">
        <v>14</v>
      </c>
      <c r="K2605">
        <v>113</v>
      </c>
      <c r="L2605" t="str">
        <f>IF(AND(CallLog[[#This Row],[Answered (Y/N)]]="Y", CallLog[[#This Row],[Speed of answer in seconds]]&lt;=20),
    "Within",
    "Breach")</f>
        <v>Breach</v>
      </c>
      <c r="M2605" s="1">
        <v>1.1342592592592593E-3</v>
      </c>
      <c r="N2605">
        <v>3</v>
      </c>
    </row>
    <row r="2606" spans="1:14" x14ac:dyDescent="0.3">
      <c r="A2606" t="s">
        <v>2675</v>
      </c>
      <c r="B2606" t="s">
        <v>11</v>
      </c>
      <c r="C2606" t="s">
        <v>2665</v>
      </c>
      <c r="D2606" s="1">
        <v>0.4670023148148148</v>
      </c>
      <c r="E2606" s="2">
        <f>CallLog[[#This Row],[Date]]+CallLog[[#This Row],[Time]]</f>
        <v>44242.467002314814</v>
      </c>
      <c r="F2606" s="1" t="str">
        <f>TEXT(CallLog[[#This Row],[Date]],"dddd")</f>
        <v>Monday</v>
      </c>
      <c r="G2606" s="3">
        <f>HOUR(CallLog[[#This Row],[Time]])</f>
        <v>11</v>
      </c>
      <c r="H2606" t="s">
        <v>13</v>
      </c>
      <c r="I2606" t="s">
        <v>14</v>
      </c>
      <c r="J2606" t="s">
        <v>14</v>
      </c>
      <c r="K2606">
        <v>69</v>
      </c>
      <c r="L2606" t="str">
        <f>IF(AND(CallLog[[#This Row],[Answered (Y/N)]]="Y", CallLog[[#This Row],[Speed of answer in seconds]]&lt;=20),
    "Within",
    "Breach")</f>
        <v>Breach</v>
      </c>
      <c r="M2606" s="1">
        <v>1.2962962962962963E-3</v>
      </c>
      <c r="N2606">
        <v>2</v>
      </c>
    </row>
    <row r="2607" spans="1:14" x14ac:dyDescent="0.3">
      <c r="A2607" t="s">
        <v>2676</v>
      </c>
      <c r="B2607" t="s">
        <v>11</v>
      </c>
      <c r="C2607" t="s">
        <v>2665</v>
      </c>
      <c r="D2607" s="1">
        <v>0.4670023148148148</v>
      </c>
      <c r="E2607" s="2">
        <f>CallLog[[#This Row],[Date]]+CallLog[[#This Row],[Time]]</f>
        <v>44242.467002314814</v>
      </c>
      <c r="F2607" s="1" t="str">
        <f>TEXT(CallLog[[#This Row],[Date]],"dddd")</f>
        <v>Monday</v>
      </c>
      <c r="G2607" s="3">
        <f>HOUR(CallLog[[#This Row],[Time]])</f>
        <v>11</v>
      </c>
      <c r="H2607" t="s">
        <v>17</v>
      </c>
      <c r="I2607" t="s">
        <v>14</v>
      </c>
      <c r="J2607" t="s">
        <v>14</v>
      </c>
      <c r="K2607">
        <v>69</v>
      </c>
      <c r="L2607" t="str">
        <f>IF(AND(CallLog[[#This Row],[Answered (Y/N)]]="Y", CallLog[[#This Row],[Speed of answer in seconds]]&lt;=20),
    "Within",
    "Breach")</f>
        <v>Breach</v>
      </c>
      <c r="M2607" s="1">
        <v>1.2847222222222223E-3</v>
      </c>
      <c r="N2607">
        <v>2</v>
      </c>
    </row>
    <row r="2608" spans="1:14" x14ac:dyDescent="0.3">
      <c r="A2608" t="s">
        <v>2677</v>
      </c>
      <c r="B2608" t="s">
        <v>16</v>
      </c>
      <c r="C2608" t="s">
        <v>2665</v>
      </c>
      <c r="D2608" s="1">
        <v>0.48200231481481481</v>
      </c>
      <c r="E2608" s="2">
        <f>CallLog[[#This Row],[Date]]+CallLog[[#This Row],[Time]]</f>
        <v>44242.482002314813</v>
      </c>
      <c r="F2608" s="1" t="str">
        <f>TEXT(CallLog[[#This Row],[Date]],"dddd")</f>
        <v>Monday</v>
      </c>
      <c r="G2608" s="3">
        <f>HOUR(CallLog[[#This Row],[Time]])</f>
        <v>11</v>
      </c>
      <c r="H2608" t="s">
        <v>17</v>
      </c>
      <c r="I2608" t="s">
        <v>14</v>
      </c>
      <c r="J2608" t="s">
        <v>18</v>
      </c>
      <c r="K2608">
        <v>11</v>
      </c>
      <c r="L2608" t="str">
        <f>IF(AND(CallLog[[#This Row],[Answered (Y/N)]]="Y", CallLog[[#This Row],[Speed of answer in seconds]]&lt;=20),
    "Within",
    "Breach")</f>
        <v>Within</v>
      </c>
      <c r="M2608" s="1">
        <v>3.5532407407407409E-3</v>
      </c>
      <c r="N2608">
        <v>4</v>
      </c>
    </row>
    <row r="2609" spans="1:14" x14ac:dyDescent="0.3">
      <c r="A2609" t="s">
        <v>2678</v>
      </c>
      <c r="B2609" t="s">
        <v>47</v>
      </c>
      <c r="C2609" t="s">
        <v>2665</v>
      </c>
      <c r="D2609" s="1">
        <v>0.48200231481481481</v>
      </c>
      <c r="E2609" s="2">
        <f>CallLog[[#This Row],[Date]]+CallLog[[#This Row],[Time]]</f>
        <v>44242.482002314813</v>
      </c>
      <c r="F2609" s="1" t="str">
        <f>TEXT(CallLog[[#This Row],[Date]],"dddd")</f>
        <v>Monday</v>
      </c>
      <c r="G2609" s="3">
        <f>HOUR(CallLog[[#This Row],[Time]])</f>
        <v>11</v>
      </c>
      <c r="H2609" t="s">
        <v>13</v>
      </c>
      <c r="I2609" t="s">
        <v>14</v>
      </c>
      <c r="J2609" t="s">
        <v>14</v>
      </c>
      <c r="K2609">
        <v>75</v>
      </c>
      <c r="L2609" t="str">
        <f>IF(AND(CallLog[[#This Row],[Answered (Y/N)]]="Y", CallLog[[#This Row],[Speed of answer in seconds]]&lt;=20),
    "Within",
    "Breach")</f>
        <v>Breach</v>
      </c>
      <c r="M2609" s="1">
        <v>2.9050925925925928E-3</v>
      </c>
      <c r="N2609">
        <v>2</v>
      </c>
    </row>
    <row r="2610" spans="1:14" x14ac:dyDescent="0.3">
      <c r="A2610" t="s">
        <v>2679</v>
      </c>
      <c r="B2610" t="s">
        <v>31</v>
      </c>
      <c r="C2610" t="s">
        <v>2665</v>
      </c>
      <c r="D2610" s="1">
        <v>0.48700231481481482</v>
      </c>
      <c r="E2610" s="2">
        <f>CallLog[[#This Row],[Date]]+CallLog[[#This Row],[Time]]</f>
        <v>44242.487002314818</v>
      </c>
      <c r="F2610" s="1" t="str">
        <f>TEXT(CallLog[[#This Row],[Date]],"dddd")</f>
        <v>Monday</v>
      </c>
      <c r="G2610" s="3">
        <f>HOUR(CallLog[[#This Row],[Time]])</f>
        <v>11</v>
      </c>
      <c r="H2610" t="s">
        <v>17</v>
      </c>
      <c r="I2610" t="s">
        <v>14</v>
      </c>
      <c r="J2610" t="s">
        <v>18</v>
      </c>
      <c r="K2610">
        <v>24</v>
      </c>
      <c r="L2610" t="str">
        <f>IF(AND(CallLog[[#This Row],[Answered (Y/N)]]="Y", CallLog[[#This Row],[Speed of answer in seconds]]&lt;=20),
    "Within",
    "Breach")</f>
        <v>Breach</v>
      </c>
      <c r="M2610" s="1">
        <v>1.7592592592592592E-3</v>
      </c>
      <c r="N2610">
        <v>5</v>
      </c>
    </row>
    <row r="2611" spans="1:14" x14ac:dyDescent="0.3">
      <c r="A2611" t="s">
        <v>2680</v>
      </c>
      <c r="B2611" t="s">
        <v>16</v>
      </c>
      <c r="C2611" t="s">
        <v>2665</v>
      </c>
      <c r="D2611" s="1">
        <v>0.48700231481481482</v>
      </c>
      <c r="E2611" s="2">
        <f>CallLog[[#This Row],[Date]]+CallLog[[#This Row],[Time]]</f>
        <v>44242.487002314818</v>
      </c>
      <c r="F2611" s="1" t="str">
        <f>TEXT(CallLog[[#This Row],[Date]],"dddd")</f>
        <v>Monday</v>
      </c>
      <c r="G2611" s="3">
        <f>HOUR(CallLog[[#This Row],[Time]])</f>
        <v>11</v>
      </c>
      <c r="H2611" t="s">
        <v>29</v>
      </c>
      <c r="I2611" t="s">
        <v>14</v>
      </c>
      <c r="J2611" t="s">
        <v>14</v>
      </c>
      <c r="K2611">
        <v>124</v>
      </c>
      <c r="L2611" t="str">
        <f>IF(AND(CallLog[[#This Row],[Answered (Y/N)]]="Y", CallLog[[#This Row],[Speed of answer in seconds]]&lt;=20),
    "Within",
    "Breach")</f>
        <v>Breach</v>
      </c>
      <c r="M2611" s="1">
        <v>4.2592592592592595E-3</v>
      </c>
      <c r="N2611">
        <v>3</v>
      </c>
    </row>
    <row r="2612" spans="1:14" x14ac:dyDescent="0.3">
      <c r="A2612" t="s">
        <v>2681</v>
      </c>
      <c r="B2612" t="s">
        <v>22</v>
      </c>
      <c r="C2612" t="s">
        <v>2665</v>
      </c>
      <c r="D2612" s="1">
        <v>0.49</v>
      </c>
      <c r="E2612" s="2">
        <f>CallLog[[#This Row],[Date]]+CallLog[[#This Row],[Time]]</f>
        <v>44242.49</v>
      </c>
      <c r="F2612" s="1" t="str">
        <f>TEXT(CallLog[[#This Row],[Date]],"dddd")</f>
        <v>Monday</v>
      </c>
      <c r="G2612" s="3">
        <f>HOUR(CallLog[[#This Row],[Time]])</f>
        <v>11</v>
      </c>
      <c r="H2612" t="s">
        <v>29</v>
      </c>
      <c r="I2612" t="s">
        <v>14</v>
      </c>
      <c r="J2612" t="s">
        <v>14</v>
      </c>
      <c r="K2612">
        <v>32</v>
      </c>
      <c r="L2612" t="str">
        <f>IF(AND(CallLog[[#This Row],[Answered (Y/N)]]="Y", CallLog[[#This Row],[Speed of answer in seconds]]&lt;=20),
    "Within",
    "Breach")</f>
        <v>Breach</v>
      </c>
      <c r="M2612" s="1">
        <v>1.7824074074074075E-3</v>
      </c>
      <c r="N2612">
        <v>5</v>
      </c>
    </row>
    <row r="2613" spans="1:14" x14ac:dyDescent="0.3">
      <c r="A2613" t="s">
        <v>2682</v>
      </c>
      <c r="B2613" t="s">
        <v>20</v>
      </c>
      <c r="C2613" t="s">
        <v>2665</v>
      </c>
      <c r="D2613" s="1">
        <v>0.49</v>
      </c>
      <c r="E2613" s="2">
        <f>CallLog[[#This Row],[Date]]+CallLog[[#This Row],[Time]]</f>
        <v>44242.49</v>
      </c>
      <c r="F2613" s="1" t="str">
        <f>TEXT(CallLog[[#This Row],[Date]],"dddd")</f>
        <v>Monday</v>
      </c>
      <c r="G2613" s="3">
        <f>HOUR(CallLog[[#This Row],[Time]])</f>
        <v>11</v>
      </c>
      <c r="H2613" t="s">
        <v>29</v>
      </c>
      <c r="I2613" t="s">
        <v>14</v>
      </c>
      <c r="J2613" t="s">
        <v>14</v>
      </c>
      <c r="K2613">
        <v>105</v>
      </c>
      <c r="L2613" t="str">
        <f>IF(AND(CallLog[[#This Row],[Answered (Y/N)]]="Y", CallLog[[#This Row],[Speed of answer in seconds]]&lt;=20),
    "Within",
    "Breach")</f>
        <v>Breach</v>
      </c>
      <c r="M2613" s="1">
        <v>4.5601851851851853E-3</v>
      </c>
      <c r="N2613">
        <v>5</v>
      </c>
    </row>
    <row r="2614" spans="1:14" x14ac:dyDescent="0.3">
      <c r="A2614" t="s">
        <v>2683</v>
      </c>
      <c r="B2614" t="s">
        <v>16</v>
      </c>
      <c r="C2614" t="s">
        <v>2665</v>
      </c>
      <c r="D2614" s="1">
        <v>0.49200231481481482</v>
      </c>
      <c r="E2614" s="2">
        <f>CallLog[[#This Row],[Date]]+CallLog[[#This Row],[Time]]</f>
        <v>44242.492002314815</v>
      </c>
      <c r="F2614" s="1" t="str">
        <f>TEXT(CallLog[[#This Row],[Date]],"dddd")</f>
        <v>Monday</v>
      </c>
      <c r="G2614" s="3">
        <f>HOUR(CallLog[[#This Row],[Time]])</f>
        <v>11</v>
      </c>
      <c r="H2614" t="s">
        <v>17</v>
      </c>
      <c r="I2614" t="s">
        <v>18</v>
      </c>
      <c r="J2614" t="s">
        <v>18</v>
      </c>
      <c r="L2614" t="str">
        <f>IF(AND(CallLog[[#This Row],[Answered (Y/N)]]="Y", CallLog[[#This Row],[Speed of answer in seconds]]&lt;=20),
    "Within",
    "Breach")</f>
        <v>Breach</v>
      </c>
    </row>
    <row r="2615" spans="1:14" x14ac:dyDescent="0.3">
      <c r="A2615" t="s">
        <v>2684</v>
      </c>
      <c r="B2615" t="s">
        <v>31</v>
      </c>
      <c r="C2615" t="s">
        <v>2665</v>
      </c>
      <c r="D2615" s="1">
        <v>0.49200231481481482</v>
      </c>
      <c r="E2615" s="2">
        <f>CallLog[[#This Row],[Date]]+CallLog[[#This Row],[Time]]</f>
        <v>44242.492002314815</v>
      </c>
      <c r="F2615" s="1" t="str">
        <f>TEXT(CallLog[[#This Row],[Date]],"dddd")</f>
        <v>Monday</v>
      </c>
      <c r="G2615" s="3">
        <f>HOUR(CallLog[[#This Row],[Time]])</f>
        <v>11</v>
      </c>
      <c r="H2615" t="s">
        <v>24</v>
      </c>
      <c r="I2615" t="s">
        <v>14</v>
      </c>
      <c r="J2615" t="s">
        <v>14</v>
      </c>
      <c r="K2615">
        <v>94</v>
      </c>
      <c r="L2615" t="str">
        <f>IF(AND(CallLog[[#This Row],[Answered (Y/N)]]="Y", CallLog[[#This Row],[Speed of answer in seconds]]&lt;=20),
    "Within",
    "Breach")</f>
        <v>Breach</v>
      </c>
      <c r="M2615" s="1">
        <v>7.291666666666667E-4</v>
      </c>
      <c r="N2615">
        <v>4</v>
      </c>
    </row>
    <row r="2616" spans="1:14" x14ac:dyDescent="0.3">
      <c r="A2616" t="s">
        <v>2685</v>
      </c>
      <c r="B2616" t="s">
        <v>34</v>
      </c>
      <c r="C2616" t="s">
        <v>2665</v>
      </c>
      <c r="D2616" s="1">
        <v>0.505</v>
      </c>
      <c r="E2616" s="2">
        <f>CallLog[[#This Row],[Date]]+CallLog[[#This Row],[Time]]</f>
        <v>44242.504999999997</v>
      </c>
      <c r="F2616" s="1" t="str">
        <f>TEXT(CallLog[[#This Row],[Date]],"dddd")</f>
        <v>Monday</v>
      </c>
      <c r="G2616" s="3">
        <f>HOUR(CallLog[[#This Row],[Time]])</f>
        <v>12</v>
      </c>
      <c r="H2616" t="s">
        <v>13</v>
      </c>
      <c r="I2616" t="s">
        <v>14</v>
      </c>
      <c r="J2616" t="s">
        <v>14</v>
      </c>
      <c r="K2616">
        <v>107</v>
      </c>
      <c r="L2616" t="str">
        <f>IF(AND(CallLog[[#This Row],[Answered (Y/N)]]="Y", CallLog[[#This Row],[Speed of answer in seconds]]&lt;=20),
    "Within",
    "Breach")</f>
        <v>Breach</v>
      </c>
      <c r="M2616" s="1">
        <v>1.5740740740740741E-3</v>
      </c>
      <c r="N2616">
        <v>4</v>
      </c>
    </row>
    <row r="2617" spans="1:14" x14ac:dyDescent="0.3">
      <c r="A2617" t="s">
        <v>2686</v>
      </c>
      <c r="B2617" t="s">
        <v>11</v>
      </c>
      <c r="C2617" t="s">
        <v>2665</v>
      </c>
      <c r="D2617" s="1">
        <v>0.505</v>
      </c>
      <c r="E2617" s="2">
        <f>CallLog[[#This Row],[Date]]+CallLog[[#This Row],[Time]]</f>
        <v>44242.504999999997</v>
      </c>
      <c r="F2617" s="1" t="str">
        <f>TEXT(CallLog[[#This Row],[Date]],"dddd")</f>
        <v>Monday</v>
      </c>
      <c r="G2617" s="3">
        <f>HOUR(CallLog[[#This Row],[Time]])</f>
        <v>12</v>
      </c>
      <c r="H2617" t="s">
        <v>29</v>
      </c>
      <c r="I2617" t="s">
        <v>14</v>
      </c>
      <c r="J2617" t="s">
        <v>14</v>
      </c>
      <c r="K2617">
        <v>79</v>
      </c>
      <c r="L2617" t="str">
        <f>IF(AND(CallLog[[#This Row],[Answered (Y/N)]]="Y", CallLog[[#This Row],[Speed of answer in seconds]]&lt;=20),
    "Within",
    "Breach")</f>
        <v>Breach</v>
      </c>
      <c r="M2617" s="1">
        <v>3.8541666666666668E-3</v>
      </c>
      <c r="N2617">
        <v>5</v>
      </c>
    </row>
    <row r="2618" spans="1:14" x14ac:dyDescent="0.3">
      <c r="A2618" t="s">
        <v>2687</v>
      </c>
      <c r="B2618" t="s">
        <v>47</v>
      </c>
      <c r="C2618" t="s">
        <v>2665</v>
      </c>
      <c r="D2618" s="1">
        <v>0.51500000000000001</v>
      </c>
      <c r="E2618" s="2">
        <f>CallLog[[#This Row],[Date]]+CallLog[[#This Row],[Time]]</f>
        <v>44242.514999999999</v>
      </c>
      <c r="F2618" s="1" t="str">
        <f>TEXT(CallLog[[#This Row],[Date]],"dddd")</f>
        <v>Monday</v>
      </c>
      <c r="G2618" s="3">
        <f>HOUR(CallLog[[#This Row],[Time]])</f>
        <v>12</v>
      </c>
      <c r="H2618" t="s">
        <v>13</v>
      </c>
      <c r="I2618" t="s">
        <v>18</v>
      </c>
      <c r="J2618" t="s">
        <v>18</v>
      </c>
      <c r="L2618" t="str">
        <f>IF(AND(CallLog[[#This Row],[Answered (Y/N)]]="Y", CallLog[[#This Row],[Speed of answer in seconds]]&lt;=20),
    "Within",
    "Breach")</f>
        <v>Breach</v>
      </c>
    </row>
    <row r="2619" spans="1:14" x14ac:dyDescent="0.3">
      <c r="A2619" t="s">
        <v>2688</v>
      </c>
      <c r="B2619" t="s">
        <v>16</v>
      </c>
      <c r="C2619" t="s">
        <v>2665</v>
      </c>
      <c r="D2619" s="1">
        <v>0.51500000000000001</v>
      </c>
      <c r="E2619" s="2">
        <f>CallLog[[#This Row],[Date]]+CallLog[[#This Row],[Time]]</f>
        <v>44242.514999999999</v>
      </c>
      <c r="F2619" s="1" t="str">
        <f>TEXT(CallLog[[#This Row],[Date]],"dddd")</f>
        <v>Monday</v>
      </c>
      <c r="G2619" s="3">
        <f>HOUR(CallLog[[#This Row],[Time]])</f>
        <v>12</v>
      </c>
      <c r="H2619" t="s">
        <v>29</v>
      </c>
      <c r="I2619" t="s">
        <v>14</v>
      </c>
      <c r="J2619" t="s">
        <v>14</v>
      </c>
      <c r="K2619">
        <v>59</v>
      </c>
      <c r="L2619" t="str">
        <f>IF(AND(CallLog[[#This Row],[Answered (Y/N)]]="Y", CallLog[[#This Row],[Speed of answer in seconds]]&lt;=20),
    "Within",
    "Breach")</f>
        <v>Breach</v>
      </c>
      <c r="M2619" s="1">
        <v>1.4467592592592592E-3</v>
      </c>
      <c r="N2619">
        <v>4</v>
      </c>
    </row>
    <row r="2620" spans="1:14" x14ac:dyDescent="0.3">
      <c r="A2620" t="s">
        <v>2689</v>
      </c>
      <c r="B2620" t="s">
        <v>47</v>
      </c>
      <c r="C2620" t="s">
        <v>2665</v>
      </c>
      <c r="D2620" s="1">
        <v>0.52700231481481485</v>
      </c>
      <c r="E2620" s="2">
        <f>CallLog[[#This Row],[Date]]+CallLog[[#This Row],[Time]]</f>
        <v>44242.527002314811</v>
      </c>
      <c r="F2620" s="1" t="str">
        <f>TEXT(CallLog[[#This Row],[Date]],"dddd")</f>
        <v>Monday</v>
      </c>
      <c r="G2620" s="3">
        <f>HOUR(CallLog[[#This Row],[Time]])</f>
        <v>12</v>
      </c>
      <c r="H2620" t="s">
        <v>17</v>
      </c>
      <c r="I2620" t="s">
        <v>14</v>
      </c>
      <c r="J2620" t="s">
        <v>18</v>
      </c>
      <c r="K2620">
        <v>117</v>
      </c>
      <c r="L2620" t="str">
        <f>IF(AND(CallLog[[#This Row],[Answered (Y/N)]]="Y", CallLog[[#This Row],[Speed of answer in seconds]]&lt;=20),
    "Within",
    "Breach")</f>
        <v>Breach</v>
      </c>
      <c r="M2620" s="1">
        <v>3.4027777777777776E-3</v>
      </c>
      <c r="N2620">
        <v>3</v>
      </c>
    </row>
    <row r="2621" spans="1:14" x14ac:dyDescent="0.3">
      <c r="A2621" t="s">
        <v>2690</v>
      </c>
      <c r="B2621" t="s">
        <v>38</v>
      </c>
      <c r="C2621" t="s">
        <v>2665</v>
      </c>
      <c r="D2621" s="1">
        <v>0.52700231481481485</v>
      </c>
      <c r="E2621" s="2">
        <f>CallLog[[#This Row],[Date]]+CallLog[[#This Row],[Time]]</f>
        <v>44242.527002314811</v>
      </c>
      <c r="F2621" s="1" t="str">
        <f>TEXT(CallLog[[#This Row],[Date]],"dddd")</f>
        <v>Monday</v>
      </c>
      <c r="G2621" s="3">
        <f>HOUR(CallLog[[#This Row],[Time]])</f>
        <v>12</v>
      </c>
      <c r="H2621" t="s">
        <v>32</v>
      </c>
      <c r="I2621" t="s">
        <v>14</v>
      </c>
      <c r="J2621" t="s">
        <v>14</v>
      </c>
      <c r="K2621">
        <v>37</v>
      </c>
      <c r="L2621" t="str">
        <f>IF(AND(CallLog[[#This Row],[Answered (Y/N)]]="Y", CallLog[[#This Row],[Speed of answer in seconds]]&lt;=20),
    "Within",
    "Breach")</f>
        <v>Breach</v>
      </c>
      <c r="M2621" s="1">
        <v>1.2847222222222223E-3</v>
      </c>
      <c r="N2621">
        <v>3</v>
      </c>
    </row>
    <row r="2622" spans="1:14" x14ac:dyDescent="0.3">
      <c r="A2622" t="s">
        <v>2691</v>
      </c>
      <c r="B2622" t="s">
        <v>47</v>
      </c>
      <c r="C2622" t="s">
        <v>2665</v>
      </c>
      <c r="D2622" s="1">
        <v>0.54200231481481487</v>
      </c>
      <c r="E2622" s="2">
        <f>CallLog[[#This Row],[Date]]+CallLog[[#This Row],[Time]]</f>
        <v>44242.542002314818</v>
      </c>
      <c r="F2622" s="1" t="str">
        <f>TEXT(CallLog[[#This Row],[Date]],"dddd")</f>
        <v>Monday</v>
      </c>
      <c r="G2622" s="3">
        <f>HOUR(CallLog[[#This Row],[Time]])</f>
        <v>13</v>
      </c>
      <c r="H2622" t="s">
        <v>29</v>
      </c>
      <c r="I2622" t="s">
        <v>14</v>
      </c>
      <c r="J2622" t="s">
        <v>14</v>
      </c>
      <c r="K2622">
        <v>94</v>
      </c>
      <c r="L2622" t="str">
        <f>IF(AND(CallLog[[#This Row],[Answered (Y/N)]]="Y", CallLog[[#This Row],[Speed of answer in seconds]]&lt;=20),
    "Within",
    "Breach")</f>
        <v>Breach</v>
      </c>
      <c r="M2622" s="1">
        <v>3.7037037037037038E-3</v>
      </c>
      <c r="N2622">
        <v>4</v>
      </c>
    </row>
    <row r="2623" spans="1:14" x14ac:dyDescent="0.3">
      <c r="A2623" t="s">
        <v>2692</v>
      </c>
      <c r="B2623" t="s">
        <v>16</v>
      </c>
      <c r="C2623" t="s">
        <v>2665</v>
      </c>
      <c r="D2623" s="1">
        <v>0.54200231481481487</v>
      </c>
      <c r="E2623" s="2">
        <f>CallLog[[#This Row],[Date]]+CallLog[[#This Row],[Time]]</f>
        <v>44242.542002314818</v>
      </c>
      <c r="F2623" s="1" t="str">
        <f>TEXT(CallLog[[#This Row],[Date]],"dddd")</f>
        <v>Monday</v>
      </c>
      <c r="G2623" s="3">
        <f>HOUR(CallLog[[#This Row],[Time]])</f>
        <v>13</v>
      </c>
      <c r="H2623" t="s">
        <v>17</v>
      </c>
      <c r="I2623" t="s">
        <v>14</v>
      </c>
      <c r="J2623" t="s">
        <v>14</v>
      </c>
      <c r="K2623">
        <v>120</v>
      </c>
      <c r="L2623" t="str">
        <f>IF(AND(CallLog[[#This Row],[Answered (Y/N)]]="Y", CallLog[[#This Row],[Speed of answer in seconds]]&lt;=20),
    "Within",
    "Breach")</f>
        <v>Breach</v>
      </c>
      <c r="M2623" s="1">
        <v>1.9097222222222222E-3</v>
      </c>
      <c r="N2623">
        <v>1</v>
      </c>
    </row>
    <row r="2624" spans="1:14" x14ac:dyDescent="0.3">
      <c r="A2624" t="s">
        <v>2693</v>
      </c>
      <c r="B2624" t="s">
        <v>31</v>
      </c>
      <c r="C2624" t="s">
        <v>2665</v>
      </c>
      <c r="D2624" s="1">
        <v>0.56000000000000005</v>
      </c>
      <c r="E2624" s="2">
        <f>CallLog[[#This Row],[Date]]+CallLog[[#This Row],[Time]]</f>
        <v>44242.559999999998</v>
      </c>
      <c r="F2624" s="1" t="str">
        <f>TEXT(CallLog[[#This Row],[Date]],"dddd")</f>
        <v>Monday</v>
      </c>
      <c r="G2624" s="3">
        <f>HOUR(CallLog[[#This Row],[Time]])</f>
        <v>13</v>
      </c>
      <c r="H2624" t="s">
        <v>13</v>
      </c>
      <c r="I2624" t="s">
        <v>18</v>
      </c>
      <c r="J2624" t="s">
        <v>18</v>
      </c>
      <c r="L2624" t="str">
        <f>IF(AND(CallLog[[#This Row],[Answered (Y/N)]]="Y", CallLog[[#This Row],[Speed of answer in seconds]]&lt;=20),
    "Within",
    "Breach")</f>
        <v>Breach</v>
      </c>
    </row>
    <row r="2625" spans="1:14" x14ac:dyDescent="0.3">
      <c r="A2625" t="s">
        <v>2694</v>
      </c>
      <c r="B2625" t="s">
        <v>38</v>
      </c>
      <c r="C2625" t="s">
        <v>2665</v>
      </c>
      <c r="D2625" s="1">
        <v>0.56000000000000005</v>
      </c>
      <c r="E2625" s="2">
        <f>CallLog[[#This Row],[Date]]+CallLog[[#This Row],[Time]]</f>
        <v>44242.559999999998</v>
      </c>
      <c r="F2625" s="1" t="str">
        <f>TEXT(CallLog[[#This Row],[Date]],"dddd")</f>
        <v>Monday</v>
      </c>
      <c r="G2625" s="3">
        <f>HOUR(CallLog[[#This Row],[Time]])</f>
        <v>13</v>
      </c>
      <c r="H2625" t="s">
        <v>32</v>
      </c>
      <c r="I2625" t="s">
        <v>14</v>
      </c>
      <c r="J2625" t="s">
        <v>14</v>
      </c>
      <c r="K2625">
        <v>50</v>
      </c>
      <c r="L2625" t="str">
        <f>IF(AND(CallLog[[#This Row],[Answered (Y/N)]]="Y", CallLog[[#This Row],[Speed of answer in seconds]]&lt;=20),
    "Within",
    "Breach")</f>
        <v>Breach</v>
      </c>
      <c r="M2625" s="1">
        <v>4.7106481481481478E-3</v>
      </c>
      <c r="N2625">
        <v>2</v>
      </c>
    </row>
    <row r="2626" spans="1:14" x14ac:dyDescent="0.3">
      <c r="A2626" t="s">
        <v>2695</v>
      </c>
      <c r="B2626" t="s">
        <v>16</v>
      </c>
      <c r="C2626" t="s">
        <v>2665</v>
      </c>
      <c r="D2626" s="1">
        <v>0.56900462962962961</v>
      </c>
      <c r="E2626" s="2">
        <f>CallLog[[#This Row],[Date]]+CallLog[[#This Row],[Time]]</f>
        <v>44242.569004629629</v>
      </c>
      <c r="F2626" s="1" t="str">
        <f>TEXT(CallLog[[#This Row],[Date]],"dddd")</f>
        <v>Monday</v>
      </c>
      <c r="G2626" s="3">
        <f>HOUR(CallLog[[#This Row],[Time]])</f>
        <v>13</v>
      </c>
      <c r="H2626" t="s">
        <v>24</v>
      </c>
      <c r="I2626" t="s">
        <v>14</v>
      </c>
      <c r="J2626" t="s">
        <v>14</v>
      </c>
      <c r="K2626">
        <v>47</v>
      </c>
      <c r="L2626" t="str">
        <f>IF(AND(CallLog[[#This Row],[Answered (Y/N)]]="Y", CallLog[[#This Row],[Speed of answer in seconds]]&lt;=20),
    "Within",
    "Breach")</f>
        <v>Breach</v>
      </c>
      <c r="M2626" s="1">
        <v>1.712962962962963E-3</v>
      </c>
      <c r="N2626">
        <v>5</v>
      </c>
    </row>
    <row r="2627" spans="1:14" x14ac:dyDescent="0.3">
      <c r="A2627" t="s">
        <v>2696</v>
      </c>
      <c r="B2627" t="s">
        <v>20</v>
      </c>
      <c r="C2627" t="s">
        <v>2665</v>
      </c>
      <c r="D2627" s="1">
        <v>0.56900462962962961</v>
      </c>
      <c r="E2627" s="2">
        <f>CallLog[[#This Row],[Date]]+CallLog[[#This Row],[Time]]</f>
        <v>44242.569004629629</v>
      </c>
      <c r="F2627" s="1" t="str">
        <f>TEXT(CallLog[[#This Row],[Date]],"dddd")</f>
        <v>Monday</v>
      </c>
      <c r="G2627" s="3">
        <f>HOUR(CallLog[[#This Row],[Time]])</f>
        <v>13</v>
      </c>
      <c r="H2627" t="s">
        <v>32</v>
      </c>
      <c r="I2627" t="s">
        <v>18</v>
      </c>
      <c r="J2627" t="s">
        <v>18</v>
      </c>
      <c r="L2627" t="str">
        <f>IF(AND(CallLog[[#This Row],[Answered (Y/N)]]="Y", CallLog[[#This Row],[Speed of answer in seconds]]&lt;=20),
    "Within",
    "Breach")</f>
        <v>Breach</v>
      </c>
    </row>
    <row r="2628" spans="1:14" x14ac:dyDescent="0.3">
      <c r="A2628" t="s">
        <v>2697</v>
      </c>
      <c r="B2628" t="s">
        <v>47</v>
      </c>
      <c r="C2628" t="s">
        <v>2665</v>
      </c>
      <c r="D2628" s="1">
        <v>0.5709953703703704</v>
      </c>
      <c r="E2628" s="2">
        <f>CallLog[[#This Row],[Date]]+CallLog[[#This Row],[Time]]</f>
        <v>44242.57099537037</v>
      </c>
      <c r="F2628" s="1" t="str">
        <f>TEXT(CallLog[[#This Row],[Date]],"dddd")</f>
        <v>Monday</v>
      </c>
      <c r="G2628" s="3">
        <f>HOUR(CallLog[[#This Row],[Time]])</f>
        <v>13</v>
      </c>
      <c r="H2628" t="s">
        <v>29</v>
      </c>
      <c r="I2628" t="s">
        <v>14</v>
      </c>
      <c r="J2628" t="s">
        <v>14</v>
      </c>
      <c r="K2628">
        <v>118</v>
      </c>
      <c r="L2628" t="str">
        <f>IF(AND(CallLog[[#This Row],[Answered (Y/N)]]="Y", CallLog[[#This Row],[Speed of answer in seconds]]&lt;=20),
    "Within",
    "Breach")</f>
        <v>Breach</v>
      </c>
      <c r="M2628" s="1">
        <v>2.0023148148148148E-3</v>
      </c>
      <c r="N2628">
        <v>5</v>
      </c>
    </row>
    <row r="2629" spans="1:14" x14ac:dyDescent="0.3">
      <c r="A2629" t="s">
        <v>2698</v>
      </c>
      <c r="B2629" t="s">
        <v>16</v>
      </c>
      <c r="C2629" t="s">
        <v>2665</v>
      </c>
      <c r="D2629" s="1">
        <v>0.5709953703703704</v>
      </c>
      <c r="E2629" s="2">
        <f>CallLog[[#This Row],[Date]]+CallLog[[#This Row],[Time]]</f>
        <v>44242.57099537037</v>
      </c>
      <c r="F2629" s="1" t="str">
        <f>TEXT(CallLog[[#This Row],[Date]],"dddd")</f>
        <v>Monday</v>
      </c>
      <c r="G2629" s="3">
        <f>HOUR(CallLog[[#This Row],[Time]])</f>
        <v>13</v>
      </c>
      <c r="H2629" t="s">
        <v>29</v>
      </c>
      <c r="I2629" t="s">
        <v>18</v>
      </c>
      <c r="J2629" t="s">
        <v>18</v>
      </c>
      <c r="L2629" t="str">
        <f>IF(AND(CallLog[[#This Row],[Answered (Y/N)]]="Y", CallLog[[#This Row],[Speed of answer in seconds]]&lt;=20),
    "Within",
    "Breach")</f>
        <v>Breach</v>
      </c>
    </row>
    <row r="2630" spans="1:14" x14ac:dyDescent="0.3">
      <c r="A2630" t="s">
        <v>2699</v>
      </c>
      <c r="B2630" t="s">
        <v>22</v>
      </c>
      <c r="C2630" t="s">
        <v>2665</v>
      </c>
      <c r="D2630" s="1">
        <v>0.60299768518518515</v>
      </c>
      <c r="E2630" s="2">
        <f>CallLog[[#This Row],[Date]]+CallLog[[#This Row],[Time]]</f>
        <v>44242.602997685186</v>
      </c>
      <c r="F2630" s="1" t="str">
        <f>TEXT(CallLog[[#This Row],[Date]],"dddd")</f>
        <v>Monday</v>
      </c>
      <c r="G2630" s="3">
        <f>HOUR(CallLog[[#This Row],[Time]])</f>
        <v>14</v>
      </c>
      <c r="H2630" t="s">
        <v>17</v>
      </c>
      <c r="I2630" t="s">
        <v>18</v>
      </c>
      <c r="J2630" t="s">
        <v>18</v>
      </c>
      <c r="L2630" t="str">
        <f>IF(AND(CallLog[[#This Row],[Answered (Y/N)]]="Y", CallLog[[#This Row],[Speed of answer in seconds]]&lt;=20),
    "Within",
    "Breach")</f>
        <v>Breach</v>
      </c>
    </row>
    <row r="2631" spans="1:14" x14ac:dyDescent="0.3">
      <c r="A2631" t="s">
        <v>2700</v>
      </c>
      <c r="B2631" t="s">
        <v>31</v>
      </c>
      <c r="C2631" t="s">
        <v>2665</v>
      </c>
      <c r="D2631" s="1">
        <v>0.60299768518518515</v>
      </c>
      <c r="E2631" s="2">
        <f>CallLog[[#This Row],[Date]]+CallLog[[#This Row],[Time]]</f>
        <v>44242.602997685186</v>
      </c>
      <c r="F2631" s="1" t="str">
        <f>TEXT(CallLog[[#This Row],[Date]],"dddd")</f>
        <v>Monday</v>
      </c>
      <c r="G2631" s="3">
        <f>HOUR(CallLog[[#This Row],[Time]])</f>
        <v>14</v>
      </c>
      <c r="H2631" t="s">
        <v>17</v>
      </c>
      <c r="I2631" t="s">
        <v>14</v>
      </c>
      <c r="J2631" t="s">
        <v>14</v>
      </c>
      <c r="K2631">
        <v>14</v>
      </c>
      <c r="L2631" t="str">
        <f>IF(AND(CallLog[[#This Row],[Answered (Y/N)]]="Y", CallLog[[#This Row],[Speed of answer in seconds]]&lt;=20),
    "Within",
    "Breach")</f>
        <v>Within</v>
      </c>
      <c r="M2631" s="1">
        <v>8.4490740740740739E-4</v>
      </c>
      <c r="N2631">
        <v>5</v>
      </c>
    </row>
    <row r="2632" spans="1:14" x14ac:dyDescent="0.3">
      <c r="A2632" t="s">
        <v>2701</v>
      </c>
      <c r="B2632" t="s">
        <v>47</v>
      </c>
      <c r="C2632" t="s">
        <v>2665</v>
      </c>
      <c r="D2632" s="1">
        <v>0.60400462962962964</v>
      </c>
      <c r="E2632" s="2">
        <f>CallLog[[#This Row],[Date]]+CallLog[[#This Row],[Time]]</f>
        <v>44242.604004629633</v>
      </c>
      <c r="F2632" s="1" t="str">
        <f>TEXT(CallLog[[#This Row],[Date]],"dddd")</f>
        <v>Monday</v>
      </c>
      <c r="G2632" s="3">
        <f>HOUR(CallLog[[#This Row],[Time]])</f>
        <v>14</v>
      </c>
      <c r="H2632" t="s">
        <v>17</v>
      </c>
      <c r="I2632" t="s">
        <v>14</v>
      </c>
      <c r="J2632" t="s">
        <v>14</v>
      </c>
      <c r="K2632">
        <v>88</v>
      </c>
      <c r="L2632" t="str">
        <f>IF(AND(CallLog[[#This Row],[Answered (Y/N)]]="Y", CallLog[[#This Row],[Speed of answer in seconds]]&lt;=20),
    "Within",
    "Breach")</f>
        <v>Breach</v>
      </c>
      <c r="M2632" s="1">
        <v>7.9861111111111116E-4</v>
      </c>
      <c r="N2632">
        <v>3</v>
      </c>
    </row>
    <row r="2633" spans="1:14" x14ac:dyDescent="0.3">
      <c r="A2633" t="s">
        <v>2702</v>
      </c>
      <c r="B2633" t="s">
        <v>34</v>
      </c>
      <c r="C2633" t="s">
        <v>2665</v>
      </c>
      <c r="D2633" s="1">
        <v>0.60400462962962964</v>
      </c>
      <c r="E2633" s="2">
        <f>CallLog[[#This Row],[Date]]+CallLog[[#This Row],[Time]]</f>
        <v>44242.604004629633</v>
      </c>
      <c r="F2633" s="1" t="str">
        <f>TEXT(CallLog[[#This Row],[Date]],"dddd")</f>
        <v>Monday</v>
      </c>
      <c r="G2633" s="3">
        <f>HOUR(CallLog[[#This Row],[Time]])</f>
        <v>14</v>
      </c>
      <c r="H2633" t="s">
        <v>32</v>
      </c>
      <c r="I2633" t="s">
        <v>14</v>
      </c>
      <c r="J2633" t="s">
        <v>14</v>
      </c>
      <c r="K2633">
        <v>124</v>
      </c>
      <c r="L2633" t="str">
        <f>IF(AND(CallLog[[#This Row],[Answered (Y/N)]]="Y", CallLog[[#This Row],[Speed of answer in seconds]]&lt;=20),
    "Within",
    "Breach")</f>
        <v>Breach</v>
      </c>
      <c r="M2633" s="1">
        <v>6.018518518518519E-4</v>
      </c>
      <c r="N2633">
        <v>4</v>
      </c>
    </row>
    <row r="2634" spans="1:14" x14ac:dyDescent="0.3">
      <c r="A2634" t="s">
        <v>2703</v>
      </c>
      <c r="B2634" t="s">
        <v>11</v>
      </c>
      <c r="C2634" t="s">
        <v>2665</v>
      </c>
      <c r="D2634" s="1">
        <v>0.61400462962962965</v>
      </c>
      <c r="E2634" s="2">
        <f>CallLog[[#This Row],[Date]]+CallLog[[#This Row],[Time]]</f>
        <v>44242.614004629628</v>
      </c>
      <c r="F2634" s="1" t="str">
        <f>TEXT(CallLog[[#This Row],[Date]],"dddd")</f>
        <v>Monday</v>
      </c>
      <c r="G2634" s="3">
        <f>HOUR(CallLog[[#This Row],[Time]])</f>
        <v>14</v>
      </c>
      <c r="H2634" t="s">
        <v>24</v>
      </c>
      <c r="I2634" t="s">
        <v>14</v>
      </c>
      <c r="J2634" t="s">
        <v>14</v>
      </c>
      <c r="K2634">
        <v>18</v>
      </c>
      <c r="L2634" t="str">
        <f>IF(AND(CallLog[[#This Row],[Answered (Y/N)]]="Y", CallLog[[#This Row],[Speed of answer in seconds]]&lt;=20),
    "Within",
    "Breach")</f>
        <v>Within</v>
      </c>
      <c r="M2634" s="1">
        <v>5.5555555555555556E-4</v>
      </c>
      <c r="N2634">
        <v>5</v>
      </c>
    </row>
    <row r="2635" spans="1:14" x14ac:dyDescent="0.3">
      <c r="A2635" t="s">
        <v>2704</v>
      </c>
      <c r="B2635" t="s">
        <v>47</v>
      </c>
      <c r="C2635" t="s">
        <v>2665</v>
      </c>
      <c r="D2635" s="1">
        <v>0.61400462962962965</v>
      </c>
      <c r="E2635" s="2">
        <f>CallLog[[#This Row],[Date]]+CallLog[[#This Row],[Time]]</f>
        <v>44242.614004629628</v>
      </c>
      <c r="F2635" s="1" t="str">
        <f>TEXT(CallLog[[#This Row],[Date]],"dddd")</f>
        <v>Monday</v>
      </c>
      <c r="G2635" s="3">
        <f>HOUR(CallLog[[#This Row],[Time]])</f>
        <v>14</v>
      </c>
      <c r="H2635" t="s">
        <v>29</v>
      </c>
      <c r="I2635" t="s">
        <v>14</v>
      </c>
      <c r="J2635" t="s">
        <v>14</v>
      </c>
      <c r="K2635">
        <v>22</v>
      </c>
      <c r="L2635" t="str">
        <f>IF(AND(CallLog[[#This Row],[Answered (Y/N)]]="Y", CallLog[[#This Row],[Speed of answer in seconds]]&lt;=20),
    "Within",
    "Breach")</f>
        <v>Breach</v>
      </c>
      <c r="M2635" s="1">
        <v>1.4467592592592592E-3</v>
      </c>
      <c r="N2635">
        <v>3</v>
      </c>
    </row>
    <row r="2636" spans="1:14" x14ac:dyDescent="0.3">
      <c r="A2636" t="s">
        <v>2705</v>
      </c>
      <c r="B2636" t="s">
        <v>31</v>
      </c>
      <c r="C2636" t="s">
        <v>2665</v>
      </c>
      <c r="D2636" s="1">
        <v>0.61900462962962965</v>
      </c>
      <c r="E2636" s="2">
        <f>CallLog[[#This Row],[Date]]+CallLog[[#This Row],[Time]]</f>
        <v>44242.619004629632</v>
      </c>
      <c r="F2636" s="1" t="str">
        <f>TEXT(CallLog[[#This Row],[Date]],"dddd")</f>
        <v>Monday</v>
      </c>
      <c r="G2636" s="3">
        <f>HOUR(CallLog[[#This Row],[Time]])</f>
        <v>14</v>
      </c>
      <c r="H2636" t="s">
        <v>17</v>
      </c>
      <c r="I2636" t="s">
        <v>18</v>
      </c>
      <c r="J2636" t="s">
        <v>18</v>
      </c>
      <c r="L2636" t="str">
        <f>IF(AND(CallLog[[#This Row],[Answered (Y/N)]]="Y", CallLog[[#This Row],[Speed of answer in seconds]]&lt;=20),
    "Within",
    "Breach")</f>
        <v>Breach</v>
      </c>
    </row>
    <row r="2637" spans="1:14" x14ac:dyDescent="0.3">
      <c r="A2637" t="s">
        <v>2706</v>
      </c>
      <c r="B2637" t="s">
        <v>16</v>
      </c>
      <c r="C2637" t="s">
        <v>2665</v>
      </c>
      <c r="D2637" s="1">
        <v>0.61900462962962965</v>
      </c>
      <c r="E2637" s="2">
        <f>CallLog[[#This Row],[Date]]+CallLog[[#This Row],[Time]]</f>
        <v>44242.619004629632</v>
      </c>
      <c r="F2637" s="1" t="str">
        <f>TEXT(CallLog[[#This Row],[Date]],"dddd")</f>
        <v>Monday</v>
      </c>
      <c r="G2637" s="3">
        <f>HOUR(CallLog[[#This Row],[Time]])</f>
        <v>14</v>
      </c>
      <c r="H2637" t="s">
        <v>32</v>
      </c>
      <c r="I2637" t="s">
        <v>14</v>
      </c>
      <c r="J2637" t="s">
        <v>14</v>
      </c>
      <c r="K2637">
        <v>94</v>
      </c>
      <c r="L2637" t="str">
        <f>IF(AND(CallLog[[#This Row],[Answered (Y/N)]]="Y", CallLog[[#This Row],[Speed of answer in seconds]]&lt;=20),
    "Within",
    "Breach")</f>
        <v>Breach</v>
      </c>
      <c r="M2637" s="1">
        <v>4.3750000000000004E-3</v>
      </c>
      <c r="N2637">
        <v>5</v>
      </c>
    </row>
    <row r="2638" spans="1:14" x14ac:dyDescent="0.3">
      <c r="A2638" t="s">
        <v>2707</v>
      </c>
      <c r="B2638" t="s">
        <v>16</v>
      </c>
      <c r="C2638" t="s">
        <v>2665</v>
      </c>
      <c r="D2638" s="1">
        <v>0.62299768518518517</v>
      </c>
      <c r="E2638" s="2">
        <f>CallLog[[#This Row],[Date]]+CallLog[[#This Row],[Time]]</f>
        <v>44242.622997685183</v>
      </c>
      <c r="F2638" s="1" t="str">
        <f>TEXT(CallLog[[#This Row],[Date]],"dddd")</f>
        <v>Monday</v>
      </c>
      <c r="G2638" s="3">
        <f>HOUR(CallLog[[#This Row],[Time]])</f>
        <v>14</v>
      </c>
      <c r="H2638" t="s">
        <v>17</v>
      </c>
      <c r="I2638" t="s">
        <v>14</v>
      </c>
      <c r="J2638" t="s">
        <v>18</v>
      </c>
      <c r="K2638">
        <v>54</v>
      </c>
      <c r="L2638" t="str">
        <f>IF(AND(CallLog[[#This Row],[Answered (Y/N)]]="Y", CallLog[[#This Row],[Speed of answer in seconds]]&lt;=20),
    "Within",
    "Breach")</f>
        <v>Breach</v>
      </c>
      <c r="M2638" s="1">
        <v>2.5000000000000001E-3</v>
      </c>
      <c r="N2638">
        <v>3</v>
      </c>
    </row>
    <row r="2639" spans="1:14" x14ac:dyDescent="0.3">
      <c r="A2639" t="s">
        <v>2708</v>
      </c>
      <c r="B2639" t="s">
        <v>22</v>
      </c>
      <c r="C2639" t="s">
        <v>2665</v>
      </c>
      <c r="D2639" s="1">
        <v>0.62299768518518517</v>
      </c>
      <c r="E2639" s="2">
        <f>CallLog[[#This Row],[Date]]+CallLog[[#This Row],[Time]]</f>
        <v>44242.622997685183</v>
      </c>
      <c r="F2639" s="1" t="str">
        <f>TEXT(CallLog[[#This Row],[Date]],"dddd")</f>
        <v>Monday</v>
      </c>
      <c r="G2639" s="3">
        <f>HOUR(CallLog[[#This Row],[Time]])</f>
        <v>14</v>
      </c>
      <c r="H2639" t="s">
        <v>13</v>
      </c>
      <c r="I2639" t="s">
        <v>14</v>
      </c>
      <c r="J2639" t="s">
        <v>18</v>
      </c>
      <c r="K2639">
        <v>44</v>
      </c>
      <c r="L2639" t="str">
        <f>IF(AND(CallLog[[#This Row],[Answered (Y/N)]]="Y", CallLog[[#This Row],[Speed of answer in seconds]]&lt;=20),
    "Within",
    "Breach")</f>
        <v>Breach</v>
      </c>
      <c r="M2639" s="1">
        <v>2.2800925925925927E-3</v>
      </c>
      <c r="N2639">
        <v>5</v>
      </c>
    </row>
    <row r="2640" spans="1:14" x14ac:dyDescent="0.3">
      <c r="A2640" t="s">
        <v>2709</v>
      </c>
      <c r="B2640" t="s">
        <v>22</v>
      </c>
      <c r="C2640" t="s">
        <v>2665</v>
      </c>
      <c r="D2640" s="1">
        <v>0.65700231481481486</v>
      </c>
      <c r="E2640" s="2">
        <f>CallLog[[#This Row],[Date]]+CallLog[[#This Row],[Time]]</f>
        <v>44242.657002314816</v>
      </c>
      <c r="F2640" s="1" t="str">
        <f>TEXT(CallLog[[#This Row],[Date]],"dddd")</f>
        <v>Monday</v>
      </c>
      <c r="G2640" s="3">
        <f>HOUR(CallLog[[#This Row],[Time]])</f>
        <v>15</v>
      </c>
      <c r="H2640" t="s">
        <v>29</v>
      </c>
      <c r="I2640" t="s">
        <v>14</v>
      </c>
      <c r="J2640" t="s">
        <v>14</v>
      </c>
      <c r="K2640">
        <v>28</v>
      </c>
      <c r="L2640" t="str">
        <f>IF(AND(CallLog[[#This Row],[Answered (Y/N)]]="Y", CallLog[[#This Row],[Speed of answer in seconds]]&lt;=20),
    "Within",
    "Breach")</f>
        <v>Breach</v>
      </c>
      <c r="M2640" s="1">
        <v>3.0439814814814813E-3</v>
      </c>
      <c r="N2640">
        <v>3</v>
      </c>
    </row>
    <row r="2641" spans="1:14" x14ac:dyDescent="0.3">
      <c r="A2641" t="s">
        <v>2710</v>
      </c>
      <c r="B2641" t="s">
        <v>31</v>
      </c>
      <c r="C2641" t="s">
        <v>2665</v>
      </c>
      <c r="D2641" s="1">
        <v>0.65700231481481486</v>
      </c>
      <c r="E2641" s="2">
        <f>CallLog[[#This Row],[Date]]+CallLog[[#This Row],[Time]]</f>
        <v>44242.657002314816</v>
      </c>
      <c r="F2641" s="1" t="str">
        <f>TEXT(CallLog[[#This Row],[Date]],"dddd")</f>
        <v>Monday</v>
      </c>
      <c r="G2641" s="3">
        <f>HOUR(CallLog[[#This Row],[Time]])</f>
        <v>15</v>
      </c>
      <c r="H2641" t="s">
        <v>24</v>
      </c>
      <c r="I2641" t="s">
        <v>14</v>
      </c>
      <c r="J2641" t="s">
        <v>14</v>
      </c>
      <c r="K2641">
        <v>103</v>
      </c>
      <c r="L2641" t="str">
        <f>IF(AND(CallLog[[#This Row],[Answered (Y/N)]]="Y", CallLog[[#This Row],[Speed of answer in seconds]]&lt;=20),
    "Within",
    "Breach")</f>
        <v>Breach</v>
      </c>
      <c r="M2641" s="1">
        <v>2.2222222222222222E-3</v>
      </c>
      <c r="N2641">
        <v>3</v>
      </c>
    </row>
    <row r="2642" spans="1:14" x14ac:dyDescent="0.3">
      <c r="A2642" t="s">
        <v>2711</v>
      </c>
      <c r="B2642" t="s">
        <v>34</v>
      </c>
      <c r="C2642" t="s">
        <v>2665</v>
      </c>
      <c r="D2642" s="1">
        <v>0.6579976851851852</v>
      </c>
      <c r="E2642" s="2">
        <f>CallLog[[#This Row],[Date]]+CallLog[[#This Row],[Time]]</f>
        <v>44242.657997685186</v>
      </c>
      <c r="F2642" s="1" t="str">
        <f>TEXT(CallLog[[#This Row],[Date]],"dddd")</f>
        <v>Monday</v>
      </c>
      <c r="G2642" s="3">
        <f>HOUR(CallLog[[#This Row],[Time]])</f>
        <v>15</v>
      </c>
      <c r="H2642" t="s">
        <v>17</v>
      </c>
      <c r="I2642" t="s">
        <v>14</v>
      </c>
      <c r="J2642" t="s">
        <v>14</v>
      </c>
      <c r="K2642">
        <v>25</v>
      </c>
      <c r="L2642" t="str">
        <f>IF(AND(CallLog[[#This Row],[Answered (Y/N)]]="Y", CallLog[[#This Row],[Speed of answer in seconds]]&lt;=20),
    "Within",
    "Breach")</f>
        <v>Breach</v>
      </c>
      <c r="M2642" s="1">
        <v>5.4398148148148144E-4</v>
      </c>
      <c r="N2642">
        <v>4</v>
      </c>
    </row>
    <row r="2643" spans="1:14" x14ac:dyDescent="0.3">
      <c r="A2643" t="s">
        <v>2712</v>
      </c>
      <c r="B2643" t="s">
        <v>16</v>
      </c>
      <c r="C2643" t="s">
        <v>2665</v>
      </c>
      <c r="D2643" s="1">
        <v>0.6579976851851852</v>
      </c>
      <c r="E2643" s="2">
        <f>CallLog[[#This Row],[Date]]+CallLog[[#This Row],[Time]]</f>
        <v>44242.657997685186</v>
      </c>
      <c r="F2643" s="1" t="str">
        <f>TEXT(CallLog[[#This Row],[Date]],"dddd")</f>
        <v>Monday</v>
      </c>
      <c r="G2643" s="3">
        <f>HOUR(CallLog[[#This Row],[Time]])</f>
        <v>15</v>
      </c>
      <c r="H2643" t="s">
        <v>32</v>
      </c>
      <c r="I2643" t="s">
        <v>18</v>
      </c>
      <c r="J2643" t="s">
        <v>18</v>
      </c>
      <c r="L2643" t="str">
        <f>IF(AND(CallLog[[#This Row],[Answered (Y/N)]]="Y", CallLog[[#This Row],[Speed of answer in seconds]]&lt;=20),
    "Within",
    "Breach")</f>
        <v>Breach</v>
      </c>
    </row>
    <row r="2644" spans="1:14" x14ac:dyDescent="0.3">
      <c r="A2644" t="s">
        <v>2713</v>
      </c>
      <c r="B2644" t="s">
        <v>31</v>
      </c>
      <c r="C2644" t="s">
        <v>2665</v>
      </c>
      <c r="D2644" s="1">
        <v>0.66799768518518521</v>
      </c>
      <c r="E2644" s="2">
        <f>CallLog[[#This Row],[Date]]+CallLog[[#This Row],[Time]]</f>
        <v>44242.667997685188</v>
      </c>
      <c r="F2644" s="1" t="str">
        <f>TEXT(CallLog[[#This Row],[Date]],"dddd")</f>
        <v>Monday</v>
      </c>
      <c r="G2644" s="3">
        <f>HOUR(CallLog[[#This Row],[Time]])</f>
        <v>16</v>
      </c>
      <c r="H2644" t="s">
        <v>32</v>
      </c>
      <c r="I2644" t="s">
        <v>14</v>
      </c>
      <c r="J2644" t="s">
        <v>14</v>
      </c>
      <c r="K2644">
        <v>84</v>
      </c>
      <c r="L2644" t="str">
        <f>IF(AND(CallLog[[#This Row],[Answered (Y/N)]]="Y", CallLog[[#This Row],[Speed of answer in seconds]]&lt;=20),
    "Within",
    "Breach")</f>
        <v>Breach</v>
      </c>
      <c r="M2644" s="1">
        <v>2.8935185185185184E-3</v>
      </c>
      <c r="N2644">
        <v>3</v>
      </c>
    </row>
    <row r="2645" spans="1:14" x14ac:dyDescent="0.3">
      <c r="A2645" t="s">
        <v>2714</v>
      </c>
      <c r="B2645" t="s">
        <v>47</v>
      </c>
      <c r="C2645" t="s">
        <v>2665</v>
      </c>
      <c r="D2645" s="1">
        <v>0.66799768518518521</v>
      </c>
      <c r="E2645" s="2">
        <f>CallLog[[#This Row],[Date]]+CallLog[[#This Row],[Time]]</f>
        <v>44242.667997685188</v>
      </c>
      <c r="F2645" s="1" t="str">
        <f>TEXT(CallLog[[#This Row],[Date]],"dddd")</f>
        <v>Monday</v>
      </c>
      <c r="G2645" s="3">
        <f>HOUR(CallLog[[#This Row],[Time]])</f>
        <v>16</v>
      </c>
      <c r="H2645" t="s">
        <v>32</v>
      </c>
      <c r="I2645" t="s">
        <v>14</v>
      </c>
      <c r="J2645" t="s">
        <v>14</v>
      </c>
      <c r="K2645">
        <v>36</v>
      </c>
      <c r="L2645" t="str">
        <f>IF(AND(CallLog[[#This Row],[Answered (Y/N)]]="Y", CallLog[[#This Row],[Speed of answer in seconds]]&lt;=20),
    "Within",
    "Breach")</f>
        <v>Breach</v>
      </c>
      <c r="M2645" s="1">
        <v>2.7430555555555554E-3</v>
      </c>
      <c r="N2645">
        <v>4</v>
      </c>
    </row>
    <row r="2646" spans="1:14" x14ac:dyDescent="0.3">
      <c r="A2646" t="s">
        <v>2715</v>
      </c>
      <c r="B2646" t="s">
        <v>16</v>
      </c>
      <c r="C2646" t="s">
        <v>2665</v>
      </c>
      <c r="D2646" s="1">
        <v>0.71599537037037042</v>
      </c>
      <c r="E2646" s="2">
        <f>CallLog[[#This Row],[Date]]+CallLog[[#This Row],[Time]]</f>
        <v>44242.715995370374</v>
      </c>
      <c r="F2646" s="1" t="str">
        <f>TEXT(CallLog[[#This Row],[Date]],"dddd")</f>
        <v>Monday</v>
      </c>
      <c r="G2646" s="3">
        <f>HOUR(CallLog[[#This Row],[Time]])</f>
        <v>17</v>
      </c>
      <c r="H2646" t="s">
        <v>24</v>
      </c>
      <c r="I2646" t="s">
        <v>18</v>
      </c>
      <c r="J2646" t="s">
        <v>18</v>
      </c>
      <c r="L2646" t="str">
        <f>IF(AND(CallLog[[#This Row],[Answered (Y/N)]]="Y", CallLog[[#This Row],[Speed of answer in seconds]]&lt;=20),
    "Within",
    "Breach")</f>
        <v>Breach</v>
      </c>
    </row>
    <row r="2647" spans="1:14" x14ac:dyDescent="0.3">
      <c r="A2647" t="s">
        <v>2716</v>
      </c>
      <c r="B2647" t="s">
        <v>20</v>
      </c>
      <c r="C2647" t="s">
        <v>2665</v>
      </c>
      <c r="D2647" s="1">
        <v>0.71599537037037042</v>
      </c>
      <c r="E2647" s="2">
        <f>CallLog[[#This Row],[Date]]+CallLog[[#This Row],[Time]]</f>
        <v>44242.715995370374</v>
      </c>
      <c r="F2647" s="1" t="str">
        <f>TEXT(CallLog[[#This Row],[Date]],"dddd")</f>
        <v>Monday</v>
      </c>
      <c r="G2647" s="3">
        <f>HOUR(CallLog[[#This Row],[Time]])</f>
        <v>17</v>
      </c>
      <c r="H2647" t="s">
        <v>24</v>
      </c>
      <c r="I2647" t="s">
        <v>14</v>
      </c>
      <c r="J2647" t="s">
        <v>14</v>
      </c>
      <c r="K2647">
        <v>42</v>
      </c>
      <c r="L2647" t="str">
        <f>IF(AND(CallLog[[#This Row],[Answered (Y/N)]]="Y", CallLog[[#This Row],[Speed of answer in seconds]]&lt;=20),
    "Within",
    "Breach")</f>
        <v>Breach</v>
      </c>
      <c r="M2647" s="1">
        <v>2.5578703703703705E-3</v>
      </c>
      <c r="N2647">
        <v>4</v>
      </c>
    </row>
    <row r="2648" spans="1:14" x14ac:dyDescent="0.3">
      <c r="A2648" t="s">
        <v>2717</v>
      </c>
      <c r="B2648" t="s">
        <v>47</v>
      </c>
      <c r="C2648" t="s">
        <v>2665</v>
      </c>
      <c r="D2648" s="1">
        <v>0.72099537037037043</v>
      </c>
      <c r="E2648" s="2">
        <f>CallLog[[#This Row],[Date]]+CallLog[[#This Row],[Time]]</f>
        <v>44242.720995370371</v>
      </c>
      <c r="F2648" s="1" t="str">
        <f>TEXT(CallLog[[#This Row],[Date]],"dddd")</f>
        <v>Monday</v>
      </c>
      <c r="G2648" s="3">
        <f>HOUR(CallLog[[#This Row],[Time]])</f>
        <v>17</v>
      </c>
      <c r="H2648" t="s">
        <v>32</v>
      </c>
      <c r="I2648" t="s">
        <v>14</v>
      </c>
      <c r="J2648" t="s">
        <v>14</v>
      </c>
      <c r="K2648">
        <v>124</v>
      </c>
      <c r="L2648" t="str">
        <f>IF(AND(CallLog[[#This Row],[Answered (Y/N)]]="Y", CallLog[[#This Row],[Speed of answer in seconds]]&lt;=20),
    "Within",
    "Breach")</f>
        <v>Breach</v>
      </c>
      <c r="M2648" s="1">
        <v>2.673611111111111E-3</v>
      </c>
      <c r="N2648">
        <v>3</v>
      </c>
    </row>
    <row r="2649" spans="1:14" x14ac:dyDescent="0.3">
      <c r="A2649" t="s">
        <v>2718</v>
      </c>
      <c r="B2649" t="s">
        <v>20</v>
      </c>
      <c r="C2649" t="s">
        <v>2665</v>
      </c>
      <c r="D2649" s="1">
        <v>0.72099537037037043</v>
      </c>
      <c r="E2649" s="2">
        <f>CallLog[[#This Row],[Date]]+CallLog[[#This Row],[Time]]</f>
        <v>44242.720995370371</v>
      </c>
      <c r="F2649" s="1" t="str">
        <f>TEXT(CallLog[[#This Row],[Date]],"dddd")</f>
        <v>Monday</v>
      </c>
      <c r="G2649" s="3">
        <f>HOUR(CallLog[[#This Row],[Time]])</f>
        <v>17</v>
      </c>
      <c r="H2649" t="s">
        <v>17</v>
      </c>
      <c r="I2649" t="s">
        <v>14</v>
      </c>
      <c r="J2649" t="s">
        <v>14</v>
      </c>
      <c r="K2649">
        <v>99</v>
      </c>
      <c r="L2649" t="str">
        <f>IF(AND(CallLog[[#This Row],[Answered (Y/N)]]="Y", CallLog[[#This Row],[Speed of answer in seconds]]&lt;=20),
    "Within",
    "Breach")</f>
        <v>Breach</v>
      </c>
      <c r="M2649" s="1">
        <v>2.5462962962962965E-3</v>
      </c>
      <c r="N2649">
        <v>5</v>
      </c>
    </row>
    <row r="2650" spans="1:14" x14ac:dyDescent="0.3">
      <c r="A2650" t="s">
        <v>2719</v>
      </c>
      <c r="B2650" t="s">
        <v>11</v>
      </c>
      <c r="C2650" t="s">
        <v>2665</v>
      </c>
      <c r="D2650" s="1">
        <v>0.72200231481481481</v>
      </c>
      <c r="E2650" s="2">
        <f>CallLog[[#This Row],[Date]]+CallLog[[#This Row],[Time]]</f>
        <v>44242.722002314818</v>
      </c>
      <c r="F2650" s="1" t="str">
        <f>TEXT(CallLog[[#This Row],[Date]],"dddd")</f>
        <v>Monday</v>
      </c>
      <c r="G2650" s="3">
        <f>HOUR(CallLog[[#This Row],[Time]])</f>
        <v>17</v>
      </c>
      <c r="H2650" t="s">
        <v>32</v>
      </c>
      <c r="I2650" t="s">
        <v>14</v>
      </c>
      <c r="J2650" t="s">
        <v>14</v>
      </c>
      <c r="K2650">
        <v>124</v>
      </c>
      <c r="L2650" t="str">
        <f>IF(AND(CallLog[[#This Row],[Answered (Y/N)]]="Y", CallLog[[#This Row],[Speed of answer in seconds]]&lt;=20),
    "Within",
    "Breach")</f>
        <v>Breach</v>
      </c>
      <c r="M2650" s="1">
        <v>3.0439814814814813E-3</v>
      </c>
      <c r="N2650">
        <v>5</v>
      </c>
    </row>
    <row r="2651" spans="1:14" x14ac:dyDescent="0.3">
      <c r="A2651" t="s">
        <v>2720</v>
      </c>
      <c r="B2651" t="s">
        <v>22</v>
      </c>
      <c r="C2651" t="s">
        <v>2665</v>
      </c>
      <c r="D2651" s="1">
        <v>0.72200231481481481</v>
      </c>
      <c r="E2651" s="2">
        <f>CallLog[[#This Row],[Date]]+CallLog[[#This Row],[Time]]</f>
        <v>44242.722002314818</v>
      </c>
      <c r="F2651" s="1" t="str">
        <f>TEXT(CallLog[[#This Row],[Date]],"dddd")</f>
        <v>Monday</v>
      </c>
      <c r="G2651" s="3">
        <f>HOUR(CallLog[[#This Row],[Time]])</f>
        <v>17</v>
      </c>
      <c r="H2651" t="s">
        <v>29</v>
      </c>
      <c r="I2651" t="s">
        <v>14</v>
      </c>
      <c r="J2651" t="s">
        <v>14</v>
      </c>
      <c r="K2651">
        <v>55</v>
      </c>
      <c r="L2651" t="str">
        <f>IF(AND(CallLog[[#This Row],[Answered (Y/N)]]="Y", CallLog[[#This Row],[Speed of answer in seconds]]&lt;=20),
    "Within",
    "Breach")</f>
        <v>Breach</v>
      </c>
      <c r="M2651" s="1">
        <v>4.4560185185185189E-3</v>
      </c>
      <c r="N2651">
        <v>5</v>
      </c>
    </row>
    <row r="2652" spans="1:14" x14ac:dyDescent="0.3">
      <c r="A2652" t="s">
        <v>2721</v>
      </c>
      <c r="B2652" t="s">
        <v>47</v>
      </c>
      <c r="C2652" t="s">
        <v>2665</v>
      </c>
      <c r="D2652" s="1">
        <v>0.74</v>
      </c>
      <c r="E2652" s="2">
        <f>CallLog[[#This Row],[Date]]+CallLog[[#This Row],[Time]]</f>
        <v>44242.74</v>
      </c>
      <c r="F2652" s="1" t="str">
        <f>TEXT(CallLog[[#This Row],[Date]],"dddd")</f>
        <v>Monday</v>
      </c>
      <c r="G2652" s="3">
        <f>HOUR(CallLog[[#This Row],[Time]])</f>
        <v>17</v>
      </c>
      <c r="H2652" t="s">
        <v>29</v>
      </c>
      <c r="I2652" t="s">
        <v>18</v>
      </c>
      <c r="J2652" t="s">
        <v>18</v>
      </c>
      <c r="L2652" t="str">
        <f>IF(AND(CallLog[[#This Row],[Answered (Y/N)]]="Y", CallLog[[#This Row],[Speed of answer in seconds]]&lt;=20),
    "Within",
    "Breach")</f>
        <v>Breach</v>
      </c>
    </row>
    <row r="2653" spans="1:14" x14ac:dyDescent="0.3">
      <c r="A2653" t="s">
        <v>2722</v>
      </c>
      <c r="B2653" t="s">
        <v>31</v>
      </c>
      <c r="C2653" t="s">
        <v>2665</v>
      </c>
      <c r="D2653" s="1">
        <v>0.74</v>
      </c>
      <c r="E2653" s="2">
        <f>CallLog[[#This Row],[Date]]+CallLog[[#This Row],[Time]]</f>
        <v>44242.74</v>
      </c>
      <c r="F2653" s="1" t="str">
        <f>TEXT(CallLog[[#This Row],[Date]],"dddd")</f>
        <v>Monday</v>
      </c>
      <c r="G2653" s="3">
        <f>HOUR(CallLog[[#This Row],[Time]])</f>
        <v>17</v>
      </c>
      <c r="H2653" t="s">
        <v>24</v>
      </c>
      <c r="I2653" t="s">
        <v>18</v>
      </c>
      <c r="J2653" t="s">
        <v>18</v>
      </c>
      <c r="L2653" t="str">
        <f>IF(AND(CallLog[[#This Row],[Answered (Y/N)]]="Y", CallLog[[#This Row],[Speed of answer in seconds]]&lt;=20),
    "Within",
    "Breach")</f>
        <v>Breach</v>
      </c>
    </row>
    <row r="2654" spans="1:14" x14ac:dyDescent="0.3">
      <c r="A2654" t="s">
        <v>2723</v>
      </c>
      <c r="B2654" t="s">
        <v>22</v>
      </c>
      <c r="C2654" t="s">
        <v>2724</v>
      </c>
      <c r="D2654" s="1">
        <v>0.38</v>
      </c>
      <c r="E2654" s="2">
        <f>CallLog[[#This Row],[Date]]+CallLog[[#This Row],[Time]]</f>
        <v>44243.38</v>
      </c>
      <c r="F2654" s="1" t="str">
        <f>TEXT(CallLog[[#This Row],[Date]],"dddd")</f>
        <v>Tuesday</v>
      </c>
      <c r="G2654" s="3">
        <f>HOUR(CallLog[[#This Row],[Time]])</f>
        <v>9</v>
      </c>
      <c r="H2654" t="s">
        <v>29</v>
      </c>
      <c r="I2654" t="s">
        <v>14</v>
      </c>
      <c r="J2654" t="s">
        <v>14</v>
      </c>
      <c r="K2654">
        <v>64</v>
      </c>
      <c r="L2654" t="str">
        <f>IF(AND(CallLog[[#This Row],[Answered (Y/N)]]="Y", CallLog[[#This Row],[Speed of answer in seconds]]&lt;=20),
    "Within",
    "Breach")</f>
        <v>Breach</v>
      </c>
      <c r="M2654" s="1">
        <v>3.5416666666666665E-3</v>
      </c>
      <c r="N2654">
        <v>2</v>
      </c>
    </row>
    <row r="2655" spans="1:14" x14ac:dyDescent="0.3">
      <c r="A2655" t="s">
        <v>2725</v>
      </c>
      <c r="B2655" t="s">
        <v>11</v>
      </c>
      <c r="C2655" t="s">
        <v>2724</v>
      </c>
      <c r="D2655" s="1">
        <v>0.38</v>
      </c>
      <c r="E2655" s="2">
        <f>CallLog[[#This Row],[Date]]+CallLog[[#This Row],[Time]]</f>
        <v>44243.38</v>
      </c>
      <c r="F2655" s="1" t="str">
        <f>TEXT(CallLog[[#This Row],[Date]],"dddd")</f>
        <v>Tuesday</v>
      </c>
      <c r="G2655" s="3">
        <f>HOUR(CallLog[[#This Row],[Time]])</f>
        <v>9</v>
      </c>
      <c r="H2655" t="s">
        <v>17</v>
      </c>
      <c r="I2655" t="s">
        <v>14</v>
      </c>
      <c r="J2655" t="s">
        <v>14</v>
      </c>
      <c r="K2655">
        <v>82</v>
      </c>
      <c r="L2655" t="str">
        <f>IF(AND(CallLog[[#This Row],[Answered (Y/N)]]="Y", CallLog[[#This Row],[Speed of answer in seconds]]&lt;=20),
    "Within",
    "Breach")</f>
        <v>Breach</v>
      </c>
      <c r="M2655" s="1">
        <v>3.4027777777777776E-3</v>
      </c>
      <c r="N2655">
        <v>2</v>
      </c>
    </row>
    <row r="2656" spans="1:14" x14ac:dyDescent="0.3">
      <c r="A2656" t="s">
        <v>2726</v>
      </c>
      <c r="B2656" t="s">
        <v>11</v>
      </c>
      <c r="C2656" t="s">
        <v>2724</v>
      </c>
      <c r="D2656" s="1">
        <v>0.42</v>
      </c>
      <c r="E2656" s="2">
        <f>CallLog[[#This Row],[Date]]+CallLog[[#This Row],[Time]]</f>
        <v>44243.42</v>
      </c>
      <c r="F2656" s="1" t="str">
        <f>TEXT(CallLog[[#This Row],[Date]],"dddd")</f>
        <v>Tuesday</v>
      </c>
      <c r="G2656" s="3">
        <f>HOUR(CallLog[[#This Row],[Time]])</f>
        <v>10</v>
      </c>
      <c r="H2656" t="s">
        <v>32</v>
      </c>
      <c r="I2656" t="s">
        <v>14</v>
      </c>
      <c r="J2656" t="s">
        <v>14</v>
      </c>
      <c r="K2656">
        <v>50</v>
      </c>
      <c r="L2656" t="str">
        <f>IF(AND(CallLog[[#This Row],[Answered (Y/N)]]="Y", CallLog[[#This Row],[Speed of answer in seconds]]&lt;=20),
    "Within",
    "Breach")</f>
        <v>Breach</v>
      </c>
      <c r="M2656" s="1">
        <v>2.3032407407407407E-3</v>
      </c>
      <c r="N2656">
        <v>4</v>
      </c>
    </row>
    <row r="2657" spans="1:14" x14ac:dyDescent="0.3">
      <c r="A2657" t="s">
        <v>2727</v>
      </c>
      <c r="B2657" t="s">
        <v>20</v>
      </c>
      <c r="C2657" t="s">
        <v>2724</v>
      </c>
      <c r="D2657" s="1">
        <v>0.42</v>
      </c>
      <c r="E2657" s="2">
        <f>CallLog[[#This Row],[Date]]+CallLog[[#This Row],[Time]]</f>
        <v>44243.42</v>
      </c>
      <c r="F2657" s="1" t="str">
        <f>TEXT(CallLog[[#This Row],[Date]],"dddd")</f>
        <v>Tuesday</v>
      </c>
      <c r="G2657" s="3">
        <f>HOUR(CallLog[[#This Row],[Time]])</f>
        <v>10</v>
      </c>
      <c r="H2657" t="s">
        <v>13</v>
      </c>
      <c r="I2657" t="s">
        <v>14</v>
      </c>
      <c r="J2657" t="s">
        <v>14</v>
      </c>
      <c r="K2657">
        <v>100</v>
      </c>
      <c r="L2657" t="str">
        <f>IF(AND(CallLog[[#This Row],[Answered (Y/N)]]="Y", CallLog[[#This Row],[Speed of answer in seconds]]&lt;=20),
    "Within",
    "Breach")</f>
        <v>Breach</v>
      </c>
      <c r="M2657" s="1">
        <v>2.5694444444444445E-3</v>
      </c>
      <c r="N2657">
        <v>4</v>
      </c>
    </row>
    <row r="2658" spans="1:14" x14ac:dyDescent="0.3">
      <c r="A2658" t="s">
        <v>2728</v>
      </c>
      <c r="B2658" t="s">
        <v>31</v>
      </c>
      <c r="C2658" t="s">
        <v>2724</v>
      </c>
      <c r="D2658" s="1">
        <v>0.43299768518518517</v>
      </c>
      <c r="E2658" s="2">
        <f>CallLog[[#This Row],[Date]]+CallLog[[#This Row],[Time]]</f>
        <v>44243.432997685188</v>
      </c>
      <c r="F2658" s="1" t="str">
        <f>TEXT(CallLog[[#This Row],[Date]],"dddd")</f>
        <v>Tuesday</v>
      </c>
      <c r="G2658" s="3">
        <f>HOUR(CallLog[[#This Row],[Time]])</f>
        <v>10</v>
      </c>
      <c r="H2658" t="s">
        <v>29</v>
      </c>
      <c r="I2658" t="s">
        <v>14</v>
      </c>
      <c r="J2658" t="s">
        <v>14</v>
      </c>
      <c r="K2658">
        <v>26</v>
      </c>
      <c r="L2658" t="str">
        <f>IF(AND(CallLog[[#This Row],[Answered (Y/N)]]="Y", CallLog[[#This Row],[Speed of answer in seconds]]&lt;=20),
    "Within",
    "Breach")</f>
        <v>Breach</v>
      </c>
      <c r="M2658" s="1">
        <v>4.7916666666666663E-3</v>
      </c>
      <c r="N2658">
        <v>3</v>
      </c>
    </row>
    <row r="2659" spans="1:14" x14ac:dyDescent="0.3">
      <c r="A2659" t="s">
        <v>2729</v>
      </c>
      <c r="B2659" t="s">
        <v>47</v>
      </c>
      <c r="C2659" t="s">
        <v>2724</v>
      </c>
      <c r="D2659" s="1">
        <v>0.43299768518518517</v>
      </c>
      <c r="E2659" s="2">
        <f>CallLog[[#This Row],[Date]]+CallLog[[#This Row],[Time]]</f>
        <v>44243.432997685188</v>
      </c>
      <c r="F2659" s="1" t="str">
        <f>TEXT(CallLog[[#This Row],[Date]],"dddd")</f>
        <v>Tuesday</v>
      </c>
      <c r="G2659" s="3">
        <f>HOUR(CallLog[[#This Row],[Time]])</f>
        <v>10</v>
      </c>
      <c r="H2659" t="s">
        <v>24</v>
      </c>
      <c r="I2659" t="s">
        <v>14</v>
      </c>
      <c r="J2659" t="s">
        <v>14</v>
      </c>
      <c r="K2659">
        <v>75</v>
      </c>
      <c r="L2659" t="str">
        <f>IF(AND(CallLog[[#This Row],[Answered (Y/N)]]="Y", CallLog[[#This Row],[Speed of answer in seconds]]&lt;=20),
    "Within",
    "Breach")</f>
        <v>Breach</v>
      </c>
      <c r="M2659" s="1">
        <v>2.9398148148148148E-3</v>
      </c>
      <c r="N2659">
        <v>2</v>
      </c>
    </row>
    <row r="2660" spans="1:14" x14ac:dyDescent="0.3">
      <c r="A2660" t="s">
        <v>2730</v>
      </c>
      <c r="B2660" t="s">
        <v>22</v>
      </c>
      <c r="C2660" t="s">
        <v>2724</v>
      </c>
      <c r="D2660" s="1">
        <v>0.43799768518518517</v>
      </c>
      <c r="E2660" s="2">
        <f>CallLog[[#This Row],[Date]]+CallLog[[#This Row],[Time]]</f>
        <v>44243.437997685185</v>
      </c>
      <c r="F2660" s="1" t="str">
        <f>TEXT(CallLog[[#This Row],[Date]],"dddd")</f>
        <v>Tuesday</v>
      </c>
      <c r="G2660" s="3">
        <f>HOUR(CallLog[[#This Row],[Time]])</f>
        <v>10</v>
      </c>
      <c r="H2660" t="s">
        <v>17</v>
      </c>
      <c r="I2660" t="s">
        <v>14</v>
      </c>
      <c r="J2660" t="s">
        <v>14</v>
      </c>
      <c r="K2660">
        <v>26</v>
      </c>
      <c r="L2660" t="str">
        <f>IF(AND(CallLog[[#This Row],[Answered (Y/N)]]="Y", CallLog[[#This Row],[Speed of answer in seconds]]&lt;=20),
    "Within",
    "Breach")</f>
        <v>Breach</v>
      </c>
      <c r="M2660" s="1">
        <v>4.4907407407407405E-3</v>
      </c>
      <c r="N2660">
        <v>3</v>
      </c>
    </row>
    <row r="2661" spans="1:14" x14ac:dyDescent="0.3">
      <c r="A2661" t="s">
        <v>2731</v>
      </c>
      <c r="B2661" t="s">
        <v>47</v>
      </c>
      <c r="C2661" t="s">
        <v>2724</v>
      </c>
      <c r="D2661" s="1">
        <v>0.43799768518518517</v>
      </c>
      <c r="E2661" s="2">
        <f>CallLog[[#This Row],[Date]]+CallLog[[#This Row],[Time]]</f>
        <v>44243.437997685185</v>
      </c>
      <c r="F2661" s="1" t="str">
        <f>TEXT(CallLog[[#This Row],[Date]],"dddd")</f>
        <v>Tuesday</v>
      </c>
      <c r="G2661" s="3">
        <f>HOUR(CallLog[[#This Row],[Time]])</f>
        <v>10</v>
      </c>
      <c r="H2661" t="s">
        <v>24</v>
      </c>
      <c r="I2661" t="s">
        <v>14</v>
      </c>
      <c r="J2661" t="s">
        <v>14</v>
      </c>
      <c r="K2661">
        <v>21</v>
      </c>
      <c r="L2661" t="str">
        <f>IF(AND(CallLog[[#This Row],[Answered (Y/N)]]="Y", CallLog[[#This Row],[Speed of answer in seconds]]&lt;=20),
    "Within",
    "Breach")</f>
        <v>Breach</v>
      </c>
      <c r="M2661" s="1">
        <v>3.5648148148148149E-3</v>
      </c>
      <c r="N2661">
        <v>3</v>
      </c>
    </row>
    <row r="2662" spans="1:14" x14ac:dyDescent="0.3">
      <c r="A2662" t="s">
        <v>2732</v>
      </c>
      <c r="B2662" t="s">
        <v>20</v>
      </c>
      <c r="C2662" t="s">
        <v>2724</v>
      </c>
      <c r="D2662" s="1">
        <v>0.43799768518518517</v>
      </c>
      <c r="E2662" s="2">
        <f>CallLog[[#This Row],[Date]]+CallLog[[#This Row],[Time]]</f>
        <v>44243.437997685185</v>
      </c>
      <c r="F2662" s="1" t="str">
        <f>TEXT(CallLog[[#This Row],[Date]],"dddd")</f>
        <v>Tuesday</v>
      </c>
      <c r="G2662" s="3">
        <f>HOUR(CallLog[[#This Row],[Time]])</f>
        <v>10</v>
      </c>
      <c r="H2662" t="s">
        <v>29</v>
      </c>
      <c r="I2662" t="s">
        <v>14</v>
      </c>
      <c r="J2662" t="s">
        <v>14</v>
      </c>
      <c r="K2662">
        <v>53</v>
      </c>
      <c r="L2662" t="str">
        <f>IF(AND(CallLog[[#This Row],[Answered (Y/N)]]="Y", CallLog[[#This Row],[Speed of answer in seconds]]&lt;=20),
    "Within",
    "Breach")</f>
        <v>Breach</v>
      </c>
      <c r="M2662" s="1">
        <v>3.5879629629629629E-4</v>
      </c>
      <c r="N2662">
        <v>1</v>
      </c>
    </row>
    <row r="2663" spans="1:14" x14ac:dyDescent="0.3">
      <c r="A2663" t="s">
        <v>2733</v>
      </c>
      <c r="B2663" t="s">
        <v>22</v>
      </c>
      <c r="C2663" t="s">
        <v>2724</v>
      </c>
      <c r="D2663" s="1">
        <v>0.43799768518518517</v>
      </c>
      <c r="E2663" s="2">
        <f>CallLog[[#This Row],[Date]]+CallLog[[#This Row],[Time]]</f>
        <v>44243.437997685185</v>
      </c>
      <c r="F2663" s="1" t="str">
        <f>TEXT(CallLog[[#This Row],[Date]],"dddd")</f>
        <v>Tuesday</v>
      </c>
      <c r="G2663" s="3">
        <f>HOUR(CallLog[[#This Row],[Time]])</f>
        <v>10</v>
      </c>
      <c r="H2663" t="s">
        <v>32</v>
      </c>
      <c r="I2663" t="s">
        <v>14</v>
      </c>
      <c r="J2663" t="s">
        <v>14</v>
      </c>
      <c r="K2663">
        <v>109</v>
      </c>
      <c r="L2663" t="str">
        <f>IF(AND(CallLog[[#This Row],[Answered (Y/N)]]="Y", CallLog[[#This Row],[Speed of answer in seconds]]&lt;=20),
    "Within",
    "Breach")</f>
        <v>Breach</v>
      </c>
      <c r="M2663" s="1">
        <v>1.8171296296296297E-3</v>
      </c>
      <c r="N2663">
        <v>3</v>
      </c>
    </row>
    <row r="2664" spans="1:14" x14ac:dyDescent="0.3">
      <c r="A2664" t="s">
        <v>2734</v>
      </c>
      <c r="B2664" t="s">
        <v>16</v>
      </c>
      <c r="C2664" t="s">
        <v>2724</v>
      </c>
      <c r="D2664" s="1">
        <v>0.46299768518518519</v>
      </c>
      <c r="E2664" s="2">
        <f>CallLog[[#This Row],[Date]]+CallLog[[#This Row],[Time]]</f>
        <v>44243.462997685187</v>
      </c>
      <c r="F2664" s="1" t="str">
        <f>TEXT(CallLog[[#This Row],[Date]],"dddd")</f>
        <v>Tuesday</v>
      </c>
      <c r="G2664" s="3">
        <f>HOUR(CallLog[[#This Row],[Time]])</f>
        <v>11</v>
      </c>
      <c r="H2664" t="s">
        <v>32</v>
      </c>
      <c r="I2664" t="s">
        <v>14</v>
      </c>
      <c r="J2664" t="s">
        <v>14</v>
      </c>
      <c r="K2664">
        <v>108</v>
      </c>
      <c r="L2664" t="str">
        <f>IF(AND(CallLog[[#This Row],[Answered (Y/N)]]="Y", CallLog[[#This Row],[Speed of answer in seconds]]&lt;=20),
    "Within",
    "Breach")</f>
        <v>Breach</v>
      </c>
      <c r="M2664" s="1">
        <v>4.2129629629629626E-3</v>
      </c>
      <c r="N2664">
        <v>3</v>
      </c>
    </row>
    <row r="2665" spans="1:14" x14ac:dyDescent="0.3">
      <c r="A2665" t="s">
        <v>2735</v>
      </c>
      <c r="B2665" t="s">
        <v>20</v>
      </c>
      <c r="C2665" t="s">
        <v>2724</v>
      </c>
      <c r="D2665" s="1">
        <v>0.46299768518518519</v>
      </c>
      <c r="E2665" s="2">
        <f>CallLog[[#This Row],[Date]]+CallLog[[#This Row],[Time]]</f>
        <v>44243.462997685187</v>
      </c>
      <c r="F2665" s="1" t="str">
        <f>TEXT(CallLog[[#This Row],[Date]],"dddd")</f>
        <v>Tuesday</v>
      </c>
      <c r="G2665" s="3">
        <f>HOUR(CallLog[[#This Row],[Time]])</f>
        <v>11</v>
      </c>
      <c r="H2665" t="s">
        <v>13</v>
      </c>
      <c r="I2665" t="s">
        <v>14</v>
      </c>
      <c r="J2665" t="s">
        <v>14</v>
      </c>
      <c r="K2665">
        <v>58</v>
      </c>
      <c r="L2665" t="str">
        <f>IF(AND(CallLog[[#This Row],[Answered (Y/N)]]="Y", CallLog[[#This Row],[Speed of answer in seconds]]&lt;=20),
    "Within",
    "Breach")</f>
        <v>Breach</v>
      </c>
      <c r="M2665" s="1">
        <v>3.6574074074074074E-3</v>
      </c>
      <c r="N2665">
        <v>5</v>
      </c>
    </row>
    <row r="2666" spans="1:14" x14ac:dyDescent="0.3">
      <c r="A2666" t="s">
        <v>2736</v>
      </c>
      <c r="B2666" t="s">
        <v>20</v>
      </c>
      <c r="C2666" t="s">
        <v>2724</v>
      </c>
      <c r="D2666" s="1">
        <v>0.4670023148148148</v>
      </c>
      <c r="E2666" s="2">
        <f>CallLog[[#This Row],[Date]]+CallLog[[#This Row],[Time]]</f>
        <v>44243.467002314814</v>
      </c>
      <c r="F2666" s="1" t="str">
        <f>TEXT(CallLog[[#This Row],[Date]],"dddd")</f>
        <v>Tuesday</v>
      </c>
      <c r="G2666" s="3">
        <f>HOUR(CallLog[[#This Row],[Time]])</f>
        <v>11</v>
      </c>
      <c r="H2666" t="s">
        <v>24</v>
      </c>
      <c r="I2666" t="s">
        <v>14</v>
      </c>
      <c r="J2666" t="s">
        <v>14</v>
      </c>
      <c r="K2666">
        <v>14</v>
      </c>
      <c r="L2666" t="str">
        <f>IF(AND(CallLog[[#This Row],[Answered (Y/N)]]="Y", CallLog[[#This Row],[Speed of answer in seconds]]&lt;=20),
    "Within",
    "Breach")</f>
        <v>Within</v>
      </c>
      <c r="M2666" s="1">
        <v>4.0625000000000001E-3</v>
      </c>
      <c r="N2666">
        <v>5</v>
      </c>
    </row>
    <row r="2667" spans="1:14" x14ac:dyDescent="0.3">
      <c r="A2667" t="s">
        <v>2737</v>
      </c>
      <c r="B2667" t="s">
        <v>38</v>
      </c>
      <c r="C2667" t="s">
        <v>2724</v>
      </c>
      <c r="D2667" s="1">
        <v>0.4670023148148148</v>
      </c>
      <c r="E2667" s="2">
        <f>CallLog[[#This Row],[Date]]+CallLog[[#This Row],[Time]]</f>
        <v>44243.467002314814</v>
      </c>
      <c r="F2667" s="1" t="str">
        <f>TEXT(CallLog[[#This Row],[Date]],"dddd")</f>
        <v>Tuesday</v>
      </c>
      <c r="G2667" s="3">
        <f>HOUR(CallLog[[#This Row],[Time]])</f>
        <v>11</v>
      </c>
      <c r="H2667" t="s">
        <v>13</v>
      </c>
      <c r="I2667" t="s">
        <v>14</v>
      </c>
      <c r="J2667" t="s">
        <v>14</v>
      </c>
      <c r="K2667">
        <v>74</v>
      </c>
      <c r="L2667" t="str">
        <f>IF(AND(CallLog[[#This Row],[Answered (Y/N)]]="Y", CallLog[[#This Row],[Speed of answer in seconds]]&lt;=20),
    "Within",
    "Breach")</f>
        <v>Breach</v>
      </c>
      <c r="M2667" s="1">
        <v>3.8310185185185183E-3</v>
      </c>
      <c r="N2667">
        <v>4</v>
      </c>
    </row>
    <row r="2668" spans="1:14" x14ac:dyDescent="0.3">
      <c r="A2668" t="s">
        <v>2738</v>
      </c>
      <c r="B2668" t="s">
        <v>31</v>
      </c>
      <c r="C2668" t="s">
        <v>2724</v>
      </c>
      <c r="D2668" s="1">
        <v>0.47099537037037037</v>
      </c>
      <c r="E2668" s="2">
        <f>CallLog[[#This Row],[Date]]+CallLog[[#This Row],[Time]]</f>
        <v>44243.470995370371</v>
      </c>
      <c r="F2668" s="1" t="str">
        <f>TEXT(CallLog[[#This Row],[Date]],"dddd")</f>
        <v>Tuesday</v>
      </c>
      <c r="G2668" s="3">
        <f>HOUR(CallLog[[#This Row],[Time]])</f>
        <v>11</v>
      </c>
      <c r="H2668" t="s">
        <v>13</v>
      </c>
      <c r="I2668" t="s">
        <v>18</v>
      </c>
      <c r="J2668" t="s">
        <v>18</v>
      </c>
      <c r="L2668" t="str">
        <f>IF(AND(CallLog[[#This Row],[Answered (Y/N)]]="Y", CallLog[[#This Row],[Speed of answer in seconds]]&lt;=20),
    "Within",
    "Breach")</f>
        <v>Breach</v>
      </c>
    </row>
    <row r="2669" spans="1:14" x14ac:dyDescent="0.3">
      <c r="A2669" t="s">
        <v>2739</v>
      </c>
      <c r="B2669" t="s">
        <v>31</v>
      </c>
      <c r="C2669" t="s">
        <v>2724</v>
      </c>
      <c r="D2669" s="1">
        <v>0.47099537037037037</v>
      </c>
      <c r="E2669" s="2">
        <f>CallLog[[#This Row],[Date]]+CallLog[[#This Row],[Time]]</f>
        <v>44243.470995370371</v>
      </c>
      <c r="F2669" s="1" t="str">
        <f>TEXT(CallLog[[#This Row],[Date]],"dddd")</f>
        <v>Tuesday</v>
      </c>
      <c r="G2669" s="3">
        <f>HOUR(CallLog[[#This Row],[Time]])</f>
        <v>11</v>
      </c>
      <c r="H2669" t="s">
        <v>32</v>
      </c>
      <c r="I2669" t="s">
        <v>14</v>
      </c>
      <c r="J2669" t="s">
        <v>14</v>
      </c>
      <c r="K2669">
        <v>54</v>
      </c>
      <c r="L2669" t="str">
        <f>IF(AND(CallLog[[#This Row],[Answered (Y/N)]]="Y", CallLog[[#This Row],[Speed of answer in seconds]]&lt;=20),
    "Within",
    "Breach")</f>
        <v>Breach</v>
      </c>
      <c r="M2669" s="1">
        <v>1.9212962962962964E-3</v>
      </c>
      <c r="N2669">
        <v>5</v>
      </c>
    </row>
    <row r="2670" spans="1:14" x14ac:dyDescent="0.3">
      <c r="A2670" t="s">
        <v>2740</v>
      </c>
      <c r="B2670" t="s">
        <v>22</v>
      </c>
      <c r="C2670" t="s">
        <v>2724</v>
      </c>
      <c r="D2670" s="1">
        <v>0.47700231481481481</v>
      </c>
      <c r="E2670" s="2">
        <f>CallLog[[#This Row],[Date]]+CallLog[[#This Row],[Time]]</f>
        <v>44243.477002314816</v>
      </c>
      <c r="F2670" s="1" t="str">
        <f>TEXT(CallLog[[#This Row],[Date]],"dddd")</f>
        <v>Tuesday</v>
      </c>
      <c r="G2670" s="3">
        <f>HOUR(CallLog[[#This Row],[Time]])</f>
        <v>11</v>
      </c>
      <c r="H2670" t="s">
        <v>32</v>
      </c>
      <c r="I2670" t="s">
        <v>14</v>
      </c>
      <c r="J2670" t="s">
        <v>14</v>
      </c>
      <c r="K2670">
        <v>18</v>
      </c>
      <c r="L2670" t="str">
        <f>IF(AND(CallLog[[#This Row],[Answered (Y/N)]]="Y", CallLog[[#This Row],[Speed of answer in seconds]]&lt;=20),
    "Within",
    "Breach")</f>
        <v>Within</v>
      </c>
      <c r="M2670" s="1">
        <v>2.5810185185185185E-3</v>
      </c>
      <c r="N2670">
        <v>4</v>
      </c>
    </row>
    <row r="2671" spans="1:14" x14ac:dyDescent="0.3">
      <c r="A2671" t="s">
        <v>2741</v>
      </c>
      <c r="B2671" t="s">
        <v>34</v>
      </c>
      <c r="C2671" t="s">
        <v>2724</v>
      </c>
      <c r="D2671" s="1">
        <v>0.47700231481481481</v>
      </c>
      <c r="E2671" s="2">
        <f>CallLog[[#This Row],[Date]]+CallLog[[#This Row],[Time]]</f>
        <v>44243.477002314816</v>
      </c>
      <c r="F2671" s="1" t="str">
        <f>TEXT(CallLog[[#This Row],[Date]],"dddd")</f>
        <v>Tuesday</v>
      </c>
      <c r="G2671" s="3">
        <f>HOUR(CallLog[[#This Row],[Time]])</f>
        <v>11</v>
      </c>
      <c r="H2671" t="s">
        <v>24</v>
      </c>
      <c r="I2671" t="s">
        <v>14</v>
      </c>
      <c r="J2671" t="s">
        <v>14</v>
      </c>
      <c r="K2671">
        <v>39</v>
      </c>
      <c r="L2671" t="str">
        <f>IF(AND(CallLog[[#This Row],[Answered (Y/N)]]="Y", CallLog[[#This Row],[Speed of answer in seconds]]&lt;=20),
    "Within",
    "Breach")</f>
        <v>Breach</v>
      </c>
      <c r="M2671" s="1">
        <v>4.31712962962963E-3</v>
      </c>
      <c r="N2671">
        <v>3</v>
      </c>
    </row>
    <row r="2672" spans="1:14" x14ac:dyDescent="0.3">
      <c r="A2672" t="s">
        <v>2742</v>
      </c>
      <c r="B2672" t="s">
        <v>38</v>
      </c>
      <c r="C2672" t="s">
        <v>2724</v>
      </c>
      <c r="D2672" s="1">
        <v>0.50700231481481484</v>
      </c>
      <c r="E2672" s="2">
        <f>CallLog[[#This Row],[Date]]+CallLog[[#This Row],[Time]]</f>
        <v>44243.507002314815</v>
      </c>
      <c r="F2672" s="1" t="str">
        <f>TEXT(CallLog[[#This Row],[Date]],"dddd")</f>
        <v>Tuesday</v>
      </c>
      <c r="G2672" s="3">
        <f>HOUR(CallLog[[#This Row],[Time]])</f>
        <v>12</v>
      </c>
      <c r="H2672" t="s">
        <v>24</v>
      </c>
      <c r="I2672" t="s">
        <v>14</v>
      </c>
      <c r="J2672" t="s">
        <v>14</v>
      </c>
      <c r="K2672">
        <v>31</v>
      </c>
      <c r="L2672" t="str">
        <f>IF(AND(CallLog[[#This Row],[Answered (Y/N)]]="Y", CallLog[[#This Row],[Speed of answer in seconds]]&lt;=20),
    "Within",
    "Breach")</f>
        <v>Breach</v>
      </c>
      <c r="M2672" s="1">
        <v>2.2800925925925927E-3</v>
      </c>
      <c r="N2672">
        <v>1</v>
      </c>
    </row>
    <row r="2673" spans="1:14" x14ac:dyDescent="0.3">
      <c r="A2673" t="s">
        <v>2743</v>
      </c>
      <c r="B2673" t="s">
        <v>11</v>
      </c>
      <c r="C2673" t="s">
        <v>2724</v>
      </c>
      <c r="D2673" s="1">
        <v>0.50700231481481484</v>
      </c>
      <c r="E2673" s="2">
        <f>CallLog[[#This Row],[Date]]+CallLog[[#This Row],[Time]]</f>
        <v>44243.507002314815</v>
      </c>
      <c r="F2673" s="1" t="str">
        <f>TEXT(CallLog[[#This Row],[Date]],"dddd")</f>
        <v>Tuesday</v>
      </c>
      <c r="G2673" s="3">
        <f>HOUR(CallLog[[#This Row],[Time]])</f>
        <v>12</v>
      </c>
      <c r="H2673" t="s">
        <v>17</v>
      </c>
      <c r="I2673" t="s">
        <v>14</v>
      </c>
      <c r="J2673" t="s">
        <v>14</v>
      </c>
      <c r="K2673">
        <v>118</v>
      </c>
      <c r="L2673" t="str">
        <f>IF(AND(CallLog[[#This Row],[Answered (Y/N)]]="Y", CallLog[[#This Row],[Speed of answer in seconds]]&lt;=20),
    "Within",
    "Breach")</f>
        <v>Breach</v>
      </c>
      <c r="M2673" s="1">
        <v>3.472222222222222E-3</v>
      </c>
      <c r="N2673">
        <v>3</v>
      </c>
    </row>
    <row r="2674" spans="1:14" x14ac:dyDescent="0.3">
      <c r="A2674" t="s">
        <v>2744</v>
      </c>
      <c r="B2674" t="s">
        <v>11</v>
      </c>
      <c r="C2674" t="s">
        <v>2724</v>
      </c>
      <c r="D2674" s="1">
        <v>0.53500000000000003</v>
      </c>
      <c r="E2674" s="2">
        <f>CallLog[[#This Row],[Date]]+CallLog[[#This Row],[Time]]</f>
        <v>44243.535000000003</v>
      </c>
      <c r="F2674" s="1" t="str">
        <f>TEXT(CallLog[[#This Row],[Date]],"dddd")</f>
        <v>Tuesday</v>
      </c>
      <c r="G2674" s="3">
        <f>HOUR(CallLog[[#This Row],[Time]])</f>
        <v>12</v>
      </c>
      <c r="H2674" t="s">
        <v>24</v>
      </c>
      <c r="I2674" t="s">
        <v>18</v>
      </c>
      <c r="J2674" t="s">
        <v>18</v>
      </c>
      <c r="L2674" t="str">
        <f>IF(AND(CallLog[[#This Row],[Answered (Y/N)]]="Y", CallLog[[#This Row],[Speed of answer in seconds]]&lt;=20),
    "Within",
    "Breach")</f>
        <v>Breach</v>
      </c>
    </row>
    <row r="2675" spans="1:14" x14ac:dyDescent="0.3">
      <c r="A2675" t="s">
        <v>2745</v>
      </c>
      <c r="B2675" t="s">
        <v>34</v>
      </c>
      <c r="C2675" t="s">
        <v>2724</v>
      </c>
      <c r="D2675" s="1">
        <v>0.53500000000000003</v>
      </c>
      <c r="E2675" s="2">
        <f>CallLog[[#This Row],[Date]]+CallLog[[#This Row],[Time]]</f>
        <v>44243.535000000003</v>
      </c>
      <c r="F2675" s="1" t="str">
        <f>TEXT(CallLog[[#This Row],[Date]],"dddd")</f>
        <v>Tuesday</v>
      </c>
      <c r="G2675" s="3">
        <f>HOUR(CallLog[[#This Row],[Time]])</f>
        <v>12</v>
      </c>
      <c r="H2675" t="s">
        <v>13</v>
      </c>
      <c r="I2675" t="s">
        <v>14</v>
      </c>
      <c r="J2675" t="s">
        <v>14</v>
      </c>
      <c r="K2675">
        <v>118</v>
      </c>
      <c r="L2675" t="str">
        <f>IF(AND(CallLog[[#This Row],[Answered (Y/N)]]="Y", CallLog[[#This Row],[Speed of answer in seconds]]&lt;=20),
    "Within",
    "Breach")</f>
        <v>Breach</v>
      </c>
      <c r="M2675" s="1">
        <v>4.1435185185185186E-3</v>
      </c>
      <c r="N2675">
        <v>3</v>
      </c>
    </row>
    <row r="2676" spans="1:14" x14ac:dyDescent="0.3">
      <c r="A2676" t="s">
        <v>2746</v>
      </c>
      <c r="B2676" t="s">
        <v>31</v>
      </c>
      <c r="C2676" t="s">
        <v>2724</v>
      </c>
      <c r="D2676" s="1">
        <v>0.54400462962962959</v>
      </c>
      <c r="E2676" s="2">
        <f>CallLog[[#This Row],[Date]]+CallLog[[#This Row],[Time]]</f>
        <v>44243.544004629628</v>
      </c>
      <c r="F2676" s="1" t="str">
        <f>TEXT(CallLog[[#This Row],[Date]],"dddd")</f>
        <v>Tuesday</v>
      </c>
      <c r="G2676" s="3">
        <f>HOUR(CallLog[[#This Row],[Time]])</f>
        <v>13</v>
      </c>
      <c r="H2676" t="s">
        <v>24</v>
      </c>
      <c r="I2676" t="s">
        <v>14</v>
      </c>
      <c r="J2676" t="s">
        <v>14</v>
      </c>
      <c r="K2676">
        <v>69</v>
      </c>
      <c r="L2676" t="str">
        <f>IF(AND(CallLog[[#This Row],[Answered (Y/N)]]="Y", CallLog[[#This Row],[Speed of answer in seconds]]&lt;=20),
    "Within",
    "Breach")</f>
        <v>Breach</v>
      </c>
      <c r="M2676" s="1">
        <v>2.5115740740740741E-3</v>
      </c>
      <c r="N2676">
        <v>4</v>
      </c>
    </row>
    <row r="2677" spans="1:14" x14ac:dyDescent="0.3">
      <c r="A2677" t="s">
        <v>2747</v>
      </c>
      <c r="B2677" t="s">
        <v>22</v>
      </c>
      <c r="C2677" t="s">
        <v>2724</v>
      </c>
      <c r="D2677" s="1">
        <v>0.54400462962962959</v>
      </c>
      <c r="E2677" s="2">
        <f>CallLog[[#This Row],[Date]]+CallLog[[#This Row],[Time]]</f>
        <v>44243.544004629628</v>
      </c>
      <c r="F2677" s="1" t="str">
        <f>TEXT(CallLog[[#This Row],[Date]],"dddd")</f>
        <v>Tuesday</v>
      </c>
      <c r="G2677" s="3">
        <f>HOUR(CallLog[[#This Row],[Time]])</f>
        <v>13</v>
      </c>
      <c r="H2677" t="s">
        <v>24</v>
      </c>
      <c r="I2677" t="s">
        <v>14</v>
      </c>
      <c r="J2677" t="s">
        <v>14</v>
      </c>
      <c r="K2677">
        <v>125</v>
      </c>
      <c r="L2677" t="str">
        <f>IF(AND(CallLog[[#This Row],[Answered (Y/N)]]="Y", CallLog[[#This Row],[Speed of answer in seconds]]&lt;=20),
    "Within",
    "Breach")</f>
        <v>Breach</v>
      </c>
      <c r="M2677" s="1">
        <v>4.409722222222222E-3</v>
      </c>
      <c r="N2677">
        <v>5</v>
      </c>
    </row>
    <row r="2678" spans="1:14" x14ac:dyDescent="0.3">
      <c r="A2678" t="s">
        <v>2748</v>
      </c>
      <c r="B2678" t="s">
        <v>47</v>
      </c>
      <c r="C2678" t="s">
        <v>2724</v>
      </c>
      <c r="D2678" s="1">
        <v>0.60200231481481481</v>
      </c>
      <c r="E2678" s="2">
        <f>CallLog[[#This Row],[Date]]+CallLog[[#This Row],[Time]]</f>
        <v>44243.602002314816</v>
      </c>
      <c r="F2678" s="1" t="str">
        <f>TEXT(CallLog[[#This Row],[Date]],"dddd")</f>
        <v>Tuesday</v>
      </c>
      <c r="G2678" s="3">
        <f>HOUR(CallLog[[#This Row],[Time]])</f>
        <v>14</v>
      </c>
      <c r="H2678" t="s">
        <v>32</v>
      </c>
      <c r="I2678" t="s">
        <v>14</v>
      </c>
      <c r="J2678" t="s">
        <v>18</v>
      </c>
      <c r="K2678">
        <v>47</v>
      </c>
      <c r="L2678" t="str">
        <f>IF(AND(CallLog[[#This Row],[Answered (Y/N)]]="Y", CallLog[[#This Row],[Speed of answer in seconds]]&lt;=20),
    "Within",
    "Breach")</f>
        <v>Breach</v>
      </c>
      <c r="M2678" s="1">
        <v>1.8634259259259259E-3</v>
      </c>
      <c r="N2678">
        <v>3</v>
      </c>
    </row>
    <row r="2679" spans="1:14" x14ac:dyDescent="0.3">
      <c r="A2679" t="s">
        <v>2749</v>
      </c>
      <c r="B2679" t="s">
        <v>34</v>
      </c>
      <c r="C2679" t="s">
        <v>2724</v>
      </c>
      <c r="D2679" s="1">
        <v>0.60200231481481481</v>
      </c>
      <c r="E2679" s="2">
        <f>CallLog[[#This Row],[Date]]+CallLog[[#This Row],[Time]]</f>
        <v>44243.602002314816</v>
      </c>
      <c r="F2679" s="1" t="str">
        <f>TEXT(CallLog[[#This Row],[Date]],"dddd")</f>
        <v>Tuesday</v>
      </c>
      <c r="G2679" s="3">
        <f>HOUR(CallLog[[#This Row],[Time]])</f>
        <v>14</v>
      </c>
      <c r="H2679" t="s">
        <v>24</v>
      </c>
      <c r="I2679" t="s">
        <v>14</v>
      </c>
      <c r="J2679" t="s">
        <v>14</v>
      </c>
      <c r="K2679">
        <v>53</v>
      </c>
      <c r="L2679" t="str">
        <f>IF(AND(CallLog[[#This Row],[Answered (Y/N)]]="Y", CallLog[[#This Row],[Speed of answer in seconds]]&lt;=20),
    "Within",
    "Breach")</f>
        <v>Breach</v>
      </c>
      <c r="M2679" s="1">
        <v>7.407407407407407E-4</v>
      </c>
      <c r="N2679">
        <v>1</v>
      </c>
    </row>
    <row r="2680" spans="1:14" x14ac:dyDescent="0.3">
      <c r="A2680" t="s">
        <v>2750</v>
      </c>
      <c r="B2680" t="s">
        <v>11</v>
      </c>
      <c r="C2680" t="s">
        <v>2724</v>
      </c>
      <c r="D2680" s="1">
        <v>0.61700231481481482</v>
      </c>
      <c r="E2680" s="2">
        <f>CallLog[[#This Row],[Date]]+CallLog[[#This Row],[Time]]</f>
        <v>44243.617002314815</v>
      </c>
      <c r="F2680" s="1" t="str">
        <f>TEXT(CallLog[[#This Row],[Date]],"dddd")</f>
        <v>Tuesday</v>
      </c>
      <c r="G2680" s="3">
        <f>HOUR(CallLog[[#This Row],[Time]])</f>
        <v>14</v>
      </c>
      <c r="H2680" t="s">
        <v>32</v>
      </c>
      <c r="I2680" t="s">
        <v>14</v>
      </c>
      <c r="J2680" t="s">
        <v>18</v>
      </c>
      <c r="K2680">
        <v>55</v>
      </c>
      <c r="L2680" t="str">
        <f>IF(AND(CallLog[[#This Row],[Answered (Y/N)]]="Y", CallLog[[#This Row],[Speed of answer in seconds]]&lt;=20),
    "Within",
    "Breach")</f>
        <v>Breach</v>
      </c>
      <c r="M2680" s="1">
        <v>3.2060185185185186E-3</v>
      </c>
      <c r="N2680">
        <v>2</v>
      </c>
    </row>
    <row r="2681" spans="1:14" x14ac:dyDescent="0.3">
      <c r="A2681" t="s">
        <v>2751</v>
      </c>
      <c r="B2681" t="s">
        <v>38</v>
      </c>
      <c r="C2681" t="s">
        <v>2724</v>
      </c>
      <c r="D2681" s="1">
        <v>0.61700231481481482</v>
      </c>
      <c r="E2681" s="2">
        <f>CallLog[[#This Row],[Date]]+CallLog[[#This Row],[Time]]</f>
        <v>44243.617002314815</v>
      </c>
      <c r="F2681" s="1" t="str">
        <f>TEXT(CallLog[[#This Row],[Date]],"dddd")</f>
        <v>Tuesday</v>
      </c>
      <c r="G2681" s="3">
        <f>HOUR(CallLog[[#This Row],[Time]])</f>
        <v>14</v>
      </c>
      <c r="H2681" t="s">
        <v>29</v>
      </c>
      <c r="I2681" t="s">
        <v>14</v>
      </c>
      <c r="J2681" t="s">
        <v>14</v>
      </c>
      <c r="K2681">
        <v>91</v>
      </c>
      <c r="L2681" t="str">
        <f>IF(AND(CallLog[[#This Row],[Answered (Y/N)]]="Y", CallLog[[#This Row],[Speed of answer in seconds]]&lt;=20),
    "Within",
    "Breach")</f>
        <v>Breach</v>
      </c>
      <c r="M2681" s="1">
        <v>3.8194444444444443E-3</v>
      </c>
      <c r="N2681">
        <v>2</v>
      </c>
    </row>
    <row r="2682" spans="1:14" x14ac:dyDescent="0.3">
      <c r="A2682" t="s">
        <v>2752</v>
      </c>
      <c r="B2682" t="s">
        <v>34</v>
      </c>
      <c r="C2682" t="s">
        <v>2724</v>
      </c>
      <c r="D2682" s="1">
        <v>0.62099537037037034</v>
      </c>
      <c r="E2682" s="2">
        <f>CallLog[[#This Row],[Date]]+CallLog[[#This Row],[Time]]</f>
        <v>44243.620995370373</v>
      </c>
      <c r="F2682" s="1" t="str">
        <f>TEXT(CallLog[[#This Row],[Date]],"dddd")</f>
        <v>Tuesday</v>
      </c>
      <c r="G2682" s="3">
        <f>HOUR(CallLog[[#This Row],[Time]])</f>
        <v>14</v>
      </c>
      <c r="H2682" t="s">
        <v>17</v>
      </c>
      <c r="I2682" t="s">
        <v>14</v>
      </c>
      <c r="J2682" t="s">
        <v>14</v>
      </c>
      <c r="K2682">
        <v>37</v>
      </c>
      <c r="L2682" t="str">
        <f>IF(AND(CallLog[[#This Row],[Answered (Y/N)]]="Y", CallLog[[#This Row],[Speed of answer in seconds]]&lt;=20),
    "Within",
    "Breach")</f>
        <v>Breach</v>
      </c>
      <c r="M2682" s="1">
        <v>3.7384259259259259E-3</v>
      </c>
      <c r="N2682">
        <v>3</v>
      </c>
    </row>
    <row r="2683" spans="1:14" x14ac:dyDescent="0.3">
      <c r="A2683" t="s">
        <v>2753</v>
      </c>
      <c r="B2683" t="s">
        <v>31</v>
      </c>
      <c r="C2683" t="s">
        <v>2724</v>
      </c>
      <c r="D2683" s="1">
        <v>0.62099537037037034</v>
      </c>
      <c r="E2683" s="2">
        <f>CallLog[[#This Row],[Date]]+CallLog[[#This Row],[Time]]</f>
        <v>44243.620995370373</v>
      </c>
      <c r="F2683" s="1" t="str">
        <f>TEXT(CallLog[[#This Row],[Date]],"dddd")</f>
        <v>Tuesday</v>
      </c>
      <c r="G2683" s="3">
        <f>HOUR(CallLog[[#This Row],[Time]])</f>
        <v>14</v>
      </c>
      <c r="H2683" t="s">
        <v>29</v>
      </c>
      <c r="I2683" t="s">
        <v>14</v>
      </c>
      <c r="J2683" t="s">
        <v>14</v>
      </c>
      <c r="K2683">
        <v>118</v>
      </c>
      <c r="L2683" t="str">
        <f>IF(AND(CallLog[[#This Row],[Answered (Y/N)]]="Y", CallLog[[#This Row],[Speed of answer in seconds]]&lt;=20),
    "Within",
    "Breach")</f>
        <v>Breach</v>
      </c>
      <c r="M2683" s="1">
        <v>3.3912037037037036E-3</v>
      </c>
      <c r="N2683">
        <v>4</v>
      </c>
    </row>
    <row r="2684" spans="1:14" x14ac:dyDescent="0.3">
      <c r="A2684" t="s">
        <v>2754</v>
      </c>
      <c r="B2684" t="s">
        <v>47</v>
      </c>
      <c r="C2684" t="s">
        <v>2724</v>
      </c>
      <c r="D2684" s="1">
        <v>0.63</v>
      </c>
      <c r="E2684" s="2">
        <f>CallLog[[#This Row],[Date]]+CallLog[[#This Row],[Time]]</f>
        <v>44243.63</v>
      </c>
      <c r="F2684" s="1" t="str">
        <f>TEXT(CallLog[[#This Row],[Date]],"dddd")</f>
        <v>Tuesday</v>
      </c>
      <c r="G2684" s="3">
        <f>HOUR(CallLog[[#This Row],[Time]])</f>
        <v>15</v>
      </c>
      <c r="H2684" t="s">
        <v>17</v>
      </c>
      <c r="I2684" t="s">
        <v>14</v>
      </c>
      <c r="J2684" t="s">
        <v>14</v>
      </c>
      <c r="K2684">
        <v>37</v>
      </c>
      <c r="L2684" t="str">
        <f>IF(AND(CallLog[[#This Row],[Answered (Y/N)]]="Y", CallLog[[#This Row],[Speed of answer in seconds]]&lt;=20),
    "Within",
    "Breach")</f>
        <v>Breach</v>
      </c>
      <c r="M2684" s="1">
        <v>3.8888888888888888E-3</v>
      </c>
      <c r="N2684">
        <v>5</v>
      </c>
    </row>
    <row r="2685" spans="1:14" x14ac:dyDescent="0.3">
      <c r="A2685" t="s">
        <v>2755</v>
      </c>
      <c r="B2685" t="s">
        <v>16</v>
      </c>
      <c r="C2685" t="s">
        <v>2724</v>
      </c>
      <c r="D2685" s="1">
        <v>0.63</v>
      </c>
      <c r="E2685" s="2">
        <f>CallLog[[#This Row],[Date]]+CallLog[[#This Row],[Time]]</f>
        <v>44243.63</v>
      </c>
      <c r="F2685" s="1" t="str">
        <f>TEXT(CallLog[[#This Row],[Date]],"dddd")</f>
        <v>Tuesday</v>
      </c>
      <c r="G2685" s="3">
        <f>HOUR(CallLog[[#This Row],[Time]])</f>
        <v>15</v>
      </c>
      <c r="H2685" t="s">
        <v>29</v>
      </c>
      <c r="I2685" t="s">
        <v>14</v>
      </c>
      <c r="J2685" t="s">
        <v>14</v>
      </c>
      <c r="K2685">
        <v>124</v>
      </c>
      <c r="L2685" t="str">
        <f>IF(AND(CallLog[[#This Row],[Answered (Y/N)]]="Y", CallLog[[#This Row],[Speed of answer in seconds]]&lt;=20),
    "Within",
    "Breach")</f>
        <v>Breach</v>
      </c>
      <c r="M2685" s="1">
        <v>2.8240740740740739E-3</v>
      </c>
      <c r="N2685">
        <v>4</v>
      </c>
    </row>
    <row r="2686" spans="1:14" x14ac:dyDescent="0.3">
      <c r="A2686" t="s">
        <v>2756</v>
      </c>
      <c r="B2686" t="s">
        <v>22</v>
      </c>
      <c r="C2686" t="s">
        <v>2724</v>
      </c>
      <c r="D2686" s="1">
        <v>0.63900462962962967</v>
      </c>
      <c r="E2686" s="2">
        <f>CallLog[[#This Row],[Date]]+CallLog[[#This Row],[Time]]</f>
        <v>44243.639004629629</v>
      </c>
      <c r="F2686" s="1" t="str">
        <f>TEXT(CallLog[[#This Row],[Date]],"dddd")</f>
        <v>Tuesday</v>
      </c>
      <c r="G2686" s="3">
        <f>HOUR(CallLog[[#This Row],[Time]])</f>
        <v>15</v>
      </c>
      <c r="H2686" t="s">
        <v>17</v>
      </c>
      <c r="I2686" t="s">
        <v>14</v>
      </c>
      <c r="J2686" t="s">
        <v>14</v>
      </c>
      <c r="K2686">
        <v>105</v>
      </c>
      <c r="L2686" t="str">
        <f>IF(AND(CallLog[[#This Row],[Answered (Y/N)]]="Y", CallLog[[#This Row],[Speed of answer in seconds]]&lt;=20),
    "Within",
    "Breach")</f>
        <v>Breach</v>
      </c>
      <c r="M2686" s="1">
        <v>1.0995370370370371E-3</v>
      </c>
      <c r="N2686">
        <v>4</v>
      </c>
    </row>
    <row r="2687" spans="1:14" x14ac:dyDescent="0.3">
      <c r="A2687" t="s">
        <v>2757</v>
      </c>
      <c r="B2687" t="s">
        <v>11</v>
      </c>
      <c r="C2687" t="s">
        <v>2724</v>
      </c>
      <c r="D2687" s="1">
        <v>0.63900462962962967</v>
      </c>
      <c r="E2687" s="2">
        <f>CallLog[[#This Row],[Date]]+CallLog[[#This Row],[Time]]</f>
        <v>44243.639004629629</v>
      </c>
      <c r="F2687" s="1" t="str">
        <f>TEXT(CallLog[[#This Row],[Date]],"dddd")</f>
        <v>Tuesday</v>
      </c>
      <c r="G2687" s="3">
        <f>HOUR(CallLog[[#This Row],[Time]])</f>
        <v>15</v>
      </c>
      <c r="H2687" t="s">
        <v>29</v>
      </c>
      <c r="I2687" t="s">
        <v>18</v>
      </c>
      <c r="J2687" t="s">
        <v>18</v>
      </c>
      <c r="L2687" t="str">
        <f>IF(AND(CallLog[[#This Row],[Answered (Y/N)]]="Y", CallLog[[#This Row],[Speed of answer in seconds]]&lt;=20),
    "Within",
    "Breach")</f>
        <v>Breach</v>
      </c>
    </row>
    <row r="2688" spans="1:14" x14ac:dyDescent="0.3">
      <c r="A2688" t="s">
        <v>2758</v>
      </c>
      <c r="B2688" t="s">
        <v>22</v>
      </c>
      <c r="C2688" t="s">
        <v>2724</v>
      </c>
      <c r="D2688" s="1">
        <v>0.64900462962962968</v>
      </c>
      <c r="E2688" s="2">
        <f>CallLog[[#This Row],[Date]]+CallLog[[#This Row],[Time]]</f>
        <v>44243.649004629631</v>
      </c>
      <c r="F2688" s="1" t="str">
        <f>TEXT(CallLog[[#This Row],[Date]],"dddd")</f>
        <v>Tuesday</v>
      </c>
      <c r="G2688" s="3">
        <f>HOUR(CallLog[[#This Row],[Time]])</f>
        <v>15</v>
      </c>
      <c r="H2688" t="s">
        <v>17</v>
      </c>
      <c r="I2688" t="s">
        <v>14</v>
      </c>
      <c r="J2688" t="s">
        <v>14</v>
      </c>
      <c r="K2688">
        <v>36</v>
      </c>
      <c r="L2688" t="str">
        <f>IF(AND(CallLog[[#This Row],[Answered (Y/N)]]="Y", CallLog[[#This Row],[Speed of answer in seconds]]&lt;=20),
    "Within",
    "Breach")</f>
        <v>Breach</v>
      </c>
      <c r="M2688" s="1">
        <v>2.3958333333333331E-3</v>
      </c>
      <c r="N2688">
        <v>1</v>
      </c>
    </row>
    <row r="2689" spans="1:14" x14ac:dyDescent="0.3">
      <c r="A2689" t="s">
        <v>2759</v>
      </c>
      <c r="B2689" t="s">
        <v>38</v>
      </c>
      <c r="C2689" t="s">
        <v>2724</v>
      </c>
      <c r="D2689" s="1">
        <v>0.64900462962962968</v>
      </c>
      <c r="E2689" s="2">
        <f>CallLog[[#This Row],[Date]]+CallLog[[#This Row],[Time]]</f>
        <v>44243.649004629631</v>
      </c>
      <c r="F2689" s="1" t="str">
        <f>TEXT(CallLog[[#This Row],[Date]],"dddd")</f>
        <v>Tuesday</v>
      </c>
      <c r="G2689" s="3">
        <f>HOUR(CallLog[[#This Row],[Time]])</f>
        <v>15</v>
      </c>
      <c r="H2689" t="s">
        <v>32</v>
      </c>
      <c r="I2689" t="s">
        <v>14</v>
      </c>
      <c r="J2689" t="s">
        <v>14</v>
      </c>
      <c r="K2689">
        <v>87</v>
      </c>
      <c r="L2689" t="str">
        <f>IF(AND(CallLog[[#This Row],[Answered (Y/N)]]="Y", CallLog[[#This Row],[Speed of answer in seconds]]&lt;=20),
    "Within",
    "Breach")</f>
        <v>Breach</v>
      </c>
      <c r="M2689" s="1">
        <v>4.7685185185185183E-3</v>
      </c>
      <c r="N2689">
        <v>4</v>
      </c>
    </row>
    <row r="2690" spans="1:14" x14ac:dyDescent="0.3">
      <c r="A2690" t="s">
        <v>2760</v>
      </c>
      <c r="B2690" t="s">
        <v>16</v>
      </c>
      <c r="C2690" t="s">
        <v>2724</v>
      </c>
      <c r="D2690" s="1">
        <v>0.67</v>
      </c>
      <c r="E2690" s="2">
        <f>CallLog[[#This Row],[Date]]+CallLog[[#This Row],[Time]]</f>
        <v>44243.67</v>
      </c>
      <c r="F2690" s="1" t="str">
        <f>TEXT(CallLog[[#This Row],[Date]],"dddd")</f>
        <v>Tuesday</v>
      </c>
      <c r="G2690" s="3">
        <f>HOUR(CallLog[[#This Row],[Time]])</f>
        <v>16</v>
      </c>
      <c r="H2690" t="s">
        <v>17</v>
      </c>
      <c r="I2690" t="s">
        <v>14</v>
      </c>
      <c r="J2690" t="s">
        <v>14</v>
      </c>
      <c r="K2690">
        <v>98</v>
      </c>
      <c r="L2690" t="str">
        <f>IF(AND(CallLog[[#This Row],[Answered (Y/N)]]="Y", CallLog[[#This Row],[Speed of answer in seconds]]&lt;=20),
    "Within",
    "Breach")</f>
        <v>Breach</v>
      </c>
      <c r="M2690" s="1">
        <v>3.4953703703703705E-3</v>
      </c>
      <c r="N2690">
        <v>4</v>
      </c>
    </row>
    <row r="2691" spans="1:14" x14ac:dyDescent="0.3">
      <c r="A2691" t="s">
        <v>2761</v>
      </c>
      <c r="B2691" t="s">
        <v>47</v>
      </c>
      <c r="C2691" t="s">
        <v>2724</v>
      </c>
      <c r="D2691" s="1">
        <v>0.67</v>
      </c>
      <c r="E2691" s="2">
        <f>CallLog[[#This Row],[Date]]+CallLog[[#This Row],[Time]]</f>
        <v>44243.67</v>
      </c>
      <c r="F2691" s="1" t="str">
        <f>TEXT(CallLog[[#This Row],[Date]],"dddd")</f>
        <v>Tuesday</v>
      </c>
      <c r="G2691" s="3">
        <f>HOUR(CallLog[[#This Row],[Time]])</f>
        <v>16</v>
      </c>
      <c r="H2691" t="s">
        <v>29</v>
      </c>
      <c r="I2691" t="s">
        <v>18</v>
      </c>
      <c r="J2691" t="s">
        <v>18</v>
      </c>
      <c r="L2691" t="str">
        <f>IF(AND(CallLog[[#This Row],[Answered (Y/N)]]="Y", CallLog[[#This Row],[Speed of answer in seconds]]&lt;=20),
    "Within",
    "Breach")</f>
        <v>Breach</v>
      </c>
    </row>
    <row r="2692" spans="1:14" x14ac:dyDescent="0.3">
      <c r="A2692" t="s">
        <v>2762</v>
      </c>
      <c r="B2692" t="s">
        <v>34</v>
      </c>
      <c r="C2692" t="s">
        <v>2724</v>
      </c>
      <c r="D2692" s="1">
        <v>0.67700231481481477</v>
      </c>
      <c r="E2692" s="2">
        <f>CallLog[[#This Row],[Date]]+CallLog[[#This Row],[Time]]</f>
        <v>44243.677002314813</v>
      </c>
      <c r="F2692" s="1" t="str">
        <f>TEXT(CallLog[[#This Row],[Date]],"dddd")</f>
        <v>Tuesday</v>
      </c>
      <c r="G2692" s="3">
        <f>HOUR(CallLog[[#This Row],[Time]])</f>
        <v>16</v>
      </c>
      <c r="H2692" t="s">
        <v>24</v>
      </c>
      <c r="I2692" t="s">
        <v>14</v>
      </c>
      <c r="J2692" t="s">
        <v>14</v>
      </c>
      <c r="K2692">
        <v>37</v>
      </c>
      <c r="L2692" t="str">
        <f>IF(AND(CallLog[[#This Row],[Answered (Y/N)]]="Y", CallLog[[#This Row],[Speed of answer in seconds]]&lt;=20),
    "Within",
    "Breach")</f>
        <v>Breach</v>
      </c>
      <c r="M2692" s="1">
        <v>1.9791666666666668E-3</v>
      </c>
      <c r="N2692">
        <v>3</v>
      </c>
    </row>
    <row r="2693" spans="1:14" x14ac:dyDescent="0.3">
      <c r="A2693" t="s">
        <v>2763</v>
      </c>
      <c r="B2693" t="s">
        <v>31</v>
      </c>
      <c r="C2693" t="s">
        <v>2724</v>
      </c>
      <c r="D2693" s="1">
        <v>0.67700231481481477</v>
      </c>
      <c r="E2693" s="2">
        <f>CallLog[[#This Row],[Date]]+CallLog[[#This Row],[Time]]</f>
        <v>44243.677002314813</v>
      </c>
      <c r="F2693" s="1" t="str">
        <f>TEXT(CallLog[[#This Row],[Date]],"dddd")</f>
        <v>Tuesday</v>
      </c>
      <c r="G2693" s="3">
        <f>HOUR(CallLog[[#This Row],[Time]])</f>
        <v>16</v>
      </c>
      <c r="H2693" t="s">
        <v>32</v>
      </c>
      <c r="I2693" t="s">
        <v>14</v>
      </c>
      <c r="J2693" t="s">
        <v>14</v>
      </c>
      <c r="K2693">
        <v>65</v>
      </c>
      <c r="L2693" t="str">
        <f>IF(AND(CallLog[[#This Row],[Answered (Y/N)]]="Y", CallLog[[#This Row],[Speed of answer in seconds]]&lt;=20),
    "Within",
    "Breach")</f>
        <v>Breach</v>
      </c>
      <c r="M2693" s="1">
        <v>3.3333333333333335E-3</v>
      </c>
      <c r="N2693">
        <v>1</v>
      </c>
    </row>
    <row r="2694" spans="1:14" x14ac:dyDescent="0.3">
      <c r="A2694" t="s">
        <v>2764</v>
      </c>
      <c r="B2694" t="s">
        <v>11</v>
      </c>
      <c r="C2694" t="s">
        <v>2724</v>
      </c>
      <c r="D2694" s="1">
        <v>0.6840046296296296</v>
      </c>
      <c r="E2694" s="2">
        <f>CallLog[[#This Row],[Date]]+CallLog[[#This Row],[Time]]</f>
        <v>44243.684004629627</v>
      </c>
      <c r="F2694" s="1" t="str">
        <f>TEXT(CallLog[[#This Row],[Date]],"dddd")</f>
        <v>Tuesday</v>
      </c>
      <c r="G2694" s="3">
        <f>HOUR(CallLog[[#This Row],[Time]])</f>
        <v>16</v>
      </c>
      <c r="H2694" t="s">
        <v>13</v>
      </c>
      <c r="I2694" t="s">
        <v>14</v>
      </c>
      <c r="J2694" t="s">
        <v>14</v>
      </c>
      <c r="K2694">
        <v>117</v>
      </c>
      <c r="L2694" t="str">
        <f>IF(AND(CallLog[[#This Row],[Answered (Y/N)]]="Y", CallLog[[#This Row],[Speed of answer in seconds]]&lt;=20),
    "Within",
    "Breach")</f>
        <v>Breach</v>
      </c>
      <c r="M2694" s="1">
        <v>4.4791666666666669E-3</v>
      </c>
      <c r="N2694">
        <v>3</v>
      </c>
    </row>
    <row r="2695" spans="1:14" x14ac:dyDescent="0.3">
      <c r="A2695" t="s">
        <v>2765</v>
      </c>
      <c r="B2695" t="s">
        <v>47</v>
      </c>
      <c r="C2695" t="s">
        <v>2724</v>
      </c>
      <c r="D2695" s="1">
        <v>0.6840046296296296</v>
      </c>
      <c r="E2695" s="2">
        <f>CallLog[[#This Row],[Date]]+CallLog[[#This Row],[Time]]</f>
        <v>44243.684004629627</v>
      </c>
      <c r="F2695" s="1" t="str">
        <f>TEXT(CallLog[[#This Row],[Date]],"dddd")</f>
        <v>Tuesday</v>
      </c>
      <c r="G2695" s="3">
        <f>HOUR(CallLog[[#This Row],[Time]])</f>
        <v>16</v>
      </c>
      <c r="H2695" t="s">
        <v>32</v>
      </c>
      <c r="I2695" t="s">
        <v>14</v>
      </c>
      <c r="J2695" t="s">
        <v>14</v>
      </c>
      <c r="K2695">
        <v>70</v>
      </c>
      <c r="L2695" t="str">
        <f>IF(AND(CallLog[[#This Row],[Answered (Y/N)]]="Y", CallLog[[#This Row],[Speed of answer in seconds]]&lt;=20),
    "Within",
    "Breach")</f>
        <v>Breach</v>
      </c>
      <c r="M2695" s="1">
        <v>1.1805555555555556E-3</v>
      </c>
      <c r="N2695">
        <v>4</v>
      </c>
    </row>
    <row r="2696" spans="1:14" x14ac:dyDescent="0.3">
      <c r="A2696" t="s">
        <v>2766</v>
      </c>
      <c r="B2696" t="s">
        <v>22</v>
      </c>
      <c r="C2696" t="s">
        <v>2724</v>
      </c>
      <c r="D2696" s="1">
        <v>0.68700231481481477</v>
      </c>
      <c r="E2696" s="2">
        <f>CallLog[[#This Row],[Date]]+CallLog[[#This Row],[Time]]</f>
        <v>44243.687002314815</v>
      </c>
      <c r="F2696" s="1" t="str">
        <f>TEXT(CallLog[[#This Row],[Date]],"dddd")</f>
        <v>Tuesday</v>
      </c>
      <c r="G2696" s="3">
        <f>HOUR(CallLog[[#This Row],[Time]])</f>
        <v>16</v>
      </c>
      <c r="H2696" t="s">
        <v>32</v>
      </c>
      <c r="I2696" t="s">
        <v>18</v>
      </c>
      <c r="J2696" t="s">
        <v>18</v>
      </c>
      <c r="L2696" t="str">
        <f>IF(AND(CallLog[[#This Row],[Answered (Y/N)]]="Y", CallLog[[#This Row],[Speed of answer in seconds]]&lt;=20),
    "Within",
    "Breach")</f>
        <v>Breach</v>
      </c>
    </row>
    <row r="2697" spans="1:14" x14ac:dyDescent="0.3">
      <c r="A2697" t="s">
        <v>2767</v>
      </c>
      <c r="B2697" t="s">
        <v>16</v>
      </c>
      <c r="C2697" t="s">
        <v>2724</v>
      </c>
      <c r="D2697" s="1">
        <v>0.68700231481481477</v>
      </c>
      <c r="E2697" s="2">
        <f>CallLog[[#This Row],[Date]]+CallLog[[#This Row],[Time]]</f>
        <v>44243.687002314815</v>
      </c>
      <c r="F2697" s="1" t="str">
        <f>TEXT(CallLog[[#This Row],[Date]],"dddd")</f>
        <v>Tuesday</v>
      </c>
      <c r="G2697" s="3">
        <f>HOUR(CallLog[[#This Row],[Time]])</f>
        <v>16</v>
      </c>
      <c r="H2697" t="s">
        <v>32</v>
      </c>
      <c r="I2697" t="s">
        <v>14</v>
      </c>
      <c r="J2697" t="s">
        <v>14</v>
      </c>
      <c r="K2697">
        <v>30</v>
      </c>
      <c r="L2697" t="str">
        <f>IF(AND(CallLog[[#This Row],[Answered (Y/N)]]="Y", CallLog[[#This Row],[Speed of answer in seconds]]&lt;=20),
    "Within",
    "Breach")</f>
        <v>Breach</v>
      </c>
      <c r="M2697" s="1">
        <v>3.8541666666666668E-3</v>
      </c>
      <c r="N2697">
        <v>3</v>
      </c>
    </row>
    <row r="2698" spans="1:14" x14ac:dyDescent="0.3">
      <c r="A2698" t="s">
        <v>2768</v>
      </c>
      <c r="B2698" t="s">
        <v>16</v>
      </c>
      <c r="C2698" t="s">
        <v>2724</v>
      </c>
      <c r="D2698" s="1">
        <v>0.68900462962962961</v>
      </c>
      <c r="E2698" s="2">
        <f>CallLog[[#This Row],[Date]]+CallLog[[#This Row],[Time]]</f>
        <v>44243.689004629632</v>
      </c>
      <c r="F2698" s="1" t="str">
        <f>TEXT(CallLog[[#This Row],[Date]],"dddd")</f>
        <v>Tuesday</v>
      </c>
      <c r="G2698" s="3">
        <f>HOUR(CallLog[[#This Row],[Time]])</f>
        <v>16</v>
      </c>
      <c r="H2698" t="s">
        <v>17</v>
      </c>
      <c r="I2698" t="s">
        <v>18</v>
      </c>
      <c r="J2698" t="s">
        <v>18</v>
      </c>
      <c r="L2698" t="str">
        <f>IF(AND(CallLog[[#This Row],[Answered (Y/N)]]="Y", CallLog[[#This Row],[Speed of answer in seconds]]&lt;=20),
    "Within",
    "Breach")</f>
        <v>Breach</v>
      </c>
    </row>
    <row r="2699" spans="1:14" x14ac:dyDescent="0.3">
      <c r="A2699" t="s">
        <v>2769</v>
      </c>
      <c r="B2699" t="s">
        <v>31</v>
      </c>
      <c r="C2699" t="s">
        <v>2724</v>
      </c>
      <c r="D2699" s="1">
        <v>0.68900462962962961</v>
      </c>
      <c r="E2699" s="2">
        <f>CallLog[[#This Row],[Date]]+CallLog[[#This Row],[Time]]</f>
        <v>44243.689004629632</v>
      </c>
      <c r="F2699" s="1" t="str">
        <f>TEXT(CallLog[[#This Row],[Date]],"dddd")</f>
        <v>Tuesday</v>
      </c>
      <c r="G2699" s="3">
        <f>HOUR(CallLog[[#This Row],[Time]])</f>
        <v>16</v>
      </c>
      <c r="H2699" t="s">
        <v>17</v>
      </c>
      <c r="I2699" t="s">
        <v>14</v>
      </c>
      <c r="J2699" t="s">
        <v>18</v>
      </c>
      <c r="K2699">
        <v>53</v>
      </c>
      <c r="L2699" t="str">
        <f>IF(AND(CallLog[[#This Row],[Answered (Y/N)]]="Y", CallLog[[#This Row],[Speed of answer in seconds]]&lt;=20),
    "Within",
    "Breach")</f>
        <v>Breach</v>
      </c>
      <c r="M2699" s="1">
        <v>3.2291666666666666E-3</v>
      </c>
      <c r="N2699">
        <v>3</v>
      </c>
    </row>
    <row r="2700" spans="1:14" x14ac:dyDescent="0.3">
      <c r="A2700" t="s">
        <v>2770</v>
      </c>
      <c r="B2700" t="s">
        <v>16</v>
      </c>
      <c r="C2700" t="s">
        <v>2724</v>
      </c>
      <c r="D2700" s="1">
        <v>0.7170023148148148</v>
      </c>
      <c r="E2700" s="2">
        <f>CallLog[[#This Row],[Date]]+CallLog[[#This Row],[Time]]</f>
        <v>44243.717002314814</v>
      </c>
      <c r="F2700" s="1" t="str">
        <f>TEXT(CallLog[[#This Row],[Date]],"dddd")</f>
        <v>Tuesday</v>
      </c>
      <c r="G2700" s="3">
        <f>HOUR(CallLog[[#This Row],[Time]])</f>
        <v>17</v>
      </c>
      <c r="H2700" t="s">
        <v>32</v>
      </c>
      <c r="I2700" t="s">
        <v>14</v>
      </c>
      <c r="J2700" t="s">
        <v>14</v>
      </c>
      <c r="K2700">
        <v>69</v>
      </c>
      <c r="L2700" t="str">
        <f>IF(AND(CallLog[[#This Row],[Answered (Y/N)]]="Y", CallLog[[#This Row],[Speed of answer in seconds]]&lt;=20),
    "Within",
    "Breach")</f>
        <v>Breach</v>
      </c>
      <c r="M2700" s="1">
        <v>3.5995370370370369E-3</v>
      </c>
      <c r="N2700">
        <v>4</v>
      </c>
    </row>
    <row r="2701" spans="1:14" x14ac:dyDescent="0.3">
      <c r="A2701" t="s">
        <v>2771</v>
      </c>
      <c r="B2701" t="s">
        <v>20</v>
      </c>
      <c r="C2701" t="s">
        <v>2724</v>
      </c>
      <c r="D2701" s="1">
        <v>0.7170023148148148</v>
      </c>
      <c r="E2701" s="2">
        <f>CallLog[[#This Row],[Date]]+CallLog[[#This Row],[Time]]</f>
        <v>44243.717002314814</v>
      </c>
      <c r="F2701" s="1" t="str">
        <f>TEXT(CallLog[[#This Row],[Date]],"dddd")</f>
        <v>Tuesday</v>
      </c>
      <c r="G2701" s="3">
        <f>HOUR(CallLog[[#This Row],[Time]])</f>
        <v>17</v>
      </c>
      <c r="H2701" t="s">
        <v>13</v>
      </c>
      <c r="I2701" t="s">
        <v>14</v>
      </c>
      <c r="J2701" t="s">
        <v>14</v>
      </c>
      <c r="K2701">
        <v>109</v>
      </c>
      <c r="L2701" t="str">
        <f>IF(AND(CallLog[[#This Row],[Answered (Y/N)]]="Y", CallLog[[#This Row],[Speed of answer in seconds]]&lt;=20),
    "Within",
    "Breach")</f>
        <v>Breach</v>
      </c>
      <c r="M2701" s="1">
        <v>2.8935185185185184E-3</v>
      </c>
      <c r="N2701">
        <v>1</v>
      </c>
    </row>
    <row r="2702" spans="1:14" x14ac:dyDescent="0.3">
      <c r="A2702" t="s">
        <v>2772</v>
      </c>
      <c r="B2702" t="s">
        <v>47</v>
      </c>
      <c r="C2702" t="s">
        <v>2724</v>
      </c>
      <c r="D2702" s="1">
        <v>0.72799768518518515</v>
      </c>
      <c r="E2702" s="2">
        <f>CallLog[[#This Row],[Date]]+CallLog[[#This Row],[Time]]</f>
        <v>44243.727997685186</v>
      </c>
      <c r="F2702" s="1" t="str">
        <f>TEXT(CallLog[[#This Row],[Date]],"dddd")</f>
        <v>Tuesday</v>
      </c>
      <c r="G2702" s="3">
        <f>HOUR(CallLog[[#This Row],[Time]])</f>
        <v>17</v>
      </c>
      <c r="H2702" t="s">
        <v>17</v>
      </c>
      <c r="I2702" t="s">
        <v>14</v>
      </c>
      <c r="J2702" t="s">
        <v>14</v>
      </c>
      <c r="K2702">
        <v>17</v>
      </c>
      <c r="L2702" t="str">
        <f>IF(AND(CallLog[[#This Row],[Answered (Y/N)]]="Y", CallLog[[#This Row],[Speed of answer in seconds]]&lt;=20),
    "Within",
    "Breach")</f>
        <v>Within</v>
      </c>
      <c r="M2702" s="1">
        <v>4.861111111111111E-4</v>
      </c>
      <c r="N2702">
        <v>5</v>
      </c>
    </row>
    <row r="2703" spans="1:14" x14ac:dyDescent="0.3">
      <c r="A2703" t="s">
        <v>2773</v>
      </c>
      <c r="B2703" t="s">
        <v>38</v>
      </c>
      <c r="C2703" t="s">
        <v>2724</v>
      </c>
      <c r="D2703" s="1">
        <v>0.72799768518518515</v>
      </c>
      <c r="E2703" s="2">
        <f>CallLog[[#This Row],[Date]]+CallLog[[#This Row],[Time]]</f>
        <v>44243.727997685186</v>
      </c>
      <c r="F2703" s="1" t="str">
        <f>TEXT(CallLog[[#This Row],[Date]],"dddd")</f>
        <v>Tuesday</v>
      </c>
      <c r="G2703" s="3">
        <f>HOUR(CallLog[[#This Row],[Time]])</f>
        <v>17</v>
      </c>
      <c r="H2703" t="s">
        <v>32</v>
      </c>
      <c r="I2703" t="s">
        <v>14</v>
      </c>
      <c r="J2703" t="s">
        <v>14</v>
      </c>
      <c r="K2703">
        <v>109</v>
      </c>
      <c r="L2703" t="str">
        <f>IF(AND(CallLog[[#This Row],[Answered (Y/N)]]="Y", CallLog[[#This Row],[Speed of answer in seconds]]&lt;=20),
    "Within",
    "Breach")</f>
        <v>Breach</v>
      </c>
      <c r="M2703" s="1">
        <v>3.3796296296296296E-3</v>
      </c>
      <c r="N2703">
        <v>4</v>
      </c>
    </row>
    <row r="2704" spans="1:14" x14ac:dyDescent="0.3">
      <c r="A2704" t="s">
        <v>2774</v>
      </c>
      <c r="B2704" t="s">
        <v>22</v>
      </c>
      <c r="C2704" t="s">
        <v>2724</v>
      </c>
      <c r="D2704" s="1">
        <v>0.73</v>
      </c>
      <c r="E2704" s="2">
        <f>CallLog[[#This Row],[Date]]+CallLog[[#This Row],[Time]]</f>
        <v>44243.73</v>
      </c>
      <c r="F2704" s="1" t="str">
        <f>TEXT(CallLog[[#This Row],[Date]],"dddd")</f>
        <v>Tuesday</v>
      </c>
      <c r="G2704" s="3">
        <f>HOUR(CallLog[[#This Row],[Time]])</f>
        <v>17</v>
      </c>
      <c r="H2704" t="s">
        <v>13</v>
      </c>
      <c r="I2704" t="s">
        <v>14</v>
      </c>
      <c r="J2704" t="s">
        <v>14</v>
      </c>
      <c r="K2704">
        <v>50</v>
      </c>
      <c r="L2704" t="str">
        <f>IF(AND(CallLog[[#This Row],[Answered (Y/N)]]="Y", CallLog[[#This Row],[Speed of answer in seconds]]&lt;=20),
    "Within",
    "Breach")</f>
        <v>Breach</v>
      </c>
      <c r="M2704" s="1">
        <v>4.0046296296296297E-3</v>
      </c>
      <c r="N2704">
        <v>5</v>
      </c>
    </row>
    <row r="2705" spans="1:14" x14ac:dyDescent="0.3">
      <c r="A2705" t="s">
        <v>2775</v>
      </c>
      <c r="B2705" t="s">
        <v>16</v>
      </c>
      <c r="C2705" t="s">
        <v>2724</v>
      </c>
      <c r="D2705" s="1">
        <v>0.73</v>
      </c>
      <c r="E2705" s="2">
        <f>CallLog[[#This Row],[Date]]+CallLog[[#This Row],[Time]]</f>
        <v>44243.73</v>
      </c>
      <c r="F2705" s="1" t="str">
        <f>TEXT(CallLog[[#This Row],[Date]],"dddd")</f>
        <v>Tuesday</v>
      </c>
      <c r="G2705" s="3">
        <f>HOUR(CallLog[[#This Row],[Time]])</f>
        <v>17</v>
      </c>
      <c r="H2705" t="s">
        <v>29</v>
      </c>
      <c r="I2705" t="s">
        <v>14</v>
      </c>
      <c r="J2705" t="s">
        <v>18</v>
      </c>
      <c r="K2705">
        <v>22</v>
      </c>
      <c r="L2705" t="str">
        <f>IF(AND(CallLog[[#This Row],[Answered (Y/N)]]="Y", CallLog[[#This Row],[Speed of answer in seconds]]&lt;=20),
    "Within",
    "Breach")</f>
        <v>Breach</v>
      </c>
      <c r="M2705" s="1">
        <v>2.4421296296296296E-3</v>
      </c>
      <c r="N2705">
        <v>3</v>
      </c>
    </row>
    <row r="2706" spans="1:14" x14ac:dyDescent="0.3">
      <c r="A2706" t="s">
        <v>2776</v>
      </c>
      <c r="B2706" t="s">
        <v>11</v>
      </c>
      <c r="C2706" t="s">
        <v>2724</v>
      </c>
      <c r="D2706" s="1">
        <v>0.74</v>
      </c>
      <c r="E2706" s="2">
        <f>CallLog[[#This Row],[Date]]+CallLog[[#This Row],[Time]]</f>
        <v>44243.74</v>
      </c>
      <c r="F2706" s="1" t="str">
        <f>TEXT(CallLog[[#This Row],[Date]],"dddd")</f>
        <v>Tuesday</v>
      </c>
      <c r="G2706" s="3">
        <f>HOUR(CallLog[[#This Row],[Time]])</f>
        <v>17</v>
      </c>
      <c r="H2706" t="s">
        <v>13</v>
      </c>
      <c r="I2706" t="s">
        <v>14</v>
      </c>
      <c r="J2706" t="s">
        <v>14</v>
      </c>
      <c r="K2706">
        <v>100</v>
      </c>
      <c r="L2706" t="str">
        <f>IF(AND(CallLog[[#This Row],[Answered (Y/N)]]="Y", CallLog[[#This Row],[Speed of answer in seconds]]&lt;=20),
    "Within",
    "Breach")</f>
        <v>Breach</v>
      </c>
      <c r="M2706" s="1">
        <v>1.7939814814814815E-3</v>
      </c>
      <c r="N2706">
        <v>4</v>
      </c>
    </row>
    <row r="2707" spans="1:14" x14ac:dyDescent="0.3">
      <c r="A2707" t="s">
        <v>2777</v>
      </c>
      <c r="B2707" t="s">
        <v>20</v>
      </c>
      <c r="C2707" t="s">
        <v>2724</v>
      </c>
      <c r="D2707" s="1">
        <v>0.74</v>
      </c>
      <c r="E2707" s="2">
        <f>CallLog[[#This Row],[Date]]+CallLog[[#This Row],[Time]]</f>
        <v>44243.74</v>
      </c>
      <c r="F2707" s="1" t="str">
        <f>TEXT(CallLog[[#This Row],[Date]],"dddd")</f>
        <v>Tuesday</v>
      </c>
      <c r="G2707" s="3">
        <f>HOUR(CallLog[[#This Row],[Time]])</f>
        <v>17</v>
      </c>
      <c r="H2707" t="s">
        <v>32</v>
      </c>
      <c r="I2707" t="s">
        <v>14</v>
      </c>
      <c r="J2707" t="s">
        <v>14</v>
      </c>
      <c r="K2707">
        <v>101</v>
      </c>
      <c r="L2707" t="str">
        <f>IF(AND(CallLog[[#This Row],[Answered (Y/N)]]="Y", CallLog[[#This Row],[Speed of answer in seconds]]&lt;=20),
    "Within",
    "Breach")</f>
        <v>Breach</v>
      </c>
      <c r="M2707" s="1">
        <v>3.6458333333333334E-3</v>
      </c>
      <c r="N2707">
        <v>3</v>
      </c>
    </row>
    <row r="2708" spans="1:14" x14ac:dyDescent="0.3">
      <c r="A2708" t="s">
        <v>2778</v>
      </c>
      <c r="B2708" t="s">
        <v>16</v>
      </c>
      <c r="C2708" t="s">
        <v>2724</v>
      </c>
      <c r="D2708" s="1">
        <v>0.745</v>
      </c>
      <c r="E2708" s="2">
        <f>CallLog[[#This Row],[Date]]+CallLog[[#This Row],[Time]]</f>
        <v>44243.745000000003</v>
      </c>
      <c r="F2708" s="1" t="str">
        <f>TEXT(CallLog[[#This Row],[Date]],"dddd")</f>
        <v>Tuesday</v>
      </c>
      <c r="G2708" s="3">
        <f>HOUR(CallLog[[#This Row],[Time]])</f>
        <v>17</v>
      </c>
      <c r="H2708" t="s">
        <v>24</v>
      </c>
      <c r="I2708" t="s">
        <v>14</v>
      </c>
      <c r="J2708" t="s">
        <v>14</v>
      </c>
      <c r="K2708">
        <v>15</v>
      </c>
      <c r="L2708" t="str">
        <f>IF(AND(CallLog[[#This Row],[Answered (Y/N)]]="Y", CallLog[[#This Row],[Speed of answer in seconds]]&lt;=20),
    "Within",
    "Breach")</f>
        <v>Within</v>
      </c>
      <c r="M2708" s="1">
        <v>1.9560185185185184E-3</v>
      </c>
      <c r="N2708">
        <v>3</v>
      </c>
    </row>
    <row r="2709" spans="1:14" x14ac:dyDescent="0.3">
      <c r="A2709" t="s">
        <v>2779</v>
      </c>
      <c r="B2709" t="s">
        <v>11</v>
      </c>
      <c r="C2709" t="s">
        <v>2724</v>
      </c>
      <c r="D2709" s="1">
        <v>0.745</v>
      </c>
      <c r="E2709" s="2">
        <f>CallLog[[#This Row],[Date]]+CallLog[[#This Row],[Time]]</f>
        <v>44243.745000000003</v>
      </c>
      <c r="F2709" s="1" t="str">
        <f>TEXT(CallLog[[#This Row],[Date]],"dddd")</f>
        <v>Tuesday</v>
      </c>
      <c r="G2709" s="3">
        <f>HOUR(CallLog[[#This Row],[Time]])</f>
        <v>17</v>
      </c>
      <c r="H2709" t="s">
        <v>13</v>
      </c>
      <c r="I2709" t="s">
        <v>14</v>
      </c>
      <c r="J2709" t="s">
        <v>14</v>
      </c>
      <c r="K2709">
        <v>59</v>
      </c>
      <c r="L2709" t="str">
        <f>IF(AND(CallLog[[#This Row],[Answered (Y/N)]]="Y", CallLog[[#This Row],[Speed of answer in seconds]]&lt;=20),
    "Within",
    "Breach")</f>
        <v>Breach</v>
      </c>
      <c r="M2709" s="1">
        <v>3.1134259259259257E-3</v>
      </c>
      <c r="N2709">
        <v>5</v>
      </c>
    </row>
    <row r="2710" spans="1:14" x14ac:dyDescent="0.3">
      <c r="A2710" t="s">
        <v>2780</v>
      </c>
      <c r="B2710" t="s">
        <v>20</v>
      </c>
      <c r="C2710" t="s">
        <v>2781</v>
      </c>
      <c r="D2710" s="1">
        <v>0.3759953703703704</v>
      </c>
      <c r="E2710" s="2">
        <f>CallLog[[#This Row],[Date]]+CallLog[[#This Row],[Time]]</f>
        <v>44244.37599537037</v>
      </c>
      <c r="F2710" s="1" t="str">
        <f>TEXT(CallLog[[#This Row],[Date]],"dddd")</f>
        <v>Wednesday</v>
      </c>
      <c r="G2710" s="3">
        <f>HOUR(CallLog[[#This Row],[Time]])</f>
        <v>9</v>
      </c>
      <c r="H2710" t="s">
        <v>13</v>
      </c>
      <c r="I2710" t="s">
        <v>14</v>
      </c>
      <c r="J2710" t="s">
        <v>14</v>
      </c>
      <c r="K2710">
        <v>93</v>
      </c>
      <c r="L2710" t="str">
        <f>IF(AND(CallLog[[#This Row],[Answered (Y/N)]]="Y", CallLog[[#This Row],[Speed of answer in seconds]]&lt;=20),
    "Within",
    "Breach")</f>
        <v>Breach</v>
      </c>
      <c r="M2710" s="1">
        <v>2.2569444444444442E-3</v>
      </c>
      <c r="N2710">
        <v>3</v>
      </c>
    </row>
    <row r="2711" spans="1:14" x14ac:dyDescent="0.3">
      <c r="A2711" t="s">
        <v>2782</v>
      </c>
      <c r="B2711" t="s">
        <v>16</v>
      </c>
      <c r="C2711" t="s">
        <v>2781</v>
      </c>
      <c r="D2711" s="1">
        <v>0.3759953703703704</v>
      </c>
      <c r="E2711" s="2">
        <f>CallLog[[#This Row],[Date]]+CallLog[[#This Row],[Time]]</f>
        <v>44244.37599537037</v>
      </c>
      <c r="F2711" s="1" t="str">
        <f>TEXT(CallLog[[#This Row],[Date]],"dddd")</f>
        <v>Wednesday</v>
      </c>
      <c r="G2711" s="3">
        <f>HOUR(CallLog[[#This Row],[Time]])</f>
        <v>9</v>
      </c>
      <c r="H2711" t="s">
        <v>24</v>
      </c>
      <c r="I2711" t="s">
        <v>14</v>
      </c>
      <c r="J2711" t="s">
        <v>14</v>
      </c>
      <c r="K2711">
        <v>81</v>
      </c>
      <c r="L2711" t="str">
        <f>IF(AND(CallLog[[#This Row],[Answered (Y/N)]]="Y", CallLog[[#This Row],[Speed of answer in seconds]]&lt;=20),
    "Within",
    "Breach")</f>
        <v>Breach</v>
      </c>
      <c r="M2711" s="1">
        <v>4.4560185185185189E-3</v>
      </c>
      <c r="N2711">
        <v>4</v>
      </c>
    </row>
    <row r="2712" spans="1:14" x14ac:dyDescent="0.3">
      <c r="A2712" t="s">
        <v>2783</v>
      </c>
      <c r="B2712" t="s">
        <v>31</v>
      </c>
      <c r="C2712" t="s">
        <v>2781</v>
      </c>
      <c r="D2712" s="1">
        <v>0.38700231481481484</v>
      </c>
      <c r="E2712" s="2">
        <f>CallLog[[#This Row],[Date]]+CallLog[[#This Row],[Time]]</f>
        <v>44244.387002314812</v>
      </c>
      <c r="F2712" s="1" t="str">
        <f>TEXT(CallLog[[#This Row],[Date]],"dddd")</f>
        <v>Wednesday</v>
      </c>
      <c r="G2712" s="3">
        <f>HOUR(CallLog[[#This Row],[Time]])</f>
        <v>9</v>
      </c>
      <c r="H2712" t="s">
        <v>29</v>
      </c>
      <c r="I2712" t="s">
        <v>14</v>
      </c>
      <c r="J2712" t="s">
        <v>14</v>
      </c>
      <c r="K2712">
        <v>20</v>
      </c>
      <c r="L2712" t="str">
        <f>IF(AND(CallLog[[#This Row],[Answered (Y/N)]]="Y", CallLog[[#This Row],[Speed of answer in seconds]]&lt;=20),
    "Within",
    "Breach")</f>
        <v>Within</v>
      </c>
      <c r="M2712" s="1">
        <v>1.5162037037037036E-3</v>
      </c>
      <c r="N2712">
        <v>1</v>
      </c>
    </row>
    <row r="2713" spans="1:14" x14ac:dyDescent="0.3">
      <c r="A2713" t="s">
        <v>2784</v>
      </c>
      <c r="B2713" t="s">
        <v>22</v>
      </c>
      <c r="C2713" t="s">
        <v>2781</v>
      </c>
      <c r="D2713" s="1">
        <v>0.38700231481481484</v>
      </c>
      <c r="E2713" s="2">
        <f>CallLog[[#This Row],[Date]]+CallLog[[#This Row],[Time]]</f>
        <v>44244.387002314812</v>
      </c>
      <c r="F2713" s="1" t="str">
        <f>TEXT(CallLog[[#This Row],[Date]],"dddd")</f>
        <v>Wednesday</v>
      </c>
      <c r="G2713" s="3">
        <f>HOUR(CallLog[[#This Row],[Time]])</f>
        <v>9</v>
      </c>
      <c r="H2713" t="s">
        <v>13</v>
      </c>
      <c r="I2713" t="s">
        <v>14</v>
      </c>
      <c r="J2713" t="s">
        <v>14</v>
      </c>
      <c r="K2713">
        <v>47</v>
      </c>
      <c r="L2713" t="str">
        <f>IF(AND(CallLog[[#This Row],[Answered (Y/N)]]="Y", CallLog[[#This Row],[Speed of answer in seconds]]&lt;=20),
    "Within",
    "Breach")</f>
        <v>Breach</v>
      </c>
      <c r="M2713" s="1">
        <v>4.0509259259259258E-4</v>
      </c>
      <c r="N2713">
        <v>3</v>
      </c>
    </row>
    <row r="2714" spans="1:14" x14ac:dyDescent="0.3">
      <c r="A2714" t="s">
        <v>2785</v>
      </c>
      <c r="B2714" t="s">
        <v>11</v>
      </c>
      <c r="C2714" t="s">
        <v>2781</v>
      </c>
      <c r="D2714" s="1">
        <v>0.39099537037037035</v>
      </c>
      <c r="E2714" s="2">
        <f>CallLog[[#This Row],[Date]]+CallLog[[#This Row],[Time]]</f>
        <v>44244.39099537037</v>
      </c>
      <c r="F2714" s="1" t="str">
        <f>TEXT(CallLog[[#This Row],[Date]],"dddd")</f>
        <v>Wednesday</v>
      </c>
      <c r="G2714" s="3">
        <f>HOUR(CallLog[[#This Row],[Time]])</f>
        <v>9</v>
      </c>
      <c r="H2714" t="s">
        <v>29</v>
      </c>
      <c r="I2714" t="s">
        <v>14</v>
      </c>
      <c r="J2714" t="s">
        <v>18</v>
      </c>
      <c r="K2714">
        <v>17</v>
      </c>
      <c r="L2714" t="str">
        <f>IF(AND(CallLog[[#This Row],[Answered (Y/N)]]="Y", CallLog[[#This Row],[Speed of answer in seconds]]&lt;=20),
    "Within",
    "Breach")</f>
        <v>Within</v>
      </c>
      <c r="M2714" s="1">
        <v>2.1064814814814813E-3</v>
      </c>
      <c r="N2714">
        <v>1</v>
      </c>
    </row>
    <row r="2715" spans="1:14" x14ac:dyDescent="0.3">
      <c r="A2715" t="s">
        <v>2786</v>
      </c>
      <c r="B2715" t="s">
        <v>20</v>
      </c>
      <c r="C2715" t="s">
        <v>2781</v>
      </c>
      <c r="D2715" s="1">
        <v>0.39099537037037035</v>
      </c>
      <c r="E2715" s="2">
        <f>CallLog[[#This Row],[Date]]+CallLog[[#This Row],[Time]]</f>
        <v>44244.39099537037</v>
      </c>
      <c r="F2715" s="1" t="str">
        <f>TEXT(CallLog[[#This Row],[Date]],"dddd")</f>
        <v>Wednesday</v>
      </c>
      <c r="G2715" s="3">
        <f>HOUR(CallLog[[#This Row],[Time]])</f>
        <v>9</v>
      </c>
      <c r="H2715" t="s">
        <v>24</v>
      </c>
      <c r="I2715" t="s">
        <v>14</v>
      </c>
      <c r="J2715" t="s">
        <v>18</v>
      </c>
      <c r="K2715">
        <v>15</v>
      </c>
      <c r="L2715" t="str">
        <f>IF(AND(CallLog[[#This Row],[Answered (Y/N)]]="Y", CallLog[[#This Row],[Speed of answer in seconds]]&lt;=20),
    "Within",
    "Breach")</f>
        <v>Within</v>
      </c>
      <c r="M2715" s="1">
        <v>7.407407407407407E-4</v>
      </c>
      <c r="N2715">
        <v>3</v>
      </c>
    </row>
    <row r="2716" spans="1:14" x14ac:dyDescent="0.3">
      <c r="A2716" t="s">
        <v>2787</v>
      </c>
      <c r="B2716" t="s">
        <v>11</v>
      </c>
      <c r="C2716" t="s">
        <v>2781</v>
      </c>
      <c r="D2716" s="1">
        <v>0.39900462962962963</v>
      </c>
      <c r="E2716" s="2">
        <f>CallLog[[#This Row],[Date]]+CallLog[[#This Row],[Time]]</f>
        <v>44244.399004629631</v>
      </c>
      <c r="F2716" s="1" t="str">
        <f>TEXT(CallLog[[#This Row],[Date]],"dddd")</f>
        <v>Wednesday</v>
      </c>
      <c r="G2716" s="3">
        <f>HOUR(CallLog[[#This Row],[Time]])</f>
        <v>9</v>
      </c>
      <c r="H2716" t="s">
        <v>17</v>
      </c>
      <c r="I2716" t="s">
        <v>14</v>
      </c>
      <c r="J2716" t="s">
        <v>14</v>
      </c>
      <c r="K2716">
        <v>94</v>
      </c>
      <c r="L2716" t="str">
        <f>IF(AND(CallLog[[#This Row],[Answered (Y/N)]]="Y", CallLog[[#This Row],[Speed of answer in seconds]]&lt;=20),
    "Within",
    "Breach")</f>
        <v>Breach</v>
      </c>
      <c r="M2716" s="1">
        <v>4.2824074074074075E-3</v>
      </c>
      <c r="N2716">
        <v>5</v>
      </c>
    </row>
    <row r="2717" spans="1:14" x14ac:dyDescent="0.3">
      <c r="A2717" t="s">
        <v>2788</v>
      </c>
      <c r="B2717" t="s">
        <v>38</v>
      </c>
      <c r="C2717" t="s">
        <v>2781</v>
      </c>
      <c r="D2717" s="1">
        <v>0.39900462962962963</v>
      </c>
      <c r="E2717" s="2">
        <f>CallLog[[#This Row],[Date]]+CallLog[[#This Row],[Time]]</f>
        <v>44244.399004629631</v>
      </c>
      <c r="F2717" s="1" t="str">
        <f>TEXT(CallLog[[#This Row],[Date]],"dddd")</f>
        <v>Wednesday</v>
      </c>
      <c r="G2717" s="3">
        <f>HOUR(CallLog[[#This Row],[Time]])</f>
        <v>9</v>
      </c>
      <c r="H2717" t="s">
        <v>17</v>
      </c>
      <c r="I2717" t="s">
        <v>14</v>
      </c>
      <c r="J2717" t="s">
        <v>14</v>
      </c>
      <c r="K2717">
        <v>10</v>
      </c>
      <c r="L2717" t="str">
        <f>IF(AND(CallLog[[#This Row],[Answered (Y/N)]]="Y", CallLog[[#This Row],[Speed of answer in seconds]]&lt;=20),
    "Within",
    "Breach")</f>
        <v>Within</v>
      </c>
      <c r="M2717" s="1">
        <v>1.5625000000000001E-3</v>
      </c>
      <c r="N2717">
        <v>5</v>
      </c>
    </row>
    <row r="2718" spans="1:14" x14ac:dyDescent="0.3">
      <c r="A2718" t="s">
        <v>2789</v>
      </c>
      <c r="B2718" t="s">
        <v>34</v>
      </c>
      <c r="C2718" t="s">
        <v>2781</v>
      </c>
      <c r="D2718" s="1">
        <v>0.41200231481481481</v>
      </c>
      <c r="E2718" s="2">
        <f>CallLog[[#This Row],[Date]]+CallLog[[#This Row],[Time]]</f>
        <v>44244.412002314813</v>
      </c>
      <c r="F2718" s="1" t="str">
        <f>TEXT(CallLog[[#This Row],[Date]],"dddd")</f>
        <v>Wednesday</v>
      </c>
      <c r="G2718" s="3">
        <f>HOUR(CallLog[[#This Row],[Time]])</f>
        <v>9</v>
      </c>
      <c r="H2718" t="s">
        <v>29</v>
      </c>
      <c r="I2718" t="s">
        <v>14</v>
      </c>
      <c r="J2718" t="s">
        <v>14</v>
      </c>
      <c r="K2718">
        <v>96</v>
      </c>
      <c r="L2718" t="str">
        <f>IF(AND(CallLog[[#This Row],[Answered (Y/N)]]="Y", CallLog[[#This Row],[Speed of answer in seconds]]&lt;=20),
    "Within",
    "Breach")</f>
        <v>Breach</v>
      </c>
      <c r="M2718" s="1">
        <v>2.9166666666666668E-3</v>
      </c>
      <c r="N2718">
        <v>3</v>
      </c>
    </row>
    <row r="2719" spans="1:14" x14ac:dyDescent="0.3">
      <c r="A2719" t="s">
        <v>2790</v>
      </c>
      <c r="B2719" t="s">
        <v>34</v>
      </c>
      <c r="C2719" t="s">
        <v>2781</v>
      </c>
      <c r="D2719" s="1">
        <v>0.41200231481481481</v>
      </c>
      <c r="E2719" s="2">
        <f>CallLog[[#This Row],[Date]]+CallLog[[#This Row],[Time]]</f>
        <v>44244.412002314813</v>
      </c>
      <c r="F2719" s="1" t="str">
        <f>TEXT(CallLog[[#This Row],[Date]],"dddd")</f>
        <v>Wednesday</v>
      </c>
      <c r="G2719" s="3">
        <f>HOUR(CallLog[[#This Row],[Time]])</f>
        <v>9</v>
      </c>
      <c r="H2719" t="s">
        <v>29</v>
      </c>
      <c r="I2719" t="s">
        <v>14</v>
      </c>
      <c r="J2719" t="s">
        <v>14</v>
      </c>
      <c r="K2719">
        <v>32</v>
      </c>
      <c r="L2719" t="str">
        <f>IF(AND(CallLog[[#This Row],[Answered (Y/N)]]="Y", CallLog[[#This Row],[Speed of answer in seconds]]&lt;=20),
    "Within",
    "Breach")</f>
        <v>Breach</v>
      </c>
      <c r="M2719" s="1">
        <v>1.1689814814814816E-3</v>
      </c>
      <c r="N2719">
        <v>4</v>
      </c>
    </row>
    <row r="2720" spans="1:14" x14ac:dyDescent="0.3">
      <c r="A2720" t="s">
        <v>2791</v>
      </c>
      <c r="B2720" t="s">
        <v>16</v>
      </c>
      <c r="C2720" t="s">
        <v>2781</v>
      </c>
      <c r="D2720" s="1">
        <v>0.41599537037037038</v>
      </c>
      <c r="E2720" s="2">
        <f>CallLog[[#This Row],[Date]]+CallLog[[#This Row],[Time]]</f>
        <v>44244.415995370371</v>
      </c>
      <c r="F2720" s="1" t="str">
        <f>TEXT(CallLog[[#This Row],[Date]],"dddd")</f>
        <v>Wednesday</v>
      </c>
      <c r="G2720" s="3">
        <f>HOUR(CallLog[[#This Row],[Time]])</f>
        <v>9</v>
      </c>
      <c r="H2720" t="s">
        <v>32</v>
      </c>
      <c r="I2720" t="s">
        <v>14</v>
      </c>
      <c r="J2720" t="s">
        <v>14</v>
      </c>
      <c r="K2720">
        <v>36</v>
      </c>
      <c r="L2720" t="str">
        <f>IF(AND(CallLog[[#This Row],[Answered (Y/N)]]="Y", CallLog[[#This Row],[Speed of answer in seconds]]&lt;=20),
    "Within",
    "Breach")</f>
        <v>Breach</v>
      </c>
      <c r="M2720" s="1">
        <v>3.4953703703703705E-3</v>
      </c>
      <c r="N2720">
        <v>1</v>
      </c>
    </row>
    <row r="2721" spans="1:14" x14ac:dyDescent="0.3">
      <c r="A2721" t="s">
        <v>2792</v>
      </c>
      <c r="B2721" t="s">
        <v>38</v>
      </c>
      <c r="C2721" t="s">
        <v>2781</v>
      </c>
      <c r="D2721" s="1">
        <v>0.41599537037037038</v>
      </c>
      <c r="E2721" s="2">
        <f>CallLog[[#This Row],[Date]]+CallLog[[#This Row],[Time]]</f>
        <v>44244.415995370371</v>
      </c>
      <c r="F2721" s="1" t="str">
        <f>TEXT(CallLog[[#This Row],[Date]],"dddd")</f>
        <v>Wednesday</v>
      </c>
      <c r="G2721" s="3">
        <f>HOUR(CallLog[[#This Row],[Time]])</f>
        <v>9</v>
      </c>
      <c r="H2721" t="s">
        <v>32</v>
      </c>
      <c r="I2721" t="s">
        <v>14</v>
      </c>
      <c r="J2721" t="s">
        <v>14</v>
      </c>
      <c r="K2721">
        <v>50</v>
      </c>
      <c r="L2721" t="str">
        <f>IF(AND(CallLog[[#This Row],[Answered (Y/N)]]="Y", CallLog[[#This Row],[Speed of answer in seconds]]&lt;=20),
    "Within",
    "Breach")</f>
        <v>Breach</v>
      </c>
      <c r="M2721" s="1">
        <v>1.1805555555555556E-3</v>
      </c>
      <c r="N2721">
        <v>5</v>
      </c>
    </row>
    <row r="2722" spans="1:14" x14ac:dyDescent="0.3">
      <c r="A2722" t="s">
        <v>2793</v>
      </c>
      <c r="B2722" t="s">
        <v>20</v>
      </c>
      <c r="C2722" t="s">
        <v>2781</v>
      </c>
      <c r="D2722" s="1">
        <v>0.41900462962962964</v>
      </c>
      <c r="E2722" s="2">
        <f>CallLog[[#This Row],[Date]]+CallLog[[#This Row],[Time]]</f>
        <v>44244.419004629628</v>
      </c>
      <c r="F2722" s="1" t="str">
        <f>TEXT(CallLog[[#This Row],[Date]],"dddd")</f>
        <v>Wednesday</v>
      </c>
      <c r="G2722" s="3">
        <f>HOUR(CallLog[[#This Row],[Time]])</f>
        <v>10</v>
      </c>
      <c r="H2722" t="s">
        <v>24</v>
      </c>
      <c r="I2722" t="s">
        <v>18</v>
      </c>
      <c r="J2722" t="s">
        <v>18</v>
      </c>
      <c r="L2722" t="str">
        <f>IF(AND(CallLog[[#This Row],[Answered (Y/N)]]="Y", CallLog[[#This Row],[Speed of answer in seconds]]&lt;=20),
    "Within",
    "Breach")</f>
        <v>Breach</v>
      </c>
    </row>
    <row r="2723" spans="1:14" x14ac:dyDescent="0.3">
      <c r="A2723" t="s">
        <v>2794</v>
      </c>
      <c r="B2723" t="s">
        <v>38</v>
      </c>
      <c r="C2723" t="s">
        <v>2781</v>
      </c>
      <c r="D2723" s="1">
        <v>0.41900462962962964</v>
      </c>
      <c r="E2723" s="2">
        <f>CallLog[[#This Row],[Date]]+CallLog[[#This Row],[Time]]</f>
        <v>44244.419004629628</v>
      </c>
      <c r="F2723" s="1" t="str">
        <f>TEXT(CallLog[[#This Row],[Date]],"dddd")</f>
        <v>Wednesday</v>
      </c>
      <c r="G2723" s="3">
        <f>HOUR(CallLog[[#This Row],[Time]])</f>
        <v>10</v>
      </c>
      <c r="H2723" t="s">
        <v>24</v>
      </c>
      <c r="I2723" t="s">
        <v>14</v>
      </c>
      <c r="J2723" t="s">
        <v>14</v>
      </c>
      <c r="K2723">
        <v>89</v>
      </c>
      <c r="L2723" t="str">
        <f>IF(AND(CallLog[[#This Row],[Answered (Y/N)]]="Y", CallLog[[#This Row],[Speed of answer in seconds]]&lt;=20),
    "Within",
    "Breach")</f>
        <v>Breach</v>
      </c>
      <c r="M2723" s="1">
        <v>3.8194444444444452E-4</v>
      </c>
      <c r="N2723">
        <v>2</v>
      </c>
    </row>
    <row r="2724" spans="1:14" x14ac:dyDescent="0.3">
      <c r="A2724" t="s">
        <v>2795</v>
      </c>
      <c r="B2724" t="s">
        <v>11</v>
      </c>
      <c r="C2724" t="s">
        <v>2781</v>
      </c>
      <c r="D2724" s="1">
        <v>0.44200231481481483</v>
      </c>
      <c r="E2724" s="2">
        <f>CallLog[[#This Row],[Date]]+CallLog[[#This Row],[Time]]</f>
        <v>44244.442002314812</v>
      </c>
      <c r="F2724" s="1" t="str">
        <f>TEXT(CallLog[[#This Row],[Date]],"dddd")</f>
        <v>Wednesday</v>
      </c>
      <c r="G2724" s="3">
        <f>HOUR(CallLog[[#This Row],[Time]])</f>
        <v>10</v>
      </c>
      <c r="H2724" t="s">
        <v>13</v>
      </c>
      <c r="I2724" t="s">
        <v>18</v>
      </c>
      <c r="J2724" t="s">
        <v>18</v>
      </c>
      <c r="L2724" t="str">
        <f>IF(AND(CallLog[[#This Row],[Answered (Y/N)]]="Y", CallLog[[#This Row],[Speed of answer in seconds]]&lt;=20),
    "Within",
    "Breach")</f>
        <v>Breach</v>
      </c>
    </row>
    <row r="2725" spans="1:14" x14ac:dyDescent="0.3">
      <c r="A2725" t="s">
        <v>2796</v>
      </c>
      <c r="B2725" t="s">
        <v>34</v>
      </c>
      <c r="C2725" t="s">
        <v>2781</v>
      </c>
      <c r="D2725" s="1">
        <v>0.44200231481481483</v>
      </c>
      <c r="E2725" s="2">
        <f>CallLog[[#This Row],[Date]]+CallLog[[#This Row],[Time]]</f>
        <v>44244.442002314812</v>
      </c>
      <c r="F2725" s="1" t="str">
        <f>TEXT(CallLog[[#This Row],[Date]],"dddd")</f>
        <v>Wednesday</v>
      </c>
      <c r="G2725" s="3">
        <f>HOUR(CallLog[[#This Row],[Time]])</f>
        <v>10</v>
      </c>
      <c r="H2725" t="s">
        <v>29</v>
      </c>
      <c r="I2725" t="s">
        <v>14</v>
      </c>
      <c r="J2725" t="s">
        <v>14</v>
      </c>
      <c r="K2725">
        <v>114</v>
      </c>
      <c r="L2725" t="str">
        <f>IF(AND(CallLog[[#This Row],[Answered (Y/N)]]="Y", CallLog[[#This Row],[Speed of answer in seconds]]&lt;=20),
    "Within",
    "Breach")</f>
        <v>Breach</v>
      </c>
      <c r="M2725" s="1">
        <v>4.0162037037037041E-3</v>
      </c>
      <c r="N2725">
        <v>5</v>
      </c>
    </row>
    <row r="2726" spans="1:14" x14ac:dyDescent="0.3">
      <c r="A2726" t="s">
        <v>2797</v>
      </c>
      <c r="B2726" t="s">
        <v>38</v>
      </c>
      <c r="C2726" t="s">
        <v>2781</v>
      </c>
      <c r="D2726" s="1">
        <v>0.44700231481481484</v>
      </c>
      <c r="E2726" s="2">
        <f>CallLog[[#This Row],[Date]]+CallLog[[#This Row],[Time]]</f>
        <v>44244.447002314817</v>
      </c>
      <c r="F2726" s="1" t="str">
        <f>TEXT(CallLog[[#This Row],[Date]],"dddd")</f>
        <v>Wednesday</v>
      </c>
      <c r="G2726" s="3">
        <f>HOUR(CallLog[[#This Row],[Time]])</f>
        <v>10</v>
      </c>
      <c r="H2726" t="s">
        <v>32</v>
      </c>
      <c r="I2726" t="s">
        <v>14</v>
      </c>
      <c r="J2726" t="s">
        <v>14</v>
      </c>
      <c r="K2726">
        <v>44</v>
      </c>
      <c r="L2726" t="str">
        <f>IF(AND(CallLog[[#This Row],[Answered (Y/N)]]="Y", CallLog[[#This Row],[Speed of answer in seconds]]&lt;=20),
    "Within",
    "Breach")</f>
        <v>Breach</v>
      </c>
      <c r="M2726" s="1">
        <v>4.5254629629629629E-3</v>
      </c>
      <c r="N2726">
        <v>5</v>
      </c>
    </row>
    <row r="2727" spans="1:14" x14ac:dyDescent="0.3">
      <c r="A2727" t="s">
        <v>2798</v>
      </c>
      <c r="B2727" t="s">
        <v>34</v>
      </c>
      <c r="C2727" t="s">
        <v>2781</v>
      </c>
      <c r="D2727" s="1">
        <v>0.44700231481481484</v>
      </c>
      <c r="E2727" s="2">
        <f>CallLog[[#This Row],[Date]]+CallLog[[#This Row],[Time]]</f>
        <v>44244.447002314817</v>
      </c>
      <c r="F2727" s="1" t="str">
        <f>TEXT(CallLog[[#This Row],[Date]],"dddd")</f>
        <v>Wednesday</v>
      </c>
      <c r="G2727" s="3">
        <f>HOUR(CallLog[[#This Row],[Time]])</f>
        <v>10</v>
      </c>
      <c r="H2727" t="s">
        <v>29</v>
      </c>
      <c r="I2727" t="s">
        <v>14</v>
      </c>
      <c r="J2727" t="s">
        <v>14</v>
      </c>
      <c r="K2727">
        <v>100</v>
      </c>
      <c r="L2727" t="str">
        <f>IF(AND(CallLog[[#This Row],[Answered (Y/N)]]="Y", CallLog[[#This Row],[Speed of answer in seconds]]&lt;=20),
    "Within",
    "Breach")</f>
        <v>Breach</v>
      </c>
      <c r="M2727" s="1">
        <v>4.2361111111111115E-3</v>
      </c>
      <c r="N2727">
        <v>5</v>
      </c>
    </row>
    <row r="2728" spans="1:14" x14ac:dyDescent="0.3">
      <c r="A2728" t="s">
        <v>2799</v>
      </c>
      <c r="B2728" t="s">
        <v>31</v>
      </c>
      <c r="C2728" t="s">
        <v>2781</v>
      </c>
      <c r="D2728" s="1">
        <v>0.47499999999999998</v>
      </c>
      <c r="E2728" s="2">
        <f>CallLog[[#This Row],[Date]]+CallLog[[#This Row],[Time]]</f>
        <v>44244.474999999999</v>
      </c>
      <c r="F2728" s="1" t="str">
        <f>TEXT(CallLog[[#This Row],[Date]],"dddd")</f>
        <v>Wednesday</v>
      </c>
      <c r="G2728" s="3">
        <f>HOUR(CallLog[[#This Row],[Time]])</f>
        <v>11</v>
      </c>
      <c r="H2728" t="s">
        <v>24</v>
      </c>
      <c r="I2728" t="s">
        <v>18</v>
      </c>
      <c r="J2728" t="s">
        <v>18</v>
      </c>
      <c r="L2728" t="str">
        <f>IF(AND(CallLog[[#This Row],[Answered (Y/N)]]="Y", CallLog[[#This Row],[Speed of answer in seconds]]&lt;=20),
    "Within",
    "Breach")</f>
        <v>Breach</v>
      </c>
    </row>
    <row r="2729" spans="1:14" x14ac:dyDescent="0.3">
      <c r="A2729" t="s">
        <v>2800</v>
      </c>
      <c r="B2729" t="s">
        <v>31</v>
      </c>
      <c r="C2729" t="s">
        <v>2781</v>
      </c>
      <c r="D2729" s="1">
        <v>0.47499999999999998</v>
      </c>
      <c r="E2729" s="2">
        <f>CallLog[[#This Row],[Date]]+CallLog[[#This Row],[Time]]</f>
        <v>44244.474999999999</v>
      </c>
      <c r="F2729" s="1" t="str">
        <f>TEXT(CallLog[[#This Row],[Date]],"dddd")</f>
        <v>Wednesday</v>
      </c>
      <c r="G2729" s="3">
        <f>HOUR(CallLog[[#This Row],[Time]])</f>
        <v>11</v>
      </c>
      <c r="H2729" t="s">
        <v>13</v>
      </c>
      <c r="I2729" t="s">
        <v>14</v>
      </c>
      <c r="J2729" t="s">
        <v>14</v>
      </c>
      <c r="K2729">
        <v>70</v>
      </c>
      <c r="L2729" t="str">
        <f>IF(AND(CallLog[[#This Row],[Answered (Y/N)]]="Y", CallLog[[#This Row],[Speed of answer in seconds]]&lt;=20),
    "Within",
    "Breach")</f>
        <v>Breach</v>
      </c>
      <c r="M2729" s="1">
        <v>5.6712962962962967E-4</v>
      </c>
      <c r="N2729">
        <v>4</v>
      </c>
    </row>
    <row r="2730" spans="1:14" x14ac:dyDescent="0.3">
      <c r="A2730" t="s">
        <v>2801</v>
      </c>
      <c r="B2730" t="s">
        <v>38</v>
      </c>
      <c r="C2730" t="s">
        <v>2781</v>
      </c>
      <c r="D2730" s="1">
        <v>0.47499999999999998</v>
      </c>
      <c r="E2730" s="2">
        <f>CallLog[[#This Row],[Date]]+CallLog[[#This Row],[Time]]</f>
        <v>44244.474999999999</v>
      </c>
      <c r="F2730" s="1" t="str">
        <f>TEXT(CallLog[[#This Row],[Date]],"dddd")</f>
        <v>Wednesday</v>
      </c>
      <c r="G2730" s="3">
        <f>HOUR(CallLog[[#This Row],[Time]])</f>
        <v>11</v>
      </c>
      <c r="H2730" t="s">
        <v>13</v>
      </c>
      <c r="I2730" t="s">
        <v>14</v>
      </c>
      <c r="J2730" t="s">
        <v>14</v>
      </c>
      <c r="K2730">
        <v>16</v>
      </c>
      <c r="L2730" t="str">
        <f>IF(AND(CallLog[[#This Row],[Answered (Y/N)]]="Y", CallLog[[#This Row],[Speed of answer in seconds]]&lt;=20),
    "Within",
    "Breach")</f>
        <v>Within</v>
      </c>
      <c r="M2730" s="1">
        <v>2.8124999999999999E-3</v>
      </c>
      <c r="N2730">
        <v>4</v>
      </c>
    </row>
    <row r="2731" spans="1:14" x14ac:dyDescent="0.3">
      <c r="A2731" t="s">
        <v>2802</v>
      </c>
      <c r="B2731" t="s">
        <v>16</v>
      </c>
      <c r="C2731" t="s">
        <v>2781</v>
      </c>
      <c r="D2731" s="1">
        <v>0.47499999999999998</v>
      </c>
      <c r="E2731" s="2">
        <f>CallLog[[#This Row],[Date]]+CallLog[[#This Row],[Time]]</f>
        <v>44244.474999999999</v>
      </c>
      <c r="F2731" s="1" t="str">
        <f>TEXT(CallLog[[#This Row],[Date]],"dddd")</f>
        <v>Wednesday</v>
      </c>
      <c r="G2731" s="3">
        <f>HOUR(CallLog[[#This Row],[Time]])</f>
        <v>11</v>
      </c>
      <c r="H2731" t="s">
        <v>29</v>
      </c>
      <c r="I2731" t="s">
        <v>14</v>
      </c>
      <c r="J2731" t="s">
        <v>14</v>
      </c>
      <c r="K2731">
        <v>49</v>
      </c>
      <c r="L2731" t="str">
        <f>IF(AND(CallLog[[#This Row],[Answered (Y/N)]]="Y", CallLog[[#This Row],[Speed of answer in seconds]]&lt;=20),
    "Within",
    "Breach")</f>
        <v>Breach</v>
      </c>
      <c r="M2731" s="1">
        <v>7.407407407407407E-4</v>
      </c>
      <c r="N2731">
        <v>4</v>
      </c>
    </row>
    <row r="2732" spans="1:14" x14ac:dyDescent="0.3">
      <c r="A2732" t="s">
        <v>2803</v>
      </c>
      <c r="B2732" t="s">
        <v>34</v>
      </c>
      <c r="C2732" t="s">
        <v>2781</v>
      </c>
      <c r="D2732" s="1">
        <v>0.47799768518518521</v>
      </c>
      <c r="E2732" s="2">
        <f>CallLog[[#This Row],[Date]]+CallLog[[#This Row],[Time]]</f>
        <v>44244.477997685186</v>
      </c>
      <c r="F2732" s="1" t="str">
        <f>TEXT(CallLog[[#This Row],[Date]],"dddd")</f>
        <v>Wednesday</v>
      </c>
      <c r="G2732" s="3">
        <f>HOUR(CallLog[[#This Row],[Time]])</f>
        <v>11</v>
      </c>
      <c r="H2732" t="s">
        <v>32</v>
      </c>
      <c r="I2732" t="s">
        <v>14</v>
      </c>
      <c r="J2732" t="s">
        <v>14</v>
      </c>
      <c r="K2732">
        <v>96</v>
      </c>
      <c r="L2732" t="str">
        <f>IF(AND(CallLog[[#This Row],[Answered (Y/N)]]="Y", CallLog[[#This Row],[Speed of answer in seconds]]&lt;=20),
    "Within",
    "Breach")</f>
        <v>Breach</v>
      </c>
      <c r="M2732" s="1">
        <v>4.0277777777777777E-3</v>
      </c>
      <c r="N2732">
        <v>4</v>
      </c>
    </row>
    <row r="2733" spans="1:14" x14ac:dyDescent="0.3">
      <c r="A2733" t="s">
        <v>2804</v>
      </c>
      <c r="B2733" t="s">
        <v>22</v>
      </c>
      <c r="C2733" t="s">
        <v>2781</v>
      </c>
      <c r="D2733" s="1">
        <v>0.47799768518518521</v>
      </c>
      <c r="E2733" s="2">
        <f>CallLog[[#This Row],[Date]]+CallLog[[#This Row],[Time]]</f>
        <v>44244.477997685186</v>
      </c>
      <c r="F2733" s="1" t="str">
        <f>TEXT(CallLog[[#This Row],[Date]],"dddd")</f>
        <v>Wednesday</v>
      </c>
      <c r="G2733" s="3">
        <f>HOUR(CallLog[[#This Row],[Time]])</f>
        <v>11</v>
      </c>
      <c r="H2733" t="s">
        <v>29</v>
      </c>
      <c r="I2733" t="s">
        <v>14</v>
      </c>
      <c r="J2733" t="s">
        <v>14</v>
      </c>
      <c r="K2733">
        <v>85</v>
      </c>
      <c r="L2733" t="str">
        <f>IF(AND(CallLog[[#This Row],[Answered (Y/N)]]="Y", CallLog[[#This Row],[Speed of answer in seconds]]&lt;=20),
    "Within",
    "Breach")</f>
        <v>Breach</v>
      </c>
      <c r="M2733" s="1">
        <v>3.8888888888888888E-3</v>
      </c>
      <c r="N2733">
        <v>4</v>
      </c>
    </row>
    <row r="2734" spans="1:14" x14ac:dyDescent="0.3">
      <c r="A2734" t="s">
        <v>2805</v>
      </c>
      <c r="B2734" t="s">
        <v>38</v>
      </c>
      <c r="C2734" t="s">
        <v>2781</v>
      </c>
      <c r="D2734" s="1">
        <v>0.48799768518518516</v>
      </c>
      <c r="E2734" s="2">
        <f>CallLog[[#This Row],[Date]]+CallLog[[#This Row],[Time]]</f>
        <v>44244.487997685188</v>
      </c>
      <c r="F2734" s="1" t="str">
        <f>TEXT(CallLog[[#This Row],[Date]],"dddd")</f>
        <v>Wednesday</v>
      </c>
      <c r="G2734" s="3">
        <f>HOUR(CallLog[[#This Row],[Time]])</f>
        <v>11</v>
      </c>
      <c r="H2734" t="s">
        <v>13</v>
      </c>
      <c r="I2734" t="s">
        <v>14</v>
      </c>
      <c r="J2734" t="s">
        <v>14</v>
      </c>
      <c r="K2734">
        <v>65</v>
      </c>
      <c r="L2734" t="str">
        <f>IF(AND(CallLog[[#This Row],[Answered (Y/N)]]="Y", CallLog[[#This Row],[Speed of answer in seconds]]&lt;=20),
    "Within",
    "Breach")</f>
        <v>Breach</v>
      </c>
      <c r="M2734" s="1">
        <v>3.8078703703703703E-3</v>
      </c>
      <c r="N2734">
        <v>2</v>
      </c>
    </row>
    <row r="2735" spans="1:14" x14ac:dyDescent="0.3">
      <c r="A2735" t="s">
        <v>2806</v>
      </c>
      <c r="B2735" t="s">
        <v>38</v>
      </c>
      <c r="C2735" t="s">
        <v>2781</v>
      </c>
      <c r="D2735" s="1">
        <v>0.48799768518518516</v>
      </c>
      <c r="E2735" s="2">
        <f>CallLog[[#This Row],[Date]]+CallLog[[#This Row],[Time]]</f>
        <v>44244.487997685188</v>
      </c>
      <c r="F2735" s="1" t="str">
        <f>TEXT(CallLog[[#This Row],[Date]],"dddd")</f>
        <v>Wednesday</v>
      </c>
      <c r="G2735" s="3">
        <f>HOUR(CallLog[[#This Row],[Time]])</f>
        <v>11</v>
      </c>
      <c r="H2735" t="s">
        <v>24</v>
      </c>
      <c r="I2735" t="s">
        <v>14</v>
      </c>
      <c r="J2735" t="s">
        <v>14</v>
      </c>
      <c r="K2735">
        <v>67</v>
      </c>
      <c r="L2735" t="str">
        <f>IF(AND(CallLog[[#This Row],[Answered (Y/N)]]="Y", CallLog[[#This Row],[Speed of answer in seconds]]&lt;=20),
    "Within",
    "Breach")</f>
        <v>Breach</v>
      </c>
      <c r="M2735" s="1">
        <v>3.4722222222222218E-4</v>
      </c>
      <c r="N2735">
        <v>4</v>
      </c>
    </row>
    <row r="2736" spans="1:14" x14ac:dyDescent="0.3">
      <c r="A2736" t="s">
        <v>2807</v>
      </c>
      <c r="B2736" t="s">
        <v>22</v>
      </c>
      <c r="C2736" t="s">
        <v>2781</v>
      </c>
      <c r="D2736" s="1">
        <v>0.50400462962962966</v>
      </c>
      <c r="E2736" s="2">
        <f>CallLog[[#This Row],[Date]]+CallLog[[#This Row],[Time]]</f>
        <v>44244.504004629627</v>
      </c>
      <c r="F2736" s="1" t="str">
        <f>TEXT(CallLog[[#This Row],[Date]],"dddd")</f>
        <v>Wednesday</v>
      </c>
      <c r="G2736" s="3">
        <f>HOUR(CallLog[[#This Row],[Time]])</f>
        <v>12</v>
      </c>
      <c r="H2736" t="s">
        <v>24</v>
      </c>
      <c r="I2736" t="s">
        <v>14</v>
      </c>
      <c r="J2736" t="s">
        <v>14</v>
      </c>
      <c r="K2736">
        <v>50</v>
      </c>
      <c r="L2736" t="str">
        <f>IF(AND(CallLog[[#This Row],[Answered (Y/N)]]="Y", CallLog[[#This Row],[Speed of answer in seconds]]&lt;=20),
    "Within",
    "Breach")</f>
        <v>Breach</v>
      </c>
      <c r="M2736" s="1">
        <v>7.9861111111111116E-4</v>
      </c>
      <c r="N2736">
        <v>4</v>
      </c>
    </row>
    <row r="2737" spans="1:14" x14ac:dyDescent="0.3">
      <c r="A2737" t="s">
        <v>2808</v>
      </c>
      <c r="B2737" t="s">
        <v>16</v>
      </c>
      <c r="C2737" t="s">
        <v>2781</v>
      </c>
      <c r="D2737" s="1">
        <v>0.50400462962962966</v>
      </c>
      <c r="E2737" s="2">
        <f>CallLog[[#This Row],[Date]]+CallLog[[#This Row],[Time]]</f>
        <v>44244.504004629627</v>
      </c>
      <c r="F2737" s="1" t="str">
        <f>TEXT(CallLog[[#This Row],[Date]],"dddd")</f>
        <v>Wednesday</v>
      </c>
      <c r="G2737" s="3">
        <f>HOUR(CallLog[[#This Row],[Time]])</f>
        <v>12</v>
      </c>
      <c r="H2737" t="s">
        <v>32</v>
      </c>
      <c r="I2737" t="s">
        <v>18</v>
      </c>
      <c r="J2737" t="s">
        <v>18</v>
      </c>
      <c r="L2737" t="str">
        <f>IF(AND(CallLog[[#This Row],[Answered (Y/N)]]="Y", CallLog[[#This Row],[Speed of answer in seconds]]&lt;=20),
    "Within",
    "Breach")</f>
        <v>Breach</v>
      </c>
    </row>
    <row r="2738" spans="1:14" x14ac:dyDescent="0.3">
      <c r="A2738" t="s">
        <v>2809</v>
      </c>
      <c r="B2738" t="s">
        <v>11</v>
      </c>
      <c r="C2738" t="s">
        <v>2781</v>
      </c>
      <c r="D2738" s="1">
        <v>0.50700231481481484</v>
      </c>
      <c r="E2738" s="2">
        <f>CallLog[[#This Row],[Date]]+CallLog[[#This Row],[Time]]</f>
        <v>44244.507002314815</v>
      </c>
      <c r="F2738" s="1" t="str">
        <f>TEXT(CallLog[[#This Row],[Date]],"dddd")</f>
        <v>Wednesday</v>
      </c>
      <c r="G2738" s="3">
        <f>HOUR(CallLog[[#This Row],[Time]])</f>
        <v>12</v>
      </c>
      <c r="H2738" t="s">
        <v>13</v>
      </c>
      <c r="I2738" t="s">
        <v>14</v>
      </c>
      <c r="J2738" t="s">
        <v>14</v>
      </c>
      <c r="K2738">
        <v>79</v>
      </c>
      <c r="L2738" t="str">
        <f>IF(AND(CallLog[[#This Row],[Answered (Y/N)]]="Y", CallLog[[#This Row],[Speed of answer in seconds]]&lt;=20),
    "Within",
    "Breach")</f>
        <v>Breach</v>
      </c>
      <c r="M2738" s="1">
        <v>2.3379629629629631E-3</v>
      </c>
      <c r="N2738">
        <v>3</v>
      </c>
    </row>
    <row r="2739" spans="1:14" x14ac:dyDescent="0.3">
      <c r="A2739" t="s">
        <v>2810</v>
      </c>
      <c r="B2739" t="s">
        <v>22</v>
      </c>
      <c r="C2739" t="s">
        <v>2781</v>
      </c>
      <c r="D2739" s="1">
        <v>0.50700231481481484</v>
      </c>
      <c r="E2739" s="2">
        <f>CallLog[[#This Row],[Date]]+CallLog[[#This Row],[Time]]</f>
        <v>44244.507002314815</v>
      </c>
      <c r="F2739" s="1" t="str">
        <f>TEXT(CallLog[[#This Row],[Date]],"dddd")</f>
        <v>Wednesday</v>
      </c>
      <c r="G2739" s="3">
        <f>HOUR(CallLog[[#This Row],[Time]])</f>
        <v>12</v>
      </c>
      <c r="H2739" t="s">
        <v>17</v>
      </c>
      <c r="I2739" t="s">
        <v>14</v>
      </c>
      <c r="J2739" t="s">
        <v>14</v>
      </c>
      <c r="K2739">
        <v>107</v>
      </c>
      <c r="L2739" t="str">
        <f>IF(AND(CallLog[[#This Row],[Answered (Y/N)]]="Y", CallLog[[#This Row],[Speed of answer in seconds]]&lt;=20),
    "Within",
    "Breach")</f>
        <v>Breach</v>
      </c>
      <c r="M2739" s="1">
        <v>2.6967592592592594E-3</v>
      </c>
      <c r="N2739">
        <v>4</v>
      </c>
    </row>
    <row r="2740" spans="1:14" x14ac:dyDescent="0.3">
      <c r="A2740" t="s">
        <v>2811</v>
      </c>
      <c r="B2740" t="s">
        <v>38</v>
      </c>
      <c r="C2740" t="s">
        <v>2781</v>
      </c>
      <c r="D2740" s="1">
        <v>0.50799768518518518</v>
      </c>
      <c r="E2740" s="2">
        <f>CallLog[[#This Row],[Date]]+CallLog[[#This Row],[Time]]</f>
        <v>44244.507997685185</v>
      </c>
      <c r="F2740" s="1" t="str">
        <f>TEXT(CallLog[[#This Row],[Date]],"dddd")</f>
        <v>Wednesday</v>
      </c>
      <c r="G2740" s="3">
        <f>HOUR(CallLog[[#This Row],[Time]])</f>
        <v>12</v>
      </c>
      <c r="H2740" t="s">
        <v>13</v>
      </c>
      <c r="I2740" t="s">
        <v>14</v>
      </c>
      <c r="J2740" t="s">
        <v>18</v>
      </c>
      <c r="K2740">
        <v>52</v>
      </c>
      <c r="L2740" t="str">
        <f>IF(AND(CallLog[[#This Row],[Answered (Y/N)]]="Y", CallLog[[#This Row],[Speed of answer in seconds]]&lt;=20),
    "Within",
    "Breach")</f>
        <v>Breach</v>
      </c>
      <c r="M2740" s="1">
        <v>3.3564814814814816E-3</v>
      </c>
      <c r="N2740">
        <v>1</v>
      </c>
    </row>
    <row r="2741" spans="1:14" x14ac:dyDescent="0.3">
      <c r="A2741" t="s">
        <v>2812</v>
      </c>
      <c r="B2741" t="s">
        <v>31</v>
      </c>
      <c r="C2741" t="s">
        <v>2781</v>
      </c>
      <c r="D2741" s="1">
        <v>0.50799768518518518</v>
      </c>
      <c r="E2741" s="2">
        <f>CallLog[[#This Row],[Date]]+CallLog[[#This Row],[Time]]</f>
        <v>44244.507997685185</v>
      </c>
      <c r="F2741" s="1" t="str">
        <f>TEXT(CallLog[[#This Row],[Date]],"dddd")</f>
        <v>Wednesday</v>
      </c>
      <c r="G2741" s="3">
        <f>HOUR(CallLog[[#This Row],[Time]])</f>
        <v>12</v>
      </c>
      <c r="H2741" t="s">
        <v>32</v>
      </c>
      <c r="I2741" t="s">
        <v>14</v>
      </c>
      <c r="J2741" t="s">
        <v>18</v>
      </c>
      <c r="K2741">
        <v>104</v>
      </c>
      <c r="L2741" t="str">
        <f>IF(AND(CallLog[[#This Row],[Answered (Y/N)]]="Y", CallLog[[#This Row],[Speed of answer in seconds]]&lt;=20),
    "Within",
    "Breach")</f>
        <v>Breach</v>
      </c>
      <c r="M2741" s="1">
        <v>4.4560185185185189E-3</v>
      </c>
      <c r="N2741">
        <v>1</v>
      </c>
    </row>
    <row r="2742" spans="1:14" x14ac:dyDescent="0.3">
      <c r="A2742" t="s">
        <v>2813</v>
      </c>
      <c r="B2742" t="s">
        <v>34</v>
      </c>
      <c r="C2742" t="s">
        <v>2781</v>
      </c>
      <c r="D2742" s="1">
        <v>0.51200231481481484</v>
      </c>
      <c r="E2742" s="2">
        <f>CallLog[[#This Row],[Date]]+CallLog[[#This Row],[Time]]</f>
        <v>44244.512002314812</v>
      </c>
      <c r="F2742" s="1" t="str">
        <f>TEXT(CallLog[[#This Row],[Date]],"dddd")</f>
        <v>Wednesday</v>
      </c>
      <c r="G2742" s="3">
        <f>HOUR(CallLog[[#This Row],[Time]])</f>
        <v>12</v>
      </c>
      <c r="H2742" t="s">
        <v>29</v>
      </c>
      <c r="I2742" t="s">
        <v>18</v>
      </c>
      <c r="J2742" t="s">
        <v>18</v>
      </c>
      <c r="L2742" t="str">
        <f>IF(AND(CallLog[[#This Row],[Answered (Y/N)]]="Y", CallLog[[#This Row],[Speed of answer in seconds]]&lt;=20),
    "Within",
    "Breach")</f>
        <v>Breach</v>
      </c>
    </row>
    <row r="2743" spans="1:14" x14ac:dyDescent="0.3">
      <c r="A2743" t="s">
        <v>2814</v>
      </c>
      <c r="B2743" t="s">
        <v>31</v>
      </c>
      <c r="C2743" t="s">
        <v>2781</v>
      </c>
      <c r="D2743" s="1">
        <v>0.51200231481481484</v>
      </c>
      <c r="E2743" s="2">
        <f>CallLog[[#This Row],[Date]]+CallLog[[#This Row],[Time]]</f>
        <v>44244.512002314812</v>
      </c>
      <c r="F2743" s="1" t="str">
        <f>TEXT(CallLog[[#This Row],[Date]],"dddd")</f>
        <v>Wednesday</v>
      </c>
      <c r="G2743" s="3">
        <f>HOUR(CallLog[[#This Row],[Time]])</f>
        <v>12</v>
      </c>
      <c r="H2743" t="s">
        <v>13</v>
      </c>
      <c r="I2743" t="s">
        <v>14</v>
      </c>
      <c r="J2743" t="s">
        <v>14</v>
      </c>
      <c r="K2743">
        <v>63</v>
      </c>
      <c r="L2743" t="str">
        <f>IF(AND(CallLog[[#This Row],[Answered (Y/N)]]="Y", CallLog[[#This Row],[Speed of answer in seconds]]&lt;=20),
    "Within",
    "Breach")</f>
        <v>Breach</v>
      </c>
      <c r="M2743" s="1">
        <v>6.2500000000000001E-4</v>
      </c>
      <c r="N2743">
        <v>1</v>
      </c>
    </row>
    <row r="2744" spans="1:14" x14ac:dyDescent="0.3">
      <c r="A2744" t="s">
        <v>2815</v>
      </c>
      <c r="B2744" t="s">
        <v>16</v>
      </c>
      <c r="C2744" t="s">
        <v>2781</v>
      </c>
      <c r="D2744" s="1">
        <v>0.54400462962962959</v>
      </c>
      <c r="E2744" s="2">
        <f>CallLog[[#This Row],[Date]]+CallLog[[#This Row],[Time]]</f>
        <v>44244.544004629628</v>
      </c>
      <c r="F2744" s="1" t="str">
        <f>TEXT(CallLog[[#This Row],[Date]],"dddd")</f>
        <v>Wednesday</v>
      </c>
      <c r="G2744" s="3">
        <f>HOUR(CallLog[[#This Row],[Time]])</f>
        <v>13</v>
      </c>
      <c r="H2744" t="s">
        <v>17</v>
      </c>
      <c r="I2744" t="s">
        <v>14</v>
      </c>
      <c r="J2744" t="s">
        <v>14</v>
      </c>
      <c r="K2744">
        <v>79</v>
      </c>
      <c r="L2744" t="str">
        <f>IF(AND(CallLog[[#This Row],[Answered (Y/N)]]="Y", CallLog[[#This Row],[Speed of answer in seconds]]&lt;=20),
    "Within",
    "Breach")</f>
        <v>Breach</v>
      </c>
      <c r="M2744" s="1">
        <v>2.673611111111111E-3</v>
      </c>
      <c r="N2744">
        <v>4</v>
      </c>
    </row>
    <row r="2745" spans="1:14" x14ac:dyDescent="0.3">
      <c r="A2745" t="s">
        <v>2816</v>
      </c>
      <c r="B2745" t="s">
        <v>22</v>
      </c>
      <c r="C2745" t="s">
        <v>2781</v>
      </c>
      <c r="D2745" s="1">
        <v>0.54400462962962959</v>
      </c>
      <c r="E2745" s="2">
        <f>CallLog[[#This Row],[Date]]+CallLog[[#This Row],[Time]]</f>
        <v>44244.544004629628</v>
      </c>
      <c r="F2745" s="1" t="str">
        <f>TEXT(CallLog[[#This Row],[Date]],"dddd")</f>
        <v>Wednesday</v>
      </c>
      <c r="G2745" s="3">
        <f>HOUR(CallLog[[#This Row],[Time]])</f>
        <v>13</v>
      </c>
      <c r="H2745" t="s">
        <v>32</v>
      </c>
      <c r="I2745" t="s">
        <v>14</v>
      </c>
      <c r="J2745" t="s">
        <v>18</v>
      </c>
      <c r="K2745">
        <v>21</v>
      </c>
      <c r="L2745" t="str">
        <f>IF(AND(CallLog[[#This Row],[Answered (Y/N)]]="Y", CallLog[[#This Row],[Speed of answer in seconds]]&lt;=20),
    "Within",
    "Breach")</f>
        <v>Breach</v>
      </c>
      <c r="M2745" s="1">
        <v>4.5254629629629629E-3</v>
      </c>
      <c r="N2745">
        <v>3</v>
      </c>
    </row>
    <row r="2746" spans="1:14" x14ac:dyDescent="0.3">
      <c r="A2746" t="s">
        <v>2817</v>
      </c>
      <c r="B2746" t="s">
        <v>16</v>
      </c>
      <c r="C2746" t="s">
        <v>2781</v>
      </c>
      <c r="D2746" s="1">
        <v>0.5590046296296296</v>
      </c>
      <c r="E2746" s="2">
        <f>CallLog[[#This Row],[Date]]+CallLog[[#This Row],[Time]]</f>
        <v>44244.559004629627</v>
      </c>
      <c r="F2746" s="1" t="str">
        <f>TEXT(CallLog[[#This Row],[Date]],"dddd")</f>
        <v>Wednesday</v>
      </c>
      <c r="G2746" s="3">
        <f>HOUR(CallLog[[#This Row],[Time]])</f>
        <v>13</v>
      </c>
      <c r="H2746" t="s">
        <v>17</v>
      </c>
      <c r="I2746" t="s">
        <v>14</v>
      </c>
      <c r="J2746" t="s">
        <v>14</v>
      </c>
      <c r="K2746">
        <v>93</v>
      </c>
      <c r="L2746" t="str">
        <f>IF(AND(CallLog[[#This Row],[Answered (Y/N)]]="Y", CallLog[[#This Row],[Speed of answer in seconds]]&lt;=20),
    "Within",
    "Breach")</f>
        <v>Breach</v>
      </c>
      <c r="M2746" s="1">
        <v>3.8888888888888888E-3</v>
      </c>
      <c r="N2746">
        <v>3</v>
      </c>
    </row>
    <row r="2747" spans="1:14" x14ac:dyDescent="0.3">
      <c r="A2747" t="s">
        <v>2818</v>
      </c>
      <c r="B2747" t="s">
        <v>34</v>
      </c>
      <c r="C2747" t="s">
        <v>2781</v>
      </c>
      <c r="D2747" s="1">
        <v>0.5590046296296296</v>
      </c>
      <c r="E2747" s="2">
        <f>CallLog[[#This Row],[Date]]+CallLog[[#This Row],[Time]]</f>
        <v>44244.559004629627</v>
      </c>
      <c r="F2747" s="1" t="str">
        <f>TEXT(CallLog[[#This Row],[Date]],"dddd")</f>
        <v>Wednesday</v>
      </c>
      <c r="G2747" s="3">
        <f>HOUR(CallLog[[#This Row],[Time]])</f>
        <v>13</v>
      </c>
      <c r="H2747" t="s">
        <v>32</v>
      </c>
      <c r="I2747" t="s">
        <v>14</v>
      </c>
      <c r="J2747" t="s">
        <v>14</v>
      </c>
      <c r="K2747">
        <v>72</v>
      </c>
      <c r="L2747" t="str">
        <f>IF(AND(CallLog[[#This Row],[Answered (Y/N)]]="Y", CallLog[[#This Row],[Speed of answer in seconds]]&lt;=20),
    "Within",
    "Breach")</f>
        <v>Breach</v>
      </c>
      <c r="M2747" s="1">
        <v>1.9907407407407408E-3</v>
      </c>
      <c r="N2747">
        <v>4</v>
      </c>
    </row>
    <row r="2748" spans="1:14" x14ac:dyDescent="0.3">
      <c r="A2748" t="s">
        <v>2819</v>
      </c>
      <c r="B2748" t="s">
        <v>22</v>
      </c>
      <c r="C2748" t="s">
        <v>2781</v>
      </c>
      <c r="D2748" s="1">
        <v>0.56700231481481478</v>
      </c>
      <c r="E2748" s="2">
        <f>CallLog[[#This Row],[Date]]+CallLog[[#This Row],[Time]]</f>
        <v>44244.567002314812</v>
      </c>
      <c r="F2748" s="1" t="str">
        <f>TEXT(CallLog[[#This Row],[Date]],"dddd")</f>
        <v>Wednesday</v>
      </c>
      <c r="G2748" s="3">
        <f>HOUR(CallLog[[#This Row],[Time]])</f>
        <v>13</v>
      </c>
      <c r="H2748" t="s">
        <v>29</v>
      </c>
      <c r="I2748" t="s">
        <v>14</v>
      </c>
      <c r="J2748" t="s">
        <v>14</v>
      </c>
      <c r="K2748">
        <v>84</v>
      </c>
      <c r="L2748" t="str">
        <f>IF(AND(CallLog[[#This Row],[Answered (Y/N)]]="Y", CallLog[[#This Row],[Speed of answer in seconds]]&lt;=20),
    "Within",
    "Breach")</f>
        <v>Breach</v>
      </c>
      <c r="M2748" s="1">
        <v>3.1481481481481482E-3</v>
      </c>
      <c r="N2748">
        <v>3</v>
      </c>
    </row>
    <row r="2749" spans="1:14" x14ac:dyDescent="0.3">
      <c r="A2749" t="s">
        <v>2820</v>
      </c>
      <c r="B2749" t="s">
        <v>20</v>
      </c>
      <c r="C2749" t="s">
        <v>2781</v>
      </c>
      <c r="D2749" s="1">
        <v>0.56700231481481478</v>
      </c>
      <c r="E2749" s="2">
        <f>CallLog[[#This Row],[Date]]+CallLog[[#This Row],[Time]]</f>
        <v>44244.567002314812</v>
      </c>
      <c r="F2749" s="1" t="str">
        <f>TEXT(CallLog[[#This Row],[Date]],"dddd")</f>
        <v>Wednesday</v>
      </c>
      <c r="G2749" s="3">
        <f>HOUR(CallLog[[#This Row],[Time]])</f>
        <v>13</v>
      </c>
      <c r="H2749" t="s">
        <v>29</v>
      </c>
      <c r="I2749" t="s">
        <v>18</v>
      </c>
      <c r="J2749" t="s">
        <v>18</v>
      </c>
      <c r="L2749" t="str">
        <f>IF(AND(CallLog[[#This Row],[Answered (Y/N)]]="Y", CallLog[[#This Row],[Speed of answer in seconds]]&lt;=20),
    "Within",
    "Breach")</f>
        <v>Breach</v>
      </c>
    </row>
    <row r="2750" spans="1:14" x14ac:dyDescent="0.3">
      <c r="A2750" t="s">
        <v>2821</v>
      </c>
      <c r="B2750" t="s">
        <v>31</v>
      </c>
      <c r="C2750" t="s">
        <v>2781</v>
      </c>
      <c r="D2750" s="1">
        <v>0.59700231481481481</v>
      </c>
      <c r="E2750" s="2">
        <f>CallLog[[#This Row],[Date]]+CallLog[[#This Row],[Time]]</f>
        <v>44244.597002314818</v>
      </c>
      <c r="F2750" s="1" t="str">
        <f>TEXT(CallLog[[#This Row],[Date]],"dddd")</f>
        <v>Wednesday</v>
      </c>
      <c r="G2750" s="3">
        <f>HOUR(CallLog[[#This Row],[Time]])</f>
        <v>14</v>
      </c>
      <c r="H2750" t="s">
        <v>29</v>
      </c>
      <c r="I2750" t="s">
        <v>14</v>
      </c>
      <c r="J2750" t="s">
        <v>14</v>
      </c>
      <c r="K2750">
        <v>45</v>
      </c>
      <c r="L2750" t="str">
        <f>IF(AND(CallLog[[#This Row],[Answered (Y/N)]]="Y", CallLog[[#This Row],[Speed of answer in seconds]]&lt;=20),
    "Within",
    "Breach")</f>
        <v>Breach</v>
      </c>
      <c r="M2750" s="1">
        <v>1.4351851851851852E-3</v>
      </c>
      <c r="N2750">
        <v>3</v>
      </c>
    </row>
    <row r="2751" spans="1:14" x14ac:dyDescent="0.3">
      <c r="A2751" t="s">
        <v>2822</v>
      </c>
      <c r="B2751" t="s">
        <v>20</v>
      </c>
      <c r="C2751" t="s">
        <v>2781</v>
      </c>
      <c r="D2751" s="1">
        <v>0.59700231481481481</v>
      </c>
      <c r="E2751" s="2">
        <f>CallLog[[#This Row],[Date]]+CallLog[[#This Row],[Time]]</f>
        <v>44244.597002314818</v>
      </c>
      <c r="F2751" s="1" t="str">
        <f>TEXT(CallLog[[#This Row],[Date]],"dddd")</f>
        <v>Wednesday</v>
      </c>
      <c r="G2751" s="3">
        <f>HOUR(CallLog[[#This Row],[Time]])</f>
        <v>14</v>
      </c>
      <c r="H2751" t="s">
        <v>32</v>
      </c>
      <c r="I2751" t="s">
        <v>18</v>
      </c>
      <c r="J2751" t="s">
        <v>18</v>
      </c>
      <c r="L2751" t="str">
        <f>IF(AND(CallLog[[#This Row],[Answered (Y/N)]]="Y", CallLog[[#This Row],[Speed of answer in seconds]]&lt;=20),
    "Within",
    "Breach")</f>
        <v>Breach</v>
      </c>
    </row>
    <row r="2752" spans="1:14" x14ac:dyDescent="0.3">
      <c r="A2752" t="s">
        <v>2823</v>
      </c>
      <c r="B2752" t="s">
        <v>47</v>
      </c>
      <c r="C2752" t="s">
        <v>2781</v>
      </c>
      <c r="D2752" s="1">
        <v>0.60400462962962964</v>
      </c>
      <c r="E2752" s="2">
        <f>CallLog[[#This Row],[Date]]+CallLog[[#This Row],[Time]]</f>
        <v>44244.604004629633</v>
      </c>
      <c r="F2752" s="1" t="str">
        <f>TEXT(CallLog[[#This Row],[Date]],"dddd")</f>
        <v>Wednesday</v>
      </c>
      <c r="G2752" s="3">
        <f>HOUR(CallLog[[#This Row],[Time]])</f>
        <v>14</v>
      </c>
      <c r="H2752" t="s">
        <v>32</v>
      </c>
      <c r="I2752" t="s">
        <v>14</v>
      </c>
      <c r="J2752" t="s">
        <v>18</v>
      </c>
      <c r="K2752">
        <v>49</v>
      </c>
      <c r="L2752" t="str">
        <f>IF(AND(CallLog[[#This Row],[Answered (Y/N)]]="Y", CallLog[[#This Row],[Speed of answer in seconds]]&lt;=20),
    "Within",
    "Breach")</f>
        <v>Breach</v>
      </c>
      <c r="M2752" s="1">
        <v>9.3749999999999997E-4</v>
      </c>
      <c r="N2752">
        <v>4</v>
      </c>
    </row>
    <row r="2753" spans="1:14" x14ac:dyDescent="0.3">
      <c r="A2753" t="s">
        <v>2824</v>
      </c>
      <c r="B2753" t="s">
        <v>16</v>
      </c>
      <c r="C2753" t="s">
        <v>2781</v>
      </c>
      <c r="D2753" s="1">
        <v>0.60400462962962964</v>
      </c>
      <c r="E2753" s="2">
        <f>CallLog[[#This Row],[Date]]+CallLog[[#This Row],[Time]]</f>
        <v>44244.604004629633</v>
      </c>
      <c r="F2753" s="1" t="str">
        <f>TEXT(CallLog[[#This Row],[Date]],"dddd")</f>
        <v>Wednesday</v>
      </c>
      <c r="G2753" s="3">
        <f>HOUR(CallLog[[#This Row],[Time]])</f>
        <v>14</v>
      </c>
      <c r="H2753" t="s">
        <v>29</v>
      </c>
      <c r="I2753" t="s">
        <v>14</v>
      </c>
      <c r="J2753" t="s">
        <v>14</v>
      </c>
      <c r="K2753">
        <v>110</v>
      </c>
      <c r="L2753" t="str">
        <f>IF(AND(CallLog[[#This Row],[Answered (Y/N)]]="Y", CallLog[[#This Row],[Speed of answer in seconds]]&lt;=20),
    "Within",
    "Breach")</f>
        <v>Breach</v>
      </c>
      <c r="M2753" s="1">
        <v>4.2361111111111115E-3</v>
      </c>
      <c r="N2753">
        <v>4</v>
      </c>
    </row>
    <row r="2754" spans="1:14" x14ac:dyDescent="0.3">
      <c r="A2754" t="s">
        <v>2825</v>
      </c>
      <c r="B2754" t="s">
        <v>11</v>
      </c>
      <c r="C2754" t="s">
        <v>2781</v>
      </c>
      <c r="D2754" s="1">
        <v>0.60599537037037032</v>
      </c>
      <c r="E2754" s="2">
        <f>CallLog[[#This Row],[Date]]+CallLog[[#This Row],[Time]]</f>
        <v>44244.605995370373</v>
      </c>
      <c r="F2754" s="1" t="str">
        <f>TEXT(CallLog[[#This Row],[Date]],"dddd")</f>
        <v>Wednesday</v>
      </c>
      <c r="G2754" s="3">
        <f>HOUR(CallLog[[#This Row],[Time]])</f>
        <v>14</v>
      </c>
      <c r="H2754" t="s">
        <v>17</v>
      </c>
      <c r="I2754" t="s">
        <v>14</v>
      </c>
      <c r="J2754" t="s">
        <v>18</v>
      </c>
      <c r="K2754">
        <v>58</v>
      </c>
      <c r="L2754" t="str">
        <f>IF(AND(CallLog[[#This Row],[Answered (Y/N)]]="Y", CallLog[[#This Row],[Speed of answer in seconds]]&lt;=20),
    "Within",
    "Breach")</f>
        <v>Breach</v>
      </c>
      <c r="M2754" s="1">
        <v>1.5393518518518519E-3</v>
      </c>
      <c r="N2754">
        <v>3</v>
      </c>
    </row>
    <row r="2755" spans="1:14" x14ac:dyDescent="0.3">
      <c r="A2755" t="s">
        <v>2826</v>
      </c>
      <c r="B2755" t="s">
        <v>34</v>
      </c>
      <c r="C2755" t="s">
        <v>2781</v>
      </c>
      <c r="D2755" s="1">
        <v>0.60599537037037032</v>
      </c>
      <c r="E2755" s="2">
        <f>CallLog[[#This Row],[Date]]+CallLog[[#This Row],[Time]]</f>
        <v>44244.605995370373</v>
      </c>
      <c r="F2755" s="1" t="str">
        <f>TEXT(CallLog[[#This Row],[Date]],"dddd")</f>
        <v>Wednesday</v>
      </c>
      <c r="G2755" s="3">
        <f>HOUR(CallLog[[#This Row],[Time]])</f>
        <v>14</v>
      </c>
      <c r="H2755" t="s">
        <v>13</v>
      </c>
      <c r="I2755" t="s">
        <v>14</v>
      </c>
      <c r="J2755" t="s">
        <v>14</v>
      </c>
      <c r="K2755">
        <v>35</v>
      </c>
      <c r="L2755" t="str">
        <f>IF(AND(CallLog[[#This Row],[Answered (Y/N)]]="Y", CallLog[[#This Row],[Speed of answer in seconds]]&lt;=20),
    "Within",
    "Breach")</f>
        <v>Breach</v>
      </c>
      <c r="M2755" s="1">
        <v>4.31712962962963E-3</v>
      </c>
      <c r="N2755">
        <v>4</v>
      </c>
    </row>
    <row r="2756" spans="1:14" x14ac:dyDescent="0.3">
      <c r="A2756" t="s">
        <v>2827</v>
      </c>
      <c r="B2756" t="s">
        <v>47</v>
      </c>
      <c r="C2756" t="s">
        <v>2781</v>
      </c>
      <c r="D2756" s="1">
        <v>0.62700231481481483</v>
      </c>
      <c r="E2756" s="2">
        <f>CallLog[[#This Row],[Date]]+CallLog[[#This Row],[Time]]</f>
        <v>44244.627002314817</v>
      </c>
      <c r="F2756" s="1" t="str">
        <f>TEXT(CallLog[[#This Row],[Date]],"dddd")</f>
        <v>Wednesday</v>
      </c>
      <c r="G2756" s="3">
        <f>HOUR(CallLog[[#This Row],[Time]])</f>
        <v>15</v>
      </c>
      <c r="H2756" t="s">
        <v>24</v>
      </c>
      <c r="I2756" t="s">
        <v>14</v>
      </c>
      <c r="J2756" t="s">
        <v>14</v>
      </c>
      <c r="K2756">
        <v>105</v>
      </c>
      <c r="L2756" t="str">
        <f>IF(AND(CallLog[[#This Row],[Answered (Y/N)]]="Y", CallLog[[#This Row],[Speed of answer in seconds]]&lt;=20),
    "Within",
    "Breach")</f>
        <v>Breach</v>
      </c>
      <c r="M2756" s="1">
        <v>8.1018518518518516E-4</v>
      </c>
      <c r="N2756">
        <v>4</v>
      </c>
    </row>
    <row r="2757" spans="1:14" x14ac:dyDescent="0.3">
      <c r="A2757" t="s">
        <v>2828</v>
      </c>
      <c r="B2757" t="s">
        <v>11</v>
      </c>
      <c r="C2757" t="s">
        <v>2781</v>
      </c>
      <c r="D2757" s="1">
        <v>0.62700231481481483</v>
      </c>
      <c r="E2757" s="2">
        <f>CallLog[[#This Row],[Date]]+CallLog[[#This Row],[Time]]</f>
        <v>44244.627002314817</v>
      </c>
      <c r="F2757" s="1" t="str">
        <f>TEXT(CallLog[[#This Row],[Date]],"dddd")</f>
        <v>Wednesday</v>
      </c>
      <c r="G2757" s="3">
        <f>HOUR(CallLog[[#This Row],[Time]])</f>
        <v>15</v>
      </c>
      <c r="H2757" t="s">
        <v>24</v>
      </c>
      <c r="I2757" t="s">
        <v>14</v>
      </c>
      <c r="J2757" t="s">
        <v>14</v>
      </c>
      <c r="K2757">
        <v>99</v>
      </c>
      <c r="L2757" t="str">
        <f>IF(AND(CallLog[[#This Row],[Answered (Y/N)]]="Y", CallLog[[#This Row],[Speed of answer in seconds]]&lt;=20),
    "Within",
    "Breach")</f>
        <v>Breach</v>
      </c>
      <c r="M2757" s="1">
        <v>1.5277777777777779E-3</v>
      </c>
      <c r="N2757">
        <v>3</v>
      </c>
    </row>
    <row r="2758" spans="1:14" x14ac:dyDescent="0.3">
      <c r="A2758" t="s">
        <v>2829</v>
      </c>
      <c r="B2758" t="s">
        <v>34</v>
      </c>
      <c r="C2758" t="s">
        <v>2781</v>
      </c>
      <c r="D2758" s="1">
        <v>0.63200231481481484</v>
      </c>
      <c r="E2758" s="2">
        <f>CallLog[[#This Row],[Date]]+CallLog[[#This Row],[Time]]</f>
        <v>44244.632002314815</v>
      </c>
      <c r="F2758" s="1" t="str">
        <f>TEXT(CallLog[[#This Row],[Date]],"dddd")</f>
        <v>Wednesday</v>
      </c>
      <c r="G2758" s="3">
        <f>HOUR(CallLog[[#This Row],[Time]])</f>
        <v>15</v>
      </c>
      <c r="H2758" t="s">
        <v>13</v>
      </c>
      <c r="I2758" t="s">
        <v>14</v>
      </c>
      <c r="J2758" t="s">
        <v>14</v>
      </c>
      <c r="K2758">
        <v>53</v>
      </c>
      <c r="L2758" t="str">
        <f>IF(AND(CallLog[[#This Row],[Answered (Y/N)]]="Y", CallLog[[#This Row],[Speed of answer in seconds]]&lt;=20),
    "Within",
    "Breach")</f>
        <v>Breach</v>
      </c>
      <c r="M2758" s="1">
        <v>2.8009259259259259E-3</v>
      </c>
      <c r="N2758">
        <v>2</v>
      </c>
    </row>
    <row r="2759" spans="1:14" x14ac:dyDescent="0.3">
      <c r="A2759" t="s">
        <v>2830</v>
      </c>
      <c r="B2759" t="s">
        <v>22</v>
      </c>
      <c r="C2759" t="s">
        <v>2781</v>
      </c>
      <c r="D2759" s="1">
        <v>0.63200231481481484</v>
      </c>
      <c r="E2759" s="2">
        <f>CallLog[[#This Row],[Date]]+CallLog[[#This Row],[Time]]</f>
        <v>44244.632002314815</v>
      </c>
      <c r="F2759" s="1" t="str">
        <f>TEXT(CallLog[[#This Row],[Date]],"dddd")</f>
        <v>Wednesday</v>
      </c>
      <c r="G2759" s="3">
        <f>HOUR(CallLog[[#This Row],[Time]])</f>
        <v>15</v>
      </c>
      <c r="H2759" t="s">
        <v>13</v>
      </c>
      <c r="I2759" t="s">
        <v>14</v>
      </c>
      <c r="J2759" t="s">
        <v>18</v>
      </c>
      <c r="K2759">
        <v>50</v>
      </c>
      <c r="L2759" t="str">
        <f>IF(AND(CallLog[[#This Row],[Answered (Y/N)]]="Y", CallLog[[#This Row],[Speed of answer in seconds]]&lt;=20),
    "Within",
    "Breach")</f>
        <v>Breach</v>
      </c>
      <c r="M2759" s="1">
        <v>4.6527777777777774E-3</v>
      </c>
      <c r="N2759">
        <v>4</v>
      </c>
    </row>
    <row r="2760" spans="1:14" x14ac:dyDescent="0.3">
      <c r="A2760" t="s">
        <v>2831</v>
      </c>
      <c r="B2760" t="s">
        <v>31</v>
      </c>
      <c r="C2760" t="s">
        <v>2781</v>
      </c>
      <c r="D2760" s="1">
        <v>0.65700231481481486</v>
      </c>
      <c r="E2760" s="2">
        <f>CallLog[[#This Row],[Date]]+CallLog[[#This Row],[Time]]</f>
        <v>44244.657002314816</v>
      </c>
      <c r="F2760" s="1" t="str">
        <f>TEXT(CallLog[[#This Row],[Date]],"dddd")</f>
        <v>Wednesday</v>
      </c>
      <c r="G2760" s="3">
        <f>HOUR(CallLog[[#This Row],[Time]])</f>
        <v>15</v>
      </c>
      <c r="H2760" t="s">
        <v>13</v>
      </c>
      <c r="I2760" t="s">
        <v>14</v>
      </c>
      <c r="J2760" t="s">
        <v>14</v>
      </c>
      <c r="K2760">
        <v>114</v>
      </c>
      <c r="L2760" t="str">
        <f>IF(AND(CallLog[[#This Row],[Answered (Y/N)]]="Y", CallLog[[#This Row],[Speed of answer in seconds]]&lt;=20),
    "Within",
    "Breach")</f>
        <v>Breach</v>
      </c>
      <c r="M2760" s="1">
        <v>1.7592592592592592E-3</v>
      </c>
      <c r="N2760">
        <v>4</v>
      </c>
    </row>
    <row r="2761" spans="1:14" x14ac:dyDescent="0.3">
      <c r="A2761" t="s">
        <v>2832</v>
      </c>
      <c r="B2761" t="s">
        <v>20</v>
      </c>
      <c r="C2761" t="s">
        <v>2781</v>
      </c>
      <c r="D2761" s="1">
        <v>0.65700231481481486</v>
      </c>
      <c r="E2761" s="2">
        <f>CallLog[[#This Row],[Date]]+CallLog[[#This Row],[Time]]</f>
        <v>44244.657002314816</v>
      </c>
      <c r="F2761" s="1" t="str">
        <f>TEXT(CallLog[[#This Row],[Date]],"dddd")</f>
        <v>Wednesday</v>
      </c>
      <c r="G2761" s="3">
        <f>HOUR(CallLog[[#This Row],[Time]])</f>
        <v>15</v>
      </c>
      <c r="H2761" t="s">
        <v>17</v>
      </c>
      <c r="I2761" t="s">
        <v>18</v>
      </c>
      <c r="J2761" t="s">
        <v>18</v>
      </c>
      <c r="L2761" t="str">
        <f>IF(AND(CallLog[[#This Row],[Answered (Y/N)]]="Y", CallLog[[#This Row],[Speed of answer in seconds]]&lt;=20),
    "Within",
    "Breach")</f>
        <v>Breach</v>
      </c>
    </row>
    <row r="2762" spans="1:14" x14ac:dyDescent="0.3">
      <c r="A2762" t="s">
        <v>2833</v>
      </c>
      <c r="B2762" t="s">
        <v>11</v>
      </c>
      <c r="C2762" t="s">
        <v>2781</v>
      </c>
      <c r="D2762" s="1">
        <v>0.67099537037037038</v>
      </c>
      <c r="E2762" s="2">
        <f>CallLog[[#This Row],[Date]]+CallLog[[#This Row],[Time]]</f>
        <v>44244.670995370368</v>
      </c>
      <c r="F2762" s="1" t="str">
        <f>TEXT(CallLog[[#This Row],[Date]],"dddd")</f>
        <v>Wednesday</v>
      </c>
      <c r="G2762" s="3">
        <f>HOUR(CallLog[[#This Row],[Time]])</f>
        <v>16</v>
      </c>
      <c r="H2762" t="s">
        <v>24</v>
      </c>
      <c r="I2762" t="s">
        <v>18</v>
      </c>
      <c r="J2762" t="s">
        <v>18</v>
      </c>
      <c r="L2762" t="str">
        <f>IF(AND(CallLog[[#This Row],[Answered (Y/N)]]="Y", CallLog[[#This Row],[Speed of answer in seconds]]&lt;=20),
    "Within",
    "Breach")</f>
        <v>Breach</v>
      </c>
    </row>
    <row r="2763" spans="1:14" x14ac:dyDescent="0.3">
      <c r="A2763" t="s">
        <v>2834</v>
      </c>
      <c r="B2763" t="s">
        <v>47</v>
      </c>
      <c r="C2763" t="s">
        <v>2781</v>
      </c>
      <c r="D2763" s="1">
        <v>0.67099537037037038</v>
      </c>
      <c r="E2763" s="2">
        <f>CallLog[[#This Row],[Date]]+CallLog[[#This Row],[Time]]</f>
        <v>44244.670995370368</v>
      </c>
      <c r="F2763" s="1" t="str">
        <f>TEXT(CallLog[[#This Row],[Date]],"dddd")</f>
        <v>Wednesday</v>
      </c>
      <c r="G2763" s="3">
        <f>HOUR(CallLog[[#This Row],[Time]])</f>
        <v>16</v>
      </c>
      <c r="H2763" t="s">
        <v>24</v>
      </c>
      <c r="I2763" t="s">
        <v>14</v>
      </c>
      <c r="J2763" t="s">
        <v>14</v>
      </c>
      <c r="K2763">
        <v>87</v>
      </c>
      <c r="L2763" t="str">
        <f>IF(AND(CallLog[[#This Row],[Answered (Y/N)]]="Y", CallLog[[#This Row],[Speed of answer in seconds]]&lt;=20),
    "Within",
    "Breach")</f>
        <v>Breach</v>
      </c>
      <c r="M2763" s="1">
        <v>1.736111111111111E-3</v>
      </c>
      <c r="N2763">
        <v>4</v>
      </c>
    </row>
    <row r="2764" spans="1:14" x14ac:dyDescent="0.3">
      <c r="A2764" t="s">
        <v>2835</v>
      </c>
      <c r="B2764" t="s">
        <v>31</v>
      </c>
      <c r="C2764" t="s">
        <v>2781</v>
      </c>
      <c r="D2764" s="1">
        <v>0.67700231481481477</v>
      </c>
      <c r="E2764" s="2">
        <f>CallLog[[#This Row],[Date]]+CallLog[[#This Row],[Time]]</f>
        <v>44244.677002314813</v>
      </c>
      <c r="F2764" s="1" t="str">
        <f>TEXT(CallLog[[#This Row],[Date]],"dddd")</f>
        <v>Wednesday</v>
      </c>
      <c r="G2764" s="3">
        <f>HOUR(CallLog[[#This Row],[Time]])</f>
        <v>16</v>
      </c>
      <c r="H2764" t="s">
        <v>24</v>
      </c>
      <c r="I2764" t="s">
        <v>14</v>
      </c>
      <c r="J2764" t="s">
        <v>18</v>
      </c>
      <c r="K2764">
        <v>55</v>
      </c>
      <c r="L2764" t="str">
        <f>IF(AND(CallLog[[#This Row],[Answered (Y/N)]]="Y", CallLog[[#This Row],[Speed of answer in seconds]]&lt;=20),
    "Within",
    "Breach")</f>
        <v>Breach</v>
      </c>
      <c r="M2764" s="1">
        <v>7.7546296296296293E-4</v>
      </c>
      <c r="N2764">
        <v>5</v>
      </c>
    </row>
    <row r="2765" spans="1:14" x14ac:dyDescent="0.3">
      <c r="A2765" t="s">
        <v>2836</v>
      </c>
      <c r="B2765" t="s">
        <v>38</v>
      </c>
      <c r="C2765" t="s">
        <v>2781</v>
      </c>
      <c r="D2765" s="1">
        <v>0.67700231481481477</v>
      </c>
      <c r="E2765" s="2">
        <f>CallLog[[#This Row],[Date]]+CallLog[[#This Row],[Time]]</f>
        <v>44244.677002314813</v>
      </c>
      <c r="F2765" s="1" t="str">
        <f>TEXT(CallLog[[#This Row],[Date]],"dddd")</f>
        <v>Wednesday</v>
      </c>
      <c r="G2765" s="3">
        <f>HOUR(CallLog[[#This Row],[Time]])</f>
        <v>16</v>
      </c>
      <c r="H2765" t="s">
        <v>29</v>
      </c>
      <c r="I2765" t="s">
        <v>14</v>
      </c>
      <c r="J2765" t="s">
        <v>14</v>
      </c>
      <c r="K2765">
        <v>97</v>
      </c>
      <c r="L2765" t="str">
        <f>IF(AND(CallLog[[#This Row],[Answered (Y/N)]]="Y", CallLog[[#This Row],[Speed of answer in seconds]]&lt;=20),
    "Within",
    "Breach")</f>
        <v>Breach</v>
      </c>
      <c r="M2765" s="1">
        <v>4.0972222222222226E-3</v>
      </c>
      <c r="N2765">
        <v>4</v>
      </c>
    </row>
    <row r="2766" spans="1:14" x14ac:dyDescent="0.3">
      <c r="A2766" t="s">
        <v>2837</v>
      </c>
      <c r="B2766" t="s">
        <v>38</v>
      </c>
      <c r="C2766" t="s">
        <v>2781</v>
      </c>
      <c r="D2766" s="1">
        <v>0.68599537037037039</v>
      </c>
      <c r="E2766" s="2">
        <f>CallLog[[#This Row],[Date]]+CallLog[[#This Row],[Time]]</f>
        <v>44244.685995370368</v>
      </c>
      <c r="F2766" s="1" t="str">
        <f>TEXT(CallLog[[#This Row],[Date]],"dddd")</f>
        <v>Wednesday</v>
      </c>
      <c r="G2766" s="3">
        <f>HOUR(CallLog[[#This Row],[Time]])</f>
        <v>16</v>
      </c>
      <c r="H2766" t="s">
        <v>24</v>
      </c>
      <c r="I2766" t="s">
        <v>14</v>
      </c>
      <c r="J2766" t="s">
        <v>18</v>
      </c>
      <c r="K2766">
        <v>12</v>
      </c>
      <c r="L2766" t="str">
        <f>IF(AND(CallLog[[#This Row],[Answered (Y/N)]]="Y", CallLog[[#This Row],[Speed of answer in seconds]]&lt;=20),
    "Within",
    "Breach")</f>
        <v>Within</v>
      </c>
      <c r="M2766" s="1">
        <v>3.1018518518518517E-3</v>
      </c>
      <c r="N2766">
        <v>3</v>
      </c>
    </row>
    <row r="2767" spans="1:14" x14ac:dyDescent="0.3">
      <c r="A2767" t="s">
        <v>2838</v>
      </c>
      <c r="B2767" t="s">
        <v>22</v>
      </c>
      <c r="C2767" t="s">
        <v>2781</v>
      </c>
      <c r="D2767" s="1">
        <v>0.68599537037037039</v>
      </c>
      <c r="E2767" s="2">
        <f>CallLog[[#This Row],[Date]]+CallLog[[#This Row],[Time]]</f>
        <v>44244.685995370368</v>
      </c>
      <c r="F2767" s="1" t="str">
        <f>TEXT(CallLog[[#This Row],[Date]],"dddd")</f>
        <v>Wednesday</v>
      </c>
      <c r="G2767" s="3">
        <f>HOUR(CallLog[[#This Row],[Time]])</f>
        <v>16</v>
      </c>
      <c r="H2767" t="s">
        <v>32</v>
      </c>
      <c r="I2767" t="s">
        <v>18</v>
      </c>
      <c r="J2767" t="s">
        <v>18</v>
      </c>
      <c r="L2767" t="str">
        <f>IF(AND(CallLog[[#This Row],[Answered (Y/N)]]="Y", CallLog[[#This Row],[Speed of answer in seconds]]&lt;=20),
    "Within",
    "Breach")</f>
        <v>Breach</v>
      </c>
    </row>
    <row r="2768" spans="1:14" x14ac:dyDescent="0.3">
      <c r="A2768" t="s">
        <v>2839</v>
      </c>
      <c r="B2768" t="s">
        <v>20</v>
      </c>
      <c r="C2768" t="s">
        <v>2781</v>
      </c>
      <c r="D2768" s="1">
        <v>0.69200231481481478</v>
      </c>
      <c r="E2768" s="2">
        <f>CallLog[[#This Row],[Date]]+CallLog[[#This Row],[Time]]</f>
        <v>44244.692002314812</v>
      </c>
      <c r="F2768" s="1" t="str">
        <f>TEXT(CallLog[[#This Row],[Date]],"dddd")</f>
        <v>Wednesday</v>
      </c>
      <c r="G2768" s="3">
        <f>HOUR(CallLog[[#This Row],[Time]])</f>
        <v>16</v>
      </c>
      <c r="H2768" t="s">
        <v>29</v>
      </c>
      <c r="I2768" t="s">
        <v>14</v>
      </c>
      <c r="J2768" t="s">
        <v>14</v>
      </c>
      <c r="K2768">
        <v>79</v>
      </c>
      <c r="L2768" t="str">
        <f>IF(AND(CallLog[[#This Row],[Answered (Y/N)]]="Y", CallLog[[#This Row],[Speed of answer in seconds]]&lt;=20),
    "Within",
    "Breach")</f>
        <v>Breach</v>
      </c>
      <c r="M2768" s="1">
        <v>2.0949074074074073E-3</v>
      </c>
      <c r="N2768">
        <v>5</v>
      </c>
    </row>
    <row r="2769" spans="1:14" x14ac:dyDescent="0.3">
      <c r="A2769" t="s">
        <v>2840</v>
      </c>
      <c r="B2769" t="s">
        <v>38</v>
      </c>
      <c r="C2769" t="s">
        <v>2781</v>
      </c>
      <c r="D2769" s="1">
        <v>0.69200231481481478</v>
      </c>
      <c r="E2769" s="2">
        <f>CallLog[[#This Row],[Date]]+CallLog[[#This Row],[Time]]</f>
        <v>44244.692002314812</v>
      </c>
      <c r="F2769" s="1" t="str">
        <f>TEXT(CallLog[[#This Row],[Date]],"dddd")</f>
        <v>Wednesday</v>
      </c>
      <c r="G2769" s="3">
        <f>HOUR(CallLog[[#This Row],[Time]])</f>
        <v>16</v>
      </c>
      <c r="H2769" t="s">
        <v>17</v>
      </c>
      <c r="I2769" t="s">
        <v>14</v>
      </c>
      <c r="J2769" t="s">
        <v>14</v>
      </c>
      <c r="K2769">
        <v>11</v>
      </c>
      <c r="L2769" t="str">
        <f>IF(AND(CallLog[[#This Row],[Answered (Y/N)]]="Y", CallLog[[#This Row],[Speed of answer in seconds]]&lt;=20),
    "Within",
    "Breach")</f>
        <v>Within</v>
      </c>
      <c r="M2769" s="1">
        <v>4.43287037037037E-3</v>
      </c>
      <c r="N2769">
        <v>3</v>
      </c>
    </row>
    <row r="2770" spans="1:14" x14ac:dyDescent="0.3">
      <c r="A2770" t="s">
        <v>2841</v>
      </c>
      <c r="B2770" t="s">
        <v>20</v>
      </c>
      <c r="C2770" t="s">
        <v>2781</v>
      </c>
      <c r="D2770" s="1">
        <v>0.71599537037037042</v>
      </c>
      <c r="E2770" s="2">
        <f>CallLog[[#This Row],[Date]]+CallLog[[#This Row],[Time]]</f>
        <v>44244.715995370374</v>
      </c>
      <c r="F2770" s="1" t="str">
        <f>TEXT(CallLog[[#This Row],[Date]],"dddd")</f>
        <v>Wednesday</v>
      </c>
      <c r="G2770" s="3">
        <f>HOUR(CallLog[[#This Row],[Time]])</f>
        <v>17</v>
      </c>
      <c r="H2770" t="s">
        <v>24</v>
      </c>
      <c r="I2770" t="s">
        <v>14</v>
      </c>
      <c r="J2770" t="s">
        <v>18</v>
      </c>
      <c r="K2770">
        <v>69</v>
      </c>
      <c r="L2770" t="str">
        <f>IF(AND(CallLog[[#This Row],[Answered (Y/N)]]="Y", CallLog[[#This Row],[Speed of answer in seconds]]&lt;=20),
    "Within",
    "Breach")</f>
        <v>Breach</v>
      </c>
      <c r="M2770" s="1">
        <v>4.5138888888888892E-4</v>
      </c>
      <c r="N2770">
        <v>4</v>
      </c>
    </row>
    <row r="2771" spans="1:14" x14ac:dyDescent="0.3">
      <c r="A2771" t="s">
        <v>2842</v>
      </c>
      <c r="B2771" t="s">
        <v>31</v>
      </c>
      <c r="C2771" t="s">
        <v>2781</v>
      </c>
      <c r="D2771" s="1">
        <v>0.71599537037037042</v>
      </c>
      <c r="E2771" s="2">
        <f>CallLog[[#This Row],[Date]]+CallLog[[#This Row],[Time]]</f>
        <v>44244.715995370374</v>
      </c>
      <c r="F2771" s="1" t="str">
        <f>TEXT(CallLog[[#This Row],[Date]],"dddd")</f>
        <v>Wednesday</v>
      </c>
      <c r="G2771" s="3">
        <f>HOUR(CallLog[[#This Row],[Time]])</f>
        <v>17</v>
      </c>
      <c r="H2771" t="s">
        <v>29</v>
      </c>
      <c r="I2771" t="s">
        <v>18</v>
      </c>
      <c r="J2771" t="s">
        <v>18</v>
      </c>
      <c r="L2771" t="str">
        <f>IF(AND(CallLog[[#This Row],[Answered (Y/N)]]="Y", CallLog[[#This Row],[Speed of answer in seconds]]&lt;=20),
    "Within",
    "Breach")</f>
        <v>Breach</v>
      </c>
    </row>
    <row r="2772" spans="1:14" x14ac:dyDescent="0.3">
      <c r="A2772" t="s">
        <v>2843</v>
      </c>
      <c r="B2772" t="s">
        <v>38</v>
      </c>
      <c r="C2772" t="s">
        <v>2781</v>
      </c>
      <c r="D2772" s="1">
        <v>0.7170023148148148</v>
      </c>
      <c r="E2772" s="2">
        <f>CallLog[[#This Row],[Date]]+CallLog[[#This Row],[Time]]</f>
        <v>44244.717002314814</v>
      </c>
      <c r="F2772" s="1" t="str">
        <f>TEXT(CallLog[[#This Row],[Date]],"dddd")</f>
        <v>Wednesday</v>
      </c>
      <c r="G2772" s="3">
        <f>HOUR(CallLog[[#This Row],[Time]])</f>
        <v>17</v>
      </c>
      <c r="H2772" t="s">
        <v>17</v>
      </c>
      <c r="I2772" t="s">
        <v>18</v>
      </c>
      <c r="J2772" t="s">
        <v>18</v>
      </c>
      <c r="L2772" t="str">
        <f>IF(AND(CallLog[[#This Row],[Answered (Y/N)]]="Y", CallLog[[#This Row],[Speed of answer in seconds]]&lt;=20),
    "Within",
    "Breach")</f>
        <v>Breach</v>
      </c>
    </row>
    <row r="2773" spans="1:14" x14ac:dyDescent="0.3">
      <c r="A2773" t="s">
        <v>2844</v>
      </c>
      <c r="B2773" t="s">
        <v>31</v>
      </c>
      <c r="C2773" t="s">
        <v>2781</v>
      </c>
      <c r="D2773" s="1">
        <v>0.7170023148148148</v>
      </c>
      <c r="E2773" s="2">
        <f>CallLog[[#This Row],[Date]]+CallLog[[#This Row],[Time]]</f>
        <v>44244.717002314814</v>
      </c>
      <c r="F2773" s="1" t="str">
        <f>TEXT(CallLog[[#This Row],[Date]],"dddd")</f>
        <v>Wednesday</v>
      </c>
      <c r="G2773" s="3">
        <f>HOUR(CallLog[[#This Row],[Time]])</f>
        <v>17</v>
      </c>
      <c r="H2773" t="s">
        <v>29</v>
      </c>
      <c r="I2773" t="s">
        <v>14</v>
      </c>
      <c r="J2773" t="s">
        <v>14</v>
      </c>
      <c r="K2773">
        <v>123</v>
      </c>
      <c r="L2773" t="str">
        <f>IF(AND(CallLog[[#This Row],[Answered (Y/N)]]="Y", CallLog[[#This Row],[Speed of answer in seconds]]&lt;=20),
    "Within",
    "Breach")</f>
        <v>Breach</v>
      </c>
      <c r="M2773" s="1">
        <v>1.25E-3</v>
      </c>
      <c r="N2773">
        <v>3</v>
      </c>
    </row>
    <row r="2774" spans="1:14" x14ac:dyDescent="0.3">
      <c r="A2774" t="s">
        <v>2845</v>
      </c>
      <c r="B2774" t="s">
        <v>34</v>
      </c>
      <c r="C2774" t="s">
        <v>2781</v>
      </c>
      <c r="D2774" s="1">
        <v>0.73900462962962965</v>
      </c>
      <c r="E2774" s="2">
        <f>CallLog[[#This Row],[Date]]+CallLog[[#This Row],[Time]]</f>
        <v>44244.739004629628</v>
      </c>
      <c r="F2774" s="1" t="str">
        <f>TEXT(CallLog[[#This Row],[Date]],"dddd")</f>
        <v>Wednesday</v>
      </c>
      <c r="G2774" s="3">
        <f>HOUR(CallLog[[#This Row],[Time]])</f>
        <v>17</v>
      </c>
      <c r="H2774" t="s">
        <v>29</v>
      </c>
      <c r="I2774" t="s">
        <v>18</v>
      </c>
      <c r="J2774" t="s">
        <v>18</v>
      </c>
      <c r="L2774" t="str">
        <f>IF(AND(CallLog[[#This Row],[Answered (Y/N)]]="Y", CallLog[[#This Row],[Speed of answer in seconds]]&lt;=20),
    "Within",
    "Breach")</f>
        <v>Breach</v>
      </c>
    </row>
    <row r="2775" spans="1:14" x14ac:dyDescent="0.3">
      <c r="A2775" t="s">
        <v>2846</v>
      </c>
      <c r="B2775" t="s">
        <v>38</v>
      </c>
      <c r="C2775" t="s">
        <v>2781</v>
      </c>
      <c r="D2775" s="1">
        <v>0.73900462962962965</v>
      </c>
      <c r="E2775" s="2">
        <f>CallLog[[#This Row],[Date]]+CallLog[[#This Row],[Time]]</f>
        <v>44244.739004629628</v>
      </c>
      <c r="F2775" s="1" t="str">
        <f>TEXT(CallLog[[#This Row],[Date]],"dddd")</f>
        <v>Wednesday</v>
      </c>
      <c r="G2775" s="3">
        <f>HOUR(CallLog[[#This Row],[Time]])</f>
        <v>17</v>
      </c>
      <c r="H2775" t="s">
        <v>29</v>
      </c>
      <c r="I2775" t="s">
        <v>14</v>
      </c>
      <c r="J2775" t="s">
        <v>18</v>
      </c>
      <c r="K2775">
        <v>48</v>
      </c>
      <c r="L2775" t="str">
        <f>IF(AND(CallLog[[#This Row],[Answered (Y/N)]]="Y", CallLog[[#This Row],[Speed of answer in seconds]]&lt;=20),
    "Within",
    "Breach")</f>
        <v>Breach</v>
      </c>
      <c r="M2775" s="1">
        <v>2.476851851851852E-3</v>
      </c>
      <c r="N2775">
        <v>4</v>
      </c>
    </row>
    <row r="2776" spans="1:14" x14ac:dyDescent="0.3">
      <c r="A2776" t="s">
        <v>2847</v>
      </c>
      <c r="B2776" t="s">
        <v>34</v>
      </c>
      <c r="C2776" t="s">
        <v>2781</v>
      </c>
      <c r="D2776" s="1">
        <v>0.74599537037037034</v>
      </c>
      <c r="E2776" s="2">
        <f>CallLog[[#This Row],[Date]]+CallLog[[#This Row],[Time]]</f>
        <v>44244.745995370373</v>
      </c>
      <c r="F2776" s="1" t="str">
        <f>TEXT(CallLog[[#This Row],[Date]],"dddd")</f>
        <v>Wednesday</v>
      </c>
      <c r="G2776" s="3">
        <f>HOUR(CallLog[[#This Row],[Time]])</f>
        <v>17</v>
      </c>
      <c r="H2776" t="s">
        <v>13</v>
      </c>
      <c r="I2776" t="s">
        <v>14</v>
      </c>
      <c r="J2776" t="s">
        <v>14</v>
      </c>
      <c r="K2776">
        <v>78</v>
      </c>
      <c r="L2776" t="str">
        <f>IF(AND(CallLog[[#This Row],[Answered (Y/N)]]="Y", CallLog[[#This Row],[Speed of answer in seconds]]&lt;=20),
    "Within",
    "Breach")</f>
        <v>Breach</v>
      </c>
      <c r="M2776" s="1">
        <v>4.8263888888888887E-3</v>
      </c>
      <c r="N2776">
        <v>3</v>
      </c>
    </row>
    <row r="2777" spans="1:14" x14ac:dyDescent="0.3">
      <c r="A2777" t="s">
        <v>2848</v>
      </c>
      <c r="B2777" t="s">
        <v>34</v>
      </c>
      <c r="C2777" t="s">
        <v>2781</v>
      </c>
      <c r="D2777" s="1">
        <v>0.74599537037037034</v>
      </c>
      <c r="E2777" s="2">
        <f>CallLog[[#This Row],[Date]]+CallLog[[#This Row],[Time]]</f>
        <v>44244.745995370373</v>
      </c>
      <c r="F2777" s="1" t="str">
        <f>TEXT(CallLog[[#This Row],[Date]],"dddd")</f>
        <v>Wednesday</v>
      </c>
      <c r="G2777" s="3">
        <f>HOUR(CallLog[[#This Row],[Time]])</f>
        <v>17</v>
      </c>
      <c r="H2777" t="s">
        <v>17</v>
      </c>
      <c r="I2777" t="s">
        <v>14</v>
      </c>
      <c r="J2777" t="s">
        <v>14</v>
      </c>
      <c r="K2777">
        <v>109</v>
      </c>
      <c r="L2777" t="str">
        <f>IF(AND(CallLog[[#This Row],[Answered (Y/N)]]="Y", CallLog[[#This Row],[Speed of answer in seconds]]&lt;=20),
    "Within",
    "Breach")</f>
        <v>Breach</v>
      </c>
      <c r="M2777" s="1">
        <v>2.8240740740740739E-3</v>
      </c>
      <c r="N2777">
        <v>3</v>
      </c>
    </row>
    <row r="2778" spans="1:14" x14ac:dyDescent="0.3">
      <c r="A2778" t="s">
        <v>2849</v>
      </c>
      <c r="B2778" t="s">
        <v>47</v>
      </c>
      <c r="C2778" t="s">
        <v>2850</v>
      </c>
      <c r="D2778" s="1">
        <v>0.39099537037037035</v>
      </c>
      <c r="E2778" s="2">
        <f>CallLog[[#This Row],[Date]]+CallLog[[#This Row],[Time]]</f>
        <v>44245.39099537037</v>
      </c>
      <c r="F2778" s="1" t="str">
        <f>TEXT(CallLog[[#This Row],[Date]],"dddd")</f>
        <v>Thursday</v>
      </c>
      <c r="G2778" s="3">
        <f>HOUR(CallLog[[#This Row],[Time]])</f>
        <v>9</v>
      </c>
      <c r="H2778" t="s">
        <v>17</v>
      </c>
      <c r="I2778" t="s">
        <v>14</v>
      </c>
      <c r="J2778" t="s">
        <v>18</v>
      </c>
      <c r="K2778">
        <v>61</v>
      </c>
      <c r="L2778" t="str">
        <f>IF(AND(CallLog[[#This Row],[Answered (Y/N)]]="Y", CallLog[[#This Row],[Speed of answer in seconds]]&lt;=20),
    "Within",
    "Breach")</f>
        <v>Breach</v>
      </c>
      <c r="M2778" s="1">
        <v>4.0972222222222226E-3</v>
      </c>
      <c r="N2778">
        <v>5</v>
      </c>
    </row>
    <row r="2779" spans="1:14" x14ac:dyDescent="0.3">
      <c r="A2779" t="s">
        <v>2851</v>
      </c>
      <c r="B2779" t="s">
        <v>22</v>
      </c>
      <c r="C2779" t="s">
        <v>2850</v>
      </c>
      <c r="D2779" s="1">
        <v>0.39099537037037035</v>
      </c>
      <c r="E2779" s="2">
        <f>CallLog[[#This Row],[Date]]+CallLog[[#This Row],[Time]]</f>
        <v>44245.39099537037</v>
      </c>
      <c r="F2779" s="1" t="str">
        <f>TEXT(CallLog[[#This Row],[Date]],"dddd")</f>
        <v>Thursday</v>
      </c>
      <c r="G2779" s="3">
        <f>HOUR(CallLog[[#This Row],[Time]])</f>
        <v>9</v>
      </c>
      <c r="H2779" t="s">
        <v>24</v>
      </c>
      <c r="I2779" t="s">
        <v>14</v>
      </c>
      <c r="J2779" t="s">
        <v>14</v>
      </c>
      <c r="K2779">
        <v>86</v>
      </c>
      <c r="L2779" t="str">
        <f>IF(AND(CallLog[[#This Row],[Answered (Y/N)]]="Y", CallLog[[#This Row],[Speed of answer in seconds]]&lt;=20),
    "Within",
    "Breach")</f>
        <v>Breach</v>
      </c>
      <c r="M2779" s="1">
        <v>1.1226851851851851E-3</v>
      </c>
      <c r="N2779">
        <v>2</v>
      </c>
    </row>
    <row r="2780" spans="1:14" x14ac:dyDescent="0.3">
      <c r="A2780" t="s">
        <v>2852</v>
      </c>
      <c r="B2780" t="s">
        <v>22</v>
      </c>
      <c r="C2780" t="s">
        <v>2850</v>
      </c>
      <c r="D2780" s="1">
        <v>0.40500000000000003</v>
      </c>
      <c r="E2780" s="2">
        <f>CallLog[[#This Row],[Date]]+CallLog[[#This Row],[Time]]</f>
        <v>44245.404999999999</v>
      </c>
      <c r="F2780" s="1" t="str">
        <f>TEXT(CallLog[[#This Row],[Date]],"dddd")</f>
        <v>Thursday</v>
      </c>
      <c r="G2780" s="3">
        <f>HOUR(CallLog[[#This Row],[Time]])</f>
        <v>9</v>
      </c>
      <c r="H2780" t="s">
        <v>29</v>
      </c>
      <c r="I2780" t="s">
        <v>14</v>
      </c>
      <c r="J2780" t="s">
        <v>14</v>
      </c>
      <c r="K2780">
        <v>74</v>
      </c>
      <c r="L2780" t="str">
        <f>IF(AND(CallLog[[#This Row],[Answered (Y/N)]]="Y", CallLog[[#This Row],[Speed of answer in seconds]]&lt;=20),
    "Within",
    "Breach")</f>
        <v>Breach</v>
      </c>
      <c r="M2780" s="1">
        <v>4.7685185185185183E-3</v>
      </c>
      <c r="N2780">
        <v>4</v>
      </c>
    </row>
    <row r="2781" spans="1:14" x14ac:dyDescent="0.3">
      <c r="A2781" t="s">
        <v>2853</v>
      </c>
      <c r="B2781" t="s">
        <v>11</v>
      </c>
      <c r="C2781" t="s">
        <v>2850</v>
      </c>
      <c r="D2781" s="1">
        <v>0.40500000000000003</v>
      </c>
      <c r="E2781" s="2">
        <f>CallLog[[#This Row],[Date]]+CallLog[[#This Row],[Time]]</f>
        <v>44245.404999999999</v>
      </c>
      <c r="F2781" s="1" t="str">
        <f>TEXT(CallLog[[#This Row],[Date]],"dddd")</f>
        <v>Thursday</v>
      </c>
      <c r="G2781" s="3">
        <f>HOUR(CallLog[[#This Row],[Time]])</f>
        <v>9</v>
      </c>
      <c r="H2781" t="s">
        <v>24</v>
      </c>
      <c r="I2781" t="s">
        <v>14</v>
      </c>
      <c r="J2781" t="s">
        <v>14</v>
      </c>
      <c r="K2781">
        <v>125</v>
      </c>
      <c r="L2781" t="str">
        <f>IF(AND(CallLog[[#This Row],[Answered (Y/N)]]="Y", CallLog[[#This Row],[Speed of answer in seconds]]&lt;=20),
    "Within",
    "Breach")</f>
        <v>Breach</v>
      </c>
      <c r="M2781" s="1">
        <v>3.3912037037037036E-3</v>
      </c>
      <c r="N2781">
        <v>3</v>
      </c>
    </row>
    <row r="2782" spans="1:14" x14ac:dyDescent="0.3">
      <c r="A2782" t="s">
        <v>2854</v>
      </c>
      <c r="B2782" t="s">
        <v>16</v>
      </c>
      <c r="C2782" t="s">
        <v>2850</v>
      </c>
      <c r="D2782" s="1">
        <v>0.41700231481481481</v>
      </c>
      <c r="E2782" s="2">
        <f>CallLog[[#This Row],[Date]]+CallLog[[#This Row],[Time]]</f>
        <v>44245.417002314818</v>
      </c>
      <c r="F2782" s="1" t="str">
        <f>TEXT(CallLog[[#This Row],[Date]],"dddd")</f>
        <v>Thursday</v>
      </c>
      <c r="G2782" s="3">
        <f>HOUR(CallLog[[#This Row],[Time]])</f>
        <v>10</v>
      </c>
      <c r="H2782" t="s">
        <v>13</v>
      </c>
      <c r="I2782" t="s">
        <v>14</v>
      </c>
      <c r="J2782" t="s">
        <v>18</v>
      </c>
      <c r="K2782">
        <v>64</v>
      </c>
      <c r="L2782" t="str">
        <f>IF(AND(CallLog[[#This Row],[Answered (Y/N)]]="Y", CallLog[[#This Row],[Speed of answer in seconds]]&lt;=20),
    "Within",
    "Breach")</f>
        <v>Breach</v>
      </c>
      <c r="M2782" s="1">
        <v>4.2708333333333331E-3</v>
      </c>
      <c r="N2782">
        <v>2</v>
      </c>
    </row>
    <row r="2783" spans="1:14" x14ac:dyDescent="0.3">
      <c r="A2783" t="s">
        <v>2855</v>
      </c>
      <c r="B2783" t="s">
        <v>34</v>
      </c>
      <c r="C2783" t="s">
        <v>2850</v>
      </c>
      <c r="D2783" s="1">
        <v>0.41700231481481481</v>
      </c>
      <c r="E2783" s="2">
        <f>CallLog[[#This Row],[Date]]+CallLog[[#This Row],[Time]]</f>
        <v>44245.417002314818</v>
      </c>
      <c r="F2783" s="1" t="str">
        <f>TEXT(CallLog[[#This Row],[Date]],"dddd")</f>
        <v>Thursday</v>
      </c>
      <c r="G2783" s="3">
        <f>HOUR(CallLog[[#This Row],[Time]])</f>
        <v>10</v>
      </c>
      <c r="H2783" t="s">
        <v>32</v>
      </c>
      <c r="I2783" t="s">
        <v>14</v>
      </c>
      <c r="J2783" t="s">
        <v>14</v>
      </c>
      <c r="K2783">
        <v>63</v>
      </c>
      <c r="L2783" t="str">
        <f>IF(AND(CallLog[[#This Row],[Answered (Y/N)]]="Y", CallLog[[#This Row],[Speed of answer in seconds]]&lt;=20),
    "Within",
    "Breach")</f>
        <v>Breach</v>
      </c>
      <c r="M2783" s="1">
        <v>1.4583333333333334E-3</v>
      </c>
      <c r="N2783">
        <v>3</v>
      </c>
    </row>
    <row r="2784" spans="1:14" x14ac:dyDescent="0.3">
      <c r="A2784" t="s">
        <v>2856</v>
      </c>
      <c r="B2784" t="s">
        <v>22</v>
      </c>
      <c r="C2784" t="s">
        <v>2850</v>
      </c>
      <c r="D2784" s="1">
        <v>0.42599537037037039</v>
      </c>
      <c r="E2784" s="2">
        <f>CallLog[[#This Row],[Date]]+CallLog[[#This Row],[Time]]</f>
        <v>44245.425995370373</v>
      </c>
      <c r="F2784" s="1" t="str">
        <f>TEXT(CallLog[[#This Row],[Date]],"dddd")</f>
        <v>Thursday</v>
      </c>
      <c r="G2784" s="3">
        <f>HOUR(CallLog[[#This Row],[Time]])</f>
        <v>10</v>
      </c>
      <c r="H2784" t="s">
        <v>29</v>
      </c>
      <c r="I2784" t="s">
        <v>14</v>
      </c>
      <c r="J2784" t="s">
        <v>14</v>
      </c>
      <c r="K2784">
        <v>46</v>
      </c>
      <c r="L2784" t="str">
        <f>IF(AND(CallLog[[#This Row],[Answered (Y/N)]]="Y", CallLog[[#This Row],[Speed of answer in seconds]]&lt;=20),
    "Within",
    "Breach")</f>
        <v>Breach</v>
      </c>
      <c r="M2784" s="1">
        <v>4.5833333333333334E-3</v>
      </c>
      <c r="N2784">
        <v>4</v>
      </c>
    </row>
    <row r="2785" spans="1:14" x14ac:dyDescent="0.3">
      <c r="A2785" t="s">
        <v>2857</v>
      </c>
      <c r="B2785" t="s">
        <v>22</v>
      </c>
      <c r="C2785" t="s">
        <v>2850</v>
      </c>
      <c r="D2785" s="1">
        <v>0.42599537037037039</v>
      </c>
      <c r="E2785" s="2">
        <f>CallLog[[#This Row],[Date]]+CallLog[[#This Row],[Time]]</f>
        <v>44245.425995370373</v>
      </c>
      <c r="F2785" s="1" t="str">
        <f>TEXT(CallLog[[#This Row],[Date]],"dddd")</f>
        <v>Thursday</v>
      </c>
      <c r="G2785" s="3">
        <f>HOUR(CallLog[[#This Row],[Time]])</f>
        <v>10</v>
      </c>
      <c r="H2785" t="s">
        <v>29</v>
      </c>
      <c r="I2785" t="s">
        <v>14</v>
      </c>
      <c r="J2785" t="s">
        <v>14</v>
      </c>
      <c r="K2785">
        <v>63</v>
      </c>
      <c r="L2785" t="str">
        <f>IF(AND(CallLog[[#This Row],[Answered (Y/N)]]="Y", CallLog[[#This Row],[Speed of answer in seconds]]&lt;=20),
    "Within",
    "Breach")</f>
        <v>Breach</v>
      </c>
      <c r="M2785" s="1">
        <v>2.9513888888888888E-3</v>
      </c>
      <c r="N2785">
        <v>3</v>
      </c>
    </row>
    <row r="2786" spans="1:14" x14ac:dyDescent="0.3">
      <c r="A2786" t="s">
        <v>2858</v>
      </c>
      <c r="B2786" t="s">
        <v>34</v>
      </c>
      <c r="C2786" t="s">
        <v>2850</v>
      </c>
      <c r="D2786" s="1">
        <v>0.42799768518518516</v>
      </c>
      <c r="E2786" s="2">
        <f>CallLog[[#This Row],[Date]]+CallLog[[#This Row],[Time]]</f>
        <v>44245.427997685183</v>
      </c>
      <c r="F2786" s="1" t="str">
        <f>TEXT(CallLog[[#This Row],[Date]],"dddd")</f>
        <v>Thursday</v>
      </c>
      <c r="G2786" s="3">
        <f>HOUR(CallLog[[#This Row],[Time]])</f>
        <v>10</v>
      </c>
      <c r="H2786" t="s">
        <v>13</v>
      </c>
      <c r="I2786" t="s">
        <v>14</v>
      </c>
      <c r="J2786" t="s">
        <v>14</v>
      </c>
      <c r="K2786">
        <v>96</v>
      </c>
      <c r="L2786" t="str">
        <f>IF(AND(CallLog[[#This Row],[Answered (Y/N)]]="Y", CallLog[[#This Row],[Speed of answer in seconds]]&lt;=20),
    "Within",
    "Breach")</f>
        <v>Breach</v>
      </c>
      <c r="M2786" s="1">
        <v>5.4398148148148144E-4</v>
      </c>
      <c r="N2786">
        <v>4</v>
      </c>
    </row>
    <row r="2787" spans="1:14" x14ac:dyDescent="0.3">
      <c r="A2787" t="s">
        <v>2859</v>
      </c>
      <c r="B2787" t="s">
        <v>47</v>
      </c>
      <c r="C2787" t="s">
        <v>2850</v>
      </c>
      <c r="D2787" s="1">
        <v>0.42799768518518516</v>
      </c>
      <c r="E2787" s="2">
        <f>CallLog[[#This Row],[Date]]+CallLog[[#This Row],[Time]]</f>
        <v>44245.427997685183</v>
      </c>
      <c r="F2787" s="1" t="str">
        <f>TEXT(CallLog[[#This Row],[Date]],"dddd")</f>
        <v>Thursday</v>
      </c>
      <c r="G2787" s="3">
        <f>HOUR(CallLog[[#This Row],[Time]])</f>
        <v>10</v>
      </c>
      <c r="H2787" t="s">
        <v>32</v>
      </c>
      <c r="I2787" t="s">
        <v>14</v>
      </c>
      <c r="J2787" t="s">
        <v>14</v>
      </c>
      <c r="K2787">
        <v>37</v>
      </c>
      <c r="L2787" t="str">
        <f>IF(AND(CallLog[[#This Row],[Answered (Y/N)]]="Y", CallLog[[#This Row],[Speed of answer in seconds]]&lt;=20),
    "Within",
    "Breach")</f>
        <v>Breach</v>
      </c>
      <c r="M2787" s="1">
        <v>3.0671296296296297E-3</v>
      </c>
      <c r="N2787">
        <v>3</v>
      </c>
    </row>
    <row r="2788" spans="1:14" x14ac:dyDescent="0.3">
      <c r="A2788" t="s">
        <v>2860</v>
      </c>
      <c r="B2788" t="s">
        <v>47</v>
      </c>
      <c r="C2788" t="s">
        <v>2850</v>
      </c>
      <c r="D2788" s="1">
        <v>0.44</v>
      </c>
      <c r="E2788" s="2">
        <f>CallLog[[#This Row],[Date]]+CallLog[[#This Row],[Time]]</f>
        <v>44245.440000000002</v>
      </c>
      <c r="F2788" s="1" t="str">
        <f>TEXT(CallLog[[#This Row],[Date]],"dddd")</f>
        <v>Thursday</v>
      </c>
      <c r="G2788" s="3">
        <f>HOUR(CallLog[[#This Row],[Time]])</f>
        <v>10</v>
      </c>
      <c r="H2788" t="s">
        <v>13</v>
      </c>
      <c r="I2788" t="s">
        <v>14</v>
      </c>
      <c r="J2788" t="s">
        <v>14</v>
      </c>
      <c r="K2788">
        <v>73</v>
      </c>
      <c r="L2788" t="str">
        <f>IF(AND(CallLog[[#This Row],[Answered (Y/N)]]="Y", CallLog[[#This Row],[Speed of answer in seconds]]&lt;=20),
    "Within",
    "Breach")</f>
        <v>Breach</v>
      </c>
      <c r="M2788" s="1">
        <v>2.3611111111111111E-3</v>
      </c>
      <c r="N2788">
        <v>4</v>
      </c>
    </row>
    <row r="2789" spans="1:14" x14ac:dyDescent="0.3">
      <c r="A2789" t="s">
        <v>2861</v>
      </c>
      <c r="B2789" t="s">
        <v>11</v>
      </c>
      <c r="C2789" t="s">
        <v>2850</v>
      </c>
      <c r="D2789" s="1">
        <v>0.44</v>
      </c>
      <c r="E2789" s="2">
        <f>CallLog[[#This Row],[Date]]+CallLog[[#This Row],[Time]]</f>
        <v>44245.440000000002</v>
      </c>
      <c r="F2789" s="1" t="str">
        <f>TEXT(CallLog[[#This Row],[Date]],"dddd")</f>
        <v>Thursday</v>
      </c>
      <c r="G2789" s="3">
        <f>HOUR(CallLog[[#This Row],[Time]])</f>
        <v>10</v>
      </c>
      <c r="H2789" t="s">
        <v>24</v>
      </c>
      <c r="I2789" t="s">
        <v>14</v>
      </c>
      <c r="J2789" t="s">
        <v>14</v>
      </c>
      <c r="K2789">
        <v>111</v>
      </c>
      <c r="L2789" t="str">
        <f>IF(AND(CallLog[[#This Row],[Answered (Y/N)]]="Y", CallLog[[#This Row],[Speed of answer in seconds]]&lt;=20),
    "Within",
    "Breach")</f>
        <v>Breach</v>
      </c>
      <c r="M2789" s="1">
        <v>1.5972222222222223E-3</v>
      </c>
      <c r="N2789">
        <v>4</v>
      </c>
    </row>
    <row r="2790" spans="1:14" x14ac:dyDescent="0.3">
      <c r="A2790" t="s">
        <v>2862</v>
      </c>
      <c r="B2790" t="s">
        <v>34</v>
      </c>
      <c r="C2790" t="s">
        <v>2850</v>
      </c>
      <c r="D2790" s="1">
        <v>0.44299768518518517</v>
      </c>
      <c r="E2790" s="2">
        <f>CallLog[[#This Row],[Date]]+CallLog[[#This Row],[Time]]</f>
        <v>44245.442997685182</v>
      </c>
      <c r="F2790" s="1" t="str">
        <f>TEXT(CallLog[[#This Row],[Date]],"dddd")</f>
        <v>Thursday</v>
      </c>
      <c r="G2790" s="3">
        <f>HOUR(CallLog[[#This Row],[Time]])</f>
        <v>10</v>
      </c>
      <c r="H2790" t="s">
        <v>24</v>
      </c>
      <c r="I2790" t="s">
        <v>18</v>
      </c>
      <c r="J2790" t="s">
        <v>18</v>
      </c>
      <c r="L2790" t="str">
        <f>IF(AND(CallLog[[#This Row],[Answered (Y/N)]]="Y", CallLog[[#This Row],[Speed of answer in seconds]]&lt;=20),
    "Within",
    "Breach")</f>
        <v>Breach</v>
      </c>
    </row>
    <row r="2791" spans="1:14" x14ac:dyDescent="0.3">
      <c r="A2791" t="s">
        <v>2863</v>
      </c>
      <c r="B2791" t="s">
        <v>34</v>
      </c>
      <c r="C2791" t="s">
        <v>2850</v>
      </c>
      <c r="D2791" s="1">
        <v>0.44299768518518517</v>
      </c>
      <c r="E2791" s="2">
        <f>CallLog[[#This Row],[Date]]+CallLog[[#This Row],[Time]]</f>
        <v>44245.442997685182</v>
      </c>
      <c r="F2791" s="1" t="str">
        <f>TEXT(CallLog[[#This Row],[Date]],"dddd")</f>
        <v>Thursday</v>
      </c>
      <c r="G2791" s="3">
        <f>HOUR(CallLog[[#This Row],[Time]])</f>
        <v>10</v>
      </c>
      <c r="H2791" t="s">
        <v>32</v>
      </c>
      <c r="I2791" t="s">
        <v>14</v>
      </c>
      <c r="J2791" t="s">
        <v>14</v>
      </c>
      <c r="K2791">
        <v>79</v>
      </c>
      <c r="L2791" t="str">
        <f>IF(AND(CallLog[[#This Row],[Answered (Y/N)]]="Y", CallLog[[#This Row],[Speed of answer in seconds]]&lt;=20),
    "Within",
    "Breach")</f>
        <v>Breach</v>
      </c>
      <c r="M2791" s="1">
        <v>2.1759259259259258E-3</v>
      </c>
      <c r="N2791">
        <v>2</v>
      </c>
    </row>
    <row r="2792" spans="1:14" x14ac:dyDescent="0.3">
      <c r="A2792" t="s">
        <v>2864</v>
      </c>
      <c r="B2792" t="s">
        <v>22</v>
      </c>
      <c r="C2792" t="s">
        <v>2850</v>
      </c>
      <c r="D2792" s="1">
        <v>0.45599537037037036</v>
      </c>
      <c r="E2792" s="2">
        <f>CallLog[[#This Row],[Date]]+CallLog[[#This Row],[Time]]</f>
        <v>44245.455995370372</v>
      </c>
      <c r="F2792" s="1" t="str">
        <f>TEXT(CallLog[[#This Row],[Date]],"dddd")</f>
        <v>Thursday</v>
      </c>
      <c r="G2792" s="3">
        <f>HOUR(CallLog[[#This Row],[Time]])</f>
        <v>10</v>
      </c>
      <c r="H2792" t="s">
        <v>29</v>
      </c>
      <c r="I2792" t="s">
        <v>18</v>
      </c>
      <c r="J2792" t="s">
        <v>18</v>
      </c>
      <c r="L2792" t="str">
        <f>IF(AND(CallLog[[#This Row],[Answered (Y/N)]]="Y", CallLog[[#This Row],[Speed of answer in seconds]]&lt;=20),
    "Within",
    "Breach")</f>
        <v>Breach</v>
      </c>
    </row>
    <row r="2793" spans="1:14" x14ac:dyDescent="0.3">
      <c r="A2793" t="s">
        <v>2865</v>
      </c>
      <c r="B2793" t="s">
        <v>47</v>
      </c>
      <c r="C2793" t="s">
        <v>2850</v>
      </c>
      <c r="D2793" s="1">
        <v>0.45599537037037036</v>
      </c>
      <c r="E2793" s="2">
        <f>CallLog[[#This Row],[Date]]+CallLog[[#This Row],[Time]]</f>
        <v>44245.455995370372</v>
      </c>
      <c r="F2793" s="1" t="str">
        <f>TEXT(CallLog[[#This Row],[Date]],"dddd")</f>
        <v>Thursday</v>
      </c>
      <c r="G2793" s="3">
        <f>HOUR(CallLog[[#This Row],[Time]])</f>
        <v>10</v>
      </c>
      <c r="H2793" t="s">
        <v>29</v>
      </c>
      <c r="I2793" t="s">
        <v>14</v>
      </c>
      <c r="J2793" t="s">
        <v>18</v>
      </c>
      <c r="K2793">
        <v>32</v>
      </c>
      <c r="L2793" t="str">
        <f>IF(AND(CallLog[[#This Row],[Answered (Y/N)]]="Y", CallLog[[#This Row],[Speed of answer in seconds]]&lt;=20),
    "Within",
    "Breach")</f>
        <v>Breach</v>
      </c>
      <c r="M2793" s="1">
        <v>3.8888888888888888E-3</v>
      </c>
      <c r="N2793">
        <v>3</v>
      </c>
    </row>
    <row r="2794" spans="1:14" x14ac:dyDescent="0.3">
      <c r="A2794" t="s">
        <v>2866</v>
      </c>
      <c r="B2794" t="s">
        <v>47</v>
      </c>
      <c r="C2794" t="s">
        <v>2850</v>
      </c>
      <c r="D2794" s="1">
        <v>0.47099537037037037</v>
      </c>
      <c r="E2794" s="2">
        <f>CallLog[[#This Row],[Date]]+CallLog[[#This Row],[Time]]</f>
        <v>44245.470995370371</v>
      </c>
      <c r="F2794" s="1" t="str">
        <f>TEXT(CallLog[[#This Row],[Date]],"dddd")</f>
        <v>Thursday</v>
      </c>
      <c r="G2794" s="3">
        <f>HOUR(CallLog[[#This Row],[Time]])</f>
        <v>11</v>
      </c>
      <c r="H2794" t="s">
        <v>13</v>
      </c>
      <c r="I2794" t="s">
        <v>14</v>
      </c>
      <c r="J2794" t="s">
        <v>14</v>
      </c>
      <c r="K2794">
        <v>60</v>
      </c>
      <c r="L2794" t="str">
        <f>IF(AND(CallLog[[#This Row],[Answered (Y/N)]]="Y", CallLog[[#This Row],[Speed of answer in seconds]]&lt;=20),
    "Within",
    "Breach")</f>
        <v>Breach</v>
      </c>
      <c r="M2794" s="1">
        <v>3.3564814814814816E-3</v>
      </c>
      <c r="N2794">
        <v>3</v>
      </c>
    </row>
    <row r="2795" spans="1:14" x14ac:dyDescent="0.3">
      <c r="A2795" t="s">
        <v>2867</v>
      </c>
      <c r="B2795" t="s">
        <v>47</v>
      </c>
      <c r="C2795" t="s">
        <v>2850</v>
      </c>
      <c r="D2795" s="1">
        <v>0.47099537037037037</v>
      </c>
      <c r="E2795" s="2">
        <f>CallLog[[#This Row],[Date]]+CallLog[[#This Row],[Time]]</f>
        <v>44245.470995370371</v>
      </c>
      <c r="F2795" s="1" t="str">
        <f>TEXT(CallLog[[#This Row],[Date]],"dddd")</f>
        <v>Thursday</v>
      </c>
      <c r="G2795" s="3">
        <f>HOUR(CallLog[[#This Row],[Time]])</f>
        <v>11</v>
      </c>
      <c r="H2795" t="s">
        <v>24</v>
      </c>
      <c r="I2795" t="s">
        <v>14</v>
      </c>
      <c r="J2795" t="s">
        <v>14</v>
      </c>
      <c r="K2795">
        <v>25</v>
      </c>
      <c r="L2795" t="str">
        <f>IF(AND(CallLog[[#This Row],[Answered (Y/N)]]="Y", CallLog[[#This Row],[Speed of answer in seconds]]&lt;=20),
    "Within",
    "Breach")</f>
        <v>Breach</v>
      </c>
      <c r="M2795" s="1">
        <v>3.8310185185185183E-3</v>
      </c>
      <c r="N2795">
        <v>3</v>
      </c>
    </row>
    <row r="2796" spans="1:14" x14ac:dyDescent="0.3">
      <c r="A2796" t="s">
        <v>2868</v>
      </c>
      <c r="B2796" t="s">
        <v>31</v>
      </c>
      <c r="C2796" t="s">
        <v>2850</v>
      </c>
      <c r="D2796" s="1">
        <v>0.47099537037037037</v>
      </c>
      <c r="E2796" s="2">
        <f>CallLog[[#This Row],[Date]]+CallLog[[#This Row],[Time]]</f>
        <v>44245.470995370371</v>
      </c>
      <c r="F2796" s="1" t="str">
        <f>TEXT(CallLog[[#This Row],[Date]],"dddd")</f>
        <v>Thursday</v>
      </c>
      <c r="G2796" s="3">
        <f>HOUR(CallLog[[#This Row],[Time]])</f>
        <v>11</v>
      </c>
      <c r="H2796" t="s">
        <v>24</v>
      </c>
      <c r="I2796" t="s">
        <v>14</v>
      </c>
      <c r="J2796" t="s">
        <v>14</v>
      </c>
      <c r="K2796">
        <v>72</v>
      </c>
      <c r="L2796" t="str">
        <f>IF(AND(CallLog[[#This Row],[Answered (Y/N)]]="Y", CallLog[[#This Row],[Speed of answer in seconds]]&lt;=20),
    "Within",
    "Breach")</f>
        <v>Breach</v>
      </c>
      <c r="M2796" s="1">
        <v>2.9050925925925928E-3</v>
      </c>
      <c r="N2796">
        <v>4</v>
      </c>
    </row>
    <row r="2797" spans="1:14" x14ac:dyDescent="0.3">
      <c r="A2797" t="s">
        <v>2869</v>
      </c>
      <c r="B2797" t="s">
        <v>47</v>
      </c>
      <c r="C2797" t="s">
        <v>2850</v>
      </c>
      <c r="D2797" s="1">
        <v>0.47099537037037037</v>
      </c>
      <c r="E2797" s="2">
        <f>CallLog[[#This Row],[Date]]+CallLog[[#This Row],[Time]]</f>
        <v>44245.470995370371</v>
      </c>
      <c r="F2797" s="1" t="str">
        <f>TEXT(CallLog[[#This Row],[Date]],"dddd")</f>
        <v>Thursday</v>
      </c>
      <c r="G2797" s="3">
        <f>HOUR(CallLog[[#This Row],[Time]])</f>
        <v>11</v>
      </c>
      <c r="H2797" t="s">
        <v>17</v>
      </c>
      <c r="I2797" t="s">
        <v>14</v>
      </c>
      <c r="J2797" t="s">
        <v>14</v>
      </c>
      <c r="K2797">
        <v>82</v>
      </c>
      <c r="L2797" t="str">
        <f>IF(AND(CallLog[[#This Row],[Answered (Y/N)]]="Y", CallLog[[#This Row],[Speed of answer in seconds]]&lt;=20),
    "Within",
    "Breach")</f>
        <v>Breach</v>
      </c>
      <c r="M2797" s="1">
        <v>7.7546296296296293E-4</v>
      </c>
      <c r="N2797">
        <v>3</v>
      </c>
    </row>
    <row r="2798" spans="1:14" x14ac:dyDescent="0.3">
      <c r="A2798" t="s">
        <v>2870</v>
      </c>
      <c r="B2798" t="s">
        <v>31</v>
      </c>
      <c r="C2798" t="s">
        <v>2850</v>
      </c>
      <c r="D2798" s="1">
        <v>0.47599537037037037</v>
      </c>
      <c r="E2798" s="2">
        <f>CallLog[[#This Row],[Date]]+CallLog[[#This Row],[Time]]</f>
        <v>44245.475995370369</v>
      </c>
      <c r="F2798" s="1" t="str">
        <f>TEXT(CallLog[[#This Row],[Date]],"dddd")</f>
        <v>Thursday</v>
      </c>
      <c r="G2798" s="3">
        <f>HOUR(CallLog[[#This Row],[Time]])</f>
        <v>11</v>
      </c>
      <c r="H2798" t="s">
        <v>24</v>
      </c>
      <c r="I2798" t="s">
        <v>18</v>
      </c>
      <c r="J2798" t="s">
        <v>18</v>
      </c>
      <c r="L2798" t="str">
        <f>IF(AND(CallLog[[#This Row],[Answered (Y/N)]]="Y", CallLog[[#This Row],[Speed of answer in seconds]]&lt;=20),
    "Within",
    "Breach")</f>
        <v>Breach</v>
      </c>
    </row>
    <row r="2799" spans="1:14" x14ac:dyDescent="0.3">
      <c r="A2799" t="s">
        <v>2871</v>
      </c>
      <c r="B2799" t="s">
        <v>11</v>
      </c>
      <c r="C2799" t="s">
        <v>2850</v>
      </c>
      <c r="D2799" s="1">
        <v>0.47599537037037037</v>
      </c>
      <c r="E2799" s="2">
        <f>CallLog[[#This Row],[Date]]+CallLog[[#This Row],[Time]]</f>
        <v>44245.475995370369</v>
      </c>
      <c r="F2799" s="1" t="str">
        <f>TEXT(CallLog[[#This Row],[Date]],"dddd")</f>
        <v>Thursday</v>
      </c>
      <c r="G2799" s="3">
        <f>HOUR(CallLog[[#This Row],[Time]])</f>
        <v>11</v>
      </c>
      <c r="H2799" t="s">
        <v>29</v>
      </c>
      <c r="I2799" t="s">
        <v>14</v>
      </c>
      <c r="J2799" t="s">
        <v>14</v>
      </c>
      <c r="K2799">
        <v>104</v>
      </c>
      <c r="L2799" t="str">
        <f>IF(AND(CallLog[[#This Row],[Answered (Y/N)]]="Y", CallLog[[#This Row],[Speed of answer in seconds]]&lt;=20),
    "Within",
    "Breach")</f>
        <v>Breach</v>
      </c>
      <c r="M2799" s="1">
        <v>4.6759259259259263E-3</v>
      </c>
      <c r="N2799">
        <v>4</v>
      </c>
    </row>
    <row r="2800" spans="1:14" x14ac:dyDescent="0.3">
      <c r="A2800" t="s">
        <v>2872</v>
      </c>
      <c r="B2800" t="s">
        <v>20</v>
      </c>
      <c r="C2800" t="s">
        <v>2850</v>
      </c>
      <c r="D2800" s="1">
        <v>0.48200231481481481</v>
      </c>
      <c r="E2800" s="2">
        <f>CallLog[[#This Row],[Date]]+CallLog[[#This Row],[Time]]</f>
        <v>44245.482002314813</v>
      </c>
      <c r="F2800" s="1" t="str">
        <f>TEXT(CallLog[[#This Row],[Date]],"dddd")</f>
        <v>Thursday</v>
      </c>
      <c r="G2800" s="3">
        <f>HOUR(CallLog[[#This Row],[Time]])</f>
        <v>11</v>
      </c>
      <c r="H2800" t="s">
        <v>17</v>
      </c>
      <c r="I2800" t="s">
        <v>18</v>
      </c>
      <c r="J2800" t="s">
        <v>18</v>
      </c>
      <c r="L2800" t="str">
        <f>IF(AND(CallLog[[#This Row],[Answered (Y/N)]]="Y", CallLog[[#This Row],[Speed of answer in seconds]]&lt;=20),
    "Within",
    "Breach")</f>
        <v>Breach</v>
      </c>
    </row>
    <row r="2801" spans="1:14" x14ac:dyDescent="0.3">
      <c r="A2801" t="s">
        <v>2873</v>
      </c>
      <c r="B2801" t="s">
        <v>16</v>
      </c>
      <c r="C2801" t="s">
        <v>2850</v>
      </c>
      <c r="D2801" s="1">
        <v>0.48200231481481481</v>
      </c>
      <c r="E2801" s="2">
        <f>CallLog[[#This Row],[Date]]+CallLog[[#This Row],[Time]]</f>
        <v>44245.482002314813</v>
      </c>
      <c r="F2801" s="1" t="str">
        <f>TEXT(CallLog[[#This Row],[Date]],"dddd")</f>
        <v>Thursday</v>
      </c>
      <c r="G2801" s="3">
        <f>HOUR(CallLog[[#This Row],[Time]])</f>
        <v>11</v>
      </c>
      <c r="H2801" t="s">
        <v>17</v>
      </c>
      <c r="I2801" t="s">
        <v>14</v>
      </c>
      <c r="J2801" t="s">
        <v>14</v>
      </c>
      <c r="K2801">
        <v>102</v>
      </c>
      <c r="L2801" t="str">
        <f>IF(AND(CallLog[[#This Row],[Answered (Y/N)]]="Y", CallLog[[#This Row],[Speed of answer in seconds]]&lt;=20),
    "Within",
    "Breach")</f>
        <v>Breach</v>
      </c>
      <c r="M2801" s="1">
        <v>1.6666666666666668E-3</v>
      </c>
      <c r="N2801">
        <v>5</v>
      </c>
    </row>
    <row r="2802" spans="1:14" x14ac:dyDescent="0.3">
      <c r="A2802" t="s">
        <v>2874</v>
      </c>
      <c r="B2802" t="s">
        <v>47</v>
      </c>
      <c r="C2802" t="s">
        <v>2850</v>
      </c>
      <c r="D2802" s="1">
        <v>0.48499999999999999</v>
      </c>
      <c r="E2802" s="2">
        <f>CallLog[[#This Row],[Date]]+CallLog[[#This Row],[Time]]</f>
        <v>44245.485000000001</v>
      </c>
      <c r="F2802" s="1" t="str">
        <f>TEXT(CallLog[[#This Row],[Date]],"dddd")</f>
        <v>Thursday</v>
      </c>
      <c r="G2802" s="3">
        <f>HOUR(CallLog[[#This Row],[Time]])</f>
        <v>11</v>
      </c>
      <c r="H2802" t="s">
        <v>32</v>
      </c>
      <c r="I2802" t="s">
        <v>18</v>
      </c>
      <c r="J2802" t="s">
        <v>18</v>
      </c>
      <c r="L2802" t="str">
        <f>IF(AND(CallLog[[#This Row],[Answered (Y/N)]]="Y", CallLog[[#This Row],[Speed of answer in seconds]]&lt;=20),
    "Within",
    "Breach")</f>
        <v>Breach</v>
      </c>
    </row>
    <row r="2803" spans="1:14" x14ac:dyDescent="0.3">
      <c r="A2803" t="s">
        <v>2875</v>
      </c>
      <c r="B2803" t="s">
        <v>47</v>
      </c>
      <c r="C2803" t="s">
        <v>2850</v>
      </c>
      <c r="D2803" s="1">
        <v>0.48499999999999999</v>
      </c>
      <c r="E2803" s="2">
        <f>CallLog[[#This Row],[Date]]+CallLog[[#This Row],[Time]]</f>
        <v>44245.485000000001</v>
      </c>
      <c r="F2803" s="1" t="str">
        <f>TEXT(CallLog[[#This Row],[Date]],"dddd")</f>
        <v>Thursday</v>
      </c>
      <c r="G2803" s="3">
        <f>HOUR(CallLog[[#This Row],[Time]])</f>
        <v>11</v>
      </c>
      <c r="H2803" t="s">
        <v>17</v>
      </c>
      <c r="I2803" t="s">
        <v>18</v>
      </c>
      <c r="J2803" t="s">
        <v>18</v>
      </c>
      <c r="L2803" t="str">
        <f>IF(AND(CallLog[[#This Row],[Answered (Y/N)]]="Y", CallLog[[#This Row],[Speed of answer in seconds]]&lt;=20),
    "Within",
    "Breach")</f>
        <v>Breach</v>
      </c>
    </row>
    <row r="2804" spans="1:14" x14ac:dyDescent="0.3">
      <c r="A2804" t="s">
        <v>2876</v>
      </c>
      <c r="B2804" t="s">
        <v>38</v>
      </c>
      <c r="C2804" t="s">
        <v>2850</v>
      </c>
      <c r="D2804" s="1">
        <v>0.54500000000000004</v>
      </c>
      <c r="E2804" s="2">
        <f>CallLog[[#This Row],[Date]]+CallLog[[#This Row],[Time]]</f>
        <v>44245.544999999998</v>
      </c>
      <c r="F2804" s="1" t="str">
        <f>TEXT(CallLog[[#This Row],[Date]],"dddd")</f>
        <v>Thursday</v>
      </c>
      <c r="G2804" s="3">
        <f>HOUR(CallLog[[#This Row],[Time]])</f>
        <v>13</v>
      </c>
      <c r="H2804" t="s">
        <v>32</v>
      </c>
      <c r="I2804" t="s">
        <v>14</v>
      </c>
      <c r="J2804" t="s">
        <v>18</v>
      </c>
      <c r="K2804">
        <v>86</v>
      </c>
      <c r="L2804" t="str">
        <f>IF(AND(CallLog[[#This Row],[Answered (Y/N)]]="Y", CallLog[[#This Row],[Speed of answer in seconds]]&lt;=20),
    "Within",
    "Breach")</f>
        <v>Breach</v>
      </c>
      <c r="M2804" s="1">
        <v>1.0995370370370371E-3</v>
      </c>
      <c r="N2804">
        <v>3</v>
      </c>
    </row>
    <row r="2805" spans="1:14" x14ac:dyDescent="0.3">
      <c r="A2805" t="s">
        <v>2877</v>
      </c>
      <c r="B2805" t="s">
        <v>16</v>
      </c>
      <c r="C2805" t="s">
        <v>2850</v>
      </c>
      <c r="D2805" s="1">
        <v>0.54500000000000004</v>
      </c>
      <c r="E2805" s="2">
        <f>CallLog[[#This Row],[Date]]+CallLog[[#This Row],[Time]]</f>
        <v>44245.544999999998</v>
      </c>
      <c r="F2805" s="1" t="str">
        <f>TEXT(CallLog[[#This Row],[Date]],"dddd")</f>
        <v>Thursday</v>
      </c>
      <c r="G2805" s="3">
        <f>HOUR(CallLog[[#This Row],[Time]])</f>
        <v>13</v>
      </c>
      <c r="H2805" t="s">
        <v>17</v>
      </c>
      <c r="I2805" t="s">
        <v>14</v>
      </c>
      <c r="J2805" t="s">
        <v>14</v>
      </c>
      <c r="K2805">
        <v>93</v>
      </c>
      <c r="L2805" t="str">
        <f>IF(AND(CallLog[[#This Row],[Answered (Y/N)]]="Y", CallLog[[#This Row],[Speed of answer in seconds]]&lt;=20),
    "Within",
    "Breach")</f>
        <v>Breach</v>
      </c>
      <c r="M2805" s="1">
        <v>4.2129629629629626E-3</v>
      </c>
      <c r="N2805">
        <v>2</v>
      </c>
    </row>
    <row r="2806" spans="1:14" x14ac:dyDescent="0.3">
      <c r="A2806" t="s">
        <v>2878</v>
      </c>
      <c r="B2806" t="s">
        <v>20</v>
      </c>
      <c r="C2806" t="s">
        <v>2850</v>
      </c>
      <c r="D2806" s="1">
        <v>0.56499999999999995</v>
      </c>
      <c r="E2806" s="2">
        <f>CallLog[[#This Row],[Date]]+CallLog[[#This Row],[Time]]</f>
        <v>44245.565000000002</v>
      </c>
      <c r="F2806" s="1" t="str">
        <f>TEXT(CallLog[[#This Row],[Date]],"dddd")</f>
        <v>Thursday</v>
      </c>
      <c r="G2806" s="3">
        <f>HOUR(CallLog[[#This Row],[Time]])</f>
        <v>13</v>
      </c>
      <c r="H2806" t="s">
        <v>29</v>
      </c>
      <c r="I2806" t="s">
        <v>18</v>
      </c>
      <c r="J2806" t="s">
        <v>18</v>
      </c>
      <c r="L2806" t="str">
        <f>IF(AND(CallLog[[#This Row],[Answered (Y/N)]]="Y", CallLog[[#This Row],[Speed of answer in seconds]]&lt;=20),
    "Within",
    "Breach")</f>
        <v>Breach</v>
      </c>
    </row>
    <row r="2807" spans="1:14" x14ac:dyDescent="0.3">
      <c r="A2807" t="s">
        <v>2879</v>
      </c>
      <c r="B2807" t="s">
        <v>31</v>
      </c>
      <c r="C2807" t="s">
        <v>2850</v>
      </c>
      <c r="D2807" s="1">
        <v>0.56499999999999995</v>
      </c>
      <c r="E2807" s="2">
        <f>CallLog[[#This Row],[Date]]+CallLog[[#This Row],[Time]]</f>
        <v>44245.565000000002</v>
      </c>
      <c r="F2807" s="1" t="str">
        <f>TEXT(CallLog[[#This Row],[Date]],"dddd")</f>
        <v>Thursday</v>
      </c>
      <c r="G2807" s="3">
        <f>HOUR(CallLog[[#This Row],[Time]])</f>
        <v>13</v>
      </c>
      <c r="H2807" t="s">
        <v>32</v>
      </c>
      <c r="I2807" t="s">
        <v>18</v>
      </c>
      <c r="J2807" t="s">
        <v>18</v>
      </c>
      <c r="L2807" t="str">
        <f>IF(AND(CallLog[[#This Row],[Answered (Y/N)]]="Y", CallLog[[#This Row],[Speed of answer in seconds]]&lt;=20),
    "Within",
    "Breach")</f>
        <v>Breach</v>
      </c>
    </row>
    <row r="2808" spans="1:14" x14ac:dyDescent="0.3">
      <c r="A2808" t="s">
        <v>2880</v>
      </c>
      <c r="B2808" t="s">
        <v>47</v>
      </c>
      <c r="C2808" t="s">
        <v>2850</v>
      </c>
      <c r="D2808" s="1">
        <v>0.56799768518518523</v>
      </c>
      <c r="E2808" s="2">
        <f>CallLog[[#This Row],[Date]]+CallLog[[#This Row],[Time]]</f>
        <v>44245.567997685182</v>
      </c>
      <c r="F2808" s="1" t="str">
        <f>TEXT(CallLog[[#This Row],[Date]],"dddd")</f>
        <v>Thursday</v>
      </c>
      <c r="G2808" s="3">
        <f>HOUR(CallLog[[#This Row],[Time]])</f>
        <v>13</v>
      </c>
      <c r="H2808" t="s">
        <v>17</v>
      </c>
      <c r="I2808" t="s">
        <v>14</v>
      </c>
      <c r="J2808" t="s">
        <v>14</v>
      </c>
      <c r="K2808">
        <v>39</v>
      </c>
      <c r="L2808" t="str">
        <f>IF(AND(CallLog[[#This Row],[Answered (Y/N)]]="Y", CallLog[[#This Row],[Speed of answer in seconds]]&lt;=20),
    "Within",
    "Breach")</f>
        <v>Breach</v>
      </c>
      <c r="M2808" s="1">
        <v>2.9282407407407408E-3</v>
      </c>
      <c r="N2808">
        <v>2</v>
      </c>
    </row>
    <row r="2809" spans="1:14" x14ac:dyDescent="0.3">
      <c r="A2809" t="s">
        <v>2881</v>
      </c>
      <c r="B2809" t="s">
        <v>20</v>
      </c>
      <c r="C2809" t="s">
        <v>2850</v>
      </c>
      <c r="D2809" s="1">
        <v>0.56799768518518523</v>
      </c>
      <c r="E2809" s="2">
        <f>CallLog[[#This Row],[Date]]+CallLog[[#This Row],[Time]]</f>
        <v>44245.567997685182</v>
      </c>
      <c r="F2809" s="1" t="str">
        <f>TEXT(CallLog[[#This Row],[Date]],"dddd")</f>
        <v>Thursday</v>
      </c>
      <c r="G2809" s="3">
        <f>HOUR(CallLog[[#This Row],[Time]])</f>
        <v>13</v>
      </c>
      <c r="H2809" t="s">
        <v>29</v>
      </c>
      <c r="I2809" t="s">
        <v>14</v>
      </c>
      <c r="J2809" t="s">
        <v>14</v>
      </c>
      <c r="K2809">
        <v>119</v>
      </c>
      <c r="L2809" t="str">
        <f>IF(AND(CallLog[[#This Row],[Answered (Y/N)]]="Y", CallLog[[#This Row],[Speed of answer in seconds]]&lt;=20),
    "Within",
    "Breach")</f>
        <v>Breach</v>
      </c>
      <c r="M2809" s="1">
        <v>5.3240740740740744E-4</v>
      </c>
      <c r="N2809">
        <v>4</v>
      </c>
    </row>
    <row r="2810" spans="1:14" x14ac:dyDescent="0.3">
      <c r="A2810" t="s">
        <v>2882</v>
      </c>
      <c r="B2810" t="s">
        <v>38</v>
      </c>
      <c r="C2810" t="s">
        <v>2850</v>
      </c>
      <c r="D2810" s="1">
        <v>0.57299768518518523</v>
      </c>
      <c r="E2810" s="2">
        <f>CallLog[[#This Row],[Date]]+CallLog[[#This Row],[Time]]</f>
        <v>44245.572997685187</v>
      </c>
      <c r="F2810" s="1" t="str">
        <f>TEXT(CallLog[[#This Row],[Date]],"dddd")</f>
        <v>Thursday</v>
      </c>
      <c r="G2810" s="3">
        <f>HOUR(CallLog[[#This Row],[Time]])</f>
        <v>13</v>
      </c>
      <c r="H2810" t="s">
        <v>13</v>
      </c>
      <c r="I2810" t="s">
        <v>18</v>
      </c>
      <c r="J2810" t="s">
        <v>18</v>
      </c>
      <c r="L2810" t="str">
        <f>IF(AND(CallLog[[#This Row],[Answered (Y/N)]]="Y", CallLog[[#This Row],[Speed of answer in seconds]]&lt;=20),
    "Within",
    "Breach")</f>
        <v>Breach</v>
      </c>
    </row>
    <row r="2811" spans="1:14" x14ac:dyDescent="0.3">
      <c r="A2811" t="s">
        <v>2883</v>
      </c>
      <c r="B2811" t="s">
        <v>20</v>
      </c>
      <c r="C2811" t="s">
        <v>2850</v>
      </c>
      <c r="D2811" s="1">
        <v>0.57299768518518523</v>
      </c>
      <c r="E2811" s="2">
        <f>CallLog[[#This Row],[Date]]+CallLog[[#This Row],[Time]]</f>
        <v>44245.572997685187</v>
      </c>
      <c r="F2811" s="1" t="str">
        <f>TEXT(CallLog[[#This Row],[Date]],"dddd")</f>
        <v>Thursday</v>
      </c>
      <c r="G2811" s="3">
        <f>HOUR(CallLog[[#This Row],[Time]])</f>
        <v>13</v>
      </c>
      <c r="H2811" t="s">
        <v>17</v>
      </c>
      <c r="I2811" t="s">
        <v>14</v>
      </c>
      <c r="J2811" t="s">
        <v>14</v>
      </c>
      <c r="K2811">
        <v>71</v>
      </c>
      <c r="L2811" t="str">
        <f>IF(AND(CallLog[[#This Row],[Answered (Y/N)]]="Y", CallLog[[#This Row],[Speed of answer in seconds]]&lt;=20),
    "Within",
    "Breach")</f>
        <v>Breach</v>
      </c>
      <c r="M2811" s="1">
        <v>4.861111111111111E-4</v>
      </c>
      <c r="N2811">
        <v>3</v>
      </c>
    </row>
    <row r="2812" spans="1:14" x14ac:dyDescent="0.3">
      <c r="A2812" t="s">
        <v>2884</v>
      </c>
      <c r="B2812" t="s">
        <v>34</v>
      </c>
      <c r="C2812" t="s">
        <v>2850</v>
      </c>
      <c r="D2812" s="1">
        <v>0.57499999999999996</v>
      </c>
      <c r="E2812" s="2">
        <f>CallLog[[#This Row],[Date]]+CallLog[[#This Row],[Time]]</f>
        <v>44245.574999999997</v>
      </c>
      <c r="F2812" s="1" t="str">
        <f>TEXT(CallLog[[#This Row],[Date]],"dddd")</f>
        <v>Thursday</v>
      </c>
      <c r="G2812" s="3">
        <f>HOUR(CallLog[[#This Row],[Time]])</f>
        <v>13</v>
      </c>
      <c r="H2812" t="s">
        <v>32</v>
      </c>
      <c r="I2812" t="s">
        <v>14</v>
      </c>
      <c r="J2812" t="s">
        <v>14</v>
      </c>
      <c r="K2812">
        <v>111</v>
      </c>
      <c r="L2812" t="str">
        <f>IF(AND(CallLog[[#This Row],[Answered (Y/N)]]="Y", CallLog[[#This Row],[Speed of answer in seconds]]&lt;=20),
    "Within",
    "Breach")</f>
        <v>Breach</v>
      </c>
      <c r="M2812" s="1">
        <v>4.7916666666666663E-3</v>
      </c>
      <c r="N2812">
        <v>1</v>
      </c>
    </row>
    <row r="2813" spans="1:14" x14ac:dyDescent="0.3">
      <c r="A2813" t="s">
        <v>2885</v>
      </c>
      <c r="B2813" t="s">
        <v>38</v>
      </c>
      <c r="C2813" t="s">
        <v>2850</v>
      </c>
      <c r="D2813" s="1">
        <v>0.57499999999999996</v>
      </c>
      <c r="E2813" s="2">
        <f>CallLog[[#This Row],[Date]]+CallLog[[#This Row],[Time]]</f>
        <v>44245.574999999997</v>
      </c>
      <c r="F2813" s="1" t="str">
        <f>TEXT(CallLog[[#This Row],[Date]],"dddd")</f>
        <v>Thursday</v>
      </c>
      <c r="G2813" s="3">
        <f>HOUR(CallLog[[#This Row],[Time]])</f>
        <v>13</v>
      </c>
      <c r="H2813" t="s">
        <v>32</v>
      </c>
      <c r="I2813" t="s">
        <v>14</v>
      </c>
      <c r="J2813" t="s">
        <v>18</v>
      </c>
      <c r="K2813">
        <v>120</v>
      </c>
      <c r="L2813" t="str">
        <f>IF(AND(CallLog[[#This Row],[Answered (Y/N)]]="Y", CallLog[[#This Row],[Speed of answer in seconds]]&lt;=20),
    "Within",
    "Breach")</f>
        <v>Breach</v>
      </c>
      <c r="M2813" s="1">
        <v>2.7777777777777779E-3</v>
      </c>
      <c r="N2813">
        <v>1</v>
      </c>
    </row>
    <row r="2814" spans="1:14" x14ac:dyDescent="0.3">
      <c r="A2814" t="s">
        <v>2886</v>
      </c>
      <c r="B2814" t="s">
        <v>34</v>
      </c>
      <c r="C2814" t="s">
        <v>2850</v>
      </c>
      <c r="D2814" s="1">
        <v>0.61599537037037033</v>
      </c>
      <c r="E2814" s="2">
        <f>CallLog[[#This Row],[Date]]+CallLog[[#This Row],[Time]]</f>
        <v>44245.615995370368</v>
      </c>
      <c r="F2814" s="1" t="str">
        <f>TEXT(CallLog[[#This Row],[Date]],"dddd")</f>
        <v>Thursday</v>
      </c>
      <c r="G2814" s="3">
        <f>HOUR(CallLog[[#This Row],[Time]])</f>
        <v>14</v>
      </c>
      <c r="H2814" t="s">
        <v>17</v>
      </c>
      <c r="I2814" t="s">
        <v>18</v>
      </c>
      <c r="J2814" t="s">
        <v>18</v>
      </c>
      <c r="L2814" t="str">
        <f>IF(AND(CallLog[[#This Row],[Answered (Y/N)]]="Y", CallLog[[#This Row],[Speed of answer in seconds]]&lt;=20),
    "Within",
    "Breach")</f>
        <v>Breach</v>
      </c>
    </row>
    <row r="2815" spans="1:14" x14ac:dyDescent="0.3">
      <c r="A2815" t="s">
        <v>2887</v>
      </c>
      <c r="B2815" t="s">
        <v>11</v>
      </c>
      <c r="C2815" t="s">
        <v>2850</v>
      </c>
      <c r="D2815" s="1">
        <v>0.61599537037037033</v>
      </c>
      <c r="E2815" s="2">
        <f>CallLog[[#This Row],[Date]]+CallLog[[#This Row],[Time]]</f>
        <v>44245.615995370368</v>
      </c>
      <c r="F2815" s="1" t="str">
        <f>TEXT(CallLog[[#This Row],[Date]],"dddd")</f>
        <v>Thursday</v>
      </c>
      <c r="G2815" s="3">
        <f>HOUR(CallLog[[#This Row],[Time]])</f>
        <v>14</v>
      </c>
      <c r="H2815" t="s">
        <v>29</v>
      </c>
      <c r="I2815" t="s">
        <v>14</v>
      </c>
      <c r="J2815" t="s">
        <v>14</v>
      </c>
      <c r="K2815">
        <v>81</v>
      </c>
      <c r="L2815" t="str">
        <f>IF(AND(CallLog[[#This Row],[Answered (Y/N)]]="Y", CallLog[[#This Row],[Speed of answer in seconds]]&lt;=20),
    "Within",
    "Breach")</f>
        <v>Breach</v>
      </c>
      <c r="M2815" s="1">
        <v>2.1064814814814813E-3</v>
      </c>
      <c r="N2815">
        <v>5</v>
      </c>
    </row>
    <row r="2816" spans="1:14" x14ac:dyDescent="0.3">
      <c r="A2816" t="s">
        <v>2888</v>
      </c>
      <c r="B2816" t="s">
        <v>31</v>
      </c>
      <c r="C2816" t="s">
        <v>2850</v>
      </c>
      <c r="D2816" s="1">
        <v>0.62</v>
      </c>
      <c r="E2816" s="2">
        <f>CallLog[[#This Row],[Date]]+CallLog[[#This Row],[Time]]</f>
        <v>44245.62</v>
      </c>
      <c r="F2816" s="1" t="str">
        <f>TEXT(CallLog[[#This Row],[Date]],"dddd")</f>
        <v>Thursday</v>
      </c>
      <c r="G2816" s="3">
        <f>HOUR(CallLog[[#This Row],[Time]])</f>
        <v>14</v>
      </c>
      <c r="H2816" t="s">
        <v>24</v>
      </c>
      <c r="I2816" t="s">
        <v>18</v>
      </c>
      <c r="J2816" t="s">
        <v>18</v>
      </c>
      <c r="L2816" t="str">
        <f>IF(AND(CallLog[[#This Row],[Answered (Y/N)]]="Y", CallLog[[#This Row],[Speed of answer in seconds]]&lt;=20),
    "Within",
    "Breach")</f>
        <v>Breach</v>
      </c>
    </row>
    <row r="2817" spans="1:14" x14ac:dyDescent="0.3">
      <c r="A2817" t="s">
        <v>2889</v>
      </c>
      <c r="B2817" t="s">
        <v>38</v>
      </c>
      <c r="C2817" t="s">
        <v>2850</v>
      </c>
      <c r="D2817" s="1">
        <v>0.62</v>
      </c>
      <c r="E2817" s="2">
        <f>CallLog[[#This Row],[Date]]+CallLog[[#This Row],[Time]]</f>
        <v>44245.62</v>
      </c>
      <c r="F2817" s="1" t="str">
        <f>TEXT(CallLog[[#This Row],[Date]],"dddd")</f>
        <v>Thursday</v>
      </c>
      <c r="G2817" s="3">
        <f>HOUR(CallLog[[#This Row],[Time]])</f>
        <v>14</v>
      </c>
      <c r="H2817" t="s">
        <v>32</v>
      </c>
      <c r="I2817" t="s">
        <v>14</v>
      </c>
      <c r="J2817" t="s">
        <v>14</v>
      </c>
      <c r="K2817">
        <v>40</v>
      </c>
      <c r="L2817" t="str">
        <f>IF(AND(CallLog[[#This Row],[Answered (Y/N)]]="Y", CallLog[[#This Row],[Speed of answer in seconds]]&lt;=20),
    "Within",
    "Breach")</f>
        <v>Breach</v>
      </c>
      <c r="M2817" s="1">
        <v>1.6550925925925926E-3</v>
      </c>
      <c r="N2817">
        <v>1</v>
      </c>
    </row>
    <row r="2818" spans="1:14" x14ac:dyDescent="0.3">
      <c r="A2818" t="s">
        <v>2890</v>
      </c>
      <c r="B2818" t="s">
        <v>47</v>
      </c>
      <c r="C2818" t="s">
        <v>2850</v>
      </c>
      <c r="D2818" s="1">
        <v>0.63599537037037035</v>
      </c>
      <c r="E2818" s="2">
        <f>CallLog[[#This Row],[Date]]+CallLog[[#This Row],[Time]]</f>
        <v>44245.635995370372</v>
      </c>
      <c r="F2818" s="1" t="str">
        <f>TEXT(CallLog[[#This Row],[Date]],"dddd")</f>
        <v>Thursday</v>
      </c>
      <c r="G2818" s="3">
        <f>HOUR(CallLog[[#This Row],[Time]])</f>
        <v>15</v>
      </c>
      <c r="H2818" t="s">
        <v>29</v>
      </c>
      <c r="I2818" t="s">
        <v>14</v>
      </c>
      <c r="J2818" t="s">
        <v>14</v>
      </c>
      <c r="K2818">
        <v>114</v>
      </c>
      <c r="L2818" t="str">
        <f>IF(AND(CallLog[[#This Row],[Answered (Y/N)]]="Y", CallLog[[#This Row],[Speed of answer in seconds]]&lt;=20),
    "Within",
    "Breach")</f>
        <v>Breach</v>
      </c>
      <c r="M2818" s="1">
        <v>2.0717592592592593E-3</v>
      </c>
      <c r="N2818">
        <v>5</v>
      </c>
    </row>
    <row r="2819" spans="1:14" x14ac:dyDescent="0.3">
      <c r="A2819" t="s">
        <v>2891</v>
      </c>
      <c r="B2819" t="s">
        <v>31</v>
      </c>
      <c r="C2819" t="s">
        <v>2850</v>
      </c>
      <c r="D2819" s="1">
        <v>0.63599537037037035</v>
      </c>
      <c r="E2819" s="2">
        <f>CallLog[[#This Row],[Date]]+CallLog[[#This Row],[Time]]</f>
        <v>44245.635995370372</v>
      </c>
      <c r="F2819" s="1" t="str">
        <f>TEXT(CallLog[[#This Row],[Date]],"dddd")</f>
        <v>Thursday</v>
      </c>
      <c r="G2819" s="3">
        <f>HOUR(CallLog[[#This Row],[Time]])</f>
        <v>15</v>
      </c>
      <c r="H2819" t="s">
        <v>13</v>
      </c>
      <c r="I2819" t="s">
        <v>18</v>
      </c>
      <c r="J2819" t="s">
        <v>18</v>
      </c>
      <c r="L2819" t="str">
        <f>IF(AND(CallLog[[#This Row],[Answered (Y/N)]]="Y", CallLog[[#This Row],[Speed of answer in seconds]]&lt;=20),
    "Within",
    "Breach")</f>
        <v>Breach</v>
      </c>
    </row>
    <row r="2820" spans="1:14" x14ac:dyDescent="0.3">
      <c r="A2820" t="s">
        <v>2892</v>
      </c>
      <c r="B2820" t="s">
        <v>31</v>
      </c>
      <c r="C2820" t="s">
        <v>2850</v>
      </c>
      <c r="D2820" s="1">
        <v>0.66700231481481487</v>
      </c>
      <c r="E2820" s="2">
        <f>CallLog[[#This Row],[Date]]+CallLog[[#This Row],[Time]]</f>
        <v>44245.667002314818</v>
      </c>
      <c r="F2820" s="1" t="str">
        <f>TEXT(CallLog[[#This Row],[Date]],"dddd")</f>
        <v>Thursday</v>
      </c>
      <c r="G2820" s="3">
        <f>HOUR(CallLog[[#This Row],[Time]])</f>
        <v>16</v>
      </c>
      <c r="H2820" t="s">
        <v>24</v>
      </c>
      <c r="I2820" t="s">
        <v>18</v>
      </c>
      <c r="J2820" t="s">
        <v>18</v>
      </c>
      <c r="L2820" t="str">
        <f>IF(AND(CallLog[[#This Row],[Answered (Y/N)]]="Y", CallLog[[#This Row],[Speed of answer in seconds]]&lt;=20),
    "Within",
    "Breach")</f>
        <v>Breach</v>
      </c>
    </row>
    <row r="2821" spans="1:14" x14ac:dyDescent="0.3">
      <c r="A2821" t="s">
        <v>2893</v>
      </c>
      <c r="B2821" t="s">
        <v>31</v>
      </c>
      <c r="C2821" t="s">
        <v>2850</v>
      </c>
      <c r="D2821" s="1">
        <v>0.66700231481481487</v>
      </c>
      <c r="E2821" s="2">
        <f>CallLog[[#This Row],[Date]]+CallLog[[#This Row],[Time]]</f>
        <v>44245.667002314818</v>
      </c>
      <c r="F2821" s="1" t="str">
        <f>TEXT(CallLog[[#This Row],[Date]],"dddd")</f>
        <v>Thursday</v>
      </c>
      <c r="G2821" s="3">
        <f>HOUR(CallLog[[#This Row],[Time]])</f>
        <v>16</v>
      </c>
      <c r="H2821" t="s">
        <v>13</v>
      </c>
      <c r="I2821" t="s">
        <v>14</v>
      </c>
      <c r="J2821" t="s">
        <v>14</v>
      </c>
      <c r="K2821">
        <v>29</v>
      </c>
      <c r="L2821" t="str">
        <f>IF(AND(CallLog[[#This Row],[Answered (Y/N)]]="Y", CallLog[[#This Row],[Speed of answer in seconds]]&lt;=20),
    "Within",
    "Breach")</f>
        <v>Breach</v>
      </c>
      <c r="M2821" s="1">
        <v>5.5555555555555556E-4</v>
      </c>
      <c r="N2821">
        <v>4</v>
      </c>
    </row>
    <row r="2822" spans="1:14" x14ac:dyDescent="0.3">
      <c r="A2822" t="s">
        <v>2894</v>
      </c>
      <c r="B2822" t="s">
        <v>31</v>
      </c>
      <c r="C2822" t="s">
        <v>2850</v>
      </c>
      <c r="D2822" s="1">
        <v>0.66900462962962959</v>
      </c>
      <c r="E2822" s="2">
        <f>CallLog[[#This Row],[Date]]+CallLog[[#This Row],[Time]]</f>
        <v>44245.669004629628</v>
      </c>
      <c r="F2822" s="1" t="str">
        <f>TEXT(CallLog[[#This Row],[Date]],"dddd")</f>
        <v>Thursday</v>
      </c>
      <c r="G2822" s="3">
        <f>HOUR(CallLog[[#This Row],[Time]])</f>
        <v>16</v>
      </c>
      <c r="H2822" t="s">
        <v>17</v>
      </c>
      <c r="I2822" t="s">
        <v>14</v>
      </c>
      <c r="J2822" t="s">
        <v>14</v>
      </c>
      <c r="K2822">
        <v>56</v>
      </c>
      <c r="L2822" t="str">
        <f>IF(AND(CallLog[[#This Row],[Answered (Y/N)]]="Y", CallLog[[#This Row],[Speed of answer in seconds]]&lt;=20),
    "Within",
    "Breach")</f>
        <v>Breach</v>
      </c>
      <c r="M2822" s="1">
        <v>4.5138888888888885E-3</v>
      </c>
      <c r="N2822">
        <v>3</v>
      </c>
    </row>
    <row r="2823" spans="1:14" x14ac:dyDescent="0.3">
      <c r="A2823" t="s">
        <v>2895</v>
      </c>
      <c r="B2823" t="s">
        <v>11</v>
      </c>
      <c r="C2823" t="s">
        <v>2850</v>
      </c>
      <c r="D2823" s="1">
        <v>0.66900462962962959</v>
      </c>
      <c r="E2823" s="2">
        <f>CallLog[[#This Row],[Date]]+CallLog[[#This Row],[Time]]</f>
        <v>44245.669004629628</v>
      </c>
      <c r="F2823" s="1" t="str">
        <f>TEXT(CallLog[[#This Row],[Date]],"dddd")</f>
        <v>Thursday</v>
      </c>
      <c r="G2823" s="3">
        <f>HOUR(CallLog[[#This Row],[Time]])</f>
        <v>16</v>
      </c>
      <c r="H2823" t="s">
        <v>17</v>
      </c>
      <c r="I2823" t="s">
        <v>14</v>
      </c>
      <c r="J2823" t="s">
        <v>18</v>
      </c>
      <c r="K2823">
        <v>58</v>
      </c>
      <c r="L2823" t="str">
        <f>IF(AND(CallLog[[#This Row],[Answered (Y/N)]]="Y", CallLog[[#This Row],[Speed of answer in seconds]]&lt;=20),
    "Within",
    "Breach")</f>
        <v>Breach</v>
      </c>
      <c r="M2823" s="1">
        <v>1.9097222222222222E-3</v>
      </c>
      <c r="N2823">
        <v>4</v>
      </c>
    </row>
    <row r="2824" spans="1:14" x14ac:dyDescent="0.3">
      <c r="A2824" t="s">
        <v>2896</v>
      </c>
      <c r="B2824" t="s">
        <v>38</v>
      </c>
      <c r="C2824" t="s">
        <v>2850</v>
      </c>
      <c r="D2824" s="1">
        <v>0.70700231481481479</v>
      </c>
      <c r="E2824" s="2">
        <f>CallLog[[#This Row],[Date]]+CallLog[[#This Row],[Time]]</f>
        <v>44245.707002314812</v>
      </c>
      <c r="F2824" s="1" t="str">
        <f>TEXT(CallLog[[#This Row],[Date]],"dddd")</f>
        <v>Thursday</v>
      </c>
      <c r="G2824" s="3">
        <f>HOUR(CallLog[[#This Row],[Time]])</f>
        <v>16</v>
      </c>
      <c r="H2824" t="s">
        <v>17</v>
      </c>
      <c r="I2824" t="s">
        <v>14</v>
      </c>
      <c r="J2824" t="s">
        <v>14</v>
      </c>
      <c r="K2824">
        <v>68</v>
      </c>
      <c r="L2824" t="str">
        <f>IF(AND(CallLog[[#This Row],[Answered (Y/N)]]="Y", CallLog[[#This Row],[Speed of answer in seconds]]&lt;=20),
    "Within",
    "Breach")</f>
        <v>Breach</v>
      </c>
      <c r="M2824" s="1">
        <v>2.1064814814814813E-3</v>
      </c>
      <c r="N2824">
        <v>5</v>
      </c>
    </row>
    <row r="2825" spans="1:14" x14ac:dyDescent="0.3">
      <c r="A2825" t="s">
        <v>2897</v>
      </c>
      <c r="B2825" t="s">
        <v>31</v>
      </c>
      <c r="C2825" t="s">
        <v>2850</v>
      </c>
      <c r="D2825" s="1">
        <v>0.70700231481481479</v>
      </c>
      <c r="E2825" s="2">
        <f>CallLog[[#This Row],[Date]]+CallLog[[#This Row],[Time]]</f>
        <v>44245.707002314812</v>
      </c>
      <c r="F2825" s="1" t="str">
        <f>TEXT(CallLog[[#This Row],[Date]],"dddd")</f>
        <v>Thursday</v>
      </c>
      <c r="G2825" s="3">
        <f>HOUR(CallLog[[#This Row],[Time]])</f>
        <v>16</v>
      </c>
      <c r="H2825" t="s">
        <v>29</v>
      </c>
      <c r="I2825" t="s">
        <v>14</v>
      </c>
      <c r="J2825" t="s">
        <v>18</v>
      </c>
      <c r="K2825">
        <v>114</v>
      </c>
      <c r="L2825" t="str">
        <f>IF(AND(CallLog[[#This Row],[Answered (Y/N)]]="Y", CallLog[[#This Row],[Speed of answer in seconds]]&lt;=20),
    "Within",
    "Breach")</f>
        <v>Breach</v>
      </c>
      <c r="M2825" s="1">
        <v>7.5231481481481482E-4</v>
      </c>
      <c r="N2825">
        <v>3</v>
      </c>
    </row>
    <row r="2826" spans="1:14" x14ac:dyDescent="0.3">
      <c r="A2826" t="s">
        <v>2898</v>
      </c>
      <c r="B2826" t="s">
        <v>22</v>
      </c>
      <c r="C2826" t="s">
        <v>2850</v>
      </c>
      <c r="D2826" s="1">
        <v>0.70799768518518513</v>
      </c>
      <c r="E2826" s="2">
        <f>CallLog[[#This Row],[Date]]+CallLog[[#This Row],[Time]]</f>
        <v>44245.707997685182</v>
      </c>
      <c r="F2826" s="1" t="str">
        <f>TEXT(CallLog[[#This Row],[Date]],"dddd")</f>
        <v>Thursday</v>
      </c>
      <c r="G2826" s="3">
        <f>HOUR(CallLog[[#This Row],[Time]])</f>
        <v>16</v>
      </c>
      <c r="H2826" t="s">
        <v>17</v>
      </c>
      <c r="I2826" t="s">
        <v>14</v>
      </c>
      <c r="J2826" t="s">
        <v>14</v>
      </c>
      <c r="K2826">
        <v>11</v>
      </c>
      <c r="L2826" t="str">
        <f>IF(AND(CallLog[[#This Row],[Answered (Y/N)]]="Y", CallLog[[#This Row],[Speed of answer in seconds]]&lt;=20),
    "Within",
    "Breach")</f>
        <v>Within</v>
      </c>
      <c r="M2826" s="1">
        <v>2.1759259259259258E-3</v>
      </c>
      <c r="N2826">
        <v>3</v>
      </c>
    </row>
    <row r="2827" spans="1:14" x14ac:dyDescent="0.3">
      <c r="A2827" t="s">
        <v>2899</v>
      </c>
      <c r="B2827" t="s">
        <v>16</v>
      </c>
      <c r="C2827" t="s">
        <v>2850</v>
      </c>
      <c r="D2827" s="1">
        <v>0.70799768518518513</v>
      </c>
      <c r="E2827" s="2">
        <f>CallLog[[#This Row],[Date]]+CallLog[[#This Row],[Time]]</f>
        <v>44245.707997685182</v>
      </c>
      <c r="F2827" s="1" t="str">
        <f>TEXT(CallLog[[#This Row],[Date]],"dddd")</f>
        <v>Thursday</v>
      </c>
      <c r="G2827" s="3">
        <f>HOUR(CallLog[[#This Row],[Time]])</f>
        <v>16</v>
      </c>
      <c r="H2827" t="s">
        <v>32</v>
      </c>
      <c r="I2827" t="s">
        <v>14</v>
      </c>
      <c r="J2827" t="s">
        <v>14</v>
      </c>
      <c r="K2827">
        <v>46</v>
      </c>
      <c r="L2827" t="str">
        <f>IF(AND(CallLog[[#This Row],[Answered (Y/N)]]="Y", CallLog[[#This Row],[Speed of answer in seconds]]&lt;=20),
    "Within",
    "Breach")</f>
        <v>Breach</v>
      </c>
      <c r="M2827" s="1">
        <v>1.1921296296296296E-3</v>
      </c>
      <c r="N2827">
        <v>3</v>
      </c>
    </row>
    <row r="2828" spans="1:14" x14ac:dyDescent="0.3">
      <c r="A2828" t="s">
        <v>2900</v>
      </c>
      <c r="B2828" t="s">
        <v>31</v>
      </c>
      <c r="C2828" t="s">
        <v>2901</v>
      </c>
      <c r="D2828" s="1">
        <v>0.3759953703703704</v>
      </c>
      <c r="E2828" s="2">
        <f>CallLog[[#This Row],[Date]]+CallLog[[#This Row],[Time]]</f>
        <v>44246.37599537037</v>
      </c>
      <c r="F2828" s="1" t="str">
        <f>TEXT(CallLog[[#This Row],[Date]],"dddd")</f>
        <v>Friday</v>
      </c>
      <c r="G2828" s="3">
        <f>HOUR(CallLog[[#This Row],[Time]])</f>
        <v>9</v>
      </c>
      <c r="H2828" t="s">
        <v>29</v>
      </c>
      <c r="I2828" t="s">
        <v>14</v>
      </c>
      <c r="J2828" t="s">
        <v>14</v>
      </c>
      <c r="K2828">
        <v>78</v>
      </c>
      <c r="L2828" t="str">
        <f>IF(AND(CallLog[[#This Row],[Answered (Y/N)]]="Y", CallLog[[#This Row],[Speed of answer in seconds]]&lt;=20),
    "Within",
    "Breach")</f>
        <v>Breach</v>
      </c>
      <c r="M2828" s="1">
        <v>4.6990740740740743E-3</v>
      </c>
      <c r="N2828">
        <v>4</v>
      </c>
    </row>
    <row r="2829" spans="1:14" x14ac:dyDescent="0.3">
      <c r="A2829" t="s">
        <v>2902</v>
      </c>
      <c r="B2829" t="s">
        <v>34</v>
      </c>
      <c r="C2829" t="s">
        <v>2901</v>
      </c>
      <c r="D2829" s="1">
        <v>0.3759953703703704</v>
      </c>
      <c r="E2829" s="2">
        <f>CallLog[[#This Row],[Date]]+CallLog[[#This Row],[Time]]</f>
        <v>44246.37599537037</v>
      </c>
      <c r="F2829" s="1" t="str">
        <f>TEXT(CallLog[[#This Row],[Date]],"dddd")</f>
        <v>Friday</v>
      </c>
      <c r="G2829" s="3">
        <f>HOUR(CallLog[[#This Row],[Time]])</f>
        <v>9</v>
      </c>
      <c r="H2829" t="s">
        <v>24</v>
      </c>
      <c r="I2829" t="s">
        <v>18</v>
      </c>
      <c r="J2829" t="s">
        <v>18</v>
      </c>
      <c r="L2829" t="str">
        <f>IF(AND(CallLog[[#This Row],[Answered (Y/N)]]="Y", CallLog[[#This Row],[Speed of answer in seconds]]&lt;=20),
    "Within",
    "Breach")</f>
        <v>Breach</v>
      </c>
    </row>
    <row r="2830" spans="1:14" x14ac:dyDescent="0.3">
      <c r="A2830" t="s">
        <v>2903</v>
      </c>
      <c r="B2830" t="s">
        <v>34</v>
      </c>
      <c r="C2830" t="s">
        <v>2901</v>
      </c>
      <c r="D2830" s="1">
        <v>0.38700231481481484</v>
      </c>
      <c r="E2830" s="2">
        <f>CallLog[[#This Row],[Date]]+CallLog[[#This Row],[Time]]</f>
        <v>44246.387002314812</v>
      </c>
      <c r="F2830" s="1" t="str">
        <f>TEXT(CallLog[[#This Row],[Date]],"dddd")</f>
        <v>Friday</v>
      </c>
      <c r="G2830" s="3">
        <f>HOUR(CallLog[[#This Row],[Time]])</f>
        <v>9</v>
      </c>
      <c r="H2830" t="s">
        <v>29</v>
      </c>
      <c r="I2830" t="s">
        <v>14</v>
      </c>
      <c r="J2830" t="s">
        <v>14</v>
      </c>
      <c r="K2830">
        <v>53</v>
      </c>
      <c r="L2830" t="str">
        <f>IF(AND(CallLog[[#This Row],[Answered (Y/N)]]="Y", CallLog[[#This Row],[Speed of answer in seconds]]&lt;=20),
    "Within",
    "Breach")</f>
        <v>Breach</v>
      </c>
      <c r="M2830" s="1">
        <v>3.4837962962962965E-3</v>
      </c>
      <c r="N2830">
        <v>3</v>
      </c>
    </row>
    <row r="2831" spans="1:14" x14ac:dyDescent="0.3">
      <c r="A2831" t="s">
        <v>2904</v>
      </c>
      <c r="B2831" t="s">
        <v>31</v>
      </c>
      <c r="C2831" t="s">
        <v>2901</v>
      </c>
      <c r="D2831" s="1">
        <v>0.38700231481481484</v>
      </c>
      <c r="E2831" s="2">
        <f>CallLog[[#This Row],[Date]]+CallLog[[#This Row],[Time]]</f>
        <v>44246.387002314812</v>
      </c>
      <c r="F2831" s="1" t="str">
        <f>TEXT(CallLog[[#This Row],[Date]],"dddd")</f>
        <v>Friday</v>
      </c>
      <c r="G2831" s="3">
        <f>HOUR(CallLog[[#This Row],[Time]])</f>
        <v>9</v>
      </c>
      <c r="H2831" t="s">
        <v>24</v>
      </c>
      <c r="I2831" t="s">
        <v>14</v>
      </c>
      <c r="J2831" t="s">
        <v>14</v>
      </c>
      <c r="K2831">
        <v>37</v>
      </c>
      <c r="L2831" t="str">
        <f>IF(AND(CallLog[[#This Row],[Answered (Y/N)]]="Y", CallLog[[#This Row],[Speed of answer in seconds]]&lt;=20),
    "Within",
    "Breach")</f>
        <v>Breach</v>
      </c>
      <c r="M2831" s="1">
        <v>2.3263888888888887E-3</v>
      </c>
      <c r="N2831">
        <v>1</v>
      </c>
    </row>
    <row r="2832" spans="1:14" x14ac:dyDescent="0.3">
      <c r="A2832" t="s">
        <v>2905</v>
      </c>
      <c r="B2832" t="s">
        <v>11</v>
      </c>
      <c r="C2832" t="s">
        <v>2901</v>
      </c>
      <c r="D2832" s="1">
        <v>0.38799768518518518</v>
      </c>
      <c r="E2832" s="2">
        <f>CallLog[[#This Row],[Date]]+CallLog[[#This Row],[Time]]</f>
        <v>44246.387997685182</v>
      </c>
      <c r="F2832" s="1" t="str">
        <f>TEXT(CallLog[[#This Row],[Date]],"dddd")</f>
        <v>Friday</v>
      </c>
      <c r="G2832" s="3">
        <f>HOUR(CallLog[[#This Row],[Time]])</f>
        <v>9</v>
      </c>
      <c r="H2832" t="s">
        <v>32</v>
      </c>
      <c r="I2832" t="s">
        <v>14</v>
      </c>
      <c r="J2832" t="s">
        <v>14</v>
      </c>
      <c r="K2832">
        <v>111</v>
      </c>
      <c r="L2832" t="str">
        <f>IF(AND(CallLog[[#This Row],[Answered (Y/N)]]="Y", CallLog[[#This Row],[Speed of answer in seconds]]&lt;=20),
    "Within",
    "Breach")</f>
        <v>Breach</v>
      </c>
      <c r="M2832" s="1">
        <v>2.5462962962962965E-3</v>
      </c>
      <c r="N2832">
        <v>4</v>
      </c>
    </row>
    <row r="2833" spans="1:14" x14ac:dyDescent="0.3">
      <c r="A2833" t="s">
        <v>2906</v>
      </c>
      <c r="B2833" t="s">
        <v>47</v>
      </c>
      <c r="C2833" t="s">
        <v>2901</v>
      </c>
      <c r="D2833" s="1">
        <v>0.38799768518518518</v>
      </c>
      <c r="E2833" s="2">
        <f>CallLog[[#This Row],[Date]]+CallLog[[#This Row],[Time]]</f>
        <v>44246.387997685182</v>
      </c>
      <c r="F2833" s="1" t="str">
        <f>TEXT(CallLog[[#This Row],[Date]],"dddd")</f>
        <v>Friday</v>
      </c>
      <c r="G2833" s="3">
        <f>HOUR(CallLog[[#This Row],[Time]])</f>
        <v>9</v>
      </c>
      <c r="H2833" t="s">
        <v>13</v>
      </c>
      <c r="I2833" t="s">
        <v>14</v>
      </c>
      <c r="J2833" t="s">
        <v>18</v>
      </c>
      <c r="K2833">
        <v>14</v>
      </c>
      <c r="L2833" t="str">
        <f>IF(AND(CallLog[[#This Row],[Answered (Y/N)]]="Y", CallLog[[#This Row],[Speed of answer in seconds]]&lt;=20),
    "Within",
    "Breach")</f>
        <v>Within</v>
      </c>
      <c r="M2833" s="1">
        <v>6.2500000000000001E-4</v>
      </c>
      <c r="N2833">
        <v>5</v>
      </c>
    </row>
    <row r="2834" spans="1:14" x14ac:dyDescent="0.3">
      <c r="A2834" t="s">
        <v>2907</v>
      </c>
      <c r="B2834" t="s">
        <v>11</v>
      </c>
      <c r="C2834" t="s">
        <v>2901</v>
      </c>
      <c r="D2834" s="1">
        <v>0.39299768518518519</v>
      </c>
      <c r="E2834" s="2">
        <f>CallLog[[#This Row],[Date]]+CallLog[[#This Row],[Time]]</f>
        <v>44246.392997685187</v>
      </c>
      <c r="F2834" s="1" t="str">
        <f>TEXT(CallLog[[#This Row],[Date]],"dddd")</f>
        <v>Friday</v>
      </c>
      <c r="G2834" s="3">
        <f>HOUR(CallLog[[#This Row],[Time]])</f>
        <v>9</v>
      </c>
      <c r="H2834" t="s">
        <v>32</v>
      </c>
      <c r="I2834" t="s">
        <v>14</v>
      </c>
      <c r="J2834" t="s">
        <v>14</v>
      </c>
      <c r="K2834">
        <v>82</v>
      </c>
      <c r="L2834" t="str">
        <f>IF(AND(CallLog[[#This Row],[Answered (Y/N)]]="Y", CallLog[[#This Row],[Speed of answer in seconds]]&lt;=20),
    "Within",
    "Breach")</f>
        <v>Breach</v>
      </c>
      <c r="M2834" s="1">
        <v>1.9444444444444444E-3</v>
      </c>
      <c r="N2834">
        <v>3</v>
      </c>
    </row>
    <row r="2835" spans="1:14" x14ac:dyDescent="0.3">
      <c r="A2835" t="s">
        <v>2908</v>
      </c>
      <c r="B2835" t="s">
        <v>20</v>
      </c>
      <c r="C2835" t="s">
        <v>2901</v>
      </c>
      <c r="D2835" s="1">
        <v>0.39299768518518519</v>
      </c>
      <c r="E2835" s="2">
        <f>CallLog[[#This Row],[Date]]+CallLog[[#This Row],[Time]]</f>
        <v>44246.392997685187</v>
      </c>
      <c r="F2835" s="1" t="str">
        <f>TEXT(CallLog[[#This Row],[Date]],"dddd")</f>
        <v>Friday</v>
      </c>
      <c r="G2835" s="3">
        <f>HOUR(CallLog[[#This Row],[Time]])</f>
        <v>9</v>
      </c>
      <c r="H2835" t="s">
        <v>13</v>
      </c>
      <c r="I2835" t="s">
        <v>18</v>
      </c>
      <c r="J2835" t="s">
        <v>18</v>
      </c>
      <c r="L2835" t="str">
        <f>IF(AND(CallLog[[#This Row],[Answered (Y/N)]]="Y", CallLog[[#This Row],[Speed of answer in seconds]]&lt;=20),
    "Within",
    "Breach")</f>
        <v>Breach</v>
      </c>
    </row>
    <row r="2836" spans="1:14" x14ac:dyDescent="0.3">
      <c r="A2836" t="s">
        <v>2909</v>
      </c>
      <c r="B2836" t="s">
        <v>47</v>
      </c>
      <c r="C2836" t="s">
        <v>2901</v>
      </c>
      <c r="D2836" s="1">
        <v>0.44900462962962961</v>
      </c>
      <c r="E2836" s="2">
        <f>CallLog[[#This Row],[Date]]+CallLog[[#This Row],[Time]]</f>
        <v>44246.449004629627</v>
      </c>
      <c r="F2836" s="1" t="str">
        <f>TEXT(CallLog[[#This Row],[Date]],"dddd")</f>
        <v>Friday</v>
      </c>
      <c r="G2836" s="3">
        <f>HOUR(CallLog[[#This Row],[Time]])</f>
        <v>10</v>
      </c>
      <c r="H2836" t="s">
        <v>24</v>
      </c>
      <c r="I2836" t="s">
        <v>18</v>
      </c>
      <c r="J2836" t="s">
        <v>18</v>
      </c>
      <c r="L2836" t="str">
        <f>IF(AND(CallLog[[#This Row],[Answered (Y/N)]]="Y", CallLog[[#This Row],[Speed of answer in seconds]]&lt;=20),
    "Within",
    "Breach")</f>
        <v>Breach</v>
      </c>
    </row>
    <row r="2837" spans="1:14" x14ac:dyDescent="0.3">
      <c r="A2837" t="s">
        <v>2910</v>
      </c>
      <c r="B2837" t="s">
        <v>31</v>
      </c>
      <c r="C2837" t="s">
        <v>2901</v>
      </c>
      <c r="D2837" s="1">
        <v>0.44900462962962961</v>
      </c>
      <c r="E2837" s="2">
        <f>CallLog[[#This Row],[Date]]+CallLog[[#This Row],[Time]]</f>
        <v>44246.449004629627</v>
      </c>
      <c r="F2837" s="1" t="str">
        <f>TEXT(CallLog[[#This Row],[Date]],"dddd")</f>
        <v>Friday</v>
      </c>
      <c r="G2837" s="3">
        <f>HOUR(CallLog[[#This Row],[Time]])</f>
        <v>10</v>
      </c>
      <c r="H2837" t="s">
        <v>29</v>
      </c>
      <c r="I2837" t="s">
        <v>18</v>
      </c>
      <c r="J2837" t="s">
        <v>18</v>
      </c>
      <c r="L2837" t="str">
        <f>IF(AND(CallLog[[#This Row],[Answered (Y/N)]]="Y", CallLog[[#This Row],[Speed of answer in seconds]]&lt;=20),
    "Within",
    "Breach")</f>
        <v>Breach</v>
      </c>
    </row>
    <row r="2838" spans="1:14" x14ac:dyDescent="0.3">
      <c r="A2838" t="s">
        <v>2911</v>
      </c>
      <c r="B2838" t="s">
        <v>20</v>
      </c>
      <c r="C2838" t="s">
        <v>2901</v>
      </c>
      <c r="D2838" s="1">
        <v>0.47400462962962964</v>
      </c>
      <c r="E2838" s="2">
        <f>CallLog[[#This Row],[Date]]+CallLog[[#This Row],[Time]]</f>
        <v>44246.474004629628</v>
      </c>
      <c r="F2838" s="1" t="str">
        <f>TEXT(CallLog[[#This Row],[Date]],"dddd")</f>
        <v>Friday</v>
      </c>
      <c r="G2838" s="3">
        <f>HOUR(CallLog[[#This Row],[Time]])</f>
        <v>11</v>
      </c>
      <c r="H2838" t="s">
        <v>13</v>
      </c>
      <c r="I2838" t="s">
        <v>14</v>
      </c>
      <c r="J2838" t="s">
        <v>14</v>
      </c>
      <c r="K2838">
        <v>69</v>
      </c>
      <c r="L2838" t="str">
        <f>IF(AND(CallLog[[#This Row],[Answered (Y/N)]]="Y", CallLog[[#This Row],[Speed of answer in seconds]]&lt;=20),
    "Within",
    "Breach")</f>
        <v>Breach</v>
      </c>
      <c r="M2838" s="1">
        <v>3.4027777777777776E-3</v>
      </c>
      <c r="N2838">
        <v>3</v>
      </c>
    </row>
    <row r="2839" spans="1:14" x14ac:dyDescent="0.3">
      <c r="A2839" t="s">
        <v>2912</v>
      </c>
      <c r="B2839" t="s">
        <v>11</v>
      </c>
      <c r="C2839" t="s">
        <v>2901</v>
      </c>
      <c r="D2839" s="1">
        <v>0.47400462962962964</v>
      </c>
      <c r="E2839" s="2">
        <f>CallLog[[#This Row],[Date]]+CallLog[[#This Row],[Time]]</f>
        <v>44246.474004629628</v>
      </c>
      <c r="F2839" s="1" t="str">
        <f>TEXT(CallLog[[#This Row],[Date]],"dddd")</f>
        <v>Friday</v>
      </c>
      <c r="G2839" s="3">
        <f>HOUR(CallLog[[#This Row],[Time]])</f>
        <v>11</v>
      </c>
      <c r="H2839" t="s">
        <v>32</v>
      </c>
      <c r="I2839" t="s">
        <v>14</v>
      </c>
      <c r="J2839" t="s">
        <v>14</v>
      </c>
      <c r="K2839">
        <v>21</v>
      </c>
      <c r="L2839" t="str">
        <f>IF(AND(CallLog[[#This Row],[Answered (Y/N)]]="Y", CallLog[[#This Row],[Speed of answer in seconds]]&lt;=20),
    "Within",
    "Breach")</f>
        <v>Breach</v>
      </c>
      <c r="M2839" s="1">
        <v>4.7916666666666663E-3</v>
      </c>
      <c r="N2839">
        <v>3</v>
      </c>
    </row>
    <row r="2840" spans="1:14" x14ac:dyDescent="0.3">
      <c r="A2840" t="s">
        <v>2913</v>
      </c>
      <c r="B2840" t="s">
        <v>16</v>
      </c>
      <c r="C2840" t="s">
        <v>2901</v>
      </c>
      <c r="D2840" s="1">
        <v>0.48799768518518516</v>
      </c>
      <c r="E2840" s="2">
        <f>CallLog[[#This Row],[Date]]+CallLog[[#This Row],[Time]]</f>
        <v>44246.487997685188</v>
      </c>
      <c r="F2840" s="1" t="str">
        <f>TEXT(CallLog[[#This Row],[Date]],"dddd")</f>
        <v>Friday</v>
      </c>
      <c r="G2840" s="3">
        <f>HOUR(CallLog[[#This Row],[Time]])</f>
        <v>11</v>
      </c>
      <c r="H2840" t="s">
        <v>24</v>
      </c>
      <c r="I2840" t="s">
        <v>14</v>
      </c>
      <c r="J2840" t="s">
        <v>14</v>
      </c>
      <c r="K2840">
        <v>113</v>
      </c>
      <c r="L2840" t="str">
        <f>IF(AND(CallLog[[#This Row],[Answered (Y/N)]]="Y", CallLog[[#This Row],[Speed of answer in seconds]]&lt;=20),
    "Within",
    "Breach")</f>
        <v>Breach</v>
      </c>
      <c r="M2840" s="1">
        <v>4.7453703703703698E-4</v>
      </c>
      <c r="N2840">
        <v>2</v>
      </c>
    </row>
    <row r="2841" spans="1:14" x14ac:dyDescent="0.3">
      <c r="A2841" t="s">
        <v>2914</v>
      </c>
      <c r="B2841" t="s">
        <v>38</v>
      </c>
      <c r="C2841" t="s">
        <v>2901</v>
      </c>
      <c r="D2841" s="1">
        <v>0.48799768518518516</v>
      </c>
      <c r="E2841" s="2">
        <f>CallLog[[#This Row],[Date]]+CallLog[[#This Row],[Time]]</f>
        <v>44246.487997685188</v>
      </c>
      <c r="F2841" s="1" t="str">
        <f>TEXT(CallLog[[#This Row],[Date]],"dddd")</f>
        <v>Friday</v>
      </c>
      <c r="G2841" s="3">
        <f>HOUR(CallLog[[#This Row],[Time]])</f>
        <v>11</v>
      </c>
      <c r="H2841" t="s">
        <v>32</v>
      </c>
      <c r="I2841" t="s">
        <v>14</v>
      </c>
      <c r="J2841" t="s">
        <v>14</v>
      </c>
      <c r="K2841">
        <v>34</v>
      </c>
      <c r="L2841" t="str">
        <f>IF(AND(CallLog[[#This Row],[Answered (Y/N)]]="Y", CallLog[[#This Row],[Speed of answer in seconds]]&lt;=20),
    "Within",
    "Breach")</f>
        <v>Breach</v>
      </c>
      <c r="M2841" s="1">
        <v>2.4421296296296296E-3</v>
      </c>
      <c r="N2841">
        <v>3</v>
      </c>
    </row>
    <row r="2842" spans="1:14" x14ac:dyDescent="0.3">
      <c r="A2842" t="s">
        <v>2915</v>
      </c>
      <c r="B2842" t="s">
        <v>31</v>
      </c>
      <c r="C2842" t="s">
        <v>2901</v>
      </c>
      <c r="D2842" s="1">
        <v>0.49599537037037039</v>
      </c>
      <c r="E2842" s="2">
        <f>CallLog[[#This Row],[Date]]+CallLog[[#This Row],[Time]]</f>
        <v>44246.495995370373</v>
      </c>
      <c r="F2842" s="1" t="str">
        <f>TEXT(CallLog[[#This Row],[Date]],"dddd")</f>
        <v>Friday</v>
      </c>
      <c r="G2842" s="3">
        <f>HOUR(CallLog[[#This Row],[Time]])</f>
        <v>11</v>
      </c>
      <c r="H2842" t="s">
        <v>24</v>
      </c>
      <c r="I2842" t="s">
        <v>14</v>
      </c>
      <c r="J2842" t="s">
        <v>18</v>
      </c>
      <c r="K2842">
        <v>26</v>
      </c>
      <c r="L2842" t="str">
        <f>IF(AND(CallLog[[#This Row],[Answered (Y/N)]]="Y", CallLog[[#This Row],[Speed of answer in seconds]]&lt;=20),
    "Within",
    "Breach")</f>
        <v>Breach</v>
      </c>
      <c r="M2842" s="1">
        <v>4.6296296296296298E-4</v>
      </c>
      <c r="N2842">
        <v>3</v>
      </c>
    </row>
    <row r="2843" spans="1:14" x14ac:dyDescent="0.3">
      <c r="A2843" t="s">
        <v>2916</v>
      </c>
      <c r="B2843" t="s">
        <v>31</v>
      </c>
      <c r="C2843" t="s">
        <v>2901</v>
      </c>
      <c r="D2843" s="1">
        <v>0.49599537037037039</v>
      </c>
      <c r="E2843" s="2">
        <f>CallLog[[#This Row],[Date]]+CallLog[[#This Row],[Time]]</f>
        <v>44246.495995370373</v>
      </c>
      <c r="F2843" s="1" t="str">
        <f>TEXT(CallLog[[#This Row],[Date]],"dddd")</f>
        <v>Friday</v>
      </c>
      <c r="G2843" s="3">
        <f>HOUR(CallLog[[#This Row],[Time]])</f>
        <v>11</v>
      </c>
      <c r="H2843" t="s">
        <v>29</v>
      </c>
      <c r="I2843" t="s">
        <v>14</v>
      </c>
      <c r="J2843" t="s">
        <v>14</v>
      </c>
      <c r="K2843">
        <v>76</v>
      </c>
      <c r="L2843" t="str">
        <f>IF(AND(CallLog[[#This Row],[Answered (Y/N)]]="Y", CallLog[[#This Row],[Speed of answer in seconds]]&lt;=20),
    "Within",
    "Breach")</f>
        <v>Breach</v>
      </c>
      <c r="M2843" s="1">
        <v>3.7037037037037038E-3</v>
      </c>
      <c r="N2843">
        <v>3</v>
      </c>
    </row>
    <row r="2844" spans="1:14" x14ac:dyDescent="0.3">
      <c r="A2844" t="s">
        <v>2917</v>
      </c>
      <c r="B2844" t="s">
        <v>11</v>
      </c>
      <c r="C2844" t="s">
        <v>2901</v>
      </c>
      <c r="D2844" s="1">
        <v>0.51099537037037035</v>
      </c>
      <c r="E2844" s="2">
        <f>CallLog[[#This Row],[Date]]+CallLog[[#This Row],[Time]]</f>
        <v>44246.510995370372</v>
      </c>
      <c r="F2844" s="1" t="str">
        <f>TEXT(CallLog[[#This Row],[Date]],"dddd")</f>
        <v>Friday</v>
      </c>
      <c r="G2844" s="3">
        <f>HOUR(CallLog[[#This Row],[Time]])</f>
        <v>12</v>
      </c>
      <c r="H2844" t="s">
        <v>29</v>
      </c>
      <c r="I2844" t="s">
        <v>18</v>
      </c>
      <c r="J2844" t="s">
        <v>18</v>
      </c>
      <c r="L2844" t="str">
        <f>IF(AND(CallLog[[#This Row],[Answered (Y/N)]]="Y", CallLog[[#This Row],[Speed of answer in seconds]]&lt;=20),
    "Within",
    "Breach")</f>
        <v>Breach</v>
      </c>
    </row>
    <row r="2845" spans="1:14" x14ac:dyDescent="0.3">
      <c r="A2845" t="s">
        <v>2918</v>
      </c>
      <c r="B2845" t="s">
        <v>38</v>
      </c>
      <c r="C2845" t="s">
        <v>2901</v>
      </c>
      <c r="D2845" s="1">
        <v>0.51099537037037035</v>
      </c>
      <c r="E2845" s="2">
        <f>CallLog[[#This Row],[Date]]+CallLog[[#This Row],[Time]]</f>
        <v>44246.510995370372</v>
      </c>
      <c r="F2845" s="1" t="str">
        <f>TEXT(CallLog[[#This Row],[Date]],"dddd")</f>
        <v>Friday</v>
      </c>
      <c r="G2845" s="3">
        <f>HOUR(CallLog[[#This Row],[Time]])</f>
        <v>12</v>
      </c>
      <c r="H2845" t="s">
        <v>24</v>
      </c>
      <c r="I2845" t="s">
        <v>18</v>
      </c>
      <c r="J2845" t="s">
        <v>18</v>
      </c>
      <c r="L2845" t="str">
        <f>IF(AND(CallLog[[#This Row],[Answered (Y/N)]]="Y", CallLog[[#This Row],[Speed of answer in seconds]]&lt;=20),
    "Within",
    "Breach")</f>
        <v>Breach</v>
      </c>
    </row>
    <row r="2846" spans="1:14" x14ac:dyDescent="0.3">
      <c r="A2846" t="s">
        <v>2919</v>
      </c>
      <c r="B2846" t="s">
        <v>31</v>
      </c>
      <c r="C2846" t="s">
        <v>2901</v>
      </c>
      <c r="D2846" s="1">
        <v>0.56200231481481477</v>
      </c>
      <c r="E2846" s="2">
        <f>CallLog[[#This Row],[Date]]+CallLog[[#This Row],[Time]]</f>
        <v>44246.562002314815</v>
      </c>
      <c r="F2846" s="1" t="str">
        <f>TEXT(CallLog[[#This Row],[Date]],"dddd")</f>
        <v>Friday</v>
      </c>
      <c r="G2846" s="3">
        <f>HOUR(CallLog[[#This Row],[Time]])</f>
        <v>13</v>
      </c>
      <c r="H2846" t="s">
        <v>17</v>
      </c>
      <c r="I2846" t="s">
        <v>14</v>
      </c>
      <c r="J2846" t="s">
        <v>14</v>
      </c>
      <c r="K2846">
        <v>63</v>
      </c>
      <c r="L2846" t="str">
        <f>IF(AND(CallLog[[#This Row],[Answered (Y/N)]]="Y", CallLog[[#This Row],[Speed of answer in seconds]]&lt;=20),
    "Within",
    "Breach")</f>
        <v>Breach</v>
      </c>
      <c r="M2846" s="1">
        <v>2.627314814814815E-3</v>
      </c>
      <c r="N2846">
        <v>1</v>
      </c>
    </row>
    <row r="2847" spans="1:14" x14ac:dyDescent="0.3">
      <c r="A2847" t="s">
        <v>2920</v>
      </c>
      <c r="B2847" t="s">
        <v>20</v>
      </c>
      <c r="C2847" t="s">
        <v>2901</v>
      </c>
      <c r="D2847" s="1">
        <v>0.56200231481481477</v>
      </c>
      <c r="E2847" s="2">
        <f>CallLog[[#This Row],[Date]]+CallLog[[#This Row],[Time]]</f>
        <v>44246.562002314815</v>
      </c>
      <c r="F2847" s="1" t="str">
        <f>TEXT(CallLog[[#This Row],[Date]],"dddd")</f>
        <v>Friday</v>
      </c>
      <c r="G2847" s="3">
        <f>HOUR(CallLog[[#This Row],[Time]])</f>
        <v>13</v>
      </c>
      <c r="H2847" t="s">
        <v>29</v>
      </c>
      <c r="I2847" t="s">
        <v>14</v>
      </c>
      <c r="J2847" t="s">
        <v>14</v>
      </c>
      <c r="K2847">
        <v>80</v>
      </c>
      <c r="L2847" t="str">
        <f>IF(AND(CallLog[[#This Row],[Answered (Y/N)]]="Y", CallLog[[#This Row],[Speed of answer in seconds]]&lt;=20),
    "Within",
    "Breach")</f>
        <v>Breach</v>
      </c>
      <c r="M2847" s="1">
        <v>2.8703703703703703E-3</v>
      </c>
      <c r="N2847">
        <v>3</v>
      </c>
    </row>
    <row r="2848" spans="1:14" x14ac:dyDescent="0.3">
      <c r="A2848" t="s">
        <v>2921</v>
      </c>
      <c r="B2848" t="s">
        <v>31</v>
      </c>
      <c r="C2848" t="s">
        <v>2901</v>
      </c>
      <c r="D2848" s="1">
        <v>0.56400462962962961</v>
      </c>
      <c r="E2848" s="2">
        <f>CallLog[[#This Row],[Date]]+CallLog[[#This Row],[Time]]</f>
        <v>44246.564004629632</v>
      </c>
      <c r="F2848" s="1" t="str">
        <f>TEXT(CallLog[[#This Row],[Date]],"dddd")</f>
        <v>Friday</v>
      </c>
      <c r="G2848" s="3">
        <f>HOUR(CallLog[[#This Row],[Time]])</f>
        <v>13</v>
      </c>
      <c r="H2848" t="s">
        <v>29</v>
      </c>
      <c r="I2848" t="s">
        <v>14</v>
      </c>
      <c r="J2848" t="s">
        <v>14</v>
      </c>
      <c r="K2848">
        <v>36</v>
      </c>
      <c r="L2848" t="str">
        <f>IF(AND(CallLog[[#This Row],[Answered (Y/N)]]="Y", CallLog[[#This Row],[Speed of answer in seconds]]&lt;=20),
    "Within",
    "Breach")</f>
        <v>Breach</v>
      </c>
      <c r="M2848" s="1">
        <v>4.363425925925926E-3</v>
      </c>
      <c r="N2848">
        <v>1</v>
      </c>
    </row>
    <row r="2849" spans="1:14" x14ac:dyDescent="0.3">
      <c r="A2849" t="s">
        <v>2922</v>
      </c>
      <c r="B2849" t="s">
        <v>11</v>
      </c>
      <c r="C2849" t="s">
        <v>2901</v>
      </c>
      <c r="D2849" s="1">
        <v>0.56400462962962961</v>
      </c>
      <c r="E2849" s="2">
        <f>CallLog[[#This Row],[Date]]+CallLog[[#This Row],[Time]]</f>
        <v>44246.564004629632</v>
      </c>
      <c r="F2849" s="1" t="str">
        <f>TEXT(CallLog[[#This Row],[Date]],"dddd")</f>
        <v>Friday</v>
      </c>
      <c r="G2849" s="3">
        <f>HOUR(CallLog[[#This Row],[Time]])</f>
        <v>13</v>
      </c>
      <c r="H2849" t="s">
        <v>29</v>
      </c>
      <c r="I2849" t="s">
        <v>14</v>
      </c>
      <c r="J2849" t="s">
        <v>14</v>
      </c>
      <c r="K2849">
        <v>22</v>
      </c>
      <c r="L2849" t="str">
        <f>IF(AND(CallLog[[#This Row],[Answered (Y/N)]]="Y", CallLog[[#This Row],[Speed of answer in seconds]]&lt;=20),
    "Within",
    "Breach")</f>
        <v>Breach</v>
      </c>
      <c r="M2849" s="1">
        <v>1.3310185185185185E-3</v>
      </c>
      <c r="N2849">
        <v>5</v>
      </c>
    </row>
    <row r="2850" spans="1:14" x14ac:dyDescent="0.3">
      <c r="A2850" t="s">
        <v>2923</v>
      </c>
      <c r="B2850" t="s">
        <v>20</v>
      </c>
      <c r="C2850" t="s">
        <v>2901</v>
      </c>
      <c r="D2850" s="1">
        <v>0.57299768518518523</v>
      </c>
      <c r="E2850" s="2">
        <f>CallLog[[#This Row],[Date]]+CallLog[[#This Row],[Time]]</f>
        <v>44246.572997685187</v>
      </c>
      <c r="F2850" s="1" t="str">
        <f>TEXT(CallLog[[#This Row],[Date]],"dddd")</f>
        <v>Friday</v>
      </c>
      <c r="G2850" s="3">
        <f>HOUR(CallLog[[#This Row],[Time]])</f>
        <v>13</v>
      </c>
      <c r="H2850" t="s">
        <v>32</v>
      </c>
      <c r="I2850" t="s">
        <v>14</v>
      </c>
      <c r="J2850" t="s">
        <v>14</v>
      </c>
      <c r="K2850">
        <v>80</v>
      </c>
      <c r="L2850" t="str">
        <f>IF(AND(CallLog[[#This Row],[Answered (Y/N)]]="Y", CallLog[[#This Row],[Speed of answer in seconds]]&lt;=20),
    "Within",
    "Breach")</f>
        <v>Breach</v>
      </c>
      <c r="M2850" s="1">
        <v>3.0902777777777777E-3</v>
      </c>
      <c r="N2850">
        <v>2</v>
      </c>
    </row>
    <row r="2851" spans="1:14" x14ac:dyDescent="0.3">
      <c r="A2851" t="s">
        <v>2924</v>
      </c>
      <c r="B2851" t="s">
        <v>31</v>
      </c>
      <c r="C2851" t="s">
        <v>2901</v>
      </c>
      <c r="D2851" s="1">
        <v>0.57299768518518523</v>
      </c>
      <c r="E2851" s="2">
        <f>CallLog[[#This Row],[Date]]+CallLog[[#This Row],[Time]]</f>
        <v>44246.572997685187</v>
      </c>
      <c r="F2851" s="1" t="str">
        <f>TEXT(CallLog[[#This Row],[Date]],"dddd")</f>
        <v>Friday</v>
      </c>
      <c r="G2851" s="3">
        <f>HOUR(CallLog[[#This Row],[Time]])</f>
        <v>13</v>
      </c>
      <c r="H2851" t="s">
        <v>17</v>
      </c>
      <c r="I2851" t="s">
        <v>14</v>
      </c>
      <c r="J2851" t="s">
        <v>14</v>
      </c>
      <c r="K2851">
        <v>109</v>
      </c>
      <c r="L2851" t="str">
        <f>IF(AND(CallLog[[#This Row],[Answered (Y/N)]]="Y", CallLog[[#This Row],[Speed of answer in seconds]]&lt;=20),
    "Within",
    "Breach")</f>
        <v>Breach</v>
      </c>
      <c r="M2851" s="1">
        <v>5.0925925925925921E-4</v>
      </c>
      <c r="N2851">
        <v>1</v>
      </c>
    </row>
    <row r="2852" spans="1:14" x14ac:dyDescent="0.3">
      <c r="A2852" t="s">
        <v>2925</v>
      </c>
      <c r="B2852" t="s">
        <v>20</v>
      </c>
      <c r="C2852" t="s">
        <v>2901</v>
      </c>
      <c r="D2852" s="1">
        <v>0.59900462962962964</v>
      </c>
      <c r="E2852" s="2">
        <f>CallLog[[#This Row],[Date]]+CallLog[[#This Row],[Time]]</f>
        <v>44246.599004629628</v>
      </c>
      <c r="F2852" s="1" t="str">
        <f>TEXT(CallLog[[#This Row],[Date]],"dddd")</f>
        <v>Friday</v>
      </c>
      <c r="G2852" s="3">
        <f>HOUR(CallLog[[#This Row],[Time]])</f>
        <v>14</v>
      </c>
      <c r="H2852" t="s">
        <v>17</v>
      </c>
      <c r="I2852" t="s">
        <v>14</v>
      </c>
      <c r="J2852" t="s">
        <v>14</v>
      </c>
      <c r="K2852">
        <v>80</v>
      </c>
      <c r="L2852" t="str">
        <f>IF(AND(CallLog[[#This Row],[Answered (Y/N)]]="Y", CallLog[[#This Row],[Speed of answer in seconds]]&lt;=20),
    "Within",
    "Breach")</f>
        <v>Breach</v>
      </c>
      <c r="M2852" s="1">
        <v>3.9120370370370368E-3</v>
      </c>
      <c r="N2852">
        <v>3</v>
      </c>
    </row>
    <row r="2853" spans="1:14" x14ac:dyDescent="0.3">
      <c r="A2853" t="s">
        <v>2926</v>
      </c>
      <c r="B2853" t="s">
        <v>34</v>
      </c>
      <c r="C2853" t="s">
        <v>2901</v>
      </c>
      <c r="D2853" s="1">
        <v>0.59900462962962964</v>
      </c>
      <c r="E2853" s="2">
        <f>CallLog[[#This Row],[Date]]+CallLog[[#This Row],[Time]]</f>
        <v>44246.599004629628</v>
      </c>
      <c r="F2853" s="1" t="str">
        <f>TEXT(CallLog[[#This Row],[Date]],"dddd")</f>
        <v>Friday</v>
      </c>
      <c r="G2853" s="3">
        <f>HOUR(CallLog[[#This Row],[Time]])</f>
        <v>14</v>
      </c>
      <c r="H2853" t="s">
        <v>29</v>
      </c>
      <c r="I2853" t="s">
        <v>14</v>
      </c>
      <c r="J2853" t="s">
        <v>14</v>
      </c>
      <c r="K2853">
        <v>108</v>
      </c>
      <c r="L2853" t="str">
        <f>IF(AND(CallLog[[#This Row],[Answered (Y/N)]]="Y", CallLog[[#This Row],[Speed of answer in seconds]]&lt;=20),
    "Within",
    "Breach")</f>
        <v>Breach</v>
      </c>
      <c r="M2853" s="1">
        <v>3.3217592592592591E-3</v>
      </c>
      <c r="N2853">
        <v>4</v>
      </c>
    </row>
    <row r="2854" spans="1:14" x14ac:dyDescent="0.3">
      <c r="A2854" t="s">
        <v>2927</v>
      </c>
      <c r="B2854" t="s">
        <v>16</v>
      </c>
      <c r="C2854" t="s">
        <v>2901</v>
      </c>
      <c r="D2854" s="1">
        <v>0.60200231481481481</v>
      </c>
      <c r="E2854" s="2">
        <f>CallLog[[#This Row],[Date]]+CallLog[[#This Row],[Time]]</f>
        <v>44246.602002314816</v>
      </c>
      <c r="F2854" s="1" t="str">
        <f>TEXT(CallLog[[#This Row],[Date]],"dddd")</f>
        <v>Friday</v>
      </c>
      <c r="G2854" s="3">
        <f>HOUR(CallLog[[#This Row],[Time]])</f>
        <v>14</v>
      </c>
      <c r="H2854" t="s">
        <v>13</v>
      </c>
      <c r="I2854" t="s">
        <v>14</v>
      </c>
      <c r="J2854" t="s">
        <v>14</v>
      </c>
      <c r="K2854">
        <v>10</v>
      </c>
      <c r="L2854" t="str">
        <f>IF(AND(CallLog[[#This Row],[Answered (Y/N)]]="Y", CallLog[[#This Row],[Speed of answer in seconds]]&lt;=20),
    "Within",
    "Breach")</f>
        <v>Within</v>
      </c>
      <c r="M2854" s="1">
        <v>3.9814814814814817E-3</v>
      </c>
      <c r="N2854">
        <v>4</v>
      </c>
    </row>
    <row r="2855" spans="1:14" x14ac:dyDescent="0.3">
      <c r="A2855" t="s">
        <v>2928</v>
      </c>
      <c r="B2855" t="s">
        <v>22</v>
      </c>
      <c r="C2855" t="s">
        <v>2901</v>
      </c>
      <c r="D2855" s="1">
        <v>0.60200231481481481</v>
      </c>
      <c r="E2855" s="2">
        <f>CallLog[[#This Row],[Date]]+CallLog[[#This Row],[Time]]</f>
        <v>44246.602002314816</v>
      </c>
      <c r="F2855" s="1" t="str">
        <f>TEXT(CallLog[[#This Row],[Date]],"dddd")</f>
        <v>Friday</v>
      </c>
      <c r="G2855" s="3">
        <f>HOUR(CallLog[[#This Row],[Time]])</f>
        <v>14</v>
      </c>
      <c r="H2855" t="s">
        <v>17</v>
      </c>
      <c r="I2855" t="s">
        <v>18</v>
      </c>
      <c r="J2855" t="s">
        <v>18</v>
      </c>
      <c r="L2855" t="str">
        <f>IF(AND(CallLog[[#This Row],[Answered (Y/N)]]="Y", CallLog[[#This Row],[Speed of answer in seconds]]&lt;=20),
    "Within",
    "Breach")</f>
        <v>Breach</v>
      </c>
    </row>
    <row r="2856" spans="1:14" x14ac:dyDescent="0.3">
      <c r="A2856" t="s">
        <v>2929</v>
      </c>
      <c r="B2856" t="s">
        <v>38</v>
      </c>
      <c r="C2856" t="s">
        <v>2901</v>
      </c>
      <c r="D2856" s="1">
        <v>0.61499999999999999</v>
      </c>
      <c r="E2856" s="2">
        <f>CallLog[[#This Row],[Date]]+CallLog[[#This Row],[Time]]</f>
        <v>44246.614999999998</v>
      </c>
      <c r="F2856" s="1" t="str">
        <f>TEXT(CallLog[[#This Row],[Date]],"dddd")</f>
        <v>Friday</v>
      </c>
      <c r="G2856" s="3">
        <f>HOUR(CallLog[[#This Row],[Time]])</f>
        <v>14</v>
      </c>
      <c r="H2856" t="s">
        <v>17</v>
      </c>
      <c r="I2856" t="s">
        <v>14</v>
      </c>
      <c r="J2856" t="s">
        <v>14</v>
      </c>
      <c r="K2856">
        <v>115</v>
      </c>
      <c r="L2856" t="str">
        <f>IF(AND(CallLog[[#This Row],[Answered (Y/N)]]="Y", CallLog[[#This Row],[Speed of answer in seconds]]&lt;=20),
    "Within",
    "Breach")</f>
        <v>Breach</v>
      </c>
      <c r="M2856" s="1">
        <v>1.8287037037037037E-3</v>
      </c>
      <c r="N2856">
        <v>3</v>
      </c>
    </row>
    <row r="2857" spans="1:14" x14ac:dyDescent="0.3">
      <c r="A2857" t="s">
        <v>2930</v>
      </c>
      <c r="B2857" t="s">
        <v>16</v>
      </c>
      <c r="C2857" t="s">
        <v>2901</v>
      </c>
      <c r="D2857" s="1">
        <v>0.61499999999999999</v>
      </c>
      <c r="E2857" s="2">
        <f>CallLog[[#This Row],[Date]]+CallLog[[#This Row],[Time]]</f>
        <v>44246.614999999998</v>
      </c>
      <c r="F2857" s="1" t="str">
        <f>TEXT(CallLog[[#This Row],[Date]],"dddd")</f>
        <v>Friday</v>
      </c>
      <c r="G2857" s="3">
        <f>HOUR(CallLog[[#This Row],[Time]])</f>
        <v>14</v>
      </c>
      <c r="H2857" t="s">
        <v>29</v>
      </c>
      <c r="I2857" t="s">
        <v>14</v>
      </c>
      <c r="J2857" t="s">
        <v>14</v>
      </c>
      <c r="K2857">
        <v>79</v>
      </c>
      <c r="L2857" t="str">
        <f>IF(AND(CallLog[[#This Row],[Answered (Y/N)]]="Y", CallLog[[#This Row],[Speed of answer in seconds]]&lt;=20),
    "Within",
    "Breach")</f>
        <v>Breach</v>
      </c>
      <c r="M2857" s="1">
        <v>3.1365740740740742E-3</v>
      </c>
      <c r="N2857">
        <v>3</v>
      </c>
    </row>
    <row r="2858" spans="1:14" x14ac:dyDescent="0.3">
      <c r="A2858" t="s">
        <v>2931</v>
      </c>
      <c r="B2858" t="s">
        <v>20</v>
      </c>
      <c r="C2858" t="s">
        <v>2901</v>
      </c>
      <c r="D2858" s="1">
        <v>0.62</v>
      </c>
      <c r="E2858" s="2">
        <f>CallLog[[#This Row],[Date]]+CallLog[[#This Row],[Time]]</f>
        <v>44246.62</v>
      </c>
      <c r="F2858" s="1" t="str">
        <f>TEXT(CallLog[[#This Row],[Date]],"dddd")</f>
        <v>Friday</v>
      </c>
      <c r="G2858" s="3">
        <f>HOUR(CallLog[[#This Row],[Time]])</f>
        <v>14</v>
      </c>
      <c r="H2858" t="s">
        <v>29</v>
      </c>
      <c r="I2858" t="s">
        <v>14</v>
      </c>
      <c r="J2858" t="s">
        <v>14</v>
      </c>
      <c r="K2858">
        <v>109</v>
      </c>
      <c r="L2858" t="str">
        <f>IF(AND(CallLog[[#This Row],[Answered (Y/N)]]="Y", CallLog[[#This Row],[Speed of answer in seconds]]&lt;=20),
    "Within",
    "Breach")</f>
        <v>Breach</v>
      </c>
      <c r="M2858" s="1">
        <v>4.5138888888888892E-4</v>
      </c>
      <c r="N2858">
        <v>2</v>
      </c>
    </row>
    <row r="2859" spans="1:14" x14ac:dyDescent="0.3">
      <c r="A2859" t="s">
        <v>2932</v>
      </c>
      <c r="B2859" t="s">
        <v>31</v>
      </c>
      <c r="C2859" t="s">
        <v>2901</v>
      </c>
      <c r="D2859" s="1">
        <v>0.62</v>
      </c>
      <c r="E2859" s="2">
        <f>CallLog[[#This Row],[Date]]+CallLog[[#This Row],[Time]]</f>
        <v>44246.62</v>
      </c>
      <c r="F2859" s="1" t="str">
        <f>TEXT(CallLog[[#This Row],[Date]],"dddd")</f>
        <v>Friday</v>
      </c>
      <c r="G2859" s="3">
        <f>HOUR(CallLog[[#This Row],[Time]])</f>
        <v>14</v>
      </c>
      <c r="H2859" t="s">
        <v>13</v>
      </c>
      <c r="I2859" t="s">
        <v>14</v>
      </c>
      <c r="J2859" t="s">
        <v>14</v>
      </c>
      <c r="K2859">
        <v>12</v>
      </c>
      <c r="L2859" t="str">
        <f>IF(AND(CallLog[[#This Row],[Answered (Y/N)]]="Y", CallLog[[#This Row],[Speed of answer in seconds]]&lt;=20),
    "Within",
    "Breach")</f>
        <v>Within</v>
      </c>
      <c r="M2859" s="1">
        <v>3.6458333333333334E-3</v>
      </c>
      <c r="N2859">
        <v>4</v>
      </c>
    </row>
    <row r="2860" spans="1:14" x14ac:dyDescent="0.3">
      <c r="A2860" t="s">
        <v>2933</v>
      </c>
      <c r="B2860" t="s">
        <v>34</v>
      </c>
      <c r="C2860" t="s">
        <v>2901</v>
      </c>
      <c r="D2860" s="1">
        <v>0.62700231481481483</v>
      </c>
      <c r="E2860" s="2">
        <f>CallLog[[#This Row],[Date]]+CallLog[[#This Row],[Time]]</f>
        <v>44246.627002314817</v>
      </c>
      <c r="F2860" s="1" t="str">
        <f>TEXT(CallLog[[#This Row],[Date]],"dddd")</f>
        <v>Friday</v>
      </c>
      <c r="G2860" s="3">
        <f>HOUR(CallLog[[#This Row],[Time]])</f>
        <v>15</v>
      </c>
      <c r="H2860" t="s">
        <v>32</v>
      </c>
      <c r="I2860" t="s">
        <v>14</v>
      </c>
      <c r="J2860" t="s">
        <v>14</v>
      </c>
      <c r="K2860">
        <v>87</v>
      </c>
      <c r="L2860" t="str">
        <f>IF(AND(CallLog[[#This Row],[Answered (Y/N)]]="Y", CallLog[[#This Row],[Speed of answer in seconds]]&lt;=20),
    "Within",
    "Breach")</f>
        <v>Breach</v>
      </c>
      <c r="M2860" s="1">
        <v>1.5509259259259259E-3</v>
      </c>
      <c r="N2860">
        <v>3</v>
      </c>
    </row>
    <row r="2861" spans="1:14" x14ac:dyDescent="0.3">
      <c r="A2861" t="s">
        <v>2934</v>
      </c>
      <c r="B2861" t="s">
        <v>20</v>
      </c>
      <c r="C2861" t="s">
        <v>2901</v>
      </c>
      <c r="D2861" s="1">
        <v>0.62700231481481483</v>
      </c>
      <c r="E2861" s="2">
        <f>CallLog[[#This Row],[Date]]+CallLog[[#This Row],[Time]]</f>
        <v>44246.627002314817</v>
      </c>
      <c r="F2861" s="1" t="str">
        <f>TEXT(CallLog[[#This Row],[Date]],"dddd")</f>
        <v>Friday</v>
      </c>
      <c r="G2861" s="3">
        <f>HOUR(CallLog[[#This Row],[Time]])</f>
        <v>15</v>
      </c>
      <c r="H2861" t="s">
        <v>29</v>
      </c>
      <c r="I2861" t="s">
        <v>14</v>
      </c>
      <c r="J2861" t="s">
        <v>14</v>
      </c>
      <c r="K2861">
        <v>55</v>
      </c>
      <c r="L2861" t="str">
        <f>IF(AND(CallLog[[#This Row],[Answered (Y/N)]]="Y", CallLog[[#This Row],[Speed of answer in seconds]]&lt;=20),
    "Within",
    "Breach")</f>
        <v>Breach</v>
      </c>
      <c r="M2861" s="1">
        <v>3.9351851851851848E-3</v>
      </c>
      <c r="N2861">
        <v>3</v>
      </c>
    </row>
    <row r="2862" spans="1:14" x14ac:dyDescent="0.3">
      <c r="A2862" t="s">
        <v>2935</v>
      </c>
      <c r="B2862" t="s">
        <v>34</v>
      </c>
      <c r="C2862" t="s">
        <v>2901</v>
      </c>
      <c r="D2862" s="1">
        <v>0.64799768518518519</v>
      </c>
      <c r="E2862" s="2">
        <f>CallLog[[#This Row],[Date]]+CallLog[[#This Row],[Time]]</f>
        <v>44246.647997685184</v>
      </c>
      <c r="F2862" s="1" t="str">
        <f>TEXT(CallLog[[#This Row],[Date]],"dddd")</f>
        <v>Friday</v>
      </c>
      <c r="G2862" s="3">
        <f>HOUR(CallLog[[#This Row],[Time]])</f>
        <v>15</v>
      </c>
      <c r="H2862" t="s">
        <v>24</v>
      </c>
      <c r="I2862" t="s">
        <v>14</v>
      </c>
      <c r="J2862" t="s">
        <v>14</v>
      </c>
      <c r="K2862">
        <v>109</v>
      </c>
      <c r="L2862" t="str">
        <f>IF(AND(CallLog[[#This Row],[Answered (Y/N)]]="Y", CallLog[[#This Row],[Speed of answer in seconds]]&lt;=20),
    "Within",
    "Breach")</f>
        <v>Breach</v>
      </c>
      <c r="M2862" s="1">
        <v>3.8773148148148148E-3</v>
      </c>
      <c r="N2862">
        <v>4</v>
      </c>
    </row>
    <row r="2863" spans="1:14" x14ac:dyDescent="0.3">
      <c r="A2863" t="s">
        <v>2936</v>
      </c>
      <c r="B2863" t="s">
        <v>16</v>
      </c>
      <c r="C2863" t="s">
        <v>2901</v>
      </c>
      <c r="D2863" s="1">
        <v>0.64799768518518519</v>
      </c>
      <c r="E2863" s="2">
        <f>CallLog[[#This Row],[Date]]+CallLog[[#This Row],[Time]]</f>
        <v>44246.647997685184</v>
      </c>
      <c r="F2863" s="1" t="str">
        <f>TEXT(CallLog[[#This Row],[Date]],"dddd")</f>
        <v>Friday</v>
      </c>
      <c r="G2863" s="3">
        <f>HOUR(CallLog[[#This Row],[Time]])</f>
        <v>15</v>
      </c>
      <c r="H2863" t="s">
        <v>13</v>
      </c>
      <c r="I2863" t="s">
        <v>18</v>
      </c>
      <c r="J2863" t="s">
        <v>18</v>
      </c>
      <c r="L2863" t="str">
        <f>IF(AND(CallLog[[#This Row],[Answered (Y/N)]]="Y", CallLog[[#This Row],[Speed of answer in seconds]]&lt;=20),
    "Within",
    "Breach")</f>
        <v>Breach</v>
      </c>
    </row>
    <row r="2864" spans="1:14" x14ac:dyDescent="0.3">
      <c r="A2864" t="s">
        <v>2937</v>
      </c>
      <c r="B2864" t="s">
        <v>11</v>
      </c>
      <c r="C2864" t="s">
        <v>2901</v>
      </c>
      <c r="D2864" s="1">
        <v>0.64799768518518519</v>
      </c>
      <c r="E2864" s="2">
        <f>CallLog[[#This Row],[Date]]+CallLog[[#This Row],[Time]]</f>
        <v>44246.647997685184</v>
      </c>
      <c r="F2864" s="1" t="str">
        <f>TEXT(CallLog[[#This Row],[Date]],"dddd")</f>
        <v>Friday</v>
      </c>
      <c r="G2864" s="3">
        <f>HOUR(CallLog[[#This Row],[Time]])</f>
        <v>15</v>
      </c>
      <c r="H2864" t="s">
        <v>24</v>
      </c>
      <c r="I2864" t="s">
        <v>18</v>
      </c>
      <c r="J2864" t="s">
        <v>18</v>
      </c>
      <c r="L2864" t="str">
        <f>IF(AND(CallLog[[#This Row],[Answered (Y/N)]]="Y", CallLog[[#This Row],[Speed of answer in seconds]]&lt;=20),
    "Within",
    "Breach")</f>
        <v>Breach</v>
      </c>
    </row>
    <row r="2865" spans="1:14" x14ac:dyDescent="0.3">
      <c r="A2865" t="s">
        <v>2938</v>
      </c>
      <c r="B2865" t="s">
        <v>16</v>
      </c>
      <c r="C2865" t="s">
        <v>2901</v>
      </c>
      <c r="D2865" s="1">
        <v>0.64799768518518519</v>
      </c>
      <c r="E2865" s="2">
        <f>CallLog[[#This Row],[Date]]+CallLog[[#This Row],[Time]]</f>
        <v>44246.647997685184</v>
      </c>
      <c r="F2865" s="1" t="str">
        <f>TEXT(CallLog[[#This Row],[Date]],"dddd")</f>
        <v>Friday</v>
      </c>
      <c r="G2865" s="3">
        <f>HOUR(CallLog[[#This Row],[Time]])</f>
        <v>15</v>
      </c>
      <c r="H2865" t="s">
        <v>24</v>
      </c>
      <c r="I2865" t="s">
        <v>14</v>
      </c>
      <c r="J2865" t="s">
        <v>14</v>
      </c>
      <c r="K2865">
        <v>12</v>
      </c>
      <c r="L2865" t="str">
        <f>IF(AND(CallLog[[#This Row],[Answered (Y/N)]]="Y", CallLog[[#This Row],[Speed of answer in seconds]]&lt;=20),
    "Within",
    "Breach")</f>
        <v>Within</v>
      </c>
      <c r="M2865" s="1">
        <v>7.9861111111111116E-4</v>
      </c>
      <c r="N2865">
        <v>4</v>
      </c>
    </row>
    <row r="2866" spans="1:14" x14ac:dyDescent="0.3">
      <c r="A2866" t="s">
        <v>2939</v>
      </c>
      <c r="B2866" t="s">
        <v>38</v>
      </c>
      <c r="C2866" t="s">
        <v>2901</v>
      </c>
      <c r="D2866" s="1">
        <v>0.67</v>
      </c>
      <c r="E2866" s="2">
        <f>CallLog[[#This Row],[Date]]+CallLog[[#This Row],[Time]]</f>
        <v>44246.67</v>
      </c>
      <c r="F2866" s="1" t="str">
        <f>TEXT(CallLog[[#This Row],[Date]],"dddd")</f>
        <v>Friday</v>
      </c>
      <c r="G2866" s="3">
        <f>HOUR(CallLog[[#This Row],[Time]])</f>
        <v>16</v>
      </c>
      <c r="H2866" t="s">
        <v>24</v>
      </c>
      <c r="I2866" t="s">
        <v>14</v>
      </c>
      <c r="J2866" t="s">
        <v>14</v>
      </c>
      <c r="K2866">
        <v>71</v>
      </c>
      <c r="L2866" t="str">
        <f>IF(AND(CallLog[[#This Row],[Answered (Y/N)]]="Y", CallLog[[#This Row],[Speed of answer in seconds]]&lt;=20),
    "Within",
    "Breach")</f>
        <v>Breach</v>
      </c>
      <c r="M2866" s="1">
        <v>1.9791666666666668E-3</v>
      </c>
      <c r="N2866">
        <v>5</v>
      </c>
    </row>
    <row r="2867" spans="1:14" x14ac:dyDescent="0.3">
      <c r="A2867" t="s">
        <v>2940</v>
      </c>
      <c r="B2867" t="s">
        <v>47</v>
      </c>
      <c r="C2867" t="s">
        <v>2901</v>
      </c>
      <c r="D2867" s="1">
        <v>0.67</v>
      </c>
      <c r="E2867" s="2">
        <f>CallLog[[#This Row],[Date]]+CallLog[[#This Row],[Time]]</f>
        <v>44246.67</v>
      </c>
      <c r="F2867" s="1" t="str">
        <f>TEXT(CallLog[[#This Row],[Date]],"dddd")</f>
        <v>Friday</v>
      </c>
      <c r="G2867" s="3">
        <f>HOUR(CallLog[[#This Row],[Time]])</f>
        <v>16</v>
      </c>
      <c r="H2867" t="s">
        <v>17</v>
      </c>
      <c r="I2867" t="s">
        <v>18</v>
      </c>
      <c r="J2867" t="s">
        <v>18</v>
      </c>
      <c r="L2867" t="str">
        <f>IF(AND(CallLog[[#This Row],[Answered (Y/N)]]="Y", CallLog[[#This Row],[Speed of answer in seconds]]&lt;=20),
    "Within",
    "Breach")</f>
        <v>Breach</v>
      </c>
    </row>
    <row r="2868" spans="1:14" x14ac:dyDescent="0.3">
      <c r="A2868" t="s">
        <v>2941</v>
      </c>
      <c r="B2868" t="s">
        <v>20</v>
      </c>
      <c r="C2868" t="s">
        <v>2901</v>
      </c>
      <c r="D2868" s="1">
        <v>0.68500000000000005</v>
      </c>
      <c r="E2868" s="2">
        <f>CallLog[[#This Row],[Date]]+CallLog[[#This Row],[Time]]</f>
        <v>44246.684999999998</v>
      </c>
      <c r="F2868" s="1" t="str">
        <f>TEXT(CallLog[[#This Row],[Date]],"dddd")</f>
        <v>Friday</v>
      </c>
      <c r="G2868" s="3">
        <f>HOUR(CallLog[[#This Row],[Time]])</f>
        <v>16</v>
      </c>
      <c r="H2868" t="s">
        <v>32</v>
      </c>
      <c r="I2868" t="s">
        <v>14</v>
      </c>
      <c r="J2868" t="s">
        <v>18</v>
      </c>
      <c r="K2868">
        <v>104</v>
      </c>
      <c r="L2868" t="str">
        <f>IF(AND(CallLog[[#This Row],[Answered (Y/N)]]="Y", CallLog[[#This Row],[Speed of answer in seconds]]&lt;=20),
    "Within",
    "Breach")</f>
        <v>Breach</v>
      </c>
      <c r="M2868" s="1">
        <v>4.5023148148148149E-3</v>
      </c>
      <c r="N2868">
        <v>4</v>
      </c>
    </row>
    <row r="2869" spans="1:14" x14ac:dyDescent="0.3">
      <c r="A2869" t="s">
        <v>2942</v>
      </c>
      <c r="B2869" t="s">
        <v>20</v>
      </c>
      <c r="C2869" t="s">
        <v>2901</v>
      </c>
      <c r="D2869" s="1">
        <v>0.68500000000000005</v>
      </c>
      <c r="E2869" s="2">
        <f>CallLog[[#This Row],[Date]]+CallLog[[#This Row],[Time]]</f>
        <v>44246.684999999998</v>
      </c>
      <c r="F2869" s="1" t="str">
        <f>TEXT(CallLog[[#This Row],[Date]],"dddd")</f>
        <v>Friday</v>
      </c>
      <c r="G2869" s="3">
        <f>HOUR(CallLog[[#This Row],[Time]])</f>
        <v>16</v>
      </c>
      <c r="H2869" t="s">
        <v>24</v>
      </c>
      <c r="I2869" t="s">
        <v>14</v>
      </c>
      <c r="J2869" t="s">
        <v>14</v>
      </c>
      <c r="K2869">
        <v>110</v>
      </c>
      <c r="L2869" t="str">
        <f>IF(AND(CallLog[[#This Row],[Answered (Y/N)]]="Y", CallLog[[#This Row],[Speed of answer in seconds]]&lt;=20),
    "Within",
    "Breach")</f>
        <v>Breach</v>
      </c>
      <c r="M2869" s="1">
        <v>1.3078703703703703E-3</v>
      </c>
      <c r="N2869">
        <v>1</v>
      </c>
    </row>
    <row r="2870" spans="1:14" x14ac:dyDescent="0.3">
      <c r="A2870" t="s">
        <v>2943</v>
      </c>
      <c r="B2870" t="s">
        <v>38</v>
      </c>
      <c r="C2870" t="s">
        <v>2901</v>
      </c>
      <c r="D2870" s="1">
        <v>0.72299768518518515</v>
      </c>
      <c r="E2870" s="2">
        <f>CallLog[[#This Row],[Date]]+CallLog[[#This Row],[Time]]</f>
        <v>44246.722997685189</v>
      </c>
      <c r="F2870" s="1" t="str">
        <f>TEXT(CallLog[[#This Row],[Date]],"dddd")</f>
        <v>Friday</v>
      </c>
      <c r="G2870" s="3">
        <f>HOUR(CallLog[[#This Row],[Time]])</f>
        <v>17</v>
      </c>
      <c r="H2870" t="s">
        <v>32</v>
      </c>
      <c r="I2870" t="s">
        <v>14</v>
      </c>
      <c r="J2870" t="s">
        <v>14</v>
      </c>
      <c r="K2870">
        <v>108</v>
      </c>
      <c r="L2870" t="str">
        <f>IF(AND(CallLog[[#This Row],[Answered (Y/N)]]="Y", CallLog[[#This Row],[Speed of answer in seconds]]&lt;=20),
    "Within",
    "Breach")</f>
        <v>Breach</v>
      </c>
      <c r="M2870" s="1">
        <v>1.8981481481481482E-3</v>
      </c>
      <c r="N2870">
        <v>1</v>
      </c>
    </row>
    <row r="2871" spans="1:14" x14ac:dyDescent="0.3">
      <c r="A2871" t="s">
        <v>2944</v>
      </c>
      <c r="B2871" t="s">
        <v>47</v>
      </c>
      <c r="C2871" t="s">
        <v>2901</v>
      </c>
      <c r="D2871" s="1">
        <v>0.72299768518518515</v>
      </c>
      <c r="E2871" s="2">
        <f>CallLog[[#This Row],[Date]]+CallLog[[#This Row],[Time]]</f>
        <v>44246.722997685189</v>
      </c>
      <c r="F2871" s="1" t="str">
        <f>TEXT(CallLog[[#This Row],[Date]],"dddd")</f>
        <v>Friday</v>
      </c>
      <c r="G2871" s="3">
        <f>HOUR(CallLog[[#This Row],[Time]])</f>
        <v>17</v>
      </c>
      <c r="H2871" t="s">
        <v>17</v>
      </c>
      <c r="I2871" t="s">
        <v>14</v>
      </c>
      <c r="J2871" t="s">
        <v>14</v>
      </c>
      <c r="K2871">
        <v>88</v>
      </c>
      <c r="L2871" t="str">
        <f>IF(AND(CallLog[[#This Row],[Answered (Y/N)]]="Y", CallLog[[#This Row],[Speed of answer in seconds]]&lt;=20),
    "Within",
    "Breach")</f>
        <v>Breach</v>
      </c>
      <c r="M2871" s="1">
        <v>6.3657407407407413E-4</v>
      </c>
      <c r="N2871">
        <v>1</v>
      </c>
    </row>
    <row r="2872" spans="1:14" x14ac:dyDescent="0.3">
      <c r="A2872" t="s">
        <v>2945</v>
      </c>
      <c r="B2872" t="s">
        <v>20</v>
      </c>
      <c r="C2872" t="s">
        <v>2901</v>
      </c>
      <c r="D2872" s="1">
        <v>0.72900462962962964</v>
      </c>
      <c r="E2872" s="2">
        <f>CallLog[[#This Row],[Date]]+CallLog[[#This Row],[Time]]</f>
        <v>44246.729004629633</v>
      </c>
      <c r="F2872" s="1" t="str">
        <f>TEXT(CallLog[[#This Row],[Date]],"dddd")</f>
        <v>Friday</v>
      </c>
      <c r="G2872" s="3">
        <f>HOUR(CallLog[[#This Row],[Time]])</f>
        <v>17</v>
      </c>
      <c r="H2872" t="s">
        <v>13</v>
      </c>
      <c r="I2872" t="s">
        <v>18</v>
      </c>
      <c r="J2872" t="s">
        <v>18</v>
      </c>
      <c r="L2872" t="str">
        <f>IF(AND(CallLog[[#This Row],[Answered (Y/N)]]="Y", CallLog[[#This Row],[Speed of answer in seconds]]&lt;=20),
    "Within",
    "Breach")</f>
        <v>Breach</v>
      </c>
    </row>
    <row r="2873" spans="1:14" x14ac:dyDescent="0.3">
      <c r="A2873" t="s">
        <v>2946</v>
      </c>
      <c r="B2873" t="s">
        <v>34</v>
      </c>
      <c r="C2873" t="s">
        <v>2901</v>
      </c>
      <c r="D2873" s="1">
        <v>0.72900462962962964</v>
      </c>
      <c r="E2873" s="2">
        <f>CallLog[[#This Row],[Date]]+CallLog[[#This Row],[Time]]</f>
        <v>44246.729004629633</v>
      </c>
      <c r="F2873" s="1" t="str">
        <f>TEXT(CallLog[[#This Row],[Date]],"dddd")</f>
        <v>Friday</v>
      </c>
      <c r="G2873" s="3">
        <f>HOUR(CallLog[[#This Row],[Time]])</f>
        <v>17</v>
      </c>
      <c r="H2873" t="s">
        <v>29</v>
      </c>
      <c r="I2873" t="s">
        <v>14</v>
      </c>
      <c r="J2873" t="s">
        <v>14</v>
      </c>
      <c r="K2873">
        <v>32</v>
      </c>
      <c r="L2873" t="str">
        <f>IF(AND(CallLog[[#This Row],[Answered (Y/N)]]="Y", CallLog[[#This Row],[Speed of answer in seconds]]&lt;=20),
    "Within",
    "Breach")</f>
        <v>Breach</v>
      </c>
      <c r="M2873" s="1">
        <v>4.2592592592592595E-3</v>
      </c>
      <c r="N2873">
        <v>1</v>
      </c>
    </row>
    <row r="2874" spans="1:14" x14ac:dyDescent="0.3">
      <c r="A2874" t="s">
        <v>2947</v>
      </c>
      <c r="B2874" t="s">
        <v>11</v>
      </c>
      <c r="C2874" t="s">
        <v>2901</v>
      </c>
      <c r="D2874" s="1">
        <v>0.73499999999999999</v>
      </c>
      <c r="E2874" s="2">
        <f>CallLog[[#This Row],[Date]]+CallLog[[#This Row],[Time]]</f>
        <v>44246.735000000001</v>
      </c>
      <c r="F2874" s="1" t="str">
        <f>TEXT(CallLog[[#This Row],[Date]],"dddd")</f>
        <v>Friday</v>
      </c>
      <c r="G2874" s="3">
        <f>HOUR(CallLog[[#This Row],[Time]])</f>
        <v>17</v>
      </c>
      <c r="H2874" t="s">
        <v>13</v>
      </c>
      <c r="I2874" t="s">
        <v>14</v>
      </c>
      <c r="J2874" t="s">
        <v>14</v>
      </c>
      <c r="K2874">
        <v>37</v>
      </c>
      <c r="L2874" t="str">
        <f>IF(AND(CallLog[[#This Row],[Answered (Y/N)]]="Y", CallLog[[#This Row],[Speed of answer in seconds]]&lt;=20),
    "Within",
    "Breach")</f>
        <v>Breach</v>
      </c>
      <c r="M2874" s="1">
        <v>4.31712962962963E-3</v>
      </c>
      <c r="N2874">
        <v>4</v>
      </c>
    </row>
    <row r="2875" spans="1:14" x14ac:dyDescent="0.3">
      <c r="A2875" t="s">
        <v>2948</v>
      </c>
      <c r="B2875" t="s">
        <v>22</v>
      </c>
      <c r="C2875" t="s">
        <v>2901</v>
      </c>
      <c r="D2875" s="1">
        <v>0.73499999999999999</v>
      </c>
      <c r="E2875" s="2">
        <f>CallLog[[#This Row],[Date]]+CallLog[[#This Row],[Time]]</f>
        <v>44246.735000000001</v>
      </c>
      <c r="F2875" s="1" t="str">
        <f>TEXT(CallLog[[#This Row],[Date]],"dddd")</f>
        <v>Friday</v>
      </c>
      <c r="G2875" s="3">
        <f>HOUR(CallLog[[#This Row],[Time]])</f>
        <v>17</v>
      </c>
      <c r="H2875" t="s">
        <v>24</v>
      </c>
      <c r="I2875" t="s">
        <v>14</v>
      </c>
      <c r="J2875" t="s">
        <v>14</v>
      </c>
      <c r="K2875">
        <v>58</v>
      </c>
      <c r="L2875" t="str">
        <f>IF(AND(CallLog[[#This Row],[Answered (Y/N)]]="Y", CallLog[[#This Row],[Speed of answer in seconds]]&lt;=20),
    "Within",
    "Breach")</f>
        <v>Breach</v>
      </c>
      <c r="M2875" s="1">
        <v>2.3726851851851851E-3</v>
      </c>
      <c r="N2875">
        <v>5</v>
      </c>
    </row>
    <row r="2876" spans="1:14" x14ac:dyDescent="0.3">
      <c r="A2876" t="s">
        <v>2949</v>
      </c>
      <c r="B2876" t="s">
        <v>22</v>
      </c>
      <c r="C2876" t="s">
        <v>2950</v>
      </c>
      <c r="D2876" s="1">
        <v>0.39200231481481479</v>
      </c>
      <c r="E2876" s="2">
        <f>CallLog[[#This Row],[Date]]+CallLog[[#This Row],[Time]]</f>
        <v>44247.392002314817</v>
      </c>
      <c r="F2876" s="1" t="str">
        <f>TEXT(CallLog[[#This Row],[Date]],"dddd")</f>
        <v>Saturday</v>
      </c>
      <c r="G2876" s="3">
        <f>HOUR(CallLog[[#This Row],[Time]])</f>
        <v>9</v>
      </c>
      <c r="H2876" t="s">
        <v>13</v>
      </c>
      <c r="I2876" t="s">
        <v>14</v>
      </c>
      <c r="J2876" t="s">
        <v>14</v>
      </c>
      <c r="K2876">
        <v>61</v>
      </c>
      <c r="L2876" t="str">
        <f>IF(AND(CallLog[[#This Row],[Answered (Y/N)]]="Y", CallLog[[#This Row],[Speed of answer in seconds]]&lt;=20),
    "Within",
    "Breach")</f>
        <v>Breach</v>
      </c>
      <c r="M2876" s="1">
        <v>2.8472222222222223E-3</v>
      </c>
      <c r="N2876">
        <v>4</v>
      </c>
    </row>
    <row r="2877" spans="1:14" x14ac:dyDescent="0.3">
      <c r="A2877" t="s">
        <v>2951</v>
      </c>
      <c r="B2877" t="s">
        <v>31</v>
      </c>
      <c r="C2877" t="s">
        <v>2950</v>
      </c>
      <c r="D2877" s="1">
        <v>0.39200231481481479</v>
      </c>
      <c r="E2877" s="2">
        <f>CallLog[[#This Row],[Date]]+CallLog[[#This Row],[Time]]</f>
        <v>44247.392002314817</v>
      </c>
      <c r="F2877" s="1" t="str">
        <f>TEXT(CallLog[[#This Row],[Date]],"dddd")</f>
        <v>Saturday</v>
      </c>
      <c r="G2877" s="3">
        <f>HOUR(CallLog[[#This Row],[Time]])</f>
        <v>9</v>
      </c>
      <c r="H2877" t="s">
        <v>13</v>
      </c>
      <c r="I2877" t="s">
        <v>14</v>
      </c>
      <c r="J2877" t="s">
        <v>14</v>
      </c>
      <c r="K2877">
        <v>39</v>
      </c>
      <c r="L2877" t="str">
        <f>IF(AND(CallLog[[#This Row],[Answered (Y/N)]]="Y", CallLog[[#This Row],[Speed of answer in seconds]]&lt;=20),
    "Within",
    "Breach")</f>
        <v>Breach</v>
      </c>
      <c r="M2877" s="1">
        <v>1.2152777777777778E-3</v>
      </c>
      <c r="N2877">
        <v>1</v>
      </c>
    </row>
    <row r="2878" spans="1:14" x14ac:dyDescent="0.3">
      <c r="A2878" t="s">
        <v>2952</v>
      </c>
      <c r="B2878" t="s">
        <v>34</v>
      </c>
      <c r="C2878" t="s">
        <v>2950</v>
      </c>
      <c r="D2878" s="1">
        <v>0.39799768518518519</v>
      </c>
      <c r="E2878" s="2">
        <f>CallLog[[#This Row],[Date]]+CallLog[[#This Row],[Time]]</f>
        <v>44247.397997685184</v>
      </c>
      <c r="F2878" s="1" t="str">
        <f>TEXT(CallLog[[#This Row],[Date]],"dddd")</f>
        <v>Saturday</v>
      </c>
      <c r="G2878" s="3">
        <f>HOUR(CallLog[[#This Row],[Time]])</f>
        <v>9</v>
      </c>
      <c r="H2878" t="s">
        <v>13</v>
      </c>
      <c r="I2878" t="s">
        <v>14</v>
      </c>
      <c r="J2878" t="s">
        <v>14</v>
      </c>
      <c r="K2878">
        <v>39</v>
      </c>
      <c r="L2878" t="str">
        <f>IF(AND(CallLog[[#This Row],[Answered (Y/N)]]="Y", CallLog[[#This Row],[Speed of answer in seconds]]&lt;=20),
    "Within",
    "Breach")</f>
        <v>Breach</v>
      </c>
      <c r="M2878" s="1">
        <v>3.9467592592592592E-3</v>
      </c>
      <c r="N2878">
        <v>4</v>
      </c>
    </row>
    <row r="2879" spans="1:14" x14ac:dyDescent="0.3">
      <c r="A2879" t="s">
        <v>2953</v>
      </c>
      <c r="B2879" t="s">
        <v>11</v>
      </c>
      <c r="C2879" t="s">
        <v>2950</v>
      </c>
      <c r="D2879" s="1">
        <v>0.39799768518518519</v>
      </c>
      <c r="E2879" s="2">
        <f>CallLog[[#This Row],[Date]]+CallLog[[#This Row],[Time]]</f>
        <v>44247.397997685184</v>
      </c>
      <c r="F2879" s="1" t="str">
        <f>TEXT(CallLog[[#This Row],[Date]],"dddd")</f>
        <v>Saturday</v>
      </c>
      <c r="G2879" s="3">
        <f>HOUR(CallLog[[#This Row],[Time]])</f>
        <v>9</v>
      </c>
      <c r="H2879" t="s">
        <v>32</v>
      </c>
      <c r="I2879" t="s">
        <v>14</v>
      </c>
      <c r="J2879" t="s">
        <v>14</v>
      </c>
      <c r="K2879">
        <v>53</v>
      </c>
      <c r="L2879" t="str">
        <f>IF(AND(CallLog[[#This Row],[Answered (Y/N)]]="Y", CallLog[[#This Row],[Speed of answer in seconds]]&lt;=20),
    "Within",
    "Breach")</f>
        <v>Breach</v>
      </c>
      <c r="M2879" s="1">
        <v>1.238425925925926E-3</v>
      </c>
      <c r="N2879">
        <v>5</v>
      </c>
    </row>
    <row r="2880" spans="1:14" x14ac:dyDescent="0.3">
      <c r="A2880" t="s">
        <v>2954</v>
      </c>
      <c r="B2880" t="s">
        <v>34</v>
      </c>
      <c r="C2880" t="s">
        <v>2950</v>
      </c>
      <c r="D2880" s="1">
        <v>0.41799768518518521</v>
      </c>
      <c r="E2880" s="2">
        <f>CallLog[[#This Row],[Date]]+CallLog[[#This Row],[Time]]</f>
        <v>44247.417997685188</v>
      </c>
      <c r="F2880" s="1" t="str">
        <f>TEXT(CallLog[[#This Row],[Date]],"dddd")</f>
        <v>Saturday</v>
      </c>
      <c r="G2880" s="3">
        <f>HOUR(CallLog[[#This Row],[Time]])</f>
        <v>10</v>
      </c>
      <c r="H2880" t="s">
        <v>13</v>
      </c>
      <c r="I2880" t="s">
        <v>18</v>
      </c>
      <c r="J2880" t="s">
        <v>18</v>
      </c>
      <c r="L2880" t="str">
        <f>IF(AND(CallLog[[#This Row],[Answered (Y/N)]]="Y", CallLog[[#This Row],[Speed of answer in seconds]]&lt;=20),
    "Within",
    "Breach")</f>
        <v>Breach</v>
      </c>
    </row>
    <row r="2881" spans="1:14" x14ac:dyDescent="0.3">
      <c r="A2881" t="s">
        <v>2955</v>
      </c>
      <c r="B2881" t="s">
        <v>20</v>
      </c>
      <c r="C2881" t="s">
        <v>2950</v>
      </c>
      <c r="D2881" s="1">
        <v>0.41799768518518521</v>
      </c>
      <c r="E2881" s="2">
        <f>CallLog[[#This Row],[Date]]+CallLog[[#This Row],[Time]]</f>
        <v>44247.417997685188</v>
      </c>
      <c r="F2881" s="1" t="str">
        <f>TEXT(CallLog[[#This Row],[Date]],"dddd")</f>
        <v>Saturday</v>
      </c>
      <c r="G2881" s="3">
        <f>HOUR(CallLog[[#This Row],[Time]])</f>
        <v>10</v>
      </c>
      <c r="H2881" t="s">
        <v>32</v>
      </c>
      <c r="I2881" t="s">
        <v>14</v>
      </c>
      <c r="J2881" t="s">
        <v>14</v>
      </c>
      <c r="K2881">
        <v>64</v>
      </c>
      <c r="L2881" t="str">
        <f>IF(AND(CallLog[[#This Row],[Answered (Y/N)]]="Y", CallLog[[#This Row],[Speed of answer in seconds]]&lt;=20),
    "Within",
    "Breach")</f>
        <v>Breach</v>
      </c>
      <c r="M2881" s="1">
        <v>3.5995370370370369E-3</v>
      </c>
      <c r="N2881">
        <v>4</v>
      </c>
    </row>
    <row r="2882" spans="1:14" x14ac:dyDescent="0.3">
      <c r="A2882" t="s">
        <v>2956</v>
      </c>
      <c r="B2882" t="s">
        <v>34</v>
      </c>
      <c r="C2882" t="s">
        <v>2950</v>
      </c>
      <c r="D2882" s="1">
        <v>0.42400462962962965</v>
      </c>
      <c r="E2882" s="2">
        <f>CallLog[[#This Row],[Date]]+CallLog[[#This Row],[Time]]</f>
        <v>44247.424004629633</v>
      </c>
      <c r="F2882" s="1" t="str">
        <f>TEXT(CallLog[[#This Row],[Date]],"dddd")</f>
        <v>Saturday</v>
      </c>
      <c r="G2882" s="3">
        <f>HOUR(CallLog[[#This Row],[Time]])</f>
        <v>10</v>
      </c>
      <c r="H2882" t="s">
        <v>17</v>
      </c>
      <c r="I2882" t="s">
        <v>14</v>
      </c>
      <c r="J2882" t="s">
        <v>14</v>
      </c>
      <c r="K2882">
        <v>77</v>
      </c>
      <c r="L2882" t="str">
        <f>IF(AND(CallLog[[#This Row],[Answered (Y/N)]]="Y", CallLog[[#This Row],[Speed of answer in seconds]]&lt;=20),
    "Within",
    "Breach")</f>
        <v>Breach</v>
      </c>
      <c r="M2882" s="1">
        <v>2.5462962962962965E-3</v>
      </c>
      <c r="N2882">
        <v>3</v>
      </c>
    </row>
    <row r="2883" spans="1:14" x14ac:dyDescent="0.3">
      <c r="A2883" t="s">
        <v>2957</v>
      </c>
      <c r="B2883" t="s">
        <v>47</v>
      </c>
      <c r="C2883" t="s">
        <v>2950</v>
      </c>
      <c r="D2883" s="1">
        <v>0.42400462962962965</v>
      </c>
      <c r="E2883" s="2">
        <f>CallLog[[#This Row],[Date]]+CallLog[[#This Row],[Time]]</f>
        <v>44247.424004629633</v>
      </c>
      <c r="F2883" s="1" t="str">
        <f>TEXT(CallLog[[#This Row],[Date]],"dddd")</f>
        <v>Saturday</v>
      </c>
      <c r="G2883" s="3">
        <f>HOUR(CallLog[[#This Row],[Time]])</f>
        <v>10</v>
      </c>
      <c r="H2883" t="s">
        <v>13</v>
      </c>
      <c r="I2883" t="s">
        <v>14</v>
      </c>
      <c r="J2883" t="s">
        <v>14</v>
      </c>
      <c r="K2883">
        <v>20</v>
      </c>
      <c r="L2883" t="str">
        <f>IF(AND(CallLog[[#This Row],[Answered (Y/N)]]="Y", CallLog[[#This Row],[Speed of answer in seconds]]&lt;=20),
    "Within",
    "Breach")</f>
        <v>Within</v>
      </c>
      <c r="M2883" s="1">
        <v>5.6712962962962967E-4</v>
      </c>
      <c r="N2883">
        <v>1</v>
      </c>
    </row>
    <row r="2884" spans="1:14" x14ac:dyDescent="0.3">
      <c r="A2884" t="s">
        <v>2958</v>
      </c>
      <c r="B2884" t="s">
        <v>38</v>
      </c>
      <c r="C2884" t="s">
        <v>2950</v>
      </c>
      <c r="D2884" s="1">
        <v>0.43400462962962966</v>
      </c>
      <c r="E2884" s="2">
        <f>CallLog[[#This Row],[Date]]+CallLog[[#This Row],[Time]]</f>
        <v>44247.434004629627</v>
      </c>
      <c r="F2884" s="1" t="str">
        <f>TEXT(CallLog[[#This Row],[Date]],"dddd")</f>
        <v>Saturday</v>
      </c>
      <c r="G2884" s="3">
        <f>HOUR(CallLog[[#This Row],[Time]])</f>
        <v>10</v>
      </c>
      <c r="H2884" t="s">
        <v>13</v>
      </c>
      <c r="I2884" t="s">
        <v>18</v>
      </c>
      <c r="J2884" t="s">
        <v>18</v>
      </c>
      <c r="L2884" t="str">
        <f>IF(AND(CallLog[[#This Row],[Answered (Y/N)]]="Y", CallLog[[#This Row],[Speed of answer in seconds]]&lt;=20),
    "Within",
    "Breach")</f>
        <v>Breach</v>
      </c>
    </row>
    <row r="2885" spans="1:14" x14ac:dyDescent="0.3">
      <c r="A2885" t="s">
        <v>2959</v>
      </c>
      <c r="B2885" t="s">
        <v>34</v>
      </c>
      <c r="C2885" t="s">
        <v>2950</v>
      </c>
      <c r="D2885" s="1">
        <v>0.43400462962962966</v>
      </c>
      <c r="E2885" s="2">
        <f>CallLog[[#This Row],[Date]]+CallLog[[#This Row],[Time]]</f>
        <v>44247.434004629627</v>
      </c>
      <c r="F2885" s="1" t="str">
        <f>TEXT(CallLog[[#This Row],[Date]],"dddd")</f>
        <v>Saturday</v>
      </c>
      <c r="G2885" s="3">
        <f>HOUR(CallLog[[#This Row],[Time]])</f>
        <v>10</v>
      </c>
      <c r="H2885" t="s">
        <v>29</v>
      </c>
      <c r="I2885" t="s">
        <v>18</v>
      </c>
      <c r="J2885" t="s">
        <v>18</v>
      </c>
      <c r="L2885" t="str">
        <f>IF(AND(CallLog[[#This Row],[Answered (Y/N)]]="Y", CallLog[[#This Row],[Speed of answer in seconds]]&lt;=20),
    "Within",
    "Breach")</f>
        <v>Breach</v>
      </c>
    </row>
    <row r="2886" spans="1:14" x14ac:dyDescent="0.3">
      <c r="A2886" t="s">
        <v>2960</v>
      </c>
      <c r="B2886" t="s">
        <v>47</v>
      </c>
      <c r="C2886" t="s">
        <v>2950</v>
      </c>
      <c r="D2886" s="1">
        <v>0.45200231481481479</v>
      </c>
      <c r="E2886" s="2">
        <f>CallLog[[#This Row],[Date]]+CallLog[[#This Row],[Time]]</f>
        <v>44247.452002314814</v>
      </c>
      <c r="F2886" s="1" t="str">
        <f>TEXT(CallLog[[#This Row],[Date]],"dddd")</f>
        <v>Saturday</v>
      </c>
      <c r="G2886" s="3">
        <f>HOUR(CallLog[[#This Row],[Time]])</f>
        <v>10</v>
      </c>
      <c r="H2886" t="s">
        <v>29</v>
      </c>
      <c r="I2886" t="s">
        <v>14</v>
      </c>
      <c r="J2886" t="s">
        <v>14</v>
      </c>
      <c r="K2886">
        <v>26</v>
      </c>
      <c r="L2886" t="str">
        <f>IF(AND(CallLog[[#This Row],[Answered (Y/N)]]="Y", CallLog[[#This Row],[Speed of answer in seconds]]&lt;=20),
    "Within",
    "Breach")</f>
        <v>Breach</v>
      </c>
      <c r="M2886" s="1">
        <v>4.31712962962963E-3</v>
      </c>
      <c r="N2886">
        <v>5</v>
      </c>
    </row>
    <row r="2887" spans="1:14" x14ac:dyDescent="0.3">
      <c r="A2887" t="s">
        <v>2961</v>
      </c>
      <c r="B2887" t="s">
        <v>11</v>
      </c>
      <c r="C2887" t="s">
        <v>2950</v>
      </c>
      <c r="D2887" s="1">
        <v>0.45200231481481479</v>
      </c>
      <c r="E2887" s="2">
        <f>CallLog[[#This Row],[Date]]+CallLog[[#This Row],[Time]]</f>
        <v>44247.452002314814</v>
      </c>
      <c r="F2887" s="1" t="str">
        <f>TEXT(CallLog[[#This Row],[Date]],"dddd")</f>
        <v>Saturday</v>
      </c>
      <c r="G2887" s="3">
        <f>HOUR(CallLog[[#This Row],[Time]])</f>
        <v>10</v>
      </c>
      <c r="H2887" t="s">
        <v>17</v>
      </c>
      <c r="I2887" t="s">
        <v>14</v>
      </c>
      <c r="J2887" t="s">
        <v>14</v>
      </c>
      <c r="K2887">
        <v>33</v>
      </c>
      <c r="L2887" t="str">
        <f>IF(AND(CallLog[[#This Row],[Answered (Y/N)]]="Y", CallLog[[#This Row],[Speed of answer in seconds]]&lt;=20),
    "Within",
    "Breach")</f>
        <v>Breach</v>
      </c>
      <c r="M2887" s="1">
        <v>3.460648148148148E-3</v>
      </c>
      <c r="N2887">
        <v>3</v>
      </c>
    </row>
    <row r="2888" spans="1:14" x14ac:dyDescent="0.3">
      <c r="A2888" t="s">
        <v>2962</v>
      </c>
      <c r="B2888" t="s">
        <v>31</v>
      </c>
      <c r="C2888" t="s">
        <v>2950</v>
      </c>
      <c r="D2888" s="1">
        <v>0.45900462962962962</v>
      </c>
      <c r="E2888" s="2">
        <f>CallLog[[#This Row],[Date]]+CallLog[[#This Row],[Time]]</f>
        <v>44247.459004629629</v>
      </c>
      <c r="F2888" s="1" t="str">
        <f>TEXT(CallLog[[#This Row],[Date]],"dddd")</f>
        <v>Saturday</v>
      </c>
      <c r="G2888" s="3">
        <f>HOUR(CallLog[[#This Row],[Time]])</f>
        <v>11</v>
      </c>
      <c r="H2888" t="s">
        <v>29</v>
      </c>
      <c r="I2888" t="s">
        <v>18</v>
      </c>
      <c r="J2888" t="s">
        <v>18</v>
      </c>
      <c r="L2888" t="str">
        <f>IF(AND(CallLog[[#This Row],[Answered (Y/N)]]="Y", CallLog[[#This Row],[Speed of answer in seconds]]&lt;=20),
    "Within",
    "Breach")</f>
        <v>Breach</v>
      </c>
    </row>
    <row r="2889" spans="1:14" x14ac:dyDescent="0.3">
      <c r="A2889" t="s">
        <v>2963</v>
      </c>
      <c r="B2889" t="s">
        <v>16</v>
      </c>
      <c r="C2889" t="s">
        <v>2950</v>
      </c>
      <c r="D2889" s="1">
        <v>0.45900462962962962</v>
      </c>
      <c r="E2889" s="2">
        <f>CallLog[[#This Row],[Date]]+CallLog[[#This Row],[Time]]</f>
        <v>44247.459004629629</v>
      </c>
      <c r="F2889" s="1" t="str">
        <f>TEXT(CallLog[[#This Row],[Date]],"dddd")</f>
        <v>Saturday</v>
      </c>
      <c r="G2889" s="3">
        <f>HOUR(CallLog[[#This Row],[Time]])</f>
        <v>11</v>
      </c>
      <c r="H2889" t="s">
        <v>13</v>
      </c>
      <c r="I2889" t="s">
        <v>14</v>
      </c>
      <c r="J2889" t="s">
        <v>14</v>
      </c>
      <c r="K2889">
        <v>122</v>
      </c>
      <c r="L2889" t="str">
        <f>IF(AND(CallLog[[#This Row],[Answered (Y/N)]]="Y", CallLog[[#This Row],[Speed of answer in seconds]]&lt;=20),
    "Within",
    "Breach")</f>
        <v>Breach</v>
      </c>
      <c r="M2889" s="1">
        <v>1.4814814814814814E-3</v>
      </c>
      <c r="N2889">
        <v>3</v>
      </c>
    </row>
    <row r="2890" spans="1:14" x14ac:dyDescent="0.3">
      <c r="A2890" t="s">
        <v>2964</v>
      </c>
      <c r="B2890" t="s">
        <v>38</v>
      </c>
      <c r="C2890" t="s">
        <v>2950</v>
      </c>
      <c r="D2890" s="1">
        <v>0.46599537037037037</v>
      </c>
      <c r="E2890" s="2">
        <f>CallLog[[#This Row],[Date]]+CallLog[[#This Row],[Time]]</f>
        <v>44247.465995370374</v>
      </c>
      <c r="F2890" s="1" t="str">
        <f>TEXT(CallLog[[#This Row],[Date]],"dddd")</f>
        <v>Saturday</v>
      </c>
      <c r="G2890" s="3">
        <f>HOUR(CallLog[[#This Row],[Time]])</f>
        <v>11</v>
      </c>
      <c r="H2890" t="s">
        <v>13</v>
      </c>
      <c r="I2890" t="s">
        <v>18</v>
      </c>
      <c r="J2890" t="s">
        <v>18</v>
      </c>
      <c r="L2890" t="str">
        <f>IF(AND(CallLog[[#This Row],[Answered (Y/N)]]="Y", CallLog[[#This Row],[Speed of answer in seconds]]&lt;=20),
    "Within",
    "Breach")</f>
        <v>Breach</v>
      </c>
    </row>
    <row r="2891" spans="1:14" x14ac:dyDescent="0.3">
      <c r="A2891" t="s">
        <v>2965</v>
      </c>
      <c r="B2891" t="s">
        <v>38</v>
      </c>
      <c r="C2891" t="s">
        <v>2950</v>
      </c>
      <c r="D2891" s="1">
        <v>0.46599537037037037</v>
      </c>
      <c r="E2891" s="2">
        <f>CallLog[[#This Row],[Date]]+CallLog[[#This Row],[Time]]</f>
        <v>44247.465995370374</v>
      </c>
      <c r="F2891" s="1" t="str">
        <f>TEXT(CallLog[[#This Row],[Date]],"dddd")</f>
        <v>Saturday</v>
      </c>
      <c r="G2891" s="3">
        <f>HOUR(CallLog[[#This Row],[Time]])</f>
        <v>11</v>
      </c>
      <c r="H2891" t="s">
        <v>24</v>
      </c>
      <c r="I2891" t="s">
        <v>14</v>
      </c>
      <c r="J2891" t="s">
        <v>14</v>
      </c>
      <c r="K2891">
        <v>75</v>
      </c>
      <c r="L2891" t="str">
        <f>IF(AND(CallLog[[#This Row],[Answered (Y/N)]]="Y", CallLog[[#This Row],[Speed of answer in seconds]]&lt;=20),
    "Within",
    "Breach")</f>
        <v>Breach</v>
      </c>
      <c r="M2891" s="1">
        <v>2.6157407407407405E-3</v>
      </c>
      <c r="N2891">
        <v>3</v>
      </c>
    </row>
    <row r="2892" spans="1:14" x14ac:dyDescent="0.3">
      <c r="A2892" t="s">
        <v>2966</v>
      </c>
      <c r="B2892" t="s">
        <v>38</v>
      </c>
      <c r="C2892" t="s">
        <v>2950</v>
      </c>
      <c r="D2892" s="1">
        <v>0.4729976851851852</v>
      </c>
      <c r="E2892" s="2">
        <f>CallLog[[#This Row],[Date]]+CallLog[[#This Row],[Time]]</f>
        <v>44247.472997685189</v>
      </c>
      <c r="F2892" s="1" t="str">
        <f>TEXT(CallLog[[#This Row],[Date]],"dddd")</f>
        <v>Saturday</v>
      </c>
      <c r="G2892" s="3">
        <f>HOUR(CallLog[[#This Row],[Time]])</f>
        <v>11</v>
      </c>
      <c r="H2892" t="s">
        <v>29</v>
      </c>
      <c r="I2892" t="s">
        <v>14</v>
      </c>
      <c r="J2892" t="s">
        <v>14</v>
      </c>
      <c r="K2892">
        <v>27</v>
      </c>
      <c r="L2892" t="str">
        <f>IF(AND(CallLog[[#This Row],[Answered (Y/N)]]="Y", CallLog[[#This Row],[Speed of answer in seconds]]&lt;=20),
    "Within",
    "Breach")</f>
        <v>Breach</v>
      </c>
      <c r="M2892" s="1">
        <v>1.1458333333333333E-3</v>
      </c>
      <c r="N2892">
        <v>4</v>
      </c>
    </row>
    <row r="2893" spans="1:14" x14ac:dyDescent="0.3">
      <c r="A2893" t="s">
        <v>2967</v>
      </c>
      <c r="B2893" t="s">
        <v>11</v>
      </c>
      <c r="C2893" t="s">
        <v>2950</v>
      </c>
      <c r="D2893" s="1">
        <v>0.4729976851851852</v>
      </c>
      <c r="E2893" s="2">
        <f>CallLog[[#This Row],[Date]]+CallLog[[#This Row],[Time]]</f>
        <v>44247.472997685189</v>
      </c>
      <c r="F2893" s="1" t="str">
        <f>TEXT(CallLog[[#This Row],[Date]],"dddd")</f>
        <v>Saturday</v>
      </c>
      <c r="G2893" s="3">
        <f>HOUR(CallLog[[#This Row],[Time]])</f>
        <v>11</v>
      </c>
      <c r="H2893" t="s">
        <v>13</v>
      </c>
      <c r="I2893" t="s">
        <v>14</v>
      </c>
      <c r="J2893" t="s">
        <v>14</v>
      </c>
      <c r="K2893">
        <v>37</v>
      </c>
      <c r="L2893" t="str">
        <f>IF(AND(CallLog[[#This Row],[Answered (Y/N)]]="Y", CallLog[[#This Row],[Speed of answer in seconds]]&lt;=20),
    "Within",
    "Breach")</f>
        <v>Breach</v>
      </c>
      <c r="M2893" s="1">
        <v>4.0277777777777777E-3</v>
      </c>
      <c r="N2893">
        <v>3</v>
      </c>
    </row>
    <row r="2894" spans="1:14" x14ac:dyDescent="0.3">
      <c r="A2894" t="s">
        <v>2968</v>
      </c>
      <c r="B2894" t="s">
        <v>11</v>
      </c>
      <c r="C2894" t="s">
        <v>2950</v>
      </c>
      <c r="D2894" s="1">
        <v>0.48200231481481481</v>
      </c>
      <c r="E2894" s="2">
        <f>CallLog[[#This Row],[Date]]+CallLog[[#This Row],[Time]]</f>
        <v>44247.482002314813</v>
      </c>
      <c r="F2894" s="1" t="str">
        <f>TEXT(CallLog[[#This Row],[Date]],"dddd")</f>
        <v>Saturday</v>
      </c>
      <c r="G2894" s="3">
        <f>HOUR(CallLog[[#This Row],[Time]])</f>
        <v>11</v>
      </c>
      <c r="H2894" t="s">
        <v>29</v>
      </c>
      <c r="I2894" t="s">
        <v>14</v>
      </c>
      <c r="J2894" t="s">
        <v>14</v>
      </c>
      <c r="K2894">
        <v>24</v>
      </c>
      <c r="L2894" t="str">
        <f>IF(AND(CallLog[[#This Row],[Answered (Y/N)]]="Y", CallLog[[#This Row],[Speed of answer in seconds]]&lt;=20),
    "Within",
    "Breach")</f>
        <v>Breach</v>
      </c>
      <c r="M2894" s="1">
        <v>1.6782407407407408E-3</v>
      </c>
      <c r="N2894">
        <v>3</v>
      </c>
    </row>
    <row r="2895" spans="1:14" x14ac:dyDescent="0.3">
      <c r="A2895" t="s">
        <v>2969</v>
      </c>
      <c r="B2895" t="s">
        <v>16</v>
      </c>
      <c r="C2895" t="s">
        <v>2950</v>
      </c>
      <c r="D2895" s="1">
        <v>0.48200231481481481</v>
      </c>
      <c r="E2895" s="2">
        <f>CallLog[[#This Row],[Date]]+CallLog[[#This Row],[Time]]</f>
        <v>44247.482002314813</v>
      </c>
      <c r="F2895" s="1" t="str">
        <f>TEXT(CallLog[[#This Row],[Date]],"dddd")</f>
        <v>Saturday</v>
      </c>
      <c r="G2895" s="3">
        <f>HOUR(CallLog[[#This Row],[Time]])</f>
        <v>11</v>
      </c>
      <c r="H2895" t="s">
        <v>32</v>
      </c>
      <c r="I2895" t="s">
        <v>14</v>
      </c>
      <c r="J2895" t="s">
        <v>14</v>
      </c>
      <c r="K2895">
        <v>70</v>
      </c>
      <c r="L2895" t="str">
        <f>IF(AND(CallLog[[#This Row],[Answered (Y/N)]]="Y", CallLog[[#This Row],[Speed of answer in seconds]]&lt;=20),
    "Within",
    "Breach")</f>
        <v>Breach</v>
      </c>
      <c r="M2895" s="1">
        <v>3.7268518518518519E-3</v>
      </c>
      <c r="N2895">
        <v>1</v>
      </c>
    </row>
    <row r="2896" spans="1:14" x14ac:dyDescent="0.3">
      <c r="A2896" t="s">
        <v>2970</v>
      </c>
      <c r="B2896" t="s">
        <v>16</v>
      </c>
      <c r="C2896" t="s">
        <v>2950</v>
      </c>
      <c r="D2896" s="1">
        <v>0.48700231481481482</v>
      </c>
      <c r="E2896" s="2">
        <f>CallLog[[#This Row],[Date]]+CallLog[[#This Row],[Time]]</f>
        <v>44247.487002314818</v>
      </c>
      <c r="F2896" s="1" t="str">
        <f>TEXT(CallLog[[#This Row],[Date]],"dddd")</f>
        <v>Saturday</v>
      </c>
      <c r="G2896" s="3">
        <f>HOUR(CallLog[[#This Row],[Time]])</f>
        <v>11</v>
      </c>
      <c r="H2896" t="s">
        <v>17</v>
      </c>
      <c r="I2896" t="s">
        <v>14</v>
      </c>
      <c r="J2896" t="s">
        <v>14</v>
      </c>
      <c r="K2896">
        <v>117</v>
      </c>
      <c r="L2896" t="str">
        <f>IF(AND(CallLog[[#This Row],[Answered (Y/N)]]="Y", CallLog[[#This Row],[Speed of answer in seconds]]&lt;=20),
    "Within",
    "Breach")</f>
        <v>Breach</v>
      </c>
      <c r="M2896" s="1">
        <v>1.3194444444444445E-3</v>
      </c>
      <c r="N2896">
        <v>4</v>
      </c>
    </row>
    <row r="2897" spans="1:14" x14ac:dyDescent="0.3">
      <c r="A2897" t="s">
        <v>2971</v>
      </c>
      <c r="B2897" t="s">
        <v>11</v>
      </c>
      <c r="C2897" t="s">
        <v>2950</v>
      </c>
      <c r="D2897" s="1">
        <v>0.48700231481481482</v>
      </c>
      <c r="E2897" s="2">
        <f>CallLog[[#This Row],[Date]]+CallLog[[#This Row],[Time]]</f>
        <v>44247.487002314818</v>
      </c>
      <c r="F2897" s="1" t="str">
        <f>TEXT(CallLog[[#This Row],[Date]],"dddd")</f>
        <v>Saturday</v>
      </c>
      <c r="G2897" s="3">
        <f>HOUR(CallLog[[#This Row],[Time]])</f>
        <v>11</v>
      </c>
      <c r="H2897" t="s">
        <v>24</v>
      </c>
      <c r="I2897" t="s">
        <v>14</v>
      </c>
      <c r="J2897" t="s">
        <v>14</v>
      </c>
      <c r="K2897">
        <v>15</v>
      </c>
      <c r="L2897" t="str">
        <f>IF(AND(CallLog[[#This Row],[Answered (Y/N)]]="Y", CallLog[[#This Row],[Speed of answer in seconds]]&lt;=20),
    "Within",
    "Breach")</f>
        <v>Within</v>
      </c>
      <c r="M2897" s="1">
        <v>3.2060185185185186E-3</v>
      </c>
      <c r="N2897">
        <v>1</v>
      </c>
    </row>
    <row r="2898" spans="1:14" x14ac:dyDescent="0.3">
      <c r="A2898" t="s">
        <v>2972</v>
      </c>
      <c r="B2898" t="s">
        <v>22</v>
      </c>
      <c r="C2898" t="s">
        <v>2950</v>
      </c>
      <c r="D2898" s="1">
        <v>0.49599537037037039</v>
      </c>
      <c r="E2898" s="2">
        <f>CallLog[[#This Row],[Date]]+CallLog[[#This Row],[Time]]</f>
        <v>44247.495995370373</v>
      </c>
      <c r="F2898" s="1" t="str">
        <f>TEXT(CallLog[[#This Row],[Date]],"dddd")</f>
        <v>Saturday</v>
      </c>
      <c r="G2898" s="3">
        <f>HOUR(CallLog[[#This Row],[Time]])</f>
        <v>11</v>
      </c>
      <c r="H2898" t="s">
        <v>32</v>
      </c>
      <c r="I2898" t="s">
        <v>14</v>
      </c>
      <c r="J2898" t="s">
        <v>14</v>
      </c>
      <c r="K2898">
        <v>20</v>
      </c>
      <c r="L2898" t="str">
        <f>IF(AND(CallLog[[#This Row],[Answered (Y/N)]]="Y", CallLog[[#This Row],[Speed of answer in seconds]]&lt;=20),
    "Within",
    "Breach")</f>
        <v>Within</v>
      </c>
      <c r="M2898" s="1">
        <v>2.488425925925926E-3</v>
      </c>
      <c r="N2898">
        <v>3</v>
      </c>
    </row>
    <row r="2899" spans="1:14" x14ac:dyDescent="0.3">
      <c r="A2899" t="s">
        <v>2973</v>
      </c>
      <c r="B2899" t="s">
        <v>47</v>
      </c>
      <c r="C2899" t="s">
        <v>2950</v>
      </c>
      <c r="D2899" s="1">
        <v>0.49599537037037039</v>
      </c>
      <c r="E2899" s="2">
        <f>CallLog[[#This Row],[Date]]+CallLog[[#This Row],[Time]]</f>
        <v>44247.495995370373</v>
      </c>
      <c r="F2899" s="1" t="str">
        <f>TEXT(CallLog[[#This Row],[Date]],"dddd")</f>
        <v>Saturday</v>
      </c>
      <c r="G2899" s="3">
        <f>HOUR(CallLog[[#This Row],[Time]])</f>
        <v>11</v>
      </c>
      <c r="H2899" t="s">
        <v>32</v>
      </c>
      <c r="I2899" t="s">
        <v>14</v>
      </c>
      <c r="J2899" t="s">
        <v>14</v>
      </c>
      <c r="K2899">
        <v>36</v>
      </c>
      <c r="L2899" t="str">
        <f>IF(AND(CallLog[[#This Row],[Answered (Y/N)]]="Y", CallLog[[#This Row],[Speed of answer in seconds]]&lt;=20),
    "Within",
    "Breach")</f>
        <v>Breach</v>
      </c>
      <c r="M2899" s="1">
        <v>2.9629629629629628E-3</v>
      </c>
      <c r="N2899">
        <v>2</v>
      </c>
    </row>
    <row r="2900" spans="1:14" x14ac:dyDescent="0.3">
      <c r="A2900" t="s">
        <v>2974</v>
      </c>
      <c r="B2900" t="s">
        <v>11</v>
      </c>
      <c r="C2900" t="s">
        <v>2950</v>
      </c>
      <c r="D2900" s="1">
        <v>0.50200231481481483</v>
      </c>
      <c r="E2900" s="2">
        <f>CallLog[[#This Row],[Date]]+CallLog[[#This Row],[Time]]</f>
        <v>44247.502002314817</v>
      </c>
      <c r="F2900" s="1" t="str">
        <f>TEXT(CallLog[[#This Row],[Date]],"dddd")</f>
        <v>Saturday</v>
      </c>
      <c r="G2900" s="3">
        <f>HOUR(CallLog[[#This Row],[Time]])</f>
        <v>12</v>
      </c>
      <c r="H2900" t="s">
        <v>17</v>
      </c>
      <c r="I2900" t="s">
        <v>14</v>
      </c>
      <c r="J2900" t="s">
        <v>14</v>
      </c>
      <c r="K2900">
        <v>63</v>
      </c>
      <c r="L2900" t="str">
        <f>IF(AND(CallLog[[#This Row],[Answered (Y/N)]]="Y", CallLog[[#This Row],[Speed of answer in seconds]]&lt;=20),
    "Within",
    "Breach")</f>
        <v>Breach</v>
      </c>
      <c r="M2900" s="1">
        <v>3.3217592592592591E-3</v>
      </c>
      <c r="N2900">
        <v>1</v>
      </c>
    </row>
    <row r="2901" spans="1:14" x14ac:dyDescent="0.3">
      <c r="A2901" t="s">
        <v>2975</v>
      </c>
      <c r="B2901" t="s">
        <v>16</v>
      </c>
      <c r="C2901" t="s">
        <v>2950</v>
      </c>
      <c r="D2901" s="1">
        <v>0.50200231481481483</v>
      </c>
      <c r="E2901" s="2">
        <f>CallLog[[#This Row],[Date]]+CallLog[[#This Row],[Time]]</f>
        <v>44247.502002314817</v>
      </c>
      <c r="F2901" s="1" t="str">
        <f>TEXT(CallLog[[#This Row],[Date]],"dddd")</f>
        <v>Saturday</v>
      </c>
      <c r="G2901" s="3">
        <f>HOUR(CallLog[[#This Row],[Time]])</f>
        <v>12</v>
      </c>
      <c r="H2901" t="s">
        <v>24</v>
      </c>
      <c r="I2901" t="s">
        <v>14</v>
      </c>
      <c r="J2901" t="s">
        <v>14</v>
      </c>
      <c r="K2901">
        <v>20</v>
      </c>
      <c r="L2901" t="str">
        <f>IF(AND(CallLog[[#This Row],[Answered (Y/N)]]="Y", CallLog[[#This Row],[Speed of answer in seconds]]&lt;=20),
    "Within",
    "Breach")</f>
        <v>Within</v>
      </c>
      <c r="M2901" s="1">
        <v>4.4212962962962964E-3</v>
      </c>
      <c r="N2901">
        <v>3</v>
      </c>
    </row>
    <row r="2902" spans="1:14" x14ac:dyDescent="0.3">
      <c r="A2902" t="s">
        <v>2976</v>
      </c>
      <c r="B2902" t="s">
        <v>47</v>
      </c>
      <c r="C2902" t="s">
        <v>2950</v>
      </c>
      <c r="D2902" s="1">
        <v>0.50700231481481484</v>
      </c>
      <c r="E2902" s="2">
        <f>CallLog[[#This Row],[Date]]+CallLog[[#This Row],[Time]]</f>
        <v>44247.507002314815</v>
      </c>
      <c r="F2902" s="1" t="str">
        <f>TEXT(CallLog[[#This Row],[Date]],"dddd")</f>
        <v>Saturday</v>
      </c>
      <c r="G2902" s="3">
        <f>HOUR(CallLog[[#This Row],[Time]])</f>
        <v>12</v>
      </c>
      <c r="H2902" t="s">
        <v>13</v>
      </c>
      <c r="I2902" t="s">
        <v>14</v>
      </c>
      <c r="J2902" t="s">
        <v>18</v>
      </c>
      <c r="K2902">
        <v>115</v>
      </c>
      <c r="L2902" t="str">
        <f>IF(AND(CallLog[[#This Row],[Answered (Y/N)]]="Y", CallLog[[#This Row],[Speed of answer in seconds]]&lt;=20),
    "Within",
    "Breach")</f>
        <v>Breach</v>
      </c>
      <c r="M2902" s="1">
        <v>3.8773148148148148E-3</v>
      </c>
      <c r="N2902">
        <v>4</v>
      </c>
    </row>
    <row r="2903" spans="1:14" x14ac:dyDescent="0.3">
      <c r="A2903" t="s">
        <v>2977</v>
      </c>
      <c r="B2903" t="s">
        <v>34</v>
      </c>
      <c r="C2903" t="s">
        <v>2950</v>
      </c>
      <c r="D2903" s="1">
        <v>0.50700231481481484</v>
      </c>
      <c r="E2903" s="2">
        <f>CallLog[[#This Row],[Date]]+CallLog[[#This Row],[Time]]</f>
        <v>44247.507002314815</v>
      </c>
      <c r="F2903" s="1" t="str">
        <f>TEXT(CallLog[[#This Row],[Date]],"dddd")</f>
        <v>Saturday</v>
      </c>
      <c r="G2903" s="3">
        <f>HOUR(CallLog[[#This Row],[Time]])</f>
        <v>12</v>
      </c>
      <c r="H2903" t="s">
        <v>13</v>
      </c>
      <c r="I2903" t="s">
        <v>18</v>
      </c>
      <c r="J2903" t="s">
        <v>18</v>
      </c>
      <c r="L2903" t="str">
        <f>IF(AND(CallLog[[#This Row],[Answered (Y/N)]]="Y", CallLog[[#This Row],[Speed of answer in seconds]]&lt;=20),
    "Within",
    "Breach")</f>
        <v>Breach</v>
      </c>
    </row>
    <row r="2904" spans="1:14" x14ac:dyDescent="0.3">
      <c r="A2904" t="s">
        <v>2978</v>
      </c>
      <c r="B2904" t="s">
        <v>47</v>
      </c>
      <c r="C2904" t="s">
        <v>2950</v>
      </c>
      <c r="D2904" s="1">
        <v>0.51799768518518519</v>
      </c>
      <c r="E2904" s="2">
        <f>CallLog[[#This Row],[Date]]+CallLog[[#This Row],[Time]]</f>
        <v>44247.517997685187</v>
      </c>
      <c r="F2904" s="1" t="str">
        <f>TEXT(CallLog[[#This Row],[Date]],"dddd")</f>
        <v>Saturday</v>
      </c>
      <c r="G2904" s="3">
        <f>HOUR(CallLog[[#This Row],[Time]])</f>
        <v>12</v>
      </c>
      <c r="H2904" t="s">
        <v>17</v>
      </c>
      <c r="I2904" t="s">
        <v>14</v>
      </c>
      <c r="J2904" t="s">
        <v>14</v>
      </c>
      <c r="K2904">
        <v>95</v>
      </c>
      <c r="L2904" t="str">
        <f>IF(AND(CallLog[[#This Row],[Answered (Y/N)]]="Y", CallLog[[#This Row],[Speed of answer in seconds]]&lt;=20),
    "Within",
    "Breach")</f>
        <v>Breach</v>
      </c>
      <c r="M2904" s="1">
        <v>3.449074074074074E-3</v>
      </c>
      <c r="N2904">
        <v>3</v>
      </c>
    </row>
    <row r="2905" spans="1:14" x14ac:dyDescent="0.3">
      <c r="A2905" t="s">
        <v>2979</v>
      </c>
      <c r="B2905" t="s">
        <v>16</v>
      </c>
      <c r="C2905" t="s">
        <v>2950</v>
      </c>
      <c r="D2905" s="1">
        <v>0.51799768518518519</v>
      </c>
      <c r="E2905" s="2">
        <f>CallLog[[#This Row],[Date]]+CallLog[[#This Row],[Time]]</f>
        <v>44247.517997685187</v>
      </c>
      <c r="F2905" s="1" t="str">
        <f>TEXT(CallLog[[#This Row],[Date]],"dddd")</f>
        <v>Saturday</v>
      </c>
      <c r="G2905" s="3">
        <f>HOUR(CallLog[[#This Row],[Time]])</f>
        <v>12</v>
      </c>
      <c r="H2905" t="s">
        <v>24</v>
      </c>
      <c r="I2905" t="s">
        <v>14</v>
      </c>
      <c r="J2905" t="s">
        <v>14</v>
      </c>
      <c r="K2905">
        <v>114</v>
      </c>
      <c r="L2905" t="str">
        <f>IF(AND(CallLog[[#This Row],[Answered (Y/N)]]="Y", CallLog[[#This Row],[Speed of answer in seconds]]&lt;=20),
    "Within",
    "Breach")</f>
        <v>Breach</v>
      </c>
      <c r="M2905" s="1">
        <v>2.1643518518518518E-3</v>
      </c>
      <c r="N2905">
        <v>4</v>
      </c>
    </row>
    <row r="2906" spans="1:14" x14ac:dyDescent="0.3">
      <c r="A2906" t="s">
        <v>2980</v>
      </c>
      <c r="B2906" t="s">
        <v>38</v>
      </c>
      <c r="C2906" t="s">
        <v>2950</v>
      </c>
      <c r="D2906" s="1">
        <v>0.53200231481481486</v>
      </c>
      <c r="E2906" s="2">
        <f>CallLog[[#This Row],[Date]]+CallLog[[#This Row],[Time]]</f>
        <v>44247.532002314816</v>
      </c>
      <c r="F2906" s="1" t="str">
        <f>TEXT(CallLog[[#This Row],[Date]],"dddd")</f>
        <v>Saturday</v>
      </c>
      <c r="G2906" s="3">
        <f>HOUR(CallLog[[#This Row],[Time]])</f>
        <v>12</v>
      </c>
      <c r="H2906" t="s">
        <v>13</v>
      </c>
      <c r="I2906" t="s">
        <v>14</v>
      </c>
      <c r="J2906" t="s">
        <v>14</v>
      </c>
      <c r="K2906">
        <v>71</v>
      </c>
      <c r="L2906" t="str">
        <f>IF(AND(CallLog[[#This Row],[Answered (Y/N)]]="Y", CallLog[[#This Row],[Speed of answer in seconds]]&lt;=20),
    "Within",
    "Breach")</f>
        <v>Breach</v>
      </c>
      <c r="M2906" s="1">
        <v>1.4004629629629629E-3</v>
      </c>
      <c r="N2906">
        <v>4</v>
      </c>
    </row>
    <row r="2907" spans="1:14" x14ac:dyDescent="0.3">
      <c r="A2907" t="s">
        <v>2981</v>
      </c>
      <c r="B2907" t="s">
        <v>20</v>
      </c>
      <c r="C2907" t="s">
        <v>2950</v>
      </c>
      <c r="D2907" s="1">
        <v>0.53200231481481486</v>
      </c>
      <c r="E2907" s="2">
        <f>CallLog[[#This Row],[Date]]+CallLog[[#This Row],[Time]]</f>
        <v>44247.532002314816</v>
      </c>
      <c r="F2907" s="1" t="str">
        <f>TEXT(CallLog[[#This Row],[Date]],"dddd")</f>
        <v>Saturday</v>
      </c>
      <c r="G2907" s="3">
        <f>HOUR(CallLog[[#This Row],[Time]])</f>
        <v>12</v>
      </c>
      <c r="H2907" t="s">
        <v>24</v>
      </c>
      <c r="I2907" t="s">
        <v>14</v>
      </c>
      <c r="J2907" t="s">
        <v>14</v>
      </c>
      <c r="K2907">
        <v>44</v>
      </c>
      <c r="L2907" t="str">
        <f>IF(AND(CallLog[[#This Row],[Answered (Y/N)]]="Y", CallLog[[#This Row],[Speed of answer in seconds]]&lt;=20),
    "Within",
    "Breach")</f>
        <v>Breach</v>
      </c>
      <c r="M2907" s="1">
        <v>4.1898148148148146E-3</v>
      </c>
      <c r="N2907">
        <v>1</v>
      </c>
    </row>
    <row r="2908" spans="1:14" x14ac:dyDescent="0.3">
      <c r="A2908" t="s">
        <v>2982</v>
      </c>
      <c r="B2908" t="s">
        <v>22</v>
      </c>
      <c r="C2908" t="s">
        <v>2950</v>
      </c>
      <c r="D2908" s="1">
        <v>0.53599537037037037</v>
      </c>
      <c r="E2908" s="2">
        <f>CallLog[[#This Row],[Date]]+CallLog[[#This Row],[Time]]</f>
        <v>44247.535995370374</v>
      </c>
      <c r="F2908" s="1" t="str">
        <f>TEXT(CallLog[[#This Row],[Date]],"dddd")</f>
        <v>Saturday</v>
      </c>
      <c r="G2908" s="3">
        <f>HOUR(CallLog[[#This Row],[Time]])</f>
        <v>12</v>
      </c>
      <c r="H2908" t="s">
        <v>17</v>
      </c>
      <c r="I2908" t="s">
        <v>18</v>
      </c>
      <c r="J2908" t="s">
        <v>18</v>
      </c>
      <c r="L2908" t="str">
        <f>IF(AND(CallLog[[#This Row],[Answered (Y/N)]]="Y", CallLog[[#This Row],[Speed of answer in seconds]]&lt;=20),
    "Within",
    "Breach")</f>
        <v>Breach</v>
      </c>
    </row>
    <row r="2909" spans="1:14" x14ac:dyDescent="0.3">
      <c r="A2909" t="s">
        <v>2983</v>
      </c>
      <c r="B2909" t="s">
        <v>16</v>
      </c>
      <c r="C2909" t="s">
        <v>2950</v>
      </c>
      <c r="D2909" s="1">
        <v>0.53599537037037037</v>
      </c>
      <c r="E2909" s="2">
        <f>CallLog[[#This Row],[Date]]+CallLog[[#This Row],[Time]]</f>
        <v>44247.535995370374</v>
      </c>
      <c r="F2909" s="1" t="str">
        <f>TEXT(CallLog[[#This Row],[Date]],"dddd")</f>
        <v>Saturday</v>
      </c>
      <c r="G2909" s="3">
        <f>HOUR(CallLog[[#This Row],[Time]])</f>
        <v>12</v>
      </c>
      <c r="H2909" t="s">
        <v>17</v>
      </c>
      <c r="I2909" t="s">
        <v>18</v>
      </c>
      <c r="J2909" t="s">
        <v>18</v>
      </c>
      <c r="L2909" t="str">
        <f>IF(AND(CallLog[[#This Row],[Answered (Y/N)]]="Y", CallLog[[#This Row],[Speed of answer in seconds]]&lt;=20),
    "Within",
    "Breach")</f>
        <v>Breach</v>
      </c>
    </row>
    <row r="2910" spans="1:14" x14ac:dyDescent="0.3">
      <c r="A2910" t="s">
        <v>2984</v>
      </c>
      <c r="B2910" t="s">
        <v>20</v>
      </c>
      <c r="C2910" t="s">
        <v>2950</v>
      </c>
      <c r="D2910" s="1">
        <v>0.5659953703703704</v>
      </c>
      <c r="E2910" s="2">
        <f>CallLog[[#This Row],[Date]]+CallLog[[#This Row],[Time]]</f>
        <v>44247.565995370373</v>
      </c>
      <c r="F2910" s="1" t="str">
        <f>TEXT(CallLog[[#This Row],[Date]],"dddd")</f>
        <v>Saturday</v>
      </c>
      <c r="G2910" s="3">
        <f>HOUR(CallLog[[#This Row],[Time]])</f>
        <v>13</v>
      </c>
      <c r="H2910" t="s">
        <v>24</v>
      </c>
      <c r="I2910" t="s">
        <v>14</v>
      </c>
      <c r="J2910" t="s">
        <v>14</v>
      </c>
      <c r="K2910">
        <v>24</v>
      </c>
      <c r="L2910" t="str">
        <f>IF(AND(CallLog[[#This Row],[Answered (Y/N)]]="Y", CallLog[[#This Row],[Speed of answer in seconds]]&lt;=20),
    "Within",
    "Breach")</f>
        <v>Breach</v>
      </c>
      <c r="M2910" s="1">
        <v>1.3194444444444445E-3</v>
      </c>
      <c r="N2910">
        <v>3</v>
      </c>
    </row>
    <row r="2911" spans="1:14" x14ac:dyDescent="0.3">
      <c r="A2911" t="s">
        <v>2985</v>
      </c>
      <c r="B2911" t="s">
        <v>22</v>
      </c>
      <c r="C2911" t="s">
        <v>2950</v>
      </c>
      <c r="D2911" s="1">
        <v>0.5659953703703704</v>
      </c>
      <c r="E2911" s="2">
        <f>CallLog[[#This Row],[Date]]+CallLog[[#This Row],[Time]]</f>
        <v>44247.565995370373</v>
      </c>
      <c r="F2911" s="1" t="str">
        <f>TEXT(CallLog[[#This Row],[Date]],"dddd")</f>
        <v>Saturday</v>
      </c>
      <c r="G2911" s="3">
        <f>HOUR(CallLog[[#This Row],[Time]])</f>
        <v>13</v>
      </c>
      <c r="H2911" t="s">
        <v>32</v>
      </c>
      <c r="I2911" t="s">
        <v>18</v>
      </c>
      <c r="J2911" t="s">
        <v>18</v>
      </c>
      <c r="L2911" t="str">
        <f>IF(AND(CallLog[[#This Row],[Answered (Y/N)]]="Y", CallLog[[#This Row],[Speed of answer in seconds]]&lt;=20),
    "Within",
    "Breach")</f>
        <v>Breach</v>
      </c>
    </row>
    <row r="2912" spans="1:14" x14ac:dyDescent="0.3">
      <c r="A2912" t="s">
        <v>2986</v>
      </c>
      <c r="B2912" t="s">
        <v>47</v>
      </c>
      <c r="C2912" t="s">
        <v>2950</v>
      </c>
      <c r="D2912" s="1">
        <v>0.58099537037037041</v>
      </c>
      <c r="E2912" s="2">
        <f>CallLog[[#This Row],[Date]]+CallLog[[#This Row],[Time]]</f>
        <v>44247.580995370372</v>
      </c>
      <c r="F2912" s="1" t="str">
        <f>TEXT(CallLog[[#This Row],[Date]],"dddd")</f>
        <v>Saturday</v>
      </c>
      <c r="G2912" s="3">
        <f>HOUR(CallLog[[#This Row],[Time]])</f>
        <v>13</v>
      </c>
      <c r="H2912" t="s">
        <v>13</v>
      </c>
      <c r="I2912" t="s">
        <v>14</v>
      </c>
      <c r="J2912" t="s">
        <v>14</v>
      </c>
      <c r="K2912">
        <v>70</v>
      </c>
      <c r="L2912" t="str">
        <f>IF(AND(CallLog[[#This Row],[Answered (Y/N)]]="Y", CallLog[[#This Row],[Speed of answer in seconds]]&lt;=20),
    "Within",
    "Breach")</f>
        <v>Breach</v>
      </c>
      <c r="M2912" s="1">
        <v>2.0717592592592593E-3</v>
      </c>
      <c r="N2912">
        <v>3</v>
      </c>
    </row>
    <row r="2913" spans="1:14" x14ac:dyDescent="0.3">
      <c r="A2913" t="s">
        <v>2987</v>
      </c>
      <c r="B2913" t="s">
        <v>31</v>
      </c>
      <c r="C2913" t="s">
        <v>2950</v>
      </c>
      <c r="D2913" s="1">
        <v>0.58099537037037041</v>
      </c>
      <c r="E2913" s="2">
        <f>CallLog[[#This Row],[Date]]+CallLog[[#This Row],[Time]]</f>
        <v>44247.580995370372</v>
      </c>
      <c r="F2913" s="1" t="str">
        <f>TEXT(CallLog[[#This Row],[Date]],"dddd")</f>
        <v>Saturday</v>
      </c>
      <c r="G2913" s="3">
        <f>HOUR(CallLog[[#This Row],[Time]])</f>
        <v>13</v>
      </c>
      <c r="H2913" t="s">
        <v>32</v>
      </c>
      <c r="I2913" t="s">
        <v>18</v>
      </c>
      <c r="J2913" t="s">
        <v>18</v>
      </c>
      <c r="L2913" t="str">
        <f>IF(AND(CallLog[[#This Row],[Answered (Y/N)]]="Y", CallLog[[#This Row],[Speed of answer in seconds]]&lt;=20),
    "Within",
    "Breach")</f>
        <v>Breach</v>
      </c>
    </row>
    <row r="2914" spans="1:14" x14ac:dyDescent="0.3">
      <c r="A2914" t="s">
        <v>2988</v>
      </c>
      <c r="B2914" t="s">
        <v>47</v>
      </c>
      <c r="C2914" t="s">
        <v>2950</v>
      </c>
      <c r="D2914" s="1">
        <v>0.59299768518518514</v>
      </c>
      <c r="E2914" s="2">
        <f>CallLog[[#This Row],[Date]]+CallLog[[#This Row],[Time]]</f>
        <v>44247.592997685184</v>
      </c>
      <c r="F2914" s="1" t="str">
        <f>TEXT(CallLog[[#This Row],[Date]],"dddd")</f>
        <v>Saturday</v>
      </c>
      <c r="G2914" s="3">
        <f>HOUR(CallLog[[#This Row],[Time]])</f>
        <v>14</v>
      </c>
      <c r="H2914" t="s">
        <v>29</v>
      </c>
      <c r="I2914" t="s">
        <v>14</v>
      </c>
      <c r="J2914" t="s">
        <v>14</v>
      </c>
      <c r="K2914">
        <v>33</v>
      </c>
      <c r="L2914" t="str">
        <f>IF(AND(CallLog[[#This Row],[Answered (Y/N)]]="Y", CallLog[[#This Row],[Speed of answer in seconds]]&lt;=20),
    "Within",
    "Breach")</f>
        <v>Breach</v>
      </c>
      <c r="M2914" s="1">
        <v>4.6296296296296298E-4</v>
      </c>
      <c r="N2914">
        <v>1</v>
      </c>
    </row>
    <row r="2915" spans="1:14" x14ac:dyDescent="0.3">
      <c r="A2915" t="s">
        <v>2989</v>
      </c>
      <c r="B2915" t="s">
        <v>11</v>
      </c>
      <c r="C2915" t="s">
        <v>2950</v>
      </c>
      <c r="D2915" s="1">
        <v>0.59299768518518514</v>
      </c>
      <c r="E2915" s="2">
        <f>CallLog[[#This Row],[Date]]+CallLog[[#This Row],[Time]]</f>
        <v>44247.592997685184</v>
      </c>
      <c r="F2915" s="1" t="str">
        <f>TEXT(CallLog[[#This Row],[Date]],"dddd")</f>
        <v>Saturday</v>
      </c>
      <c r="G2915" s="3">
        <f>HOUR(CallLog[[#This Row],[Time]])</f>
        <v>14</v>
      </c>
      <c r="H2915" t="s">
        <v>13</v>
      </c>
      <c r="I2915" t="s">
        <v>18</v>
      </c>
      <c r="J2915" t="s">
        <v>18</v>
      </c>
      <c r="L2915" t="str">
        <f>IF(AND(CallLog[[#This Row],[Answered (Y/N)]]="Y", CallLog[[#This Row],[Speed of answer in seconds]]&lt;=20),
    "Within",
    "Breach")</f>
        <v>Breach</v>
      </c>
    </row>
    <row r="2916" spans="1:14" x14ac:dyDescent="0.3">
      <c r="A2916" t="s">
        <v>2990</v>
      </c>
      <c r="B2916" t="s">
        <v>22</v>
      </c>
      <c r="C2916" t="s">
        <v>2950</v>
      </c>
      <c r="D2916" s="1">
        <v>0.60299768518518515</v>
      </c>
      <c r="E2916" s="2">
        <f>CallLog[[#This Row],[Date]]+CallLog[[#This Row],[Time]]</f>
        <v>44247.602997685186</v>
      </c>
      <c r="F2916" s="1" t="str">
        <f>TEXT(CallLog[[#This Row],[Date]],"dddd")</f>
        <v>Saturday</v>
      </c>
      <c r="G2916" s="3">
        <f>HOUR(CallLog[[#This Row],[Time]])</f>
        <v>14</v>
      </c>
      <c r="H2916" t="s">
        <v>29</v>
      </c>
      <c r="I2916" t="s">
        <v>14</v>
      </c>
      <c r="J2916" t="s">
        <v>18</v>
      </c>
      <c r="K2916">
        <v>15</v>
      </c>
      <c r="L2916" t="str">
        <f>IF(AND(CallLog[[#This Row],[Answered (Y/N)]]="Y", CallLog[[#This Row],[Speed of answer in seconds]]&lt;=20),
    "Within",
    "Breach")</f>
        <v>Within</v>
      </c>
      <c r="M2916" s="1">
        <v>3.8425925925925928E-3</v>
      </c>
      <c r="N2916">
        <v>1</v>
      </c>
    </row>
    <row r="2917" spans="1:14" x14ac:dyDescent="0.3">
      <c r="A2917" t="s">
        <v>2991</v>
      </c>
      <c r="B2917" t="s">
        <v>34</v>
      </c>
      <c r="C2917" t="s">
        <v>2950</v>
      </c>
      <c r="D2917" s="1">
        <v>0.60299768518518515</v>
      </c>
      <c r="E2917" s="2">
        <f>CallLog[[#This Row],[Date]]+CallLog[[#This Row],[Time]]</f>
        <v>44247.602997685186</v>
      </c>
      <c r="F2917" s="1" t="str">
        <f>TEXT(CallLog[[#This Row],[Date]],"dddd")</f>
        <v>Saturday</v>
      </c>
      <c r="G2917" s="3">
        <f>HOUR(CallLog[[#This Row],[Time]])</f>
        <v>14</v>
      </c>
      <c r="H2917" t="s">
        <v>32</v>
      </c>
      <c r="I2917" t="s">
        <v>14</v>
      </c>
      <c r="J2917" t="s">
        <v>14</v>
      </c>
      <c r="K2917">
        <v>103</v>
      </c>
      <c r="L2917" t="str">
        <f>IF(AND(CallLog[[#This Row],[Answered (Y/N)]]="Y", CallLog[[#This Row],[Speed of answer in seconds]]&lt;=20),
    "Within",
    "Breach")</f>
        <v>Breach</v>
      </c>
      <c r="M2917" s="1">
        <v>3.425925925925926E-3</v>
      </c>
      <c r="N2917">
        <v>4</v>
      </c>
    </row>
    <row r="2918" spans="1:14" x14ac:dyDescent="0.3">
      <c r="A2918" t="s">
        <v>2992</v>
      </c>
      <c r="B2918" t="s">
        <v>38</v>
      </c>
      <c r="C2918" t="s">
        <v>2950</v>
      </c>
      <c r="D2918" s="1">
        <v>0.63</v>
      </c>
      <c r="E2918" s="2">
        <f>CallLog[[#This Row],[Date]]+CallLog[[#This Row],[Time]]</f>
        <v>44247.63</v>
      </c>
      <c r="F2918" s="1" t="str">
        <f>TEXT(CallLog[[#This Row],[Date]],"dddd")</f>
        <v>Saturday</v>
      </c>
      <c r="G2918" s="3">
        <f>HOUR(CallLog[[#This Row],[Time]])</f>
        <v>15</v>
      </c>
      <c r="H2918" t="s">
        <v>13</v>
      </c>
      <c r="I2918" t="s">
        <v>14</v>
      </c>
      <c r="J2918" t="s">
        <v>14</v>
      </c>
      <c r="K2918">
        <v>61</v>
      </c>
      <c r="L2918" t="str">
        <f>IF(AND(CallLog[[#This Row],[Answered (Y/N)]]="Y", CallLog[[#This Row],[Speed of answer in seconds]]&lt;=20),
    "Within",
    "Breach")</f>
        <v>Breach</v>
      </c>
      <c r="M2918" s="1">
        <v>4.0509259259259257E-3</v>
      </c>
      <c r="N2918">
        <v>5</v>
      </c>
    </row>
    <row r="2919" spans="1:14" x14ac:dyDescent="0.3">
      <c r="A2919" t="s">
        <v>2993</v>
      </c>
      <c r="B2919" t="s">
        <v>22</v>
      </c>
      <c r="C2919" t="s">
        <v>2950</v>
      </c>
      <c r="D2919" s="1">
        <v>0.63</v>
      </c>
      <c r="E2919" s="2">
        <f>CallLog[[#This Row],[Date]]+CallLog[[#This Row],[Time]]</f>
        <v>44247.63</v>
      </c>
      <c r="F2919" s="1" t="str">
        <f>TEXT(CallLog[[#This Row],[Date]],"dddd")</f>
        <v>Saturday</v>
      </c>
      <c r="G2919" s="3">
        <f>HOUR(CallLog[[#This Row],[Time]])</f>
        <v>15</v>
      </c>
      <c r="H2919" t="s">
        <v>29</v>
      </c>
      <c r="I2919" t="s">
        <v>18</v>
      </c>
      <c r="J2919" t="s">
        <v>18</v>
      </c>
      <c r="L2919" t="str">
        <f>IF(AND(CallLog[[#This Row],[Answered (Y/N)]]="Y", CallLog[[#This Row],[Speed of answer in seconds]]&lt;=20),
    "Within",
    "Breach")</f>
        <v>Breach</v>
      </c>
    </row>
    <row r="2920" spans="1:14" x14ac:dyDescent="0.3">
      <c r="A2920" t="s">
        <v>2994</v>
      </c>
      <c r="B2920" t="s">
        <v>22</v>
      </c>
      <c r="C2920" t="s">
        <v>2950</v>
      </c>
      <c r="D2920" s="1">
        <v>0.63299768518518518</v>
      </c>
      <c r="E2920" s="2">
        <f>CallLog[[#This Row],[Date]]+CallLog[[#This Row],[Time]]</f>
        <v>44247.632997685185</v>
      </c>
      <c r="F2920" s="1" t="str">
        <f>TEXT(CallLog[[#This Row],[Date]],"dddd")</f>
        <v>Saturday</v>
      </c>
      <c r="G2920" s="3">
        <f>HOUR(CallLog[[#This Row],[Time]])</f>
        <v>15</v>
      </c>
      <c r="H2920" t="s">
        <v>13</v>
      </c>
      <c r="I2920" t="s">
        <v>14</v>
      </c>
      <c r="J2920" t="s">
        <v>14</v>
      </c>
      <c r="K2920">
        <v>32</v>
      </c>
      <c r="L2920" t="str">
        <f>IF(AND(CallLog[[#This Row],[Answered (Y/N)]]="Y", CallLog[[#This Row],[Speed of answer in seconds]]&lt;=20),
    "Within",
    "Breach")</f>
        <v>Breach</v>
      </c>
      <c r="M2920" s="1">
        <v>9.837962962962962E-4</v>
      </c>
      <c r="N2920">
        <v>4</v>
      </c>
    </row>
    <row r="2921" spans="1:14" x14ac:dyDescent="0.3">
      <c r="A2921" t="s">
        <v>2995</v>
      </c>
      <c r="B2921" t="s">
        <v>47</v>
      </c>
      <c r="C2921" t="s">
        <v>2950</v>
      </c>
      <c r="D2921" s="1">
        <v>0.63299768518518518</v>
      </c>
      <c r="E2921" s="2">
        <f>CallLog[[#This Row],[Date]]+CallLog[[#This Row],[Time]]</f>
        <v>44247.632997685185</v>
      </c>
      <c r="F2921" s="1" t="str">
        <f>TEXT(CallLog[[#This Row],[Date]],"dddd")</f>
        <v>Saturday</v>
      </c>
      <c r="G2921" s="3">
        <f>HOUR(CallLog[[#This Row],[Time]])</f>
        <v>15</v>
      </c>
      <c r="H2921" t="s">
        <v>29</v>
      </c>
      <c r="I2921" t="s">
        <v>14</v>
      </c>
      <c r="J2921" t="s">
        <v>14</v>
      </c>
      <c r="K2921">
        <v>33</v>
      </c>
      <c r="L2921" t="str">
        <f>IF(AND(CallLog[[#This Row],[Answered (Y/N)]]="Y", CallLog[[#This Row],[Speed of answer in seconds]]&lt;=20),
    "Within",
    "Breach")</f>
        <v>Breach</v>
      </c>
      <c r="M2921" s="1">
        <v>1.1805555555555556E-3</v>
      </c>
      <c r="N2921">
        <v>4</v>
      </c>
    </row>
    <row r="2922" spans="1:14" x14ac:dyDescent="0.3">
      <c r="A2922" t="s">
        <v>2996</v>
      </c>
      <c r="B2922" t="s">
        <v>16</v>
      </c>
      <c r="C2922" t="s">
        <v>2950</v>
      </c>
      <c r="D2922" s="1">
        <v>0.63400462962962967</v>
      </c>
      <c r="E2922" s="2">
        <f>CallLog[[#This Row],[Date]]+CallLog[[#This Row],[Time]]</f>
        <v>44247.634004629632</v>
      </c>
      <c r="F2922" s="1" t="str">
        <f>TEXT(CallLog[[#This Row],[Date]],"dddd")</f>
        <v>Saturday</v>
      </c>
      <c r="G2922" s="3">
        <f>HOUR(CallLog[[#This Row],[Time]])</f>
        <v>15</v>
      </c>
      <c r="H2922" t="s">
        <v>24</v>
      </c>
      <c r="I2922" t="s">
        <v>14</v>
      </c>
      <c r="J2922" t="s">
        <v>14</v>
      </c>
      <c r="K2922">
        <v>30</v>
      </c>
      <c r="L2922" t="str">
        <f>IF(AND(CallLog[[#This Row],[Answered (Y/N)]]="Y", CallLog[[#This Row],[Speed of answer in seconds]]&lt;=20),
    "Within",
    "Breach")</f>
        <v>Breach</v>
      </c>
      <c r="M2922" s="1">
        <v>4.0509259259259257E-3</v>
      </c>
      <c r="N2922">
        <v>3</v>
      </c>
    </row>
    <row r="2923" spans="1:14" x14ac:dyDescent="0.3">
      <c r="A2923" t="s">
        <v>2997</v>
      </c>
      <c r="B2923" t="s">
        <v>20</v>
      </c>
      <c r="C2923" t="s">
        <v>2950</v>
      </c>
      <c r="D2923" s="1">
        <v>0.63400462962962967</v>
      </c>
      <c r="E2923" s="2">
        <f>CallLog[[#This Row],[Date]]+CallLog[[#This Row],[Time]]</f>
        <v>44247.634004629632</v>
      </c>
      <c r="F2923" s="1" t="str">
        <f>TEXT(CallLog[[#This Row],[Date]],"dddd")</f>
        <v>Saturday</v>
      </c>
      <c r="G2923" s="3">
        <f>HOUR(CallLog[[#This Row],[Time]])</f>
        <v>15</v>
      </c>
      <c r="H2923" t="s">
        <v>32</v>
      </c>
      <c r="I2923" t="s">
        <v>14</v>
      </c>
      <c r="J2923" t="s">
        <v>14</v>
      </c>
      <c r="K2923">
        <v>36</v>
      </c>
      <c r="L2923" t="str">
        <f>IF(AND(CallLog[[#This Row],[Answered (Y/N)]]="Y", CallLog[[#This Row],[Speed of answer in seconds]]&lt;=20),
    "Within",
    "Breach")</f>
        <v>Breach</v>
      </c>
      <c r="M2923" s="1">
        <v>3.7731481481481483E-3</v>
      </c>
      <c r="N2923">
        <v>4</v>
      </c>
    </row>
    <row r="2924" spans="1:14" x14ac:dyDescent="0.3">
      <c r="A2924" t="s">
        <v>2998</v>
      </c>
      <c r="B2924" t="s">
        <v>47</v>
      </c>
      <c r="C2924" t="s">
        <v>2950</v>
      </c>
      <c r="D2924" s="1">
        <v>0.64</v>
      </c>
      <c r="E2924" s="2">
        <f>CallLog[[#This Row],[Date]]+CallLog[[#This Row],[Time]]</f>
        <v>44247.64</v>
      </c>
      <c r="F2924" s="1" t="str">
        <f>TEXT(CallLog[[#This Row],[Date]],"dddd")</f>
        <v>Saturday</v>
      </c>
      <c r="G2924" s="3">
        <f>HOUR(CallLog[[#This Row],[Time]])</f>
        <v>15</v>
      </c>
      <c r="H2924" t="s">
        <v>17</v>
      </c>
      <c r="I2924" t="s">
        <v>14</v>
      </c>
      <c r="J2924" t="s">
        <v>14</v>
      </c>
      <c r="K2924">
        <v>16</v>
      </c>
      <c r="L2924" t="str">
        <f>IF(AND(CallLog[[#This Row],[Answered (Y/N)]]="Y", CallLog[[#This Row],[Speed of answer in seconds]]&lt;=20),
    "Within",
    "Breach")</f>
        <v>Within</v>
      </c>
      <c r="M2924" s="1">
        <v>3.0092592592592593E-3</v>
      </c>
      <c r="N2924">
        <v>4</v>
      </c>
    </row>
    <row r="2925" spans="1:14" x14ac:dyDescent="0.3">
      <c r="A2925" t="s">
        <v>2999</v>
      </c>
      <c r="B2925" t="s">
        <v>20</v>
      </c>
      <c r="C2925" t="s">
        <v>2950</v>
      </c>
      <c r="D2925" s="1">
        <v>0.64</v>
      </c>
      <c r="E2925" s="2">
        <f>CallLog[[#This Row],[Date]]+CallLog[[#This Row],[Time]]</f>
        <v>44247.64</v>
      </c>
      <c r="F2925" s="1" t="str">
        <f>TEXT(CallLog[[#This Row],[Date]],"dddd")</f>
        <v>Saturday</v>
      </c>
      <c r="G2925" s="3">
        <f>HOUR(CallLog[[#This Row],[Time]])</f>
        <v>15</v>
      </c>
      <c r="H2925" t="s">
        <v>17</v>
      </c>
      <c r="I2925" t="s">
        <v>14</v>
      </c>
      <c r="J2925" t="s">
        <v>14</v>
      </c>
      <c r="K2925">
        <v>60</v>
      </c>
      <c r="L2925" t="str">
        <f>IF(AND(CallLog[[#This Row],[Answered (Y/N)]]="Y", CallLog[[#This Row],[Speed of answer in seconds]]&lt;=20),
    "Within",
    "Breach")</f>
        <v>Breach</v>
      </c>
      <c r="M2925" s="1">
        <v>3.0902777777777777E-3</v>
      </c>
      <c r="N2925">
        <v>3</v>
      </c>
    </row>
    <row r="2926" spans="1:14" x14ac:dyDescent="0.3">
      <c r="A2926" t="s">
        <v>3000</v>
      </c>
      <c r="B2926" t="s">
        <v>20</v>
      </c>
      <c r="C2926" t="s">
        <v>2950</v>
      </c>
      <c r="D2926" s="1">
        <v>0.66200231481481486</v>
      </c>
      <c r="E2926" s="2">
        <f>CallLog[[#This Row],[Date]]+CallLog[[#This Row],[Time]]</f>
        <v>44247.662002314813</v>
      </c>
      <c r="F2926" s="1" t="str">
        <f>TEXT(CallLog[[#This Row],[Date]],"dddd")</f>
        <v>Saturday</v>
      </c>
      <c r="G2926" s="3">
        <f>HOUR(CallLog[[#This Row],[Time]])</f>
        <v>15</v>
      </c>
      <c r="H2926" t="s">
        <v>17</v>
      </c>
      <c r="I2926" t="s">
        <v>18</v>
      </c>
      <c r="J2926" t="s">
        <v>18</v>
      </c>
      <c r="L2926" t="str">
        <f>IF(AND(CallLog[[#This Row],[Answered (Y/N)]]="Y", CallLog[[#This Row],[Speed of answer in seconds]]&lt;=20),
    "Within",
    "Breach")</f>
        <v>Breach</v>
      </c>
    </row>
    <row r="2927" spans="1:14" x14ac:dyDescent="0.3">
      <c r="A2927" t="s">
        <v>3001</v>
      </c>
      <c r="B2927" t="s">
        <v>20</v>
      </c>
      <c r="C2927" t="s">
        <v>2950</v>
      </c>
      <c r="D2927" s="1">
        <v>0.66200231481481486</v>
      </c>
      <c r="E2927" s="2">
        <f>CallLog[[#This Row],[Date]]+CallLog[[#This Row],[Time]]</f>
        <v>44247.662002314813</v>
      </c>
      <c r="F2927" s="1" t="str">
        <f>TEXT(CallLog[[#This Row],[Date]],"dddd")</f>
        <v>Saturday</v>
      </c>
      <c r="G2927" s="3">
        <f>HOUR(CallLog[[#This Row],[Time]])</f>
        <v>15</v>
      </c>
      <c r="H2927" t="s">
        <v>13</v>
      </c>
      <c r="I2927" t="s">
        <v>14</v>
      </c>
      <c r="J2927" t="s">
        <v>14</v>
      </c>
      <c r="K2927">
        <v>42</v>
      </c>
      <c r="L2927" t="str">
        <f>IF(AND(CallLog[[#This Row],[Answered (Y/N)]]="Y", CallLog[[#This Row],[Speed of answer in seconds]]&lt;=20),
    "Within",
    "Breach")</f>
        <v>Breach</v>
      </c>
      <c r="M2927" s="1">
        <v>3.425925925925926E-3</v>
      </c>
      <c r="N2927">
        <v>4</v>
      </c>
    </row>
    <row r="2928" spans="1:14" x14ac:dyDescent="0.3">
      <c r="A2928" t="s">
        <v>3002</v>
      </c>
      <c r="B2928" t="s">
        <v>47</v>
      </c>
      <c r="C2928" t="s">
        <v>2950</v>
      </c>
      <c r="D2928" s="1">
        <v>0.66700231481481487</v>
      </c>
      <c r="E2928" s="2">
        <f>CallLog[[#This Row],[Date]]+CallLog[[#This Row],[Time]]</f>
        <v>44247.667002314818</v>
      </c>
      <c r="F2928" s="1" t="str">
        <f>TEXT(CallLog[[#This Row],[Date]],"dddd")</f>
        <v>Saturday</v>
      </c>
      <c r="G2928" s="3">
        <f>HOUR(CallLog[[#This Row],[Time]])</f>
        <v>16</v>
      </c>
      <c r="H2928" t="s">
        <v>13</v>
      </c>
      <c r="I2928" t="s">
        <v>14</v>
      </c>
      <c r="J2928" t="s">
        <v>14</v>
      </c>
      <c r="K2928">
        <v>58</v>
      </c>
      <c r="L2928" t="str">
        <f>IF(AND(CallLog[[#This Row],[Answered (Y/N)]]="Y", CallLog[[#This Row],[Speed of answer in seconds]]&lt;=20),
    "Within",
    "Breach")</f>
        <v>Breach</v>
      </c>
      <c r="M2928" s="1">
        <v>3.9467592592592592E-3</v>
      </c>
      <c r="N2928">
        <v>1</v>
      </c>
    </row>
    <row r="2929" spans="1:14" x14ac:dyDescent="0.3">
      <c r="A2929" t="s">
        <v>3003</v>
      </c>
      <c r="B2929" t="s">
        <v>22</v>
      </c>
      <c r="C2929" t="s">
        <v>2950</v>
      </c>
      <c r="D2929" s="1">
        <v>0.66700231481481487</v>
      </c>
      <c r="E2929" s="2">
        <f>CallLog[[#This Row],[Date]]+CallLog[[#This Row],[Time]]</f>
        <v>44247.667002314818</v>
      </c>
      <c r="F2929" s="1" t="str">
        <f>TEXT(CallLog[[#This Row],[Date]],"dddd")</f>
        <v>Saturday</v>
      </c>
      <c r="G2929" s="3">
        <f>HOUR(CallLog[[#This Row],[Time]])</f>
        <v>16</v>
      </c>
      <c r="H2929" t="s">
        <v>24</v>
      </c>
      <c r="I2929" t="s">
        <v>14</v>
      </c>
      <c r="J2929" t="s">
        <v>18</v>
      </c>
      <c r="K2929">
        <v>44</v>
      </c>
      <c r="L2929" t="str">
        <f>IF(AND(CallLog[[#This Row],[Answered (Y/N)]]="Y", CallLog[[#This Row],[Speed of answer in seconds]]&lt;=20),
    "Within",
    "Breach")</f>
        <v>Breach</v>
      </c>
      <c r="M2929" s="1">
        <v>1.5972222222222223E-3</v>
      </c>
      <c r="N2929">
        <v>1</v>
      </c>
    </row>
    <row r="2930" spans="1:14" x14ac:dyDescent="0.3">
      <c r="A2930" t="s">
        <v>3004</v>
      </c>
      <c r="B2930" t="s">
        <v>38</v>
      </c>
      <c r="C2930" t="s">
        <v>2950</v>
      </c>
      <c r="D2930" s="1">
        <v>0.67400462962962959</v>
      </c>
      <c r="E2930" s="2">
        <f>CallLog[[#This Row],[Date]]+CallLog[[#This Row],[Time]]</f>
        <v>44247.674004629633</v>
      </c>
      <c r="F2930" s="1" t="str">
        <f>TEXT(CallLog[[#This Row],[Date]],"dddd")</f>
        <v>Saturday</v>
      </c>
      <c r="G2930" s="3">
        <f>HOUR(CallLog[[#This Row],[Time]])</f>
        <v>16</v>
      </c>
      <c r="H2930" t="s">
        <v>32</v>
      </c>
      <c r="I2930" t="s">
        <v>14</v>
      </c>
      <c r="J2930" t="s">
        <v>18</v>
      </c>
      <c r="K2930">
        <v>72</v>
      </c>
      <c r="L2930" t="str">
        <f>IF(AND(CallLog[[#This Row],[Answered (Y/N)]]="Y", CallLog[[#This Row],[Speed of answer in seconds]]&lt;=20),
    "Within",
    "Breach")</f>
        <v>Breach</v>
      </c>
      <c r="M2930" s="1">
        <v>1.7708333333333332E-3</v>
      </c>
      <c r="N2930">
        <v>1</v>
      </c>
    </row>
    <row r="2931" spans="1:14" x14ac:dyDescent="0.3">
      <c r="A2931" t="s">
        <v>3005</v>
      </c>
      <c r="B2931" t="s">
        <v>20</v>
      </c>
      <c r="C2931" t="s">
        <v>2950</v>
      </c>
      <c r="D2931" s="1">
        <v>0.67400462962962959</v>
      </c>
      <c r="E2931" s="2">
        <f>CallLog[[#This Row],[Date]]+CallLog[[#This Row],[Time]]</f>
        <v>44247.674004629633</v>
      </c>
      <c r="F2931" s="1" t="str">
        <f>TEXT(CallLog[[#This Row],[Date]],"dddd")</f>
        <v>Saturday</v>
      </c>
      <c r="G2931" s="3">
        <f>HOUR(CallLog[[#This Row],[Time]])</f>
        <v>16</v>
      </c>
      <c r="H2931" t="s">
        <v>32</v>
      </c>
      <c r="I2931" t="s">
        <v>14</v>
      </c>
      <c r="J2931" t="s">
        <v>14</v>
      </c>
      <c r="K2931">
        <v>13</v>
      </c>
      <c r="L2931" t="str">
        <f>IF(AND(CallLog[[#This Row],[Answered (Y/N)]]="Y", CallLog[[#This Row],[Speed of answer in seconds]]&lt;=20),
    "Within",
    "Breach")</f>
        <v>Within</v>
      </c>
      <c r="M2931" s="1">
        <v>2.7430555555555554E-3</v>
      </c>
      <c r="N2931">
        <v>4</v>
      </c>
    </row>
    <row r="2932" spans="1:14" x14ac:dyDescent="0.3">
      <c r="A2932" t="s">
        <v>3006</v>
      </c>
      <c r="B2932" t="s">
        <v>31</v>
      </c>
      <c r="C2932" t="s">
        <v>2950</v>
      </c>
      <c r="D2932" s="1">
        <v>0.67700231481481477</v>
      </c>
      <c r="E2932" s="2">
        <f>CallLog[[#This Row],[Date]]+CallLog[[#This Row],[Time]]</f>
        <v>44247.677002314813</v>
      </c>
      <c r="F2932" s="1" t="str">
        <f>TEXT(CallLog[[#This Row],[Date]],"dddd")</f>
        <v>Saturday</v>
      </c>
      <c r="G2932" s="3">
        <f>HOUR(CallLog[[#This Row],[Time]])</f>
        <v>16</v>
      </c>
      <c r="H2932" t="s">
        <v>32</v>
      </c>
      <c r="I2932" t="s">
        <v>14</v>
      </c>
      <c r="J2932" t="s">
        <v>14</v>
      </c>
      <c r="K2932">
        <v>113</v>
      </c>
      <c r="L2932" t="str">
        <f>IF(AND(CallLog[[#This Row],[Answered (Y/N)]]="Y", CallLog[[#This Row],[Speed of answer in seconds]]&lt;=20),
    "Within",
    "Breach")</f>
        <v>Breach</v>
      </c>
      <c r="M2932" s="1">
        <v>2.4421296296296296E-3</v>
      </c>
      <c r="N2932">
        <v>4</v>
      </c>
    </row>
    <row r="2933" spans="1:14" x14ac:dyDescent="0.3">
      <c r="A2933" t="s">
        <v>3007</v>
      </c>
      <c r="B2933" t="s">
        <v>34</v>
      </c>
      <c r="C2933" t="s">
        <v>2950</v>
      </c>
      <c r="D2933" s="1">
        <v>0.67700231481481477</v>
      </c>
      <c r="E2933" s="2">
        <f>CallLog[[#This Row],[Date]]+CallLog[[#This Row],[Time]]</f>
        <v>44247.677002314813</v>
      </c>
      <c r="F2933" s="1" t="str">
        <f>TEXT(CallLog[[#This Row],[Date]],"dddd")</f>
        <v>Saturday</v>
      </c>
      <c r="G2933" s="3">
        <f>HOUR(CallLog[[#This Row],[Time]])</f>
        <v>16</v>
      </c>
      <c r="H2933" t="s">
        <v>32</v>
      </c>
      <c r="I2933" t="s">
        <v>18</v>
      </c>
      <c r="J2933" t="s">
        <v>18</v>
      </c>
      <c r="L2933" t="str">
        <f>IF(AND(CallLog[[#This Row],[Answered (Y/N)]]="Y", CallLog[[#This Row],[Speed of answer in seconds]]&lt;=20),
    "Within",
    "Breach")</f>
        <v>Breach</v>
      </c>
    </row>
    <row r="2934" spans="1:14" x14ac:dyDescent="0.3">
      <c r="A2934" t="s">
        <v>3008</v>
      </c>
      <c r="B2934" t="s">
        <v>22</v>
      </c>
      <c r="C2934" t="s">
        <v>2950</v>
      </c>
      <c r="D2934" s="1">
        <v>0.67799768518518522</v>
      </c>
      <c r="E2934" s="2">
        <f>CallLog[[#This Row],[Date]]+CallLog[[#This Row],[Time]]</f>
        <v>44247.677997685183</v>
      </c>
      <c r="F2934" s="1" t="str">
        <f>TEXT(CallLog[[#This Row],[Date]],"dddd")</f>
        <v>Saturday</v>
      </c>
      <c r="G2934" s="3">
        <f>HOUR(CallLog[[#This Row],[Time]])</f>
        <v>16</v>
      </c>
      <c r="H2934" t="s">
        <v>13</v>
      </c>
      <c r="I2934" t="s">
        <v>14</v>
      </c>
      <c r="J2934" t="s">
        <v>14</v>
      </c>
      <c r="K2934">
        <v>51</v>
      </c>
      <c r="L2934" t="str">
        <f>IF(AND(CallLog[[#This Row],[Answered (Y/N)]]="Y", CallLog[[#This Row],[Speed of answer in seconds]]&lt;=20),
    "Within",
    "Breach")</f>
        <v>Breach</v>
      </c>
      <c r="M2934" s="1">
        <v>4.5138888888888885E-3</v>
      </c>
      <c r="N2934">
        <v>4</v>
      </c>
    </row>
    <row r="2935" spans="1:14" x14ac:dyDescent="0.3">
      <c r="A2935" t="s">
        <v>3009</v>
      </c>
      <c r="B2935" t="s">
        <v>22</v>
      </c>
      <c r="C2935" t="s">
        <v>2950</v>
      </c>
      <c r="D2935" s="1">
        <v>0.67799768518518522</v>
      </c>
      <c r="E2935" s="2">
        <f>CallLog[[#This Row],[Date]]+CallLog[[#This Row],[Time]]</f>
        <v>44247.677997685183</v>
      </c>
      <c r="F2935" s="1" t="str">
        <f>TEXT(CallLog[[#This Row],[Date]],"dddd")</f>
        <v>Saturday</v>
      </c>
      <c r="G2935" s="3">
        <f>HOUR(CallLog[[#This Row],[Time]])</f>
        <v>16</v>
      </c>
      <c r="H2935" t="s">
        <v>13</v>
      </c>
      <c r="I2935" t="s">
        <v>14</v>
      </c>
      <c r="J2935" t="s">
        <v>18</v>
      </c>
      <c r="K2935">
        <v>85</v>
      </c>
      <c r="L2935" t="str">
        <f>IF(AND(CallLog[[#This Row],[Answered (Y/N)]]="Y", CallLog[[#This Row],[Speed of answer in seconds]]&lt;=20),
    "Within",
    "Breach")</f>
        <v>Breach</v>
      </c>
      <c r="M2935" s="1">
        <v>3.6342592592592594E-3</v>
      </c>
      <c r="N2935">
        <v>1</v>
      </c>
    </row>
    <row r="2936" spans="1:14" x14ac:dyDescent="0.3">
      <c r="A2936" t="s">
        <v>3010</v>
      </c>
      <c r="B2936" t="s">
        <v>20</v>
      </c>
      <c r="C2936" t="s">
        <v>2950</v>
      </c>
      <c r="D2936" s="1">
        <v>0.68900462962962961</v>
      </c>
      <c r="E2936" s="2">
        <f>CallLog[[#This Row],[Date]]+CallLog[[#This Row],[Time]]</f>
        <v>44247.689004629632</v>
      </c>
      <c r="F2936" s="1" t="str">
        <f>TEXT(CallLog[[#This Row],[Date]],"dddd")</f>
        <v>Saturday</v>
      </c>
      <c r="G2936" s="3">
        <f>HOUR(CallLog[[#This Row],[Time]])</f>
        <v>16</v>
      </c>
      <c r="H2936" t="s">
        <v>24</v>
      </c>
      <c r="I2936" t="s">
        <v>14</v>
      </c>
      <c r="J2936" t="s">
        <v>18</v>
      </c>
      <c r="K2936">
        <v>27</v>
      </c>
      <c r="L2936" t="str">
        <f>IF(AND(CallLog[[#This Row],[Answered (Y/N)]]="Y", CallLog[[#This Row],[Speed of answer in seconds]]&lt;=20),
    "Within",
    "Breach")</f>
        <v>Breach</v>
      </c>
      <c r="M2936" s="1">
        <v>4.4444444444444444E-3</v>
      </c>
      <c r="N2936">
        <v>4</v>
      </c>
    </row>
    <row r="2937" spans="1:14" x14ac:dyDescent="0.3">
      <c r="A2937" t="s">
        <v>3011</v>
      </c>
      <c r="B2937" t="s">
        <v>47</v>
      </c>
      <c r="C2937" t="s">
        <v>2950</v>
      </c>
      <c r="D2937" s="1">
        <v>0.68900462962962961</v>
      </c>
      <c r="E2937" s="2">
        <f>CallLog[[#This Row],[Date]]+CallLog[[#This Row],[Time]]</f>
        <v>44247.689004629632</v>
      </c>
      <c r="F2937" s="1" t="str">
        <f>TEXT(CallLog[[#This Row],[Date]],"dddd")</f>
        <v>Saturday</v>
      </c>
      <c r="G2937" s="3">
        <f>HOUR(CallLog[[#This Row],[Time]])</f>
        <v>16</v>
      </c>
      <c r="H2937" t="s">
        <v>13</v>
      </c>
      <c r="I2937" t="s">
        <v>14</v>
      </c>
      <c r="J2937" t="s">
        <v>14</v>
      </c>
      <c r="K2937">
        <v>75</v>
      </c>
      <c r="L2937" t="str">
        <f>IF(AND(CallLog[[#This Row],[Answered (Y/N)]]="Y", CallLog[[#This Row],[Speed of answer in seconds]]&lt;=20),
    "Within",
    "Breach")</f>
        <v>Breach</v>
      </c>
      <c r="M2937" s="1">
        <v>2.3726851851851851E-3</v>
      </c>
      <c r="N2937">
        <v>3</v>
      </c>
    </row>
    <row r="2938" spans="1:14" x14ac:dyDescent="0.3">
      <c r="A2938" t="s">
        <v>3012</v>
      </c>
      <c r="B2938" t="s">
        <v>31</v>
      </c>
      <c r="C2938" t="s">
        <v>2950</v>
      </c>
      <c r="D2938" s="1">
        <v>0.70299768518518524</v>
      </c>
      <c r="E2938" s="2">
        <f>CallLog[[#This Row],[Date]]+CallLog[[#This Row],[Time]]</f>
        <v>44247.702997685185</v>
      </c>
      <c r="F2938" s="1" t="str">
        <f>TEXT(CallLog[[#This Row],[Date]],"dddd")</f>
        <v>Saturday</v>
      </c>
      <c r="G2938" s="3">
        <f>HOUR(CallLog[[#This Row],[Time]])</f>
        <v>16</v>
      </c>
      <c r="H2938" t="s">
        <v>13</v>
      </c>
      <c r="I2938" t="s">
        <v>14</v>
      </c>
      <c r="J2938" t="s">
        <v>14</v>
      </c>
      <c r="K2938">
        <v>63</v>
      </c>
      <c r="L2938" t="str">
        <f>IF(AND(CallLog[[#This Row],[Answered (Y/N)]]="Y", CallLog[[#This Row],[Speed of answer in seconds]]&lt;=20),
    "Within",
    "Breach")</f>
        <v>Breach</v>
      </c>
      <c r="M2938" s="1">
        <v>3.8541666666666668E-3</v>
      </c>
      <c r="N2938">
        <v>2</v>
      </c>
    </row>
    <row r="2939" spans="1:14" x14ac:dyDescent="0.3">
      <c r="A2939" t="s">
        <v>3013</v>
      </c>
      <c r="B2939" t="s">
        <v>47</v>
      </c>
      <c r="C2939" t="s">
        <v>2950</v>
      </c>
      <c r="D2939" s="1">
        <v>0.70299768518518524</v>
      </c>
      <c r="E2939" s="2">
        <f>CallLog[[#This Row],[Date]]+CallLog[[#This Row],[Time]]</f>
        <v>44247.702997685185</v>
      </c>
      <c r="F2939" s="1" t="str">
        <f>TEXT(CallLog[[#This Row],[Date]],"dddd")</f>
        <v>Saturday</v>
      </c>
      <c r="G2939" s="3">
        <f>HOUR(CallLog[[#This Row],[Time]])</f>
        <v>16</v>
      </c>
      <c r="H2939" t="s">
        <v>29</v>
      </c>
      <c r="I2939" t="s">
        <v>18</v>
      </c>
      <c r="J2939" t="s">
        <v>18</v>
      </c>
      <c r="L2939" t="str">
        <f>IF(AND(CallLog[[#This Row],[Answered (Y/N)]]="Y", CallLog[[#This Row],[Speed of answer in seconds]]&lt;=20),
    "Within",
    "Breach")</f>
        <v>Breach</v>
      </c>
    </row>
    <row r="2940" spans="1:14" x14ac:dyDescent="0.3">
      <c r="A2940" t="s">
        <v>3014</v>
      </c>
      <c r="B2940" t="s">
        <v>11</v>
      </c>
      <c r="C2940" t="s">
        <v>2950</v>
      </c>
      <c r="D2940" s="1">
        <v>0.72599537037037032</v>
      </c>
      <c r="E2940" s="2">
        <f>CallLog[[#This Row],[Date]]+CallLog[[#This Row],[Time]]</f>
        <v>44247.725995370369</v>
      </c>
      <c r="F2940" s="1" t="str">
        <f>TEXT(CallLog[[#This Row],[Date]],"dddd")</f>
        <v>Saturday</v>
      </c>
      <c r="G2940" s="3">
        <f>HOUR(CallLog[[#This Row],[Time]])</f>
        <v>17</v>
      </c>
      <c r="H2940" t="s">
        <v>24</v>
      </c>
      <c r="I2940" t="s">
        <v>14</v>
      </c>
      <c r="J2940" t="s">
        <v>14</v>
      </c>
      <c r="K2940">
        <v>22</v>
      </c>
      <c r="L2940" t="str">
        <f>IF(AND(CallLog[[#This Row],[Answered (Y/N)]]="Y", CallLog[[#This Row],[Speed of answer in seconds]]&lt;=20),
    "Within",
    "Breach")</f>
        <v>Breach</v>
      </c>
      <c r="M2940" s="1">
        <v>5.9027777777777778E-4</v>
      </c>
      <c r="N2940">
        <v>3</v>
      </c>
    </row>
    <row r="2941" spans="1:14" x14ac:dyDescent="0.3">
      <c r="A2941" t="s">
        <v>3015</v>
      </c>
      <c r="B2941" t="s">
        <v>16</v>
      </c>
      <c r="C2941" t="s">
        <v>2950</v>
      </c>
      <c r="D2941" s="1">
        <v>0.72599537037037032</v>
      </c>
      <c r="E2941" s="2">
        <f>CallLog[[#This Row],[Date]]+CallLog[[#This Row],[Time]]</f>
        <v>44247.725995370369</v>
      </c>
      <c r="F2941" s="1" t="str">
        <f>TEXT(CallLog[[#This Row],[Date]],"dddd")</f>
        <v>Saturday</v>
      </c>
      <c r="G2941" s="3">
        <f>HOUR(CallLog[[#This Row],[Time]])</f>
        <v>17</v>
      </c>
      <c r="H2941" t="s">
        <v>13</v>
      </c>
      <c r="I2941" t="s">
        <v>18</v>
      </c>
      <c r="J2941" t="s">
        <v>18</v>
      </c>
      <c r="L2941" t="str">
        <f>IF(AND(CallLog[[#This Row],[Answered (Y/N)]]="Y", CallLog[[#This Row],[Speed of answer in seconds]]&lt;=20),
    "Within",
    "Breach")</f>
        <v>Breach</v>
      </c>
    </row>
    <row r="2942" spans="1:14" x14ac:dyDescent="0.3">
      <c r="A2942" t="s">
        <v>3016</v>
      </c>
      <c r="B2942" t="s">
        <v>20</v>
      </c>
      <c r="C2942" t="s">
        <v>2950</v>
      </c>
      <c r="D2942" s="1">
        <v>0.74799768518518517</v>
      </c>
      <c r="E2942" s="2">
        <f>CallLog[[#This Row],[Date]]+CallLog[[#This Row],[Time]]</f>
        <v>44247.747997685183</v>
      </c>
      <c r="F2942" s="1" t="str">
        <f>TEXT(CallLog[[#This Row],[Date]],"dddd")</f>
        <v>Saturday</v>
      </c>
      <c r="G2942" s="3">
        <f>HOUR(CallLog[[#This Row],[Time]])</f>
        <v>17</v>
      </c>
      <c r="H2942" t="s">
        <v>29</v>
      </c>
      <c r="I2942" t="s">
        <v>14</v>
      </c>
      <c r="J2942" t="s">
        <v>18</v>
      </c>
      <c r="K2942">
        <v>106</v>
      </c>
      <c r="L2942" t="str">
        <f>IF(AND(CallLog[[#This Row],[Answered (Y/N)]]="Y", CallLog[[#This Row],[Speed of answer in seconds]]&lt;=20),
    "Within",
    "Breach")</f>
        <v>Breach</v>
      </c>
      <c r="M2942" s="1">
        <v>2.6041666666666665E-3</v>
      </c>
      <c r="N2942">
        <v>3</v>
      </c>
    </row>
    <row r="2943" spans="1:14" x14ac:dyDescent="0.3">
      <c r="A2943" t="s">
        <v>3017</v>
      </c>
      <c r="B2943" t="s">
        <v>22</v>
      </c>
      <c r="C2943" t="s">
        <v>2950</v>
      </c>
      <c r="D2943" s="1">
        <v>0.74799768518518517</v>
      </c>
      <c r="E2943" s="2">
        <f>CallLog[[#This Row],[Date]]+CallLog[[#This Row],[Time]]</f>
        <v>44247.747997685183</v>
      </c>
      <c r="F2943" s="1" t="str">
        <f>TEXT(CallLog[[#This Row],[Date]],"dddd")</f>
        <v>Saturday</v>
      </c>
      <c r="G2943" s="3">
        <f>HOUR(CallLog[[#This Row],[Time]])</f>
        <v>17</v>
      </c>
      <c r="H2943" t="s">
        <v>32</v>
      </c>
      <c r="I2943" t="s">
        <v>14</v>
      </c>
      <c r="J2943" t="s">
        <v>14</v>
      </c>
      <c r="K2943">
        <v>86</v>
      </c>
      <c r="L2943" t="str">
        <f>IF(AND(CallLog[[#This Row],[Answered (Y/N)]]="Y", CallLog[[#This Row],[Speed of answer in seconds]]&lt;=20),
    "Within",
    "Breach")</f>
        <v>Breach</v>
      </c>
      <c r="M2943" s="1">
        <v>1.8518518518518519E-3</v>
      </c>
      <c r="N2943">
        <v>4</v>
      </c>
    </row>
    <row r="2944" spans="1:14" x14ac:dyDescent="0.3">
      <c r="A2944" t="s">
        <v>3018</v>
      </c>
      <c r="B2944" t="s">
        <v>20</v>
      </c>
      <c r="C2944" t="s">
        <v>3019</v>
      </c>
      <c r="D2944" s="1">
        <v>0.41499999999999998</v>
      </c>
      <c r="E2944" s="2">
        <f>CallLog[[#This Row],[Date]]+CallLog[[#This Row],[Time]]</f>
        <v>44248.415000000001</v>
      </c>
      <c r="F2944" s="1" t="str">
        <f>TEXT(CallLog[[#This Row],[Date]],"dddd")</f>
        <v>Sunday</v>
      </c>
      <c r="G2944" s="3">
        <f>HOUR(CallLog[[#This Row],[Time]])</f>
        <v>9</v>
      </c>
      <c r="H2944" t="s">
        <v>13</v>
      </c>
      <c r="I2944" t="s">
        <v>14</v>
      </c>
      <c r="J2944" t="s">
        <v>14</v>
      </c>
      <c r="K2944">
        <v>55</v>
      </c>
      <c r="L2944" t="str">
        <f>IF(AND(CallLog[[#This Row],[Answered (Y/N)]]="Y", CallLog[[#This Row],[Speed of answer in seconds]]&lt;=20),
    "Within",
    "Breach")</f>
        <v>Breach</v>
      </c>
      <c r="M2944" s="1">
        <v>4.2129629629629626E-3</v>
      </c>
      <c r="N2944">
        <v>3</v>
      </c>
    </row>
    <row r="2945" spans="1:14" x14ac:dyDescent="0.3">
      <c r="A2945" t="s">
        <v>3020</v>
      </c>
      <c r="B2945" t="s">
        <v>38</v>
      </c>
      <c r="C2945" t="s">
        <v>3019</v>
      </c>
      <c r="D2945" s="1">
        <v>0.41499999999999998</v>
      </c>
      <c r="E2945" s="2">
        <f>CallLog[[#This Row],[Date]]+CallLog[[#This Row],[Time]]</f>
        <v>44248.415000000001</v>
      </c>
      <c r="F2945" s="1" t="str">
        <f>TEXT(CallLog[[#This Row],[Date]],"dddd")</f>
        <v>Sunday</v>
      </c>
      <c r="G2945" s="3">
        <f>HOUR(CallLog[[#This Row],[Time]])</f>
        <v>9</v>
      </c>
      <c r="H2945" t="s">
        <v>29</v>
      </c>
      <c r="I2945" t="s">
        <v>14</v>
      </c>
      <c r="J2945" t="s">
        <v>14</v>
      </c>
      <c r="K2945">
        <v>74</v>
      </c>
      <c r="L2945" t="str">
        <f>IF(AND(CallLog[[#This Row],[Answered (Y/N)]]="Y", CallLog[[#This Row],[Speed of answer in seconds]]&lt;=20),
    "Within",
    "Breach")</f>
        <v>Breach</v>
      </c>
      <c r="M2945" s="1">
        <v>4.6990740740740743E-3</v>
      </c>
      <c r="N2945">
        <v>2</v>
      </c>
    </row>
    <row r="2946" spans="1:14" x14ac:dyDescent="0.3">
      <c r="A2946" t="s">
        <v>3021</v>
      </c>
      <c r="B2946" t="s">
        <v>20</v>
      </c>
      <c r="C2946" t="s">
        <v>3019</v>
      </c>
      <c r="D2946" s="1">
        <v>0.42499999999999999</v>
      </c>
      <c r="E2946" s="2">
        <f>CallLog[[#This Row],[Date]]+CallLog[[#This Row],[Time]]</f>
        <v>44248.425000000003</v>
      </c>
      <c r="F2946" s="1" t="str">
        <f>TEXT(CallLog[[#This Row],[Date]],"dddd")</f>
        <v>Sunday</v>
      </c>
      <c r="G2946" s="3">
        <f>HOUR(CallLog[[#This Row],[Time]])</f>
        <v>10</v>
      </c>
      <c r="H2946" t="s">
        <v>29</v>
      </c>
      <c r="I2946" t="s">
        <v>14</v>
      </c>
      <c r="J2946" t="s">
        <v>14</v>
      </c>
      <c r="K2946">
        <v>53</v>
      </c>
      <c r="L2946" t="str">
        <f>IF(AND(CallLog[[#This Row],[Answered (Y/N)]]="Y", CallLog[[#This Row],[Speed of answer in seconds]]&lt;=20),
    "Within",
    "Breach")</f>
        <v>Breach</v>
      </c>
      <c r="M2946" s="1">
        <v>4.3981481481481484E-3</v>
      </c>
      <c r="N2946">
        <v>5</v>
      </c>
    </row>
    <row r="2947" spans="1:14" x14ac:dyDescent="0.3">
      <c r="A2947" t="s">
        <v>3022</v>
      </c>
      <c r="B2947" t="s">
        <v>34</v>
      </c>
      <c r="C2947" t="s">
        <v>3019</v>
      </c>
      <c r="D2947" s="1">
        <v>0.42499999999999999</v>
      </c>
      <c r="E2947" s="2">
        <f>CallLog[[#This Row],[Date]]+CallLog[[#This Row],[Time]]</f>
        <v>44248.425000000003</v>
      </c>
      <c r="F2947" s="1" t="str">
        <f>TEXT(CallLog[[#This Row],[Date]],"dddd")</f>
        <v>Sunday</v>
      </c>
      <c r="G2947" s="3">
        <f>HOUR(CallLog[[#This Row],[Time]])</f>
        <v>10</v>
      </c>
      <c r="H2947" t="s">
        <v>17</v>
      </c>
      <c r="I2947" t="s">
        <v>14</v>
      </c>
      <c r="J2947" t="s">
        <v>14</v>
      </c>
      <c r="K2947">
        <v>115</v>
      </c>
      <c r="L2947" t="str">
        <f>IF(AND(CallLog[[#This Row],[Answered (Y/N)]]="Y", CallLog[[#This Row],[Speed of answer in seconds]]&lt;=20),
    "Within",
    "Breach")</f>
        <v>Breach</v>
      </c>
      <c r="M2947" s="1">
        <v>1.4467592592592592E-3</v>
      </c>
      <c r="N2947">
        <v>3</v>
      </c>
    </row>
    <row r="2948" spans="1:14" x14ac:dyDescent="0.3">
      <c r="A2948" t="s">
        <v>3023</v>
      </c>
      <c r="B2948" t="s">
        <v>31</v>
      </c>
      <c r="C2948" t="s">
        <v>3019</v>
      </c>
      <c r="D2948" s="1">
        <v>0.43200231481481483</v>
      </c>
      <c r="E2948" s="2">
        <f>CallLog[[#This Row],[Date]]+CallLog[[#This Row],[Time]]</f>
        <v>44248.432002314818</v>
      </c>
      <c r="F2948" s="1" t="str">
        <f>TEXT(CallLog[[#This Row],[Date]],"dddd")</f>
        <v>Sunday</v>
      </c>
      <c r="G2948" s="3">
        <f>HOUR(CallLog[[#This Row],[Time]])</f>
        <v>10</v>
      </c>
      <c r="H2948" t="s">
        <v>29</v>
      </c>
      <c r="I2948" t="s">
        <v>14</v>
      </c>
      <c r="J2948" t="s">
        <v>14</v>
      </c>
      <c r="K2948">
        <v>29</v>
      </c>
      <c r="L2948" t="str">
        <f>IF(AND(CallLog[[#This Row],[Answered (Y/N)]]="Y", CallLog[[#This Row],[Speed of answer in seconds]]&lt;=20),
    "Within",
    "Breach")</f>
        <v>Breach</v>
      </c>
      <c r="M2948" s="1">
        <v>1.0416666666666667E-3</v>
      </c>
      <c r="N2948">
        <v>4</v>
      </c>
    </row>
    <row r="2949" spans="1:14" x14ac:dyDescent="0.3">
      <c r="A2949" t="s">
        <v>3024</v>
      </c>
      <c r="B2949" t="s">
        <v>34</v>
      </c>
      <c r="C2949" t="s">
        <v>3019</v>
      </c>
      <c r="D2949" s="1">
        <v>0.43200231481481483</v>
      </c>
      <c r="E2949" s="2">
        <f>CallLog[[#This Row],[Date]]+CallLog[[#This Row],[Time]]</f>
        <v>44248.432002314818</v>
      </c>
      <c r="F2949" s="1" t="str">
        <f>TEXT(CallLog[[#This Row],[Date]],"dddd")</f>
        <v>Sunday</v>
      </c>
      <c r="G2949" s="3">
        <f>HOUR(CallLog[[#This Row],[Time]])</f>
        <v>10</v>
      </c>
      <c r="H2949" t="s">
        <v>24</v>
      </c>
      <c r="I2949" t="s">
        <v>14</v>
      </c>
      <c r="J2949" t="s">
        <v>14</v>
      </c>
      <c r="K2949">
        <v>16</v>
      </c>
      <c r="L2949" t="str">
        <f>IF(AND(CallLog[[#This Row],[Answered (Y/N)]]="Y", CallLog[[#This Row],[Speed of answer in seconds]]&lt;=20),
    "Within",
    "Breach")</f>
        <v>Within</v>
      </c>
      <c r="M2949" s="1">
        <v>1.5046296296296296E-3</v>
      </c>
      <c r="N2949">
        <v>4</v>
      </c>
    </row>
    <row r="2950" spans="1:14" x14ac:dyDescent="0.3">
      <c r="A2950" t="s">
        <v>3025</v>
      </c>
      <c r="B2950" t="s">
        <v>38</v>
      </c>
      <c r="C2950" t="s">
        <v>3019</v>
      </c>
      <c r="D2950" s="1">
        <v>0.46299768518518519</v>
      </c>
      <c r="E2950" s="2">
        <f>CallLog[[#This Row],[Date]]+CallLog[[#This Row],[Time]]</f>
        <v>44248.462997685187</v>
      </c>
      <c r="F2950" s="1" t="str">
        <f>TEXT(CallLog[[#This Row],[Date]],"dddd")</f>
        <v>Sunday</v>
      </c>
      <c r="G2950" s="3">
        <f>HOUR(CallLog[[#This Row],[Time]])</f>
        <v>11</v>
      </c>
      <c r="H2950" t="s">
        <v>17</v>
      </c>
      <c r="I2950" t="s">
        <v>14</v>
      </c>
      <c r="J2950" t="s">
        <v>18</v>
      </c>
      <c r="K2950">
        <v>26</v>
      </c>
      <c r="L2950" t="str">
        <f>IF(AND(CallLog[[#This Row],[Answered (Y/N)]]="Y", CallLog[[#This Row],[Speed of answer in seconds]]&lt;=20),
    "Within",
    "Breach")</f>
        <v>Breach</v>
      </c>
      <c r="M2950" s="1">
        <v>2.6041666666666665E-3</v>
      </c>
      <c r="N2950">
        <v>3</v>
      </c>
    </row>
    <row r="2951" spans="1:14" x14ac:dyDescent="0.3">
      <c r="A2951" t="s">
        <v>3026</v>
      </c>
      <c r="B2951" t="s">
        <v>16</v>
      </c>
      <c r="C2951" t="s">
        <v>3019</v>
      </c>
      <c r="D2951" s="1">
        <v>0.46299768518518519</v>
      </c>
      <c r="E2951" s="2">
        <f>CallLog[[#This Row],[Date]]+CallLog[[#This Row],[Time]]</f>
        <v>44248.462997685187</v>
      </c>
      <c r="F2951" s="1" t="str">
        <f>TEXT(CallLog[[#This Row],[Date]],"dddd")</f>
        <v>Sunday</v>
      </c>
      <c r="G2951" s="3">
        <f>HOUR(CallLog[[#This Row],[Time]])</f>
        <v>11</v>
      </c>
      <c r="H2951" t="s">
        <v>17</v>
      </c>
      <c r="I2951" t="s">
        <v>14</v>
      </c>
      <c r="J2951" t="s">
        <v>14</v>
      </c>
      <c r="K2951">
        <v>71</v>
      </c>
      <c r="L2951" t="str">
        <f>IF(AND(CallLog[[#This Row],[Answered (Y/N)]]="Y", CallLog[[#This Row],[Speed of answer in seconds]]&lt;=20),
    "Within",
    "Breach")</f>
        <v>Breach</v>
      </c>
      <c r="M2951" s="1">
        <v>2.650462962962963E-3</v>
      </c>
      <c r="N2951">
        <v>1</v>
      </c>
    </row>
    <row r="2952" spans="1:14" x14ac:dyDescent="0.3">
      <c r="A2952" t="s">
        <v>3027</v>
      </c>
      <c r="B2952" t="s">
        <v>34</v>
      </c>
      <c r="C2952" t="s">
        <v>3019</v>
      </c>
      <c r="D2952" s="1">
        <v>0.46400462962962963</v>
      </c>
      <c r="E2952" s="2">
        <f>CallLog[[#This Row],[Date]]+CallLog[[#This Row],[Time]]</f>
        <v>44248.464004629626</v>
      </c>
      <c r="F2952" s="1" t="str">
        <f>TEXT(CallLog[[#This Row],[Date]],"dddd")</f>
        <v>Sunday</v>
      </c>
      <c r="G2952" s="3">
        <f>HOUR(CallLog[[#This Row],[Time]])</f>
        <v>11</v>
      </c>
      <c r="H2952" t="s">
        <v>32</v>
      </c>
      <c r="I2952" t="s">
        <v>14</v>
      </c>
      <c r="J2952" t="s">
        <v>14</v>
      </c>
      <c r="K2952">
        <v>109</v>
      </c>
      <c r="L2952" t="str">
        <f>IF(AND(CallLog[[#This Row],[Answered (Y/N)]]="Y", CallLog[[#This Row],[Speed of answer in seconds]]&lt;=20),
    "Within",
    "Breach")</f>
        <v>Breach</v>
      </c>
      <c r="M2952" s="1">
        <v>3.1365740740740742E-3</v>
      </c>
      <c r="N2952">
        <v>4</v>
      </c>
    </row>
    <row r="2953" spans="1:14" x14ac:dyDescent="0.3">
      <c r="A2953" t="s">
        <v>3028</v>
      </c>
      <c r="B2953" t="s">
        <v>34</v>
      </c>
      <c r="C2953" t="s">
        <v>3019</v>
      </c>
      <c r="D2953" s="1">
        <v>0.46400462962962963</v>
      </c>
      <c r="E2953" s="2">
        <f>CallLog[[#This Row],[Date]]+CallLog[[#This Row],[Time]]</f>
        <v>44248.464004629626</v>
      </c>
      <c r="F2953" s="1" t="str">
        <f>TEXT(CallLog[[#This Row],[Date]],"dddd")</f>
        <v>Sunday</v>
      </c>
      <c r="G2953" s="3">
        <f>HOUR(CallLog[[#This Row],[Time]])</f>
        <v>11</v>
      </c>
      <c r="H2953" t="s">
        <v>17</v>
      </c>
      <c r="I2953" t="s">
        <v>14</v>
      </c>
      <c r="J2953" t="s">
        <v>14</v>
      </c>
      <c r="K2953">
        <v>102</v>
      </c>
      <c r="L2953" t="str">
        <f>IF(AND(CallLog[[#This Row],[Answered (Y/N)]]="Y", CallLog[[#This Row],[Speed of answer in seconds]]&lt;=20),
    "Within",
    "Breach")</f>
        <v>Breach</v>
      </c>
      <c r="M2953" s="1">
        <v>2.662037037037037E-3</v>
      </c>
      <c r="N2953">
        <v>5</v>
      </c>
    </row>
    <row r="2954" spans="1:14" x14ac:dyDescent="0.3">
      <c r="A2954" t="s">
        <v>3029</v>
      </c>
      <c r="B2954" t="s">
        <v>34</v>
      </c>
      <c r="C2954" t="s">
        <v>3019</v>
      </c>
      <c r="D2954" s="1">
        <v>0.4670023148148148</v>
      </c>
      <c r="E2954" s="2">
        <f>CallLog[[#This Row],[Date]]+CallLog[[#This Row],[Time]]</f>
        <v>44248.467002314814</v>
      </c>
      <c r="F2954" s="1" t="str">
        <f>TEXT(CallLog[[#This Row],[Date]],"dddd")</f>
        <v>Sunday</v>
      </c>
      <c r="G2954" s="3">
        <f>HOUR(CallLog[[#This Row],[Time]])</f>
        <v>11</v>
      </c>
      <c r="H2954" t="s">
        <v>24</v>
      </c>
      <c r="I2954" t="s">
        <v>14</v>
      </c>
      <c r="J2954" t="s">
        <v>14</v>
      </c>
      <c r="K2954">
        <v>115</v>
      </c>
      <c r="L2954" t="str">
        <f>IF(AND(CallLog[[#This Row],[Answered (Y/N)]]="Y", CallLog[[#This Row],[Speed of answer in seconds]]&lt;=20),
    "Within",
    "Breach")</f>
        <v>Breach</v>
      </c>
      <c r="M2954" s="1">
        <v>4.2824074074074081E-4</v>
      </c>
      <c r="N2954">
        <v>4</v>
      </c>
    </row>
    <row r="2955" spans="1:14" x14ac:dyDescent="0.3">
      <c r="A2955" t="s">
        <v>3030</v>
      </c>
      <c r="B2955" t="s">
        <v>11</v>
      </c>
      <c r="C2955" t="s">
        <v>3019</v>
      </c>
      <c r="D2955" s="1">
        <v>0.4670023148148148</v>
      </c>
      <c r="E2955" s="2">
        <f>CallLog[[#This Row],[Date]]+CallLog[[#This Row],[Time]]</f>
        <v>44248.467002314814</v>
      </c>
      <c r="F2955" s="1" t="str">
        <f>TEXT(CallLog[[#This Row],[Date]],"dddd")</f>
        <v>Sunday</v>
      </c>
      <c r="G2955" s="3">
        <f>HOUR(CallLog[[#This Row],[Time]])</f>
        <v>11</v>
      </c>
      <c r="H2955" t="s">
        <v>17</v>
      </c>
      <c r="I2955" t="s">
        <v>14</v>
      </c>
      <c r="J2955" t="s">
        <v>14</v>
      </c>
      <c r="K2955">
        <v>48</v>
      </c>
      <c r="L2955" t="str">
        <f>IF(AND(CallLog[[#This Row],[Answered (Y/N)]]="Y", CallLog[[#This Row],[Speed of answer in seconds]]&lt;=20),
    "Within",
    "Breach")</f>
        <v>Breach</v>
      </c>
      <c r="M2955" s="1">
        <v>1.7013888888888888E-3</v>
      </c>
      <c r="N2955">
        <v>4</v>
      </c>
    </row>
    <row r="2956" spans="1:14" x14ac:dyDescent="0.3">
      <c r="A2956" t="s">
        <v>3031</v>
      </c>
      <c r="B2956" t="s">
        <v>47</v>
      </c>
      <c r="C2956" t="s">
        <v>3019</v>
      </c>
      <c r="D2956" s="1">
        <v>0.48299768518518521</v>
      </c>
      <c r="E2956" s="2">
        <f>CallLog[[#This Row],[Date]]+CallLog[[#This Row],[Time]]</f>
        <v>44248.482997685183</v>
      </c>
      <c r="F2956" s="1" t="str">
        <f>TEXT(CallLog[[#This Row],[Date]],"dddd")</f>
        <v>Sunday</v>
      </c>
      <c r="G2956" s="3">
        <f>HOUR(CallLog[[#This Row],[Time]])</f>
        <v>11</v>
      </c>
      <c r="H2956" t="s">
        <v>32</v>
      </c>
      <c r="I2956" t="s">
        <v>14</v>
      </c>
      <c r="J2956" t="s">
        <v>14</v>
      </c>
      <c r="K2956">
        <v>41</v>
      </c>
      <c r="L2956" t="str">
        <f>IF(AND(CallLog[[#This Row],[Answered (Y/N)]]="Y", CallLog[[#This Row],[Speed of answer in seconds]]&lt;=20),
    "Within",
    "Breach")</f>
        <v>Breach</v>
      </c>
      <c r="M2956" s="1">
        <v>3.0902777777777777E-3</v>
      </c>
      <c r="N2956">
        <v>5</v>
      </c>
    </row>
    <row r="2957" spans="1:14" x14ac:dyDescent="0.3">
      <c r="A2957" t="s">
        <v>3032</v>
      </c>
      <c r="B2957" t="s">
        <v>22</v>
      </c>
      <c r="C2957" t="s">
        <v>3019</v>
      </c>
      <c r="D2957" s="1">
        <v>0.48299768518518521</v>
      </c>
      <c r="E2957" s="2">
        <f>CallLog[[#This Row],[Date]]+CallLog[[#This Row],[Time]]</f>
        <v>44248.482997685183</v>
      </c>
      <c r="F2957" s="1" t="str">
        <f>TEXT(CallLog[[#This Row],[Date]],"dddd")</f>
        <v>Sunday</v>
      </c>
      <c r="G2957" s="3">
        <f>HOUR(CallLog[[#This Row],[Time]])</f>
        <v>11</v>
      </c>
      <c r="H2957" t="s">
        <v>17</v>
      </c>
      <c r="I2957" t="s">
        <v>14</v>
      </c>
      <c r="J2957" t="s">
        <v>14</v>
      </c>
      <c r="K2957">
        <v>97</v>
      </c>
      <c r="L2957" t="str">
        <f>IF(AND(CallLog[[#This Row],[Answered (Y/N)]]="Y", CallLog[[#This Row],[Speed of answer in seconds]]&lt;=20),
    "Within",
    "Breach")</f>
        <v>Breach</v>
      </c>
      <c r="M2957" s="1">
        <v>2.1990740740740742E-3</v>
      </c>
      <c r="N2957">
        <v>4</v>
      </c>
    </row>
    <row r="2958" spans="1:14" x14ac:dyDescent="0.3">
      <c r="A2958" t="s">
        <v>3033</v>
      </c>
      <c r="B2958" t="s">
        <v>38</v>
      </c>
      <c r="C2958" t="s">
        <v>3019</v>
      </c>
      <c r="D2958" s="1">
        <v>0.48799768518518516</v>
      </c>
      <c r="E2958" s="2">
        <f>CallLog[[#This Row],[Date]]+CallLog[[#This Row],[Time]]</f>
        <v>44248.487997685188</v>
      </c>
      <c r="F2958" s="1" t="str">
        <f>TEXT(CallLog[[#This Row],[Date]],"dddd")</f>
        <v>Sunday</v>
      </c>
      <c r="G2958" s="3">
        <f>HOUR(CallLog[[#This Row],[Time]])</f>
        <v>11</v>
      </c>
      <c r="H2958" t="s">
        <v>24</v>
      </c>
      <c r="I2958" t="s">
        <v>14</v>
      </c>
      <c r="J2958" t="s">
        <v>18</v>
      </c>
      <c r="K2958">
        <v>39</v>
      </c>
      <c r="L2958" t="str">
        <f>IF(AND(CallLog[[#This Row],[Answered (Y/N)]]="Y", CallLog[[#This Row],[Speed of answer in seconds]]&lt;=20),
    "Within",
    "Breach")</f>
        <v>Breach</v>
      </c>
      <c r="M2958" s="1">
        <v>2.3379629629629631E-3</v>
      </c>
      <c r="N2958">
        <v>3</v>
      </c>
    </row>
    <row r="2959" spans="1:14" x14ac:dyDescent="0.3">
      <c r="A2959" t="s">
        <v>3034</v>
      </c>
      <c r="B2959" t="s">
        <v>16</v>
      </c>
      <c r="C2959" t="s">
        <v>3019</v>
      </c>
      <c r="D2959" s="1">
        <v>0.48799768518518516</v>
      </c>
      <c r="E2959" s="2">
        <f>CallLog[[#This Row],[Date]]+CallLog[[#This Row],[Time]]</f>
        <v>44248.487997685188</v>
      </c>
      <c r="F2959" s="1" t="str">
        <f>TEXT(CallLog[[#This Row],[Date]],"dddd")</f>
        <v>Sunday</v>
      </c>
      <c r="G2959" s="3">
        <f>HOUR(CallLog[[#This Row],[Time]])</f>
        <v>11</v>
      </c>
      <c r="H2959" t="s">
        <v>29</v>
      </c>
      <c r="I2959" t="s">
        <v>18</v>
      </c>
      <c r="J2959" t="s">
        <v>18</v>
      </c>
      <c r="L2959" t="str">
        <f>IF(AND(CallLog[[#This Row],[Answered (Y/N)]]="Y", CallLog[[#This Row],[Speed of answer in seconds]]&lt;=20),
    "Within",
    "Breach")</f>
        <v>Breach</v>
      </c>
    </row>
    <row r="2960" spans="1:14" x14ac:dyDescent="0.3">
      <c r="A2960" t="s">
        <v>3035</v>
      </c>
      <c r="B2960" t="s">
        <v>31</v>
      </c>
      <c r="C2960" t="s">
        <v>3019</v>
      </c>
      <c r="D2960" s="1">
        <v>0.49599537037037039</v>
      </c>
      <c r="E2960" s="2">
        <f>CallLog[[#This Row],[Date]]+CallLog[[#This Row],[Time]]</f>
        <v>44248.495995370373</v>
      </c>
      <c r="F2960" s="1" t="str">
        <f>TEXT(CallLog[[#This Row],[Date]],"dddd")</f>
        <v>Sunday</v>
      </c>
      <c r="G2960" s="3">
        <f>HOUR(CallLog[[#This Row],[Time]])</f>
        <v>11</v>
      </c>
      <c r="H2960" t="s">
        <v>24</v>
      </c>
      <c r="I2960" t="s">
        <v>14</v>
      </c>
      <c r="J2960" t="s">
        <v>14</v>
      </c>
      <c r="K2960">
        <v>73</v>
      </c>
      <c r="L2960" t="str">
        <f>IF(AND(CallLog[[#This Row],[Answered (Y/N)]]="Y", CallLog[[#This Row],[Speed of answer in seconds]]&lt;=20),
    "Within",
    "Breach")</f>
        <v>Breach</v>
      </c>
      <c r="M2960" s="1">
        <v>8.4490740740740739E-4</v>
      </c>
      <c r="N2960">
        <v>3</v>
      </c>
    </row>
    <row r="2961" spans="1:14" x14ac:dyDescent="0.3">
      <c r="A2961" t="s">
        <v>3036</v>
      </c>
      <c r="B2961" t="s">
        <v>47</v>
      </c>
      <c r="C2961" t="s">
        <v>3019</v>
      </c>
      <c r="D2961" s="1">
        <v>0.49599537037037039</v>
      </c>
      <c r="E2961" s="2">
        <f>CallLog[[#This Row],[Date]]+CallLog[[#This Row],[Time]]</f>
        <v>44248.495995370373</v>
      </c>
      <c r="F2961" s="1" t="str">
        <f>TEXT(CallLog[[#This Row],[Date]],"dddd")</f>
        <v>Sunday</v>
      </c>
      <c r="G2961" s="3">
        <f>HOUR(CallLog[[#This Row],[Time]])</f>
        <v>11</v>
      </c>
      <c r="H2961" t="s">
        <v>13</v>
      </c>
      <c r="I2961" t="s">
        <v>14</v>
      </c>
      <c r="J2961" t="s">
        <v>14</v>
      </c>
      <c r="K2961">
        <v>25</v>
      </c>
      <c r="L2961" t="str">
        <f>IF(AND(CallLog[[#This Row],[Answered (Y/N)]]="Y", CallLog[[#This Row],[Speed of answer in seconds]]&lt;=20),
    "Within",
    "Breach")</f>
        <v>Breach</v>
      </c>
      <c r="M2961" s="1">
        <v>7.6388888888888893E-4</v>
      </c>
      <c r="N2961">
        <v>1</v>
      </c>
    </row>
    <row r="2962" spans="1:14" x14ac:dyDescent="0.3">
      <c r="A2962" t="s">
        <v>3037</v>
      </c>
      <c r="B2962" t="s">
        <v>16</v>
      </c>
      <c r="C2962" t="s">
        <v>3019</v>
      </c>
      <c r="D2962" s="1">
        <v>0.51500000000000001</v>
      </c>
      <c r="E2962" s="2">
        <f>CallLog[[#This Row],[Date]]+CallLog[[#This Row],[Time]]</f>
        <v>44248.514999999999</v>
      </c>
      <c r="F2962" s="1" t="str">
        <f>TEXT(CallLog[[#This Row],[Date]],"dddd")</f>
        <v>Sunday</v>
      </c>
      <c r="G2962" s="3">
        <f>HOUR(CallLog[[#This Row],[Time]])</f>
        <v>12</v>
      </c>
      <c r="H2962" t="s">
        <v>32</v>
      </c>
      <c r="I2962" t="s">
        <v>14</v>
      </c>
      <c r="J2962" t="s">
        <v>14</v>
      </c>
      <c r="K2962">
        <v>84</v>
      </c>
      <c r="L2962" t="str">
        <f>IF(AND(CallLog[[#This Row],[Answered (Y/N)]]="Y", CallLog[[#This Row],[Speed of answer in seconds]]&lt;=20),
    "Within",
    "Breach")</f>
        <v>Breach</v>
      </c>
      <c r="M2962" s="1">
        <v>2.650462962962963E-3</v>
      </c>
      <c r="N2962">
        <v>3</v>
      </c>
    </row>
    <row r="2963" spans="1:14" x14ac:dyDescent="0.3">
      <c r="A2963" t="s">
        <v>3038</v>
      </c>
      <c r="B2963" t="s">
        <v>16</v>
      </c>
      <c r="C2963" t="s">
        <v>3019</v>
      </c>
      <c r="D2963" s="1">
        <v>0.51500000000000001</v>
      </c>
      <c r="E2963" s="2">
        <f>CallLog[[#This Row],[Date]]+CallLog[[#This Row],[Time]]</f>
        <v>44248.514999999999</v>
      </c>
      <c r="F2963" s="1" t="str">
        <f>TEXT(CallLog[[#This Row],[Date]],"dddd")</f>
        <v>Sunday</v>
      </c>
      <c r="G2963" s="3">
        <f>HOUR(CallLog[[#This Row],[Time]])</f>
        <v>12</v>
      </c>
      <c r="H2963" t="s">
        <v>17</v>
      </c>
      <c r="I2963" t="s">
        <v>14</v>
      </c>
      <c r="J2963" t="s">
        <v>14</v>
      </c>
      <c r="K2963">
        <v>99</v>
      </c>
      <c r="L2963" t="str">
        <f>IF(AND(CallLog[[#This Row],[Answered (Y/N)]]="Y", CallLog[[#This Row],[Speed of answer in seconds]]&lt;=20),
    "Within",
    "Breach")</f>
        <v>Breach</v>
      </c>
      <c r="M2963" s="1">
        <v>1.7939814814814815E-3</v>
      </c>
      <c r="N2963">
        <v>5</v>
      </c>
    </row>
    <row r="2964" spans="1:14" x14ac:dyDescent="0.3">
      <c r="A2964" t="s">
        <v>3039</v>
      </c>
      <c r="B2964" t="s">
        <v>31</v>
      </c>
      <c r="C2964" t="s">
        <v>3019</v>
      </c>
      <c r="D2964" s="1">
        <v>0.51799768518518519</v>
      </c>
      <c r="E2964" s="2">
        <f>CallLog[[#This Row],[Date]]+CallLog[[#This Row],[Time]]</f>
        <v>44248.517997685187</v>
      </c>
      <c r="F2964" s="1" t="str">
        <f>TEXT(CallLog[[#This Row],[Date]],"dddd")</f>
        <v>Sunday</v>
      </c>
      <c r="G2964" s="3">
        <f>HOUR(CallLog[[#This Row],[Time]])</f>
        <v>12</v>
      </c>
      <c r="H2964" t="s">
        <v>32</v>
      </c>
      <c r="I2964" t="s">
        <v>14</v>
      </c>
      <c r="J2964" t="s">
        <v>14</v>
      </c>
      <c r="K2964">
        <v>108</v>
      </c>
      <c r="L2964" t="str">
        <f>IF(AND(CallLog[[#This Row],[Answered (Y/N)]]="Y", CallLog[[#This Row],[Speed of answer in seconds]]&lt;=20),
    "Within",
    "Breach")</f>
        <v>Breach</v>
      </c>
      <c r="M2964" s="1">
        <v>3.7962962962962963E-3</v>
      </c>
      <c r="N2964">
        <v>3</v>
      </c>
    </row>
    <row r="2965" spans="1:14" x14ac:dyDescent="0.3">
      <c r="A2965" t="s">
        <v>3040</v>
      </c>
      <c r="B2965" t="s">
        <v>22</v>
      </c>
      <c r="C2965" t="s">
        <v>3019</v>
      </c>
      <c r="D2965" s="1">
        <v>0.51799768518518519</v>
      </c>
      <c r="E2965" s="2">
        <f>CallLog[[#This Row],[Date]]+CallLog[[#This Row],[Time]]</f>
        <v>44248.517997685187</v>
      </c>
      <c r="F2965" s="1" t="str">
        <f>TEXT(CallLog[[#This Row],[Date]],"dddd")</f>
        <v>Sunday</v>
      </c>
      <c r="G2965" s="3">
        <f>HOUR(CallLog[[#This Row],[Time]])</f>
        <v>12</v>
      </c>
      <c r="H2965" t="s">
        <v>24</v>
      </c>
      <c r="I2965" t="s">
        <v>14</v>
      </c>
      <c r="J2965" t="s">
        <v>14</v>
      </c>
      <c r="K2965">
        <v>80</v>
      </c>
      <c r="L2965" t="str">
        <f>IF(AND(CallLog[[#This Row],[Answered (Y/N)]]="Y", CallLog[[#This Row],[Speed of answer in seconds]]&lt;=20),
    "Within",
    "Breach")</f>
        <v>Breach</v>
      </c>
      <c r="M2965" s="1">
        <v>1.5856481481481481E-3</v>
      </c>
      <c r="N2965">
        <v>4</v>
      </c>
    </row>
    <row r="2966" spans="1:14" x14ac:dyDescent="0.3">
      <c r="A2966" t="s">
        <v>3041</v>
      </c>
      <c r="B2966" t="s">
        <v>16</v>
      </c>
      <c r="C2966" t="s">
        <v>3019</v>
      </c>
      <c r="D2966" s="1">
        <v>0.54</v>
      </c>
      <c r="E2966" s="2">
        <f>CallLog[[#This Row],[Date]]+CallLog[[#This Row],[Time]]</f>
        <v>44248.54</v>
      </c>
      <c r="F2966" s="1" t="str">
        <f>TEXT(CallLog[[#This Row],[Date]],"dddd")</f>
        <v>Sunday</v>
      </c>
      <c r="G2966" s="3">
        <f>HOUR(CallLog[[#This Row],[Time]])</f>
        <v>12</v>
      </c>
      <c r="H2966" t="s">
        <v>24</v>
      </c>
      <c r="I2966" t="s">
        <v>14</v>
      </c>
      <c r="J2966" t="s">
        <v>14</v>
      </c>
      <c r="K2966">
        <v>77</v>
      </c>
      <c r="L2966" t="str">
        <f>IF(AND(CallLog[[#This Row],[Answered (Y/N)]]="Y", CallLog[[#This Row],[Speed of answer in seconds]]&lt;=20),
    "Within",
    "Breach")</f>
        <v>Breach</v>
      </c>
      <c r="M2966" s="1">
        <v>8.6805555555555551E-4</v>
      </c>
      <c r="N2966">
        <v>4</v>
      </c>
    </row>
    <row r="2967" spans="1:14" x14ac:dyDescent="0.3">
      <c r="A2967" t="s">
        <v>3042</v>
      </c>
      <c r="B2967" t="s">
        <v>20</v>
      </c>
      <c r="C2967" t="s">
        <v>3019</v>
      </c>
      <c r="D2967" s="1">
        <v>0.54</v>
      </c>
      <c r="E2967" s="2">
        <f>CallLog[[#This Row],[Date]]+CallLog[[#This Row],[Time]]</f>
        <v>44248.54</v>
      </c>
      <c r="F2967" s="1" t="str">
        <f>TEXT(CallLog[[#This Row],[Date]],"dddd")</f>
        <v>Sunday</v>
      </c>
      <c r="G2967" s="3">
        <f>HOUR(CallLog[[#This Row],[Time]])</f>
        <v>12</v>
      </c>
      <c r="H2967" t="s">
        <v>29</v>
      </c>
      <c r="I2967" t="s">
        <v>14</v>
      </c>
      <c r="J2967" t="s">
        <v>14</v>
      </c>
      <c r="K2967">
        <v>14</v>
      </c>
      <c r="L2967" t="str">
        <f>IF(AND(CallLog[[#This Row],[Answered (Y/N)]]="Y", CallLog[[#This Row],[Speed of answer in seconds]]&lt;=20),
    "Within",
    "Breach")</f>
        <v>Within</v>
      </c>
      <c r="M2967" s="1">
        <v>1.0532407407407407E-3</v>
      </c>
      <c r="N2967">
        <v>5</v>
      </c>
    </row>
    <row r="2968" spans="1:14" x14ac:dyDescent="0.3">
      <c r="A2968" t="s">
        <v>3043</v>
      </c>
      <c r="B2968" t="s">
        <v>20</v>
      </c>
      <c r="C2968" t="s">
        <v>3019</v>
      </c>
      <c r="D2968" s="1">
        <v>0.55200231481481477</v>
      </c>
      <c r="E2968" s="2">
        <f>CallLog[[#This Row],[Date]]+CallLog[[#This Row],[Time]]</f>
        <v>44248.552002314813</v>
      </c>
      <c r="F2968" s="1" t="str">
        <f>TEXT(CallLog[[#This Row],[Date]],"dddd")</f>
        <v>Sunday</v>
      </c>
      <c r="G2968" s="3">
        <f>HOUR(CallLog[[#This Row],[Time]])</f>
        <v>13</v>
      </c>
      <c r="H2968" t="s">
        <v>17</v>
      </c>
      <c r="I2968" t="s">
        <v>14</v>
      </c>
      <c r="J2968" t="s">
        <v>18</v>
      </c>
      <c r="K2968">
        <v>69</v>
      </c>
      <c r="L2968" t="str">
        <f>IF(AND(CallLog[[#This Row],[Answered (Y/N)]]="Y", CallLog[[#This Row],[Speed of answer in seconds]]&lt;=20),
    "Within",
    "Breach")</f>
        <v>Breach</v>
      </c>
      <c r="M2968" s="1">
        <v>3.5879629629629629E-3</v>
      </c>
      <c r="N2968">
        <v>5</v>
      </c>
    </row>
    <row r="2969" spans="1:14" x14ac:dyDescent="0.3">
      <c r="A2969" t="s">
        <v>3044</v>
      </c>
      <c r="B2969" t="s">
        <v>31</v>
      </c>
      <c r="C2969" t="s">
        <v>3019</v>
      </c>
      <c r="D2969" s="1">
        <v>0.55200231481481477</v>
      </c>
      <c r="E2969" s="2">
        <f>CallLog[[#This Row],[Date]]+CallLog[[#This Row],[Time]]</f>
        <v>44248.552002314813</v>
      </c>
      <c r="F2969" s="1" t="str">
        <f>TEXT(CallLog[[#This Row],[Date]],"dddd")</f>
        <v>Sunday</v>
      </c>
      <c r="G2969" s="3">
        <f>HOUR(CallLog[[#This Row],[Time]])</f>
        <v>13</v>
      </c>
      <c r="H2969" t="s">
        <v>13</v>
      </c>
      <c r="I2969" t="s">
        <v>14</v>
      </c>
      <c r="J2969" t="s">
        <v>14</v>
      </c>
      <c r="K2969">
        <v>91</v>
      </c>
      <c r="L2969" t="str">
        <f>IF(AND(CallLog[[#This Row],[Answered (Y/N)]]="Y", CallLog[[#This Row],[Speed of answer in seconds]]&lt;=20),
    "Within",
    "Breach")</f>
        <v>Breach</v>
      </c>
      <c r="M2969" s="1">
        <v>6.134259259259259E-4</v>
      </c>
      <c r="N2969">
        <v>3</v>
      </c>
    </row>
    <row r="2970" spans="1:14" x14ac:dyDescent="0.3">
      <c r="A2970" t="s">
        <v>3045</v>
      </c>
      <c r="B2970" t="s">
        <v>22</v>
      </c>
      <c r="C2970" t="s">
        <v>3019</v>
      </c>
      <c r="D2970" s="1">
        <v>0.5659953703703704</v>
      </c>
      <c r="E2970" s="2">
        <f>CallLog[[#This Row],[Date]]+CallLog[[#This Row],[Time]]</f>
        <v>44248.565995370373</v>
      </c>
      <c r="F2970" s="1" t="str">
        <f>TEXT(CallLog[[#This Row],[Date]],"dddd")</f>
        <v>Sunday</v>
      </c>
      <c r="G2970" s="3">
        <f>HOUR(CallLog[[#This Row],[Time]])</f>
        <v>13</v>
      </c>
      <c r="H2970" t="s">
        <v>24</v>
      </c>
      <c r="I2970" t="s">
        <v>18</v>
      </c>
      <c r="J2970" t="s">
        <v>18</v>
      </c>
      <c r="L2970" t="str">
        <f>IF(AND(CallLog[[#This Row],[Answered (Y/N)]]="Y", CallLog[[#This Row],[Speed of answer in seconds]]&lt;=20),
    "Within",
    "Breach")</f>
        <v>Breach</v>
      </c>
    </row>
    <row r="2971" spans="1:14" x14ac:dyDescent="0.3">
      <c r="A2971" t="s">
        <v>3046</v>
      </c>
      <c r="B2971" t="s">
        <v>16</v>
      </c>
      <c r="C2971" t="s">
        <v>3019</v>
      </c>
      <c r="D2971" s="1">
        <v>0.5659953703703704</v>
      </c>
      <c r="E2971" s="2">
        <f>CallLog[[#This Row],[Date]]+CallLog[[#This Row],[Time]]</f>
        <v>44248.565995370373</v>
      </c>
      <c r="F2971" s="1" t="str">
        <f>TEXT(CallLog[[#This Row],[Date]],"dddd")</f>
        <v>Sunday</v>
      </c>
      <c r="G2971" s="3">
        <f>HOUR(CallLog[[#This Row],[Time]])</f>
        <v>13</v>
      </c>
      <c r="H2971" t="s">
        <v>24</v>
      </c>
      <c r="I2971" t="s">
        <v>14</v>
      </c>
      <c r="J2971" t="s">
        <v>14</v>
      </c>
      <c r="K2971">
        <v>125</v>
      </c>
      <c r="L2971" t="str">
        <f>IF(AND(CallLog[[#This Row],[Answered (Y/N)]]="Y", CallLog[[#This Row],[Speed of answer in seconds]]&lt;=20),
    "Within",
    "Breach")</f>
        <v>Breach</v>
      </c>
      <c r="M2971" s="1">
        <v>2.1875000000000002E-3</v>
      </c>
      <c r="N2971">
        <v>1</v>
      </c>
    </row>
    <row r="2972" spans="1:14" x14ac:dyDescent="0.3">
      <c r="A2972" t="s">
        <v>3047</v>
      </c>
      <c r="B2972" t="s">
        <v>16</v>
      </c>
      <c r="C2972" t="s">
        <v>3019</v>
      </c>
      <c r="D2972" s="1">
        <v>0.58099537037037041</v>
      </c>
      <c r="E2972" s="2">
        <f>CallLog[[#This Row],[Date]]+CallLog[[#This Row],[Time]]</f>
        <v>44248.580995370372</v>
      </c>
      <c r="F2972" s="1" t="str">
        <f>TEXT(CallLog[[#This Row],[Date]],"dddd")</f>
        <v>Sunday</v>
      </c>
      <c r="G2972" s="3">
        <f>HOUR(CallLog[[#This Row],[Time]])</f>
        <v>13</v>
      </c>
      <c r="H2972" t="s">
        <v>32</v>
      </c>
      <c r="I2972" t="s">
        <v>14</v>
      </c>
      <c r="J2972" t="s">
        <v>14</v>
      </c>
      <c r="K2972">
        <v>25</v>
      </c>
      <c r="L2972" t="str">
        <f>IF(AND(CallLog[[#This Row],[Answered (Y/N)]]="Y", CallLog[[#This Row],[Speed of answer in seconds]]&lt;=20),
    "Within",
    "Breach")</f>
        <v>Breach</v>
      </c>
      <c r="M2972" s="1">
        <v>4.1666666666666666E-3</v>
      </c>
      <c r="N2972">
        <v>4</v>
      </c>
    </row>
    <row r="2973" spans="1:14" x14ac:dyDescent="0.3">
      <c r="A2973" t="s">
        <v>3048</v>
      </c>
      <c r="B2973" t="s">
        <v>47</v>
      </c>
      <c r="C2973" t="s">
        <v>3019</v>
      </c>
      <c r="D2973" s="1">
        <v>0.58099537037037041</v>
      </c>
      <c r="E2973" s="2">
        <f>CallLog[[#This Row],[Date]]+CallLog[[#This Row],[Time]]</f>
        <v>44248.580995370372</v>
      </c>
      <c r="F2973" s="1" t="str">
        <f>TEXT(CallLog[[#This Row],[Date]],"dddd")</f>
        <v>Sunday</v>
      </c>
      <c r="G2973" s="3">
        <f>HOUR(CallLog[[#This Row],[Time]])</f>
        <v>13</v>
      </c>
      <c r="H2973" t="s">
        <v>24</v>
      </c>
      <c r="I2973" t="s">
        <v>14</v>
      </c>
      <c r="J2973" t="s">
        <v>14</v>
      </c>
      <c r="K2973">
        <v>60</v>
      </c>
      <c r="L2973" t="str">
        <f>IF(AND(CallLog[[#This Row],[Answered (Y/N)]]="Y", CallLog[[#This Row],[Speed of answer in seconds]]&lt;=20),
    "Within",
    "Breach")</f>
        <v>Breach</v>
      </c>
      <c r="M2973" s="1">
        <v>3.2986111111111111E-3</v>
      </c>
      <c r="N2973">
        <v>4</v>
      </c>
    </row>
    <row r="2974" spans="1:14" x14ac:dyDescent="0.3">
      <c r="A2974" t="s">
        <v>3049</v>
      </c>
      <c r="B2974" t="s">
        <v>16</v>
      </c>
      <c r="C2974" t="s">
        <v>3019</v>
      </c>
      <c r="D2974" s="1">
        <v>0.58299768518518513</v>
      </c>
      <c r="E2974" s="2">
        <f>CallLog[[#This Row],[Date]]+CallLog[[#This Row],[Time]]</f>
        <v>44248.582997685182</v>
      </c>
      <c r="F2974" s="1" t="str">
        <f>TEXT(CallLog[[#This Row],[Date]],"dddd")</f>
        <v>Sunday</v>
      </c>
      <c r="G2974" s="3">
        <f>HOUR(CallLog[[#This Row],[Time]])</f>
        <v>13</v>
      </c>
      <c r="H2974" t="s">
        <v>17</v>
      </c>
      <c r="I2974" t="s">
        <v>14</v>
      </c>
      <c r="J2974" t="s">
        <v>18</v>
      </c>
      <c r="K2974">
        <v>97</v>
      </c>
      <c r="L2974" t="str">
        <f>IF(AND(CallLog[[#This Row],[Answered (Y/N)]]="Y", CallLog[[#This Row],[Speed of answer in seconds]]&lt;=20),
    "Within",
    "Breach")</f>
        <v>Breach</v>
      </c>
      <c r="M2974" s="1">
        <v>3.2407407407407406E-3</v>
      </c>
      <c r="N2974">
        <v>3</v>
      </c>
    </row>
    <row r="2975" spans="1:14" x14ac:dyDescent="0.3">
      <c r="A2975" t="s">
        <v>3050</v>
      </c>
      <c r="B2975" t="s">
        <v>47</v>
      </c>
      <c r="C2975" t="s">
        <v>3019</v>
      </c>
      <c r="D2975" s="1">
        <v>0.58299768518518513</v>
      </c>
      <c r="E2975" s="2">
        <f>CallLog[[#This Row],[Date]]+CallLog[[#This Row],[Time]]</f>
        <v>44248.582997685182</v>
      </c>
      <c r="F2975" s="1" t="str">
        <f>TEXT(CallLog[[#This Row],[Date]],"dddd")</f>
        <v>Sunday</v>
      </c>
      <c r="G2975" s="3">
        <f>HOUR(CallLog[[#This Row],[Time]])</f>
        <v>13</v>
      </c>
      <c r="H2975" t="s">
        <v>29</v>
      </c>
      <c r="I2975" t="s">
        <v>14</v>
      </c>
      <c r="J2975" t="s">
        <v>14</v>
      </c>
      <c r="K2975">
        <v>41</v>
      </c>
      <c r="L2975" t="str">
        <f>IF(AND(CallLog[[#This Row],[Answered (Y/N)]]="Y", CallLog[[#This Row],[Speed of answer in seconds]]&lt;=20),
    "Within",
    "Breach")</f>
        <v>Breach</v>
      </c>
      <c r="M2975" s="1">
        <v>3.425925925925926E-3</v>
      </c>
      <c r="N2975">
        <v>1</v>
      </c>
    </row>
    <row r="2976" spans="1:14" x14ac:dyDescent="0.3">
      <c r="A2976" t="s">
        <v>3051</v>
      </c>
      <c r="B2976" t="s">
        <v>20</v>
      </c>
      <c r="C2976" t="s">
        <v>3019</v>
      </c>
      <c r="D2976" s="1">
        <v>0.60400462962962964</v>
      </c>
      <c r="E2976" s="2">
        <f>CallLog[[#This Row],[Date]]+CallLog[[#This Row],[Time]]</f>
        <v>44248.604004629633</v>
      </c>
      <c r="F2976" s="1" t="str">
        <f>TEXT(CallLog[[#This Row],[Date]],"dddd")</f>
        <v>Sunday</v>
      </c>
      <c r="G2976" s="3">
        <f>HOUR(CallLog[[#This Row],[Time]])</f>
        <v>14</v>
      </c>
      <c r="H2976" t="s">
        <v>24</v>
      </c>
      <c r="I2976" t="s">
        <v>18</v>
      </c>
      <c r="J2976" t="s">
        <v>18</v>
      </c>
      <c r="L2976" t="str">
        <f>IF(AND(CallLog[[#This Row],[Answered (Y/N)]]="Y", CallLog[[#This Row],[Speed of answer in seconds]]&lt;=20),
    "Within",
    "Breach")</f>
        <v>Breach</v>
      </c>
    </row>
    <row r="2977" spans="1:14" x14ac:dyDescent="0.3">
      <c r="A2977" t="s">
        <v>3052</v>
      </c>
      <c r="B2977" t="s">
        <v>22</v>
      </c>
      <c r="C2977" t="s">
        <v>3019</v>
      </c>
      <c r="D2977" s="1">
        <v>0.60400462962962964</v>
      </c>
      <c r="E2977" s="2">
        <f>CallLog[[#This Row],[Date]]+CallLog[[#This Row],[Time]]</f>
        <v>44248.604004629633</v>
      </c>
      <c r="F2977" s="1" t="str">
        <f>TEXT(CallLog[[#This Row],[Date]],"dddd")</f>
        <v>Sunday</v>
      </c>
      <c r="G2977" s="3">
        <f>HOUR(CallLog[[#This Row],[Time]])</f>
        <v>14</v>
      </c>
      <c r="H2977" t="s">
        <v>32</v>
      </c>
      <c r="I2977" t="s">
        <v>14</v>
      </c>
      <c r="J2977" t="s">
        <v>14</v>
      </c>
      <c r="K2977">
        <v>47</v>
      </c>
      <c r="L2977" t="str">
        <f>IF(AND(CallLog[[#This Row],[Answered (Y/N)]]="Y", CallLog[[#This Row],[Speed of answer in seconds]]&lt;=20),
    "Within",
    "Breach")</f>
        <v>Breach</v>
      </c>
      <c r="M2977" s="1">
        <v>4.8495370370370368E-3</v>
      </c>
      <c r="N2977">
        <v>4</v>
      </c>
    </row>
    <row r="2978" spans="1:14" x14ac:dyDescent="0.3">
      <c r="A2978" t="s">
        <v>3053</v>
      </c>
      <c r="B2978" t="s">
        <v>16</v>
      </c>
      <c r="C2978" t="s">
        <v>3019</v>
      </c>
      <c r="D2978" s="1">
        <v>0.61599537037037033</v>
      </c>
      <c r="E2978" s="2">
        <f>CallLog[[#This Row],[Date]]+CallLog[[#This Row],[Time]]</f>
        <v>44248.615995370368</v>
      </c>
      <c r="F2978" s="1" t="str">
        <f>TEXT(CallLog[[#This Row],[Date]],"dddd")</f>
        <v>Sunday</v>
      </c>
      <c r="G2978" s="3">
        <f>HOUR(CallLog[[#This Row],[Time]])</f>
        <v>14</v>
      </c>
      <c r="H2978" t="s">
        <v>13</v>
      </c>
      <c r="I2978" t="s">
        <v>18</v>
      </c>
      <c r="J2978" t="s">
        <v>18</v>
      </c>
      <c r="L2978" t="str">
        <f>IF(AND(CallLog[[#This Row],[Answered (Y/N)]]="Y", CallLog[[#This Row],[Speed of answer in seconds]]&lt;=20),
    "Within",
    "Breach")</f>
        <v>Breach</v>
      </c>
    </row>
    <row r="2979" spans="1:14" x14ac:dyDescent="0.3">
      <c r="A2979" t="s">
        <v>3054</v>
      </c>
      <c r="B2979" t="s">
        <v>31</v>
      </c>
      <c r="C2979" t="s">
        <v>3019</v>
      </c>
      <c r="D2979" s="1">
        <v>0.61599537037037033</v>
      </c>
      <c r="E2979" s="2">
        <f>CallLog[[#This Row],[Date]]+CallLog[[#This Row],[Time]]</f>
        <v>44248.615995370368</v>
      </c>
      <c r="F2979" s="1" t="str">
        <f>TEXT(CallLog[[#This Row],[Date]],"dddd")</f>
        <v>Sunday</v>
      </c>
      <c r="G2979" s="3">
        <f>HOUR(CallLog[[#This Row],[Time]])</f>
        <v>14</v>
      </c>
      <c r="H2979" t="s">
        <v>32</v>
      </c>
      <c r="I2979" t="s">
        <v>14</v>
      </c>
      <c r="J2979" t="s">
        <v>14</v>
      </c>
      <c r="K2979">
        <v>82</v>
      </c>
      <c r="L2979" t="str">
        <f>IF(AND(CallLog[[#This Row],[Answered (Y/N)]]="Y", CallLog[[#This Row],[Speed of answer in seconds]]&lt;=20),
    "Within",
    "Breach")</f>
        <v>Breach</v>
      </c>
      <c r="M2979" s="1">
        <v>4.5601851851851853E-3</v>
      </c>
      <c r="N2979">
        <v>5</v>
      </c>
    </row>
    <row r="2980" spans="1:14" x14ac:dyDescent="0.3">
      <c r="A2980" t="s">
        <v>3055</v>
      </c>
      <c r="B2980" t="s">
        <v>22</v>
      </c>
      <c r="C2980" t="s">
        <v>3019</v>
      </c>
      <c r="D2980" s="1">
        <v>0.62400462962962966</v>
      </c>
      <c r="E2980" s="2">
        <f>CallLog[[#This Row],[Date]]+CallLog[[#This Row],[Time]]</f>
        <v>44248.62400462963</v>
      </c>
      <c r="F2980" s="1" t="str">
        <f>TEXT(CallLog[[#This Row],[Date]],"dddd")</f>
        <v>Sunday</v>
      </c>
      <c r="G2980" s="3">
        <f>HOUR(CallLog[[#This Row],[Time]])</f>
        <v>14</v>
      </c>
      <c r="H2980" t="s">
        <v>29</v>
      </c>
      <c r="I2980" t="s">
        <v>14</v>
      </c>
      <c r="J2980" t="s">
        <v>14</v>
      </c>
      <c r="K2980">
        <v>94</v>
      </c>
      <c r="L2980" t="str">
        <f>IF(AND(CallLog[[#This Row],[Answered (Y/N)]]="Y", CallLog[[#This Row],[Speed of answer in seconds]]&lt;=20),
    "Within",
    "Breach")</f>
        <v>Breach</v>
      </c>
      <c r="M2980" s="1">
        <v>3.2754629629629631E-3</v>
      </c>
      <c r="N2980">
        <v>4</v>
      </c>
    </row>
    <row r="2981" spans="1:14" x14ac:dyDescent="0.3">
      <c r="A2981" t="s">
        <v>3056</v>
      </c>
      <c r="B2981" t="s">
        <v>16</v>
      </c>
      <c r="C2981" t="s">
        <v>3019</v>
      </c>
      <c r="D2981" s="1">
        <v>0.62400462962962966</v>
      </c>
      <c r="E2981" s="2">
        <f>CallLog[[#This Row],[Date]]+CallLog[[#This Row],[Time]]</f>
        <v>44248.62400462963</v>
      </c>
      <c r="F2981" s="1" t="str">
        <f>TEXT(CallLog[[#This Row],[Date]],"dddd")</f>
        <v>Sunday</v>
      </c>
      <c r="G2981" s="3">
        <f>HOUR(CallLog[[#This Row],[Time]])</f>
        <v>14</v>
      </c>
      <c r="H2981" t="s">
        <v>13</v>
      </c>
      <c r="I2981" t="s">
        <v>14</v>
      </c>
      <c r="J2981" t="s">
        <v>14</v>
      </c>
      <c r="K2981">
        <v>43</v>
      </c>
      <c r="L2981" t="str">
        <f>IF(AND(CallLog[[#This Row],[Answered (Y/N)]]="Y", CallLog[[#This Row],[Speed of answer in seconds]]&lt;=20),
    "Within",
    "Breach")</f>
        <v>Breach</v>
      </c>
      <c r="M2981" s="1">
        <v>3.2754629629629631E-3</v>
      </c>
      <c r="N2981">
        <v>4</v>
      </c>
    </row>
    <row r="2982" spans="1:14" x14ac:dyDescent="0.3">
      <c r="A2982" t="s">
        <v>3057</v>
      </c>
      <c r="B2982" t="s">
        <v>20</v>
      </c>
      <c r="C2982" t="s">
        <v>3019</v>
      </c>
      <c r="D2982" s="1">
        <v>0.63200231481481484</v>
      </c>
      <c r="E2982" s="2">
        <f>CallLog[[#This Row],[Date]]+CallLog[[#This Row],[Time]]</f>
        <v>44248.632002314815</v>
      </c>
      <c r="F2982" s="1" t="str">
        <f>TEXT(CallLog[[#This Row],[Date]],"dddd")</f>
        <v>Sunday</v>
      </c>
      <c r="G2982" s="3">
        <f>HOUR(CallLog[[#This Row],[Time]])</f>
        <v>15</v>
      </c>
      <c r="H2982" t="s">
        <v>17</v>
      </c>
      <c r="I2982" t="s">
        <v>14</v>
      </c>
      <c r="J2982" t="s">
        <v>14</v>
      </c>
      <c r="K2982">
        <v>27</v>
      </c>
      <c r="L2982" t="str">
        <f>IF(AND(CallLog[[#This Row],[Answered (Y/N)]]="Y", CallLog[[#This Row],[Speed of answer in seconds]]&lt;=20),
    "Within",
    "Breach")</f>
        <v>Breach</v>
      </c>
      <c r="M2982" s="1">
        <v>2.8587962962962963E-3</v>
      </c>
      <c r="N2982">
        <v>1</v>
      </c>
    </row>
    <row r="2983" spans="1:14" x14ac:dyDescent="0.3">
      <c r="A2983" t="s">
        <v>3058</v>
      </c>
      <c r="B2983" t="s">
        <v>34</v>
      </c>
      <c r="C2983" t="s">
        <v>3019</v>
      </c>
      <c r="D2983" s="1">
        <v>0.63200231481481484</v>
      </c>
      <c r="E2983" s="2">
        <f>CallLog[[#This Row],[Date]]+CallLog[[#This Row],[Time]]</f>
        <v>44248.632002314815</v>
      </c>
      <c r="F2983" s="1" t="str">
        <f>TEXT(CallLog[[#This Row],[Date]],"dddd")</f>
        <v>Sunday</v>
      </c>
      <c r="G2983" s="3">
        <f>HOUR(CallLog[[#This Row],[Time]])</f>
        <v>15</v>
      </c>
      <c r="H2983" t="s">
        <v>17</v>
      </c>
      <c r="I2983" t="s">
        <v>14</v>
      </c>
      <c r="J2983" t="s">
        <v>18</v>
      </c>
      <c r="K2983">
        <v>15</v>
      </c>
      <c r="L2983" t="str">
        <f>IF(AND(CallLog[[#This Row],[Answered (Y/N)]]="Y", CallLog[[#This Row],[Speed of answer in seconds]]&lt;=20),
    "Within",
    "Breach")</f>
        <v>Within</v>
      </c>
      <c r="M2983" s="1">
        <v>1.9791666666666668E-3</v>
      </c>
      <c r="N2983">
        <v>3</v>
      </c>
    </row>
    <row r="2984" spans="1:14" x14ac:dyDescent="0.3">
      <c r="A2984" t="s">
        <v>3059</v>
      </c>
      <c r="B2984" t="s">
        <v>31</v>
      </c>
      <c r="C2984" t="s">
        <v>3019</v>
      </c>
      <c r="D2984" s="1">
        <v>0.65599537037037037</v>
      </c>
      <c r="E2984" s="2">
        <f>CallLog[[#This Row],[Date]]+CallLog[[#This Row],[Time]]</f>
        <v>44248.655995370369</v>
      </c>
      <c r="F2984" s="1" t="str">
        <f>TEXT(CallLog[[#This Row],[Date]],"dddd")</f>
        <v>Sunday</v>
      </c>
      <c r="G2984" s="3">
        <f>HOUR(CallLog[[#This Row],[Time]])</f>
        <v>15</v>
      </c>
      <c r="H2984" t="s">
        <v>17</v>
      </c>
      <c r="I2984" t="s">
        <v>14</v>
      </c>
      <c r="J2984" t="s">
        <v>14</v>
      </c>
      <c r="K2984">
        <v>21</v>
      </c>
      <c r="L2984" t="str">
        <f>IF(AND(CallLog[[#This Row],[Answered (Y/N)]]="Y", CallLog[[#This Row],[Speed of answer in seconds]]&lt;=20),
    "Within",
    "Breach")</f>
        <v>Breach</v>
      </c>
      <c r="M2984" s="1">
        <v>9.4907407407407408E-4</v>
      </c>
      <c r="N2984">
        <v>4</v>
      </c>
    </row>
    <row r="2985" spans="1:14" x14ac:dyDescent="0.3">
      <c r="A2985" t="s">
        <v>3060</v>
      </c>
      <c r="B2985" t="s">
        <v>47</v>
      </c>
      <c r="C2985" t="s">
        <v>3019</v>
      </c>
      <c r="D2985" s="1">
        <v>0.65599537037037037</v>
      </c>
      <c r="E2985" s="2">
        <f>CallLog[[#This Row],[Date]]+CallLog[[#This Row],[Time]]</f>
        <v>44248.655995370369</v>
      </c>
      <c r="F2985" s="1" t="str">
        <f>TEXT(CallLog[[#This Row],[Date]],"dddd")</f>
        <v>Sunday</v>
      </c>
      <c r="G2985" s="3">
        <f>HOUR(CallLog[[#This Row],[Time]])</f>
        <v>15</v>
      </c>
      <c r="H2985" t="s">
        <v>17</v>
      </c>
      <c r="I2985" t="s">
        <v>14</v>
      </c>
      <c r="J2985" t="s">
        <v>14</v>
      </c>
      <c r="K2985">
        <v>30</v>
      </c>
      <c r="L2985" t="str">
        <f>IF(AND(CallLog[[#This Row],[Answered (Y/N)]]="Y", CallLog[[#This Row],[Speed of answer in seconds]]&lt;=20),
    "Within",
    "Breach")</f>
        <v>Breach</v>
      </c>
      <c r="M2985" s="1">
        <v>1.2268518518518518E-3</v>
      </c>
      <c r="N2985">
        <v>5</v>
      </c>
    </row>
    <row r="2986" spans="1:14" x14ac:dyDescent="0.3">
      <c r="A2986" t="s">
        <v>3061</v>
      </c>
      <c r="B2986" t="s">
        <v>11</v>
      </c>
      <c r="C2986" t="s">
        <v>3019</v>
      </c>
      <c r="D2986" s="1">
        <v>0.65700231481481486</v>
      </c>
      <c r="E2986" s="2">
        <f>CallLog[[#This Row],[Date]]+CallLog[[#This Row],[Time]]</f>
        <v>44248.657002314816</v>
      </c>
      <c r="F2986" s="1" t="str">
        <f>TEXT(CallLog[[#This Row],[Date]],"dddd")</f>
        <v>Sunday</v>
      </c>
      <c r="G2986" s="3">
        <f>HOUR(CallLog[[#This Row],[Time]])</f>
        <v>15</v>
      </c>
      <c r="H2986" t="s">
        <v>29</v>
      </c>
      <c r="I2986" t="s">
        <v>14</v>
      </c>
      <c r="J2986" t="s">
        <v>18</v>
      </c>
      <c r="K2986">
        <v>106</v>
      </c>
      <c r="L2986" t="str">
        <f>IF(AND(CallLog[[#This Row],[Answered (Y/N)]]="Y", CallLog[[#This Row],[Speed of answer in seconds]]&lt;=20),
    "Within",
    "Breach")</f>
        <v>Breach</v>
      </c>
      <c r="M2986" s="1">
        <v>1.5046296296296296E-3</v>
      </c>
      <c r="N2986">
        <v>1</v>
      </c>
    </row>
    <row r="2987" spans="1:14" x14ac:dyDescent="0.3">
      <c r="A2987" t="s">
        <v>3062</v>
      </c>
      <c r="B2987" t="s">
        <v>31</v>
      </c>
      <c r="C2987" t="s">
        <v>3019</v>
      </c>
      <c r="D2987" s="1">
        <v>0.65700231481481486</v>
      </c>
      <c r="E2987" s="2">
        <f>CallLog[[#This Row],[Date]]+CallLog[[#This Row],[Time]]</f>
        <v>44248.657002314816</v>
      </c>
      <c r="F2987" s="1" t="str">
        <f>TEXT(CallLog[[#This Row],[Date]],"dddd")</f>
        <v>Sunday</v>
      </c>
      <c r="G2987" s="3">
        <f>HOUR(CallLog[[#This Row],[Time]])</f>
        <v>15</v>
      </c>
      <c r="H2987" t="s">
        <v>29</v>
      </c>
      <c r="I2987" t="s">
        <v>14</v>
      </c>
      <c r="J2987" t="s">
        <v>14</v>
      </c>
      <c r="K2987">
        <v>56</v>
      </c>
      <c r="L2987" t="str">
        <f>IF(AND(CallLog[[#This Row],[Answered (Y/N)]]="Y", CallLog[[#This Row],[Speed of answer in seconds]]&lt;=20),
    "Within",
    "Breach")</f>
        <v>Breach</v>
      </c>
      <c r="M2987" s="1">
        <v>3.7152777777777778E-3</v>
      </c>
      <c r="N2987">
        <v>3</v>
      </c>
    </row>
    <row r="2988" spans="1:14" x14ac:dyDescent="0.3">
      <c r="A2988" t="s">
        <v>3063</v>
      </c>
      <c r="B2988" t="s">
        <v>47</v>
      </c>
      <c r="C2988" t="s">
        <v>3019</v>
      </c>
      <c r="D2988" s="1">
        <v>0.68299768518518522</v>
      </c>
      <c r="E2988" s="2">
        <f>CallLog[[#This Row],[Date]]+CallLog[[#This Row],[Time]]</f>
        <v>44248.682997685188</v>
      </c>
      <c r="F2988" s="1" t="str">
        <f>TEXT(CallLog[[#This Row],[Date]],"dddd")</f>
        <v>Sunday</v>
      </c>
      <c r="G2988" s="3">
        <f>HOUR(CallLog[[#This Row],[Time]])</f>
        <v>16</v>
      </c>
      <c r="H2988" t="s">
        <v>24</v>
      </c>
      <c r="I2988" t="s">
        <v>14</v>
      </c>
      <c r="J2988" t="s">
        <v>14</v>
      </c>
      <c r="K2988">
        <v>100</v>
      </c>
      <c r="L2988" t="str">
        <f>IF(AND(CallLog[[#This Row],[Answered (Y/N)]]="Y", CallLog[[#This Row],[Speed of answer in seconds]]&lt;=20),
    "Within",
    "Breach")</f>
        <v>Breach</v>
      </c>
      <c r="M2988" s="1">
        <v>4.5486111111111109E-3</v>
      </c>
      <c r="N2988">
        <v>5</v>
      </c>
    </row>
    <row r="2989" spans="1:14" x14ac:dyDescent="0.3">
      <c r="A2989" t="s">
        <v>3064</v>
      </c>
      <c r="B2989" t="s">
        <v>11</v>
      </c>
      <c r="C2989" t="s">
        <v>3019</v>
      </c>
      <c r="D2989" s="1">
        <v>0.68299768518518522</v>
      </c>
      <c r="E2989" s="2">
        <f>CallLog[[#This Row],[Date]]+CallLog[[#This Row],[Time]]</f>
        <v>44248.682997685188</v>
      </c>
      <c r="F2989" s="1" t="str">
        <f>TEXT(CallLog[[#This Row],[Date]],"dddd")</f>
        <v>Sunday</v>
      </c>
      <c r="G2989" s="3">
        <f>HOUR(CallLog[[#This Row],[Time]])</f>
        <v>16</v>
      </c>
      <c r="H2989" t="s">
        <v>32</v>
      </c>
      <c r="I2989" t="s">
        <v>14</v>
      </c>
      <c r="J2989" t="s">
        <v>14</v>
      </c>
      <c r="K2989">
        <v>48</v>
      </c>
      <c r="L2989" t="str">
        <f>IF(AND(CallLog[[#This Row],[Answered (Y/N)]]="Y", CallLog[[#This Row],[Speed of answer in seconds]]&lt;=20),
    "Within",
    "Breach")</f>
        <v>Breach</v>
      </c>
      <c r="M2989" s="1">
        <v>4.0046296296296297E-3</v>
      </c>
      <c r="N2989">
        <v>3</v>
      </c>
    </row>
    <row r="2990" spans="1:14" x14ac:dyDescent="0.3">
      <c r="A2990" t="s">
        <v>3065</v>
      </c>
      <c r="B2990" t="s">
        <v>31</v>
      </c>
      <c r="C2990" t="s">
        <v>3019</v>
      </c>
      <c r="D2990" s="1">
        <v>0.70799768518518513</v>
      </c>
      <c r="E2990" s="2">
        <f>CallLog[[#This Row],[Date]]+CallLog[[#This Row],[Time]]</f>
        <v>44248.707997685182</v>
      </c>
      <c r="F2990" s="1" t="str">
        <f>TEXT(CallLog[[#This Row],[Date]],"dddd")</f>
        <v>Sunday</v>
      </c>
      <c r="G2990" s="3">
        <f>HOUR(CallLog[[#This Row],[Time]])</f>
        <v>16</v>
      </c>
      <c r="H2990" t="s">
        <v>32</v>
      </c>
      <c r="I2990" t="s">
        <v>14</v>
      </c>
      <c r="J2990" t="s">
        <v>14</v>
      </c>
      <c r="K2990">
        <v>74</v>
      </c>
      <c r="L2990" t="str">
        <f>IF(AND(CallLog[[#This Row],[Answered (Y/N)]]="Y", CallLog[[#This Row],[Speed of answer in seconds]]&lt;=20),
    "Within",
    "Breach")</f>
        <v>Breach</v>
      </c>
      <c r="M2990" s="1">
        <v>2.5115740740740741E-3</v>
      </c>
      <c r="N2990">
        <v>5</v>
      </c>
    </row>
    <row r="2991" spans="1:14" x14ac:dyDescent="0.3">
      <c r="A2991" t="s">
        <v>3066</v>
      </c>
      <c r="B2991" t="s">
        <v>20</v>
      </c>
      <c r="C2991" t="s">
        <v>3019</v>
      </c>
      <c r="D2991" s="1">
        <v>0.70799768518518513</v>
      </c>
      <c r="E2991" s="2">
        <f>CallLog[[#This Row],[Date]]+CallLog[[#This Row],[Time]]</f>
        <v>44248.707997685182</v>
      </c>
      <c r="F2991" s="1" t="str">
        <f>TEXT(CallLog[[#This Row],[Date]],"dddd")</f>
        <v>Sunday</v>
      </c>
      <c r="G2991" s="3">
        <f>HOUR(CallLog[[#This Row],[Time]])</f>
        <v>16</v>
      </c>
      <c r="H2991" t="s">
        <v>29</v>
      </c>
      <c r="I2991" t="s">
        <v>14</v>
      </c>
      <c r="J2991" t="s">
        <v>14</v>
      </c>
      <c r="K2991">
        <v>100</v>
      </c>
      <c r="L2991" t="str">
        <f>IF(AND(CallLog[[#This Row],[Answered (Y/N)]]="Y", CallLog[[#This Row],[Speed of answer in seconds]]&lt;=20),
    "Within",
    "Breach")</f>
        <v>Breach</v>
      </c>
      <c r="M2991" s="1">
        <v>2.7777777777777779E-3</v>
      </c>
      <c r="N2991">
        <v>1</v>
      </c>
    </row>
    <row r="2992" spans="1:14" x14ac:dyDescent="0.3">
      <c r="A2992" t="s">
        <v>3067</v>
      </c>
      <c r="B2992" t="s">
        <v>11</v>
      </c>
      <c r="C2992" t="s">
        <v>3019</v>
      </c>
      <c r="D2992" s="1">
        <v>0.72200231481481481</v>
      </c>
      <c r="E2992" s="2">
        <f>CallLog[[#This Row],[Date]]+CallLog[[#This Row],[Time]]</f>
        <v>44248.722002314818</v>
      </c>
      <c r="F2992" s="1" t="str">
        <f>TEXT(CallLog[[#This Row],[Date]],"dddd")</f>
        <v>Sunday</v>
      </c>
      <c r="G2992" s="3">
        <f>HOUR(CallLog[[#This Row],[Time]])</f>
        <v>17</v>
      </c>
      <c r="H2992" t="s">
        <v>24</v>
      </c>
      <c r="I2992" t="s">
        <v>14</v>
      </c>
      <c r="J2992" t="s">
        <v>18</v>
      </c>
      <c r="K2992">
        <v>90</v>
      </c>
      <c r="L2992" t="str">
        <f>IF(AND(CallLog[[#This Row],[Answered (Y/N)]]="Y", CallLog[[#This Row],[Speed of answer in seconds]]&lt;=20),
    "Within",
    "Breach")</f>
        <v>Breach</v>
      </c>
      <c r="M2992" s="1">
        <v>1.8865740740740742E-3</v>
      </c>
      <c r="N2992">
        <v>3</v>
      </c>
    </row>
    <row r="2993" spans="1:14" x14ac:dyDescent="0.3">
      <c r="A2993" t="s">
        <v>3068</v>
      </c>
      <c r="B2993" t="s">
        <v>16</v>
      </c>
      <c r="C2993" t="s">
        <v>3019</v>
      </c>
      <c r="D2993" s="1">
        <v>0.72200231481481481</v>
      </c>
      <c r="E2993" s="2">
        <f>CallLog[[#This Row],[Date]]+CallLog[[#This Row],[Time]]</f>
        <v>44248.722002314818</v>
      </c>
      <c r="F2993" s="1" t="str">
        <f>TEXT(CallLog[[#This Row],[Date]],"dddd")</f>
        <v>Sunday</v>
      </c>
      <c r="G2993" s="3">
        <f>HOUR(CallLog[[#This Row],[Time]])</f>
        <v>17</v>
      </c>
      <c r="H2993" t="s">
        <v>17</v>
      </c>
      <c r="I2993" t="s">
        <v>18</v>
      </c>
      <c r="J2993" t="s">
        <v>18</v>
      </c>
      <c r="L2993" t="str">
        <f>IF(AND(CallLog[[#This Row],[Answered (Y/N)]]="Y", CallLog[[#This Row],[Speed of answer in seconds]]&lt;=20),
    "Within",
    "Breach")</f>
        <v>Breach</v>
      </c>
    </row>
    <row r="2994" spans="1:14" x14ac:dyDescent="0.3">
      <c r="A2994" t="s">
        <v>3069</v>
      </c>
      <c r="B2994" t="s">
        <v>47</v>
      </c>
      <c r="C2994" t="s">
        <v>3019</v>
      </c>
      <c r="D2994" s="1">
        <v>0.72299768518518515</v>
      </c>
      <c r="E2994" s="2">
        <f>CallLog[[#This Row],[Date]]+CallLog[[#This Row],[Time]]</f>
        <v>44248.722997685189</v>
      </c>
      <c r="F2994" s="1" t="str">
        <f>TEXT(CallLog[[#This Row],[Date]],"dddd")</f>
        <v>Sunday</v>
      </c>
      <c r="G2994" s="3">
        <f>HOUR(CallLog[[#This Row],[Time]])</f>
        <v>17</v>
      </c>
      <c r="H2994" t="s">
        <v>24</v>
      </c>
      <c r="I2994" t="s">
        <v>14</v>
      </c>
      <c r="J2994" t="s">
        <v>14</v>
      </c>
      <c r="K2994">
        <v>43</v>
      </c>
      <c r="L2994" t="str">
        <f>IF(AND(CallLog[[#This Row],[Answered (Y/N)]]="Y", CallLog[[#This Row],[Speed of answer in seconds]]&lt;=20),
    "Within",
    "Breach")</f>
        <v>Breach</v>
      </c>
      <c r="M2994" s="1">
        <v>4.3981481481481484E-3</v>
      </c>
      <c r="N2994">
        <v>5</v>
      </c>
    </row>
    <row r="2995" spans="1:14" x14ac:dyDescent="0.3">
      <c r="A2995" t="s">
        <v>3070</v>
      </c>
      <c r="B2995" t="s">
        <v>34</v>
      </c>
      <c r="C2995" t="s">
        <v>3019</v>
      </c>
      <c r="D2995" s="1">
        <v>0.72299768518518515</v>
      </c>
      <c r="E2995" s="2">
        <f>CallLog[[#This Row],[Date]]+CallLog[[#This Row],[Time]]</f>
        <v>44248.722997685189</v>
      </c>
      <c r="F2995" s="1" t="str">
        <f>TEXT(CallLog[[#This Row],[Date]],"dddd")</f>
        <v>Sunday</v>
      </c>
      <c r="G2995" s="3">
        <f>HOUR(CallLog[[#This Row],[Time]])</f>
        <v>17</v>
      </c>
      <c r="H2995" t="s">
        <v>24</v>
      </c>
      <c r="I2995" t="s">
        <v>14</v>
      </c>
      <c r="J2995" t="s">
        <v>14</v>
      </c>
      <c r="K2995">
        <v>68</v>
      </c>
      <c r="L2995" t="str">
        <f>IF(AND(CallLog[[#This Row],[Answered (Y/N)]]="Y", CallLog[[#This Row],[Speed of answer in seconds]]&lt;=20),
    "Within",
    "Breach")</f>
        <v>Breach</v>
      </c>
      <c r="M2995" s="1">
        <v>3.6226851851851854E-3</v>
      </c>
      <c r="N2995">
        <v>4</v>
      </c>
    </row>
    <row r="2996" spans="1:14" x14ac:dyDescent="0.3">
      <c r="A2996" t="s">
        <v>3071</v>
      </c>
      <c r="B2996" t="s">
        <v>31</v>
      </c>
      <c r="C2996" t="s">
        <v>3019</v>
      </c>
      <c r="D2996" s="1">
        <v>0.74299768518518516</v>
      </c>
      <c r="E2996" s="2">
        <f>CallLog[[#This Row],[Date]]+CallLog[[#This Row],[Time]]</f>
        <v>44248.742997685185</v>
      </c>
      <c r="F2996" s="1" t="str">
        <f>TEXT(CallLog[[#This Row],[Date]],"dddd")</f>
        <v>Sunday</v>
      </c>
      <c r="G2996" s="3">
        <f>HOUR(CallLog[[#This Row],[Time]])</f>
        <v>17</v>
      </c>
      <c r="H2996" t="s">
        <v>32</v>
      </c>
      <c r="I2996" t="s">
        <v>18</v>
      </c>
      <c r="J2996" t="s">
        <v>18</v>
      </c>
      <c r="L2996" t="str">
        <f>IF(AND(CallLog[[#This Row],[Answered (Y/N)]]="Y", CallLog[[#This Row],[Speed of answer in seconds]]&lt;=20),
    "Within",
    "Breach")</f>
        <v>Breach</v>
      </c>
    </row>
    <row r="2997" spans="1:14" x14ac:dyDescent="0.3">
      <c r="A2997" t="s">
        <v>3072</v>
      </c>
      <c r="B2997" t="s">
        <v>11</v>
      </c>
      <c r="C2997" t="s">
        <v>3019</v>
      </c>
      <c r="D2997" s="1">
        <v>0.74299768518518516</v>
      </c>
      <c r="E2997" s="2">
        <f>CallLog[[#This Row],[Date]]+CallLog[[#This Row],[Time]]</f>
        <v>44248.742997685185</v>
      </c>
      <c r="F2997" s="1" t="str">
        <f>TEXT(CallLog[[#This Row],[Date]],"dddd")</f>
        <v>Sunday</v>
      </c>
      <c r="G2997" s="3">
        <f>HOUR(CallLog[[#This Row],[Time]])</f>
        <v>17</v>
      </c>
      <c r="H2997" t="s">
        <v>29</v>
      </c>
      <c r="I2997" t="s">
        <v>14</v>
      </c>
      <c r="J2997" t="s">
        <v>14</v>
      </c>
      <c r="K2997">
        <v>65</v>
      </c>
      <c r="L2997" t="str">
        <f>IF(AND(CallLog[[#This Row],[Answered (Y/N)]]="Y", CallLog[[#This Row],[Speed of answer in seconds]]&lt;=20),
    "Within",
    "Breach")</f>
        <v>Breach</v>
      </c>
      <c r="M2997" s="1">
        <v>3.6805555555555554E-3</v>
      </c>
      <c r="N2997">
        <v>1</v>
      </c>
    </row>
    <row r="2998" spans="1:14" x14ac:dyDescent="0.3">
      <c r="A2998" t="s">
        <v>3073</v>
      </c>
      <c r="B2998" t="s">
        <v>22</v>
      </c>
      <c r="C2998" t="s">
        <v>3074</v>
      </c>
      <c r="D2998" s="1">
        <v>0.37799768518518517</v>
      </c>
      <c r="E2998" s="2">
        <f>CallLog[[#This Row],[Date]]+CallLog[[#This Row],[Time]]</f>
        <v>44249.377997685187</v>
      </c>
      <c r="F2998" s="1" t="str">
        <f>TEXT(CallLog[[#This Row],[Date]],"dddd")</f>
        <v>Monday</v>
      </c>
      <c r="G2998" s="3">
        <f>HOUR(CallLog[[#This Row],[Time]])</f>
        <v>9</v>
      </c>
      <c r="H2998" t="s">
        <v>29</v>
      </c>
      <c r="I2998" t="s">
        <v>14</v>
      </c>
      <c r="J2998" t="s">
        <v>14</v>
      </c>
      <c r="K2998">
        <v>125</v>
      </c>
      <c r="L2998" t="str">
        <f>IF(AND(CallLog[[#This Row],[Answered (Y/N)]]="Y", CallLog[[#This Row],[Speed of answer in seconds]]&lt;=20),
    "Within",
    "Breach")</f>
        <v>Breach</v>
      </c>
      <c r="M2998" s="1">
        <v>1.3657407407407407E-3</v>
      </c>
      <c r="N2998">
        <v>5</v>
      </c>
    </row>
    <row r="2999" spans="1:14" x14ac:dyDescent="0.3">
      <c r="A2999" t="s">
        <v>3075</v>
      </c>
      <c r="B2999" t="s">
        <v>34</v>
      </c>
      <c r="C2999" t="s">
        <v>3074</v>
      </c>
      <c r="D2999" s="1">
        <v>0.37799768518518517</v>
      </c>
      <c r="E2999" s="2">
        <f>CallLog[[#This Row],[Date]]+CallLog[[#This Row],[Time]]</f>
        <v>44249.377997685187</v>
      </c>
      <c r="F2999" s="1" t="str">
        <f>TEXT(CallLog[[#This Row],[Date]],"dddd")</f>
        <v>Monday</v>
      </c>
      <c r="G2999" s="3">
        <f>HOUR(CallLog[[#This Row],[Time]])</f>
        <v>9</v>
      </c>
      <c r="H2999" t="s">
        <v>29</v>
      </c>
      <c r="I2999" t="s">
        <v>14</v>
      </c>
      <c r="J2999" t="s">
        <v>14</v>
      </c>
      <c r="K2999">
        <v>62</v>
      </c>
      <c r="L2999" t="str">
        <f>IF(AND(CallLog[[#This Row],[Answered (Y/N)]]="Y", CallLog[[#This Row],[Speed of answer in seconds]]&lt;=20),
    "Within",
    "Breach")</f>
        <v>Breach</v>
      </c>
      <c r="M2999" s="1">
        <v>3.6226851851851854E-3</v>
      </c>
      <c r="N2999">
        <v>4</v>
      </c>
    </row>
    <row r="3000" spans="1:14" x14ac:dyDescent="0.3">
      <c r="A3000" t="s">
        <v>3076</v>
      </c>
      <c r="B3000" t="s">
        <v>31</v>
      </c>
      <c r="C3000" t="s">
        <v>3074</v>
      </c>
      <c r="D3000" s="1">
        <v>0.40599537037037037</v>
      </c>
      <c r="E3000" s="2">
        <f>CallLog[[#This Row],[Date]]+CallLog[[#This Row],[Time]]</f>
        <v>44249.405995370369</v>
      </c>
      <c r="F3000" s="1" t="str">
        <f>TEXT(CallLog[[#This Row],[Date]],"dddd")</f>
        <v>Monday</v>
      </c>
      <c r="G3000" s="3">
        <f>HOUR(CallLog[[#This Row],[Time]])</f>
        <v>9</v>
      </c>
      <c r="H3000" t="s">
        <v>24</v>
      </c>
      <c r="I3000" t="s">
        <v>14</v>
      </c>
      <c r="J3000" t="s">
        <v>14</v>
      </c>
      <c r="K3000">
        <v>24</v>
      </c>
      <c r="L3000" t="str">
        <f>IF(AND(CallLog[[#This Row],[Answered (Y/N)]]="Y", CallLog[[#This Row],[Speed of answer in seconds]]&lt;=20),
    "Within",
    "Breach")</f>
        <v>Breach</v>
      </c>
      <c r="M3000" s="1">
        <v>1.5046296296296296E-3</v>
      </c>
      <c r="N3000">
        <v>3</v>
      </c>
    </row>
    <row r="3001" spans="1:14" x14ac:dyDescent="0.3">
      <c r="A3001" t="s">
        <v>3077</v>
      </c>
      <c r="B3001" t="s">
        <v>16</v>
      </c>
      <c r="C3001" t="s">
        <v>3074</v>
      </c>
      <c r="D3001" s="1">
        <v>0.40599537037037037</v>
      </c>
      <c r="E3001" s="2">
        <f>CallLog[[#This Row],[Date]]+CallLog[[#This Row],[Time]]</f>
        <v>44249.405995370369</v>
      </c>
      <c r="F3001" s="1" t="str">
        <f>TEXT(CallLog[[#This Row],[Date]],"dddd")</f>
        <v>Monday</v>
      </c>
      <c r="G3001" s="3">
        <f>HOUR(CallLog[[#This Row],[Time]])</f>
        <v>9</v>
      </c>
      <c r="H3001" t="s">
        <v>32</v>
      </c>
      <c r="I3001" t="s">
        <v>18</v>
      </c>
      <c r="J3001" t="s">
        <v>18</v>
      </c>
      <c r="L3001" t="str">
        <f>IF(AND(CallLog[[#This Row],[Answered (Y/N)]]="Y", CallLog[[#This Row],[Speed of answer in seconds]]&lt;=20),
    "Within",
    "Breach")</f>
        <v>Breach</v>
      </c>
    </row>
    <row r="3002" spans="1:14" x14ac:dyDescent="0.3">
      <c r="A3002" t="s">
        <v>3078</v>
      </c>
      <c r="B3002" t="s">
        <v>31</v>
      </c>
      <c r="C3002" t="s">
        <v>3074</v>
      </c>
      <c r="D3002" s="1">
        <v>0.4670023148148148</v>
      </c>
      <c r="E3002" s="2">
        <f>CallLog[[#This Row],[Date]]+CallLog[[#This Row],[Time]]</f>
        <v>44249.467002314814</v>
      </c>
      <c r="F3002" s="1" t="str">
        <f>TEXT(CallLog[[#This Row],[Date]],"dddd")</f>
        <v>Monday</v>
      </c>
      <c r="G3002" s="3">
        <f>HOUR(CallLog[[#This Row],[Time]])</f>
        <v>11</v>
      </c>
      <c r="H3002" t="s">
        <v>32</v>
      </c>
      <c r="I3002" t="s">
        <v>14</v>
      </c>
      <c r="J3002" t="s">
        <v>14</v>
      </c>
      <c r="K3002">
        <v>41</v>
      </c>
      <c r="L3002" t="str">
        <f>IF(AND(CallLog[[#This Row],[Answered (Y/N)]]="Y", CallLog[[#This Row],[Speed of answer in seconds]]&lt;=20),
    "Within",
    "Breach")</f>
        <v>Breach</v>
      </c>
      <c r="M3002" s="1">
        <v>1.5856481481481481E-3</v>
      </c>
      <c r="N3002">
        <v>4</v>
      </c>
    </row>
    <row r="3003" spans="1:14" x14ac:dyDescent="0.3">
      <c r="A3003" t="s">
        <v>3079</v>
      </c>
      <c r="B3003" t="s">
        <v>16</v>
      </c>
      <c r="C3003" t="s">
        <v>3074</v>
      </c>
      <c r="D3003" s="1">
        <v>0.4670023148148148</v>
      </c>
      <c r="E3003" s="2">
        <f>CallLog[[#This Row],[Date]]+CallLog[[#This Row],[Time]]</f>
        <v>44249.467002314814</v>
      </c>
      <c r="F3003" s="1" t="str">
        <f>TEXT(CallLog[[#This Row],[Date]],"dddd")</f>
        <v>Monday</v>
      </c>
      <c r="G3003" s="3">
        <f>HOUR(CallLog[[#This Row],[Time]])</f>
        <v>11</v>
      </c>
      <c r="H3003" t="s">
        <v>32</v>
      </c>
      <c r="I3003" t="s">
        <v>14</v>
      </c>
      <c r="J3003" t="s">
        <v>14</v>
      </c>
      <c r="K3003">
        <v>81</v>
      </c>
      <c r="L3003" t="str">
        <f>IF(AND(CallLog[[#This Row],[Answered (Y/N)]]="Y", CallLog[[#This Row],[Speed of answer in seconds]]&lt;=20),
    "Within",
    "Breach")</f>
        <v>Breach</v>
      </c>
      <c r="M3003" s="1">
        <v>1.3078703703703703E-3</v>
      </c>
      <c r="N3003">
        <v>3</v>
      </c>
    </row>
    <row r="3004" spans="1:14" x14ac:dyDescent="0.3">
      <c r="A3004" t="s">
        <v>3080</v>
      </c>
      <c r="B3004" t="s">
        <v>11</v>
      </c>
      <c r="C3004" t="s">
        <v>3074</v>
      </c>
      <c r="D3004" s="1">
        <v>0.4679976851851852</v>
      </c>
      <c r="E3004" s="2">
        <f>CallLog[[#This Row],[Date]]+CallLog[[#This Row],[Time]]</f>
        <v>44249.467997685184</v>
      </c>
      <c r="F3004" s="1" t="str">
        <f>TEXT(CallLog[[#This Row],[Date]],"dddd")</f>
        <v>Monday</v>
      </c>
      <c r="G3004" s="3">
        <f>HOUR(CallLog[[#This Row],[Time]])</f>
        <v>11</v>
      </c>
      <c r="H3004" t="s">
        <v>17</v>
      </c>
      <c r="I3004" t="s">
        <v>14</v>
      </c>
      <c r="J3004" t="s">
        <v>14</v>
      </c>
      <c r="K3004">
        <v>21</v>
      </c>
      <c r="L3004" t="str">
        <f>IF(AND(CallLog[[#This Row],[Answered (Y/N)]]="Y", CallLog[[#This Row],[Speed of answer in seconds]]&lt;=20),
    "Within",
    "Breach")</f>
        <v>Breach</v>
      </c>
      <c r="M3004" s="1">
        <v>3.7962962962962963E-3</v>
      </c>
      <c r="N3004">
        <v>5</v>
      </c>
    </row>
    <row r="3005" spans="1:14" x14ac:dyDescent="0.3">
      <c r="A3005" t="s">
        <v>3081</v>
      </c>
      <c r="B3005" t="s">
        <v>34</v>
      </c>
      <c r="C3005" t="s">
        <v>3074</v>
      </c>
      <c r="D3005" s="1">
        <v>0.4679976851851852</v>
      </c>
      <c r="E3005" s="2">
        <f>CallLog[[#This Row],[Date]]+CallLog[[#This Row],[Time]]</f>
        <v>44249.467997685184</v>
      </c>
      <c r="F3005" s="1" t="str">
        <f>TEXT(CallLog[[#This Row],[Date]],"dddd")</f>
        <v>Monday</v>
      </c>
      <c r="G3005" s="3">
        <f>HOUR(CallLog[[#This Row],[Time]])</f>
        <v>11</v>
      </c>
      <c r="H3005" t="s">
        <v>29</v>
      </c>
      <c r="I3005" t="s">
        <v>18</v>
      </c>
      <c r="J3005" t="s">
        <v>18</v>
      </c>
      <c r="L3005" t="str">
        <f>IF(AND(CallLog[[#This Row],[Answered (Y/N)]]="Y", CallLog[[#This Row],[Speed of answer in seconds]]&lt;=20),
    "Within",
    "Breach")</f>
        <v>Breach</v>
      </c>
    </row>
    <row r="3006" spans="1:14" x14ac:dyDescent="0.3">
      <c r="A3006" t="s">
        <v>3082</v>
      </c>
      <c r="B3006" t="s">
        <v>31</v>
      </c>
      <c r="C3006" t="s">
        <v>3074</v>
      </c>
      <c r="D3006" s="1">
        <v>0.47900462962962964</v>
      </c>
      <c r="E3006" s="2">
        <f>CallLog[[#This Row],[Date]]+CallLog[[#This Row],[Time]]</f>
        <v>44249.479004629633</v>
      </c>
      <c r="F3006" s="1" t="str">
        <f>TEXT(CallLog[[#This Row],[Date]],"dddd")</f>
        <v>Monday</v>
      </c>
      <c r="G3006" s="3">
        <f>HOUR(CallLog[[#This Row],[Time]])</f>
        <v>11</v>
      </c>
      <c r="H3006" t="s">
        <v>32</v>
      </c>
      <c r="I3006" t="s">
        <v>18</v>
      </c>
      <c r="J3006" t="s">
        <v>18</v>
      </c>
      <c r="L3006" t="str">
        <f>IF(AND(CallLog[[#This Row],[Answered (Y/N)]]="Y", CallLog[[#This Row],[Speed of answer in seconds]]&lt;=20),
    "Within",
    "Breach")</f>
        <v>Breach</v>
      </c>
    </row>
    <row r="3007" spans="1:14" x14ac:dyDescent="0.3">
      <c r="A3007" t="s">
        <v>3083</v>
      </c>
      <c r="B3007" t="s">
        <v>31</v>
      </c>
      <c r="C3007" t="s">
        <v>3074</v>
      </c>
      <c r="D3007" s="1">
        <v>0.47900462962962964</v>
      </c>
      <c r="E3007" s="2">
        <f>CallLog[[#This Row],[Date]]+CallLog[[#This Row],[Time]]</f>
        <v>44249.479004629633</v>
      </c>
      <c r="F3007" s="1" t="str">
        <f>TEXT(CallLog[[#This Row],[Date]],"dddd")</f>
        <v>Monday</v>
      </c>
      <c r="G3007" s="3">
        <f>HOUR(CallLog[[#This Row],[Time]])</f>
        <v>11</v>
      </c>
      <c r="H3007" t="s">
        <v>13</v>
      </c>
      <c r="I3007" t="s">
        <v>14</v>
      </c>
      <c r="J3007" t="s">
        <v>14</v>
      </c>
      <c r="K3007">
        <v>42</v>
      </c>
      <c r="L3007" t="str">
        <f>IF(AND(CallLog[[#This Row],[Answered (Y/N)]]="Y", CallLog[[#This Row],[Speed of answer in seconds]]&lt;=20),
    "Within",
    "Breach")</f>
        <v>Breach</v>
      </c>
      <c r="M3007" s="1">
        <v>3.1018518518518517E-3</v>
      </c>
      <c r="N3007">
        <v>4</v>
      </c>
    </row>
    <row r="3008" spans="1:14" x14ac:dyDescent="0.3">
      <c r="A3008" t="s">
        <v>3084</v>
      </c>
      <c r="B3008" t="s">
        <v>22</v>
      </c>
      <c r="C3008" t="s">
        <v>3074</v>
      </c>
      <c r="D3008" s="1">
        <v>0.4990046296296296</v>
      </c>
      <c r="E3008" s="2">
        <f>CallLog[[#This Row],[Date]]+CallLog[[#This Row],[Time]]</f>
        <v>44249.49900462963</v>
      </c>
      <c r="F3008" s="1" t="str">
        <f>TEXT(CallLog[[#This Row],[Date]],"dddd")</f>
        <v>Monday</v>
      </c>
      <c r="G3008" s="3">
        <f>HOUR(CallLog[[#This Row],[Time]])</f>
        <v>11</v>
      </c>
      <c r="H3008" t="s">
        <v>32</v>
      </c>
      <c r="I3008" t="s">
        <v>14</v>
      </c>
      <c r="J3008" t="s">
        <v>14</v>
      </c>
      <c r="K3008">
        <v>79</v>
      </c>
      <c r="L3008" t="str">
        <f>IF(AND(CallLog[[#This Row],[Answered (Y/N)]]="Y", CallLog[[#This Row],[Speed of answer in seconds]]&lt;=20),
    "Within",
    "Breach")</f>
        <v>Breach</v>
      </c>
      <c r="M3008" s="1">
        <v>3.7152777777777778E-3</v>
      </c>
      <c r="N3008">
        <v>5</v>
      </c>
    </row>
    <row r="3009" spans="1:14" x14ac:dyDescent="0.3">
      <c r="A3009" t="s">
        <v>3085</v>
      </c>
      <c r="B3009" t="s">
        <v>22</v>
      </c>
      <c r="C3009" t="s">
        <v>3074</v>
      </c>
      <c r="D3009" s="1">
        <v>0.4990046296296296</v>
      </c>
      <c r="E3009" s="2">
        <f>CallLog[[#This Row],[Date]]+CallLog[[#This Row],[Time]]</f>
        <v>44249.49900462963</v>
      </c>
      <c r="F3009" s="1" t="str">
        <f>TEXT(CallLog[[#This Row],[Date]],"dddd")</f>
        <v>Monday</v>
      </c>
      <c r="G3009" s="3">
        <f>HOUR(CallLog[[#This Row],[Time]])</f>
        <v>11</v>
      </c>
      <c r="H3009" t="s">
        <v>17</v>
      </c>
      <c r="I3009" t="s">
        <v>14</v>
      </c>
      <c r="J3009" t="s">
        <v>14</v>
      </c>
      <c r="K3009">
        <v>120</v>
      </c>
      <c r="L3009" t="str">
        <f>IF(AND(CallLog[[#This Row],[Answered (Y/N)]]="Y", CallLog[[#This Row],[Speed of answer in seconds]]&lt;=20),
    "Within",
    "Breach")</f>
        <v>Breach</v>
      </c>
      <c r="M3009" s="1">
        <v>3.3912037037037036E-3</v>
      </c>
      <c r="N3009">
        <v>4</v>
      </c>
    </row>
    <row r="3010" spans="1:14" x14ac:dyDescent="0.3">
      <c r="A3010" t="s">
        <v>3086</v>
      </c>
      <c r="B3010" t="s">
        <v>47</v>
      </c>
      <c r="C3010" t="s">
        <v>3074</v>
      </c>
      <c r="D3010" s="1">
        <v>0.50299768518518517</v>
      </c>
      <c r="E3010" s="2">
        <f>CallLog[[#This Row],[Date]]+CallLog[[#This Row],[Time]]</f>
        <v>44249.502997685187</v>
      </c>
      <c r="F3010" s="1" t="str">
        <f>TEXT(CallLog[[#This Row],[Date]],"dddd")</f>
        <v>Monday</v>
      </c>
      <c r="G3010" s="3">
        <f>HOUR(CallLog[[#This Row],[Time]])</f>
        <v>12</v>
      </c>
      <c r="H3010" t="s">
        <v>29</v>
      </c>
      <c r="I3010" t="s">
        <v>14</v>
      </c>
      <c r="J3010" t="s">
        <v>14</v>
      </c>
      <c r="K3010">
        <v>10</v>
      </c>
      <c r="L3010" t="str">
        <f>IF(AND(CallLog[[#This Row],[Answered (Y/N)]]="Y", CallLog[[#This Row],[Speed of answer in seconds]]&lt;=20),
    "Within",
    "Breach")</f>
        <v>Within</v>
      </c>
      <c r="M3010" s="1">
        <v>1.7824074074074075E-3</v>
      </c>
      <c r="N3010">
        <v>4</v>
      </c>
    </row>
    <row r="3011" spans="1:14" x14ac:dyDescent="0.3">
      <c r="A3011" t="s">
        <v>3087</v>
      </c>
      <c r="B3011" t="s">
        <v>31</v>
      </c>
      <c r="C3011" t="s">
        <v>3074</v>
      </c>
      <c r="D3011" s="1">
        <v>0.50299768518518517</v>
      </c>
      <c r="E3011" s="2">
        <f>CallLog[[#This Row],[Date]]+CallLog[[#This Row],[Time]]</f>
        <v>44249.502997685187</v>
      </c>
      <c r="F3011" s="1" t="str">
        <f>TEXT(CallLog[[#This Row],[Date]],"dddd")</f>
        <v>Monday</v>
      </c>
      <c r="G3011" s="3">
        <f>HOUR(CallLog[[#This Row],[Time]])</f>
        <v>12</v>
      </c>
      <c r="H3011" t="s">
        <v>32</v>
      </c>
      <c r="I3011" t="s">
        <v>14</v>
      </c>
      <c r="J3011" t="s">
        <v>14</v>
      </c>
      <c r="K3011">
        <v>21</v>
      </c>
      <c r="L3011" t="str">
        <f>IF(AND(CallLog[[#This Row],[Answered (Y/N)]]="Y", CallLog[[#This Row],[Speed of answer in seconds]]&lt;=20),
    "Within",
    "Breach")</f>
        <v>Breach</v>
      </c>
      <c r="M3011" s="1">
        <v>3.5300925925925925E-3</v>
      </c>
      <c r="N3011">
        <v>1</v>
      </c>
    </row>
    <row r="3012" spans="1:14" x14ac:dyDescent="0.3">
      <c r="A3012" t="s">
        <v>3088</v>
      </c>
      <c r="B3012" t="s">
        <v>11</v>
      </c>
      <c r="C3012" t="s">
        <v>3074</v>
      </c>
      <c r="D3012" s="1">
        <v>0.54299768518518521</v>
      </c>
      <c r="E3012" s="2">
        <f>CallLog[[#This Row],[Date]]+CallLog[[#This Row],[Time]]</f>
        <v>44249.542997685188</v>
      </c>
      <c r="F3012" s="1" t="str">
        <f>TEXT(CallLog[[#This Row],[Date]],"dddd")</f>
        <v>Monday</v>
      </c>
      <c r="G3012" s="3">
        <f>HOUR(CallLog[[#This Row],[Time]])</f>
        <v>13</v>
      </c>
      <c r="H3012" t="s">
        <v>17</v>
      </c>
      <c r="I3012" t="s">
        <v>14</v>
      </c>
      <c r="J3012" t="s">
        <v>18</v>
      </c>
      <c r="K3012">
        <v>16</v>
      </c>
      <c r="L3012" t="str">
        <f>IF(AND(CallLog[[#This Row],[Answered (Y/N)]]="Y", CallLog[[#This Row],[Speed of answer in seconds]]&lt;=20),
    "Within",
    "Breach")</f>
        <v>Within</v>
      </c>
      <c r="M3012" s="1">
        <v>2.488425925925926E-3</v>
      </c>
      <c r="N3012">
        <v>5</v>
      </c>
    </row>
    <row r="3013" spans="1:14" x14ac:dyDescent="0.3">
      <c r="A3013" t="s">
        <v>3089</v>
      </c>
      <c r="B3013" t="s">
        <v>34</v>
      </c>
      <c r="C3013" t="s">
        <v>3074</v>
      </c>
      <c r="D3013" s="1">
        <v>0.54299768518518521</v>
      </c>
      <c r="E3013" s="2">
        <f>CallLog[[#This Row],[Date]]+CallLog[[#This Row],[Time]]</f>
        <v>44249.542997685188</v>
      </c>
      <c r="F3013" s="1" t="str">
        <f>TEXT(CallLog[[#This Row],[Date]],"dddd")</f>
        <v>Monday</v>
      </c>
      <c r="G3013" s="3">
        <f>HOUR(CallLog[[#This Row],[Time]])</f>
        <v>13</v>
      </c>
      <c r="H3013" t="s">
        <v>24</v>
      </c>
      <c r="I3013" t="s">
        <v>14</v>
      </c>
      <c r="J3013" t="s">
        <v>14</v>
      </c>
      <c r="K3013">
        <v>34</v>
      </c>
      <c r="L3013" t="str">
        <f>IF(AND(CallLog[[#This Row],[Answered (Y/N)]]="Y", CallLog[[#This Row],[Speed of answer in seconds]]&lt;=20),
    "Within",
    "Breach")</f>
        <v>Breach</v>
      </c>
      <c r="M3013" s="1">
        <v>4.386574074074074E-3</v>
      </c>
      <c r="N3013">
        <v>5</v>
      </c>
    </row>
    <row r="3014" spans="1:14" x14ac:dyDescent="0.3">
      <c r="A3014" t="s">
        <v>3090</v>
      </c>
      <c r="B3014" t="s">
        <v>11</v>
      </c>
      <c r="C3014" t="s">
        <v>3074</v>
      </c>
      <c r="D3014" s="1">
        <v>0.55500000000000005</v>
      </c>
      <c r="E3014" s="2">
        <f>CallLog[[#This Row],[Date]]+CallLog[[#This Row],[Time]]</f>
        <v>44249.555</v>
      </c>
      <c r="F3014" s="1" t="str">
        <f>TEXT(CallLog[[#This Row],[Date]],"dddd")</f>
        <v>Monday</v>
      </c>
      <c r="G3014" s="3">
        <f>HOUR(CallLog[[#This Row],[Time]])</f>
        <v>13</v>
      </c>
      <c r="H3014" t="s">
        <v>13</v>
      </c>
      <c r="I3014" t="s">
        <v>14</v>
      </c>
      <c r="J3014" t="s">
        <v>14</v>
      </c>
      <c r="K3014">
        <v>116</v>
      </c>
      <c r="L3014" t="str">
        <f>IF(AND(CallLog[[#This Row],[Answered (Y/N)]]="Y", CallLog[[#This Row],[Speed of answer in seconds]]&lt;=20),
    "Within",
    "Breach")</f>
        <v>Breach</v>
      </c>
      <c r="M3014" s="1">
        <v>4.7800925925925927E-3</v>
      </c>
      <c r="N3014">
        <v>1</v>
      </c>
    </row>
    <row r="3015" spans="1:14" x14ac:dyDescent="0.3">
      <c r="A3015" t="s">
        <v>3091</v>
      </c>
      <c r="B3015" t="s">
        <v>22</v>
      </c>
      <c r="C3015" t="s">
        <v>3074</v>
      </c>
      <c r="D3015" s="1">
        <v>0.55500000000000005</v>
      </c>
      <c r="E3015" s="2">
        <f>CallLog[[#This Row],[Date]]+CallLog[[#This Row],[Time]]</f>
        <v>44249.555</v>
      </c>
      <c r="F3015" s="1" t="str">
        <f>TEXT(CallLog[[#This Row],[Date]],"dddd")</f>
        <v>Monday</v>
      </c>
      <c r="G3015" s="3">
        <f>HOUR(CallLog[[#This Row],[Time]])</f>
        <v>13</v>
      </c>
      <c r="H3015" t="s">
        <v>29</v>
      </c>
      <c r="I3015" t="s">
        <v>14</v>
      </c>
      <c r="J3015" t="s">
        <v>14</v>
      </c>
      <c r="K3015">
        <v>28</v>
      </c>
      <c r="L3015" t="str">
        <f>IF(AND(CallLog[[#This Row],[Answered (Y/N)]]="Y", CallLog[[#This Row],[Speed of answer in seconds]]&lt;=20),
    "Within",
    "Breach")</f>
        <v>Breach</v>
      </c>
      <c r="M3015" s="1">
        <v>4.4560185185185189E-3</v>
      </c>
      <c r="N3015">
        <v>2</v>
      </c>
    </row>
    <row r="3016" spans="1:14" x14ac:dyDescent="0.3">
      <c r="A3016" t="s">
        <v>3092</v>
      </c>
      <c r="B3016" t="s">
        <v>38</v>
      </c>
      <c r="C3016" t="s">
        <v>3074</v>
      </c>
      <c r="D3016" s="1">
        <v>0.56299768518518523</v>
      </c>
      <c r="E3016" s="2">
        <f>CallLog[[#This Row],[Date]]+CallLog[[#This Row],[Time]]</f>
        <v>44249.562997685185</v>
      </c>
      <c r="F3016" s="1" t="str">
        <f>TEXT(CallLog[[#This Row],[Date]],"dddd")</f>
        <v>Monday</v>
      </c>
      <c r="G3016" s="3">
        <f>HOUR(CallLog[[#This Row],[Time]])</f>
        <v>13</v>
      </c>
      <c r="H3016" t="s">
        <v>17</v>
      </c>
      <c r="I3016" t="s">
        <v>14</v>
      </c>
      <c r="J3016" t="s">
        <v>14</v>
      </c>
      <c r="K3016">
        <v>75</v>
      </c>
      <c r="L3016" t="str">
        <f>IF(AND(CallLog[[#This Row],[Answered (Y/N)]]="Y", CallLog[[#This Row],[Speed of answer in seconds]]&lt;=20),
    "Within",
    "Breach")</f>
        <v>Breach</v>
      </c>
      <c r="M3016" s="1">
        <v>1.7708333333333332E-3</v>
      </c>
      <c r="N3016">
        <v>3</v>
      </c>
    </row>
    <row r="3017" spans="1:14" x14ac:dyDescent="0.3">
      <c r="A3017" t="s">
        <v>3093</v>
      </c>
      <c r="B3017" t="s">
        <v>38</v>
      </c>
      <c r="C3017" t="s">
        <v>3074</v>
      </c>
      <c r="D3017" s="1">
        <v>0.56299768518518523</v>
      </c>
      <c r="E3017" s="2">
        <f>CallLog[[#This Row],[Date]]+CallLog[[#This Row],[Time]]</f>
        <v>44249.562997685185</v>
      </c>
      <c r="F3017" s="1" t="str">
        <f>TEXT(CallLog[[#This Row],[Date]],"dddd")</f>
        <v>Monday</v>
      </c>
      <c r="G3017" s="3">
        <f>HOUR(CallLog[[#This Row],[Time]])</f>
        <v>13</v>
      </c>
      <c r="H3017" t="s">
        <v>24</v>
      </c>
      <c r="I3017" t="s">
        <v>18</v>
      </c>
      <c r="J3017" t="s">
        <v>18</v>
      </c>
      <c r="L3017" t="str">
        <f>IF(AND(CallLog[[#This Row],[Answered (Y/N)]]="Y", CallLog[[#This Row],[Speed of answer in seconds]]&lt;=20),
    "Within",
    "Breach")</f>
        <v>Breach</v>
      </c>
    </row>
    <row r="3018" spans="1:14" x14ac:dyDescent="0.3">
      <c r="A3018" t="s">
        <v>3094</v>
      </c>
      <c r="B3018" t="s">
        <v>34</v>
      </c>
      <c r="C3018" t="s">
        <v>3074</v>
      </c>
      <c r="D3018" s="1">
        <v>0.58799768518518514</v>
      </c>
      <c r="E3018" s="2">
        <f>CallLog[[#This Row],[Date]]+CallLog[[#This Row],[Time]]</f>
        <v>44249.587997685187</v>
      </c>
      <c r="F3018" s="1" t="str">
        <f>TEXT(CallLog[[#This Row],[Date]],"dddd")</f>
        <v>Monday</v>
      </c>
      <c r="G3018" s="3">
        <f>HOUR(CallLog[[#This Row],[Time]])</f>
        <v>14</v>
      </c>
      <c r="H3018" t="s">
        <v>24</v>
      </c>
      <c r="I3018" t="s">
        <v>14</v>
      </c>
      <c r="J3018" t="s">
        <v>18</v>
      </c>
      <c r="K3018">
        <v>29</v>
      </c>
      <c r="L3018" t="str">
        <f>IF(AND(CallLog[[#This Row],[Answered (Y/N)]]="Y", CallLog[[#This Row],[Speed of answer in seconds]]&lt;=20),
    "Within",
    "Breach")</f>
        <v>Breach</v>
      </c>
      <c r="M3018" s="1">
        <v>2.476851851851852E-3</v>
      </c>
      <c r="N3018">
        <v>2</v>
      </c>
    </row>
    <row r="3019" spans="1:14" x14ac:dyDescent="0.3">
      <c r="A3019" t="s">
        <v>3095</v>
      </c>
      <c r="B3019" t="s">
        <v>31</v>
      </c>
      <c r="C3019" t="s">
        <v>3074</v>
      </c>
      <c r="D3019" s="1">
        <v>0.58799768518518514</v>
      </c>
      <c r="E3019" s="2">
        <f>CallLog[[#This Row],[Date]]+CallLog[[#This Row],[Time]]</f>
        <v>44249.587997685187</v>
      </c>
      <c r="F3019" s="1" t="str">
        <f>TEXT(CallLog[[#This Row],[Date]],"dddd")</f>
        <v>Monday</v>
      </c>
      <c r="G3019" s="3">
        <f>HOUR(CallLog[[#This Row],[Time]])</f>
        <v>14</v>
      </c>
      <c r="H3019" t="s">
        <v>17</v>
      </c>
      <c r="I3019" t="s">
        <v>18</v>
      </c>
      <c r="J3019" t="s">
        <v>18</v>
      </c>
      <c r="L3019" t="str">
        <f>IF(AND(CallLog[[#This Row],[Answered (Y/N)]]="Y", CallLog[[#This Row],[Speed of answer in seconds]]&lt;=20),
    "Within",
    "Breach")</f>
        <v>Breach</v>
      </c>
    </row>
    <row r="3020" spans="1:14" x14ac:dyDescent="0.3">
      <c r="A3020" t="s">
        <v>3096</v>
      </c>
      <c r="B3020" t="s">
        <v>16</v>
      </c>
      <c r="C3020" t="s">
        <v>3074</v>
      </c>
      <c r="D3020" s="1">
        <v>0.60599537037037032</v>
      </c>
      <c r="E3020" s="2">
        <f>CallLog[[#This Row],[Date]]+CallLog[[#This Row],[Time]]</f>
        <v>44249.605995370373</v>
      </c>
      <c r="F3020" s="1" t="str">
        <f>TEXT(CallLog[[#This Row],[Date]],"dddd")</f>
        <v>Monday</v>
      </c>
      <c r="G3020" s="3">
        <f>HOUR(CallLog[[#This Row],[Time]])</f>
        <v>14</v>
      </c>
      <c r="H3020" t="s">
        <v>17</v>
      </c>
      <c r="I3020" t="s">
        <v>18</v>
      </c>
      <c r="J3020" t="s">
        <v>18</v>
      </c>
      <c r="L3020" t="str">
        <f>IF(AND(CallLog[[#This Row],[Answered (Y/N)]]="Y", CallLog[[#This Row],[Speed of answer in seconds]]&lt;=20),
    "Within",
    "Breach")</f>
        <v>Breach</v>
      </c>
    </row>
    <row r="3021" spans="1:14" x14ac:dyDescent="0.3">
      <c r="A3021" t="s">
        <v>3097</v>
      </c>
      <c r="B3021" t="s">
        <v>47</v>
      </c>
      <c r="C3021" t="s">
        <v>3074</v>
      </c>
      <c r="D3021" s="1">
        <v>0.60599537037037032</v>
      </c>
      <c r="E3021" s="2">
        <f>CallLog[[#This Row],[Date]]+CallLog[[#This Row],[Time]]</f>
        <v>44249.605995370373</v>
      </c>
      <c r="F3021" s="1" t="str">
        <f>TEXT(CallLog[[#This Row],[Date]],"dddd")</f>
        <v>Monday</v>
      </c>
      <c r="G3021" s="3">
        <f>HOUR(CallLog[[#This Row],[Time]])</f>
        <v>14</v>
      </c>
      <c r="H3021" t="s">
        <v>17</v>
      </c>
      <c r="I3021" t="s">
        <v>14</v>
      </c>
      <c r="J3021" t="s">
        <v>14</v>
      </c>
      <c r="K3021">
        <v>118</v>
      </c>
      <c r="L3021" t="str">
        <f>IF(AND(CallLog[[#This Row],[Answered (Y/N)]]="Y", CallLog[[#This Row],[Speed of answer in seconds]]&lt;=20),
    "Within",
    "Breach")</f>
        <v>Breach</v>
      </c>
      <c r="M3021" s="1">
        <v>1.5162037037037036E-3</v>
      </c>
      <c r="N3021">
        <v>4</v>
      </c>
    </row>
    <row r="3022" spans="1:14" x14ac:dyDescent="0.3">
      <c r="A3022" t="s">
        <v>3098</v>
      </c>
      <c r="B3022" t="s">
        <v>47</v>
      </c>
      <c r="C3022" t="s">
        <v>3074</v>
      </c>
      <c r="D3022" s="1">
        <v>0.60599537037037032</v>
      </c>
      <c r="E3022" s="2">
        <f>CallLog[[#This Row],[Date]]+CallLog[[#This Row],[Time]]</f>
        <v>44249.605995370373</v>
      </c>
      <c r="F3022" s="1" t="str">
        <f>TEXT(CallLog[[#This Row],[Date]],"dddd")</f>
        <v>Monday</v>
      </c>
      <c r="G3022" s="3">
        <f>HOUR(CallLog[[#This Row],[Time]])</f>
        <v>14</v>
      </c>
      <c r="H3022" t="s">
        <v>29</v>
      </c>
      <c r="I3022" t="s">
        <v>14</v>
      </c>
      <c r="J3022" t="s">
        <v>14</v>
      </c>
      <c r="K3022">
        <v>87</v>
      </c>
      <c r="L3022" t="str">
        <f>IF(AND(CallLog[[#This Row],[Answered (Y/N)]]="Y", CallLog[[#This Row],[Speed of answer in seconds]]&lt;=20),
    "Within",
    "Breach")</f>
        <v>Breach</v>
      </c>
      <c r="M3022" s="1">
        <v>3.5185185185185185E-3</v>
      </c>
      <c r="N3022">
        <v>3</v>
      </c>
    </row>
    <row r="3023" spans="1:14" x14ac:dyDescent="0.3">
      <c r="A3023" t="s">
        <v>3099</v>
      </c>
      <c r="B3023" t="s">
        <v>11</v>
      </c>
      <c r="C3023" t="s">
        <v>3074</v>
      </c>
      <c r="D3023" s="1">
        <v>0.60599537037037032</v>
      </c>
      <c r="E3023" s="2">
        <f>CallLog[[#This Row],[Date]]+CallLog[[#This Row],[Time]]</f>
        <v>44249.605995370373</v>
      </c>
      <c r="F3023" s="1" t="str">
        <f>TEXT(CallLog[[#This Row],[Date]],"dddd")</f>
        <v>Monday</v>
      </c>
      <c r="G3023" s="3">
        <f>HOUR(CallLog[[#This Row],[Time]])</f>
        <v>14</v>
      </c>
      <c r="H3023" t="s">
        <v>32</v>
      </c>
      <c r="I3023" t="s">
        <v>14</v>
      </c>
      <c r="J3023" t="s">
        <v>18</v>
      </c>
      <c r="K3023">
        <v>100</v>
      </c>
      <c r="L3023" t="str">
        <f>IF(AND(CallLog[[#This Row],[Answered (Y/N)]]="Y", CallLog[[#This Row],[Speed of answer in seconds]]&lt;=20),
    "Within",
    "Breach")</f>
        <v>Breach</v>
      </c>
      <c r="M3023" s="1">
        <v>4.6874999999999998E-3</v>
      </c>
      <c r="N3023">
        <v>3</v>
      </c>
    </row>
    <row r="3024" spans="1:14" x14ac:dyDescent="0.3">
      <c r="A3024" t="s">
        <v>3100</v>
      </c>
      <c r="B3024" t="s">
        <v>16</v>
      </c>
      <c r="C3024" t="s">
        <v>3074</v>
      </c>
      <c r="D3024" s="1">
        <v>0.63400462962962967</v>
      </c>
      <c r="E3024" s="2">
        <f>CallLog[[#This Row],[Date]]+CallLog[[#This Row],[Time]]</f>
        <v>44249.634004629632</v>
      </c>
      <c r="F3024" s="1" t="str">
        <f>TEXT(CallLog[[#This Row],[Date]],"dddd")</f>
        <v>Monday</v>
      </c>
      <c r="G3024" s="3">
        <f>HOUR(CallLog[[#This Row],[Time]])</f>
        <v>15</v>
      </c>
      <c r="H3024" t="s">
        <v>29</v>
      </c>
      <c r="I3024" t="s">
        <v>14</v>
      </c>
      <c r="J3024" t="s">
        <v>14</v>
      </c>
      <c r="K3024">
        <v>114</v>
      </c>
      <c r="L3024" t="str">
        <f>IF(AND(CallLog[[#This Row],[Answered (Y/N)]]="Y", CallLog[[#This Row],[Speed of answer in seconds]]&lt;=20),
    "Within",
    "Breach")</f>
        <v>Breach</v>
      </c>
      <c r="M3024" s="1">
        <v>3.5300925925925925E-3</v>
      </c>
      <c r="N3024">
        <v>2</v>
      </c>
    </row>
    <row r="3025" spans="1:14" x14ac:dyDescent="0.3">
      <c r="A3025" t="s">
        <v>3101</v>
      </c>
      <c r="B3025" t="s">
        <v>20</v>
      </c>
      <c r="C3025" t="s">
        <v>3074</v>
      </c>
      <c r="D3025" s="1">
        <v>0.63400462962962967</v>
      </c>
      <c r="E3025" s="2">
        <f>CallLog[[#This Row],[Date]]+CallLog[[#This Row],[Time]]</f>
        <v>44249.634004629632</v>
      </c>
      <c r="F3025" s="1" t="str">
        <f>TEXT(CallLog[[#This Row],[Date]],"dddd")</f>
        <v>Monday</v>
      </c>
      <c r="G3025" s="3">
        <f>HOUR(CallLog[[#This Row],[Time]])</f>
        <v>15</v>
      </c>
      <c r="H3025" t="s">
        <v>17</v>
      </c>
      <c r="I3025" t="s">
        <v>14</v>
      </c>
      <c r="J3025" t="s">
        <v>14</v>
      </c>
      <c r="K3025">
        <v>69</v>
      </c>
      <c r="L3025" t="str">
        <f>IF(AND(CallLog[[#This Row],[Answered (Y/N)]]="Y", CallLog[[#This Row],[Speed of answer in seconds]]&lt;=20),
    "Within",
    "Breach")</f>
        <v>Breach</v>
      </c>
      <c r="M3025" s="1">
        <v>4.0509259259259258E-4</v>
      </c>
      <c r="N3025">
        <v>4</v>
      </c>
    </row>
    <row r="3026" spans="1:14" x14ac:dyDescent="0.3">
      <c r="A3026" t="s">
        <v>3102</v>
      </c>
      <c r="B3026" t="s">
        <v>31</v>
      </c>
      <c r="C3026" t="s">
        <v>3074</v>
      </c>
      <c r="D3026" s="1">
        <v>0.63799768518518518</v>
      </c>
      <c r="E3026" s="2">
        <f>CallLog[[#This Row],[Date]]+CallLog[[#This Row],[Time]]</f>
        <v>44249.637997685182</v>
      </c>
      <c r="F3026" s="1" t="str">
        <f>TEXT(CallLog[[#This Row],[Date]],"dddd")</f>
        <v>Monday</v>
      </c>
      <c r="G3026" s="3">
        <f>HOUR(CallLog[[#This Row],[Time]])</f>
        <v>15</v>
      </c>
      <c r="H3026" t="s">
        <v>29</v>
      </c>
      <c r="I3026" t="s">
        <v>14</v>
      </c>
      <c r="J3026" t="s">
        <v>14</v>
      </c>
      <c r="K3026">
        <v>112</v>
      </c>
      <c r="L3026" t="str">
        <f>IF(AND(CallLog[[#This Row],[Answered (Y/N)]]="Y", CallLog[[#This Row],[Speed of answer in seconds]]&lt;=20),
    "Within",
    "Breach")</f>
        <v>Breach</v>
      </c>
      <c r="M3026" s="1">
        <v>1.3773148148148147E-3</v>
      </c>
      <c r="N3026">
        <v>3</v>
      </c>
    </row>
    <row r="3027" spans="1:14" x14ac:dyDescent="0.3">
      <c r="A3027" t="s">
        <v>3103</v>
      </c>
      <c r="B3027" t="s">
        <v>47</v>
      </c>
      <c r="C3027" t="s">
        <v>3074</v>
      </c>
      <c r="D3027" s="1">
        <v>0.63799768518518518</v>
      </c>
      <c r="E3027" s="2">
        <f>CallLog[[#This Row],[Date]]+CallLog[[#This Row],[Time]]</f>
        <v>44249.637997685182</v>
      </c>
      <c r="F3027" s="1" t="str">
        <f>TEXT(CallLog[[#This Row],[Date]],"dddd")</f>
        <v>Monday</v>
      </c>
      <c r="G3027" s="3">
        <f>HOUR(CallLog[[#This Row],[Time]])</f>
        <v>15</v>
      </c>
      <c r="H3027" t="s">
        <v>17</v>
      </c>
      <c r="I3027" t="s">
        <v>18</v>
      </c>
      <c r="J3027" t="s">
        <v>18</v>
      </c>
      <c r="L3027" t="str">
        <f>IF(AND(CallLog[[#This Row],[Answered (Y/N)]]="Y", CallLog[[#This Row],[Speed of answer in seconds]]&lt;=20),
    "Within",
    "Breach")</f>
        <v>Breach</v>
      </c>
    </row>
    <row r="3028" spans="1:14" x14ac:dyDescent="0.3">
      <c r="A3028" t="s">
        <v>3104</v>
      </c>
      <c r="B3028" t="s">
        <v>20</v>
      </c>
      <c r="C3028" t="s">
        <v>3074</v>
      </c>
      <c r="D3028" s="1">
        <v>0.65099537037037036</v>
      </c>
      <c r="E3028" s="2">
        <f>CallLog[[#This Row],[Date]]+CallLog[[#This Row],[Time]]</f>
        <v>44249.650995370372</v>
      </c>
      <c r="F3028" s="1" t="str">
        <f>TEXT(CallLog[[#This Row],[Date]],"dddd")</f>
        <v>Monday</v>
      </c>
      <c r="G3028" s="3">
        <f>HOUR(CallLog[[#This Row],[Time]])</f>
        <v>15</v>
      </c>
      <c r="H3028" t="s">
        <v>32</v>
      </c>
      <c r="I3028" t="s">
        <v>14</v>
      </c>
      <c r="J3028" t="s">
        <v>14</v>
      </c>
      <c r="K3028">
        <v>48</v>
      </c>
      <c r="L3028" t="str">
        <f>IF(AND(CallLog[[#This Row],[Answered (Y/N)]]="Y", CallLog[[#This Row],[Speed of answer in seconds]]&lt;=20),
    "Within",
    "Breach")</f>
        <v>Breach</v>
      </c>
      <c r="M3028" s="1">
        <v>1.3194444444444445E-3</v>
      </c>
      <c r="N3028">
        <v>3</v>
      </c>
    </row>
    <row r="3029" spans="1:14" x14ac:dyDescent="0.3">
      <c r="A3029" t="s">
        <v>3105</v>
      </c>
      <c r="B3029" t="s">
        <v>16</v>
      </c>
      <c r="C3029" t="s">
        <v>3074</v>
      </c>
      <c r="D3029" s="1">
        <v>0.65099537037037036</v>
      </c>
      <c r="E3029" s="2">
        <f>CallLog[[#This Row],[Date]]+CallLog[[#This Row],[Time]]</f>
        <v>44249.650995370372</v>
      </c>
      <c r="F3029" s="1" t="str">
        <f>TEXT(CallLog[[#This Row],[Date]],"dddd")</f>
        <v>Monday</v>
      </c>
      <c r="G3029" s="3">
        <f>HOUR(CallLog[[#This Row],[Time]])</f>
        <v>15</v>
      </c>
      <c r="H3029" t="s">
        <v>24</v>
      </c>
      <c r="I3029" t="s">
        <v>14</v>
      </c>
      <c r="J3029" t="s">
        <v>14</v>
      </c>
      <c r="K3029">
        <v>92</v>
      </c>
      <c r="L3029" t="str">
        <f>IF(AND(CallLog[[#This Row],[Answered (Y/N)]]="Y", CallLog[[#This Row],[Speed of answer in seconds]]&lt;=20),
    "Within",
    "Breach")</f>
        <v>Breach</v>
      </c>
      <c r="M3029" s="1">
        <v>9.9537037037037042E-4</v>
      </c>
      <c r="N3029">
        <v>2</v>
      </c>
    </row>
    <row r="3030" spans="1:14" x14ac:dyDescent="0.3">
      <c r="A3030" t="s">
        <v>3106</v>
      </c>
      <c r="B3030" t="s">
        <v>31</v>
      </c>
      <c r="C3030" t="s">
        <v>3074</v>
      </c>
      <c r="D3030" s="1">
        <v>0.65099537037037036</v>
      </c>
      <c r="E3030" s="2">
        <f>CallLog[[#This Row],[Date]]+CallLog[[#This Row],[Time]]</f>
        <v>44249.650995370372</v>
      </c>
      <c r="F3030" s="1" t="str">
        <f>TEXT(CallLog[[#This Row],[Date]],"dddd")</f>
        <v>Monday</v>
      </c>
      <c r="G3030" s="3">
        <f>HOUR(CallLog[[#This Row],[Time]])</f>
        <v>15</v>
      </c>
      <c r="H3030" t="s">
        <v>32</v>
      </c>
      <c r="I3030" t="s">
        <v>14</v>
      </c>
      <c r="J3030" t="s">
        <v>14</v>
      </c>
      <c r="K3030">
        <v>102</v>
      </c>
      <c r="L3030" t="str">
        <f>IF(AND(CallLog[[#This Row],[Answered (Y/N)]]="Y", CallLog[[#This Row],[Speed of answer in seconds]]&lt;=20),
    "Within",
    "Breach")</f>
        <v>Breach</v>
      </c>
      <c r="M3030" s="1">
        <v>4.5601851851851853E-3</v>
      </c>
      <c r="N3030">
        <v>4</v>
      </c>
    </row>
    <row r="3031" spans="1:14" x14ac:dyDescent="0.3">
      <c r="A3031" t="s">
        <v>3107</v>
      </c>
      <c r="B3031" t="s">
        <v>38</v>
      </c>
      <c r="C3031" t="s">
        <v>3074</v>
      </c>
      <c r="D3031" s="1">
        <v>0.65099537037037036</v>
      </c>
      <c r="E3031" s="2">
        <f>CallLog[[#This Row],[Date]]+CallLog[[#This Row],[Time]]</f>
        <v>44249.650995370372</v>
      </c>
      <c r="F3031" s="1" t="str">
        <f>TEXT(CallLog[[#This Row],[Date]],"dddd")</f>
        <v>Monday</v>
      </c>
      <c r="G3031" s="3">
        <f>HOUR(CallLog[[#This Row],[Time]])</f>
        <v>15</v>
      </c>
      <c r="H3031" t="s">
        <v>17</v>
      </c>
      <c r="I3031" t="s">
        <v>14</v>
      </c>
      <c r="J3031" t="s">
        <v>14</v>
      </c>
      <c r="K3031">
        <v>16</v>
      </c>
      <c r="L3031" t="str">
        <f>IF(AND(CallLog[[#This Row],[Answered (Y/N)]]="Y", CallLog[[#This Row],[Speed of answer in seconds]]&lt;=20),
    "Within",
    "Breach")</f>
        <v>Within</v>
      </c>
      <c r="M3031" s="1">
        <v>4.5254629629629629E-3</v>
      </c>
      <c r="N3031">
        <v>3</v>
      </c>
    </row>
    <row r="3032" spans="1:14" x14ac:dyDescent="0.3">
      <c r="A3032" t="s">
        <v>3108</v>
      </c>
      <c r="B3032" t="s">
        <v>34</v>
      </c>
      <c r="C3032" t="s">
        <v>3074</v>
      </c>
      <c r="D3032" s="1">
        <v>0.65400462962962957</v>
      </c>
      <c r="E3032" s="2">
        <f>CallLog[[#This Row],[Date]]+CallLog[[#This Row],[Time]]</f>
        <v>44249.654004629629</v>
      </c>
      <c r="F3032" s="1" t="str">
        <f>TEXT(CallLog[[#This Row],[Date]],"dddd")</f>
        <v>Monday</v>
      </c>
      <c r="G3032" s="3">
        <f>HOUR(CallLog[[#This Row],[Time]])</f>
        <v>15</v>
      </c>
      <c r="H3032" t="s">
        <v>17</v>
      </c>
      <c r="I3032" t="s">
        <v>14</v>
      </c>
      <c r="J3032" t="s">
        <v>14</v>
      </c>
      <c r="K3032">
        <v>58</v>
      </c>
      <c r="L3032" t="str">
        <f>IF(AND(CallLog[[#This Row],[Answered (Y/N)]]="Y", CallLog[[#This Row],[Speed of answer in seconds]]&lt;=20),
    "Within",
    "Breach")</f>
        <v>Breach</v>
      </c>
      <c r="M3032" s="1">
        <v>2.0023148148148148E-3</v>
      </c>
      <c r="N3032">
        <v>5</v>
      </c>
    </row>
    <row r="3033" spans="1:14" x14ac:dyDescent="0.3">
      <c r="A3033" t="s">
        <v>3109</v>
      </c>
      <c r="B3033" t="s">
        <v>16</v>
      </c>
      <c r="C3033" t="s">
        <v>3074</v>
      </c>
      <c r="D3033" s="1">
        <v>0.65400462962962957</v>
      </c>
      <c r="E3033" s="2">
        <f>CallLog[[#This Row],[Date]]+CallLog[[#This Row],[Time]]</f>
        <v>44249.654004629629</v>
      </c>
      <c r="F3033" s="1" t="str">
        <f>TEXT(CallLog[[#This Row],[Date]],"dddd")</f>
        <v>Monday</v>
      </c>
      <c r="G3033" s="3">
        <f>HOUR(CallLog[[#This Row],[Time]])</f>
        <v>15</v>
      </c>
      <c r="H3033" t="s">
        <v>13</v>
      </c>
      <c r="I3033" t="s">
        <v>14</v>
      </c>
      <c r="J3033" t="s">
        <v>14</v>
      </c>
      <c r="K3033">
        <v>87</v>
      </c>
      <c r="L3033" t="str">
        <f>IF(AND(CallLog[[#This Row],[Answered (Y/N)]]="Y", CallLog[[#This Row],[Speed of answer in seconds]]&lt;=20),
    "Within",
    "Breach")</f>
        <v>Breach</v>
      </c>
      <c r="M3033" s="1">
        <v>1.1805555555555556E-3</v>
      </c>
      <c r="N3033">
        <v>5</v>
      </c>
    </row>
    <row r="3034" spans="1:14" x14ac:dyDescent="0.3">
      <c r="A3034" t="s">
        <v>3110</v>
      </c>
      <c r="B3034" t="s">
        <v>34</v>
      </c>
      <c r="C3034" t="s">
        <v>3074</v>
      </c>
      <c r="D3034" s="1">
        <v>0.65900462962962958</v>
      </c>
      <c r="E3034" s="2">
        <f>CallLog[[#This Row],[Date]]+CallLog[[#This Row],[Time]]</f>
        <v>44249.659004629626</v>
      </c>
      <c r="F3034" s="1" t="str">
        <f>TEXT(CallLog[[#This Row],[Date]],"dddd")</f>
        <v>Monday</v>
      </c>
      <c r="G3034" s="3">
        <f>HOUR(CallLog[[#This Row],[Time]])</f>
        <v>15</v>
      </c>
      <c r="H3034" t="s">
        <v>13</v>
      </c>
      <c r="I3034" t="s">
        <v>14</v>
      </c>
      <c r="J3034" t="s">
        <v>14</v>
      </c>
      <c r="K3034">
        <v>88</v>
      </c>
      <c r="L3034" t="str">
        <f>IF(AND(CallLog[[#This Row],[Answered (Y/N)]]="Y", CallLog[[#This Row],[Speed of answer in seconds]]&lt;=20),
    "Within",
    "Breach")</f>
        <v>Breach</v>
      </c>
      <c r="M3034" s="1">
        <v>8.9120370370370373E-4</v>
      </c>
      <c r="N3034">
        <v>4</v>
      </c>
    </row>
    <row r="3035" spans="1:14" x14ac:dyDescent="0.3">
      <c r="A3035" t="s">
        <v>3111</v>
      </c>
      <c r="B3035" t="s">
        <v>47</v>
      </c>
      <c r="C3035" t="s">
        <v>3074</v>
      </c>
      <c r="D3035" s="1">
        <v>0.65900462962962958</v>
      </c>
      <c r="E3035" s="2">
        <f>CallLog[[#This Row],[Date]]+CallLog[[#This Row],[Time]]</f>
        <v>44249.659004629626</v>
      </c>
      <c r="F3035" s="1" t="str">
        <f>TEXT(CallLog[[#This Row],[Date]],"dddd")</f>
        <v>Monday</v>
      </c>
      <c r="G3035" s="3">
        <f>HOUR(CallLog[[#This Row],[Time]])</f>
        <v>15</v>
      </c>
      <c r="H3035" t="s">
        <v>29</v>
      </c>
      <c r="I3035" t="s">
        <v>14</v>
      </c>
      <c r="J3035" t="s">
        <v>14</v>
      </c>
      <c r="K3035">
        <v>59</v>
      </c>
      <c r="L3035" t="str">
        <f>IF(AND(CallLog[[#This Row],[Answered (Y/N)]]="Y", CallLog[[#This Row],[Speed of answer in seconds]]&lt;=20),
    "Within",
    "Breach")</f>
        <v>Breach</v>
      </c>
      <c r="M3035" s="1">
        <v>2.5694444444444445E-3</v>
      </c>
      <c r="N3035">
        <v>3</v>
      </c>
    </row>
    <row r="3036" spans="1:14" x14ac:dyDescent="0.3">
      <c r="A3036" t="s">
        <v>3112</v>
      </c>
      <c r="B3036" t="s">
        <v>31</v>
      </c>
      <c r="C3036" t="s">
        <v>3074</v>
      </c>
      <c r="D3036" s="1">
        <v>0.68500000000000005</v>
      </c>
      <c r="E3036" s="2">
        <f>CallLog[[#This Row],[Date]]+CallLog[[#This Row],[Time]]</f>
        <v>44249.684999999998</v>
      </c>
      <c r="F3036" s="1" t="str">
        <f>TEXT(CallLog[[#This Row],[Date]],"dddd")</f>
        <v>Monday</v>
      </c>
      <c r="G3036" s="3">
        <f>HOUR(CallLog[[#This Row],[Time]])</f>
        <v>16</v>
      </c>
      <c r="H3036" t="s">
        <v>32</v>
      </c>
      <c r="I3036" t="s">
        <v>14</v>
      </c>
      <c r="J3036" t="s">
        <v>14</v>
      </c>
      <c r="K3036">
        <v>11</v>
      </c>
      <c r="L3036" t="str">
        <f>IF(AND(CallLog[[#This Row],[Answered (Y/N)]]="Y", CallLog[[#This Row],[Speed of answer in seconds]]&lt;=20),
    "Within",
    "Breach")</f>
        <v>Within</v>
      </c>
      <c r="M3036" s="1">
        <v>2.2569444444444442E-3</v>
      </c>
      <c r="N3036">
        <v>3</v>
      </c>
    </row>
    <row r="3037" spans="1:14" x14ac:dyDescent="0.3">
      <c r="A3037" t="s">
        <v>3113</v>
      </c>
      <c r="B3037" t="s">
        <v>34</v>
      </c>
      <c r="C3037" t="s">
        <v>3074</v>
      </c>
      <c r="D3037" s="1">
        <v>0.68500000000000005</v>
      </c>
      <c r="E3037" s="2">
        <f>CallLog[[#This Row],[Date]]+CallLog[[#This Row],[Time]]</f>
        <v>44249.684999999998</v>
      </c>
      <c r="F3037" s="1" t="str">
        <f>TEXT(CallLog[[#This Row],[Date]],"dddd")</f>
        <v>Monday</v>
      </c>
      <c r="G3037" s="3">
        <f>HOUR(CallLog[[#This Row],[Time]])</f>
        <v>16</v>
      </c>
      <c r="H3037" t="s">
        <v>17</v>
      </c>
      <c r="I3037" t="s">
        <v>14</v>
      </c>
      <c r="J3037" t="s">
        <v>14</v>
      </c>
      <c r="K3037">
        <v>75</v>
      </c>
      <c r="L3037" t="str">
        <f>IF(AND(CallLog[[#This Row],[Answered (Y/N)]]="Y", CallLog[[#This Row],[Speed of answer in seconds]]&lt;=20),
    "Within",
    "Breach")</f>
        <v>Breach</v>
      </c>
      <c r="M3037" s="1">
        <v>4.5486111111111109E-3</v>
      </c>
      <c r="N3037">
        <v>3</v>
      </c>
    </row>
    <row r="3038" spans="1:14" x14ac:dyDescent="0.3">
      <c r="A3038" t="s">
        <v>3114</v>
      </c>
      <c r="B3038" t="s">
        <v>22</v>
      </c>
      <c r="C3038" t="s">
        <v>3074</v>
      </c>
      <c r="D3038" s="1">
        <v>0.69400462962962961</v>
      </c>
      <c r="E3038" s="2">
        <f>CallLog[[#This Row],[Date]]+CallLog[[#This Row],[Time]]</f>
        <v>44249.694004629629</v>
      </c>
      <c r="F3038" s="1" t="str">
        <f>TEXT(CallLog[[#This Row],[Date]],"dddd")</f>
        <v>Monday</v>
      </c>
      <c r="G3038" s="3">
        <f>HOUR(CallLog[[#This Row],[Time]])</f>
        <v>16</v>
      </c>
      <c r="H3038" t="s">
        <v>29</v>
      </c>
      <c r="I3038" t="s">
        <v>14</v>
      </c>
      <c r="J3038" t="s">
        <v>14</v>
      </c>
      <c r="K3038">
        <v>64</v>
      </c>
      <c r="L3038" t="str">
        <f>IF(AND(CallLog[[#This Row],[Answered (Y/N)]]="Y", CallLog[[#This Row],[Speed of answer in seconds]]&lt;=20),
    "Within",
    "Breach")</f>
        <v>Breach</v>
      </c>
      <c r="M3038" s="1">
        <v>4.5949074074074078E-3</v>
      </c>
      <c r="N3038">
        <v>3</v>
      </c>
    </row>
    <row r="3039" spans="1:14" x14ac:dyDescent="0.3">
      <c r="A3039" t="s">
        <v>3115</v>
      </c>
      <c r="B3039" t="s">
        <v>16</v>
      </c>
      <c r="C3039" t="s">
        <v>3074</v>
      </c>
      <c r="D3039" s="1">
        <v>0.69400462962962961</v>
      </c>
      <c r="E3039" s="2">
        <f>CallLog[[#This Row],[Date]]+CallLog[[#This Row],[Time]]</f>
        <v>44249.694004629629</v>
      </c>
      <c r="F3039" s="1" t="str">
        <f>TEXT(CallLog[[#This Row],[Date]],"dddd")</f>
        <v>Monday</v>
      </c>
      <c r="G3039" s="3">
        <f>HOUR(CallLog[[#This Row],[Time]])</f>
        <v>16</v>
      </c>
      <c r="H3039" t="s">
        <v>32</v>
      </c>
      <c r="I3039" t="s">
        <v>14</v>
      </c>
      <c r="J3039" t="s">
        <v>14</v>
      </c>
      <c r="K3039">
        <v>95</v>
      </c>
      <c r="L3039" t="str">
        <f>IF(AND(CallLog[[#This Row],[Answered (Y/N)]]="Y", CallLog[[#This Row],[Speed of answer in seconds]]&lt;=20),
    "Within",
    "Breach")</f>
        <v>Breach</v>
      </c>
      <c r="M3039" s="1">
        <v>3.6574074074074074E-3</v>
      </c>
      <c r="N3039">
        <v>1</v>
      </c>
    </row>
    <row r="3040" spans="1:14" x14ac:dyDescent="0.3">
      <c r="A3040" t="s">
        <v>3116</v>
      </c>
      <c r="B3040" t="s">
        <v>38</v>
      </c>
      <c r="C3040" t="s">
        <v>3074</v>
      </c>
      <c r="D3040" s="1">
        <v>0.70499999999999996</v>
      </c>
      <c r="E3040" s="2">
        <f>CallLog[[#This Row],[Date]]+CallLog[[#This Row],[Time]]</f>
        <v>44249.705000000002</v>
      </c>
      <c r="F3040" s="1" t="str">
        <f>TEXT(CallLog[[#This Row],[Date]],"dddd")</f>
        <v>Monday</v>
      </c>
      <c r="G3040" s="3">
        <f>HOUR(CallLog[[#This Row],[Time]])</f>
        <v>16</v>
      </c>
      <c r="H3040" t="s">
        <v>17</v>
      </c>
      <c r="I3040" t="s">
        <v>14</v>
      </c>
      <c r="J3040" t="s">
        <v>14</v>
      </c>
      <c r="K3040">
        <v>94</v>
      </c>
      <c r="L3040" t="str">
        <f>IF(AND(CallLog[[#This Row],[Answered (Y/N)]]="Y", CallLog[[#This Row],[Speed of answer in seconds]]&lt;=20),
    "Within",
    "Breach")</f>
        <v>Breach</v>
      </c>
      <c r="M3040" s="1">
        <v>3.4953703703703705E-3</v>
      </c>
      <c r="N3040">
        <v>4</v>
      </c>
    </row>
    <row r="3041" spans="1:14" x14ac:dyDescent="0.3">
      <c r="A3041" t="s">
        <v>3117</v>
      </c>
      <c r="B3041" t="s">
        <v>22</v>
      </c>
      <c r="C3041" t="s">
        <v>3074</v>
      </c>
      <c r="D3041" s="1">
        <v>0.70499999999999996</v>
      </c>
      <c r="E3041" s="2">
        <f>CallLog[[#This Row],[Date]]+CallLog[[#This Row],[Time]]</f>
        <v>44249.705000000002</v>
      </c>
      <c r="F3041" s="1" t="str">
        <f>TEXT(CallLog[[#This Row],[Date]],"dddd")</f>
        <v>Monday</v>
      </c>
      <c r="G3041" s="3">
        <f>HOUR(CallLog[[#This Row],[Time]])</f>
        <v>16</v>
      </c>
      <c r="H3041" t="s">
        <v>24</v>
      </c>
      <c r="I3041" t="s">
        <v>18</v>
      </c>
      <c r="J3041" t="s">
        <v>18</v>
      </c>
      <c r="L3041" t="str">
        <f>IF(AND(CallLog[[#This Row],[Answered (Y/N)]]="Y", CallLog[[#This Row],[Speed of answer in seconds]]&lt;=20),
    "Within",
    "Breach")</f>
        <v>Breach</v>
      </c>
    </row>
    <row r="3042" spans="1:14" x14ac:dyDescent="0.3">
      <c r="A3042" t="s">
        <v>3118</v>
      </c>
      <c r="B3042" t="s">
        <v>34</v>
      </c>
      <c r="C3042" t="s">
        <v>3074</v>
      </c>
      <c r="D3042" s="1">
        <v>0.71099537037037042</v>
      </c>
      <c r="E3042" s="2">
        <f>CallLog[[#This Row],[Date]]+CallLog[[#This Row],[Time]]</f>
        <v>44249.710995370369</v>
      </c>
      <c r="F3042" s="1" t="str">
        <f>TEXT(CallLog[[#This Row],[Date]],"dddd")</f>
        <v>Monday</v>
      </c>
      <c r="G3042" s="3">
        <f>HOUR(CallLog[[#This Row],[Time]])</f>
        <v>17</v>
      </c>
      <c r="H3042" t="s">
        <v>13</v>
      </c>
      <c r="I3042" t="s">
        <v>18</v>
      </c>
      <c r="J3042" t="s">
        <v>18</v>
      </c>
      <c r="L3042" t="str">
        <f>IF(AND(CallLog[[#This Row],[Answered (Y/N)]]="Y", CallLog[[#This Row],[Speed of answer in seconds]]&lt;=20),
    "Within",
    "Breach")</f>
        <v>Breach</v>
      </c>
    </row>
    <row r="3043" spans="1:14" x14ac:dyDescent="0.3">
      <c r="A3043" t="s">
        <v>3119</v>
      </c>
      <c r="B3043" t="s">
        <v>16</v>
      </c>
      <c r="C3043" t="s">
        <v>3074</v>
      </c>
      <c r="D3043" s="1">
        <v>0.71099537037037042</v>
      </c>
      <c r="E3043" s="2">
        <f>CallLog[[#This Row],[Date]]+CallLog[[#This Row],[Time]]</f>
        <v>44249.710995370369</v>
      </c>
      <c r="F3043" s="1" t="str">
        <f>TEXT(CallLog[[#This Row],[Date]],"dddd")</f>
        <v>Monday</v>
      </c>
      <c r="G3043" s="3">
        <f>HOUR(CallLog[[#This Row],[Time]])</f>
        <v>17</v>
      </c>
      <c r="H3043" t="s">
        <v>29</v>
      </c>
      <c r="I3043" t="s">
        <v>18</v>
      </c>
      <c r="J3043" t="s">
        <v>18</v>
      </c>
      <c r="L3043" t="str">
        <f>IF(AND(CallLog[[#This Row],[Answered (Y/N)]]="Y", CallLog[[#This Row],[Speed of answer in seconds]]&lt;=20),
    "Within",
    "Breach")</f>
        <v>Breach</v>
      </c>
    </row>
    <row r="3044" spans="1:14" x14ac:dyDescent="0.3">
      <c r="A3044" t="s">
        <v>3120</v>
      </c>
      <c r="B3044" t="s">
        <v>47</v>
      </c>
      <c r="C3044" t="s">
        <v>3074</v>
      </c>
      <c r="D3044" s="1">
        <v>0.71499999999999997</v>
      </c>
      <c r="E3044" s="2">
        <f>CallLog[[#This Row],[Date]]+CallLog[[#This Row],[Time]]</f>
        <v>44249.714999999997</v>
      </c>
      <c r="F3044" s="1" t="str">
        <f>TEXT(CallLog[[#This Row],[Date]],"dddd")</f>
        <v>Monday</v>
      </c>
      <c r="G3044" s="3">
        <f>HOUR(CallLog[[#This Row],[Time]])</f>
        <v>17</v>
      </c>
      <c r="H3044" t="s">
        <v>13</v>
      </c>
      <c r="I3044" t="s">
        <v>18</v>
      </c>
      <c r="J3044" t="s">
        <v>18</v>
      </c>
      <c r="L3044" t="str">
        <f>IF(AND(CallLog[[#This Row],[Answered (Y/N)]]="Y", CallLog[[#This Row],[Speed of answer in seconds]]&lt;=20),
    "Within",
    "Breach")</f>
        <v>Breach</v>
      </c>
    </row>
    <row r="3045" spans="1:14" x14ac:dyDescent="0.3">
      <c r="A3045" t="s">
        <v>3121</v>
      </c>
      <c r="B3045" t="s">
        <v>11</v>
      </c>
      <c r="C3045" t="s">
        <v>3074</v>
      </c>
      <c r="D3045" s="1">
        <v>0.71499999999999997</v>
      </c>
      <c r="E3045" s="2">
        <f>CallLog[[#This Row],[Date]]+CallLog[[#This Row],[Time]]</f>
        <v>44249.714999999997</v>
      </c>
      <c r="F3045" s="1" t="str">
        <f>TEXT(CallLog[[#This Row],[Date]],"dddd")</f>
        <v>Monday</v>
      </c>
      <c r="G3045" s="3">
        <f>HOUR(CallLog[[#This Row],[Time]])</f>
        <v>17</v>
      </c>
      <c r="H3045" t="s">
        <v>13</v>
      </c>
      <c r="I3045" t="s">
        <v>14</v>
      </c>
      <c r="J3045" t="s">
        <v>14</v>
      </c>
      <c r="K3045">
        <v>41</v>
      </c>
      <c r="L3045" t="str">
        <f>IF(AND(CallLog[[#This Row],[Answered (Y/N)]]="Y", CallLog[[#This Row],[Speed of answer in seconds]]&lt;=20),
    "Within",
    "Breach")</f>
        <v>Breach</v>
      </c>
      <c r="M3045" s="1">
        <v>1.4814814814814814E-3</v>
      </c>
      <c r="N3045">
        <v>3</v>
      </c>
    </row>
    <row r="3046" spans="1:14" x14ac:dyDescent="0.3">
      <c r="A3046" t="s">
        <v>3122</v>
      </c>
      <c r="B3046" t="s">
        <v>11</v>
      </c>
      <c r="C3046" t="s">
        <v>3074</v>
      </c>
      <c r="D3046" s="1">
        <v>0.72200231481481481</v>
      </c>
      <c r="E3046" s="2">
        <f>CallLog[[#This Row],[Date]]+CallLog[[#This Row],[Time]]</f>
        <v>44249.722002314818</v>
      </c>
      <c r="F3046" s="1" t="str">
        <f>TEXT(CallLog[[#This Row],[Date]],"dddd")</f>
        <v>Monday</v>
      </c>
      <c r="G3046" s="3">
        <f>HOUR(CallLog[[#This Row],[Time]])</f>
        <v>17</v>
      </c>
      <c r="H3046" t="s">
        <v>29</v>
      </c>
      <c r="I3046" t="s">
        <v>14</v>
      </c>
      <c r="J3046" t="s">
        <v>14</v>
      </c>
      <c r="K3046">
        <v>38</v>
      </c>
      <c r="L3046" t="str">
        <f>IF(AND(CallLog[[#This Row],[Answered (Y/N)]]="Y", CallLog[[#This Row],[Speed of answer in seconds]]&lt;=20),
    "Within",
    "Breach")</f>
        <v>Breach</v>
      </c>
      <c r="M3046" s="1">
        <v>2.638888888888889E-3</v>
      </c>
      <c r="N3046">
        <v>3</v>
      </c>
    </row>
    <row r="3047" spans="1:14" x14ac:dyDescent="0.3">
      <c r="A3047" t="s">
        <v>3123</v>
      </c>
      <c r="B3047" t="s">
        <v>38</v>
      </c>
      <c r="C3047" t="s">
        <v>3074</v>
      </c>
      <c r="D3047" s="1">
        <v>0.72200231481481481</v>
      </c>
      <c r="E3047" s="2">
        <f>CallLog[[#This Row],[Date]]+CallLog[[#This Row],[Time]]</f>
        <v>44249.722002314818</v>
      </c>
      <c r="F3047" s="1" t="str">
        <f>TEXT(CallLog[[#This Row],[Date]],"dddd")</f>
        <v>Monday</v>
      </c>
      <c r="G3047" s="3">
        <f>HOUR(CallLog[[#This Row],[Time]])</f>
        <v>17</v>
      </c>
      <c r="H3047" t="s">
        <v>32</v>
      </c>
      <c r="I3047" t="s">
        <v>14</v>
      </c>
      <c r="J3047" t="s">
        <v>14</v>
      </c>
      <c r="K3047">
        <v>33</v>
      </c>
      <c r="L3047" t="str">
        <f>IF(AND(CallLog[[#This Row],[Answered (Y/N)]]="Y", CallLog[[#This Row],[Speed of answer in seconds]]&lt;=20),
    "Within",
    "Breach")</f>
        <v>Breach</v>
      </c>
      <c r="M3047" s="1">
        <v>1.1805555555555556E-3</v>
      </c>
      <c r="N3047">
        <v>5</v>
      </c>
    </row>
    <row r="3048" spans="1:14" x14ac:dyDescent="0.3">
      <c r="A3048" t="s">
        <v>3124</v>
      </c>
      <c r="B3048" t="s">
        <v>47</v>
      </c>
      <c r="C3048" t="s">
        <v>3125</v>
      </c>
      <c r="D3048" s="1">
        <v>0.37700231481481483</v>
      </c>
      <c r="E3048" s="2">
        <f>CallLog[[#This Row],[Date]]+CallLog[[#This Row],[Time]]</f>
        <v>44250.377002314817</v>
      </c>
      <c r="F3048" s="1" t="str">
        <f>TEXT(CallLog[[#This Row],[Date]],"dddd")</f>
        <v>Tuesday</v>
      </c>
      <c r="G3048" s="3">
        <f>HOUR(CallLog[[#This Row],[Time]])</f>
        <v>9</v>
      </c>
      <c r="H3048" t="s">
        <v>17</v>
      </c>
      <c r="I3048" t="s">
        <v>14</v>
      </c>
      <c r="J3048" t="s">
        <v>14</v>
      </c>
      <c r="K3048">
        <v>49</v>
      </c>
      <c r="L3048" t="str">
        <f>IF(AND(CallLog[[#This Row],[Answered (Y/N)]]="Y", CallLog[[#This Row],[Speed of answer in seconds]]&lt;=20),
    "Within",
    "Breach")</f>
        <v>Breach</v>
      </c>
      <c r="M3048" s="1">
        <v>7.0601851851851847E-4</v>
      </c>
      <c r="N3048">
        <v>3</v>
      </c>
    </row>
    <row r="3049" spans="1:14" x14ac:dyDescent="0.3">
      <c r="A3049" t="s">
        <v>3126</v>
      </c>
      <c r="B3049" t="s">
        <v>47</v>
      </c>
      <c r="C3049" t="s">
        <v>3125</v>
      </c>
      <c r="D3049" s="1">
        <v>0.37700231481481483</v>
      </c>
      <c r="E3049" s="2">
        <f>CallLog[[#This Row],[Date]]+CallLog[[#This Row],[Time]]</f>
        <v>44250.377002314817</v>
      </c>
      <c r="F3049" s="1" t="str">
        <f>TEXT(CallLog[[#This Row],[Date]],"dddd")</f>
        <v>Tuesday</v>
      </c>
      <c r="G3049" s="3">
        <f>HOUR(CallLog[[#This Row],[Time]])</f>
        <v>9</v>
      </c>
      <c r="H3049" t="s">
        <v>32</v>
      </c>
      <c r="I3049" t="s">
        <v>14</v>
      </c>
      <c r="J3049" t="s">
        <v>14</v>
      </c>
      <c r="K3049">
        <v>97</v>
      </c>
      <c r="L3049" t="str">
        <f>IF(AND(CallLog[[#This Row],[Answered (Y/N)]]="Y", CallLog[[#This Row],[Speed of answer in seconds]]&lt;=20),
    "Within",
    "Breach")</f>
        <v>Breach</v>
      </c>
      <c r="M3049" s="1">
        <v>5.3240740740740744E-4</v>
      </c>
      <c r="N3049">
        <v>5</v>
      </c>
    </row>
    <row r="3050" spans="1:14" x14ac:dyDescent="0.3">
      <c r="A3050" t="s">
        <v>3127</v>
      </c>
      <c r="B3050" t="s">
        <v>16</v>
      </c>
      <c r="C3050" t="s">
        <v>3125</v>
      </c>
      <c r="D3050" s="1">
        <v>0.39099537037037035</v>
      </c>
      <c r="E3050" s="2">
        <f>CallLog[[#This Row],[Date]]+CallLog[[#This Row],[Time]]</f>
        <v>44250.39099537037</v>
      </c>
      <c r="F3050" s="1" t="str">
        <f>TEXT(CallLog[[#This Row],[Date]],"dddd")</f>
        <v>Tuesday</v>
      </c>
      <c r="G3050" s="3">
        <f>HOUR(CallLog[[#This Row],[Time]])</f>
        <v>9</v>
      </c>
      <c r="H3050" t="s">
        <v>24</v>
      </c>
      <c r="I3050" t="s">
        <v>14</v>
      </c>
      <c r="J3050" t="s">
        <v>14</v>
      </c>
      <c r="K3050">
        <v>23</v>
      </c>
      <c r="L3050" t="str">
        <f>IF(AND(CallLog[[#This Row],[Answered (Y/N)]]="Y", CallLog[[#This Row],[Speed of answer in seconds]]&lt;=20),
    "Within",
    "Breach")</f>
        <v>Breach</v>
      </c>
      <c r="M3050" s="1">
        <v>2.0023148148148148E-3</v>
      </c>
      <c r="N3050">
        <v>3</v>
      </c>
    </row>
    <row r="3051" spans="1:14" x14ac:dyDescent="0.3">
      <c r="A3051" t="s">
        <v>3128</v>
      </c>
      <c r="B3051" t="s">
        <v>34</v>
      </c>
      <c r="C3051" t="s">
        <v>3125</v>
      </c>
      <c r="D3051" s="1">
        <v>0.39099537037037035</v>
      </c>
      <c r="E3051" s="2">
        <f>CallLog[[#This Row],[Date]]+CallLog[[#This Row],[Time]]</f>
        <v>44250.39099537037</v>
      </c>
      <c r="F3051" s="1" t="str">
        <f>TEXT(CallLog[[#This Row],[Date]],"dddd")</f>
        <v>Tuesday</v>
      </c>
      <c r="G3051" s="3">
        <f>HOUR(CallLog[[#This Row],[Time]])</f>
        <v>9</v>
      </c>
      <c r="H3051" t="s">
        <v>17</v>
      </c>
      <c r="I3051" t="s">
        <v>14</v>
      </c>
      <c r="J3051" t="s">
        <v>14</v>
      </c>
      <c r="K3051">
        <v>60</v>
      </c>
      <c r="L3051" t="str">
        <f>IF(AND(CallLog[[#This Row],[Answered (Y/N)]]="Y", CallLog[[#This Row],[Speed of answer in seconds]]&lt;=20),
    "Within",
    "Breach")</f>
        <v>Breach</v>
      </c>
      <c r="M3051" s="1">
        <v>4.3518518518518515E-3</v>
      </c>
      <c r="N3051">
        <v>3</v>
      </c>
    </row>
    <row r="3052" spans="1:14" x14ac:dyDescent="0.3">
      <c r="A3052" t="s">
        <v>3129</v>
      </c>
      <c r="B3052" t="s">
        <v>38</v>
      </c>
      <c r="C3052" t="s">
        <v>3125</v>
      </c>
      <c r="D3052" s="1">
        <v>0.40500000000000003</v>
      </c>
      <c r="E3052" s="2">
        <f>CallLog[[#This Row],[Date]]+CallLog[[#This Row],[Time]]</f>
        <v>44250.404999999999</v>
      </c>
      <c r="F3052" s="1" t="str">
        <f>TEXT(CallLog[[#This Row],[Date]],"dddd")</f>
        <v>Tuesday</v>
      </c>
      <c r="G3052" s="3">
        <f>HOUR(CallLog[[#This Row],[Time]])</f>
        <v>9</v>
      </c>
      <c r="H3052" t="s">
        <v>17</v>
      </c>
      <c r="I3052" t="s">
        <v>14</v>
      </c>
      <c r="J3052" t="s">
        <v>14</v>
      </c>
      <c r="K3052">
        <v>48</v>
      </c>
      <c r="L3052" t="str">
        <f>IF(AND(CallLog[[#This Row],[Answered (Y/N)]]="Y", CallLog[[#This Row],[Speed of answer in seconds]]&lt;=20),
    "Within",
    "Breach")</f>
        <v>Breach</v>
      </c>
      <c r="M3052" s="1">
        <v>4.4444444444444444E-3</v>
      </c>
      <c r="N3052">
        <v>2</v>
      </c>
    </row>
    <row r="3053" spans="1:14" x14ac:dyDescent="0.3">
      <c r="A3053" t="s">
        <v>3130</v>
      </c>
      <c r="B3053" t="s">
        <v>11</v>
      </c>
      <c r="C3053" t="s">
        <v>3125</v>
      </c>
      <c r="D3053" s="1">
        <v>0.40500000000000003</v>
      </c>
      <c r="E3053" s="2">
        <f>CallLog[[#This Row],[Date]]+CallLog[[#This Row],[Time]]</f>
        <v>44250.404999999999</v>
      </c>
      <c r="F3053" s="1" t="str">
        <f>TEXT(CallLog[[#This Row],[Date]],"dddd")</f>
        <v>Tuesday</v>
      </c>
      <c r="G3053" s="3">
        <f>HOUR(CallLog[[#This Row],[Time]])</f>
        <v>9</v>
      </c>
      <c r="H3053" t="s">
        <v>13</v>
      </c>
      <c r="I3053" t="s">
        <v>14</v>
      </c>
      <c r="J3053" t="s">
        <v>14</v>
      </c>
      <c r="K3053">
        <v>28</v>
      </c>
      <c r="L3053" t="str">
        <f>IF(AND(CallLog[[#This Row],[Answered (Y/N)]]="Y", CallLog[[#This Row],[Speed of answer in seconds]]&lt;=20),
    "Within",
    "Breach")</f>
        <v>Breach</v>
      </c>
      <c r="M3053" s="1">
        <v>1.2152777777777778E-3</v>
      </c>
      <c r="N3053">
        <v>4</v>
      </c>
    </row>
    <row r="3054" spans="1:14" x14ac:dyDescent="0.3">
      <c r="A3054" t="s">
        <v>3131</v>
      </c>
      <c r="B3054" t="s">
        <v>38</v>
      </c>
      <c r="C3054" t="s">
        <v>3125</v>
      </c>
      <c r="D3054" s="1">
        <v>0.43400462962962966</v>
      </c>
      <c r="E3054" s="2">
        <f>CallLog[[#This Row],[Date]]+CallLog[[#This Row],[Time]]</f>
        <v>44250.434004629627</v>
      </c>
      <c r="F3054" s="1" t="str">
        <f>TEXT(CallLog[[#This Row],[Date]],"dddd")</f>
        <v>Tuesday</v>
      </c>
      <c r="G3054" s="3">
        <f>HOUR(CallLog[[#This Row],[Time]])</f>
        <v>10</v>
      </c>
      <c r="H3054" t="s">
        <v>17</v>
      </c>
      <c r="I3054" t="s">
        <v>14</v>
      </c>
      <c r="J3054" t="s">
        <v>14</v>
      </c>
      <c r="K3054">
        <v>104</v>
      </c>
      <c r="L3054" t="str">
        <f>IF(AND(CallLog[[#This Row],[Answered (Y/N)]]="Y", CallLog[[#This Row],[Speed of answer in seconds]]&lt;=20),
    "Within",
    "Breach")</f>
        <v>Breach</v>
      </c>
      <c r="M3054" s="1">
        <v>3.9699074074074072E-3</v>
      </c>
      <c r="N3054">
        <v>4</v>
      </c>
    </row>
    <row r="3055" spans="1:14" x14ac:dyDescent="0.3">
      <c r="A3055" t="s">
        <v>3132</v>
      </c>
      <c r="B3055" t="s">
        <v>22</v>
      </c>
      <c r="C3055" t="s">
        <v>3125</v>
      </c>
      <c r="D3055" s="1">
        <v>0.43400462962962966</v>
      </c>
      <c r="E3055" s="2">
        <f>CallLog[[#This Row],[Date]]+CallLog[[#This Row],[Time]]</f>
        <v>44250.434004629627</v>
      </c>
      <c r="F3055" s="1" t="str">
        <f>TEXT(CallLog[[#This Row],[Date]],"dddd")</f>
        <v>Tuesday</v>
      </c>
      <c r="G3055" s="3">
        <f>HOUR(CallLog[[#This Row],[Time]])</f>
        <v>10</v>
      </c>
      <c r="H3055" t="s">
        <v>13</v>
      </c>
      <c r="I3055" t="s">
        <v>14</v>
      </c>
      <c r="J3055" t="s">
        <v>14</v>
      </c>
      <c r="K3055">
        <v>115</v>
      </c>
      <c r="L3055" t="str">
        <f>IF(AND(CallLog[[#This Row],[Answered (Y/N)]]="Y", CallLog[[#This Row],[Speed of answer in seconds]]&lt;=20),
    "Within",
    "Breach")</f>
        <v>Breach</v>
      </c>
      <c r="M3055" s="1">
        <v>9.6064814814814819E-4</v>
      </c>
      <c r="N3055">
        <v>4</v>
      </c>
    </row>
    <row r="3056" spans="1:14" x14ac:dyDescent="0.3">
      <c r="A3056" t="s">
        <v>3133</v>
      </c>
      <c r="B3056" t="s">
        <v>16</v>
      </c>
      <c r="C3056" t="s">
        <v>3125</v>
      </c>
      <c r="D3056" s="1">
        <v>0.44700231481481484</v>
      </c>
      <c r="E3056" s="2">
        <f>CallLog[[#This Row],[Date]]+CallLog[[#This Row],[Time]]</f>
        <v>44250.447002314817</v>
      </c>
      <c r="F3056" s="1" t="str">
        <f>TEXT(CallLog[[#This Row],[Date]],"dddd")</f>
        <v>Tuesday</v>
      </c>
      <c r="G3056" s="3">
        <f>HOUR(CallLog[[#This Row],[Time]])</f>
        <v>10</v>
      </c>
      <c r="H3056" t="s">
        <v>29</v>
      </c>
      <c r="I3056" t="s">
        <v>14</v>
      </c>
      <c r="J3056" t="s">
        <v>18</v>
      </c>
      <c r="K3056">
        <v>89</v>
      </c>
      <c r="L3056" t="str">
        <f>IF(AND(CallLog[[#This Row],[Answered (Y/N)]]="Y", CallLog[[#This Row],[Speed of answer in seconds]]&lt;=20),
    "Within",
    "Breach")</f>
        <v>Breach</v>
      </c>
      <c r="M3056" s="1">
        <v>1.2962962962962963E-3</v>
      </c>
      <c r="N3056">
        <v>3</v>
      </c>
    </row>
    <row r="3057" spans="1:14" x14ac:dyDescent="0.3">
      <c r="A3057" t="s">
        <v>3134</v>
      </c>
      <c r="B3057" t="s">
        <v>38</v>
      </c>
      <c r="C3057" t="s">
        <v>3125</v>
      </c>
      <c r="D3057" s="1">
        <v>0.44700231481481484</v>
      </c>
      <c r="E3057" s="2">
        <f>CallLog[[#This Row],[Date]]+CallLog[[#This Row],[Time]]</f>
        <v>44250.447002314817</v>
      </c>
      <c r="F3057" s="1" t="str">
        <f>TEXT(CallLog[[#This Row],[Date]],"dddd")</f>
        <v>Tuesday</v>
      </c>
      <c r="G3057" s="3">
        <f>HOUR(CallLog[[#This Row],[Time]])</f>
        <v>10</v>
      </c>
      <c r="H3057" t="s">
        <v>13</v>
      </c>
      <c r="I3057" t="s">
        <v>18</v>
      </c>
      <c r="J3057" t="s">
        <v>18</v>
      </c>
      <c r="L3057" t="str">
        <f>IF(AND(CallLog[[#This Row],[Answered (Y/N)]]="Y", CallLog[[#This Row],[Speed of answer in seconds]]&lt;=20),
    "Within",
    "Breach")</f>
        <v>Breach</v>
      </c>
    </row>
    <row r="3058" spans="1:14" x14ac:dyDescent="0.3">
      <c r="A3058" t="s">
        <v>3135</v>
      </c>
      <c r="B3058" t="s">
        <v>20</v>
      </c>
      <c r="C3058" t="s">
        <v>3125</v>
      </c>
      <c r="D3058" s="1">
        <v>0.45099537037037035</v>
      </c>
      <c r="E3058" s="2">
        <f>CallLog[[#This Row],[Date]]+CallLog[[#This Row],[Time]]</f>
        <v>44250.450995370367</v>
      </c>
      <c r="F3058" s="1" t="str">
        <f>TEXT(CallLog[[#This Row],[Date]],"dddd")</f>
        <v>Tuesday</v>
      </c>
      <c r="G3058" s="3">
        <f>HOUR(CallLog[[#This Row],[Time]])</f>
        <v>10</v>
      </c>
      <c r="H3058" t="s">
        <v>17</v>
      </c>
      <c r="I3058" t="s">
        <v>14</v>
      </c>
      <c r="J3058" t="s">
        <v>14</v>
      </c>
      <c r="K3058">
        <v>111</v>
      </c>
      <c r="L3058" t="str">
        <f>IF(AND(CallLog[[#This Row],[Answered (Y/N)]]="Y", CallLog[[#This Row],[Speed of answer in seconds]]&lt;=20),
    "Within",
    "Breach")</f>
        <v>Breach</v>
      </c>
      <c r="M3058" s="1">
        <v>2.9745370370370373E-3</v>
      </c>
      <c r="N3058">
        <v>3</v>
      </c>
    </row>
    <row r="3059" spans="1:14" x14ac:dyDescent="0.3">
      <c r="A3059" t="s">
        <v>3136</v>
      </c>
      <c r="B3059" t="s">
        <v>31</v>
      </c>
      <c r="C3059" t="s">
        <v>3125</v>
      </c>
      <c r="D3059" s="1">
        <v>0.45099537037037035</v>
      </c>
      <c r="E3059" s="2">
        <f>CallLog[[#This Row],[Date]]+CallLog[[#This Row],[Time]]</f>
        <v>44250.450995370367</v>
      </c>
      <c r="F3059" s="1" t="str">
        <f>TEXT(CallLog[[#This Row],[Date]],"dddd")</f>
        <v>Tuesday</v>
      </c>
      <c r="G3059" s="3">
        <f>HOUR(CallLog[[#This Row],[Time]])</f>
        <v>10</v>
      </c>
      <c r="H3059" t="s">
        <v>24</v>
      </c>
      <c r="I3059" t="s">
        <v>14</v>
      </c>
      <c r="J3059" t="s">
        <v>14</v>
      </c>
      <c r="K3059">
        <v>17</v>
      </c>
      <c r="L3059" t="str">
        <f>IF(AND(CallLog[[#This Row],[Answered (Y/N)]]="Y", CallLog[[#This Row],[Speed of answer in seconds]]&lt;=20),
    "Within",
    "Breach")</f>
        <v>Within</v>
      </c>
      <c r="M3059" s="1">
        <v>4.3750000000000004E-3</v>
      </c>
      <c r="N3059">
        <v>5</v>
      </c>
    </row>
    <row r="3060" spans="1:14" x14ac:dyDescent="0.3">
      <c r="A3060" t="s">
        <v>3137</v>
      </c>
      <c r="B3060" t="s">
        <v>11</v>
      </c>
      <c r="C3060" t="s">
        <v>3125</v>
      </c>
      <c r="D3060" s="1">
        <v>0.47400462962962964</v>
      </c>
      <c r="E3060" s="2">
        <f>CallLog[[#This Row],[Date]]+CallLog[[#This Row],[Time]]</f>
        <v>44250.474004629628</v>
      </c>
      <c r="F3060" s="1" t="str">
        <f>TEXT(CallLog[[#This Row],[Date]],"dddd")</f>
        <v>Tuesday</v>
      </c>
      <c r="G3060" s="3">
        <f>HOUR(CallLog[[#This Row],[Time]])</f>
        <v>11</v>
      </c>
      <c r="H3060" t="s">
        <v>17</v>
      </c>
      <c r="I3060" t="s">
        <v>14</v>
      </c>
      <c r="J3060" t="s">
        <v>14</v>
      </c>
      <c r="K3060">
        <v>112</v>
      </c>
      <c r="L3060" t="str">
        <f>IF(AND(CallLog[[#This Row],[Answered (Y/N)]]="Y", CallLog[[#This Row],[Speed of answer in seconds]]&lt;=20),
    "Within",
    "Breach")</f>
        <v>Breach</v>
      </c>
      <c r="M3060" s="1">
        <v>7.291666666666667E-4</v>
      </c>
      <c r="N3060">
        <v>3</v>
      </c>
    </row>
    <row r="3061" spans="1:14" x14ac:dyDescent="0.3">
      <c r="A3061" t="s">
        <v>3138</v>
      </c>
      <c r="B3061" t="s">
        <v>20</v>
      </c>
      <c r="C3061" t="s">
        <v>3125</v>
      </c>
      <c r="D3061" s="1">
        <v>0.47400462962962964</v>
      </c>
      <c r="E3061" s="2">
        <f>CallLog[[#This Row],[Date]]+CallLog[[#This Row],[Time]]</f>
        <v>44250.474004629628</v>
      </c>
      <c r="F3061" s="1" t="str">
        <f>TEXT(CallLog[[#This Row],[Date]],"dddd")</f>
        <v>Tuesday</v>
      </c>
      <c r="G3061" s="3">
        <f>HOUR(CallLog[[#This Row],[Time]])</f>
        <v>11</v>
      </c>
      <c r="H3061" t="s">
        <v>32</v>
      </c>
      <c r="I3061" t="s">
        <v>14</v>
      </c>
      <c r="J3061" t="s">
        <v>18</v>
      </c>
      <c r="K3061">
        <v>100</v>
      </c>
      <c r="L3061" t="str">
        <f>IF(AND(CallLog[[#This Row],[Answered (Y/N)]]="Y", CallLog[[#This Row],[Speed of answer in seconds]]&lt;=20),
    "Within",
    "Breach")</f>
        <v>Breach</v>
      </c>
      <c r="M3061" s="1">
        <v>3.0671296296296297E-3</v>
      </c>
      <c r="N3061">
        <v>5</v>
      </c>
    </row>
    <row r="3062" spans="1:14" x14ac:dyDescent="0.3">
      <c r="A3062" t="s">
        <v>3139</v>
      </c>
      <c r="B3062" t="s">
        <v>16</v>
      </c>
      <c r="C3062" t="s">
        <v>3125</v>
      </c>
      <c r="D3062" s="1">
        <v>0.50099537037037034</v>
      </c>
      <c r="E3062" s="2">
        <f>CallLog[[#This Row],[Date]]+CallLog[[#This Row],[Time]]</f>
        <v>44250.50099537037</v>
      </c>
      <c r="F3062" s="1" t="str">
        <f>TEXT(CallLog[[#This Row],[Date]],"dddd")</f>
        <v>Tuesday</v>
      </c>
      <c r="G3062" s="3">
        <f>HOUR(CallLog[[#This Row],[Time]])</f>
        <v>12</v>
      </c>
      <c r="H3062" t="s">
        <v>24</v>
      </c>
      <c r="I3062" t="s">
        <v>18</v>
      </c>
      <c r="J3062" t="s">
        <v>18</v>
      </c>
      <c r="L3062" t="str">
        <f>IF(AND(CallLog[[#This Row],[Answered (Y/N)]]="Y", CallLog[[#This Row],[Speed of answer in seconds]]&lt;=20),
    "Within",
    "Breach")</f>
        <v>Breach</v>
      </c>
    </row>
    <row r="3063" spans="1:14" x14ac:dyDescent="0.3">
      <c r="A3063" t="s">
        <v>3140</v>
      </c>
      <c r="B3063" t="s">
        <v>11</v>
      </c>
      <c r="C3063" t="s">
        <v>3125</v>
      </c>
      <c r="D3063" s="1">
        <v>0.50099537037037034</v>
      </c>
      <c r="E3063" s="2">
        <f>CallLog[[#This Row],[Date]]+CallLog[[#This Row],[Time]]</f>
        <v>44250.50099537037</v>
      </c>
      <c r="F3063" s="1" t="str">
        <f>TEXT(CallLog[[#This Row],[Date]],"dddd")</f>
        <v>Tuesday</v>
      </c>
      <c r="G3063" s="3">
        <f>HOUR(CallLog[[#This Row],[Time]])</f>
        <v>12</v>
      </c>
      <c r="H3063" t="s">
        <v>29</v>
      </c>
      <c r="I3063" t="s">
        <v>14</v>
      </c>
      <c r="J3063" t="s">
        <v>14</v>
      </c>
      <c r="K3063">
        <v>40</v>
      </c>
      <c r="L3063" t="str">
        <f>IF(AND(CallLog[[#This Row],[Answered (Y/N)]]="Y", CallLog[[#This Row],[Speed of answer in seconds]]&lt;=20),
    "Within",
    "Breach")</f>
        <v>Breach</v>
      </c>
      <c r="M3063" s="1">
        <v>2.9282407407407408E-3</v>
      </c>
      <c r="N3063">
        <v>3</v>
      </c>
    </row>
    <row r="3064" spans="1:14" x14ac:dyDescent="0.3">
      <c r="A3064" t="s">
        <v>3141</v>
      </c>
      <c r="B3064" t="s">
        <v>38</v>
      </c>
      <c r="C3064" t="s">
        <v>3125</v>
      </c>
      <c r="D3064" s="1">
        <v>0.52900462962962957</v>
      </c>
      <c r="E3064" s="2">
        <f>CallLog[[#This Row],[Date]]+CallLog[[#This Row],[Time]]</f>
        <v>44250.529004629629</v>
      </c>
      <c r="F3064" s="1" t="str">
        <f>TEXT(CallLog[[#This Row],[Date]],"dddd")</f>
        <v>Tuesday</v>
      </c>
      <c r="G3064" s="3">
        <f>HOUR(CallLog[[#This Row],[Time]])</f>
        <v>12</v>
      </c>
      <c r="H3064" t="s">
        <v>13</v>
      </c>
      <c r="I3064" t="s">
        <v>18</v>
      </c>
      <c r="J3064" t="s">
        <v>18</v>
      </c>
      <c r="L3064" t="str">
        <f>IF(AND(CallLog[[#This Row],[Answered (Y/N)]]="Y", CallLog[[#This Row],[Speed of answer in seconds]]&lt;=20),
    "Within",
    "Breach")</f>
        <v>Breach</v>
      </c>
    </row>
    <row r="3065" spans="1:14" x14ac:dyDescent="0.3">
      <c r="A3065" t="s">
        <v>3142</v>
      </c>
      <c r="B3065" t="s">
        <v>16</v>
      </c>
      <c r="C3065" t="s">
        <v>3125</v>
      </c>
      <c r="D3065" s="1">
        <v>0.52900462962962957</v>
      </c>
      <c r="E3065" s="2">
        <f>CallLog[[#This Row],[Date]]+CallLog[[#This Row],[Time]]</f>
        <v>44250.529004629629</v>
      </c>
      <c r="F3065" s="1" t="str">
        <f>TEXT(CallLog[[#This Row],[Date]],"dddd")</f>
        <v>Tuesday</v>
      </c>
      <c r="G3065" s="3">
        <f>HOUR(CallLog[[#This Row],[Time]])</f>
        <v>12</v>
      </c>
      <c r="H3065" t="s">
        <v>29</v>
      </c>
      <c r="I3065" t="s">
        <v>14</v>
      </c>
      <c r="J3065" t="s">
        <v>14</v>
      </c>
      <c r="K3065">
        <v>29</v>
      </c>
      <c r="L3065" t="str">
        <f>IF(AND(CallLog[[#This Row],[Answered (Y/N)]]="Y", CallLog[[#This Row],[Speed of answer in seconds]]&lt;=20),
    "Within",
    "Breach")</f>
        <v>Breach</v>
      </c>
      <c r="M3065" s="1">
        <v>8.1018518518518516E-4</v>
      </c>
      <c r="N3065">
        <v>3</v>
      </c>
    </row>
    <row r="3066" spans="1:14" x14ac:dyDescent="0.3">
      <c r="A3066" t="s">
        <v>3143</v>
      </c>
      <c r="B3066" t="s">
        <v>31</v>
      </c>
      <c r="C3066" t="s">
        <v>3125</v>
      </c>
      <c r="D3066" s="1">
        <v>0.54099537037037038</v>
      </c>
      <c r="E3066" s="2">
        <f>CallLog[[#This Row],[Date]]+CallLog[[#This Row],[Time]]</f>
        <v>44250.540995370371</v>
      </c>
      <c r="F3066" s="1" t="str">
        <f>TEXT(CallLog[[#This Row],[Date]],"dddd")</f>
        <v>Tuesday</v>
      </c>
      <c r="G3066" s="3">
        <f>HOUR(CallLog[[#This Row],[Time]])</f>
        <v>12</v>
      </c>
      <c r="H3066" t="s">
        <v>29</v>
      </c>
      <c r="I3066" t="s">
        <v>14</v>
      </c>
      <c r="J3066" t="s">
        <v>18</v>
      </c>
      <c r="K3066">
        <v>39</v>
      </c>
      <c r="L3066" t="str">
        <f>IF(AND(CallLog[[#This Row],[Answered (Y/N)]]="Y", CallLog[[#This Row],[Speed of answer in seconds]]&lt;=20),
    "Within",
    "Breach")</f>
        <v>Breach</v>
      </c>
      <c r="M3066" s="1">
        <v>4.5486111111111109E-3</v>
      </c>
      <c r="N3066">
        <v>4</v>
      </c>
    </row>
    <row r="3067" spans="1:14" x14ac:dyDescent="0.3">
      <c r="A3067" t="s">
        <v>3144</v>
      </c>
      <c r="B3067" t="s">
        <v>11</v>
      </c>
      <c r="C3067" t="s">
        <v>3125</v>
      </c>
      <c r="D3067" s="1">
        <v>0.54099537037037038</v>
      </c>
      <c r="E3067" s="2">
        <f>CallLog[[#This Row],[Date]]+CallLog[[#This Row],[Time]]</f>
        <v>44250.540995370371</v>
      </c>
      <c r="F3067" s="1" t="str">
        <f>TEXT(CallLog[[#This Row],[Date]],"dddd")</f>
        <v>Tuesday</v>
      </c>
      <c r="G3067" s="3">
        <f>HOUR(CallLog[[#This Row],[Time]])</f>
        <v>12</v>
      </c>
      <c r="H3067" t="s">
        <v>24</v>
      </c>
      <c r="I3067" t="s">
        <v>14</v>
      </c>
      <c r="J3067" t="s">
        <v>14</v>
      </c>
      <c r="K3067">
        <v>41</v>
      </c>
      <c r="L3067" t="str">
        <f>IF(AND(CallLog[[#This Row],[Answered (Y/N)]]="Y", CallLog[[#This Row],[Speed of answer in seconds]]&lt;=20),
    "Within",
    "Breach")</f>
        <v>Breach</v>
      </c>
      <c r="M3067" s="1">
        <v>9.0277777777777774E-4</v>
      </c>
      <c r="N3067">
        <v>3</v>
      </c>
    </row>
    <row r="3068" spans="1:14" x14ac:dyDescent="0.3">
      <c r="A3068" t="s">
        <v>3145</v>
      </c>
      <c r="B3068" t="s">
        <v>20</v>
      </c>
      <c r="C3068" t="s">
        <v>3125</v>
      </c>
      <c r="D3068" s="1">
        <v>0.56000000000000005</v>
      </c>
      <c r="E3068" s="2">
        <f>CallLog[[#This Row],[Date]]+CallLog[[#This Row],[Time]]</f>
        <v>44250.559999999998</v>
      </c>
      <c r="F3068" s="1" t="str">
        <f>TEXT(CallLog[[#This Row],[Date]],"dddd")</f>
        <v>Tuesday</v>
      </c>
      <c r="G3068" s="3">
        <f>HOUR(CallLog[[#This Row],[Time]])</f>
        <v>13</v>
      </c>
      <c r="H3068" t="s">
        <v>32</v>
      </c>
      <c r="I3068" t="s">
        <v>18</v>
      </c>
      <c r="J3068" t="s">
        <v>18</v>
      </c>
      <c r="L3068" t="str">
        <f>IF(AND(CallLog[[#This Row],[Answered (Y/N)]]="Y", CallLog[[#This Row],[Speed of answer in seconds]]&lt;=20),
    "Within",
    "Breach")</f>
        <v>Breach</v>
      </c>
    </row>
    <row r="3069" spans="1:14" x14ac:dyDescent="0.3">
      <c r="A3069" t="s">
        <v>3146</v>
      </c>
      <c r="B3069" t="s">
        <v>38</v>
      </c>
      <c r="C3069" t="s">
        <v>3125</v>
      </c>
      <c r="D3069" s="1">
        <v>0.56000000000000005</v>
      </c>
      <c r="E3069" s="2">
        <f>CallLog[[#This Row],[Date]]+CallLog[[#This Row],[Time]]</f>
        <v>44250.559999999998</v>
      </c>
      <c r="F3069" s="1" t="str">
        <f>TEXT(CallLog[[#This Row],[Date]],"dddd")</f>
        <v>Tuesday</v>
      </c>
      <c r="G3069" s="3">
        <f>HOUR(CallLog[[#This Row],[Time]])</f>
        <v>13</v>
      </c>
      <c r="H3069" t="s">
        <v>17</v>
      </c>
      <c r="I3069" t="s">
        <v>18</v>
      </c>
      <c r="J3069" t="s">
        <v>18</v>
      </c>
      <c r="L3069" t="str">
        <f>IF(AND(CallLog[[#This Row],[Answered (Y/N)]]="Y", CallLog[[#This Row],[Speed of answer in seconds]]&lt;=20),
    "Within",
    "Breach")</f>
        <v>Breach</v>
      </c>
    </row>
    <row r="3070" spans="1:14" x14ac:dyDescent="0.3">
      <c r="A3070" t="s">
        <v>3147</v>
      </c>
      <c r="B3070" t="s">
        <v>16</v>
      </c>
      <c r="C3070" t="s">
        <v>3125</v>
      </c>
      <c r="D3070" s="1">
        <v>0.56799768518518523</v>
      </c>
      <c r="E3070" s="2">
        <f>CallLog[[#This Row],[Date]]+CallLog[[#This Row],[Time]]</f>
        <v>44250.567997685182</v>
      </c>
      <c r="F3070" s="1" t="str">
        <f>TEXT(CallLog[[#This Row],[Date]],"dddd")</f>
        <v>Tuesday</v>
      </c>
      <c r="G3070" s="3">
        <f>HOUR(CallLog[[#This Row],[Time]])</f>
        <v>13</v>
      </c>
      <c r="H3070" t="s">
        <v>29</v>
      </c>
      <c r="I3070" t="s">
        <v>14</v>
      </c>
      <c r="J3070" t="s">
        <v>14</v>
      </c>
      <c r="K3070">
        <v>56</v>
      </c>
      <c r="L3070" t="str">
        <f>IF(AND(CallLog[[#This Row],[Answered (Y/N)]]="Y", CallLog[[#This Row],[Speed of answer in seconds]]&lt;=20),
    "Within",
    "Breach")</f>
        <v>Breach</v>
      </c>
      <c r="M3070" s="1">
        <v>4.2824074074074081E-4</v>
      </c>
      <c r="N3070">
        <v>5</v>
      </c>
    </row>
    <row r="3071" spans="1:14" x14ac:dyDescent="0.3">
      <c r="A3071" t="s">
        <v>3148</v>
      </c>
      <c r="B3071" t="s">
        <v>11</v>
      </c>
      <c r="C3071" t="s">
        <v>3125</v>
      </c>
      <c r="D3071" s="1">
        <v>0.56799768518518523</v>
      </c>
      <c r="E3071" s="2">
        <f>CallLog[[#This Row],[Date]]+CallLog[[#This Row],[Time]]</f>
        <v>44250.567997685182</v>
      </c>
      <c r="F3071" s="1" t="str">
        <f>TEXT(CallLog[[#This Row],[Date]],"dddd")</f>
        <v>Tuesday</v>
      </c>
      <c r="G3071" s="3">
        <f>HOUR(CallLog[[#This Row],[Time]])</f>
        <v>13</v>
      </c>
      <c r="H3071" t="s">
        <v>32</v>
      </c>
      <c r="I3071" t="s">
        <v>14</v>
      </c>
      <c r="J3071" t="s">
        <v>14</v>
      </c>
      <c r="K3071">
        <v>76</v>
      </c>
      <c r="L3071" t="str">
        <f>IF(AND(CallLog[[#This Row],[Answered (Y/N)]]="Y", CallLog[[#This Row],[Speed of answer in seconds]]&lt;=20),
    "Within",
    "Breach")</f>
        <v>Breach</v>
      </c>
      <c r="M3071" s="1">
        <v>1.5740740740740741E-3</v>
      </c>
      <c r="N3071">
        <v>1</v>
      </c>
    </row>
    <row r="3072" spans="1:14" x14ac:dyDescent="0.3">
      <c r="A3072" t="s">
        <v>3149</v>
      </c>
      <c r="B3072" t="s">
        <v>22</v>
      </c>
      <c r="C3072" t="s">
        <v>3125</v>
      </c>
      <c r="D3072" s="1">
        <v>0.57299768518518523</v>
      </c>
      <c r="E3072" s="2">
        <f>CallLog[[#This Row],[Date]]+CallLog[[#This Row],[Time]]</f>
        <v>44250.572997685187</v>
      </c>
      <c r="F3072" s="1" t="str">
        <f>TEXT(CallLog[[#This Row],[Date]],"dddd")</f>
        <v>Tuesday</v>
      </c>
      <c r="G3072" s="3">
        <f>HOUR(CallLog[[#This Row],[Time]])</f>
        <v>13</v>
      </c>
      <c r="H3072" t="s">
        <v>29</v>
      </c>
      <c r="I3072" t="s">
        <v>14</v>
      </c>
      <c r="J3072" t="s">
        <v>18</v>
      </c>
      <c r="K3072">
        <v>36</v>
      </c>
      <c r="L3072" t="str">
        <f>IF(AND(CallLog[[#This Row],[Answered (Y/N)]]="Y", CallLog[[#This Row],[Speed of answer in seconds]]&lt;=20),
    "Within",
    "Breach")</f>
        <v>Breach</v>
      </c>
      <c r="M3072" s="1">
        <v>7.6388888888888893E-4</v>
      </c>
      <c r="N3072">
        <v>3</v>
      </c>
    </row>
    <row r="3073" spans="1:14" x14ac:dyDescent="0.3">
      <c r="A3073" t="s">
        <v>3150</v>
      </c>
      <c r="B3073" t="s">
        <v>31</v>
      </c>
      <c r="C3073" t="s">
        <v>3125</v>
      </c>
      <c r="D3073" s="1">
        <v>0.57299768518518523</v>
      </c>
      <c r="E3073" s="2">
        <f>CallLog[[#This Row],[Date]]+CallLog[[#This Row],[Time]]</f>
        <v>44250.572997685187</v>
      </c>
      <c r="F3073" s="1" t="str">
        <f>TEXT(CallLog[[#This Row],[Date]],"dddd")</f>
        <v>Tuesday</v>
      </c>
      <c r="G3073" s="3">
        <f>HOUR(CallLog[[#This Row],[Time]])</f>
        <v>13</v>
      </c>
      <c r="H3073" t="s">
        <v>32</v>
      </c>
      <c r="I3073" t="s">
        <v>14</v>
      </c>
      <c r="J3073" t="s">
        <v>14</v>
      </c>
      <c r="K3073">
        <v>111</v>
      </c>
      <c r="L3073" t="str">
        <f>IF(AND(CallLog[[#This Row],[Answered (Y/N)]]="Y", CallLog[[#This Row],[Speed of answer in seconds]]&lt;=20),
    "Within",
    "Breach")</f>
        <v>Breach</v>
      </c>
      <c r="M3073" s="1">
        <v>1.1805555555555556E-3</v>
      </c>
      <c r="N3073">
        <v>3</v>
      </c>
    </row>
    <row r="3074" spans="1:14" x14ac:dyDescent="0.3">
      <c r="A3074" t="s">
        <v>3151</v>
      </c>
      <c r="B3074" t="s">
        <v>16</v>
      </c>
      <c r="C3074" t="s">
        <v>3125</v>
      </c>
      <c r="D3074" s="1">
        <v>0.60299768518518515</v>
      </c>
      <c r="E3074" s="2">
        <f>CallLog[[#This Row],[Date]]+CallLog[[#This Row],[Time]]</f>
        <v>44250.602997685186</v>
      </c>
      <c r="F3074" s="1" t="str">
        <f>TEXT(CallLog[[#This Row],[Date]],"dddd")</f>
        <v>Tuesday</v>
      </c>
      <c r="G3074" s="3">
        <f>HOUR(CallLog[[#This Row],[Time]])</f>
        <v>14</v>
      </c>
      <c r="H3074" t="s">
        <v>24</v>
      </c>
      <c r="I3074" t="s">
        <v>14</v>
      </c>
      <c r="J3074" t="s">
        <v>14</v>
      </c>
      <c r="K3074">
        <v>17</v>
      </c>
      <c r="L3074" t="str">
        <f>IF(AND(CallLog[[#This Row],[Answered (Y/N)]]="Y", CallLog[[#This Row],[Speed of answer in seconds]]&lt;=20),
    "Within",
    "Breach")</f>
        <v>Within</v>
      </c>
      <c r="M3074" s="1">
        <v>2.1296296296296298E-3</v>
      </c>
      <c r="N3074">
        <v>4</v>
      </c>
    </row>
    <row r="3075" spans="1:14" x14ac:dyDescent="0.3">
      <c r="A3075" t="s">
        <v>3152</v>
      </c>
      <c r="B3075" t="s">
        <v>11</v>
      </c>
      <c r="C3075" t="s">
        <v>3125</v>
      </c>
      <c r="D3075" s="1">
        <v>0.60299768518518515</v>
      </c>
      <c r="E3075" s="2">
        <f>CallLog[[#This Row],[Date]]+CallLog[[#This Row],[Time]]</f>
        <v>44250.602997685186</v>
      </c>
      <c r="F3075" s="1" t="str">
        <f>TEXT(CallLog[[#This Row],[Date]],"dddd")</f>
        <v>Tuesday</v>
      </c>
      <c r="G3075" s="3">
        <f>HOUR(CallLog[[#This Row],[Time]])</f>
        <v>14</v>
      </c>
      <c r="H3075" t="s">
        <v>24</v>
      </c>
      <c r="I3075" t="s">
        <v>14</v>
      </c>
      <c r="J3075" t="s">
        <v>14</v>
      </c>
      <c r="K3075">
        <v>121</v>
      </c>
      <c r="L3075" t="str">
        <f>IF(AND(CallLog[[#This Row],[Answered (Y/N)]]="Y", CallLog[[#This Row],[Speed of answer in seconds]]&lt;=20),
    "Within",
    "Breach")</f>
        <v>Breach</v>
      </c>
      <c r="M3075" s="1">
        <v>2.3495370370370371E-3</v>
      </c>
      <c r="N3075">
        <v>5</v>
      </c>
    </row>
    <row r="3076" spans="1:14" x14ac:dyDescent="0.3">
      <c r="A3076" t="s">
        <v>3153</v>
      </c>
      <c r="B3076" t="s">
        <v>20</v>
      </c>
      <c r="C3076" t="s">
        <v>3125</v>
      </c>
      <c r="D3076" s="1">
        <v>0.60700231481481481</v>
      </c>
      <c r="E3076" s="2">
        <f>CallLog[[#This Row],[Date]]+CallLog[[#This Row],[Time]]</f>
        <v>44250.607002314813</v>
      </c>
      <c r="F3076" s="1" t="str">
        <f>TEXT(CallLog[[#This Row],[Date]],"dddd")</f>
        <v>Tuesday</v>
      </c>
      <c r="G3076" s="3">
        <f>HOUR(CallLog[[#This Row],[Time]])</f>
        <v>14</v>
      </c>
      <c r="H3076" t="s">
        <v>24</v>
      </c>
      <c r="I3076" t="s">
        <v>14</v>
      </c>
      <c r="J3076" t="s">
        <v>14</v>
      </c>
      <c r="K3076">
        <v>69</v>
      </c>
      <c r="L3076" t="str">
        <f>IF(AND(CallLog[[#This Row],[Answered (Y/N)]]="Y", CallLog[[#This Row],[Speed of answer in seconds]]&lt;=20),
    "Within",
    "Breach")</f>
        <v>Breach</v>
      </c>
      <c r="M3076" s="1">
        <v>4.2245370370370371E-3</v>
      </c>
      <c r="N3076">
        <v>4</v>
      </c>
    </row>
    <row r="3077" spans="1:14" x14ac:dyDescent="0.3">
      <c r="A3077" t="s">
        <v>3154</v>
      </c>
      <c r="B3077" t="s">
        <v>31</v>
      </c>
      <c r="C3077" t="s">
        <v>3125</v>
      </c>
      <c r="D3077" s="1">
        <v>0.60700231481481481</v>
      </c>
      <c r="E3077" s="2">
        <f>CallLog[[#This Row],[Date]]+CallLog[[#This Row],[Time]]</f>
        <v>44250.607002314813</v>
      </c>
      <c r="F3077" s="1" t="str">
        <f>TEXT(CallLog[[#This Row],[Date]],"dddd")</f>
        <v>Tuesday</v>
      </c>
      <c r="G3077" s="3">
        <f>HOUR(CallLog[[#This Row],[Time]])</f>
        <v>14</v>
      </c>
      <c r="H3077" t="s">
        <v>13</v>
      </c>
      <c r="I3077" t="s">
        <v>14</v>
      </c>
      <c r="J3077" t="s">
        <v>14</v>
      </c>
      <c r="K3077">
        <v>111</v>
      </c>
      <c r="L3077" t="str">
        <f>IF(AND(CallLog[[#This Row],[Answered (Y/N)]]="Y", CallLog[[#This Row],[Speed of answer in seconds]]&lt;=20),
    "Within",
    "Breach")</f>
        <v>Breach</v>
      </c>
      <c r="M3077" s="1">
        <v>2.3958333333333331E-3</v>
      </c>
      <c r="N3077">
        <v>3</v>
      </c>
    </row>
    <row r="3078" spans="1:14" x14ac:dyDescent="0.3">
      <c r="A3078" t="s">
        <v>3155</v>
      </c>
      <c r="B3078" t="s">
        <v>38</v>
      </c>
      <c r="C3078" t="s">
        <v>3125</v>
      </c>
      <c r="D3078" s="1">
        <v>0.61</v>
      </c>
      <c r="E3078" s="2">
        <f>CallLog[[#This Row],[Date]]+CallLog[[#This Row],[Time]]</f>
        <v>44250.61</v>
      </c>
      <c r="F3078" s="1" t="str">
        <f>TEXT(CallLog[[#This Row],[Date]],"dddd")</f>
        <v>Tuesday</v>
      </c>
      <c r="G3078" s="3">
        <f>HOUR(CallLog[[#This Row],[Time]])</f>
        <v>14</v>
      </c>
      <c r="H3078" t="s">
        <v>17</v>
      </c>
      <c r="I3078" t="s">
        <v>18</v>
      </c>
      <c r="J3078" t="s">
        <v>18</v>
      </c>
      <c r="L3078" t="str">
        <f>IF(AND(CallLog[[#This Row],[Answered (Y/N)]]="Y", CallLog[[#This Row],[Speed of answer in seconds]]&lt;=20),
    "Within",
    "Breach")</f>
        <v>Breach</v>
      </c>
    </row>
    <row r="3079" spans="1:14" x14ac:dyDescent="0.3">
      <c r="A3079" t="s">
        <v>3156</v>
      </c>
      <c r="B3079" t="s">
        <v>31</v>
      </c>
      <c r="C3079" t="s">
        <v>3125</v>
      </c>
      <c r="D3079" s="1">
        <v>0.61</v>
      </c>
      <c r="E3079" s="2">
        <f>CallLog[[#This Row],[Date]]+CallLog[[#This Row],[Time]]</f>
        <v>44250.61</v>
      </c>
      <c r="F3079" s="1" t="str">
        <f>TEXT(CallLog[[#This Row],[Date]],"dddd")</f>
        <v>Tuesday</v>
      </c>
      <c r="G3079" s="3">
        <f>HOUR(CallLog[[#This Row],[Time]])</f>
        <v>14</v>
      </c>
      <c r="H3079" t="s">
        <v>17</v>
      </c>
      <c r="I3079" t="s">
        <v>14</v>
      </c>
      <c r="J3079" t="s">
        <v>14</v>
      </c>
      <c r="K3079">
        <v>86</v>
      </c>
      <c r="L3079" t="str">
        <f>IF(AND(CallLog[[#This Row],[Answered (Y/N)]]="Y", CallLog[[#This Row],[Speed of answer in seconds]]&lt;=20),
    "Within",
    "Breach")</f>
        <v>Breach</v>
      </c>
      <c r="M3079" s="1">
        <v>3.2175925925925926E-3</v>
      </c>
      <c r="N3079">
        <v>3</v>
      </c>
    </row>
    <row r="3080" spans="1:14" x14ac:dyDescent="0.3">
      <c r="A3080" t="s">
        <v>3157</v>
      </c>
      <c r="B3080" t="s">
        <v>47</v>
      </c>
      <c r="C3080" t="s">
        <v>3125</v>
      </c>
      <c r="D3080" s="1">
        <v>0.61700231481481482</v>
      </c>
      <c r="E3080" s="2">
        <f>CallLog[[#This Row],[Date]]+CallLog[[#This Row],[Time]]</f>
        <v>44250.617002314815</v>
      </c>
      <c r="F3080" s="1" t="str">
        <f>TEXT(CallLog[[#This Row],[Date]],"dddd")</f>
        <v>Tuesday</v>
      </c>
      <c r="G3080" s="3">
        <f>HOUR(CallLog[[#This Row],[Time]])</f>
        <v>14</v>
      </c>
      <c r="H3080" t="s">
        <v>24</v>
      </c>
      <c r="I3080" t="s">
        <v>14</v>
      </c>
      <c r="J3080" t="s">
        <v>14</v>
      </c>
      <c r="K3080">
        <v>77</v>
      </c>
      <c r="L3080" t="str">
        <f>IF(AND(CallLog[[#This Row],[Answered (Y/N)]]="Y", CallLog[[#This Row],[Speed of answer in seconds]]&lt;=20),
    "Within",
    "Breach")</f>
        <v>Breach</v>
      </c>
      <c r="M3080" s="1">
        <v>4.7800925925925927E-3</v>
      </c>
      <c r="N3080">
        <v>4</v>
      </c>
    </row>
    <row r="3081" spans="1:14" x14ac:dyDescent="0.3">
      <c r="A3081" t="s">
        <v>3158</v>
      </c>
      <c r="B3081" t="s">
        <v>31</v>
      </c>
      <c r="C3081" t="s">
        <v>3125</v>
      </c>
      <c r="D3081" s="1">
        <v>0.61700231481481482</v>
      </c>
      <c r="E3081" s="2">
        <f>CallLog[[#This Row],[Date]]+CallLog[[#This Row],[Time]]</f>
        <v>44250.617002314815</v>
      </c>
      <c r="F3081" s="1" t="str">
        <f>TEXT(CallLog[[#This Row],[Date]],"dddd")</f>
        <v>Tuesday</v>
      </c>
      <c r="G3081" s="3">
        <f>HOUR(CallLog[[#This Row],[Time]])</f>
        <v>14</v>
      </c>
      <c r="H3081" t="s">
        <v>13</v>
      </c>
      <c r="I3081" t="s">
        <v>14</v>
      </c>
      <c r="J3081" t="s">
        <v>14</v>
      </c>
      <c r="K3081">
        <v>70</v>
      </c>
      <c r="L3081" t="str">
        <f>IF(AND(CallLog[[#This Row],[Answered (Y/N)]]="Y", CallLog[[#This Row],[Speed of answer in seconds]]&lt;=20),
    "Within",
    "Breach")</f>
        <v>Breach</v>
      </c>
      <c r="M3081" s="1">
        <v>3.3333333333333335E-3</v>
      </c>
      <c r="N3081">
        <v>3</v>
      </c>
    </row>
    <row r="3082" spans="1:14" x14ac:dyDescent="0.3">
      <c r="A3082" t="s">
        <v>3159</v>
      </c>
      <c r="B3082" t="s">
        <v>22</v>
      </c>
      <c r="C3082" t="s">
        <v>3125</v>
      </c>
      <c r="D3082" s="1">
        <v>0.62099537037037034</v>
      </c>
      <c r="E3082" s="2">
        <f>CallLog[[#This Row],[Date]]+CallLog[[#This Row],[Time]]</f>
        <v>44250.620995370373</v>
      </c>
      <c r="F3082" s="1" t="str">
        <f>TEXT(CallLog[[#This Row],[Date]],"dddd")</f>
        <v>Tuesday</v>
      </c>
      <c r="G3082" s="3">
        <f>HOUR(CallLog[[#This Row],[Time]])</f>
        <v>14</v>
      </c>
      <c r="H3082" t="s">
        <v>32</v>
      </c>
      <c r="I3082" t="s">
        <v>14</v>
      </c>
      <c r="J3082" t="s">
        <v>14</v>
      </c>
      <c r="K3082">
        <v>82</v>
      </c>
      <c r="L3082" t="str">
        <f>IF(AND(CallLog[[#This Row],[Answered (Y/N)]]="Y", CallLog[[#This Row],[Speed of answer in seconds]]&lt;=20),
    "Within",
    "Breach")</f>
        <v>Breach</v>
      </c>
      <c r="M3082" s="1">
        <v>9.9537037037037042E-4</v>
      </c>
      <c r="N3082">
        <v>3</v>
      </c>
    </row>
    <row r="3083" spans="1:14" x14ac:dyDescent="0.3">
      <c r="A3083" t="s">
        <v>3160</v>
      </c>
      <c r="B3083" t="s">
        <v>34</v>
      </c>
      <c r="C3083" t="s">
        <v>3125</v>
      </c>
      <c r="D3083" s="1">
        <v>0.62099537037037034</v>
      </c>
      <c r="E3083" s="2">
        <f>CallLog[[#This Row],[Date]]+CallLog[[#This Row],[Time]]</f>
        <v>44250.620995370373</v>
      </c>
      <c r="F3083" s="1" t="str">
        <f>TEXT(CallLog[[#This Row],[Date]],"dddd")</f>
        <v>Tuesday</v>
      </c>
      <c r="G3083" s="3">
        <f>HOUR(CallLog[[#This Row],[Time]])</f>
        <v>14</v>
      </c>
      <c r="H3083" t="s">
        <v>24</v>
      </c>
      <c r="I3083" t="s">
        <v>18</v>
      </c>
      <c r="J3083" t="s">
        <v>18</v>
      </c>
      <c r="L3083" t="str">
        <f>IF(AND(CallLog[[#This Row],[Answered (Y/N)]]="Y", CallLog[[#This Row],[Speed of answer in seconds]]&lt;=20),
    "Within",
    "Breach")</f>
        <v>Breach</v>
      </c>
    </row>
    <row r="3084" spans="1:14" x14ac:dyDescent="0.3">
      <c r="A3084" t="s">
        <v>3161</v>
      </c>
      <c r="B3084" t="s">
        <v>16</v>
      </c>
      <c r="C3084" t="s">
        <v>3125</v>
      </c>
      <c r="D3084" s="1">
        <v>0.64</v>
      </c>
      <c r="E3084" s="2">
        <f>CallLog[[#This Row],[Date]]+CallLog[[#This Row],[Time]]</f>
        <v>44250.64</v>
      </c>
      <c r="F3084" s="1" t="str">
        <f>TEXT(CallLog[[#This Row],[Date]],"dddd")</f>
        <v>Tuesday</v>
      </c>
      <c r="G3084" s="3">
        <f>HOUR(CallLog[[#This Row],[Time]])</f>
        <v>15</v>
      </c>
      <c r="H3084" t="s">
        <v>13</v>
      </c>
      <c r="I3084" t="s">
        <v>14</v>
      </c>
      <c r="J3084" t="s">
        <v>14</v>
      </c>
      <c r="K3084">
        <v>69</v>
      </c>
      <c r="L3084" t="str">
        <f>IF(AND(CallLog[[#This Row],[Answered (Y/N)]]="Y", CallLog[[#This Row],[Speed of answer in seconds]]&lt;=20),
    "Within",
    "Breach")</f>
        <v>Breach</v>
      </c>
      <c r="M3084" s="1">
        <v>1.5856481481481481E-3</v>
      </c>
      <c r="N3084">
        <v>1</v>
      </c>
    </row>
    <row r="3085" spans="1:14" x14ac:dyDescent="0.3">
      <c r="A3085" t="s">
        <v>3162</v>
      </c>
      <c r="B3085" t="s">
        <v>31</v>
      </c>
      <c r="C3085" t="s">
        <v>3125</v>
      </c>
      <c r="D3085" s="1">
        <v>0.64</v>
      </c>
      <c r="E3085" s="2">
        <f>CallLog[[#This Row],[Date]]+CallLog[[#This Row],[Time]]</f>
        <v>44250.64</v>
      </c>
      <c r="F3085" s="1" t="str">
        <f>TEXT(CallLog[[#This Row],[Date]],"dddd")</f>
        <v>Tuesday</v>
      </c>
      <c r="G3085" s="3">
        <f>HOUR(CallLog[[#This Row],[Time]])</f>
        <v>15</v>
      </c>
      <c r="H3085" t="s">
        <v>17</v>
      </c>
      <c r="I3085" t="s">
        <v>18</v>
      </c>
      <c r="J3085" t="s">
        <v>18</v>
      </c>
      <c r="L3085" t="str">
        <f>IF(AND(CallLog[[#This Row],[Answered (Y/N)]]="Y", CallLog[[#This Row],[Speed of answer in seconds]]&lt;=20),
    "Within",
    "Breach")</f>
        <v>Breach</v>
      </c>
    </row>
    <row r="3086" spans="1:14" x14ac:dyDescent="0.3">
      <c r="A3086" t="s">
        <v>3163</v>
      </c>
      <c r="B3086" t="s">
        <v>34</v>
      </c>
      <c r="C3086" t="s">
        <v>3125</v>
      </c>
      <c r="D3086" s="1">
        <v>0.64599537037037036</v>
      </c>
      <c r="E3086" s="2">
        <f>CallLog[[#This Row],[Date]]+CallLog[[#This Row],[Time]]</f>
        <v>44250.645995370367</v>
      </c>
      <c r="F3086" s="1" t="str">
        <f>TEXT(CallLog[[#This Row],[Date]],"dddd")</f>
        <v>Tuesday</v>
      </c>
      <c r="G3086" s="3">
        <f>HOUR(CallLog[[#This Row],[Time]])</f>
        <v>15</v>
      </c>
      <c r="H3086" t="s">
        <v>13</v>
      </c>
      <c r="I3086" t="s">
        <v>14</v>
      </c>
      <c r="J3086" t="s">
        <v>14</v>
      </c>
      <c r="K3086">
        <v>56</v>
      </c>
      <c r="L3086" t="str">
        <f>IF(AND(CallLog[[#This Row],[Answered (Y/N)]]="Y", CallLog[[#This Row],[Speed of answer in seconds]]&lt;=20),
    "Within",
    "Breach")</f>
        <v>Breach</v>
      </c>
      <c r="M3086" s="1">
        <v>9.4907407407407408E-4</v>
      </c>
      <c r="N3086">
        <v>1</v>
      </c>
    </row>
    <row r="3087" spans="1:14" x14ac:dyDescent="0.3">
      <c r="A3087" t="s">
        <v>3164</v>
      </c>
      <c r="B3087" t="s">
        <v>22</v>
      </c>
      <c r="C3087" t="s">
        <v>3125</v>
      </c>
      <c r="D3087" s="1">
        <v>0.64599537037037036</v>
      </c>
      <c r="E3087" s="2">
        <f>CallLog[[#This Row],[Date]]+CallLog[[#This Row],[Time]]</f>
        <v>44250.645995370367</v>
      </c>
      <c r="F3087" s="1" t="str">
        <f>TEXT(CallLog[[#This Row],[Date]],"dddd")</f>
        <v>Tuesday</v>
      </c>
      <c r="G3087" s="3">
        <f>HOUR(CallLog[[#This Row],[Time]])</f>
        <v>15</v>
      </c>
      <c r="H3087" t="s">
        <v>13</v>
      </c>
      <c r="I3087" t="s">
        <v>14</v>
      </c>
      <c r="J3087" t="s">
        <v>14</v>
      </c>
      <c r="K3087">
        <v>95</v>
      </c>
      <c r="L3087" t="str">
        <f>IF(AND(CallLog[[#This Row],[Answered (Y/N)]]="Y", CallLog[[#This Row],[Speed of answer in seconds]]&lt;=20),
    "Within",
    "Breach")</f>
        <v>Breach</v>
      </c>
      <c r="M3087" s="1">
        <v>4.2708333333333331E-3</v>
      </c>
      <c r="N3087">
        <v>1</v>
      </c>
    </row>
    <row r="3088" spans="1:14" x14ac:dyDescent="0.3">
      <c r="A3088" t="s">
        <v>3165</v>
      </c>
      <c r="B3088" t="s">
        <v>31</v>
      </c>
      <c r="C3088" t="s">
        <v>3125</v>
      </c>
      <c r="D3088" s="1">
        <v>0.64900462962962968</v>
      </c>
      <c r="E3088" s="2">
        <f>CallLog[[#This Row],[Date]]+CallLog[[#This Row],[Time]]</f>
        <v>44250.649004629631</v>
      </c>
      <c r="F3088" s="1" t="str">
        <f>TEXT(CallLog[[#This Row],[Date]],"dddd")</f>
        <v>Tuesday</v>
      </c>
      <c r="G3088" s="3">
        <f>HOUR(CallLog[[#This Row],[Time]])</f>
        <v>15</v>
      </c>
      <c r="H3088" t="s">
        <v>29</v>
      </c>
      <c r="I3088" t="s">
        <v>18</v>
      </c>
      <c r="J3088" t="s">
        <v>18</v>
      </c>
      <c r="L3088" t="str">
        <f>IF(AND(CallLog[[#This Row],[Answered (Y/N)]]="Y", CallLog[[#This Row],[Speed of answer in seconds]]&lt;=20),
    "Within",
    "Breach")</f>
        <v>Breach</v>
      </c>
    </row>
    <row r="3089" spans="1:14" x14ac:dyDescent="0.3">
      <c r="A3089" t="s">
        <v>3166</v>
      </c>
      <c r="B3089" t="s">
        <v>22</v>
      </c>
      <c r="C3089" t="s">
        <v>3125</v>
      </c>
      <c r="D3089" s="1">
        <v>0.64900462962962968</v>
      </c>
      <c r="E3089" s="2">
        <f>CallLog[[#This Row],[Date]]+CallLog[[#This Row],[Time]]</f>
        <v>44250.649004629631</v>
      </c>
      <c r="F3089" s="1" t="str">
        <f>TEXT(CallLog[[#This Row],[Date]],"dddd")</f>
        <v>Tuesday</v>
      </c>
      <c r="G3089" s="3">
        <f>HOUR(CallLog[[#This Row],[Time]])</f>
        <v>15</v>
      </c>
      <c r="H3089" t="s">
        <v>32</v>
      </c>
      <c r="I3089" t="s">
        <v>14</v>
      </c>
      <c r="J3089" t="s">
        <v>14</v>
      </c>
      <c r="K3089">
        <v>13</v>
      </c>
      <c r="L3089" t="str">
        <f>IF(AND(CallLog[[#This Row],[Answered (Y/N)]]="Y", CallLog[[#This Row],[Speed of answer in seconds]]&lt;=20),
    "Within",
    "Breach")</f>
        <v>Within</v>
      </c>
      <c r="M3089" s="1">
        <v>4.2361111111111115E-3</v>
      </c>
      <c r="N3089">
        <v>3</v>
      </c>
    </row>
    <row r="3090" spans="1:14" x14ac:dyDescent="0.3">
      <c r="A3090" t="s">
        <v>3167</v>
      </c>
      <c r="B3090" t="s">
        <v>34</v>
      </c>
      <c r="C3090" t="s">
        <v>3125</v>
      </c>
      <c r="D3090" s="1">
        <v>0.6579976851851852</v>
      </c>
      <c r="E3090" s="2">
        <f>CallLog[[#This Row],[Date]]+CallLog[[#This Row],[Time]]</f>
        <v>44250.657997685186</v>
      </c>
      <c r="F3090" s="1" t="str">
        <f>TEXT(CallLog[[#This Row],[Date]],"dddd")</f>
        <v>Tuesday</v>
      </c>
      <c r="G3090" s="3">
        <f>HOUR(CallLog[[#This Row],[Time]])</f>
        <v>15</v>
      </c>
      <c r="H3090" t="s">
        <v>24</v>
      </c>
      <c r="I3090" t="s">
        <v>14</v>
      </c>
      <c r="J3090" t="s">
        <v>14</v>
      </c>
      <c r="K3090">
        <v>52</v>
      </c>
      <c r="L3090" t="str">
        <f>IF(AND(CallLog[[#This Row],[Answered (Y/N)]]="Y", CallLog[[#This Row],[Speed of answer in seconds]]&lt;=20),
    "Within",
    "Breach")</f>
        <v>Breach</v>
      </c>
      <c r="M3090" s="1">
        <v>3.460648148148148E-3</v>
      </c>
      <c r="N3090">
        <v>4</v>
      </c>
    </row>
    <row r="3091" spans="1:14" x14ac:dyDescent="0.3">
      <c r="A3091" t="s">
        <v>3168</v>
      </c>
      <c r="B3091" t="s">
        <v>34</v>
      </c>
      <c r="C3091" t="s">
        <v>3125</v>
      </c>
      <c r="D3091" s="1">
        <v>0.6579976851851852</v>
      </c>
      <c r="E3091" s="2">
        <f>CallLog[[#This Row],[Date]]+CallLog[[#This Row],[Time]]</f>
        <v>44250.657997685186</v>
      </c>
      <c r="F3091" s="1" t="str">
        <f>TEXT(CallLog[[#This Row],[Date]],"dddd")</f>
        <v>Tuesday</v>
      </c>
      <c r="G3091" s="3">
        <f>HOUR(CallLog[[#This Row],[Time]])</f>
        <v>15</v>
      </c>
      <c r="H3091" t="s">
        <v>17</v>
      </c>
      <c r="I3091" t="s">
        <v>14</v>
      </c>
      <c r="J3091" t="s">
        <v>18</v>
      </c>
      <c r="K3091">
        <v>40</v>
      </c>
      <c r="L3091" t="str">
        <f>IF(AND(CallLog[[#This Row],[Answered (Y/N)]]="Y", CallLog[[#This Row],[Speed of answer in seconds]]&lt;=20),
    "Within",
    "Breach")</f>
        <v>Breach</v>
      </c>
      <c r="M3091" s="1">
        <v>4.0740740740740737E-3</v>
      </c>
      <c r="N3091">
        <v>4</v>
      </c>
    </row>
    <row r="3092" spans="1:14" x14ac:dyDescent="0.3">
      <c r="A3092" t="s">
        <v>3169</v>
      </c>
      <c r="B3092" t="s">
        <v>22</v>
      </c>
      <c r="C3092" t="s">
        <v>3125</v>
      </c>
      <c r="D3092" s="1">
        <v>0.69499999999999995</v>
      </c>
      <c r="E3092" s="2">
        <f>CallLog[[#This Row],[Date]]+CallLog[[#This Row],[Time]]</f>
        <v>44250.695</v>
      </c>
      <c r="F3092" s="1" t="str">
        <f>TEXT(CallLog[[#This Row],[Date]],"dddd")</f>
        <v>Tuesday</v>
      </c>
      <c r="G3092" s="3">
        <f>HOUR(CallLog[[#This Row],[Time]])</f>
        <v>16</v>
      </c>
      <c r="H3092" t="s">
        <v>29</v>
      </c>
      <c r="I3092" t="s">
        <v>18</v>
      </c>
      <c r="J3092" t="s">
        <v>18</v>
      </c>
      <c r="L3092" t="str">
        <f>IF(AND(CallLog[[#This Row],[Answered (Y/N)]]="Y", CallLog[[#This Row],[Speed of answer in seconds]]&lt;=20),
    "Within",
    "Breach")</f>
        <v>Breach</v>
      </c>
    </row>
    <row r="3093" spans="1:14" x14ac:dyDescent="0.3">
      <c r="A3093" t="s">
        <v>3170</v>
      </c>
      <c r="B3093" t="s">
        <v>38</v>
      </c>
      <c r="C3093" t="s">
        <v>3125</v>
      </c>
      <c r="D3093" s="1">
        <v>0.69499999999999995</v>
      </c>
      <c r="E3093" s="2">
        <f>CallLog[[#This Row],[Date]]+CallLog[[#This Row],[Time]]</f>
        <v>44250.695</v>
      </c>
      <c r="F3093" s="1" t="str">
        <f>TEXT(CallLog[[#This Row],[Date]],"dddd")</f>
        <v>Tuesday</v>
      </c>
      <c r="G3093" s="3">
        <f>HOUR(CallLog[[#This Row],[Time]])</f>
        <v>16</v>
      </c>
      <c r="H3093" t="s">
        <v>13</v>
      </c>
      <c r="I3093" t="s">
        <v>14</v>
      </c>
      <c r="J3093" t="s">
        <v>14</v>
      </c>
      <c r="K3093">
        <v>124</v>
      </c>
      <c r="L3093" t="str">
        <f>IF(AND(CallLog[[#This Row],[Answered (Y/N)]]="Y", CallLog[[#This Row],[Speed of answer in seconds]]&lt;=20),
    "Within",
    "Breach")</f>
        <v>Breach</v>
      </c>
      <c r="M3093" s="1">
        <v>4.6643518518518518E-3</v>
      </c>
      <c r="N3093">
        <v>5</v>
      </c>
    </row>
    <row r="3094" spans="1:14" x14ac:dyDescent="0.3">
      <c r="A3094" t="s">
        <v>3171</v>
      </c>
      <c r="B3094" t="s">
        <v>22</v>
      </c>
      <c r="C3094" t="s">
        <v>3125</v>
      </c>
      <c r="D3094" s="1">
        <v>0.70499999999999996</v>
      </c>
      <c r="E3094" s="2">
        <f>CallLog[[#This Row],[Date]]+CallLog[[#This Row],[Time]]</f>
        <v>44250.705000000002</v>
      </c>
      <c r="F3094" s="1" t="str">
        <f>TEXT(CallLog[[#This Row],[Date]],"dddd")</f>
        <v>Tuesday</v>
      </c>
      <c r="G3094" s="3">
        <f>HOUR(CallLog[[#This Row],[Time]])</f>
        <v>16</v>
      </c>
      <c r="H3094" t="s">
        <v>24</v>
      </c>
      <c r="I3094" t="s">
        <v>14</v>
      </c>
      <c r="J3094" t="s">
        <v>14</v>
      </c>
      <c r="K3094">
        <v>99</v>
      </c>
      <c r="L3094" t="str">
        <f>IF(AND(CallLog[[#This Row],[Answered (Y/N)]]="Y", CallLog[[#This Row],[Speed of answer in seconds]]&lt;=20),
    "Within",
    "Breach")</f>
        <v>Breach</v>
      </c>
      <c r="M3094" s="1">
        <v>4.6759259259259263E-3</v>
      </c>
      <c r="N3094">
        <v>4</v>
      </c>
    </row>
    <row r="3095" spans="1:14" x14ac:dyDescent="0.3">
      <c r="A3095" t="s">
        <v>3172</v>
      </c>
      <c r="B3095" t="s">
        <v>16</v>
      </c>
      <c r="C3095" t="s">
        <v>3125</v>
      </c>
      <c r="D3095" s="1">
        <v>0.70499999999999996</v>
      </c>
      <c r="E3095" s="2">
        <f>CallLog[[#This Row],[Date]]+CallLog[[#This Row],[Time]]</f>
        <v>44250.705000000002</v>
      </c>
      <c r="F3095" s="1" t="str">
        <f>TEXT(CallLog[[#This Row],[Date]],"dddd")</f>
        <v>Tuesday</v>
      </c>
      <c r="G3095" s="3">
        <f>HOUR(CallLog[[#This Row],[Time]])</f>
        <v>16</v>
      </c>
      <c r="H3095" t="s">
        <v>32</v>
      </c>
      <c r="I3095" t="s">
        <v>14</v>
      </c>
      <c r="J3095" t="s">
        <v>14</v>
      </c>
      <c r="K3095">
        <v>99</v>
      </c>
      <c r="L3095" t="str">
        <f>IF(AND(CallLog[[#This Row],[Answered (Y/N)]]="Y", CallLog[[#This Row],[Speed of answer in seconds]]&lt;=20),
    "Within",
    "Breach")</f>
        <v>Breach</v>
      </c>
      <c r="M3095" s="1">
        <v>4.6064814814814814E-3</v>
      </c>
      <c r="N3095">
        <v>4</v>
      </c>
    </row>
    <row r="3096" spans="1:14" x14ac:dyDescent="0.3">
      <c r="A3096" t="s">
        <v>3173</v>
      </c>
      <c r="B3096" t="s">
        <v>11</v>
      </c>
      <c r="C3096" t="s">
        <v>3125</v>
      </c>
      <c r="D3096" s="1">
        <v>0.71599537037037042</v>
      </c>
      <c r="E3096" s="2">
        <f>CallLog[[#This Row],[Date]]+CallLog[[#This Row],[Time]]</f>
        <v>44250.715995370374</v>
      </c>
      <c r="F3096" s="1" t="str">
        <f>TEXT(CallLog[[#This Row],[Date]],"dddd")</f>
        <v>Tuesday</v>
      </c>
      <c r="G3096" s="3">
        <f>HOUR(CallLog[[#This Row],[Time]])</f>
        <v>17</v>
      </c>
      <c r="H3096" t="s">
        <v>24</v>
      </c>
      <c r="I3096" t="s">
        <v>14</v>
      </c>
      <c r="J3096" t="s">
        <v>14</v>
      </c>
      <c r="K3096">
        <v>86</v>
      </c>
      <c r="L3096" t="str">
        <f>IF(AND(CallLog[[#This Row],[Answered (Y/N)]]="Y", CallLog[[#This Row],[Speed of answer in seconds]]&lt;=20),
    "Within",
    "Breach")</f>
        <v>Breach</v>
      </c>
      <c r="M3096" s="1">
        <v>3.0787037037037037E-3</v>
      </c>
      <c r="N3096">
        <v>4</v>
      </c>
    </row>
    <row r="3097" spans="1:14" x14ac:dyDescent="0.3">
      <c r="A3097" t="s">
        <v>3174</v>
      </c>
      <c r="B3097" t="s">
        <v>34</v>
      </c>
      <c r="C3097" t="s">
        <v>3125</v>
      </c>
      <c r="D3097" s="1">
        <v>0.71599537037037042</v>
      </c>
      <c r="E3097" s="2">
        <f>CallLog[[#This Row],[Date]]+CallLog[[#This Row],[Time]]</f>
        <v>44250.715995370374</v>
      </c>
      <c r="F3097" s="1" t="str">
        <f>TEXT(CallLog[[#This Row],[Date]],"dddd")</f>
        <v>Tuesday</v>
      </c>
      <c r="G3097" s="3">
        <f>HOUR(CallLog[[#This Row],[Time]])</f>
        <v>17</v>
      </c>
      <c r="H3097" t="s">
        <v>17</v>
      </c>
      <c r="I3097" t="s">
        <v>14</v>
      </c>
      <c r="J3097" t="s">
        <v>14</v>
      </c>
      <c r="K3097">
        <v>118</v>
      </c>
      <c r="L3097" t="str">
        <f>IF(AND(CallLog[[#This Row],[Answered (Y/N)]]="Y", CallLog[[#This Row],[Speed of answer in seconds]]&lt;=20),
    "Within",
    "Breach")</f>
        <v>Breach</v>
      </c>
      <c r="M3097" s="1">
        <v>6.134259259259259E-4</v>
      </c>
      <c r="N3097">
        <v>2</v>
      </c>
    </row>
    <row r="3098" spans="1:14" x14ac:dyDescent="0.3">
      <c r="A3098" t="s">
        <v>3175</v>
      </c>
      <c r="B3098" t="s">
        <v>38</v>
      </c>
      <c r="C3098" t="s">
        <v>3125</v>
      </c>
      <c r="D3098" s="1">
        <v>0.72499999999999998</v>
      </c>
      <c r="E3098" s="2">
        <f>CallLog[[#This Row],[Date]]+CallLog[[#This Row],[Time]]</f>
        <v>44250.724999999999</v>
      </c>
      <c r="F3098" s="1" t="str">
        <f>TEXT(CallLog[[#This Row],[Date]],"dddd")</f>
        <v>Tuesday</v>
      </c>
      <c r="G3098" s="3">
        <f>HOUR(CallLog[[#This Row],[Time]])</f>
        <v>17</v>
      </c>
      <c r="H3098" t="s">
        <v>13</v>
      </c>
      <c r="I3098" t="s">
        <v>14</v>
      </c>
      <c r="J3098" t="s">
        <v>14</v>
      </c>
      <c r="K3098">
        <v>50</v>
      </c>
      <c r="L3098" t="str">
        <f>IF(AND(CallLog[[#This Row],[Answered (Y/N)]]="Y", CallLog[[#This Row],[Speed of answer in seconds]]&lt;=20),
    "Within",
    "Breach")</f>
        <v>Breach</v>
      </c>
      <c r="M3098" s="1">
        <v>4.43287037037037E-3</v>
      </c>
      <c r="N3098">
        <v>4</v>
      </c>
    </row>
    <row r="3099" spans="1:14" x14ac:dyDescent="0.3">
      <c r="A3099" t="s">
        <v>3176</v>
      </c>
      <c r="B3099" t="s">
        <v>38</v>
      </c>
      <c r="C3099" t="s">
        <v>3125</v>
      </c>
      <c r="D3099" s="1">
        <v>0.72499999999999998</v>
      </c>
      <c r="E3099" s="2">
        <f>CallLog[[#This Row],[Date]]+CallLog[[#This Row],[Time]]</f>
        <v>44250.724999999999</v>
      </c>
      <c r="F3099" s="1" t="str">
        <f>TEXT(CallLog[[#This Row],[Date]],"dddd")</f>
        <v>Tuesday</v>
      </c>
      <c r="G3099" s="3">
        <f>HOUR(CallLog[[#This Row],[Time]])</f>
        <v>17</v>
      </c>
      <c r="H3099" t="s">
        <v>29</v>
      </c>
      <c r="I3099" t="s">
        <v>18</v>
      </c>
      <c r="J3099" t="s">
        <v>18</v>
      </c>
      <c r="L3099" t="str">
        <f>IF(AND(CallLog[[#This Row],[Answered (Y/N)]]="Y", CallLog[[#This Row],[Speed of answer in seconds]]&lt;=20),
    "Within",
    "Breach")</f>
        <v>Breach</v>
      </c>
    </row>
    <row r="3100" spans="1:14" x14ac:dyDescent="0.3">
      <c r="A3100" t="s">
        <v>3177</v>
      </c>
      <c r="B3100" t="s">
        <v>16</v>
      </c>
      <c r="C3100" t="s">
        <v>3125</v>
      </c>
      <c r="D3100" s="1">
        <v>0.72900462962962964</v>
      </c>
      <c r="E3100" s="2">
        <f>CallLog[[#This Row],[Date]]+CallLog[[#This Row],[Time]]</f>
        <v>44250.729004629633</v>
      </c>
      <c r="F3100" s="1" t="str">
        <f>TEXT(CallLog[[#This Row],[Date]],"dddd")</f>
        <v>Tuesday</v>
      </c>
      <c r="G3100" s="3">
        <f>HOUR(CallLog[[#This Row],[Time]])</f>
        <v>17</v>
      </c>
      <c r="H3100" t="s">
        <v>32</v>
      </c>
      <c r="I3100" t="s">
        <v>14</v>
      </c>
      <c r="J3100" t="s">
        <v>14</v>
      </c>
      <c r="K3100">
        <v>52</v>
      </c>
      <c r="L3100" t="str">
        <f>IF(AND(CallLog[[#This Row],[Answered (Y/N)]]="Y", CallLog[[#This Row],[Speed of answer in seconds]]&lt;=20),
    "Within",
    "Breach")</f>
        <v>Breach</v>
      </c>
      <c r="M3100" s="1">
        <v>2.476851851851852E-3</v>
      </c>
      <c r="N3100">
        <v>1</v>
      </c>
    </row>
    <row r="3101" spans="1:14" x14ac:dyDescent="0.3">
      <c r="A3101" t="s">
        <v>3178</v>
      </c>
      <c r="B3101" t="s">
        <v>11</v>
      </c>
      <c r="C3101" t="s">
        <v>3125</v>
      </c>
      <c r="D3101" s="1">
        <v>0.72900462962962964</v>
      </c>
      <c r="E3101" s="2">
        <f>CallLog[[#This Row],[Date]]+CallLog[[#This Row],[Time]]</f>
        <v>44250.729004629633</v>
      </c>
      <c r="F3101" s="1" t="str">
        <f>TEXT(CallLog[[#This Row],[Date]],"dddd")</f>
        <v>Tuesday</v>
      </c>
      <c r="G3101" s="3">
        <f>HOUR(CallLog[[#This Row],[Time]])</f>
        <v>17</v>
      </c>
      <c r="H3101" t="s">
        <v>17</v>
      </c>
      <c r="I3101" t="s">
        <v>14</v>
      </c>
      <c r="J3101" t="s">
        <v>14</v>
      </c>
      <c r="K3101">
        <v>34</v>
      </c>
      <c r="L3101" t="str">
        <f>IF(AND(CallLog[[#This Row],[Answered (Y/N)]]="Y", CallLog[[#This Row],[Speed of answer in seconds]]&lt;=20),
    "Within",
    "Breach")</f>
        <v>Breach</v>
      </c>
      <c r="M3101" s="1">
        <v>3.3101851851851851E-3</v>
      </c>
      <c r="N3101">
        <v>4</v>
      </c>
    </row>
    <row r="3102" spans="1:14" x14ac:dyDescent="0.3">
      <c r="A3102" t="s">
        <v>3179</v>
      </c>
      <c r="B3102" t="s">
        <v>22</v>
      </c>
      <c r="C3102" t="s">
        <v>3180</v>
      </c>
      <c r="D3102" s="1">
        <v>0.4</v>
      </c>
      <c r="E3102" s="2">
        <f>CallLog[[#This Row],[Date]]+CallLog[[#This Row],[Time]]</f>
        <v>44251.4</v>
      </c>
      <c r="F3102" s="1" t="str">
        <f>TEXT(CallLog[[#This Row],[Date]],"dddd")</f>
        <v>Wednesday</v>
      </c>
      <c r="G3102" s="3">
        <f>HOUR(CallLog[[#This Row],[Time]])</f>
        <v>9</v>
      </c>
      <c r="H3102" t="s">
        <v>24</v>
      </c>
      <c r="I3102" t="s">
        <v>14</v>
      </c>
      <c r="J3102" t="s">
        <v>14</v>
      </c>
      <c r="K3102">
        <v>37</v>
      </c>
      <c r="L3102" t="str">
        <f>IF(AND(CallLog[[#This Row],[Answered (Y/N)]]="Y", CallLog[[#This Row],[Speed of answer in seconds]]&lt;=20),
    "Within",
    "Breach")</f>
        <v>Breach</v>
      </c>
      <c r="M3102" s="1">
        <v>2.638888888888889E-3</v>
      </c>
      <c r="N3102">
        <v>3</v>
      </c>
    </row>
    <row r="3103" spans="1:14" x14ac:dyDescent="0.3">
      <c r="A3103" t="s">
        <v>3181</v>
      </c>
      <c r="B3103" t="s">
        <v>47</v>
      </c>
      <c r="C3103" t="s">
        <v>3180</v>
      </c>
      <c r="D3103" s="1">
        <v>0.4</v>
      </c>
      <c r="E3103" s="2">
        <f>CallLog[[#This Row],[Date]]+CallLog[[#This Row],[Time]]</f>
        <v>44251.4</v>
      </c>
      <c r="F3103" s="1" t="str">
        <f>TEXT(CallLog[[#This Row],[Date]],"dddd")</f>
        <v>Wednesday</v>
      </c>
      <c r="G3103" s="3">
        <f>HOUR(CallLog[[#This Row],[Time]])</f>
        <v>9</v>
      </c>
      <c r="H3103" t="s">
        <v>29</v>
      </c>
      <c r="I3103" t="s">
        <v>14</v>
      </c>
      <c r="J3103" t="s">
        <v>14</v>
      </c>
      <c r="K3103">
        <v>75</v>
      </c>
      <c r="L3103" t="str">
        <f>IF(AND(CallLog[[#This Row],[Answered (Y/N)]]="Y", CallLog[[#This Row],[Speed of answer in seconds]]&lt;=20),
    "Within",
    "Breach")</f>
        <v>Breach</v>
      </c>
      <c r="M3103" s="1">
        <v>2.0949074074074073E-3</v>
      </c>
      <c r="N3103">
        <v>4</v>
      </c>
    </row>
    <row r="3104" spans="1:14" x14ac:dyDescent="0.3">
      <c r="A3104" t="s">
        <v>3182</v>
      </c>
      <c r="B3104" t="s">
        <v>47</v>
      </c>
      <c r="C3104" t="s">
        <v>3180</v>
      </c>
      <c r="D3104" s="1">
        <v>0.54099537037037038</v>
      </c>
      <c r="E3104" s="2">
        <f>CallLog[[#This Row],[Date]]+CallLog[[#This Row],[Time]]</f>
        <v>44251.540995370371</v>
      </c>
      <c r="F3104" s="1" t="str">
        <f>TEXT(CallLog[[#This Row],[Date]],"dddd")</f>
        <v>Wednesday</v>
      </c>
      <c r="G3104" s="3">
        <f>HOUR(CallLog[[#This Row],[Time]])</f>
        <v>12</v>
      </c>
      <c r="H3104" t="s">
        <v>17</v>
      </c>
      <c r="I3104" t="s">
        <v>14</v>
      </c>
      <c r="J3104" t="s">
        <v>14</v>
      </c>
      <c r="K3104">
        <v>85</v>
      </c>
      <c r="L3104" t="str">
        <f>IF(AND(CallLog[[#This Row],[Answered (Y/N)]]="Y", CallLog[[#This Row],[Speed of answer in seconds]]&lt;=20),
    "Within",
    "Breach")</f>
        <v>Breach</v>
      </c>
      <c r="M3104" s="1">
        <v>8.4490740740740739E-4</v>
      </c>
      <c r="N3104">
        <v>2</v>
      </c>
    </row>
    <row r="3105" spans="1:14" x14ac:dyDescent="0.3">
      <c r="A3105" t="s">
        <v>3183</v>
      </c>
      <c r="B3105" t="s">
        <v>11</v>
      </c>
      <c r="C3105" t="s">
        <v>3180</v>
      </c>
      <c r="D3105" s="1">
        <v>0.54099537037037038</v>
      </c>
      <c r="E3105" s="2">
        <f>CallLog[[#This Row],[Date]]+CallLog[[#This Row],[Time]]</f>
        <v>44251.540995370371</v>
      </c>
      <c r="F3105" s="1" t="str">
        <f>TEXT(CallLog[[#This Row],[Date]],"dddd")</f>
        <v>Wednesday</v>
      </c>
      <c r="G3105" s="3">
        <f>HOUR(CallLog[[#This Row],[Time]])</f>
        <v>12</v>
      </c>
      <c r="H3105" t="s">
        <v>29</v>
      </c>
      <c r="I3105" t="s">
        <v>14</v>
      </c>
      <c r="J3105" t="s">
        <v>14</v>
      </c>
      <c r="K3105">
        <v>25</v>
      </c>
      <c r="L3105" t="str">
        <f>IF(AND(CallLog[[#This Row],[Answered (Y/N)]]="Y", CallLog[[#This Row],[Speed of answer in seconds]]&lt;=20),
    "Within",
    "Breach")</f>
        <v>Breach</v>
      </c>
      <c r="M3105" s="1">
        <v>3.0439814814814813E-3</v>
      </c>
      <c r="N3105">
        <v>3</v>
      </c>
    </row>
    <row r="3106" spans="1:14" x14ac:dyDescent="0.3">
      <c r="A3106" t="s">
        <v>3184</v>
      </c>
      <c r="B3106" t="s">
        <v>20</v>
      </c>
      <c r="C3106" t="s">
        <v>3180</v>
      </c>
      <c r="D3106" s="1">
        <v>0.54200231481481487</v>
      </c>
      <c r="E3106" s="2">
        <f>CallLog[[#This Row],[Date]]+CallLog[[#This Row],[Time]]</f>
        <v>44251.542002314818</v>
      </c>
      <c r="F3106" s="1" t="str">
        <f>TEXT(CallLog[[#This Row],[Date]],"dddd")</f>
        <v>Wednesday</v>
      </c>
      <c r="G3106" s="3">
        <f>HOUR(CallLog[[#This Row],[Time]])</f>
        <v>13</v>
      </c>
      <c r="H3106" t="s">
        <v>29</v>
      </c>
      <c r="I3106" t="s">
        <v>18</v>
      </c>
      <c r="J3106" t="s">
        <v>18</v>
      </c>
      <c r="L3106" t="str">
        <f>IF(AND(CallLog[[#This Row],[Answered (Y/N)]]="Y", CallLog[[#This Row],[Speed of answer in seconds]]&lt;=20),
    "Within",
    "Breach")</f>
        <v>Breach</v>
      </c>
    </row>
    <row r="3107" spans="1:14" x14ac:dyDescent="0.3">
      <c r="A3107" t="s">
        <v>3185</v>
      </c>
      <c r="B3107" t="s">
        <v>47</v>
      </c>
      <c r="C3107" t="s">
        <v>3180</v>
      </c>
      <c r="D3107" s="1">
        <v>0.54200231481481487</v>
      </c>
      <c r="E3107" s="2">
        <f>CallLog[[#This Row],[Date]]+CallLog[[#This Row],[Time]]</f>
        <v>44251.542002314818</v>
      </c>
      <c r="F3107" s="1" t="str">
        <f>TEXT(CallLog[[#This Row],[Date]],"dddd")</f>
        <v>Wednesday</v>
      </c>
      <c r="G3107" s="3">
        <f>HOUR(CallLog[[#This Row],[Time]])</f>
        <v>13</v>
      </c>
      <c r="H3107" t="s">
        <v>13</v>
      </c>
      <c r="I3107" t="s">
        <v>18</v>
      </c>
      <c r="J3107" t="s">
        <v>18</v>
      </c>
      <c r="L3107" t="str">
        <f>IF(AND(CallLog[[#This Row],[Answered (Y/N)]]="Y", CallLog[[#This Row],[Speed of answer in seconds]]&lt;=20),
    "Within",
    "Breach")</f>
        <v>Breach</v>
      </c>
    </row>
    <row r="3108" spans="1:14" x14ac:dyDescent="0.3">
      <c r="A3108" t="s">
        <v>3186</v>
      </c>
      <c r="B3108" t="s">
        <v>34</v>
      </c>
      <c r="C3108" t="s">
        <v>3180</v>
      </c>
      <c r="D3108" s="1">
        <v>0.5540046296296296</v>
      </c>
      <c r="E3108" s="2">
        <f>CallLog[[#This Row],[Date]]+CallLog[[#This Row],[Time]]</f>
        <v>44251.55400462963</v>
      </c>
      <c r="F3108" s="1" t="str">
        <f>TEXT(CallLog[[#This Row],[Date]],"dddd")</f>
        <v>Wednesday</v>
      </c>
      <c r="G3108" s="3">
        <f>HOUR(CallLog[[#This Row],[Time]])</f>
        <v>13</v>
      </c>
      <c r="H3108" t="s">
        <v>32</v>
      </c>
      <c r="I3108" t="s">
        <v>14</v>
      </c>
      <c r="J3108" t="s">
        <v>14</v>
      </c>
      <c r="K3108">
        <v>70</v>
      </c>
      <c r="L3108" t="str">
        <f>IF(AND(CallLog[[#This Row],[Answered (Y/N)]]="Y", CallLog[[#This Row],[Speed of answer in seconds]]&lt;=20),
    "Within",
    "Breach")</f>
        <v>Breach</v>
      </c>
      <c r="M3108" s="1">
        <v>5.5555555555555556E-4</v>
      </c>
      <c r="N3108">
        <v>4</v>
      </c>
    </row>
    <row r="3109" spans="1:14" x14ac:dyDescent="0.3">
      <c r="A3109" t="s">
        <v>3187</v>
      </c>
      <c r="B3109" t="s">
        <v>11</v>
      </c>
      <c r="C3109" t="s">
        <v>3180</v>
      </c>
      <c r="D3109" s="1">
        <v>0.5540046296296296</v>
      </c>
      <c r="E3109" s="2">
        <f>CallLog[[#This Row],[Date]]+CallLog[[#This Row],[Time]]</f>
        <v>44251.55400462963</v>
      </c>
      <c r="F3109" s="1" t="str">
        <f>TEXT(CallLog[[#This Row],[Date]],"dddd")</f>
        <v>Wednesday</v>
      </c>
      <c r="G3109" s="3">
        <f>HOUR(CallLog[[#This Row],[Time]])</f>
        <v>13</v>
      </c>
      <c r="H3109" t="s">
        <v>17</v>
      </c>
      <c r="I3109" t="s">
        <v>14</v>
      </c>
      <c r="J3109" t="s">
        <v>14</v>
      </c>
      <c r="K3109">
        <v>103</v>
      </c>
      <c r="L3109" t="str">
        <f>IF(AND(CallLog[[#This Row],[Answered (Y/N)]]="Y", CallLog[[#This Row],[Speed of answer in seconds]]&lt;=20),
    "Within",
    "Breach")</f>
        <v>Breach</v>
      </c>
      <c r="M3109" s="1">
        <v>2.3842592592592591E-3</v>
      </c>
      <c r="N3109">
        <v>4</v>
      </c>
    </row>
    <row r="3110" spans="1:14" x14ac:dyDescent="0.3">
      <c r="A3110" t="s">
        <v>3188</v>
      </c>
      <c r="B3110" t="s">
        <v>20</v>
      </c>
      <c r="C3110" t="s">
        <v>3180</v>
      </c>
      <c r="D3110" s="1">
        <v>0.5659953703703704</v>
      </c>
      <c r="E3110" s="2">
        <f>CallLog[[#This Row],[Date]]+CallLog[[#This Row],[Time]]</f>
        <v>44251.565995370373</v>
      </c>
      <c r="F3110" s="1" t="str">
        <f>TEXT(CallLog[[#This Row],[Date]],"dddd")</f>
        <v>Wednesday</v>
      </c>
      <c r="G3110" s="3">
        <f>HOUR(CallLog[[#This Row],[Time]])</f>
        <v>13</v>
      </c>
      <c r="H3110" t="s">
        <v>24</v>
      </c>
      <c r="I3110" t="s">
        <v>14</v>
      </c>
      <c r="J3110" t="s">
        <v>14</v>
      </c>
      <c r="K3110">
        <v>71</v>
      </c>
      <c r="L3110" t="str">
        <f>IF(AND(CallLog[[#This Row],[Answered (Y/N)]]="Y", CallLog[[#This Row],[Speed of answer in seconds]]&lt;=20),
    "Within",
    "Breach")</f>
        <v>Breach</v>
      </c>
      <c r="M3110" s="1">
        <v>4.8263888888888887E-3</v>
      </c>
      <c r="N3110">
        <v>5</v>
      </c>
    </row>
    <row r="3111" spans="1:14" x14ac:dyDescent="0.3">
      <c r="A3111" t="s">
        <v>3189</v>
      </c>
      <c r="B3111" t="s">
        <v>16</v>
      </c>
      <c r="C3111" t="s">
        <v>3180</v>
      </c>
      <c r="D3111" s="1">
        <v>0.5659953703703704</v>
      </c>
      <c r="E3111" s="2">
        <f>CallLog[[#This Row],[Date]]+CallLog[[#This Row],[Time]]</f>
        <v>44251.565995370373</v>
      </c>
      <c r="F3111" s="1" t="str">
        <f>TEXT(CallLog[[#This Row],[Date]],"dddd")</f>
        <v>Wednesday</v>
      </c>
      <c r="G3111" s="3">
        <f>HOUR(CallLog[[#This Row],[Time]])</f>
        <v>13</v>
      </c>
      <c r="H3111" t="s">
        <v>17</v>
      </c>
      <c r="I3111" t="s">
        <v>14</v>
      </c>
      <c r="J3111" t="s">
        <v>14</v>
      </c>
      <c r="K3111">
        <v>51</v>
      </c>
      <c r="L3111" t="str">
        <f>IF(AND(CallLog[[#This Row],[Answered (Y/N)]]="Y", CallLog[[#This Row],[Speed of answer in seconds]]&lt;=20),
    "Within",
    "Breach")</f>
        <v>Breach</v>
      </c>
      <c r="M3111" s="1">
        <v>8.2175925925925927E-4</v>
      </c>
      <c r="N3111">
        <v>4</v>
      </c>
    </row>
    <row r="3112" spans="1:14" x14ac:dyDescent="0.3">
      <c r="A3112" t="s">
        <v>3190</v>
      </c>
      <c r="B3112" t="s">
        <v>31</v>
      </c>
      <c r="C3112" t="s">
        <v>3180</v>
      </c>
      <c r="D3112" s="1">
        <v>0.57599537037037041</v>
      </c>
      <c r="E3112" s="2">
        <f>CallLog[[#This Row],[Date]]+CallLog[[#This Row],[Time]]</f>
        <v>44251.575995370367</v>
      </c>
      <c r="F3112" s="1" t="str">
        <f>TEXT(CallLog[[#This Row],[Date]],"dddd")</f>
        <v>Wednesday</v>
      </c>
      <c r="G3112" s="3">
        <f>HOUR(CallLog[[#This Row],[Time]])</f>
        <v>13</v>
      </c>
      <c r="H3112" t="s">
        <v>24</v>
      </c>
      <c r="I3112" t="s">
        <v>14</v>
      </c>
      <c r="J3112" t="s">
        <v>14</v>
      </c>
      <c r="K3112">
        <v>103</v>
      </c>
      <c r="L3112" t="str">
        <f>IF(AND(CallLog[[#This Row],[Answered (Y/N)]]="Y", CallLog[[#This Row],[Speed of answer in seconds]]&lt;=20),
    "Within",
    "Breach")</f>
        <v>Breach</v>
      </c>
      <c r="M3112" s="1">
        <v>3.7037037037037041E-4</v>
      </c>
      <c r="N3112">
        <v>5</v>
      </c>
    </row>
    <row r="3113" spans="1:14" x14ac:dyDescent="0.3">
      <c r="A3113" t="s">
        <v>3191</v>
      </c>
      <c r="B3113" t="s">
        <v>34</v>
      </c>
      <c r="C3113" t="s">
        <v>3180</v>
      </c>
      <c r="D3113" s="1">
        <v>0.57599537037037041</v>
      </c>
      <c r="E3113" s="2">
        <f>CallLog[[#This Row],[Date]]+CallLog[[#This Row],[Time]]</f>
        <v>44251.575995370367</v>
      </c>
      <c r="F3113" s="1" t="str">
        <f>TEXT(CallLog[[#This Row],[Date]],"dddd")</f>
        <v>Wednesday</v>
      </c>
      <c r="G3113" s="3">
        <f>HOUR(CallLog[[#This Row],[Time]])</f>
        <v>13</v>
      </c>
      <c r="H3113" t="s">
        <v>24</v>
      </c>
      <c r="I3113" t="s">
        <v>14</v>
      </c>
      <c r="J3113" t="s">
        <v>14</v>
      </c>
      <c r="K3113">
        <v>98</v>
      </c>
      <c r="L3113" t="str">
        <f>IF(AND(CallLog[[#This Row],[Answered (Y/N)]]="Y", CallLog[[#This Row],[Speed of answer in seconds]]&lt;=20),
    "Within",
    "Breach")</f>
        <v>Breach</v>
      </c>
      <c r="M3113" s="1">
        <v>2.0254629629629629E-3</v>
      </c>
      <c r="N3113">
        <v>5</v>
      </c>
    </row>
    <row r="3114" spans="1:14" x14ac:dyDescent="0.3">
      <c r="A3114" t="s">
        <v>3192</v>
      </c>
      <c r="B3114" t="s">
        <v>22</v>
      </c>
      <c r="C3114" t="s">
        <v>3180</v>
      </c>
      <c r="D3114" s="1">
        <v>0.58200231481481479</v>
      </c>
      <c r="E3114" s="2">
        <f>CallLog[[#This Row],[Date]]+CallLog[[#This Row],[Time]]</f>
        <v>44251.582002314812</v>
      </c>
      <c r="F3114" s="1" t="str">
        <f>TEXT(CallLog[[#This Row],[Date]],"dddd")</f>
        <v>Wednesday</v>
      </c>
      <c r="G3114" s="3">
        <f>HOUR(CallLog[[#This Row],[Time]])</f>
        <v>13</v>
      </c>
      <c r="H3114" t="s">
        <v>24</v>
      </c>
      <c r="I3114" t="s">
        <v>14</v>
      </c>
      <c r="J3114" t="s">
        <v>14</v>
      </c>
      <c r="K3114">
        <v>65</v>
      </c>
      <c r="L3114" t="str">
        <f>IF(AND(CallLog[[#This Row],[Answered (Y/N)]]="Y", CallLog[[#This Row],[Speed of answer in seconds]]&lt;=20),
    "Within",
    "Breach")</f>
        <v>Breach</v>
      </c>
      <c r="M3114" s="1">
        <v>2.3611111111111111E-3</v>
      </c>
      <c r="N3114">
        <v>2</v>
      </c>
    </row>
    <row r="3115" spans="1:14" x14ac:dyDescent="0.3">
      <c r="A3115" t="s">
        <v>3193</v>
      </c>
      <c r="B3115" t="s">
        <v>47</v>
      </c>
      <c r="C3115" t="s">
        <v>3180</v>
      </c>
      <c r="D3115" s="1">
        <v>0.58200231481481479</v>
      </c>
      <c r="E3115" s="2">
        <f>CallLog[[#This Row],[Date]]+CallLog[[#This Row],[Time]]</f>
        <v>44251.582002314812</v>
      </c>
      <c r="F3115" s="1" t="str">
        <f>TEXT(CallLog[[#This Row],[Date]],"dddd")</f>
        <v>Wednesday</v>
      </c>
      <c r="G3115" s="3">
        <f>HOUR(CallLog[[#This Row],[Time]])</f>
        <v>13</v>
      </c>
      <c r="H3115" t="s">
        <v>29</v>
      </c>
      <c r="I3115" t="s">
        <v>14</v>
      </c>
      <c r="J3115" t="s">
        <v>14</v>
      </c>
      <c r="K3115">
        <v>104</v>
      </c>
      <c r="L3115" t="str">
        <f>IF(AND(CallLog[[#This Row],[Answered (Y/N)]]="Y", CallLog[[#This Row],[Speed of answer in seconds]]&lt;=20),
    "Within",
    "Breach")</f>
        <v>Breach</v>
      </c>
      <c r="M3115" s="1">
        <v>3.460648148148148E-3</v>
      </c>
      <c r="N3115">
        <v>4</v>
      </c>
    </row>
    <row r="3116" spans="1:14" x14ac:dyDescent="0.3">
      <c r="A3116" t="s">
        <v>3194</v>
      </c>
      <c r="B3116" t="s">
        <v>31</v>
      </c>
      <c r="C3116" t="s">
        <v>3180</v>
      </c>
      <c r="D3116" s="1">
        <v>0.6</v>
      </c>
      <c r="E3116" s="2">
        <f>CallLog[[#This Row],[Date]]+CallLog[[#This Row],[Time]]</f>
        <v>44251.6</v>
      </c>
      <c r="F3116" s="1" t="str">
        <f>TEXT(CallLog[[#This Row],[Date]],"dddd")</f>
        <v>Wednesday</v>
      </c>
      <c r="G3116" s="3">
        <f>HOUR(CallLog[[#This Row],[Time]])</f>
        <v>14</v>
      </c>
      <c r="H3116" t="s">
        <v>24</v>
      </c>
      <c r="I3116" t="s">
        <v>14</v>
      </c>
      <c r="J3116" t="s">
        <v>14</v>
      </c>
      <c r="K3116">
        <v>82</v>
      </c>
      <c r="L3116" t="str">
        <f>IF(AND(CallLog[[#This Row],[Answered (Y/N)]]="Y", CallLog[[#This Row],[Speed of answer in seconds]]&lt;=20),
    "Within",
    "Breach")</f>
        <v>Breach</v>
      </c>
      <c r="M3116" s="1">
        <v>3.3101851851851851E-3</v>
      </c>
      <c r="N3116">
        <v>2</v>
      </c>
    </row>
    <row r="3117" spans="1:14" x14ac:dyDescent="0.3">
      <c r="A3117" t="s">
        <v>3195</v>
      </c>
      <c r="B3117" t="s">
        <v>38</v>
      </c>
      <c r="C3117" t="s">
        <v>3180</v>
      </c>
      <c r="D3117" s="1">
        <v>0.6</v>
      </c>
      <c r="E3117" s="2">
        <f>CallLog[[#This Row],[Date]]+CallLog[[#This Row],[Time]]</f>
        <v>44251.6</v>
      </c>
      <c r="F3117" s="1" t="str">
        <f>TEXT(CallLog[[#This Row],[Date]],"dddd")</f>
        <v>Wednesday</v>
      </c>
      <c r="G3117" s="3">
        <f>HOUR(CallLog[[#This Row],[Time]])</f>
        <v>14</v>
      </c>
      <c r="H3117" t="s">
        <v>24</v>
      </c>
      <c r="I3117" t="s">
        <v>14</v>
      </c>
      <c r="J3117" t="s">
        <v>14</v>
      </c>
      <c r="K3117">
        <v>26</v>
      </c>
      <c r="L3117" t="str">
        <f>IF(AND(CallLog[[#This Row],[Answered (Y/N)]]="Y", CallLog[[#This Row],[Speed of answer in seconds]]&lt;=20),
    "Within",
    "Breach")</f>
        <v>Breach</v>
      </c>
      <c r="M3117" s="1">
        <v>1.9907407407407408E-3</v>
      </c>
      <c r="N3117">
        <v>4</v>
      </c>
    </row>
    <row r="3118" spans="1:14" x14ac:dyDescent="0.3">
      <c r="A3118" t="s">
        <v>3196</v>
      </c>
      <c r="B3118" t="s">
        <v>11</v>
      </c>
      <c r="C3118" t="s">
        <v>3180</v>
      </c>
      <c r="D3118" s="1">
        <v>0.60700231481481481</v>
      </c>
      <c r="E3118" s="2">
        <f>CallLog[[#This Row],[Date]]+CallLog[[#This Row],[Time]]</f>
        <v>44251.607002314813</v>
      </c>
      <c r="F3118" s="1" t="str">
        <f>TEXT(CallLog[[#This Row],[Date]],"dddd")</f>
        <v>Wednesday</v>
      </c>
      <c r="G3118" s="3">
        <f>HOUR(CallLog[[#This Row],[Time]])</f>
        <v>14</v>
      </c>
      <c r="H3118" t="s">
        <v>24</v>
      </c>
      <c r="I3118" t="s">
        <v>14</v>
      </c>
      <c r="J3118" t="s">
        <v>18</v>
      </c>
      <c r="K3118">
        <v>84</v>
      </c>
      <c r="L3118" t="str">
        <f>IF(AND(CallLog[[#This Row],[Answered (Y/N)]]="Y", CallLog[[#This Row],[Speed of answer in seconds]]&lt;=20),
    "Within",
    "Breach")</f>
        <v>Breach</v>
      </c>
      <c r="M3118" s="1">
        <v>2.5000000000000001E-3</v>
      </c>
      <c r="N3118">
        <v>3</v>
      </c>
    </row>
    <row r="3119" spans="1:14" x14ac:dyDescent="0.3">
      <c r="A3119" t="s">
        <v>3197</v>
      </c>
      <c r="B3119" t="s">
        <v>22</v>
      </c>
      <c r="C3119" t="s">
        <v>3180</v>
      </c>
      <c r="D3119" s="1">
        <v>0.60700231481481481</v>
      </c>
      <c r="E3119" s="2">
        <f>CallLog[[#This Row],[Date]]+CallLog[[#This Row],[Time]]</f>
        <v>44251.607002314813</v>
      </c>
      <c r="F3119" s="1" t="str">
        <f>TEXT(CallLog[[#This Row],[Date]],"dddd")</f>
        <v>Wednesday</v>
      </c>
      <c r="G3119" s="3">
        <f>HOUR(CallLog[[#This Row],[Time]])</f>
        <v>14</v>
      </c>
      <c r="H3119" t="s">
        <v>17</v>
      </c>
      <c r="I3119" t="s">
        <v>14</v>
      </c>
      <c r="J3119" t="s">
        <v>14</v>
      </c>
      <c r="K3119">
        <v>106</v>
      </c>
      <c r="L3119" t="str">
        <f>IF(AND(CallLog[[#This Row],[Answered (Y/N)]]="Y", CallLog[[#This Row],[Speed of answer in seconds]]&lt;=20),
    "Within",
    "Breach")</f>
        <v>Breach</v>
      </c>
      <c r="M3119" s="1">
        <v>3.9699074074074072E-3</v>
      </c>
      <c r="N3119">
        <v>4</v>
      </c>
    </row>
    <row r="3120" spans="1:14" x14ac:dyDescent="0.3">
      <c r="A3120" t="s">
        <v>3198</v>
      </c>
      <c r="B3120" t="s">
        <v>34</v>
      </c>
      <c r="C3120" t="s">
        <v>3180</v>
      </c>
      <c r="D3120" s="1">
        <v>0.61200231481481482</v>
      </c>
      <c r="E3120" s="2">
        <f>CallLog[[#This Row],[Date]]+CallLog[[#This Row],[Time]]</f>
        <v>44251.612002314818</v>
      </c>
      <c r="F3120" s="1" t="str">
        <f>TEXT(CallLog[[#This Row],[Date]],"dddd")</f>
        <v>Wednesday</v>
      </c>
      <c r="G3120" s="3">
        <f>HOUR(CallLog[[#This Row],[Time]])</f>
        <v>14</v>
      </c>
      <c r="H3120" t="s">
        <v>29</v>
      </c>
      <c r="I3120" t="s">
        <v>14</v>
      </c>
      <c r="J3120" t="s">
        <v>14</v>
      </c>
      <c r="K3120">
        <v>92</v>
      </c>
      <c r="L3120" t="str">
        <f>IF(AND(CallLog[[#This Row],[Answered (Y/N)]]="Y", CallLog[[#This Row],[Speed of answer in seconds]]&lt;=20),
    "Within",
    "Breach")</f>
        <v>Breach</v>
      </c>
      <c r="M3120" s="1">
        <v>1.1805555555555556E-3</v>
      </c>
      <c r="N3120">
        <v>4</v>
      </c>
    </row>
    <row r="3121" spans="1:14" x14ac:dyDescent="0.3">
      <c r="A3121" t="s">
        <v>3199</v>
      </c>
      <c r="B3121" t="s">
        <v>34</v>
      </c>
      <c r="C3121" t="s">
        <v>3180</v>
      </c>
      <c r="D3121" s="1">
        <v>0.61200231481481482</v>
      </c>
      <c r="E3121" s="2">
        <f>CallLog[[#This Row],[Date]]+CallLog[[#This Row],[Time]]</f>
        <v>44251.612002314818</v>
      </c>
      <c r="F3121" s="1" t="str">
        <f>TEXT(CallLog[[#This Row],[Date]],"dddd")</f>
        <v>Wednesday</v>
      </c>
      <c r="G3121" s="3">
        <f>HOUR(CallLog[[#This Row],[Time]])</f>
        <v>14</v>
      </c>
      <c r="H3121" t="s">
        <v>29</v>
      </c>
      <c r="I3121" t="s">
        <v>18</v>
      </c>
      <c r="J3121" t="s">
        <v>18</v>
      </c>
      <c r="L3121" t="str">
        <f>IF(AND(CallLog[[#This Row],[Answered (Y/N)]]="Y", CallLog[[#This Row],[Speed of answer in seconds]]&lt;=20),
    "Within",
    "Breach")</f>
        <v>Breach</v>
      </c>
    </row>
    <row r="3122" spans="1:14" x14ac:dyDescent="0.3">
      <c r="A3122" t="s">
        <v>3200</v>
      </c>
      <c r="B3122" t="s">
        <v>16</v>
      </c>
      <c r="C3122" t="s">
        <v>3180</v>
      </c>
      <c r="D3122" s="1">
        <v>0.63700231481481484</v>
      </c>
      <c r="E3122" s="2">
        <f>CallLog[[#This Row],[Date]]+CallLog[[#This Row],[Time]]</f>
        <v>44251.637002314812</v>
      </c>
      <c r="F3122" s="1" t="str">
        <f>TEXT(CallLog[[#This Row],[Date]],"dddd")</f>
        <v>Wednesday</v>
      </c>
      <c r="G3122" s="3">
        <f>HOUR(CallLog[[#This Row],[Time]])</f>
        <v>15</v>
      </c>
      <c r="H3122" t="s">
        <v>13</v>
      </c>
      <c r="I3122" t="s">
        <v>14</v>
      </c>
      <c r="J3122" t="s">
        <v>14</v>
      </c>
      <c r="K3122">
        <v>122</v>
      </c>
      <c r="L3122" t="str">
        <f>IF(AND(CallLog[[#This Row],[Answered (Y/N)]]="Y", CallLog[[#This Row],[Speed of answer in seconds]]&lt;=20),
    "Within",
    "Breach")</f>
        <v>Breach</v>
      </c>
      <c r="M3122" s="1">
        <v>2.0949074074074073E-3</v>
      </c>
      <c r="N3122">
        <v>1</v>
      </c>
    </row>
    <row r="3123" spans="1:14" x14ac:dyDescent="0.3">
      <c r="A3123" t="s">
        <v>3201</v>
      </c>
      <c r="B3123" t="s">
        <v>16</v>
      </c>
      <c r="C3123" t="s">
        <v>3180</v>
      </c>
      <c r="D3123" s="1">
        <v>0.63700231481481484</v>
      </c>
      <c r="E3123" s="2">
        <f>CallLog[[#This Row],[Date]]+CallLog[[#This Row],[Time]]</f>
        <v>44251.637002314812</v>
      </c>
      <c r="F3123" s="1" t="str">
        <f>TEXT(CallLog[[#This Row],[Date]],"dddd")</f>
        <v>Wednesday</v>
      </c>
      <c r="G3123" s="3">
        <f>HOUR(CallLog[[#This Row],[Time]])</f>
        <v>15</v>
      </c>
      <c r="H3123" t="s">
        <v>13</v>
      </c>
      <c r="I3123" t="s">
        <v>14</v>
      </c>
      <c r="J3123" t="s">
        <v>14</v>
      </c>
      <c r="K3123">
        <v>92</v>
      </c>
      <c r="L3123" t="str">
        <f>IF(AND(CallLog[[#This Row],[Answered (Y/N)]]="Y", CallLog[[#This Row],[Speed of answer in seconds]]&lt;=20),
    "Within",
    "Breach")</f>
        <v>Breach</v>
      </c>
      <c r="M3123" s="1">
        <v>1.8981481481481482E-3</v>
      </c>
      <c r="N3123">
        <v>4</v>
      </c>
    </row>
    <row r="3124" spans="1:14" x14ac:dyDescent="0.3">
      <c r="A3124" t="s">
        <v>3202</v>
      </c>
      <c r="B3124" t="s">
        <v>11</v>
      </c>
      <c r="C3124" t="s">
        <v>3180</v>
      </c>
      <c r="D3124" s="1">
        <v>0.64</v>
      </c>
      <c r="E3124" s="2">
        <f>CallLog[[#This Row],[Date]]+CallLog[[#This Row],[Time]]</f>
        <v>44251.64</v>
      </c>
      <c r="F3124" s="1" t="str">
        <f>TEXT(CallLog[[#This Row],[Date]],"dddd")</f>
        <v>Wednesday</v>
      </c>
      <c r="G3124" s="3">
        <f>HOUR(CallLog[[#This Row],[Time]])</f>
        <v>15</v>
      </c>
      <c r="H3124" t="s">
        <v>24</v>
      </c>
      <c r="I3124" t="s">
        <v>18</v>
      </c>
      <c r="J3124" t="s">
        <v>18</v>
      </c>
      <c r="L3124" t="str">
        <f>IF(AND(CallLog[[#This Row],[Answered (Y/N)]]="Y", CallLog[[#This Row],[Speed of answer in seconds]]&lt;=20),
    "Within",
    "Breach")</f>
        <v>Breach</v>
      </c>
    </row>
    <row r="3125" spans="1:14" x14ac:dyDescent="0.3">
      <c r="A3125" t="s">
        <v>3203</v>
      </c>
      <c r="B3125" t="s">
        <v>31</v>
      </c>
      <c r="C3125" t="s">
        <v>3180</v>
      </c>
      <c r="D3125" s="1">
        <v>0.64</v>
      </c>
      <c r="E3125" s="2">
        <f>CallLog[[#This Row],[Date]]+CallLog[[#This Row],[Time]]</f>
        <v>44251.64</v>
      </c>
      <c r="F3125" s="1" t="str">
        <f>TEXT(CallLog[[#This Row],[Date]],"dddd")</f>
        <v>Wednesday</v>
      </c>
      <c r="G3125" s="3">
        <f>HOUR(CallLog[[#This Row],[Time]])</f>
        <v>15</v>
      </c>
      <c r="H3125" t="s">
        <v>32</v>
      </c>
      <c r="I3125" t="s">
        <v>14</v>
      </c>
      <c r="J3125" t="s">
        <v>14</v>
      </c>
      <c r="K3125">
        <v>61</v>
      </c>
      <c r="L3125" t="str">
        <f>IF(AND(CallLog[[#This Row],[Answered (Y/N)]]="Y", CallLog[[#This Row],[Speed of answer in seconds]]&lt;=20),
    "Within",
    "Breach")</f>
        <v>Breach</v>
      </c>
      <c r="M3125" s="1">
        <v>3.0671296296296297E-3</v>
      </c>
      <c r="N3125">
        <v>5</v>
      </c>
    </row>
    <row r="3126" spans="1:14" x14ac:dyDescent="0.3">
      <c r="A3126" t="s">
        <v>3204</v>
      </c>
      <c r="B3126" t="s">
        <v>38</v>
      </c>
      <c r="C3126" t="s">
        <v>3180</v>
      </c>
      <c r="D3126" s="1">
        <v>0.64500000000000002</v>
      </c>
      <c r="E3126" s="2">
        <f>CallLog[[#This Row],[Date]]+CallLog[[#This Row],[Time]]</f>
        <v>44251.644999999997</v>
      </c>
      <c r="F3126" s="1" t="str">
        <f>TEXT(CallLog[[#This Row],[Date]],"dddd")</f>
        <v>Wednesday</v>
      </c>
      <c r="G3126" s="3">
        <f>HOUR(CallLog[[#This Row],[Time]])</f>
        <v>15</v>
      </c>
      <c r="H3126" t="s">
        <v>17</v>
      </c>
      <c r="I3126" t="s">
        <v>14</v>
      </c>
      <c r="J3126" t="s">
        <v>14</v>
      </c>
      <c r="K3126">
        <v>27</v>
      </c>
      <c r="L3126" t="str">
        <f>IF(AND(CallLog[[#This Row],[Answered (Y/N)]]="Y", CallLog[[#This Row],[Speed of answer in seconds]]&lt;=20),
    "Within",
    "Breach")</f>
        <v>Breach</v>
      </c>
      <c r="M3126" s="1">
        <v>1.3425925925925925E-3</v>
      </c>
      <c r="N3126">
        <v>5</v>
      </c>
    </row>
    <row r="3127" spans="1:14" x14ac:dyDescent="0.3">
      <c r="A3127" t="s">
        <v>3205</v>
      </c>
      <c r="B3127" t="s">
        <v>16</v>
      </c>
      <c r="C3127" t="s">
        <v>3180</v>
      </c>
      <c r="D3127" s="1">
        <v>0.64500000000000002</v>
      </c>
      <c r="E3127" s="2">
        <f>CallLog[[#This Row],[Date]]+CallLog[[#This Row],[Time]]</f>
        <v>44251.644999999997</v>
      </c>
      <c r="F3127" s="1" t="str">
        <f>TEXT(CallLog[[#This Row],[Date]],"dddd")</f>
        <v>Wednesday</v>
      </c>
      <c r="G3127" s="3">
        <f>HOUR(CallLog[[#This Row],[Time]])</f>
        <v>15</v>
      </c>
      <c r="H3127" t="s">
        <v>17</v>
      </c>
      <c r="I3127" t="s">
        <v>14</v>
      </c>
      <c r="J3127" t="s">
        <v>14</v>
      </c>
      <c r="K3127">
        <v>68</v>
      </c>
      <c r="L3127" t="str">
        <f>IF(AND(CallLog[[#This Row],[Answered (Y/N)]]="Y", CallLog[[#This Row],[Speed of answer in seconds]]&lt;=20),
    "Within",
    "Breach")</f>
        <v>Breach</v>
      </c>
      <c r="M3127" s="1">
        <v>1.25E-3</v>
      </c>
      <c r="N3127">
        <v>1</v>
      </c>
    </row>
    <row r="3128" spans="1:14" x14ac:dyDescent="0.3">
      <c r="A3128" t="s">
        <v>3206</v>
      </c>
      <c r="B3128" t="s">
        <v>11</v>
      </c>
      <c r="C3128" t="s">
        <v>3180</v>
      </c>
      <c r="D3128" s="1">
        <v>0.65400462962962957</v>
      </c>
      <c r="E3128" s="2">
        <f>CallLog[[#This Row],[Date]]+CallLog[[#This Row],[Time]]</f>
        <v>44251.654004629629</v>
      </c>
      <c r="F3128" s="1" t="str">
        <f>TEXT(CallLog[[#This Row],[Date]],"dddd")</f>
        <v>Wednesday</v>
      </c>
      <c r="G3128" s="3">
        <f>HOUR(CallLog[[#This Row],[Time]])</f>
        <v>15</v>
      </c>
      <c r="H3128" t="s">
        <v>17</v>
      </c>
      <c r="I3128" t="s">
        <v>18</v>
      </c>
      <c r="J3128" t="s">
        <v>18</v>
      </c>
      <c r="L3128" t="str">
        <f>IF(AND(CallLog[[#This Row],[Answered (Y/N)]]="Y", CallLog[[#This Row],[Speed of answer in seconds]]&lt;=20),
    "Within",
    "Breach")</f>
        <v>Breach</v>
      </c>
    </row>
    <row r="3129" spans="1:14" x14ac:dyDescent="0.3">
      <c r="A3129" t="s">
        <v>3207</v>
      </c>
      <c r="B3129" t="s">
        <v>22</v>
      </c>
      <c r="C3129" t="s">
        <v>3180</v>
      </c>
      <c r="D3129" s="1">
        <v>0.65400462962962957</v>
      </c>
      <c r="E3129" s="2">
        <f>CallLog[[#This Row],[Date]]+CallLog[[#This Row],[Time]]</f>
        <v>44251.654004629629</v>
      </c>
      <c r="F3129" s="1" t="str">
        <f>TEXT(CallLog[[#This Row],[Date]],"dddd")</f>
        <v>Wednesday</v>
      </c>
      <c r="G3129" s="3">
        <f>HOUR(CallLog[[#This Row],[Time]])</f>
        <v>15</v>
      </c>
      <c r="H3129" t="s">
        <v>17</v>
      </c>
      <c r="I3129" t="s">
        <v>14</v>
      </c>
      <c r="J3129" t="s">
        <v>14</v>
      </c>
      <c r="K3129">
        <v>59</v>
      </c>
      <c r="L3129" t="str">
        <f>IF(AND(CallLog[[#This Row],[Answered (Y/N)]]="Y", CallLog[[#This Row],[Speed of answer in seconds]]&lt;=20),
    "Within",
    "Breach")</f>
        <v>Breach</v>
      </c>
      <c r="M3129" s="1">
        <v>4.861111111111111E-4</v>
      </c>
      <c r="N3129">
        <v>4</v>
      </c>
    </row>
    <row r="3130" spans="1:14" x14ac:dyDescent="0.3">
      <c r="A3130" t="s">
        <v>3208</v>
      </c>
      <c r="B3130" t="s">
        <v>34</v>
      </c>
      <c r="C3130" t="s">
        <v>3180</v>
      </c>
      <c r="D3130" s="1">
        <v>0.67200231481481476</v>
      </c>
      <c r="E3130" s="2">
        <f>CallLog[[#This Row],[Date]]+CallLog[[#This Row],[Time]]</f>
        <v>44251.672002314815</v>
      </c>
      <c r="F3130" s="1" t="str">
        <f>TEXT(CallLog[[#This Row],[Date]],"dddd")</f>
        <v>Wednesday</v>
      </c>
      <c r="G3130" s="3">
        <f>HOUR(CallLog[[#This Row],[Time]])</f>
        <v>16</v>
      </c>
      <c r="H3130" t="s">
        <v>24</v>
      </c>
      <c r="I3130" t="s">
        <v>18</v>
      </c>
      <c r="J3130" t="s">
        <v>18</v>
      </c>
      <c r="L3130" t="str">
        <f>IF(AND(CallLog[[#This Row],[Answered (Y/N)]]="Y", CallLog[[#This Row],[Speed of answer in seconds]]&lt;=20),
    "Within",
    "Breach")</f>
        <v>Breach</v>
      </c>
    </row>
    <row r="3131" spans="1:14" x14ac:dyDescent="0.3">
      <c r="A3131" t="s">
        <v>3209</v>
      </c>
      <c r="B3131" t="s">
        <v>34</v>
      </c>
      <c r="C3131" t="s">
        <v>3180</v>
      </c>
      <c r="D3131" s="1">
        <v>0.67200231481481476</v>
      </c>
      <c r="E3131" s="2">
        <f>CallLog[[#This Row],[Date]]+CallLog[[#This Row],[Time]]</f>
        <v>44251.672002314815</v>
      </c>
      <c r="F3131" s="1" t="str">
        <f>TEXT(CallLog[[#This Row],[Date]],"dddd")</f>
        <v>Wednesday</v>
      </c>
      <c r="G3131" s="3">
        <f>HOUR(CallLog[[#This Row],[Time]])</f>
        <v>16</v>
      </c>
      <c r="H3131" t="s">
        <v>17</v>
      </c>
      <c r="I3131" t="s">
        <v>14</v>
      </c>
      <c r="J3131" t="s">
        <v>14</v>
      </c>
      <c r="K3131">
        <v>110</v>
      </c>
      <c r="L3131" t="str">
        <f>IF(AND(CallLog[[#This Row],[Answered (Y/N)]]="Y", CallLog[[#This Row],[Speed of answer in seconds]]&lt;=20),
    "Within",
    "Breach")</f>
        <v>Breach</v>
      </c>
      <c r="M3131" s="1">
        <v>4.0509259259259257E-3</v>
      </c>
      <c r="N3131">
        <v>4</v>
      </c>
    </row>
    <row r="3132" spans="1:14" x14ac:dyDescent="0.3">
      <c r="A3132" t="s">
        <v>3210</v>
      </c>
      <c r="B3132" t="s">
        <v>31</v>
      </c>
      <c r="C3132" t="s">
        <v>3180</v>
      </c>
      <c r="D3132" s="1">
        <v>0.68299768518518522</v>
      </c>
      <c r="E3132" s="2">
        <f>CallLog[[#This Row],[Date]]+CallLog[[#This Row],[Time]]</f>
        <v>44251.682997685188</v>
      </c>
      <c r="F3132" s="1" t="str">
        <f>TEXT(CallLog[[#This Row],[Date]],"dddd")</f>
        <v>Wednesday</v>
      </c>
      <c r="G3132" s="3">
        <f>HOUR(CallLog[[#This Row],[Time]])</f>
        <v>16</v>
      </c>
      <c r="H3132" t="s">
        <v>17</v>
      </c>
      <c r="I3132" t="s">
        <v>14</v>
      </c>
      <c r="J3132" t="s">
        <v>14</v>
      </c>
      <c r="K3132">
        <v>23</v>
      </c>
      <c r="L3132" t="str">
        <f>IF(AND(CallLog[[#This Row],[Answered (Y/N)]]="Y", CallLog[[#This Row],[Speed of answer in seconds]]&lt;=20),
    "Within",
    "Breach")</f>
        <v>Breach</v>
      </c>
      <c r="M3132" s="1">
        <v>1.6203703703703703E-3</v>
      </c>
      <c r="N3132">
        <v>4</v>
      </c>
    </row>
    <row r="3133" spans="1:14" x14ac:dyDescent="0.3">
      <c r="A3133" t="s">
        <v>3211</v>
      </c>
      <c r="B3133" t="s">
        <v>11</v>
      </c>
      <c r="C3133" t="s">
        <v>3180</v>
      </c>
      <c r="D3133" s="1">
        <v>0.68299768518518522</v>
      </c>
      <c r="E3133" s="2">
        <f>CallLog[[#This Row],[Date]]+CallLog[[#This Row],[Time]]</f>
        <v>44251.682997685188</v>
      </c>
      <c r="F3133" s="1" t="str">
        <f>TEXT(CallLog[[#This Row],[Date]],"dddd")</f>
        <v>Wednesday</v>
      </c>
      <c r="G3133" s="3">
        <f>HOUR(CallLog[[#This Row],[Time]])</f>
        <v>16</v>
      </c>
      <c r="H3133" t="s">
        <v>13</v>
      </c>
      <c r="I3133" t="s">
        <v>14</v>
      </c>
      <c r="J3133" t="s">
        <v>14</v>
      </c>
      <c r="K3133">
        <v>60</v>
      </c>
      <c r="L3133" t="str">
        <f>IF(AND(CallLog[[#This Row],[Answered (Y/N)]]="Y", CallLog[[#This Row],[Speed of answer in seconds]]&lt;=20),
    "Within",
    "Breach")</f>
        <v>Breach</v>
      </c>
      <c r="M3133" s="1">
        <v>4.2708333333333331E-3</v>
      </c>
      <c r="N3133">
        <v>5</v>
      </c>
    </row>
    <row r="3134" spans="1:14" x14ac:dyDescent="0.3">
      <c r="A3134" t="s">
        <v>3212</v>
      </c>
      <c r="B3134" t="s">
        <v>20</v>
      </c>
      <c r="C3134" t="s">
        <v>3180</v>
      </c>
      <c r="D3134" s="1">
        <v>0.69299768518518523</v>
      </c>
      <c r="E3134" s="2">
        <f>CallLog[[#This Row],[Date]]+CallLog[[#This Row],[Time]]</f>
        <v>44251.692997685182</v>
      </c>
      <c r="F3134" s="1" t="str">
        <f>TEXT(CallLog[[#This Row],[Date]],"dddd")</f>
        <v>Wednesday</v>
      </c>
      <c r="G3134" s="3">
        <f>HOUR(CallLog[[#This Row],[Time]])</f>
        <v>16</v>
      </c>
      <c r="H3134" t="s">
        <v>24</v>
      </c>
      <c r="I3134" t="s">
        <v>14</v>
      </c>
      <c r="J3134" t="s">
        <v>14</v>
      </c>
      <c r="K3134">
        <v>89</v>
      </c>
      <c r="L3134" t="str">
        <f>IF(AND(CallLog[[#This Row],[Answered (Y/N)]]="Y", CallLog[[#This Row],[Speed of answer in seconds]]&lt;=20),
    "Within",
    "Breach")</f>
        <v>Breach</v>
      </c>
      <c r="M3134" s="1">
        <v>1.7013888888888888E-3</v>
      </c>
      <c r="N3134">
        <v>3</v>
      </c>
    </row>
    <row r="3135" spans="1:14" x14ac:dyDescent="0.3">
      <c r="A3135" t="s">
        <v>3213</v>
      </c>
      <c r="B3135" t="s">
        <v>38</v>
      </c>
      <c r="C3135" t="s">
        <v>3180</v>
      </c>
      <c r="D3135" s="1">
        <v>0.69299768518518523</v>
      </c>
      <c r="E3135" s="2">
        <f>CallLog[[#This Row],[Date]]+CallLog[[#This Row],[Time]]</f>
        <v>44251.692997685182</v>
      </c>
      <c r="F3135" s="1" t="str">
        <f>TEXT(CallLog[[#This Row],[Date]],"dddd")</f>
        <v>Wednesday</v>
      </c>
      <c r="G3135" s="3">
        <f>HOUR(CallLog[[#This Row],[Time]])</f>
        <v>16</v>
      </c>
      <c r="H3135" t="s">
        <v>29</v>
      </c>
      <c r="I3135" t="s">
        <v>14</v>
      </c>
      <c r="J3135" t="s">
        <v>14</v>
      </c>
      <c r="K3135">
        <v>48</v>
      </c>
      <c r="L3135" t="str">
        <f>IF(AND(CallLog[[#This Row],[Answered (Y/N)]]="Y", CallLog[[#This Row],[Speed of answer in seconds]]&lt;=20),
    "Within",
    "Breach")</f>
        <v>Breach</v>
      </c>
      <c r="M3135" s="1">
        <v>2.8472222222222223E-3</v>
      </c>
      <c r="N3135">
        <v>3</v>
      </c>
    </row>
    <row r="3136" spans="1:14" x14ac:dyDescent="0.3">
      <c r="A3136" t="s">
        <v>3214</v>
      </c>
      <c r="B3136" t="s">
        <v>34</v>
      </c>
      <c r="C3136" t="s">
        <v>3180</v>
      </c>
      <c r="D3136" s="1">
        <v>0.6959953703703704</v>
      </c>
      <c r="E3136" s="2">
        <f>CallLog[[#This Row],[Date]]+CallLog[[#This Row],[Time]]</f>
        <v>44251.69599537037</v>
      </c>
      <c r="F3136" s="1" t="str">
        <f>TEXT(CallLog[[#This Row],[Date]],"dddd")</f>
        <v>Wednesday</v>
      </c>
      <c r="G3136" s="3">
        <f>HOUR(CallLog[[#This Row],[Time]])</f>
        <v>16</v>
      </c>
      <c r="H3136" t="s">
        <v>29</v>
      </c>
      <c r="I3136" t="s">
        <v>14</v>
      </c>
      <c r="J3136" t="s">
        <v>14</v>
      </c>
      <c r="K3136">
        <v>52</v>
      </c>
      <c r="L3136" t="str">
        <f>IF(AND(CallLog[[#This Row],[Answered (Y/N)]]="Y", CallLog[[#This Row],[Speed of answer in seconds]]&lt;=20),
    "Within",
    "Breach")</f>
        <v>Breach</v>
      </c>
      <c r="M3136" s="1">
        <v>3.414351851851852E-3</v>
      </c>
      <c r="N3136">
        <v>5</v>
      </c>
    </row>
    <row r="3137" spans="1:14" x14ac:dyDescent="0.3">
      <c r="A3137" t="s">
        <v>3215</v>
      </c>
      <c r="B3137" t="s">
        <v>31</v>
      </c>
      <c r="C3137" t="s">
        <v>3180</v>
      </c>
      <c r="D3137" s="1">
        <v>0.6959953703703704</v>
      </c>
      <c r="E3137" s="2">
        <f>CallLog[[#This Row],[Date]]+CallLog[[#This Row],[Time]]</f>
        <v>44251.69599537037</v>
      </c>
      <c r="F3137" s="1" t="str">
        <f>TEXT(CallLog[[#This Row],[Date]],"dddd")</f>
        <v>Wednesday</v>
      </c>
      <c r="G3137" s="3">
        <f>HOUR(CallLog[[#This Row],[Time]])</f>
        <v>16</v>
      </c>
      <c r="H3137" t="s">
        <v>24</v>
      </c>
      <c r="I3137" t="s">
        <v>14</v>
      </c>
      <c r="J3137" t="s">
        <v>14</v>
      </c>
      <c r="K3137">
        <v>49</v>
      </c>
      <c r="L3137" t="str">
        <f>IF(AND(CallLog[[#This Row],[Answered (Y/N)]]="Y", CallLog[[#This Row],[Speed of answer in seconds]]&lt;=20),
    "Within",
    "Breach")</f>
        <v>Breach</v>
      </c>
      <c r="M3137" s="1">
        <v>2.3032407407407407E-3</v>
      </c>
      <c r="N3137">
        <v>1</v>
      </c>
    </row>
    <row r="3138" spans="1:14" x14ac:dyDescent="0.3">
      <c r="A3138" t="s">
        <v>3216</v>
      </c>
      <c r="B3138" t="s">
        <v>16</v>
      </c>
      <c r="C3138" t="s">
        <v>3180</v>
      </c>
      <c r="D3138" s="1">
        <v>0.7</v>
      </c>
      <c r="E3138" s="2">
        <f>CallLog[[#This Row],[Date]]+CallLog[[#This Row],[Time]]</f>
        <v>44251.7</v>
      </c>
      <c r="F3138" s="1" t="str">
        <f>TEXT(CallLog[[#This Row],[Date]],"dddd")</f>
        <v>Wednesday</v>
      </c>
      <c r="G3138" s="3">
        <f>HOUR(CallLog[[#This Row],[Time]])</f>
        <v>16</v>
      </c>
      <c r="H3138" t="s">
        <v>17</v>
      </c>
      <c r="I3138" t="s">
        <v>14</v>
      </c>
      <c r="J3138" t="s">
        <v>14</v>
      </c>
      <c r="K3138">
        <v>33</v>
      </c>
      <c r="L3138" t="str">
        <f>IF(AND(CallLog[[#This Row],[Answered (Y/N)]]="Y", CallLog[[#This Row],[Speed of answer in seconds]]&lt;=20),
    "Within",
    "Breach")</f>
        <v>Breach</v>
      </c>
      <c r="M3138" s="1">
        <v>3.2291666666666666E-3</v>
      </c>
      <c r="N3138">
        <v>2</v>
      </c>
    </row>
    <row r="3139" spans="1:14" x14ac:dyDescent="0.3">
      <c r="A3139" t="s">
        <v>3217</v>
      </c>
      <c r="B3139" t="s">
        <v>31</v>
      </c>
      <c r="C3139" t="s">
        <v>3180</v>
      </c>
      <c r="D3139" s="1">
        <v>0.7</v>
      </c>
      <c r="E3139" s="2">
        <f>CallLog[[#This Row],[Date]]+CallLog[[#This Row],[Time]]</f>
        <v>44251.7</v>
      </c>
      <c r="F3139" s="1" t="str">
        <f>TEXT(CallLog[[#This Row],[Date]],"dddd")</f>
        <v>Wednesday</v>
      </c>
      <c r="G3139" s="3">
        <f>HOUR(CallLog[[#This Row],[Time]])</f>
        <v>16</v>
      </c>
      <c r="H3139" t="s">
        <v>17</v>
      </c>
      <c r="I3139" t="s">
        <v>14</v>
      </c>
      <c r="J3139" t="s">
        <v>14</v>
      </c>
      <c r="K3139">
        <v>108</v>
      </c>
      <c r="L3139" t="str">
        <f>IF(AND(CallLog[[#This Row],[Answered (Y/N)]]="Y", CallLog[[#This Row],[Speed of answer in seconds]]&lt;=20),
    "Within",
    "Breach")</f>
        <v>Breach</v>
      </c>
      <c r="M3139" s="1">
        <v>2.9976851851851853E-3</v>
      </c>
      <c r="N3139">
        <v>4</v>
      </c>
    </row>
    <row r="3140" spans="1:14" x14ac:dyDescent="0.3">
      <c r="A3140" t="s">
        <v>3218</v>
      </c>
      <c r="B3140" t="s">
        <v>31</v>
      </c>
      <c r="C3140" t="s">
        <v>3180</v>
      </c>
      <c r="D3140" s="1">
        <v>0.71799768518518514</v>
      </c>
      <c r="E3140" s="2">
        <f>CallLog[[#This Row],[Date]]+CallLog[[#This Row],[Time]]</f>
        <v>44251.717997685184</v>
      </c>
      <c r="F3140" s="1" t="str">
        <f>TEXT(CallLog[[#This Row],[Date]],"dddd")</f>
        <v>Wednesday</v>
      </c>
      <c r="G3140" s="3">
        <f>HOUR(CallLog[[#This Row],[Time]])</f>
        <v>17</v>
      </c>
      <c r="H3140" t="s">
        <v>24</v>
      </c>
      <c r="I3140" t="s">
        <v>18</v>
      </c>
      <c r="J3140" t="s">
        <v>18</v>
      </c>
      <c r="L3140" t="str">
        <f>IF(AND(CallLog[[#This Row],[Answered (Y/N)]]="Y", CallLog[[#This Row],[Speed of answer in seconds]]&lt;=20),
    "Within",
    "Breach")</f>
        <v>Breach</v>
      </c>
    </row>
    <row r="3141" spans="1:14" x14ac:dyDescent="0.3">
      <c r="A3141" t="s">
        <v>3219</v>
      </c>
      <c r="B3141" t="s">
        <v>34</v>
      </c>
      <c r="C3141" t="s">
        <v>3180</v>
      </c>
      <c r="D3141" s="1">
        <v>0.71799768518518514</v>
      </c>
      <c r="E3141" s="2">
        <f>CallLog[[#This Row],[Date]]+CallLog[[#This Row],[Time]]</f>
        <v>44251.717997685184</v>
      </c>
      <c r="F3141" s="1" t="str">
        <f>TEXT(CallLog[[#This Row],[Date]],"dddd")</f>
        <v>Wednesday</v>
      </c>
      <c r="G3141" s="3">
        <f>HOUR(CallLog[[#This Row],[Time]])</f>
        <v>17</v>
      </c>
      <c r="H3141" t="s">
        <v>24</v>
      </c>
      <c r="I3141" t="s">
        <v>14</v>
      </c>
      <c r="J3141" t="s">
        <v>14</v>
      </c>
      <c r="K3141">
        <v>21</v>
      </c>
      <c r="L3141" t="str">
        <f>IF(AND(CallLog[[#This Row],[Answered (Y/N)]]="Y", CallLog[[#This Row],[Speed of answer in seconds]]&lt;=20),
    "Within",
    "Breach")</f>
        <v>Breach</v>
      </c>
      <c r="M3141" s="1">
        <v>3.425925925925926E-3</v>
      </c>
      <c r="N3141">
        <v>5</v>
      </c>
    </row>
    <row r="3142" spans="1:14" x14ac:dyDescent="0.3">
      <c r="A3142" t="s">
        <v>3220</v>
      </c>
      <c r="B3142" t="s">
        <v>38</v>
      </c>
      <c r="C3142" t="s">
        <v>3180</v>
      </c>
      <c r="D3142" s="1">
        <v>0.72</v>
      </c>
      <c r="E3142" s="2">
        <f>CallLog[[#This Row],[Date]]+CallLog[[#This Row],[Time]]</f>
        <v>44251.72</v>
      </c>
      <c r="F3142" s="1" t="str">
        <f>TEXT(CallLog[[#This Row],[Date]],"dddd")</f>
        <v>Wednesday</v>
      </c>
      <c r="G3142" s="3">
        <f>HOUR(CallLog[[#This Row],[Time]])</f>
        <v>17</v>
      </c>
      <c r="H3142" t="s">
        <v>13</v>
      </c>
      <c r="I3142" t="s">
        <v>14</v>
      </c>
      <c r="J3142" t="s">
        <v>14</v>
      </c>
      <c r="K3142">
        <v>23</v>
      </c>
      <c r="L3142" t="str">
        <f>IF(AND(CallLog[[#This Row],[Answered (Y/N)]]="Y", CallLog[[#This Row],[Speed of answer in seconds]]&lt;=20),
    "Within",
    "Breach")</f>
        <v>Breach</v>
      </c>
      <c r="M3142" s="1">
        <v>2.650462962962963E-3</v>
      </c>
      <c r="N3142">
        <v>5</v>
      </c>
    </row>
    <row r="3143" spans="1:14" x14ac:dyDescent="0.3">
      <c r="A3143" t="s">
        <v>3221</v>
      </c>
      <c r="B3143" t="s">
        <v>47</v>
      </c>
      <c r="C3143" t="s">
        <v>3180</v>
      </c>
      <c r="D3143" s="1">
        <v>0.72</v>
      </c>
      <c r="E3143" s="2">
        <f>CallLog[[#This Row],[Date]]+CallLog[[#This Row],[Time]]</f>
        <v>44251.72</v>
      </c>
      <c r="F3143" s="1" t="str">
        <f>TEXT(CallLog[[#This Row],[Date]],"dddd")</f>
        <v>Wednesday</v>
      </c>
      <c r="G3143" s="3">
        <f>HOUR(CallLog[[#This Row],[Time]])</f>
        <v>17</v>
      </c>
      <c r="H3143" t="s">
        <v>17</v>
      </c>
      <c r="I3143" t="s">
        <v>18</v>
      </c>
      <c r="J3143" t="s">
        <v>18</v>
      </c>
      <c r="L3143" t="str">
        <f>IF(AND(CallLog[[#This Row],[Answered (Y/N)]]="Y", CallLog[[#This Row],[Speed of answer in seconds]]&lt;=20),
    "Within",
    "Breach")</f>
        <v>Breach</v>
      </c>
    </row>
    <row r="3144" spans="1:14" x14ac:dyDescent="0.3">
      <c r="A3144" t="s">
        <v>3222</v>
      </c>
      <c r="B3144" t="s">
        <v>16</v>
      </c>
      <c r="C3144" t="s">
        <v>3180</v>
      </c>
      <c r="D3144" s="1">
        <v>0.72799768518518515</v>
      </c>
      <c r="E3144" s="2">
        <f>CallLog[[#This Row],[Date]]+CallLog[[#This Row],[Time]]</f>
        <v>44251.727997685186</v>
      </c>
      <c r="F3144" s="1" t="str">
        <f>TEXT(CallLog[[#This Row],[Date]],"dddd")</f>
        <v>Wednesday</v>
      </c>
      <c r="G3144" s="3">
        <f>HOUR(CallLog[[#This Row],[Time]])</f>
        <v>17</v>
      </c>
      <c r="H3144" t="s">
        <v>13</v>
      </c>
      <c r="I3144" t="s">
        <v>14</v>
      </c>
      <c r="J3144" t="s">
        <v>14</v>
      </c>
      <c r="K3144">
        <v>73</v>
      </c>
      <c r="L3144" t="str">
        <f>IF(AND(CallLog[[#This Row],[Answered (Y/N)]]="Y", CallLog[[#This Row],[Speed of answer in seconds]]&lt;=20),
    "Within",
    "Breach")</f>
        <v>Breach</v>
      </c>
      <c r="M3144" s="1">
        <v>3.8657407407407408E-3</v>
      </c>
      <c r="N3144">
        <v>5</v>
      </c>
    </row>
    <row r="3145" spans="1:14" x14ac:dyDescent="0.3">
      <c r="A3145" t="s">
        <v>3223</v>
      </c>
      <c r="B3145" t="s">
        <v>47</v>
      </c>
      <c r="C3145" t="s">
        <v>3180</v>
      </c>
      <c r="D3145" s="1">
        <v>0.72799768518518515</v>
      </c>
      <c r="E3145" s="2">
        <f>CallLog[[#This Row],[Date]]+CallLog[[#This Row],[Time]]</f>
        <v>44251.727997685186</v>
      </c>
      <c r="F3145" s="1" t="str">
        <f>TEXT(CallLog[[#This Row],[Date]],"dddd")</f>
        <v>Wednesday</v>
      </c>
      <c r="G3145" s="3">
        <f>HOUR(CallLog[[#This Row],[Time]])</f>
        <v>17</v>
      </c>
      <c r="H3145" t="s">
        <v>17</v>
      </c>
      <c r="I3145" t="s">
        <v>18</v>
      </c>
      <c r="J3145" t="s">
        <v>18</v>
      </c>
      <c r="L3145" t="str">
        <f>IF(AND(CallLog[[#This Row],[Answered (Y/N)]]="Y", CallLog[[#This Row],[Speed of answer in seconds]]&lt;=20),
    "Within",
    "Breach")</f>
        <v>Breach</v>
      </c>
    </row>
    <row r="3146" spans="1:14" x14ac:dyDescent="0.3">
      <c r="A3146" t="s">
        <v>3224</v>
      </c>
      <c r="B3146" t="s">
        <v>20</v>
      </c>
      <c r="C3146" t="s">
        <v>3180</v>
      </c>
      <c r="D3146" s="1">
        <v>0.73400462962962965</v>
      </c>
      <c r="E3146" s="2">
        <f>CallLog[[#This Row],[Date]]+CallLog[[#This Row],[Time]]</f>
        <v>44251.73400462963</v>
      </c>
      <c r="F3146" s="1" t="str">
        <f>TEXT(CallLog[[#This Row],[Date]],"dddd")</f>
        <v>Wednesday</v>
      </c>
      <c r="G3146" s="3">
        <f>HOUR(CallLog[[#This Row],[Time]])</f>
        <v>17</v>
      </c>
      <c r="H3146" t="s">
        <v>17</v>
      </c>
      <c r="I3146" t="s">
        <v>14</v>
      </c>
      <c r="J3146" t="s">
        <v>14</v>
      </c>
      <c r="K3146">
        <v>22</v>
      </c>
      <c r="L3146" t="str">
        <f>IF(AND(CallLog[[#This Row],[Answered (Y/N)]]="Y", CallLog[[#This Row],[Speed of answer in seconds]]&lt;=20),
    "Within",
    "Breach")</f>
        <v>Breach</v>
      </c>
      <c r="M3146" s="1">
        <v>2.9282407407407408E-3</v>
      </c>
      <c r="N3146">
        <v>3</v>
      </c>
    </row>
    <row r="3147" spans="1:14" x14ac:dyDescent="0.3">
      <c r="A3147" t="s">
        <v>3225</v>
      </c>
      <c r="B3147" t="s">
        <v>38</v>
      </c>
      <c r="C3147" t="s">
        <v>3180</v>
      </c>
      <c r="D3147" s="1">
        <v>0.73400462962962965</v>
      </c>
      <c r="E3147" s="2">
        <f>CallLog[[#This Row],[Date]]+CallLog[[#This Row],[Time]]</f>
        <v>44251.73400462963</v>
      </c>
      <c r="F3147" s="1" t="str">
        <f>TEXT(CallLog[[#This Row],[Date]],"dddd")</f>
        <v>Wednesday</v>
      </c>
      <c r="G3147" s="3">
        <f>HOUR(CallLog[[#This Row],[Time]])</f>
        <v>17</v>
      </c>
      <c r="H3147" t="s">
        <v>24</v>
      </c>
      <c r="I3147" t="s">
        <v>18</v>
      </c>
      <c r="J3147" t="s">
        <v>18</v>
      </c>
      <c r="L3147" t="str">
        <f>IF(AND(CallLog[[#This Row],[Answered (Y/N)]]="Y", CallLog[[#This Row],[Speed of answer in seconds]]&lt;=20),
    "Within",
    "Breach")</f>
        <v>Breach</v>
      </c>
    </row>
    <row r="3148" spans="1:14" x14ac:dyDescent="0.3">
      <c r="A3148" t="s">
        <v>3226</v>
      </c>
      <c r="B3148" t="s">
        <v>20</v>
      </c>
      <c r="C3148" t="s">
        <v>3180</v>
      </c>
      <c r="D3148" s="1">
        <v>0.73799768518518516</v>
      </c>
      <c r="E3148" s="2">
        <f>CallLog[[#This Row],[Date]]+CallLog[[#This Row],[Time]]</f>
        <v>44251.737997685188</v>
      </c>
      <c r="F3148" s="1" t="str">
        <f>TEXT(CallLog[[#This Row],[Date]],"dddd")</f>
        <v>Wednesday</v>
      </c>
      <c r="G3148" s="3">
        <f>HOUR(CallLog[[#This Row],[Time]])</f>
        <v>17</v>
      </c>
      <c r="H3148" t="s">
        <v>29</v>
      </c>
      <c r="I3148" t="s">
        <v>14</v>
      </c>
      <c r="J3148" t="s">
        <v>18</v>
      </c>
      <c r="K3148">
        <v>12</v>
      </c>
      <c r="L3148" t="str">
        <f>IF(AND(CallLog[[#This Row],[Answered (Y/N)]]="Y", CallLog[[#This Row],[Speed of answer in seconds]]&lt;=20),
    "Within",
    "Breach")</f>
        <v>Within</v>
      </c>
      <c r="M3148" s="1">
        <v>3.9699074074074072E-3</v>
      </c>
      <c r="N3148">
        <v>4</v>
      </c>
    </row>
    <row r="3149" spans="1:14" x14ac:dyDescent="0.3">
      <c r="A3149" t="s">
        <v>3227</v>
      </c>
      <c r="B3149" t="s">
        <v>34</v>
      </c>
      <c r="C3149" t="s">
        <v>3180</v>
      </c>
      <c r="D3149" s="1">
        <v>0.73799768518518516</v>
      </c>
      <c r="E3149" s="2">
        <f>CallLog[[#This Row],[Date]]+CallLog[[#This Row],[Time]]</f>
        <v>44251.737997685188</v>
      </c>
      <c r="F3149" s="1" t="str">
        <f>TEXT(CallLog[[#This Row],[Date]],"dddd")</f>
        <v>Wednesday</v>
      </c>
      <c r="G3149" s="3">
        <f>HOUR(CallLog[[#This Row],[Time]])</f>
        <v>17</v>
      </c>
      <c r="H3149" t="s">
        <v>32</v>
      </c>
      <c r="I3149" t="s">
        <v>14</v>
      </c>
      <c r="J3149" t="s">
        <v>14</v>
      </c>
      <c r="K3149">
        <v>111</v>
      </c>
      <c r="L3149" t="str">
        <f>IF(AND(CallLog[[#This Row],[Answered (Y/N)]]="Y", CallLog[[#This Row],[Speed of answer in seconds]]&lt;=20),
    "Within",
    "Breach")</f>
        <v>Breach</v>
      </c>
      <c r="M3149" s="1">
        <v>3.0671296296296297E-3</v>
      </c>
      <c r="N3149">
        <v>3</v>
      </c>
    </row>
    <row r="3150" spans="1:14" x14ac:dyDescent="0.3">
      <c r="A3150" t="s">
        <v>3228</v>
      </c>
      <c r="B3150" t="s">
        <v>31</v>
      </c>
      <c r="C3150" t="s">
        <v>3180</v>
      </c>
      <c r="D3150" s="1">
        <v>0.74099537037037033</v>
      </c>
      <c r="E3150" s="2">
        <f>CallLog[[#This Row],[Date]]+CallLog[[#This Row],[Time]]</f>
        <v>44251.740995370368</v>
      </c>
      <c r="F3150" s="1" t="str">
        <f>TEXT(CallLog[[#This Row],[Date]],"dddd")</f>
        <v>Wednesday</v>
      </c>
      <c r="G3150" s="3">
        <f>HOUR(CallLog[[#This Row],[Time]])</f>
        <v>17</v>
      </c>
      <c r="H3150" t="s">
        <v>29</v>
      </c>
      <c r="I3150" t="s">
        <v>14</v>
      </c>
      <c r="J3150" t="s">
        <v>14</v>
      </c>
      <c r="K3150">
        <v>97</v>
      </c>
      <c r="L3150" t="str">
        <f>IF(AND(CallLog[[#This Row],[Answered (Y/N)]]="Y", CallLog[[#This Row],[Speed of answer in seconds]]&lt;=20),
    "Within",
    "Breach")</f>
        <v>Breach</v>
      </c>
      <c r="M3150" s="1">
        <v>2.6157407407407405E-3</v>
      </c>
      <c r="N3150">
        <v>5</v>
      </c>
    </row>
    <row r="3151" spans="1:14" x14ac:dyDescent="0.3">
      <c r="A3151" t="s">
        <v>3229</v>
      </c>
      <c r="B3151" t="s">
        <v>11</v>
      </c>
      <c r="C3151" t="s">
        <v>3180</v>
      </c>
      <c r="D3151" s="1">
        <v>0.74099537037037033</v>
      </c>
      <c r="E3151" s="2">
        <f>CallLog[[#This Row],[Date]]+CallLog[[#This Row],[Time]]</f>
        <v>44251.740995370368</v>
      </c>
      <c r="F3151" s="1" t="str">
        <f>TEXT(CallLog[[#This Row],[Date]],"dddd")</f>
        <v>Wednesday</v>
      </c>
      <c r="G3151" s="3">
        <f>HOUR(CallLog[[#This Row],[Time]])</f>
        <v>17</v>
      </c>
      <c r="H3151" t="s">
        <v>32</v>
      </c>
      <c r="I3151" t="s">
        <v>14</v>
      </c>
      <c r="J3151" t="s">
        <v>14</v>
      </c>
      <c r="K3151">
        <v>93</v>
      </c>
      <c r="L3151" t="str">
        <f>IF(AND(CallLog[[#This Row],[Answered (Y/N)]]="Y", CallLog[[#This Row],[Speed of answer in seconds]]&lt;=20),
    "Within",
    "Breach")</f>
        <v>Breach</v>
      </c>
      <c r="M3151" s="1">
        <v>3.8310185185185183E-3</v>
      </c>
      <c r="N3151">
        <v>4</v>
      </c>
    </row>
    <row r="3152" spans="1:14" x14ac:dyDescent="0.3">
      <c r="A3152" t="s">
        <v>3230</v>
      </c>
      <c r="B3152" t="s">
        <v>16</v>
      </c>
      <c r="C3152" t="s">
        <v>3180</v>
      </c>
      <c r="D3152" s="1">
        <v>0.74700231481481483</v>
      </c>
      <c r="E3152" s="2">
        <f>CallLog[[#This Row],[Date]]+CallLog[[#This Row],[Time]]</f>
        <v>44251.747002314813</v>
      </c>
      <c r="F3152" s="1" t="str">
        <f>TEXT(CallLog[[#This Row],[Date]],"dddd")</f>
        <v>Wednesday</v>
      </c>
      <c r="G3152" s="3">
        <f>HOUR(CallLog[[#This Row],[Time]])</f>
        <v>17</v>
      </c>
      <c r="H3152" t="s">
        <v>32</v>
      </c>
      <c r="I3152" t="s">
        <v>14</v>
      </c>
      <c r="J3152" t="s">
        <v>14</v>
      </c>
      <c r="K3152">
        <v>24</v>
      </c>
      <c r="L3152" t="str">
        <f>IF(AND(CallLog[[#This Row],[Answered (Y/N)]]="Y", CallLog[[#This Row],[Speed of answer in seconds]]&lt;=20),
    "Within",
    "Breach")</f>
        <v>Breach</v>
      </c>
      <c r="M3152" s="1">
        <v>1.6782407407407408E-3</v>
      </c>
      <c r="N3152">
        <v>3</v>
      </c>
    </row>
    <row r="3153" spans="1:14" x14ac:dyDescent="0.3">
      <c r="A3153" t="s">
        <v>3231</v>
      </c>
      <c r="B3153" t="s">
        <v>38</v>
      </c>
      <c r="C3153" t="s">
        <v>3180</v>
      </c>
      <c r="D3153" s="1">
        <v>0.74700231481481483</v>
      </c>
      <c r="E3153" s="2">
        <f>CallLog[[#This Row],[Date]]+CallLog[[#This Row],[Time]]</f>
        <v>44251.747002314813</v>
      </c>
      <c r="F3153" s="1" t="str">
        <f>TEXT(CallLog[[#This Row],[Date]],"dddd")</f>
        <v>Wednesday</v>
      </c>
      <c r="G3153" s="3">
        <f>HOUR(CallLog[[#This Row],[Time]])</f>
        <v>17</v>
      </c>
      <c r="H3153" t="s">
        <v>17</v>
      </c>
      <c r="I3153" t="s">
        <v>14</v>
      </c>
      <c r="J3153" t="s">
        <v>14</v>
      </c>
      <c r="K3153">
        <v>84</v>
      </c>
      <c r="L3153" t="str">
        <f>IF(AND(CallLog[[#This Row],[Answered (Y/N)]]="Y", CallLog[[#This Row],[Speed of answer in seconds]]&lt;=20),
    "Within",
    "Breach")</f>
        <v>Breach</v>
      </c>
      <c r="M3153" s="1">
        <v>1.261574074074074E-3</v>
      </c>
      <c r="N3153">
        <v>1</v>
      </c>
    </row>
    <row r="3154" spans="1:14" x14ac:dyDescent="0.3">
      <c r="A3154" t="s">
        <v>3232</v>
      </c>
      <c r="B3154" t="s">
        <v>20</v>
      </c>
      <c r="C3154" t="s">
        <v>3233</v>
      </c>
      <c r="D3154" s="1">
        <v>0.38200231481481484</v>
      </c>
      <c r="E3154" s="2">
        <f>CallLog[[#This Row],[Date]]+CallLog[[#This Row],[Time]]</f>
        <v>44252.382002314815</v>
      </c>
      <c r="F3154" s="1" t="str">
        <f>TEXT(CallLog[[#This Row],[Date]],"dddd")</f>
        <v>Thursday</v>
      </c>
      <c r="G3154" s="3">
        <f>HOUR(CallLog[[#This Row],[Time]])</f>
        <v>9</v>
      </c>
      <c r="H3154" t="s">
        <v>13</v>
      </c>
      <c r="I3154" t="s">
        <v>14</v>
      </c>
      <c r="J3154" t="s">
        <v>14</v>
      </c>
      <c r="K3154">
        <v>17</v>
      </c>
      <c r="L3154" t="str">
        <f>IF(AND(CallLog[[#This Row],[Answered (Y/N)]]="Y", CallLog[[#This Row],[Speed of answer in seconds]]&lt;=20),
    "Within",
    "Breach")</f>
        <v>Within</v>
      </c>
      <c r="M3154" s="1">
        <v>1.3425925925925925E-3</v>
      </c>
      <c r="N3154">
        <v>4</v>
      </c>
    </row>
    <row r="3155" spans="1:14" x14ac:dyDescent="0.3">
      <c r="A3155" t="s">
        <v>3234</v>
      </c>
      <c r="B3155" t="s">
        <v>20</v>
      </c>
      <c r="C3155" t="s">
        <v>3233</v>
      </c>
      <c r="D3155" s="1">
        <v>0.38200231481481484</v>
      </c>
      <c r="E3155" s="2">
        <f>CallLog[[#This Row],[Date]]+CallLog[[#This Row],[Time]]</f>
        <v>44252.382002314815</v>
      </c>
      <c r="F3155" s="1" t="str">
        <f>TEXT(CallLog[[#This Row],[Date]],"dddd")</f>
        <v>Thursday</v>
      </c>
      <c r="G3155" s="3">
        <f>HOUR(CallLog[[#This Row],[Time]])</f>
        <v>9</v>
      </c>
      <c r="H3155" t="s">
        <v>17</v>
      </c>
      <c r="I3155" t="s">
        <v>14</v>
      </c>
      <c r="J3155" t="s">
        <v>14</v>
      </c>
      <c r="K3155">
        <v>55</v>
      </c>
      <c r="L3155" t="str">
        <f>IF(AND(CallLog[[#This Row],[Answered (Y/N)]]="Y", CallLog[[#This Row],[Speed of answer in seconds]]&lt;=20),
    "Within",
    "Breach")</f>
        <v>Breach</v>
      </c>
      <c r="M3155" s="1">
        <v>2.8124999999999999E-3</v>
      </c>
      <c r="N3155">
        <v>4</v>
      </c>
    </row>
    <row r="3156" spans="1:14" x14ac:dyDescent="0.3">
      <c r="A3156" t="s">
        <v>3235</v>
      </c>
      <c r="B3156" t="s">
        <v>22</v>
      </c>
      <c r="C3156" t="s">
        <v>3233</v>
      </c>
      <c r="D3156" s="1">
        <v>0.38200231481481484</v>
      </c>
      <c r="E3156" s="2">
        <f>CallLog[[#This Row],[Date]]+CallLog[[#This Row],[Time]]</f>
        <v>44252.382002314815</v>
      </c>
      <c r="F3156" s="1" t="str">
        <f>TEXT(CallLog[[#This Row],[Date]],"dddd")</f>
        <v>Thursday</v>
      </c>
      <c r="G3156" s="3">
        <f>HOUR(CallLog[[#This Row],[Time]])</f>
        <v>9</v>
      </c>
      <c r="H3156" t="s">
        <v>24</v>
      </c>
      <c r="I3156" t="s">
        <v>14</v>
      </c>
      <c r="J3156" t="s">
        <v>14</v>
      </c>
      <c r="K3156">
        <v>118</v>
      </c>
      <c r="L3156" t="str">
        <f>IF(AND(CallLog[[#This Row],[Answered (Y/N)]]="Y", CallLog[[#This Row],[Speed of answer in seconds]]&lt;=20),
    "Within",
    "Breach")</f>
        <v>Breach</v>
      </c>
      <c r="M3156" s="1">
        <v>8.4490740740740739E-4</v>
      </c>
      <c r="N3156">
        <v>3</v>
      </c>
    </row>
    <row r="3157" spans="1:14" x14ac:dyDescent="0.3">
      <c r="A3157" t="s">
        <v>3236</v>
      </c>
      <c r="B3157" t="s">
        <v>47</v>
      </c>
      <c r="C3157" t="s">
        <v>3233</v>
      </c>
      <c r="D3157" s="1">
        <v>0.38200231481481484</v>
      </c>
      <c r="E3157" s="2">
        <f>CallLog[[#This Row],[Date]]+CallLog[[#This Row],[Time]]</f>
        <v>44252.382002314815</v>
      </c>
      <c r="F3157" s="1" t="str">
        <f>TEXT(CallLog[[#This Row],[Date]],"dddd")</f>
        <v>Thursday</v>
      </c>
      <c r="G3157" s="3">
        <f>HOUR(CallLog[[#This Row],[Time]])</f>
        <v>9</v>
      </c>
      <c r="H3157" t="s">
        <v>32</v>
      </c>
      <c r="I3157" t="s">
        <v>14</v>
      </c>
      <c r="J3157" t="s">
        <v>14</v>
      </c>
      <c r="K3157">
        <v>109</v>
      </c>
      <c r="L3157" t="str">
        <f>IF(AND(CallLog[[#This Row],[Answered (Y/N)]]="Y", CallLog[[#This Row],[Speed of answer in seconds]]&lt;=20),
    "Within",
    "Breach")</f>
        <v>Breach</v>
      </c>
      <c r="M3157" s="1">
        <v>2.0486111111111113E-3</v>
      </c>
      <c r="N3157">
        <v>5</v>
      </c>
    </row>
    <row r="3158" spans="1:14" x14ac:dyDescent="0.3">
      <c r="A3158" t="s">
        <v>3237</v>
      </c>
      <c r="B3158" t="s">
        <v>20</v>
      </c>
      <c r="C3158" t="s">
        <v>3233</v>
      </c>
      <c r="D3158" s="1">
        <v>0.38599537037037035</v>
      </c>
      <c r="E3158" s="2">
        <f>CallLog[[#This Row],[Date]]+CallLog[[#This Row],[Time]]</f>
        <v>44252.385995370372</v>
      </c>
      <c r="F3158" s="1" t="str">
        <f>TEXT(CallLog[[#This Row],[Date]],"dddd")</f>
        <v>Thursday</v>
      </c>
      <c r="G3158" s="3">
        <f>HOUR(CallLog[[#This Row],[Time]])</f>
        <v>9</v>
      </c>
      <c r="H3158" t="s">
        <v>17</v>
      </c>
      <c r="I3158" t="s">
        <v>14</v>
      </c>
      <c r="J3158" t="s">
        <v>14</v>
      </c>
      <c r="K3158">
        <v>33</v>
      </c>
      <c r="L3158" t="str">
        <f>IF(AND(CallLog[[#This Row],[Answered (Y/N)]]="Y", CallLog[[#This Row],[Speed of answer in seconds]]&lt;=20),
    "Within",
    "Breach")</f>
        <v>Breach</v>
      </c>
      <c r="M3158" s="1">
        <v>1.8171296296296297E-3</v>
      </c>
      <c r="N3158">
        <v>4</v>
      </c>
    </row>
    <row r="3159" spans="1:14" x14ac:dyDescent="0.3">
      <c r="A3159" t="s">
        <v>3238</v>
      </c>
      <c r="B3159" t="s">
        <v>34</v>
      </c>
      <c r="C3159" t="s">
        <v>3233</v>
      </c>
      <c r="D3159" s="1">
        <v>0.38599537037037035</v>
      </c>
      <c r="E3159" s="2">
        <f>CallLog[[#This Row],[Date]]+CallLog[[#This Row],[Time]]</f>
        <v>44252.385995370372</v>
      </c>
      <c r="F3159" s="1" t="str">
        <f>TEXT(CallLog[[#This Row],[Date]],"dddd")</f>
        <v>Thursday</v>
      </c>
      <c r="G3159" s="3">
        <f>HOUR(CallLog[[#This Row],[Time]])</f>
        <v>9</v>
      </c>
      <c r="H3159" t="s">
        <v>13</v>
      </c>
      <c r="I3159" t="s">
        <v>14</v>
      </c>
      <c r="J3159" t="s">
        <v>14</v>
      </c>
      <c r="K3159">
        <v>18</v>
      </c>
      <c r="L3159" t="str">
        <f>IF(AND(CallLog[[#This Row],[Answered (Y/N)]]="Y", CallLog[[#This Row],[Speed of answer in seconds]]&lt;=20),
    "Within",
    "Breach")</f>
        <v>Within</v>
      </c>
      <c r="M3159" s="1">
        <v>4.1550925925925922E-3</v>
      </c>
      <c r="N3159">
        <v>4</v>
      </c>
    </row>
    <row r="3160" spans="1:14" x14ac:dyDescent="0.3">
      <c r="A3160" t="s">
        <v>3239</v>
      </c>
      <c r="B3160" t="s">
        <v>20</v>
      </c>
      <c r="C3160" t="s">
        <v>3233</v>
      </c>
      <c r="D3160" s="1">
        <v>0.42099537037037038</v>
      </c>
      <c r="E3160" s="2">
        <f>CallLog[[#This Row],[Date]]+CallLog[[#This Row],[Time]]</f>
        <v>44252.420995370368</v>
      </c>
      <c r="F3160" s="1" t="str">
        <f>TEXT(CallLog[[#This Row],[Date]],"dddd")</f>
        <v>Thursday</v>
      </c>
      <c r="G3160" s="3">
        <f>HOUR(CallLog[[#This Row],[Time]])</f>
        <v>10</v>
      </c>
      <c r="H3160" t="s">
        <v>29</v>
      </c>
      <c r="I3160" t="s">
        <v>14</v>
      </c>
      <c r="J3160" t="s">
        <v>14</v>
      </c>
      <c r="K3160">
        <v>99</v>
      </c>
      <c r="L3160" t="str">
        <f>IF(AND(CallLog[[#This Row],[Answered (Y/N)]]="Y", CallLog[[#This Row],[Speed of answer in seconds]]&lt;=20),
    "Within",
    "Breach")</f>
        <v>Breach</v>
      </c>
      <c r="M3160" s="1">
        <v>2.9166666666666668E-3</v>
      </c>
      <c r="N3160">
        <v>2</v>
      </c>
    </row>
    <row r="3161" spans="1:14" x14ac:dyDescent="0.3">
      <c r="A3161" t="s">
        <v>3240</v>
      </c>
      <c r="B3161" t="s">
        <v>38</v>
      </c>
      <c r="C3161" t="s">
        <v>3233</v>
      </c>
      <c r="D3161" s="1">
        <v>0.42099537037037038</v>
      </c>
      <c r="E3161" s="2">
        <f>CallLog[[#This Row],[Date]]+CallLog[[#This Row],[Time]]</f>
        <v>44252.420995370368</v>
      </c>
      <c r="F3161" s="1" t="str">
        <f>TEXT(CallLog[[#This Row],[Date]],"dddd")</f>
        <v>Thursday</v>
      </c>
      <c r="G3161" s="3">
        <f>HOUR(CallLog[[#This Row],[Time]])</f>
        <v>10</v>
      </c>
      <c r="H3161" t="s">
        <v>13</v>
      </c>
      <c r="I3161" t="s">
        <v>14</v>
      </c>
      <c r="J3161" t="s">
        <v>14</v>
      </c>
      <c r="K3161">
        <v>111</v>
      </c>
      <c r="L3161" t="str">
        <f>IF(AND(CallLog[[#This Row],[Answered (Y/N)]]="Y", CallLog[[#This Row],[Speed of answer in seconds]]&lt;=20),
    "Within",
    "Breach")</f>
        <v>Breach</v>
      </c>
      <c r="M3161" s="1">
        <v>1.724537037037037E-3</v>
      </c>
      <c r="N3161">
        <v>3</v>
      </c>
    </row>
    <row r="3162" spans="1:14" x14ac:dyDescent="0.3">
      <c r="A3162" t="s">
        <v>3241</v>
      </c>
      <c r="B3162" t="s">
        <v>11</v>
      </c>
      <c r="C3162" t="s">
        <v>3233</v>
      </c>
      <c r="D3162" s="1">
        <v>0.43</v>
      </c>
      <c r="E3162" s="2">
        <f>CallLog[[#This Row],[Date]]+CallLog[[#This Row],[Time]]</f>
        <v>44252.43</v>
      </c>
      <c r="F3162" s="1" t="str">
        <f>TEXT(CallLog[[#This Row],[Date]],"dddd")</f>
        <v>Thursday</v>
      </c>
      <c r="G3162" s="3">
        <f>HOUR(CallLog[[#This Row],[Time]])</f>
        <v>10</v>
      </c>
      <c r="H3162" t="s">
        <v>29</v>
      </c>
      <c r="I3162" t="s">
        <v>18</v>
      </c>
      <c r="J3162" t="s">
        <v>18</v>
      </c>
      <c r="L3162" t="str">
        <f>IF(AND(CallLog[[#This Row],[Answered (Y/N)]]="Y", CallLog[[#This Row],[Speed of answer in seconds]]&lt;=20),
    "Within",
    "Breach")</f>
        <v>Breach</v>
      </c>
    </row>
    <row r="3163" spans="1:14" x14ac:dyDescent="0.3">
      <c r="A3163" t="s">
        <v>3242</v>
      </c>
      <c r="B3163" t="s">
        <v>11</v>
      </c>
      <c r="C3163" t="s">
        <v>3233</v>
      </c>
      <c r="D3163" s="1">
        <v>0.43</v>
      </c>
      <c r="E3163" s="2">
        <f>CallLog[[#This Row],[Date]]+CallLog[[#This Row],[Time]]</f>
        <v>44252.43</v>
      </c>
      <c r="F3163" s="1" t="str">
        <f>TEXT(CallLog[[#This Row],[Date]],"dddd")</f>
        <v>Thursday</v>
      </c>
      <c r="G3163" s="3">
        <f>HOUR(CallLog[[#This Row],[Time]])</f>
        <v>10</v>
      </c>
      <c r="H3163" t="s">
        <v>24</v>
      </c>
      <c r="I3163" t="s">
        <v>14</v>
      </c>
      <c r="J3163" t="s">
        <v>14</v>
      </c>
      <c r="K3163">
        <v>82</v>
      </c>
      <c r="L3163" t="str">
        <f>IF(AND(CallLog[[#This Row],[Answered (Y/N)]]="Y", CallLog[[#This Row],[Speed of answer in seconds]]&lt;=20),
    "Within",
    "Breach")</f>
        <v>Breach</v>
      </c>
      <c r="M3163" s="1">
        <v>4.7106481481481478E-3</v>
      </c>
      <c r="N3163">
        <v>5</v>
      </c>
    </row>
    <row r="3164" spans="1:14" x14ac:dyDescent="0.3">
      <c r="A3164" t="s">
        <v>3243</v>
      </c>
      <c r="B3164" t="s">
        <v>16</v>
      </c>
      <c r="C3164" t="s">
        <v>3233</v>
      </c>
      <c r="D3164" s="1">
        <v>0.43099537037037039</v>
      </c>
      <c r="E3164" s="2">
        <f>CallLog[[#This Row],[Date]]+CallLog[[#This Row],[Time]]</f>
        <v>44252.430995370371</v>
      </c>
      <c r="F3164" s="1" t="str">
        <f>TEXT(CallLog[[#This Row],[Date]],"dddd")</f>
        <v>Thursday</v>
      </c>
      <c r="G3164" s="3">
        <f>HOUR(CallLog[[#This Row],[Time]])</f>
        <v>10</v>
      </c>
      <c r="H3164" t="s">
        <v>29</v>
      </c>
      <c r="I3164" t="s">
        <v>14</v>
      </c>
      <c r="J3164" t="s">
        <v>14</v>
      </c>
      <c r="K3164">
        <v>48</v>
      </c>
      <c r="L3164" t="str">
        <f>IF(AND(CallLog[[#This Row],[Answered (Y/N)]]="Y", CallLog[[#This Row],[Speed of answer in seconds]]&lt;=20),
    "Within",
    "Breach")</f>
        <v>Breach</v>
      </c>
      <c r="M3164" s="1">
        <v>3.9351851851851848E-3</v>
      </c>
      <c r="N3164">
        <v>3</v>
      </c>
    </row>
    <row r="3165" spans="1:14" x14ac:dyDescent="0.3">
      <c r="A3165" t="s">
        <v>3244</v>
      </c>
      <c r="B3165" t="s">
        <v>34</v>
      </c>
      <c r="C3165" t="s">
        <v>3233</v>
      </c>
      <c r="D3165" s="1">
        <v>0.43099537037037039</v>
      </c>
      <c r="E3165" s="2">
        <f>CallLog[[#This Row],[Date]]+CallLog[[#This Row],[Time]]</f>
        <v>44252.430995370371</v>
      </c>
      <c r="F3165" s="1" t="str">
        <f>TEXT(CallLog[[#This Row],[Date]],"dddd")</f>
        <v>Thursday</v>
      </c>
      <c r="G3165" s="3">
        <f>HOUR(CallLog[[#This Row],[Time]])</f>
        <v>10</v>
      </c>
      <c r="H3165" t="s">
        <v>17</v>
      </c>
      <c r="I3165" t="s">
        <v>14</v>
      </c>
      <c r="J3165" t="s">
        <v>14</v>
      </c>
      <c r="K3165">
        <v>83</v>
      </c>
      <c r="L3165" t="str">
        <f>IF(AND(CallLog[[#This Row],[Answered (Y/N)]]="Y", CallLog[[#This Row],[Speed of answer in seconds]]&lt;=20),
    "Within",
    "Breach")</f>
        <v>Breach</v>
      </c>
      <c r="M3165" s="1">
        <v>3.3912037037037036E-3</v>
      </c>
      <c r="N3165">
        <v>3</v>
      </c>
    </row>
    <row r="3166" spans="1:14" x14ac:dyDescent="0.3">
      <c r="A3166" t="s">
        <v>3245</v>
      </c>
      <c r="B3166" t="s">
        <v>47</v>
      </c>
      <c r="C3166" t="s">
        <v>3233</v>
      </c>
      <c r="D3166" s="1">
        <v>0.44900462962962961</v>
      </c>
      <c r="E3166" s="2">
        <f>CallLog[[#This Row],[Date]]+CallLog[[#This Row],[Time]]</f>
        <v>44252.449004629627</v>
      </c>
      <c r="F3166" s="1" t="str">
        <f>TEXT(CallLog[[#This Row],[Date]],"dddd")</f>
        <v>Thursday</v>
      </c>
      <c r="G3166" s="3">
        <f>HOUR(CallLog[[#This Row],[Time]])</f>
        <v>10</v>
      </c>
      <c r="H3166" t="s">
        <v>17</v>
      </c>
      <c r="I3166" t="s">
        <v>14</v>
      </c>
      <c r="J3166" t="s">
        <v>14</v>
      </c>
      <c r="K3166">
        <v>102</v>
      </c>
      <c r="L3166" t="str">
        <f>IF(AND(CallLog[[#This Row],[Answered (Y/N)]]="Y", CallLog[[#This Row],[Speed of answer in seconds]]&lt;=20),
    "Within",
    "Breach")</f>
        <v>Breach</v>
      </c>
      <c r="M3166" s="1">
        <v>1.5277777777777779E-3</v>
      </c>
      <c r="N3166">
        <v>5</v>
      </c>
    </row>
    <row r="3167" spans="1:14" x14ac:dyDescent="0.3">
      <c r="A3167" t="s">
        <v>3246</v>
      </c>
      <c r="B3167" t="s">
        <v>34</v>
      </c>
      <c r="C3167" t="s">
        <v>3233</v>
      </c>
      <c r="D3167" s="1">
        <v>0.44900462962962961</v>
      </c>
      <c r="E3167" s="2">
        <f>CallLog[[#This Row],[Date]]+CallLog[[#This Row],[Time]]</f>
        <v>44252.449004629627</v>
      </c>
      <c r="F3167" s="1" t="str">
        <f>TEXT(CallLog[[#This Row],[Date]],"dddd")</f>
        <v>Thursday</v>
      </c>
      <c r="G3167" s="3">
        <f>HOUR(CallLog[[#This Row],[Time]])</f>
        <v>10</v>
      </c>
      <c r="H3167" t="s">
        <v>29</v>
      </c>
      <c r="I3167" t="s">
        <v>14</v>
      </c>
      <c r="J3167" t="s">
        <v>14</v>
      </c>
      <c r="K3167">
        <v>124</v>
      </c>
      <c r="L3167" t="str">
        <f>IF(AND(CallLog[[#This Row],[Answered (Y/N)]]="Y", CallLog[[#This Row],[Speed of answer in seconds]]&lt;=20),
    "Within",
    "Breach")</f>
        <v>Breach</v>
      </c>
      <c r="M3167" s="1">
        <v>9.6064814814814819E-4</v>
      </c>
      <c r="N3167">
        <v>1</v>
      </c>
    </row>
    <row r="3168" spans="1:14" x14ac:dyDescent="0.3">
      <c r="A3168" t="s">
        <v>3247</v>
      </c>
      <c r="B3168" t="s">
        <v>38</v>
      </c>
      <c r="C3168" t="s">
        <v>3233</v>
      </c>
      <c r="D3168" s="1">
        <v>0.45299768518518518</v>
      </c>
      <c r="E3168" s="2">
        <f>CallLog[[#This Row],[Date]]+CallLog[[#This Row],[Time]]</f>
        <v>44252.452997685185</v>
      </c>
      <c r="F3168" s="1" t="str">
        <f>TEXT(CallLog[[#This Row],[Date]],"dddd")</f>
        <v>Thursday</v>
      </c>
      <c r="G3168" s="3">
        <f>HOUR(CallLog[[#This Row],[Time]])</f>
        <v>10</v>
      </c>
      <c r="H3168" t="s">
        <v>32</v>
      </c>
      <c r="I3168" t="s">
        <v>18</v>
      </c>
      <c r="J3168" t="s">
        <v>18</v>
      </c>
      <c r="L3168" t="str">
        <f>IF(AND(CallLog[[#This Row],[Answered (Y/N)]]="Y", CallLog[[#This Row],[Speed of answer in seconds]]&lt;=20),
    "Within",
    "Breach")</f>
        <v>Breach</v>
      </c>
    </row>
    <row r="3169" spans="1:14" x14ac:dyDescent="0.3">
      <c r="A3169" t="s">
        <v>3248</v>
      </c>
      <c r="B3169" t="s">
        <v>34</v>
      </c>
      <c r="C3169" t="s">
        <v>3233</v>
      </c>
      <c r="D3169" s="1">
        <v>0.45299768518518518</v>
      </c>
      <c r="E3169" s="2">
        <f>CallLog[[#This Row],[Date]]+CallLog[[#This Row],[Time]]</f>
        <v>44252.452997685185</v>
      </c>
      <c r="F3169" s="1" t="str">
        <f>TEXT(CallLog[[#This Row],[Date]],"dddd")</f>
        <v>Thursday</v>
      </c>
      <c r="G3169" s="3">
        <f>HOUR(CallLog[[#This Row],[Time]])</f>
        <v>10</v>
      </c>
      <c r="H3169" t="s">
        <v>32</v>
      </c>
      <c r="I3169" t="s">
        <v>14</v>
      </c>
      <c r="J3169" t="s">
        <v>14</v>
      </c>
      <c r="K3169">
        <v>82</v>
      </c>
      <c r="L3169" t="str">
        <f>IF(AND(CallLog[[#This Row],[Answered (Y/N)]]="Y", CallLog[[#This Row],[Speed of answer in seconds]]&lt;=20),
    "Within",
    "Breach")</f>
        <v>Breach</v>
      </c>
      <c r="M3169" s="1">
        <v>2.4537037037037036E-3</v>
      </c>
      <c r="N3169">
        <v>3</v>
      </c>
    </row>
    <row r="3170" spans="1:14" x14ac:dyDescent="0.3">
      <c r="A3170" t="s">
        <v>3249</v>
      </c>
      <c r="B3170" t="s">
        <v>31</v>
      </c>
      <c r="C3170" t="s">
        <v>3233</v>
      </c>
      <c r="D3170" s="1">
        <v>0.46500000000000002</v>
      </c>
      <c r="E3170" s="2">
        <f>CallLog[[#This Row],[Date]]+CallLog[[#This Row],[Time]]</f>
        <v>44252.464999999997</v>
      </c>
      <c r="F3170" s="1" t="str">
        <f>TEXT(CallLog[[#This Row],[Date]],"dddd")</f>
        <v>Thursday</v>
      </c>
      <c r="G3170" s="3">
        <f>HOUR(CallLog[[#This Row],[Time]])</f>
        <v>11</v>
      </c>
      <c r="H3170" t="s">
        <v>24</v>
      </c>
      <c r="I3170" t="s">
        <v>14</v>
      </c>
      <c r="J3170" t="s">
        <v>18</v>
      </c>
      <c r="K3170">
        <v>50</v>
      </c>
      <c r="L3170" t="str">
        <f>IF(AND(CallLog[[#This Row],[Answered (Y/N)]]="Y", CallLog[[#This Row],[Speed of answer in seconds]]&lt;=20),
    "Within",
    "Breach")</f>
        <v>Breach</v>
      </c>
      <c r="M3170" s="1">
        <v>2.9282407407407408E-3</v>
      </c>
      <c r="N3170">
        <v>4</v>
      </c>
    </row>
    <row r="3171" spans="1:14" x14ac:dyDescent="0.3">
      <c r="A3171" t="s">
        <v>3250</v>
      </c>
      <c r="B3171" t="s">
        <v>38</v>
      </c>
      <c r="C3171" t="s">
        <v>3233</v>
      </c>
      <c r="D3171" s="1">
        <v>0.46500000000000002</v>
      </c>
      <c r="E3171" s="2">
        <f>CallLog[[#This Row],[Date]]+CallLog[[#This Row],[Time]]</f>
        <v>44252.464999999997</v>
      </c>
      <c r="F3171" s="1" t="str">
        <f>TEXT(CallLog[[#This Row],[Date]],"dddd")</f>
        <v>Thursday</v>
      </c>
      <c r="G3171" s="3">
        <f>HOUR(CallLog[[#This Row],[Time]])</f>
        <v>11</v>
      </c>
      <c r="H3171" t="s">
        <v>24</v>
      </c>
      <c r="I3171" t="s">
        <v>14</v>
      </c>
      <c r="J3171" t="s">
        <v>14</v>
      </c>
      <c r="K3171">
        <v>27</v>
      </c>
      <c r="L3171" t="str">
        <f>IF(AND(CallLog[[#This Row],[Answered (Y/N)]]="Y", CallLog[[#This Row],[Speed of answer in seconds]]&lt;=20),
    "Within",
    "Breach")</f>
        <v>Breach</v>
      </c>
      <c r="M3171" s="1">
        <v>1.3310185185185185E-3</v>
      </c>
      <c r="N3171">
        <v>3</v>
      </c>
    </row>
    <row r="3172" spans="1:14" x14ac:dyDescent="0.3">
      <c r="A3172" t="s">
        <v>3251</v>
      </c>
      <c r="B3172" t="s">
        <v>34</v>
      </c>
      <c r="C3172" t="s">
        <v>3233</v>
      </c>
      <c r="D3172" s="1">
        <v>0.48299768518518521</v>
      </c>
      <c r="E3172" s="2">
        <f>CallLog[[#This Row],[Date]]+CallLog[[#This Row],[Time]]</f>
        <v>44252.482997685183</v>
      </c>
      <c r="F3172" s="1" t="str">
        <f>TEXT(CallLog[[#This Row],[Date]],"dddd")</f>
        <v>Thursday</v>
      </c>
      <c r="G3172" s="3">
        <f>HOUR(CallLog[[#This Row],[Time]])</f>
        <v>11</v>
      </c>
      <c r="H3172" t="s">
        <v>29</v>
      </c>
      <c r="I3172" t="s">
        <v>14</v>
      </c>
      <c r="J3172" t="s">
        <v>14</v>
      </c>
      <c r="K3172">
        <v>96</v>
      </c>
      <c r="L3172" t="str">
        <f>IF(AND(CallLog[[#This Row],[Answered (Y/N)]]="Y", CallLog[[#This Row],[Speed of answer in seconds]]&lt;=20),
    "Within",
    "Breach")</f>
        <v>Breach</v>
      </c>
      <c r="M3172" s="1">
        <v>1.9328703703703704E-3</v>
      </c>
      <c r="N3172">
        <v>4</v>
      </c>
    </row>
    <row r="3173" spans="1:14" x14ac:dyDescent="0.3">
      <c r="A3173" t="s">
        <v>3252</v>
      </c>
      <c r="B3173" t="s">
        <v>22</v>
      </c>
      <c r="C3173" t="s">
        <v>3233</v>
      </c>
      <c r="D3173" s="1">
        <v>0.48299768518518521</v>
      </c>
      <c r="E3173" s="2">
        <f>CallLog[[#This Row],[Date]]+CallLog[[#This Row],[Time]]</f>
        <v>44252.482997685183</v>
      </c>
      <c r="F3173" s="1" t="str">
        <f>TEXT(CallLog[[#This Row],[Date]],"dddd")</f>
        <v>Thursday</v>
      </c>
      <c r="G3173" s="3">
        <f>HOUR(CallLog[[#This Row],[Time]])</f>
        <v>11</v>
      </c>
      <c r="H3173" t="s">
        <v>13</v>
      </c>
      <c r="I3173" t="s">
        <v>14</v>
      </c>
      <c r="J3173" t="s">
        <v>14</v>
      </c>
      <c r="K3173">
        <v>122</v>
      </c>
      <c r="L3173" t="str">
        <f>IF(AND(CallLog[[#This Row],[Answered (Y/N)]]="Y", CallLog[[#This Row],[Speed of answer in seconds]]&lt;=20),
    "Within",
    "Breach")</f>
        <v>Breach</v>
      </c>
      <c r="M3173" s="1">
        <v>2.7199074074074074E-3</v>
      </c>
      <c r="N3173">
        <v>1</v>
      </c>
    </row>
    <row r="3174" spans="1:14" x14ac:dyDescent="0.3">
      <c r="A3174" t="s">
        <v>3253</v>
      </c>
      <c r="B3174" t="s">
        <v>11</v>
      </c>
      <c r="C3174" t="s">
        <v>3233</v>
      </c>
      <c r="D3174" s="1">
        <v>0.48799768518518516</v>
      </c>
      <c r="E3174" s="2">
        <f>CallLog[[#This Row],[Date]]+CallLog[[#This Row],[Time]]</f>
        <v>44252.487997685188</v>
      </c>
      <c r="F3174" s="1" t="str">
        <f>TEXT(CallLog[[#This Row],[Date]],"dddd")</f>
        <v>Thursday</v>
      </c>
      <c r="G3174" s="3">
        <f>HOUR(CallLog[[#This Row],[Time]])</f>
        <v>11</v>
      </c>
      <c r="H3174" t="s">
        <v>17</v>
      </c>
      <c r="I3174" t="s">
        <v>18</v>
      </c>
      <c r="J3174" t="s">
        <v>18</v>
      </c>
      <c r="L3174" t="str">
        <f>IF(AND(CallLog[[#This Row],[Answered (Y/N)]]="Y", CallLog[[#This Row],[Speed of answer in seconds]]&lt;=20),
    "Within",
    "Breach")</f>
        <v>Breach</v>
      </c>
    </row>
    <row r="3175" spans="1:14" x14ac:dyDescent="0.3">
      <c r="A3175" t="s">
        <v>3254</v>
      </c>
      <c r="B3175" t="s">
        <v>34</v>
      </c>
      <c r="C3175" t="s">
        <v>3233</v>
      </c>
      <c r="D3175" s="1">
        <v>0.48799768518518516</v>
      </c>
      <c r="E3175" s="2">
        <f>CallLog[[#This Row],[Date]]+CallLog[[#This Row],[Time]]</f>
        <v>44252.487997685188</v>
      </c>
      <c r="F3175" s="1" t="str">
        <f>TEXT(CallLog[[#This Row],[Date]],"dddd")</f>
        <v>Thursday</v>
      </c>
      <c r="G3175" s="3">
        <f>HOUR(CallLog[[#This Row],[Time]])</f>
        <v>11</v>
      </c>
      <c r="H3175" t="s">
        <v>24</v>
      </c>
      <c r="I3175" t="s">
        <v>14</v>
      </c>
      <c r="J3175" t="s">
        <v>14</v>
      </c>
      <c r="K3175">
        <v>76</v>
      </c>
      <c r="L3175" t="str">
        <f>IF(AND(CallLog[[#This Row],[Answered (Y/N)]]="Y", CallLog[[#This Row],[Speed of answer in seconds]]&lt;=20),
    "Within",
    "Breach")</f>
        <v>Breach</v>
      </c>
      <c r="M3175" s="1">
        <v>1.2731481481481483E-3</v>
      </c>
      <c r="N3175">
        <v>4</v>
      </c>
    </row>
    <row r="3176" spans="1:14" x14ac:dyDescent="0.3">
      <c r="A3176" t="s">
        <v>3255</v>
      </c>
      <c r="B3176" t="s">
        <v>47</v>
      </c>
      <c r="C3176" t="s">
        <v>3233</v>
      </c>
      <c r="D3176" s="1">
        <v>0.49700231481481483</v>
      </c>
      <c r="E3176" s="2">
        <f>CallLog[[#This Row],[Date]]+CallLog[[#This Row],[Time]]</f>
        <v>44252.497002314813</v>
      </c>
      <c r="F3176" s="1" t="str">
        <f>TEXT(CallLog[[#This Row],[Date]],"dddd")</f>
        <v>Thursday</v>
      </c>
      <c r="G3176" s="3">
        <f>HOUR(CallLog[[#This Row],[Time]])</f>
        <v>11</v>
      </c>
      <c r="H3176" t="s">
        <v>29</v>
      </c>
      <c r="I3176" t="s">
        <v>14</v>
      </c>
      <c r="J3176" t="s">
        <v>14</v>
      </c>
      <c r="K3176">
        <v>66</v>
      </c>
      <c r="L3176" t="str">
        <f>IF(AND(CallLog[[#This Row],[Answered (Y/N)]]="Y", CallLog[[#This Row],[Speed of answer in seconds]]&lt;=20),
    "Within",
    "Breach")</f>
        <v>Breach</v>
      </c>
      <c r="M3176" s="1">
        <v>1.2268518518518518E-3</v>
      </c>
      <c r="N3176">
        <v>5</v>
      </c>
    </row>
    <row r="3177" spans="1:14" x14ac:dyDescent="0.3">
      <c r="A3177" t="s">
        <v>3256</v>
      </c>
      <c r="B3177" t="s">
        <v>38</v>
      </c>
      <c r="C3177" t="s">
        <v>3233</v>
      </c>
      <c r="D3177" s="1">
        <v>0.49700231481481483</v>
      </c>
      <c r="E3177" s="2">
        <f>CallLog[[#This Row],[Date]]+CallLog[[#This Row],[Time]]</f>
        <v>44252.497002314813</v>
      </c>
      <c r="F3177" s="1" t="str">
        <f>TEXT(CallLog[[#This Row],[Date]],"dddd")</f>
        <v>Thursday</v>
      </c>
      <c r="G3177" s="3">
        <f>HOUR(CallLog[[#This Row],[Time]])</f>
        <v>11</v>
      </c>
      <c r="H3177" t="s">
        <v>17</v>
      </c>
      <c r="I3177" t="s">
        <v>14</v>
      </c>
      <c r="J3177" t="s">
        <v>14</v>
      </c>
      <c r="K3177">
        <v>98</v>
      </c>
      <c r="L3177" t="str">
        <f>IF(AND(CallLog[[#This Row],[Answered (Y/N)]]="Y", CallLog[[#This Row],[Speed of answer in seconds]]&lt;=20),
    "Within",
    "Breach")</f>
        <v>Breach</v>
      </c>
      <c r="M3177" s="1">
        <v>1.5277777777777779E-3</v>
      </c>
      <c r="N3177">
        <v>3</v>
      </c>
    </row>
    <row r="3178" spans="1:14" x14ac:dyDescent="0.3">
      <c r="A3178" t="s">
        <v>3257</v>
      </c>
      <c r="B3178" t="s">
        <v>38</v>
      </c>
      <c r="C3178" t="s">
        <v>3233</v>
      </c>
      <c r="D3178" s="1">
        <v>0.50299768518518517</v>
      </c>
      <c r="E3178" s="2">
        <f>CallLog[[#This Row],[Date]]+CallLog[[#This Row],[Time]]</f>
        <v>44252.502997685187</v>
      </c>
      <c r="F3178" s="1" t="str">
        <f>TEXT(CallLog[[#This Row],[Date]],"dddd")</f>
        <v>Thursday</v>
      </c>
      <c r="G3178" s="3">
        <f>HOUR(CallLog[[#This Row],[Time]])</f>
        <v>12</v>
      </c>
      <c r="H3178" t="s">
        <v>13</v>
      </c>
      <c r="I3178" t="s">
        <v>18</v>
      </c>
      <c r="J3178" t="s">
        <v>18</v>
      </c>
      <c r="L3178" t="str">
        <f>IF(AND(CallLog[[#This Row],[Answered (Y/N)]]="Y", CallLog[[#This Row],[Speed of answer in seconds]]&lt;=20),
    "Within",
    "Breach")</f>
        <v>Breach</v>
      </c>
    </row>
    <row r="3179" spans="1:14" x14ac:dyDescent="0.3">
      <c r="A3179" t="s">
        <v>3258</v>
      </c>
      <c r="B3179" t="s">
        <v>34</v>
      </c>
      <c r="C3179" t="s">
        <v>3233</v>
      </c>
      <c r="D3179" s="1">
        <v>0.50299768518518517</v>
      </c>
      <c r="E3179" s="2">
        <f>CallLog[[#This Row],[Date]]+CallLog[[#This Row],[Time]]</f>
        <v>44252.502997685187</v>
      </c>
      <c r="F3179" s="1" t="str">
        <f>TEXT(CallLog[[#This Row],[Date]],"dddd")</f>
        <v>Thursday</v>
      </c>
      <c r="G3179" s="3">
        <f>HOUR(CallLog[[#This Row],[Time]])</f>
        <v>12</v>
      </c>
      <c r="H3179" t="s">
        <v>17</v>
      </c>
      <c r="I3179" t="s">
        <v>14</v>
      </c>
      <c r="J3179" t="s">
        <v>14</v>
      </c>
      <c r="K3179">
        <v>73</v>
      </c>
      <c r="L3179" t="str">
        <f>IF(AND(CallLog[[#This Row],[Answered (Y/N)]]="Y", CallLog[[#This Row],[Speed of answer in seconds]]&lt;=20),
    "Within",
    "Breach")</f>
        <v>Breach</v>
      </c>
      <c r="M3179" s="1">
        <v>4.5254629629629629E-3</v>
      </c>
      <c r="N3179">
        <v>3</v>
      </c>
    </row>
    <row r="3180" spans="1:14" x14ac:dyDescent="0.3">
      <c r="A3180" t="s">
        <v>3259</v>
      </c>
      <c r="B3180" t="s">
        <v>34</v>
      </c>
      <c r="C3180" t="s">
        <v>3233</v>
      </c>
      <c r="D3180" s="1">
        <v>0.50400462962962966</v>
      </c>
      <c r="E3180" s="2">
        <f>CallLog[[#This Row],[Date]]+CallLog[[#This Row],[Time]]</f>
        <v>44252.504004629627</v>
      </c>
      <c r="F3180" s="1" t="str">
        <f>TEXT(CallLog[[#This Row],[Date]],"dddd")</f>
        <v>Thursday</v>
      </c>
      <c r="G3180" s="3">
        <f>HOUR(CallLog[[#This Row],[Time]])</f>
        <v>12</v>
      </c>
      <c r="H3180" t="s">
        <v>13</v>
      </c>
      <c r="I3180" t="s">
        <v>14</v>
      </c>
      <c r="J3180" t="s">
        <v>14</v>
      </c>
      <c r="K3180">
        <v>76</v>
      </c>
      <c r="L3180" t="str">
        <f>IF(AND(CallLog[[#This Row],[Answered (Y/N)]]="Y", CallLog[[#This Row],[Speed of answer in seconds]]&lt;=20),
    "Within",
    "Breach")</f>
        <v>Breach</v>
      </c>
      <c r="M3180" s="1">
        <v>1.238425925925926E-3</v>
      </c>
      <c r="N3180">
        <v>3</v>
      </c>
    </row>
    <row r="3181" spans="1:14" x14ac:dyDescent="0.3">
      <c r="A3181" t="s">
        <v>3260</v>
      </c>
      <c r="B3181" t="s">
        <v>22</v>
      </c>
      <c r="C3181" t="s">
        <v>3233</v>
      </c>
      <c r="D3181" s="1">
        <v>0.50400462962962966</v>
      </c>
      <c r="E3181" s="2">
        <f>CallLog[[#This Row],[Date]]+CallLog[[#This Row],[Time]]</f>
        <v>44252.504004629627</v>
      </c>
      <c r="F3181" s="1" t="str">
        <f>TEXT(CallLog[[#This Row],[Date]],"dddd")</f>
        <v>Thursday</v>
      </c>
      <c r="G3181" s="3">
        <f>HOUR(CallLog[[#This Row],[Time]])</f>
        <v>12</v>
      </c>
      <c r="H3181" t="s">
        <v>32</v>
      </c>
      <c r="I3181" t="s">
        <v>18</v>
      </c>
      <c r="J3181" t="s">
        <v>18</v>
      </c>
      <c r="L3181" t="str">
        <f>IF(AND(CallLog[[#This Row],[Answered (Y/N)]]="Y", CallLog[[#This Row],[Speed of answer in seconds]]&lt;=20),
    "Within",
    "Breach")</f>
        <v>Breach</v>
      </c>
    </row>
    <row r="3182" spans="1:14" x14ac:dyDescent="0.3">
      <c r="A3182" t="s">
        <v>3261</v>
      </c>
      <c r="B3182" t="s">
        <v>31</v>
      </c>
      <c r="C3182" t="s">
        <v>3233</v>
      </c>
      <c r="D3182" s="1">
        <v>0.52200231481481485</v>
      </c>
      <c r="E3182" s="2">
        <f>CallLog[[#This Row],[Date]]+CallLog[[#This Row],[Time]]</f>
        <v>44252.522002314814</v>
      </c>
      <c r="F3182" s="1" t="str">
        <f>TEXT(CallLog[[#This Row],[Date]],"dddd")</f>
        <v>Thursday</v>
      </c>
      <c r="G3182" s="3">
        <f>HOUR(CallLog[[#This Row],[Time]])</f>
        <v>12</v>
      </c>
      <c r="H3182" t="s">
        <v>29</v>
      </c>
      <c r="I3182" t="s">
        <v>14</v>
      </c>
      <c r="J3182" t="s">
        <v>14</v>
      </c>
      <c r="K3182">
        <v>123</v>
      </c>
      <c r="L3182" t="str">
        <f>IF(AND(CallLog[[#This Row],[Answered (Y/N)]]="Y", CallLog[[#This Row],[Speed of answer in seconds]]&lt;=20),
    "Within",
    "Breach")</f>
        <v>Breach</v>
      </c>
      <c r="M3182" s="1">
        <v>4.0046296296296297E-3</v>
      </c>
      <c r="N3182">
        <v>4</v>
      </c>
    </row>
    <row r="3183" spans="1:14" x14ac:dyDescent="0.3">
      <c r="A3183" t="s">
        <v>3262</v>
      </c>
      <c r="B3183" t="s">
        <v>20</v>
      </c>
      <c r="C3183" t="s">
        <v>3233</v>
      </c>
      <c r="D3183" s="1">
        <v>0.52200231481481485</v>
      </c>
      <c r="E3183" s="2">
        <f>CallLog[[#This Row],[Date]]+CallLog[[#This Row],[Time]]</f>
        <v>44252.522002314814</v>
      </c>
      <c r="F3183" s="1" t="str">
        <f>TEXT(CallLog[[#This Row],[Date]],"dddd")</f>
        <v>Thursday</v>
      </c>
      <c r="G3183" s="3">
        <f>HOUR(CallLog[[#This Row],[Time]])</f>
        <v>12</v>
      </c>
      <c r="H3183" t="s">
        <v>29</v>
      </c>
      <c r="I3183" t="s">
        <v>14</v>
      </c>
      <c r="J3183" t="s">
        <v>18</v>
      </c>
      <c r="K3183">
        <v>98</v>
      </c>
      <c r="L3183" t="str">
        <f>IF(AND(CallLog[[#This Row],[Answered (Y/N)]]="Y", CallLog[[#This Row],[Speed of answer in seconds]]&lt;=20),
    "Within",
    "Breach")</f>
        <v>Breach</v>
      </c>
      <c r="M3183" s="1">
        <v>3.5995370370370369E-3</v>
      </c>
      <c r="N3183">
        <v>4</v>
      </c>
    </row>
    <row r="3184" spans="1:14" x14ac:dyDescent="0.3">
      <c r="A3184" t="s">
        <v>3263</v>
      </c>
      <c r="B3184" t="s">
        <v>47</v>
      </c>
      <c r="C3184" t="s">
        <v>3233</v>
      </c>
      <c r="D3184" s="1">
        <v>0.52400462962962968</v>
      </c>
      <c r="E3184" s="2">
        <f>CallLog[[#This Row],[Date]]+CallLog[[#This Row],[Time]]</f>
        <v>44252.524004629631</v>
      </c>
      <c r="F3184" s="1" t="str">
        <f>TEXT(CallLog[[#This Row],[Date]],"dddd")</f>
        <v>Thursday</v>
      </c>
      <c r="G3184" s="3">
        <f>HOUR(CallLog[[#This Row],[Time]])</f>
        <v>12</v>
      </c>
      <c r="H3184" t="s">
        <v>17</v>
      </c>
      <c r="I3184" t="s">
        <v>14</v>
      </c>
      <c r="J3184" t="s">
        <v>14</v>
      </c>
      <c r="K3184">
        <v>81</v>
      </c>
      <c r="L3184" t="str">
        <f>IF(AND(CallLog[[#This Row],[Answered (Y/N)]]="Y", CallLog[[#This Row],[Speed of answer in seconds]]&lt;=20),
    "Within",
    "Breach")</f>
        <v>Breach</v>
      </c>
      <c r="M3184" s="1">
        <v>1.4583333333333334E-3</v>
      </c>
      <c r="N3184">
        <v>1</v>
      </c>
    </row>
    <row r="3185" spans="1:14" x14ac:dyDescent="0.3">
      <c r="A3185" t="s">
        <v>3264</v>
      </c>
      <c r="B3185" t="s">
        <v>47</v>
      </c>
      <c r="C3185" t="s">
        <v>3233</v>
      </c>
      <c r="D3185" s="1">
        <v>0.52400462962962968</v>
      </c>
      <c r="E3185" s="2">
        <f>CallLog[[#This Row],[Date]]+CallLog[[#This Row],[Time]]</f>
        <v>44252.524004629631</v>
      </c>
      <c r="F3185" s="1" t="str">
        <f>TEXT(CallLog[[#This Row],[Date]],"dddd")</f>
        <v>Thursday</v>
      </c>
      <c r="G3185" s="3">
        <f>HOUR(CallLog[[#This Row],[Time]])</f>
        <v>12</v>
      </c>
      <c r="H3185" t="s">
        <v>24</v>
      </c>
      <c r="I3185" t="s">
        <v>14</v>
      </c>
      <c r="J3185" t="s">
        <v>14</v>
      </c>
      <c r="K3185">
        <v>52</v>
      </c>
      <c r="L3185" t="str">
        <f>IF(AND(CallLog[[#This Row],[Answered (Y/N)]]="Y", CallLog[[#This Row],[Speed of answer in seconds]]&lt;=20),
    "Within",
    "Breach")</f>
        <v>Breach</v>
      </c>
      <c r="M3185" s="1">
        <v>4.8032407407407407E-3</v>
      </c>
      <c r="N3185">
        <v>4</v>
      </c>
    </row>
    <row r="3186" spans="1:14" x14ac:dyDescent="0.3">
      <c r="A3186" t="s">
        <v>3265</v>
      </c>
      <c r="B3186" t="s">
        <v>20</v>
      </c>
      <c r="C3186" t="s">
        <v>3233</v>
      </c>
      <c r="D3186" s="1">
        <v>0.52400462962962968</v>
      </c>
      <c r="E3186" s="2">
        <f>CallLog[[#This Row],[Date]]+CallLog[[#This Row],[Time]]</f>
        <v>44252.524004629631</v>
      </c>
      <c r="F3186" s="1" t="str">
        <f>TEXT(CallLog[[#This Row],[Date]],"dddd")</f>
        <v>Thursday</v>
      </c>
      <c r="G3186" s="3">
        <f>HOUR(CallLog[[#This Row],[Time]])</f>
        <v>12</v>
      </c>
      <c r="H3186" t="s">
        <v>24</v>
      </c>
      <c r="I3186" t="s">
        <v>14</v>
      </c>
      <c r="J3186" t="s">
        <v>14</v>
      </c>
      <c r="K3186">
        <v>93</v>
      </c>
      <c r="L3186" t="str">
        <f>IF(AND(CallLog[[#This Row],[Answered (Y/N)]]="Y", CallLog[[#This Row],[Speed of answer in seconds]]&lt;=20),
    "Within",
    "Breach")</f>
        <v>Breach</v>
      </c>
      <c r="M3186" s="1">
        <v>4.1898148148148146E-3</v>
      </c>
      <c r="N3186">
        <v>1</v>
      </c>
    </row>
    <row r="3187" spans="1:14" x14ac:dyDescent="0.3">
      <c r="A3187" t="s">
        <v>3266</v>
      </c>
      <c r="B3187" t="s">
        <v>31</v>
      </c>
      <c r="C3187" t="s">
        <v>3233</v>
      </c>
      <c r="D3187" s="1">
        <v>0.52400462962962968</v>
      </c>
      <c r="E3187" s="2">
        <f>CallLog[[#This Row],[Date]]+CallLog[[#This Row],[Time]]</f>
        <v>44252.524004629631</v>
      </c>
      <c r="F3187" s="1" t="str">
        <f>TEXT(CallLog[[#This Row],[Date]],"dddd")</f>
        <v>Thursday</v>
      </c>
      <c r="G3187" s="3">
        <f>HOUR(CallLog[[#This Row],[Time]])</f>
        <v>12</v>
      </c>
      <c r="H3187" t="s">
        <v>24</v>
      </c>
      <c r="I3187" t="s">
        <v>14</v>
      </c>
      <c r="J3187" t="s">
        <v>14</v>
      </c>
      <c r="K3187">
        <v>17</v>
      </c>
      <c r="L3187" t="str">
        <f>IF(AND(CallLog[[#This Row],[Answered (Y/N)]]="Y", CallLog[[#This Row],[Speed of answer in seconds]]&lt;=20),
    "Within",
    "Breach")</f>
        <v>Within</v>
      </c>
      <c r="M3187" s="1">
        <v>3.5532407407407409E-3</v>
      </c>
      <c r="N3187">
        <v>4</v>
      </c>
    </row>
    <row r="3188" spans="1:14" x14ac:dyDescent="0.3">
      <c r="A3188" t="s">
        <v>3267</v>
      </c>
      <c r="B3188" t="s">
        <v>47</v>
      </c>
      <c r="C3188" t="s">
        <v>3233</v>
      </c>
      <c r="D3188" s="1">
        <v>0.54200231481481487</v>
      </c>
      <c r="E3188" s="2">
        <f>CallLog[[#This Row],[Date]]+CallLog[[#This Row],[Time]]</f>
        <v>44252.542002314818</v>
      </c>
      <c r="F3188" s="1" t="str">
        <f>TEXT(CallLog[[#This Row],[Date]],"dddd")</f>
        <v>Thursday</v>
      </c>
      <c r="G3188" s="3">
        <f>HOUR(CallLog[[#This Row],[Time]])</f>
        <v>13</v>
      </c>
      <c r="H3188" t="s">
        <v>17</v>
      </c>
      <c r="I3188" t="s">
        <v>14</v>
      </c>
      <c r="J3188" t="s">
        <v>14</v>
      </c>
      <c r="K3188">
        <v>91</v>
      </c>
      <c r="L3188" t="str">
        <f>IF(AND(CallLog[[#This Row],[Answered (Y/N)]]="Y", CallLog[[#This Row],[Speed of answer in seconds]]&lt;=20),
    "Within",
    "Breach")</f>
        <v>Breach</v>
      </c>
      <c r="M3188" s="1">
        <v>1.1342592592592593E-3</v>
      </c>
      <c r="N3188">
        <v>4</v>
      </c>
    </row>
    <row r="3189" spans="1:14" x14ac:dyDescent="0.3">
      <c r="A3189" t="s">
        <v>3268</v>
      </c>
      <c r="B3189" t="s">
        <v>47</v>
      </c>
      <c r="C3189" t="s">
        <v>3233</v>
      </c>
      <c r="D3189" s="1">
        <v>0.54200231481481487</v>
      </c>
      <c r="E3189" s="2">
        <f>CallLog[[#This Row],[Date]]+CallLog[[#This Row],[Time]]</f>
        <v>44252.542002314818</v>
      </c>
      <c r="F3189" s="1" t="str">
        <f>TEXT(CallLog[[#This Row],[Date]],"dddd")</f>
        <v>Thursday</v>
      </c>
      <c r="G3189" s="3">
        <f>HOUR(CallLog[[#This Row],[Time]])</f>
        <v>13</v>
      </c>
      <c r="H3189" t="s">
        <v>32</v>
      </c>
      <c r="I3189" t="s">
        <v>14</v>
      </c>
      <c r="J3189" t="s">
        <v>14</v>
      </c>
      <c r="K3189">
        <v>20</v>
      </c>
      <c r="L3189" t="str">
        <f>IF(AND(CallLog[[#This Row],[Answered (Y/N)]]="Y", CallLog[[#This Row],[Speed of answer in seconds]]&lt;=20),
    "Within",
    "Breach")</f>
        <v>Within</v>
      </c>
      <c r="M3189" s="1">
        <v>1.6550925925925926E-3</v>
      </c>
      <c r="N3189">
        <v>5</v>
      </c>
    </row>
    <row r="3190" spans="1:14" x14ac:dyDescent="0.3">
      <c r="A3190" t="s">
        <v>3269</v>
      </c>
      <c r="B3190" t="s">
        <v>11</v>
      </c>
      <c r="C3190" t="s">
        <v>3233</v>
      </c>
      <c r="D3190" s="1">
        <v>0.59099537037037042</v>
      </c>
      <c r="E3190" s="2">
        <f>CallLog[[#This Row],[Date]]+CallLog[[#This Row],[Time]]</f>
        <v>44252.590995370374</v>
      </c>
      <c r="F3190" s="1" t="str">
        <f>TEXT(CallLog[[#This Row],[Date]],"dddd")</f>
        <v>Thursday</v>
      </c>
      <c r="G3190" s="3">
        <f>HOUR(CallLog[[#This Row],[Time]])</f>
        <v>14</v>
      </c>
      <c r="H3190" t="s">
        <v>13</v>
      </c>
      <c r="I3190" t="s">
        <v>18</v>
      </c>
      <c r="J3190" t="s">
        <v>18</v>
      </c>
      <c r="L3190" t="str">
        <f>IF(AND(CallLog[[#This Row],[Answered (Y/N)]]="Y", CallLog[[#This Row],[Speed of answer in seconds]]&lt;=20),
    "Within",
    "Breach")</f>
        <v>Breach</v>
      </c>
    </row>
    <row r="3191" spans="1:14" x14ac:dyDescent="0.3">
      <c r="A3191" t="s">
        <v>3270</v>
      </c>
      <c r="B3191" t="s">
        <v>34</v>
      </c>
      <c r="C3191" t="s">
        <v>3233</v>
      </c>
      <c r="D3191" s="1">
        <v>0.59099537037037042</v>
      </c>
      <c r="E3191" s="2">
        <f>CallLog[[#This Row],[Date]]+CallLog[[#This Row],[Time]]</f>
        <v>44252.590995370374</v>
      </c>
      <c r="F3191" s="1" t="str">
        <f>TEXT(CallLog[[#This Row],[Date]],"dddd")</f>
        <v>Thursday</v>
      </c>
      <c r="G3191" s="3">
        <f>HOUR(CallLog[[#This Row],[Time]])</f>
        <v>14</v>
      </c>
      <c r="H3191" t="s">
        <v>24</v>
      </c>
      <c r="I3191" t="s">
        <v>14</v>
      </c>
      <c r="J3191" t="s">
        <v>14</v>
      </c>
      <c r="K3191">
        <v>125</v>
      </c>
      <c r="L3191" t="str">
        <f>IF(AND(CallLog[[#This Row],[Answered (Y/N)]]="Y", CallLog[[#This Row],[Speed of answer in seconds]]&lt;=20),
    "Within",
    "Breach")</f>
        <v>Breach</v>
      </c>
      <c r="M3191" s="1">
        <v>4.363425925925926E-3</v>
      </c>
      <c r="N3191">
        <v>4</v>
      </c>
    </row>
    <row r="3192" spans="1:14" x14ac:dyDescent="0.3">
      <c r="A3192" t="s">
        <v>3271</v>
      </c>
      <c r="B3192" t="s">
        <v>38</v>
      </c>
      <c r="C3192" t="s">
        <v>3233</v>
      </c>
      <c r="D3192" s="1">
        <v>0.62299768518518517</v>
      </c>
      <c r="E3192" s="2">
        <f>CallLog[[#This Row],[Date]]+CallLog[[#This Row],[Time]]</f>
        <v>44252.622997685183</v>
      </c>
      <c r="F3192" s="1" t="str">
        <f>TEXT(CallLog[[#This Row],[Date]],"dddd")</f>
        <v>Thursday</v>
      </c>
      <c r="G3192" s="3">
        <f>HOUR(CallLog[[#This Row],[Time]])</f>
        <v>14</v>
      </c>
      <c r="H3192" t="s">
        <v>24</v>
      </c>
      <c r="I3192" t="s">
        <v>14</v>
      </c>
      <c r="J3192" t="s">
        <v>14</v>
      </c>
      <c r="K3192">
        <v>46</v>
      </c>
      <c r="L3192" t="str">
        <f>IF(AND(CallLog[[#This Row],[Answered (Y/N)]]="Y", CallLog[[#This Row],[Speed of answer in seconds]]&lt;=20),
    "Within",
    "Breach")</f>
        <v>Breach</v>
      </c>
      <c r="M3192" s="1">
        <v>2.1527777777777778E-3</v>
      </c>
      <c r="N3192">
        <v>2</v>
      </c>
    </row>
    <row r="3193" spans="1:14" x14ac:dyDescent="0.3">
      <c r="A3193" t="s">
        <v>3272</v>
      </c>
      <c r="B3193" t="s">
        <v>11</v>
      </c>
      <c r="C3193" t="s">
        <v>3233</v>
      </c>
      <c r="D3193" s="1">
        <v>0.62299768518518517</v>
      </c>
      <c r="E3193" s="2">
        <f>CallLog[[#This Row],[Date]]+CallLog[[#This Row],[Time]]</f>
        <v>44252.622997685183</v>
      </c>
      <c r="F3193" s="1" t="str">
        <f>TEXT(CallLog[[#This Row],[Date]],"dddd")</f>
        <v>Thursday</v>
      </c>
      <c r="G3193" s="3">
        <f>HOUR(CallLog[[#This Row],[Time]])</f>
        <v>14</v>
      </c>
      <c r="H3193" t="s">
        <v>13</v>
      </c>
      <c r="I3193" t="s">
        <v>14</v>
      </c>
      <c r="J3193" t="s">
        <v>14</v>
      </c>
      <c r="K3193">
        <v>124</v>
      </c>
      <c r="L3193" t="str">
        <f>IF(AND(CallLog[[#This Row],[Answered (Y/N)]]="Y", CallLog[[#This Row],[Speed of answer in seconds]]&lt;=20),
    "Within",
    "Breach")</f>
        <v>Breach</v>
      </c>
      <c r="M3193" s="1">
        <v>3.8078703703703703E-3</v>
      </c>
      <c r="N3193">
        <v>3</v>
      </c>
    </row>
    <row r="3194" spans="1:14" x14ac:dyDescent="0.3">
      <c r="A3194" t="s">
        <v>3273</v>
      </c>
      <c r="B3194" t="s">
        <v>47</v>
      </c>
      <c r="C3194" t="s">
        <v>3233</v>
      </c>
      <c r="D3194" s="1">
        <v>0.63500000000000001</v>
      </c>
      <c r="E3194" s="2">
        <f>CallLog[[#This Row],[Date]]+CallLog[[#This Row],[Time]]</f>
        <v>44252.635000000002</v>
      </c>
      <c r="F3194" s="1" t="str">
        <f>TEXT(CallLog[[#This Row],[Date]],"dddd")</f>
        <v>Thursday</v>
      </c>
      <c r="G3194" s="3">
        <f>HOUR(CallLog[[#This Row],[Time]])</f>
        <v>15</v>
      </c>
      <c r="H3194" t="s">
        <v>17</v>
      </c>
      <c r="I3194" t="s">
        <v>14</v>
      </c>
      <c r="J3194" t="s">
        <v>14</v>
      </c>
      <c r="K3194">
        <v>29</v>
      </c>
      <c r="L3194" t="str">
        <f>IF(AND(CallLog[[#This Row],[Answered (Y/N)]]="Y", CallLog[[#This Row],[Speed of answer in seconds]]&lt;=20),
    "Within",
    "Breach")</f>
        <v>Breach</v>
      </c>
      <c r="M3194" s="1">
        <v>2.8356481481481483E-3</v>
      </c>
      <c r="N3194">
        <v>3</v>
      </c>
    </row>
    <row r="3195" spans="1:14" x14ac:dyDescent="0.3">
      <c r="A3195" t="s">
        <v>3274</v>
      </c>
      <c r="B3195" t="s">
        <v>34</v>
      </c>
      <c r="C3195" t="s">
        <v>3233</v>
      </c>
      <c r="D3195" s="1">
        <v>0.63500000000000001</v>
      </c>
      <c r="E3195" s="2">
        <f>CallLog[[#This Row],[Date]]+CallLog[[#This Row],[Time]]</f>
        <v>44252.635000000002</v>
      </c>
      <c r="F3195" s="1" t="str">
        <f>TEXT(CallLog[[#This Row],[Date]],"dddd")</f>
        <v>Thursday</v>
      </c>
      <c r="G3195" s="3">
        <f>HOUR(CallLog[[#This Row],[Time]])</f>
        <v>15</v>
      </c>
      <c r="H3195" t="s">
        <v>32</v>
      </c>
      <c r="I3195" t="s">
        <v>14</v>
      </c>
      <c r="J3195" t="s">
        <v>18</v>
      </c>
      <c r="K3195">
        <v>75</v>
      </c>
      <c r="L3195" t="str">
        <f>IF(AND(CallLog[[#This Row],[Answered (Y/N)]]="Y", CallLog[[#This Row],[Speed of answer in seconds]]&lt;=20),
    "Within",
    "Breach")</f>
        <v>Breach</v>
      </c>
      <c r="M3195" s="1">
        <v>3.2060185185185186E-3</v>
      </c>
      <c r="N3195">
        <v>3</v>
      </c>
    </row>
    <row r="3196" spans="1:14" x14ac:dyDescent="0.3">
      <c r="A3196" t="s">
        <v>3275</v>
      </c>
      <c r="B3196" t="s">
        <v>38</v>
      </c>
      <c r="C3196" t="s">
        <v>3233</v>
      </c>
      <c r="D3196" s="1">
        <v>0.64400462962962968</v>
      </c>
      <c r="E3196" s="2">
        <f>CallLog[[#This Row],[Date]]+CallLog[[#This Row],[Time]]</f>
        <v>44252.644004629627</v>
      </c>
      <c r="F3196" s="1" t="str">
        <f>TEXT(CallLog[[#This Row],[Date]],"dddd")</f>
        <v>Thursday</v>
      </c>
      <c r="G3196" s="3">
        <f>HOUR(CallLog[[#This Row],[Time]])</f>
        <v>15</v>
      </c>
      <c r="H3196" t="s">
        <v>17</v>
      </c>
      <c r="I3196" t="s">
        <v>14</v>
      </c>
      <c r="J3196" t="s">
        <v>14</v>
      </c>
      <c r="K3196">
        <v>57</v>
      </c>
      <c r="L3196" t="str">
        <f>IF(AND(CallLog[[#This Row],[Answered (Y/N)]]="Y", CallLog[[#This Row],[Speed of answer in seconds]]&lt;=20),
    "Within",
    "Breach")</f>
        <v>Breach</v>
      </c>
      <c r="M3196" s="1">
        <v>2.9050925925925928E-3</v>
      </c>
      <c r="N3196">
        <v>4</v>
      </c>
    </row>
    <row r="3197" spans="1:14" x14ac:dyDescent="0.3">
      <c r="A3197" t="s">
        <v>3276</v>
      </c>
      <c r="B3197" t="s">
        <v>47</v>
      </c>
      <c r="C3197" t="s">
        <v>3233</v>
      </c>
      <c r="D3197" s="1">
        <v>0.64400462962962968</v>
      </c>
      <c r="E3197" s="2">
        <f>CallLog[[#This Row],[Date]]+CallLog[[#This Row],[Time]]</f>
        <v>44252.644004629627</v>
      </c>
      <c r="F3197" s="1" t="str">
        <f>TEXT(CallLog[[#This Row],[Date]],"dddd")</f>
        <v>Thursday</v>
      </c>
      <c r="G3197" s="3">
        <f>HOUR(CallLog[[#This Row],[Time]])</f>
        <v>15</v>
      </c>
      <c r="H3197" t="s">
        <v>29</v>
      </c>
      <c r="I3197" t="s">
        <v>18</v>
      </c>
      <c r="J3197" t="s">
        <v>18</v>
      </c>
      <c r="L3197" t="str">
        <f>IF(AND(CallLog[[#This Row],[Answered (Y/N)]]="Y", CallLog[[#This Row],[Speed of answer in seconds]]&lt;=20),
    "Within",
    "Breach")</f>
        <v>Breach</v>
      </c>
    </row>
    <row r="3198" spans="1:14" x14ac:dyDescent="0.3">
      <c r="A3198" t="s">
        <v>3277</v>
      </c>
      <c r="B3198" t="s">
        <v>31</v>
      </c>
      <c r="C3198" t="s">
        <v>3233</v>
      </c>
      <c r="D3198" s="1">
        <v>0.64599537037037036</v>
      </c>
      <c r="E3198" s="2">
        <f>CallLog[[#This Row],[Date]]+CallLog[[#This Row],[Time]]</f>
        <v>44252.645995370367</v>
      </c>
      <c r="F3198" s="1" t="str">
        <f>TEXT(CallLog[[#This Row],[Date]],"dddd")</f>
        <v>Thursday</v>
      </c>
      <c r="G3198" s="3">
        <f>HOUR(CallLog[[#This Row],[Time]])</f>
        <v>15</v>
      </c>
      <c r="H3198" t="s">
        <v>32</v>
      </c>
      <c r="I3198" t="s">
        <v>14</v>
      </c>
      <c r="J3198" t="s">
        <v>14</v>
      </c>
      <c r="K3198">
        <v>106</v>
      </c>
      <c r="L3198" t="str">
        <f>IF(AND(CallLog[[#This Row],[Answered (Y/N)]]="Y", CallLog[[#This Row],[Speed of answer in seconds]]&lt;=20),
    "Within",
    "Breach")</f>
        <v>Breach</v>
      </c>
      <c r="M3198" s="1">
        <v>1.3078703703703703E-3</v>
      </c>
      <c r="N3198">
        <v>4</v>
      </c>
    </row>
    <row r="3199" spans="1:14" x14ac:dyDescent="0.3">
      <c r="A3199" t="s">
        <v>3278</v>
      </c>
      <c r="B3199" t="s">
        <v>31</v>
      </c>
      <c r="C3199" t="s">
        <v>3233</v>
      </c>
      <c r="D3199" s="1">
        <v>0.64599537037037036</v>
      </c>
      <c r="E3199" s="2">
        <f>CallLog[[#This Row],[Date]]+CallLog[[#This Row],[Time]]</f>
        <v>44252.645995370367</v>
      </c>
      <c r="F3199" s="1" t="str">
        <f>TEXT(CallLog[[#This Row],[Date]],"dddd")</f>
        <v>Thursday</v>
      </c>
      <c r="G3199" s="3">
        <f>HOUR(CallLog[[#This Row],[Time]])</f>
        <v>15</v>
      </c>
      <c r="H3199" t="s">
        <v>13</v>
      </c>
      <c r="I3199" t="s">
        <v>14</v>
      </c>
      <c r="J3199" t="s">
        <v>14</v>
      </c>
      <c r="K3199">
        <v>19</v>
      </c>
      <c r="L3199" t="str">
        <f>IF(AND(CallLog[[#This Row],[Answered (Y/N)]]="Y", CallLog[[#This Row],[Speed of answer in seconds]]&lt;=20),
    "Within",
    "Breach")</f>
        <v>Within</v>
      </c>
      <c r="M3199" s="1">
        <v>3.9814814814814817E-3</v>
      </c>
      <c r="N3199">
        <v>3</v>
      </c>
    </row>
    <row r="3200" spans="1:14" x14ac:dyDescent="0.3">
      <c r="A3200" t="s">
        <v>3279</v>
      </c>
      <c r="B3200" t="s">
        <v>31</v>
      </c>
      <c r="C3200" t="s">
        <v>3233</v>
      </c>
      <c r="D3200" s="1">
        <v>0.65400462962962957</v>
      </c>
      <c r="E3200" s="2">
        <f>CallLog[[#This Row],[Date]]+CallLog[[#This Row],[Time]]</f>
        <v>44252.654004629629</v>
      </c>
      <c r="F3200" s="1" t="str">
        <f>TEXT(CallLog[[#This Row],[Date]],"dddd")</f>
        <v>Thursday</v>
      </c>
      <c r="G3200" s="3">
        <f>HOUR(CallLog[[#This Row],[Time]])</f>
        <v>15</v>
      </c>
      <c r="H3200" t="s">
        <v>17</v>
      </c>
      <c r="I3200" t="s">
        <v>14</v>
      </c>
      <c r="J3200" t="s">
        <v>14</v>
      </c>
      <c r="K3200">
        <v>94</v>
      </c>
      <c r="L3200" t="str">
        <f>IF(AND(CallLog[[#This Row],[Answered (Y/N)]]="Y", CallLog[[#This Row],[Speed of answer in seconds]]&lt;=20),
    "Within",
    "Breach")</f>
        <v>Breach</v>
      </c>
      <c r="M3200" s="1">
        <v>8.2175925925925927E-4</v>
      </c>
      <c r="N3200">
        <v>4</v>
      </c>
    </row>
    <row r="3201" spans="1:14" x14ac:dyDescent="0.3">
      <c r="A3201" t="s">
        <v>3280</v>
      </c>
      <c r="B3201" t="s">
        <v>20</v>
      </c>
      <c r="C3201" t="s">
        <v>3233</v>
      </c>
      <c r="D3201" s="1">
        <v>0.65400462962962957</v>
      </c>
      <c r="E3201" s="2">
        <f>CallLog[[#This Row],[Date]]+CallLog[[#This Row],[Time]]</f>
        <v>44252.654004629629</v>
      </c>
      <c r="F3201" s="1" t="str">
        <f>TEXT(CallLog[[#This Row],[Date]],"dddd")</f>
        <v>Thursday</v>
      </c>
      <c r="G3201" s="3">
        <f>HOUR(CallLog[[#This Row],[Time]])</f>
        <v>15</v>
      </c>
      <c r="H3201" t="s">
        <v>32</v>
      </c>
      <c r="I3201" t="s">
        <v>18</v>
      </c>
      <c r="J3201" t="s">
        <v>18</v>
      </c>
      <c r="L3201" t="str">
        <f>IF(AND(CallLog[[#This Row],[Answered (Y/N)]]="Y", CallLog[[#This Row],[Speed of answer in seconds]]&lt;=20),
    "Within",
    "Breach")</f>
        <v>Breach</v>
      </c>
    </row>
    <row r="3202" spans="1:14" x14ac:dyDescent="0.3">
      <c r="A3202" t="s">
        <v>3281</v>
      </c>
      <c r="B3202" t="s">
        <v>11</v>
      </c>
      <c r="C3202" t="s">
        <v>3233</v>
      </c>
      <c r="D3202" s="1">
        <v>0.6629976851851852</v>
      </c>
      <c r="E3202" s="2">
        <f>CallLog[[#This Row],[Date]]+CallLog[[#This Row],[Time]]</f>
        <v>44252.662997685184</v>
      </c>
      <c r="F3202" s="1" t="str">
        <f>TEXT(CallLog[[#This Row],[Date]],"dddd")</f>
        <v>Thursday</v>
      </c>
      <c r="G3202" s="3">
        <f>HOUR(CallLog[[#This Row],[Time]])</f>
        <v>15</v>
      </c>
      <c r="H3202" t="s">
        <v>29</v>
      </c>
      <c r="I3202" t="s">
        <v>14</v>
      </c>
      <c r="J3202" t="s">
        <v>14</v>
      </c>
      <c r="K3202">
        <v>28</v>
      </c>
      <c r="L3202" t="str">
        <f>IF(AND(CallLog[[#This Row],[Answered (Y/N)]]="Y", CallLog[[#This Row],[Speed of answer in seconds]]&lt;=20),
    "Within",
    "Breach")</f>
        <v>Breach</v>
      </c>
      <c r="M3202" s="1">
        <v>2.0949074074074073E-3</v>
      </c>
      <c r="N3202">
        <v>3</v>
      </c>
    </row>
    <row r="3203" spans="1:14" x14ac:dyDescent="0.3">
      <c r="A3203" t="s">
        <v>3282</v>
      </c>
      <c r="B3203" t="s">
        <v>11</v>
      </c>
      <c r="C3203" t="s">
        <v>3233</v>
      </c>
      <c r="D3203" s="1">
        <v>0.6629976851851852</v>
      </c>
      <c r="E3203" s="2">
        <f>CallLog[[#This Row],[Date]]+CallLog[[#This Row],[Time]]</f>
        <v>44252.662997685184</v>
      </c>
      <c r="F3203" s="1" t="str">
        <f>TEXT(CallLog[[#This Row],[Date]],"dddd")</f>
        <v>Thursday</v>
      </c>
      <c r="G3203" s="3">
        <f>HOUR(CallLog[[#This Row],[Time]])</f>
        <v>15</v>
      </c>
      <c r="H3203" t="s">
        <v>29</v>
      </c>
      <c r="I3203" t="s">
        <v>14</v>
      </c>
      <c r="J3203" t="s">
        <v>14</v>
      </c>
      <c r="K3203">
        <v>11</v>
      </c>
      <c r="L3203" t="str">
        <f>IF(AND(CallLog[[#This Row],[Answered (Y/N)]]="Y", CallLog[[#This Row],[Speed of answer in seconds]]&lt;=20),
    "Within",
    "Breach")</f>
        <v>Within</v>
      </c>
      <c r="M3203" s="1">
        <v>1.6203703703703703E-3</v>
      </c>
      <c r="N3203">
        <v>4</v>
      </c>
    </row>
    <row r="3204" spans="1:14" x14ac:dyDescent="0.3">
      <c r="A3204" t="s">
        <v>3283</v>
      </c>
      <c r="B3204" t="s">
        <v>20</v>
      </c>
      <c r="C3204" t="s">
        <v>3233</v>
      </c>
      <c r="D3204" s="1">
        <v>0.67</v>
      </c>
      <c r="E3204" s="2">
        <f>CallLog[[#This Row],[Date]]+CallLog[[#This Row],[Time]]</f>
        <v>44252.67</v>
      </c>
      <c r="F3204" s="1" t="str">
        <f>TEXT(CallLog[[#This Row],[Date]],"dddd")</f>
        <v>Thursday</v>
      </c>
      <c r="G3204" s="3">
        <f>HOUR(CallLog[[#This Row],[Time]])</f>
        <v>16</v>
      </c>
      <c r="H3204" t="s">
        <v>29</v>
      </c>
      <c r="I3204" t="s">
        <v>14</v>
      </c>
      <c r="J3204" t="s">
        <v>14</v>
      </c>
      <c r="K3204">
        <v>68</v>
      </c>
      <c r="L3204" t="str">
        <f>IF(AND(CallLog[[#This Row],[Answered (Y/N)]]="Y", CallLog[[#This Row],[Speed of answer in seconds]]&lt;=20),
    "Within",
    "Breach")</f>
        <v>Breach</v>
      </c>
      <c r="M3204" s="1">
        <v>3.3680555555555556E-3</v>
      </c>
      <c r="N3204">
        <v>5</v>
      </c>
    </row>
    <row r="3205" spans="1:14" x14ac:dyDescent="0.3">
      <c r="A3205" t="s">
        <v>3284</v>
      </c>
      <c r="B3205" t="s">
        <v>47</v>
      </c>
      <c r="C3205" t="s">
        <v>3233</v>
      </c>
      <c r="D3205" s="1">
        <v>0.67</v>
      </c>
      <c r="E3205" s="2">
        <f>CallLog[[#This Row],[Date]]+CallLog[[#This Row],[Time]]</f>
        <v>44252.67</v>
      </c>
      <c r="F3205" s="1" t="str">
        <f>TEXT(CallLog[[#This Row],[Date]],"dddd")</f>
        <v>Thursday</v>
      </c>
      <c r="G3205" s="3">
        <f>HOUR(CallLog[[#This Row],[Time]])</f>
        <v>16</v>
      </c>
      <c r="H3205" t="s">
        <v>13</v>
      </c>
      <c r="I3205" t="s">
        <v>14</v>
      </c>
      <c r="J3205" t="s">
        <v>14</v>
      </c>
      <c r="K3205">
        <v>103</v>
      </c>
      <c r="L3205" t="str">
        <f>IF(AND(CallLog[[#This Row],[Answered (Y/N)]]="Y", CallLog[[#This Row],[Speed of answer in seconds]]&lt;=20),
    "Within",
    "Breach")</f>
        <v>Breach</v>
      </c>
      <c r="M3205" s="1">
        <v>3.2638888888888891E-3</v>
      </c>
      <c r="N3205">
        <v>5</v>
      </c>
    </row>
    <row r="3206" spans="1:14" x14ac:dyDescent="0.3">
      <c r="A3206" t="s">
        <v>3285</v>
      </c>
      <c r="B3206" t="s">
        <v>20</v>
      </c>
      <c r="C3206" t="s">
        <v>3233</v>
      </c>
      <c r="D3206" s="1">
        <v>0.68500000000000005</v>
      </c>
      <c r="E3206" s="2">
        <f>CallLog[[#This Row],[Date]]+CallLog[[#This Row],[Time]]</f>
        <v>44252.684999999998</v>
      </c>
      <c r="F3206" s="1" t="str">
        <f>TEXT(CallLog[[#This Row],[Date]],"dddd")</f>
        <v>Thursday</v>
      </c>
      <c r="G3206" s="3">
        <f>HOUR(CallLog[[#This Row],[Time]])</f>
        <v>16</v>
      </c>
      <c r="H3206" t="s">
        <v>32</v>
      </c>
      <c r="I3206" t="s">
        <v>14</v>
      </c>
      <c r="J3206" t="s">
        <v>14</v>
      </c>
      <c r="K3206">
        <v>28</v>
      </c>
      <c r="L3206" t="str">
        <f>IF(AND(CallLog[[#This Row],[Answered (Y/N)]]="Y", CallLog[[#This Row],[Speed of answer in seconds]]&lt;=20),
    "Within",
    "Breach")</f>
        <v>Breach</v>
      </c>
      <c r="M3206" s="1">
        <v>4.2361111111111115E-3</v>
      </c>
      <c r="N3206">
        <v>2</v>
      </c>
    </row>
    <row r="3207" spans="1:14" x14ac:dyDescent="0.3">
      <c r="A3207" t="s">
        <v>3286</v>
      </c>
      <c r="B3207" t="s">
        <v>38</v>
      </c>
      <c r="C3207" t="s">
        <v>3233</v>
      </c>
      <c r="D3207" s="1">
        <v>0.68500000000000005</v>
      </c>
      <c r="E3207" s="2">
        <f>CallLog[[#This Row],[Date]]+CallLog[[#This Row],[Time]]</f>
        <v>44252.684999999998</v>
      </c>
      <c r="F3207" s="1" t="str">
        <f>TEXT(CallLog[[#This Row],[Date]],"dddd")</f>
        <v>Thursday</v>
      </c>
      <c r="G3207" s="3">
        <f>HOUR(CallLog[[#This Row],[Time]])</f>
        <v>16</v>
      </c>
      <c r="H3207" t="s">
        <v>17</v>
      </c>
      <c r="I3207" t="s">
        <v>14</v>
      </c>
      <c r="J3207" t="s">
        <v>14</v>
      </c>
      <c r="K3207">
        <v>36</v>
      </c>
      <c r="L3207" t="str">
        <f>IF(AND(CallLog[[#This Row],[Answered (Y/N)]]="Y", CallLog[[#This Row],[Speed of answer in seconds]]&lt;=20),
    "Within",
    "Breach")</f>
        <v>Breach</v>
      </c>
      <c r="M3207" s="1">
        <v>2.8819444444444444E-3</v>
      </c>
      <c r="N3207">
        <v>5</v>
      </c>
    </row>
    <row r="3208" spans="1:14" x14ac:dyDescent="0.3">
      <c r="A3208" t="s">
        <v>3287</v>
      </c>
      <c r="B3208" t="s">
        <v>47</v>
      </c>
      <c r="C3208" t="s">
        <v>3233</v>
      </c>
      <c r="D3208" s="1">
        <v>0.69499999999999995</v>
      </c>
      <c r="E3208" s="2">
        <f>CallLog[[#This Row],[Date]]+CallLog[[#This Row],[Time]]</f>
        <v>44252.695</v>
      </c>
      <c r="F3208" s="1" t="str">
        <f>TEXT(CallLog[[#This Row],[Date]],"dddd")</f>
        <v>Thursday</v>
      </c>
      <c r="G3208" s="3">
        <f>HOUR(CallLog[[#This Row],[Time]])</f>
        <v>16</v>
      </c>
      <c r="H3208" t="s">
        <v>17</v>
      </c>
      <c r="I3208" t="s">
        <v>14</v>
      </c>
      <c r="J3208" t="s">
        <v>14</v>
      </c>
      <c r="K3208">
        <v>63</v>
      </c>
      <c r="L3208" t="str">
        <f>IF(AND(CallLog[[#This Row],[Answered (Y/N)]]="Y", CallLog[[#This Row],[Speed of answer in seconds]]&lt;=20),
    "Within",
    "Breach")</f>
        <v>Breach</v>
      </c>
      <c r="M3208" s="1">
        <v>3.9236111111111112E-3</v>
      </c>
      <c r="N3208">
        <v>5</v>
      </c>
    </row>
    <row r="3209" spans="1:14" x14ac:dyDescent="0.3">
      <c r="A3209" t="s">
        <v>3288</v>
      </c>
      <c r="B3209" t="s">
        <v>47</v>
      </c>
      <c r="C3209" t="s">
        <v>3233</v>
      </c>
      <c r="D3209" s="1">
        <v>0.69499999999999995</v>
      </c>
      <c r="E3209" s="2">
        <f>CallLog[[#This Row],[Date]]+CallLog[[#This Row],[Time]]</f>
        <v>44252.695</v>
      </c>
      <c r="F3209" s="1" t="str">
        <f>TEXT(CallLog[[#This Row],[Date]],"dddd")</f>
        <v>Thursday</v>
      </c>
      <c r="G3209" s="3">
        <f>HOUR(CallLog[[#This Row],[Time]])</f>
        <v>16</v>
      </c>
      <c r="H3209" t="s">
        <v>13</v>
      </c>
      <c r="I3209" t="s">
        <v>14</v>
      </c>
      <c r="J3209" t="s">
        <v>14</v>
      </c>
      <c r="K3209">
        <v>14</v>
      </c>
      <c r="L3209" t="str">
        <f>IF(AND(CallLog[[#This Row],[Answered (Y/N)]]="Y", CallLog[[#This Row],[Speed of answer in seconds]]&lt;=20),
    "Within",
    "Breach")</f>
        <v>Within</v>
      </c>
      <c r="M3209" s="1">
        <v>4.1666666666666669E-4</v>
      </c>
      <c r="N3209">
        <v>5</v>
      </c>
    </row>
    <row r="3210" spans="1:14" x14ac:dyDescent="0.3">
      <c r="A3210" t="s">
        <v>3289</v>
      </c>
      <c r="B3210" t="s">
        <v>47</v>
      </c>
      <c r="C3210" t="s">
        <v>3233</v>
      </c>
      <c r="D3210" s="1">
        <v>0.71299768518518514</v>
      </c>
      <c r="E3210" s="2">
        <f>CallLog[[#This Row],[Date]]+CallLog[[#This Row],[Time]]</f>
        <v>44252.712997685187</v>
      </c>
      <c r="F3210" s="1" t="str">
        <f>TEXT(CallLog[[#This Row],[Date]],"dddd")</f>
        <v>Thursday</v>
      </c>
      <c r="G3210" s="3">
        <f>HOUR(CallLog[[#This Row],[Time]])</f>
        <v>17</v>
      </c>
      <c r="H3210" t="s">
        <v>32</v>
      </c>
      <c r="I3210" t="s">
        <v>14</v>
      </c>
      <c r="J3210" t="s">
        <v>14</v>
      </c>
      <c r="K3210">
        <v>82</v>
      </c>
      <c r="L3210" t="str">
        <f>IF(AND(CallLog[[#This Row],[Answered (Y/N)]]="Y", CallLog[[#This Row],[Speed of answer in seconds]]&lt;=20),
    "Within",
    "Breach")</f>
        <v>Breach</v>
      </c>
      <c r="M3210" s="1">
        <v>3.6458333333333334E-3</v>
      </c>
      <c r="N3210">
        <v>1</v>
      </c>
    </row>
    <row r="3211" spans="1:14" x14ac:dyDescent="0.3">
      <c r="A3211" t="s">
        <v>3290</v>
      </c>
      <c r="B3211" t="s">
        <v>11</v>
      </c>
      <c r="C3211" t="s">
        <v>3233</v>
      </c>
      <c r="D3211" s="1">
        <v>0.71299768518518514</v>
      </c>
      <c r="E3211" s="2">
        <f>CallLog[[#This Row],[Date]]+CallLog[[#This Row],[Time]]</f>
        <v>44252.712997685187</v>
      </c>
      <c r="F3211" s="1" t="str">
        <f>TEXT(CallLog[[#This Row],[Date]],"dddd")</f>
        <v>Thursday</v>
      </c>
      <c r="G3211" s="3">
        <f>HOUR(CallLog[[#This Row],[Time]])</f>
        <v>17</v>
      </c>
      <c r="H3211" t="s">
        <v>24</v>
      </c>
      <c r="I3211" t="s">
        <v>18</v>
      </c>
      <c r="J3211" t="s">
        <v>18</v>
      </c>
      <c r="L3211" t="str">
        <f>IF(AND(CallLog[[#This Row],[Answered (Y/N)]]="Y", CallLog[[#This Row],[Speed of answer in seconds]]&lt;=20),
    "Within",
    "Breach")</f>
        <v>Breach</v>
      </c>
    </row>
    <row r="3212" spans="1:14" x14ac:dyDescent="0.3">
      <c r="A3212" t="s">
        <v>3291</v>
      </c>
      <c r="B3212" t="s">
        <v>38</v>
      </c>
      <c r="C3212" t="s">
        <v>3233</v>
      </c>
      <c r="D3212" s="1">
        <v>0.71299768518518514</v>
      </c>
      <c r="E3212" s="2">
        <f>CallLog[[#This Row],[Date]]+CallLog[[#This Row],[Time]]</f>
        <v>44252.712997685187</v>
      </c>
      <c r="F3212" s="1" t="str">
        <f>TEXT(CallLog[[#This Row],[Date]],"dddd")</f>
        <v>Thursday</v>
      </c>
      <c r="G3212" s="3">
        <f>HOUR(CallLog[[#This Row],[Time]])</f>
        <v>17</v>
      </c>
      <c r="H3212" t="s">
        <v>29</v>
      </c>
      <c r="I3212" t="s">
        <v>14</v>
      </c>
      <c r="J3212" t="s">
        <v>14</v>
      </c>
      <c r="K3212">
        <v>15</v>
      </c>
      <c r="L3212" t="str">
        <f>IF(AND(CallLog[[#This Row],[Answered (Y/N)]]="Y", CallLog[[#This Row],[Speed of answer in seconds]]&lt;=20),
    "Within",
    "Breach")</f>
        <v>Within</v>
      </c>
      <c r="M3212" s="1">
        <v>3.9699074074074072E-3</v>
      </c>
      <c r="N3212">
        <v>3</v>
      </c>
    </row>
    <row r="3213" spans="1:14" x14ac:dyDescent="0.3">
      <c r="A3213" t="s">
        <v>3292</v>
      </c>
      <c r="B3213" t="s">
        <v>11</v>
      </c>
      <c r="C3213" t="s">
        <v>3233</v>
      </c>
      <c r="D3213" s="1">
        <v>0.71299768518518514</v>
      </c>
      <c r="E3213" s="2">
        <f>CallLog[[#This Row],[Date]]+CallLog[[#This Row],[Time]]</f>
        <v>44252.712997685187</v>
      </c>
      <c r="F3213" s="1" t="str">
        <f>TEXT(CallLog[[#This Row],[Date]],"dddd")</f>
        <v>Thursday</v>
      </c>
      <c r="G3213" s="3">
        <f>HOUR(CallLog[[#This Row],[Time]])</f>
        <v>17</v>
      </c>
      <c r="H3213" t="s">
        <v>29</v>
      </c>
      <c r="I3213" t="s">
        <v>14</v>
      </c>
      <c r="J3213" t="s">
        <v>14</v>
      </c>
      <c r="K3213">
        <v>85</v>
      </c>
      <c r="L3213" t="str">
        <f>IF(AND(CallLog[[#This Row],[Answered (Y/N)]]="Y", CallLog[[#This Row],[Speed of answer in seconds]]&lt;=20),
    "Within",
    "Breach")</f>
        <v>Breach</v>
      </c>
      <c r="M3213" s="1">
        <v>2.9861111111111113E-3</v>
      </c>
      <c r="N3213">
        <v>3</v>
      </c>
    </row>
    <row r="3214" spans="1:14" x14ac:dyDescent="0.3">
      <c r="A3214" t="s">
        <v>3293</v>
      </c>
      <c r="B3214" t="s">
        <v>16</v>
      </c>
      <c r="C3214" t="s">
        <v>3233</v>
      </c>
      <c r="D3214" s="1">
        <v>0.72499999999999998</v>
      </c>
      <c r="E3214" s="2">
        <f>CallLog[[#This Row],[Date]]+CallLog[[#This Row],[Time]]</f>
        <v>44252.724999999999</v>
      </c>
      <c r="F3214" s="1" t="str">
        <f>TEXT(CallLog[[#This Row],[Date]],"dddd")</f>
        <v>Thursday</v>
      </c>
      <c r="G3214" s="3">
        <f>HOUR(CallLog[[#This Row],[Time]])</f>
        <v>17</v>
      </c>
      <c r="H3214" t="s">
        <v>29</v>
      </c>
      <c r="I3214" t="s">
        <v>18</v>
      </c>
      <c r="J3214" t="s">
        <v>18</v>
      </c>
      <c r="L3214" t="str">
        <f>IF(AND(CallLog[[#This Row],[Answered (Y/N)]]="Y", CallLog[[#This Row],[Speed of answer in seconds]]&lt;=20),
    "Within",
    "Breach")</f>
        <v>Breach</v>
      </c>
    </row>
    <row r="3215" spans="1:14" x14ac:dyDescent="0.3">
      <c r="A3215" t="s">
        <v>3294</v>
      </c>
      <c r="B3215" t="s">
        <v>22</v>
      </c>
      <c r="C3215" t="s">
        <v>3233</v>
      </c>
      <c r="D3215" s="1">
        <v>0.72499999999999998</v>
      </c>
      <c r="E3215" s="2">
        <f>CallLog[[#This Row],[Date]]+CallLog[[#This Row],[Time]]</f>
        <v>44252.724999999999</v>
      </c>
      <c r="F3215" s="1" t="str">
        <f>TEXT(CallLog[[#This Row],[Date]],"dddd")</f>
        <v>Thursday</v>
      </c>
      <c r="G3215" s="3">
        <f>HOUR(CallLog[[#This Row],[Time]])</f>
        <v>17</v>
      </c>
      <c r="H3215" t="s">
        <v>24</v>
      </c>
      <c r="I3215" t="s">
        <v>14</v>
      </c>
      <c r="J3215" t="s">
        <v>14</v>
      </c>
      <c r="K3215">
        <v>108</v>
      </c>
      <c r="L3215" t="str">
        <f>IF(AND(CallLog[[#This Row],[Answered (Y/N)]]="Y", CallLog[[#This Row],[Speed of answer in seconds]]&lt;=20),
    "Within",
    "Breach")</f>
        <v>Breach</v>
      </c>
      <c r="M3215" s="1">
        <v>1.5277777777777779E-3</v>
      </c>
      <c r="N3215">
        <v>5</v>
      </c>
    </row>
    <row r="3216" spans="1:14" x14ac:dyDescent="0.3">
      <c r="A3216" t="s">
        <v>3295</v>
      </c>
      <c r="B3216" t="s">
        <v>38</v>
      </c>
      <c r="C3216" t="s">
        <v>3233</v>
      </c>
      <c r="D3216" s="1">
        <v>0.74099537037037033</v>
      </c>
      <c r="E3216" s="2">
        <f>CallLog[[#This Row],[Date]]+CallLog[[#This Row],[Time]]</f>
        <v>44252.740995370368</v>
      </c>
      <c r="F3216" s="1" t="str">
        <f>TEXT(CallLog[[#This Row],[Date]],"dddd")</f>
        <v>Thursday</v>
      </c>
      <c r="G3216" s="3">
        <f>HOUR(CallLog[[#This Row],[Time]])</f>
        <v>17</v>
      </c>
      <c r="H3216" t="s">
        <v>32</v>
      </c>
      <c r="I3216" t="s">
        <v>14</v>
      </c>
      <c r="J3216" t="s">
        <v>14</v>
      </c>
      <c r="K3216">
        <v>45</v>
      </c>
      <c r="L3216" t="str">
        <f>IF(AND(CallLog[[#This Row],[Answered (Y/N)]]="Y", CallLog[[#This Row],[Speed of answer in seconds]]&lt;=20),
    "Within",
    "Breach")</f>
        <v>Breach</v>
      </c>
      <c r="M3216" s="1">
        <v>2.0601851851851853E-3</v>
      </c>
      <c r="N3216">
        <v>3</v>
      </c>
    </row>
    <row r="3217" spans="1:14" x14ac:dyDescent="0.3">
      <c r="A3217" t="s">
        <v>3296</v>
      </c>
      <c r="B3217" t="s">
        <v>34</v>
      </c>
      <c r="C3217" t="s">
        <v>3233</v>
      </c>
      <c r="D3217" s="1">
        <v>0.74099537037037033</v>
      </c>
      <c r="E3217" s="2">
        <f>CallLog[[#This Row],[Date]]+CallLog[[#This Row],[Time]]</f>
        <v>44252.740995370368</v>
      </c>
      <c r="F3217" s="1" t="str">
        <f>TEXT(CallLog[[#This Row],[Date]],"dddd")</f>
        <v>Thursday</v>
      </c>
      <c r="G3217" s="3">
        <f>HOUR(CallLog[[#This Row],[Time]])</f>
        <v>17</v>
      </c>
      <c r="H3217" t="s">
        <v>17</v>
      </c>
      <c r="I3217" t="s">
        <v>14</v>
      </c>
      <c r="J3217" t="s">
        <v>14</v>
      </c>
      <c r="K3217">
        <v>24</v>
      </c>
      <c r="L3217" t="str">
        <f>IF(AND(CallLog[[#This Row],[Answered (Y/N)]]="Y", CallLog[[#This Row],[Speed of answer in seconds]]&lt;=20),
    "Within",
    "Breach")</f>
        <v>Breach</v>
      </c>
      <c r="M3217" s="1">
        <v>1.2962962962962963E-3</v>
      </c>
      <c r="N3217">
        <v>4</v>
      </c>
    </row>
    <row r="3218" spans="1:14" x14ac:dyDescent="0.3">
      <c r="A3218" t="s">
        <v>3297</v>
      </c>
      <c r="B3218" t="s">
        <v>22</v>
      </c>
      <c r="C3218" t="s">
        <v>3298</v>
      </c>
      <c r="D3218" s="1">
        <v>0.38200231481481484</v>
      </c>
      <c r="E3218" s="2">
        <f>CallLog[[#This Row],[Date]]+CallLog[[#This Row],[Time]]</f>
        <v>44253.382002314815</v>
      </c>
      <c r="F3218" s="1" t="str">
        <f>TEXT(CallLog[[#This Row],[Date]],"dddd")</f>
        <v>Friday</v>
      </c>
      <c r="G3218" s="3">
        <f>HOUR(CallLog[[#This Row],[Time]])</f>
        <v>9</v>
      </c>
      <c r="H3218" t="s">
        <v>32</v>
      </c>
      <c r="I3218" t="s">
        <v>14</v>
      </c>
      <c r="J3218" t="s">
        <v>14</v>
      </c>
      <c r="K3218">
        <v>75</v>
      </c>
      <c r="L3218" t="str">
        <f>IF(AND(CallLog[[#This Row],[Answered (Y/N)]]="Y", CallLog[[#This Row],[Speed of answer in seconds]]&lt;=20),
    "Within",
    "Breach")</f>
        <v>Breach</v>
      </c>
      <c r="M3218" s="1">
        <v>3.1365740740740742E-3</v>
      </c>
      <c r="N3218">
        <v>2</v>
      </c>
    </row>
    <row r="3219" spans="1:14" x14ac:dyDescent="0.3">
      <c r="A3219" t="s">
        <v>3299</v>
      </c>
      <c r="B3219" t="s">
        <v>38</v>
      </c>
      <c r="C3219" t="s">
        <v>3298</v>
      </c>
      <c r="D3219" s="1">
        <v>0.38200231481481484</v>
      </c>
      <c r="E3219" s="2">
        <f>CallLog[[#This Row],[Date]]+CallLog[[#This Row],[Time]]</f>
        <v>44253.382002314815</v>
      </c>
      <c r="F3219" s="1" t="str">
        <f>TEXT(CallLog[[#This Row],[Date]],"dddd")</f>
        <v>Friday</v>
      </c>
      <c r="G3219" s="3">
        <f>HOUR(CallLog[[#This Row],[Time]])</f>
        <v>9</v>
      </c>
      <c r="H3219" t="s">
        <v>17</v>
      </c>
      <c r="I3219" t="s">
        <v>14</v>
      </c>
      <c r="J3219" t="s">
        <v>14</v>
      </c>
      <c r="K3219">
        <v>68</v>
      </c>
      <c r="L3219" t="str">
        <f>IF(AND(CallLog[[#This Row],[Answered (Y/N)]]="Y", CallLog[[#This Row],[Speed of answer in seconds]]&lt;=20),
    "Within",
    "Breach")</f>
        <v>Breach</v>
      </c>
      <c r="M3219" s="1">
        <v>4.4444444444444444E-3</v>
      </c>
      <c r="N3219">
        <v>5</v>
      </c>
    </row>
    <row r="3220" spans="1:14" x14ac:dyDescent="0.3">
      <c r="A3220" t="s">
        <v>3300</v>
      </c>
      <c r="B3220" t="s">
        <v>31</v>
      </c>
      <c r="C3220" t="s">
        <v>3298</v>
      </c>
      <c r="D3220" s="1">
        <v>0.38799768518518518</v>
      </c>
      <c r="E3220" s="2">
        <f>CallLog[[#This Row],[Date]]+CallLog[[#This Row],[Time]]</f>
        <v>44253.387997685182</v>
      </c>
      <c r="F3220" s="1" t="str">
        <f>TEXT(CallLog[[#This Row],[Date]],"dddd")</f>
        <v>Friday</v>
      </c>
      <c r="G3220" s="3">
        <f>HOUR(CallLog[[#This Row],[Time]])</f>
        <v>9</v>
      </c>
      <c r="H3220" t="s">
        <v>24</v>
      </c>
      <c r="I3220" t="s">
        <v>14</v>
      </c>
      <c r="J3220" t="s">
        <v>18</v>
      </c>
      <c r="K3220">
        <v>104</v>
      </c>
      <c r="L3220" t="str">
        <f>IF(AND(CallLog[[#This Row],[Answered (Y/N)]]="Y", CallLog[[#This Row],[Speed of answer in seconds]]&lt;=20),
    "Within",
    "Breach")</f>
        <v>Breach</v>
      </c>
      <c r="M3220" s="1">
        <v>9.3749999999999997E-4</v>
      </c>
      <c r="N3220">
        <v>4</v>
      </c>
    </row>
    <row r="3221" spans="1:14" x14ac:dyDescent="0.3">
      <c r="A3221" t="s">
        <v>3301</v>
      </c>
      <c r="B3221" t="s">
        <v>34</v>
      </c>
      <c r="C3221" t="s">
        <v>3298</v>
      </c>
      <c r="D3221" s="1">
        <v>0.38799768518518518</v>
      </c>
      <c r="E3221" s="2">
        <f>CallLog[[#This Row],[Date]]+CallLog[[#This Row],[Time]]</f>
        <v>44253.387997685182</v>
      </c>
      <c r="F3221" s="1" t="str">
        <f>TEXT(CallLog[[#This Row],[Date]],"dddd")</f>
        <v>Friday</v>
      </c>
      <c r="G3221" s="3">
        <f>HOUR(CallLog[[#This Row],[Time]])</f>
        <v>9</v>
      </c>
      <c r="H3221" t="s">
        <v>13</v>
      </c>
      <c r="I3221" t="s">
        <v>14</v>
      </c>
      <c r="J3221" t="s">
        <v>18</v>
      </c>
      <c r="K3221">
        <v>33</v>
      </c>
      <c r="L3221" t="str">
        <f>IF(AND(CallLog[[#This Row],[Answered (Y/N)]]="Y", CallLog[[#This Row],[Speed of answer in seconds]]&lt;=20),
    "Within",
    "Breach")</f>
        <v>Breach</v>
      </c>
      <c r="M3221" s="1">
        <v>4.7453703703703698E-4</v>
      </c>
      <c r="N3221">
        <v>3</v>
      </c>
    </row>
    <row r="3222" spans="1:14" x14ac:dyDescent="0.3">
      <c r="A3222" t="s">
        <v>3302</v>
      </c>
      <c r="B3222" t="s">
        <v>47</v>
      </c>
      <c r="C3222" t="s">
        <v>3298</v>
      </c>
      <c r="D3222" s="1">
        <v>0.42499999999999999</v>
      </c>
      <c r="E3222" s="2">
        <f>CallLog[[#This Row],[Date]]+CallLog[[#This Row],[Time]]</f>
        <v>44253.425000000003</v>
      </c>
      <c r="F3222" s="1" t="str">
        <f>TEXT(CallLog[[#This Row],[Date]],"dddd")</f>
        <v>Friday</v>
      </c>
      <c r="G3222" s="3">
        <f>HOUR(CallLog[[#This Row],[Time]])</f>
        <v>10</v>
      </c>
      <c r="H3222" t="s">
        <v>17</v>
      </c>
      <c r="I3222" t="s">
        <v>14</v>
      </c>
      <c r="J3222" t="s">
        <v>14</v>
      </c>
      <c r="K3222">
        <v>101</v>
      </c>
      <c r="L3222" t="str">
        <f>IF(AND(CallLog[[#This Row],[Answered (Y/N)]]="Y", CallLog[[#This Row],[Speed of answer in seconds]]&lt;=20),
    "Within",
    "Breach")</f>
        <v>Breach</v>
      </c>
      <c r="M3222" s="1">
        <v>2.662037037037037E-3</v>
      </c>
      <c r="N3222">
        <v>2</v>
      </c>
    </row>
    <row r="3223" spans="1:14" x14ac:dyDescent="0.3">
      <c r="A3223" t="s">
        <v>3303</v>
      </c>
      <c r="B3223" t="s">
        <v>31</v>
      </c>
      <c r="C3223" t="s">
        <v>3298</v>
      </c>
      <c r="D3223" s="1">
        <v>0.42499999999999999</v>
      </c>
      <c r="E3223" s="2">
        <f>CallLog[[#This Row],[Date]]+CallLog[[#This Row],[Time]]</f>
        <v>44253.425000000003</v>
      </c>
      <c r="F3223" s="1" t="str">
        <f>TEXT(CallLog[[#This Row],[Date]],"dddd")</f>
        <v>Friday</v>
      </c>
      <c r="G3223" s="3">
        <f>HOUR(CallLog[[#This Row],[Time]])</f>
        <v>10</v>
      </c>
      <c r="H3223" t="s">
        <v>29</v>
      </c>
      <c r="I3223" t="s">
        <v>18</v>
      </c>
      <c r="J3223" t="s">
        <v>18</v>
      </c>
      <c r="L3223" t="str">
        <f>IF(AND(CallLog[[#This Row],[Answered (Y/N)]]="Y", CallLog[[#This Row],[Speed of answer in seconds]]&lt;=20),
    "Within",
    "Breach")</f>
        <v>Breach</v>
      </c>
    </row>
    <row r="3224" spans="1:14" x14ac:dyDescent="0.3">
      <c r="A3224" t="s">
        <v>3304</v>
      </c>
      <c r="B3224" t="s">
        <v>22</v>
      </c>
      <c r="C3224" t="s">
        <v>3298</v>
      </c>
      <c r="D3224" s="1">
        <v>0.43400462962962966</v>
      </c>
      <c r="E3224" s="2">
        <f>CallLog[[#This Row],[Date]]+CallLog[[#This Row],[Time]]</f>
        <v>44253.434004629627</v>
      </c>
      <c r="F3224" s="1" t="str">
        <f>TEXT(CallLog[[#This Row],[Date]],"dddd")</f>
        <v>Friday</v>
      </c>
      <c r="G3224" s="3">
        <f>HOUR(CallLog[[#This Row],[Time]])</f>
        <v>10</v>
      </c>
      <c r="H3224" t="s">
        <v>17</v>
      </c>
      <c r="I3224" t="s">
        <v>14</v>
      </c>
      <c r="J3224" t="s">
        <v>14</v>
      </c>
      <c r="K3224">
        <v>41</v>
      </c>
      <c r="L3224" t="str">
        <f>IF(AND(CallLog[[#This Row],[Answered (Y/N)]]="Y", CallLog[[#This Row],[Speed of answer in seconds]]&lt;=20),
    "Within",
    "Breach")</f>
        <v>Breach</v>
      </c>
      <c r="M3224" s="1">
        <v>2.1296296296296298E-3</v>
      </c>
      <c r="N3224">
        <v>1</v>
      </c>
    </row>
    <row r="3225" spans="1:14" x14ac:dyDescent="0.3">
      <c r="A3225" t="s">
        <v>3305</v>
      </c>
      <c r="B3225" t="s">
        <v>38</v>
      </c>
      <c r="C3225" t="s">
        <v>3298</v>
      </c>
      <c r="D3225" s="1">
        <v>0.43400462962962966</v>
      </c>
      <c r="E3225" s="2">
        <f>CallLog[[#This Row],[Date]]+CallLog[[#This Row],[Time]]</f>
        <v>44253.434004629627</v>
      </c>
      <c r="F3225" s="1" t="str">
        <f>TEXT(CallLog[[#This Row],[Date]],"dddd")</f>
        <v>Friday</v>
      </c>
      <c r="G3225" s="3">
        <f>HOUR(CallLog[[#This Row],[Time]])</f>
        <v>10</v>
      </c>
      <c r="H3225" t="s">
        <v>32</v>
      </c>
      <c r="I3225" t="s">
        <v>18</v>
      </c>
      <c r="J3225" t="s">
        <v>18</v>
      </c>
      <c r="L3225" t="str">
        <f>IF(AND(CallLog[[#This Row],[Answered (Y/N)]]="Y", CallLog[[#This Row],[Speed of answer in seconds]]&lt;=20),
    "Within",
    "Breach")</f>
        <v>Breach</v>
      </c>
    </row>
    <row r="3226" spans="1:14" x14ac:dyDescent="0.3">
      <c r="A3226" t="s">
        <v>3306</v>
      </c>
      <c r="B3226" t="s">
        <v>31</v>
      </c>
      <c r="C3226" t="s">
        <v>3298</v>
      </c>
      <c r="D3226" s="1">
        <v>0.44799768518518518</v>
      </c>
      <c r="E3226" s="2">
        <f>CallLog[[#This Row],[Date]]+CallLog[[#This Row],[Time]]</f>
        <v>44253.447997685187</v>
      </c>
      <c r="F3226" s="1" t="str">
        <f>TEXT(CallLog[[#This Row],[Date]],"dddd")</f>
        <v>Friday</v>
      </c>
      <c r="G3226" s="3">
        <f>HOUR(CallLog[[#This Row],[Time]])</f>
        <v>10</v>
      </c>
      <c r="H3226" t="s">
        <v>13</v>
      </c>
      <c r="I3226" t="s">
        <v>14</v>
      </c>
      <c r="J3226" t="s">
        <v>14</v>
      </c>
      <c r="K3226">
        <v>124</v>
      </c>
      <c r="L3226" t="str">
        <f>IF(AND(CallLog[[#This Row],[Answered (Y/N)]]="Y", CallLog[[#This Row],[Speed of answer in seconds]]&lt;=20),
    "Within",
    "Breach")</f>
        <v>Breach</v>
      </c>
      <c r="M3226" s="1">
        <v>2.3958333333333331E-3</v>
      </c>
      <c r="N3226">
        <v>4</v>
      </c>
    </row>
    <row r="3227" spans="1:14" x14ac:dyDescent="0.3">
      <c r="A3227" t="s">
        <v>3307</v>
      </c>
      <c r="B3227" t="s">
        <v>31</v>
      </c>
      <c r="C3227" t="s">
        <v>3298</v>
      </c>
      <c r="D3227" s="1">
        <v>0.44799768518518518</v>
      </c>
      <c r="E3227" s="2">
        <f>CallLog[[#This Row],[Date]]+CallLog[[#This Row],[Time]]</f>
        <v>44253.447997685187</v>
      </c>
      <c r="F3227" s="1" t="str">
        <f>TEXT(CallLog[[#This Row],[Date]],"dddd")</f>
        <v>Friday</v>
      </c>
      <c r="G3227" s="3">
        <f>HOUR(CallLog[[#This Row],[Time]])</f>
        <v>10</v>
      </c>
      <c r="H3227" t="s">
        <v>32</v>
      </c>
      <c r="I3227" t="s">
        <v>14</v>
      </c>
      <c r="J3227" t="s">
        <v>18</v>
      </c>
      <c r="K3227">
        <v>98</v>
      </c>
      <c r="L3227" t="str">
        <f>IF(AND(CallLog[[#This Row],[Answered (Y/N)]]="Y", CallLog[[#This Row],[Speed of answer in seconds]]&lt;=20),
    "Within",
    "Breach")</f>
        <v>Breach</v>
      </c>
      <c r="M3227" s="1">
        <v>3.8078703703703703E-3</v>
      </c>
      <c r="N3227">
        <v>2</v>
      </c>
    </row>
    <row r="3228" spans="1:14" x14ac:dyDescent="0.3">
      <c r="A3228" t="s">
        <v>3308</v>
      </c>
      <c r="B3228" t="s">
        <v>22</v>
      </c>
      <c r="C3228" t="s">
        <v>3298</v>
      </c>
      <c r="D3228" s="1">
        <v>0.46099537037037036</v>
      </c>
      <c r="E3228" s="2">
        <f>CallLog[[#This Row],[Date]]+CallLog[[#This Row],[Time]]</f>
        <v>44253.460995370369</v>
      </c>
      <c r="F3228" s="1" t="str">
        <f>TEXT(CallLog[[#This Row],[Date]],"dddd")</f>
        <v>Friday</v>
      </c>
      <c r="G3228" s="3">
        <f>HOUR(CallLog[[#This Row],[Time]])</f>
        <v>11</v>
      </c>
      <c r="H3228" t="s">
        <v>24</v>
      </c>
      <c r="I3228" t="s">
        <v>14</v>
      </c>
      <c r="J3228" t="s">
        <v>14</v>
      </c>
      <c r="K3228">
        <v>119</v>
      </c>
      <c r="L3228" t="str">
        <f>IF(AND(CallLog[[#This Row],[Answered (Y/N)]]="Y", CallLog[[#This Row],[Speed of answer in seconds]]&lt;=20),
    "Within",
    "Breach")</f>
        <v>Breach</v>
      </c>
      <c r="M3228" s="1">
        <v>1.5162037037037036E-3</v>
      </c>
      <c r="N3228">
        <v>3</v>
      </c>
    </row>
    <row r="3229" spans="1:14" x14ac:dyDescent="0.3">
      <c r="A3229" t="s">
        <v>3309</v>
      </c>
      <c r="B3229" t="s">
        <v>31</v>
      </c>
      <c r="C3229" t="s">
        <v>3298</v>
      </c>
      <c r="D3229" s="1">
        <v>0.46099537037037036</v>
      </c>
      <c r="E3229" s="2">
        <f>CallLog[[#This Row],[Date]]+CallLog[[#This Row],[Time]]</f>
        <v>44253.460995370369</v>
      </c>
      <c r="F3229" s="1" t="str">
        <f>TEXT(CallLog[[#This Row],[Date]],"dddd")</f>
        <v>Friday</v>
      </c>
      <c r="G3229" s="3">
        <f>HOUR(CallLog[[#This Row],[Time]])</f>
        <v>11</v>
      </c>
      <c r="H3229" t="s">
        <v>32</v>
      </c>
      <c r="I3229" t="s">
        <v>14</v>
      </c>
      <c r="J3229" t="s">
        <v>14</v>
      </c>
      <c r="K3229">
        <v>40</v>
      </c>
      <c r="L3229" t="str">
        <f>IF(AND(CallLog[[#This Row],[Answered (Y/N)]]="Y", CallLog[[#This Row],[Speed of answer in seconds]]&lt;=20),
    "Within",
    "Breach")</f>
        <v>Breach</v>
      </c>
      <c r="M3229" s="1">
        <v>1.6898148148148148E-3</v>
      </c>
      <c r="N3229">
        <v>1</v>
      </c>
    </row>
    <row r="3230" spans="1:14" x14ac:dyDescent="0.3">
      <c r="A3230" t="s">
        <v>3310</v>
      </c>
      <c r="B3230" t="s">
        <v>22</v>
      </c>
      <c r="C3230" t="s">
        <v>3298</v>
      </c>
      <c r="D3230" s="1">
        <v>0.48400462962962965</v>
      </c>
      <c r="E3230" s="2">
        <f>CallLog[[#This Row],[Date]]+CallLog[[#This Row],[Time]]</f>
        <v>44253.48400462963</v>
      </c>
      <c r="F3230" s="1" t="str">
        <f>TEXT(CallLog[[#This Row],[Date]],"dddd")</f>
        <v>Friday</v>
      </c>
      <c r="G3230" s="3">
        <f>HOUR(CallLog[[#This Row],[Time]])</f>
        <v>11</v>
      </c>
      <c r="H3230" t="s">
        <v>24</v>
      </c>
      <c r="I3230" t="s">
        <v>18</v>
      </c>
      <c r="J3230" t="s">
        <v>18</v>
      </c>
      <c r="L3230" t="str">
        <f>IF(AND(CallLog[[#This Row],[Answered (Y/N)]]="Y", CallLog[[#This Row],[Speed of answer in seconds]]&lt;=20),
    "Within",
    "Breach")</f>
        <v>Breach</v>
      </c>
    </row>
    <row r="3231" spans="1:14" x14ac:dyDescent="0.3">
      <c r="A3231" t="s">
        <v>3311</v>
      </c>
      <c r="B3231" t="s">
        <v>16</v>
      </c>
      <c r="C3231" t="s">
        <v>3298</v>
      </c>
      <c r="D3231" s="1">
        <v>0.48400462962962965</v>
      </c>
      <c r="E3231" s="2">
        <f>CallLog[[#This Row],[Date]]+CallLog[[#This Row],[Time]]</f>
        <v>44253.48400462963</v>
      </c>
      <c r="F3231" s="1" t="str">
        <f>TEXT(CallLog[[#This Row],[Date]],"dddd")</f>
        <v>Friday</v>
      </c>
      <c r="G3231" s="3">
        <f>HOUR(CallLog[[#This Row],[Time]])</f>
        <v>11</v>
      </c>
      <c r="H3231" t="s">
        <v>24</v>
      </c>
      <c r="I3231" t="s">
        <v>14</v>
      </c>
      <c r="J3231" t="s">
        <v>14</v>
      </c>
      <c r="K3231">
        <v>97</v>
      </c>
      <c r="L3231" t="str">
        <f>IF(AND(CallLog[[#This Row],[Answered (Y/N)]]="Y", CallLog[[#This Row],[Speed of answer in seconds]]&lt;=20),
    "Within",
    "Breach")</f>
        <v>Breach</v>
      </c>
      <c r="M3231" s="1">
        <v>3.8078703703703703E-3</v>
      </c>
      <c r="N3231">
        <v>2</v>
      </c>
    </row>
    <row r="3232" spans="1:14" x14ac:dyDescent="0.3">
      <c r="A3232" t="s">
        <v>3312</v>
      </c>
      <c r="B3232" t="s">
        <v>38</v>
      </c>
      <c r="C3232" t="s">
        <v>3298</v>
      </c>
      <c r="D3232" s="1">
        <v>0.48900462962962965</v>
      </c>
      <c r="E3232" s="2">
        <f>CallLog[[#This Row],[Date]]+CallLog[[#This Row],[Time]]</f>
        <v>44253.489004629628</v>
      </c>
      <c r="F3232" s="1" t="str">
        <f>TEXT(CallLog[[#This Row],[Date]],"dddd")</f>
        <v>Friday</v>
      </c>
      <c r="G3232" s="3">
        <f>HOUR(CallLog[[#This Row],[Time]])</f>
        <v>11</v>
      </c>
      <c r="H3232" t="s">
        <v>29</v>
      </c>
      <c r="I3232" t="s">
        <v>14</v>
      </c>
      <c r="J3232" t="s">
        <v>14</v>
      </c>
      <c r="K3232">
        <v>119</v>
      </c>
      <c r="L3232" t="str">
        <f>IF(AND(CallLog[[#This Row],[Answered (Y/N)]]="Y", CallLog[[#This Row],[Speed of answer in seconds]]&lt;=20),
    "Within",
    "Breach")</f>
        <v>Breach</v>
      </c>
      <c r="M3232" s="1">
        <v>2.6157407407407405E-3</v>
      </c>
      <c r="N3232">
        <v>2</v>
      </c>
    </row>
    <row r="3233" spans="1:14" x14ac:dyDescent="0.3">
      <c r="A3233" t="s">
        <v>3313</v>
      </c>
      <c r="B3233" t="s">
        <v>16</v>
      </c>
      <c r="C3233" t="s">
        <v>3298</v>
      </c>
      <c r="D3233" s="1">
        <v>0.48900462962962965</v>
      </c>
      <c r="E3233" s="2">
        <f>CallLog[[#This Row],[Date]]+CallLog[[#This Row],[Time]]</f>
        <v>44253.489004629628</v>
      </c>
      <c r="F3233" s="1" t="str">
        <f>TEXT(CallLog[[#This Row],[Date]],"dddd")</f>
        <v>Friday</v>
      </c>
      <c r="G3233" s="3">
        <f>HOUR(CallLog[[#This Row],[Time]])</f>
        <v>11</v>
      </c>
      <c r="H3233" t="s">
        <v>17</v>
      </c>
      <c r="I3233" t="s">
        <v>18</v>
      </c>
      <c r="J3233" t="s">
        <v>18</v>
      </c>
      <c r="L3233" t="str">
        <f>IF(AND(CallLog[[#This Row],[Answered (Y/N)]]="Y", CallLog[[#This Row],[Speed of answer in seconds]]&lt;=20),
    "Within",
    "Breach")</f>
        <v>Breach</v>
      </c>
    </row>
    <row r="3234" spans="1:14" x14ac:dyDescent="0.3">
      <c r="A3234" t="s">
        <v>3314</v>
      </c>
      <c r="B3234" t="s">
        <v>20</v>
      </c>
      <c r="C3234" t="s">
        <v>3298</v>
      </c>
      <c r="D3234" s="1">
        <v>0.49</v>
      </c>
      <c r="E3234" s="2">
        <f>CallLog[[#This Row],[Date]]+CallLog[[#This Row],[Time]]</f>
        <v>44253.49</v>
      </c>
      <c r="F3234" s="1" t="str">
        <f>TEXT(CallLog[[#This Row],[Date]],"dddd")</f>
        <v>Friday</v>
      </c>
      <c r="G3234" s="3">
        <f>HOUR(CallLog[[#This Row],[Time]])</f>
        <v>11</v>
      </c>
      <c r="H3234" t="s">
        <v>32</v>
      </c>
      <c r="I3234" t="s">
        <v>14</v>
      </c>
      <c r="J3234" t="s">
        <v>14</v>
      </c>
      <c r="K3234">
        <v>26</v>
      </c>
      <c r="L3234" t="str">
        <f>IF(AND(CallLog[[#This Row],[Answered (Y/N)]]="Y", CallLog[[#This Row],[Speed of answer in seconds]]&lt;=20),
    "Within",
    "Breach")</f>
        <v>Breach</v>
      </c>
      <c r="M3234" s="1">
        <v>4.861111111111111E-4</v>
      </c>
      <c r="N3234">
        <v>5</v>
      </c>
    </row>
    <row r="3235" spans="1:14" x14ac:dyDescent="0.3">
      <c r="A3235" t="s">
        <v>3315</v>
      </c>
      <c r="B3235" t="s">
        <v>22</v>
      </c>
      <c r="C3235" t="s">
        <v>3298</v>
      </c>
      <c r="D3235" s="1">
        <v>0.49</v>
      </c>
      <c r="E3235" s="2">
        <f>CallLog[[#This Row],[Date]]+CallLog[[#This Row],[Time]]</f>
        <v>44253.49</v>
      </c>
      <c r="F3235" s="1" t="str">
        <f>TEXT(CallLog[[#This Row],[Date]],"dddd")</f>
        <v>Friday</v>
      </c>
      <c r="G3235" s="3">
        <f>HOUR(CallLog[[#This Row],[Time]])</f>
        <v>11</v>
      </c>
      <c r="H3235" t="s">
        <v>24</v>
      </c>
      <c r="I3235" t="s">
        <v>18</v>
      </c>
      <c r="J3235" t="s">
        <v>18</v>
      </c>
      <c r="L3235" t="str">
        <f>IF(AND(CallLog[[#This Row],[Answered (Y/N)]]="Y", CallLog[[#This Row],[Speed of answer in seconds]]&lt;=20),
    "Within",
    "Breach")</f>
        <v>Breach</v>
      </c>
    </row>
    <row r="3236" spans="1:14" x14ac:dyDescent="0.3">
      <c r="A3236" t="s">
        <v>3316</v>
      </c>
      <c r="B3236" t="s">
        <v>31</v>
      </c>
      <c r="C3236" t="s">
        <v>3298</v>
      </c>
      <c r="D3236" s="1">
        <v>0.52799768518518519</v>
      </c>
      <c r="E3236" s="2">
        <f>CallLog[[#This Row],[Date]]+CallLog[[#This Row],[Time]]</f>
        <v>44253.527997685182</v>
      </c>
      <c r="F3236" s="1" t="str">
        <f>TEXT(CallLog[[#This Row],[Date]],"dddd")</f>
        <v>Friday</v>
      </c>
      <c r="G3236" s="3">
        <f>HOUR(CallLog[[#This Row],[Time]])</f>
        <v>12</v>
      </c>
      <c r="H3236" t="s">
        <v>24</v>
      </c>
      <c r="I3236" t="s">
        <v>14</v>
      </c>
      <c r="J3236" t="s">
        <v>14</v>
      </c>
      <c r="K3236">
        <v>77</v>
      </c>
      <c r="L3236" t="str">
        <f>IF(AND(CallLog[[#This Row],[Answered (Y/N)]]="Y", CallLog[[#This Row],[Speed of answer in seconds]]&lt;=20),
    "Within",
    "Breach")</f>
        <v>Breach</v>
      </c>
      <c r="M3236" s="1">
        <v>1.2268518518518518E-3</v>
      </c>
      <c r="N3236">
        <v>4</v>
      </c>
    </row>
    <row r="3237" spans="1:14" x14ac:dyDescent="0.3">
      <c r="A3237" t="s">
        <v>3317</v>
      </c>
      <c r="B3237" t="s">
        <v>31</v>
      </c>
      <c r="C3237" t="s">
        <v>3298</v>
      </c>
      <c r="D3237" s="1">
        <v>0.52799768518518519</v>
      </c>
      <c r="E3237" s="2">
        <f>CallLog[[#This Row],[Date]]+CallLog[[#This Row],[Time]]</f>
        <v>44253.527997685182</v>
      </c>
      <c r="F3237" s="1" t="str">
        <f>TEXT(CallLog[[#This Row],[Date]],"dddd")</f>
        <v>Friday</v>
      </c>
      <c r="G3237" s="3">
        <f>HOUR(CallLog[[#This Row],[Time]])</f>
        <v>12</v>
      </c>
      <c r="H3237" t="s">
        <v>17</v>
      </c>
      <c r="I3237" t="s">
        <v>14</v>
      </c>
      <c r="J3237" t="s">
        <v>14</v>
      </c>
      <c r="K3237">
        <v>31</v>
      </c>
      <c r="L3237" t="str">
        <f>IF(AND(CallLog[[#This Row],[Answered (Y/N)]]="Y", CallLog[[#This Row],[Speed of answer in seconds]]&lt;=20),
    "Within",
    "Breach")</f>
        <v>Breach</v>
      </c>
      <c r="M3237" s="1">
        <v>1.4467592592592592E-3</v>
      </c>
      <c r="N3237">
        <v>3</v>
      </c>
    </row>
    <row r="3238" spans="1:14" x14ac:dyDescent="0.3">
      <c r="A3238" t="s">
        <v>3318</v>
      </c>
      <c r="B3238" t="s">
        <v>16</v>
      </c>
      <c r="C3238" t="s">
        <v>3298</v>
      </c>
      <c r="D3238" s="1">
        <v>0.54299768518518521</v>
      </c>
      <c r="E3238" s="2">
        <f>CallLog[[#This Row],[Date]]+CallLog[[#This Row],[Time]]</f>
        <v>44253.542997685188</v>
      </c>
      <c r="F3238" s="1" t="str">
        <f>TEXT(CallLog[[#This Row],[Date]],"dddd")</f>
        <v>Friday</v>
      </c>
      <c r="G3238" s="3">
        <f>HOUR(CallLog[[#This Row],[Time]])</f>
        <v>13</v>
      </c>
      <c r="H3238" t="s">
        <v>29</v>
      </c>
      <c r="I3238" t="s">
        <v>18</v>
      </c>
      <c r="J3238" t="s">
        <v>18</v>
      </c>
      <c r="L3238" t="str">
        <f>IF(AND(CallLog[[#This Row],[Answered (Y/N)]]="Y", CallLog[[#This Row],[Speed of answer in seconds]]&lt;=20),
    "Within",
    "Breach")</f>
        <v>Breach</v>
      </c>
    </row>
    <row r="3239" spans="1:14" x14ac:dyDescent="0.3">
      <c r="A3239" t="s">
        <v>3319</v>
      </c>
      <c r="B3239" t="s">
        <v>16</v>
      </c>
      <c r="C3239" t="s">
        <v>3298</v>
      </c>
      <c r="D3239" s="1">
        <v>0.54299768518518521</v>
      </c>
      <c r="E3239" s="2">
        <f>CallLog[[#This Row],[Date]]+CallLog[[#This Row],[Time]]</f>
        <v>44253.542997685188</v>
      </c>
      <c r="F3239" s="1" t="str">
        <f>TEXT(CallLog[[#This Row],[Date]],"dddd")</f>
        <v>Friday</v>
      </c>
      <c r="G3239" s="3">
        <f>HOUR(CallLog[[#This Row],[Time]])</f>
        <v>13</v>
      </c>
      <c r="H3239" t="s">
        <v>24</v>
      </c>
      <c r="I3239" t="s">
        <v>14</v>
      </c>
      <c r="J3239" t="s">
        <v>18</v>
      </c>
      <c r="K3239">
        <v>16</v>
      </c>
      <c r="L3239" t="str">
        <f>IF(AND(CallLog[[#This Row],[Answered (Y/N)]]="Y", CallLog[[#This Row],[Speed of answer in seconds]]&lt;=20),
    "Within",
    "Breach")</f>
        <v>Within</v>
      </c>
      <c r="M3239" s="1">
        <v>2.5462962962962965E-3</v>
      </c>
      <c r="N3239">
        <v>4</v>
      </c>
    </row>
    <row r="3240" spans="1:14" x14ac:dyDescent="0.3">
      <c r="A3240" t="s">
        <v>3320</v>
      </c>
      <c r="B3240" t="s">
        <v>11</v>
      </c>
      <c r="C3240" t="s">
        <v>3298</v>
      </c>
      <c r="D3240" s="1">
        <v>0.54599537037037038</v>
      </c>
      <c r="E3240" s="2">
        <f>CallLog[[#This Row],[Date]]+CallLog[[#This Row],[Time]]</f>
        <v>44253.545995370368</v>
      </c>
      <c r="F3240" s="1" t="str">
        <f>TEXT(CallLog[[#This Row],[Date]],"dddd")</f>
        <v>Friday</v>
      </c>
      <c r="G3240" s="3">
        <f>HOUR(CallLog[[#This Row],[Time]])</f>
        <v>13</v>
      </c>
      <c r="H3240" t="s">
        <v>29</v>
      </c>
      <c r="I3240" t="s">
        <v>14</v>
      </c>
      <c r="J3240" t="s">
        <v>14</v>
      </c>
      <c r="K3240">
        <v>117</v>
      </c>
      <c r="L3240" t="str">
        <f>IF(AND(CallLog[[#This Row],[Answered (Y/N)]]="Y", CallLog[[#This Row],[Speed of answer in seconds]]&lt;=20),
    "Within",
    "Breach")</f>
        <v>Breach</v>
      </c>
      <c r="M3240" s="1">
        <v>4.5023148148148149E-3</v>
      </c>
      <c r="N3240">
        <v>4</v>
      </c>
    </row>
    <row r="3241" spans="1:14" x14ac:dyDescent="0.3">
      <c r="A3241" t="s">
        <v>3321</v>
      </c>
      <c r="B3241" t="s">
        <v>16</v>
      </c>
      <c r="C3241" t="s">
        <v>3298</v>
      </c>
      <c r="D3241" s="1">
        <v>0.54599537037037038</v>
      </c>
      <c r="E3241" s="2">
        <f>CallLog[[#This Row],[Date]]+CallLog[[#This Row],[Time]]</f>
        <v>44253.545995370368</v>
      </c>
      <c r="F3241" s="1" t="str">
        <f>TEXT(CallLog[[#This Row],[Date]],"dddd")</f>
        <v>Friday</v>
      </c>
      <c r="G3241" s="3">
        <f>HOUR(CallLog[[#This Row],[Time]])</f>
        <v>13</v>
      </c>
      <c r="H3241" t="s">
        <v>32</v>
      </c>
      <c r="I3241" t="s">
        <v>14</v>
      </c>
      <c r="J3241" t="s">
        <v>18</v>
      </c>
      <c r="K3241">
        <v>16</v>
      </c>
      <c r="L3241" t="str">
        <f>IF(AND(CallLog[[#This Row],[Answered (Y/N)]]="Y", CallLog[[#This Row],[Speed of answer in seconds]]&lt;=20),
    "Within",
    "Breach")</f>
        <v>Within</v>
      </c>
      <c r="M3241" s="1">
        <v>2.2916666666666667E-3</v>
      </c>
      <c r="N3241">
        <v>5</v>
      </c>
    </row>
    <row r="3242" spans="1:14" x14ac:dyDescent="0.3">
      <c r="A3242" t="s">
        <v>3322</v>
      </c>
      <c r="B3242" t="s">
        <v>20</v>
      </c>
      <c r="C3242" t="s">
        <v>3298</v>
      </c>
      <c r="D3242" s="1">
        <v>0.5870023148148148</v>
      </c>
      <c r="E3242" s="2">
        <f>CallLog[[#This Row],[Date]]+CallLog[[#This Row],[Time]]</f>
        <v>44253.587002314816</v>
      </c>
      <c r="F3242" s="1" t="str">
        <f>TEXT(CallLog[[#This Row],[Date]],"dddd")</f>
        <v>Friday</v>
      </c>
      <c r="G3242" s="3">
        <f>HOUR(CallLog[[#This Row],[Time]])</f>
        <v>14</v>
      </c>
      <c r="H3242" t="s">
        <v>24</v>
      </c>
      <c r="I3242" t="s">
        <v>14</v>
      </c>
      <c r="J3242" t="s">
        <v>18</v>
      </c>
      <c r="K3242">
        <v>35</v>
      </c>
      <c r="L3242" t="str">
        <f>IF(AND(CallLog[[#This Row],[Answered (Y/N)]]="Y", CallLog[[#This Row],[Speed of answer in seconds]]&lt;=20),
    "Within",
    "Breach")</f>
        <v>Breach</v>
      </c>
      <c r="M3242" s="1">
        <v>2.3958333333333331E-3</v>
      </c>
      <c r="N3242">
        <v>4</v>
      </c>
    </row>
    <row r="3243" spans="1:14" x14ac:dyDescent="0.3">
      <c r="A3243" t="s">
        <v>3323</v>
      </c>
      <c r="B3243" t="s">
        <v>38</v>
      </c>
      <c r="C3243" t="s">
        <v>3298</v>
      </c>
      <c r="D3243" s="1">
        <v>0.5870023148148148</v>
      </c>
      <c r="E3243" s="2">
        <f>CallLog[[#This Row],[Date]]+CallLog[[#This Row],[Time]]</f>
        <v>44253.587002314816</v>
      </c>
      <c r="F3243" s="1" t="str">
        <f>TEXT(CallLog[[#This Row],[Date]],"dddd")</f>
        <v>Friday</v>
      </c>
      <c r="G3243" s="3">
        <f>HOUR(CallLog[[#This Row],[Time]])</f>
        <v>14</v>
      </c>
      <c r="H3243" t="s">
        <v>13</v>
      </c>
      <c r="I3243" t="s">
        <v>14</v>
      </c>
      <c r="J3243" t="s">
        <v>18</v>
      </c>
      <c r="K3243">
        <v>93</v>
      </c>
      <c r="L3243" t="str">
        <f>IF(AND(CallLog[[#This Row],[Answered (Y/N)]]="Y", CallLog[[#This Row],[Speed of answer in seconds]]&lt;=20),
    "Within",
    "Breach")</f>
        <v>Breach</v>
      </c>
      <c r="M3243" s="1">
        <v>1.7592592592592592E-3</v>
      </c>
      <c r="N3243">
        <v>4</v>
      </c>
    </row>
    <row r="3244" spans="1:14" x14ac:dyDescent="0.3">
      <c r="A3244" t="s">
        <v>3324</v>
      </c>
      <c r="B3244" t="s">
        <v>34</v>
      </c>
      <c r="C3244" t="s">
        <v>3298</v>
      </c>
      <c r="D3244" s="1">
        <v>0.61900462962962965</v>
      </c>
      <c r="E3244" s="2">
        <f>CallLog[[#This Row],[Date]]+CallLog[[#This Row],[Time]]</f>
        <v>44253.619004629632</v>
      </c>
      <c r="F3244" s="1" t="str">
        <f>TEXT(CallLog[[#This Row],[Date]],"dddd")</f>
        <v>Friday</v>
      </c>
      <c r="G3244" s="3">
        <f>HOUR(CallLog[[#This Row],[Time]])</f>
        <v>14</v>
      </c>
      <c r="H3244" t="s">
        <v>32</v>
      </c>
      <c r="I3244" t="s">
        <v>14</v>
      </c>
      <c r="J3244" t="s">
        <v>14</v>
      </c>
      <c r="K3244">
        <v>39</v>
      </c>
      <c r="L3244" t="str">
        <f>IF(AND(CallLog[[#This Row],[Answered (Y/N)]]="Y", CallLog[[#This Row],[Speed of answer in seconds]]&lt;=20),
    "Within",
    "Breach")</f>
        <v>Breach</v>
      </c>
      <c r="M3244" s="1">
        <v>2.0370370370370369E-3</v>
      </c>
      <c r="N3244">
        <v>1</v>
      </c>
    </row>
    <row r="3245" spans="1:14" x14ac:dyDescent="0.3">
      <c r="A3245" t="s">
        <v>3325</v>
      </c>
      <c r="B3245" t="s">
        <v>22</v>
      </c>
      <c r="C3245" t="s">
        <v>3298</v>
      </c>
      <c r="D3245" s="1">
        <v>0.61900462962962965</v>
      </c>
      <c r="E3245" s="2">
        <f>CallLog[[#This Row],[Date]]+CallLog[[#This Row],[Time]]</f>
        <v>44253.619004629632</v>
      </c>
      <c r="F3245" s="1" t="str">
        <f>TEXT(CallLog[[#This Row],[Date]],"dddd")</f>
        <v>Friday</v>
      </c>
      <c r="G3245" s="3">
        <f>HOUR(CallLog[[#This Row],[Time]])</f>
        <v>14</v>
      </c>
      <c r="H3245" t="s">
        <v>32</v>
      </c>
      <c r="I3245" t="s">
        <v>14</v>
      </c>
      <c r="J3245" t="s">
        <v>18</v>
      </c>
      <c r="K3245">
        <v>18</v>
      </c>
      <c r="L3245" t="str">
        <f>IF(AND(CallLog[[#This Row],[Answered (Y/N)]]="Y", CallLog[[#This Row],[Speed of answer in seconds]]&lt;=20),
    "Within",
    "Breach")</f>
        <v>Within</v>
      </c>
      <c r="M3245" s="1">
        <v>3.4027777777777776E-3</v>
      </c>
      <c r="N3245">
        <v>1</v>
      </c>
    </row>
    <row r="3246" spans="1:14" x14ac:dyDescent="0.3">
      <c r="A3246" t="s">
        <v>3326</v>
      </c>
      <c r="B3246" t="s">
        <v>22</v>
      </c>
      <c r="C3246" t="s">
        <v>3298</v>
      </c>
      <c r="D3246" s="1">
        <v>0.62099537037037034</v>
      </c>
      <c r="E3246" s="2">
        <f>CallLog[[#This Row],[Date]]+CallLog[[#This Row],[Time]]</f>
        <v>44253.620995370373</v>
      </c>
      <c r="F3246" s="1" t="str">
        <f>TEXT(CallLog[[#This Row],[Date]],"dddd")</f>
        <v>Friday</v>
      </c>
      <c r="G3246" s="3">
        <f>HOUR(CallLog[[#This Row],[Time]])</f>
        <v>14</v>
      </c>
      <c r="H3246" t="s">
        <v>13</v>
      </c>
      <c r="I3246" t="s">
        <v>14</v>
      </c>
      <c r="J3246" t="s">
        <v>14</v>
      </c>
      <c r="K3246">
        <v>124</v>
      </c>
      <c r="L3246" t="str">
        <f>IF(AND(CallLog[[#This Row],[Answered (Y/N)]]="Y", CallLog[[#This Row],[Speed of answer in seconds]]&lt;=20),
    "Within",
    "Breach")</f>
        <v>Breach</v>
      </c>
      <c r="M3246" s="1">
        <v>3.7847222222222223E-3</v>
      </c>
      <c r="N3246">
        <v>4</v>
      </c>
    </row>
    <row r="3247" spans="1:14" x14ac:dyDescent="0.3">
      <c r="A3247" t="s">
        <v>3327</v>
      </c>
      <c r="B3247" t="s">
        <v>22</v>
      </c>
      <c r="C3247" t="s">
        <v>3298</v>
      </c>
      <c r="D3247" s="1">
        <v>0.62099537037037034</v>
      </c>
      <c r="E3247" s="2">
        <f>CallLog[[#This Row],[Date]]+CallLog[[#This Row],[Time]]</f>
        <v>44253.620995370373</v>
      </c>
      <c r="F3247" s="1" t="str">
        <f>TEXT(CallLog[[#This Row],[Date]],"dddd")</f>
        <v>Friday</v>
      </c>
      <c r="G3247" s="3">
        <f>HOUR(CallLog[[#This Row],[Time]])</f>
        <v>14</v>
      </c>
      <c r="H3247" t="s">
        <v>32</v>
      </c>
      <c r="I3247" t="s">
        <v>18</v>
      </c>
      <c r="J3247" t="s">
        <v>18</v>
      </c>
      <c r="L3247" t="str">
        <f>IF(AND(CallLog[[#This Row],[Answered (Y/N)]]="Y", CallLog[[#This Row],[Speed of answer in seconds]]&lt;=20),
    "Within",
    "Breach")</f>
        <v>Breach</v>
      </c>
    </row>
    <row r="3248" spans="1:14" x14ac:dyDescent="0.3">
      <c r="A3248" t="s">
        <v>3328</v>
      </c>
      <c r="B3248" t="s">
        <v>16</v>
      </c>
      <c r="C3248" t="s">
        <v>3298</v>
      </c>
      <c r="D3248" s="1">
        <v>0.62599537037037034</v>
      </c>
      <c r="E3248" s="2">
        <f>CallLog[[#This Row],[Date]]+CallLog[[#This Row],[Time]]</f>
        <v>44253.62599537037</v>
      </c>
      <c r="F3248" s="1" t="str">
        <f>TEXT(CallLog[[#This Row],[Date]],"dddd")</f>
        <v>Friday</v>
      </c>
      <c r="G3248" s="3">
        <f>HOUR(CallLog[[#This Row],[Time]])</f>
        <v>15</v>
      </c>
      <c r="H3248" t="s">
        <v>32</v>
      </c>
      <c r="I3248" t="s">
        <v>14</v>
      </c>
      <c r="J3248" t="s">
        <v>14</v>
      </c>
      <c r="K3248">
        <v>10</v>
      </c>
      <c r="L3248" t="str">
        <f>IF(AND(CallLog[[#This Row],[Answered (Y/N)]]="Y", CallLog[[#This Row],[Speed of answer in seconds]]&lt;=20),
    "Within",
    "Breach")</f>
        <v>Within</v>
      </c>
      <c r="M3248" s="1">
        <v>2.7777777777777779E-3</v>
      </c>
      <c r="N3248">
        <v>1</v>
      </c>
    </row>
    <row r="3249" spans="1:14" x14ac:dyDescent="0.3">
      <c r="A3249" t="s">
        <v>3329</v>
      </c>
      <c r="B3249" t="s">
        <v>11</v>
      </c>
      <c r="C3249" t="s">
        <v>3298</v>
      </c>
      <c r="D3249" s="1">
        <v>0.62599537037037034</v>
      </c>
      <c r="E3249" s="2">
        <f>CallLog[[#This Row],[Date]]+CallLog[[#This Row],[Time]]</f>
        <v>44253.62599537037</v>
      </c>
      <c r="F3249" s="1" t="str">
        <f>TEXT(CallLog[[#This Row],[Date]],"dddd")</f>
        <v>Friday</v>
      </c>
      <c r="G3249" s="3">
        <f>HOUR(CallLog[[#This Row],[Time]])</f>
        <v>15</v>
      </c>
      <c r="H3249" t="s">
        <v>13</v>
      </c>
      <c r="I3249" t="s">
        <v>18</v>
      </c>
      <c r="J3249" t="s">
        <v>18</v>
      </c>
      <c r="L3249" t="str">
        <f>IF(AND(CallLog[[#This Row],[Answered (Y/N)]]="Y", CallLog[[#This Row],[Speed of answer in seconds]]&lt;=20),
    "Within",
    "Breach")</f>
        <v>Breach</v>
      </c>
    </row>
    <row r="3250" spans="1:14" x14ac:dyDescent="0.3">
      <c r="A3250" t="s">
        <v>3330</v>
      </c>
      <c r="B3250" t="s">
        <v>16</v>
      </c>
      <c r="C3250" t="s">
        <v>3298</v>
      </c>
      <c r="D3250" s="1">
        <v>0.62900462962962966</v>
      </c>
      <c r="E3250" s="2">
        <f>CallLog[[#This Row],[Date]]+CallLog[[#This Row],[Time]]</f>
        <v>44253.629004629627</v>
      </c>
      <c r="F3250" s="1" t="str">
        <f>TEXT(CallLog[[#This Row],[Date]],"dddd")</f>
        <v>Friday</v>
      </c>
      <c r="G3250" s="3">
        <f>HOUR(CallLog[[#This Row],[Time]])</f>
        <v>15</v>
      </c>
      <c r="H3250" t="s">
        <v>32</v>
      </c>
      <c r="I3250" t="s">
        <v>14</v>
      </c>
      <c r="J3250" t="s">
        <v>14</v>
      </c>
      <c r="K3250">
        <v>99</v>
      </c>
      <c r="L3250" t="str">
        <f>IF(AND(CallLog[[#This Row],[Answered (Y/N)]]="Y", CallLog[[#This Row],[Speed of answer in seconds]]&lt;=20),
    "Within",
    "Breach")</f>
        <v>Breach</v>
      </c>
      <c r="M3250" s="1">
        <v>3.5648148148148149E-3</v>
      </c>
      <c r="N3250">
        <v>4</v>
      </c>
    </row>
    <row r="3251" spans="1:14" x14ac:dyDescent="0.3">
      <c r="A3251" t="s">
        <v>3331</v>
      </c>
      <c r="B3251" t="s">
        <v>22</v>
      </c>
      <c r="C3251" t="s">
        <v>3298</v>
      </c>
      <c r="D3251" s="1">
        <v>0.62900462962962966</v>
      </c>
      <c r="E3251" s="2">
        <f>CallLog[[#This Row],[Date]]+CallLog[[#This Row],[Time]]</f>
        <v>44253.629004629627</v>
      </c>
      <c r="F3251" s="1" t="str">
        <f>TEXT(CallLog[[#This Row],[Date]],"dddd")</f>
        <v>Friday</v>
      </c>
      <c r="G3251" s="3">
        <f>HOUR(CallLog[[#This Row],[Time]])</f>
        <v>15</v>
      </c>
      <c r="H3251" t="s">
        <v>17</v>
      </c>
      <c r="I3251" t="s">
        <v>14</v>
      </c>
      <c r="J3251" t="s">
        <v>14</v>
      </c>
      <c r="K3251">
        <v>114</v>
      </c>
      <c r="L3251" t="str">
        <f>IF(AND(CallLog[[#This Row],[Answered (Y/N)]]="Y", CallLog[[#This Row],[Speed of answer in seconds]]&lt;=20),
    "Within",
    "Breach")</f>
        <v>Breach</v>
      </c>
      <c r="M3251" s="1">
        <v>3.5416666666666665E-3</v>
      </c>
      <c r="N3251">
        <v>4</v>
      </c>
    </row>
    <row r="3252" spans="1:14" x14ac:dyDescent="0.3">
      <c r="A3252" t="s">
        <v>3332</v>
      </c>
      <c r="B3252" t="s">
        <v>22</v>
      </c>
      <c r="C3252" t="s">
        <v>3298</v>
      </c>
      <c r="D3252" s="1">
        <v>0.65400462962962957</v>
      </c>
      <c r="E3252" s="2">
        <f>CallLog[[#This Row],[Date]]+CallLog[[#This Row],[Time]]</f>
        <v>44253.654004629629</v>
      </c>
      <c r="F3252" s="1" t="str">
        <f>TEXT(CallLog[[#This Row],[Date]],"dddd")</f>
        <v>Friday</v>
      </c>
      <c r="G3252" s="3">
        <f>HOUR(CallLog[[#This Row],[Time]])</f>
        <v>15</v>
      </c>
      <c r="H3252" t="s">
        <v>17</v>
      </c>
      <c r="I3252" t="s">
        <v>14</v>
      </c>
      <c r="J3252" t="s">
        <v>14</v>
      </c>
      <c r="K3252">
        <v>122</v>
      </c>
      <c r="L3252" t="str">
        <f>IF(AND(CallLog[[#This Row],[Answered (Y/N)]]="Y", CallLog[[#This Row],[Speed of answer in seconds]]&lt;=20),
    "Within",
    "Breach")</f>
        <v>Breach</v>
      </c>
      <c r="M3252" s="1">
        <v>3.1828703703703702E-3</v>
      </c>
      <c r="N3252">
        <v>1</v>
      </c>
    </row>
    <row r="3253" spans="1:14" x14ac:dyDescent="0.3">
      <c r="A3253" t="s">
        <v>3333</v>
      </c>
      <c r="B3253" t="s">
        <v>34</v>
      </c>
      <c r="C3253" t="s">
        <v>3298</v>
      </c>
      <c r="D3253" s="1">
        <v>0.65400462962962957</v>
      </c>
      <c r="E3253" s="2">
        <f>CallLog[[#This Row],[Date]]+CallLog[[#This Row],[Time]]</f>
        <v>44253.654004629629</v>
      </c>
      <c r="F3253" s="1" t="str">
        <f>TEXT(CallLog[[#This Row],[Date]],"dddd")</f>
        <v>Friday</v>
      </c>
      <c r="G3253" s="3">
        <f>HOUR(CallLog[[#This Row],[Time]])</f>
        <v>15</v>
      </c>
      <c r="H3253" t="s">
        <v>13</v>
      </c>
      <c r="I3253" t="s">
        <v>18</v>
      </c>
      <c r="J3253" t="s">
        <v>18</v>
      </c>
      <c r="L3253" t="str">
        <f>IF(AND(CallLog[[#This Row],[Answered (Y/N)]]="Y", CallLog[[#This Row],[Speed of answer in seconds]]&lt;=20),
    "Within",
    "Breach")</f>
        <v>Breach</v>
      </c>
    </row>
    <row r="3254" spans="1:14" x14ac:dyDescent="0.3">
      <c r="A3254" t="s">
        <v>3334</v>
      </c>
      <c r="B3254" t="s">
        <v>16</v>
      </c>
      <c r="C3254" t="s">
        <v>3298</v>
      </c>
      <c r="D3254" s="1">
        <v>0.67</v>
      </c>
      <c r="E3254" s="2">
        <f>CallLog[[#This Row],[Date]]+CallLog[[#This Row],[Time]]</f>
        <v>44253.67</v>
      </c>
      <c r="F3254" s="1" t="str">
        <f>TEXT(CallLog[[#This Row],[Date]],"dddd")</f>
        <v>Friday</v>
      </c>
      <c r="G3254" s="3">
        <f>HOUR(CallLog[[#This Row],[Time]])</f>
        <v>16</v>
      </c>
      <c r="H3254" t="s">
        <v>32</v>
      </c>
      <c r="I3254" t="s">
        <v>18</v>
      </c>
      <c r="J3254" t="s">
        <v>18</v>
      </c>
      <c r="L3254" t="str">
        <f>IF(AND(CallLog[[#This Row],[Answered (Y/N)]]="Y", CallLog[[#This Row],[Speed of answer in seconds]]&lt;=20),
    "Within",
    "Breach")</f>
        <v>Breach</v>
      </c>
    </row>
    <row r="3255" spans="1:14" x14ac:dyDescent="0.3">
      <c r="A3255" t="s">
        <v>3335</v>
      </c>
      <c r="B3255" t="s">
        <v>11</v>
      </c>
      <c r="C3255" t="s">
        <v>3298</v>
      </c>
      <c r="D3255" s="1">
        <v>0.67</v>
      </c>
      <c r="E3255" s="2">
        <f>CallLog[[#This Row],[Date]]+CallLog[[#This Row],[Time]]</f>
        <v>44253.67</v>
      </c>
      <c r="F3255" s="1" t="str">
        <f>TEXT(CallLog[[#This Row],[Date]],"dddd")</f>
        <v>Friday</v>
      </c>
      <c r="G3255" s="3">
        <f>HOUR(CallLog[[#This Row],[Time]])</f>
        <v>16</v>
      </c>
      <c r="H3255" t="s">
        <v>13</v>
      </c>
      <c r="I3255" t="s">
        <v>14</v>
      </c>
      <c r="J3255" t="s">
        <v>18</v>
      </c>
      <c r="K3255">
        <v>87</v>
      </c>
      <c r="L3255" t="str">
        <f>IF(AND(CallLog[[#This Row],[Answered (Y/N)]]="Y", CallLog[[#This Row],[Speed of answer in seconds]]&lt;=20),
    "Within",
    "Breach")</f>
        <v>Breach</v>
      </c>
      <c r="M3255" s="1">
        <v>8.7962962962962962E-4</v>
      </c>
      <c r="N3255">
        <v>4</v>
      </c>
    </row>
    <row r="3256" spans="1:14" x14ac:dyDescent="0.3">
      <c r="A3256" t="s">
        <v>3336</v>
      </c>
      <c r="B3256" t="s">
        <v>47</v>
      </c>
      <c r="C3256" t="s">
        <v>3298</v>
      </c>
      <c r="D3256" s="1">
        <v>0.68700231481481477</v>
      </c>
      <c r="E3256" s="2">
        <f>CallLog[[#This Row],[Date]]+CallLog[[#This Row],[Time]]</f>
        <v>44253.687002314815</v>
      </c>
      <c r="F3256" s="1" t="str">
        <f>TEXT(CallLog[[#This Row],[Date]],"dddd")</f>
        <v>Friday</v>
      </c>
      <c r="G3256" s="3">
        <f>HOUR(CallLog[[#This Row],[Time]])</f>
        <v>16</v>
      </c>
      <c r="H3256" t="s">
        <v>32</v>
      </c>
      <c r="I3256" t="s">
        <v>14</v>
      </c>
      <c r="J3256" t="s">
        <v>14</v>
      </c>
      <c r="K3256">
        <v>63</v>
      </c>
      <c r="L3256" t="str">
        <f>IF(AND(CallLog[[#This Row],[Answered (Y/N)]]="Y", CallLog[[#This Row],[Speed of answer in seconds]]&lt;=20),
    "Within",
    "Breach")</f>
        <v>Breach</v>
      </c>
      <c r="M3256" s="1">
        <v>2.3958333333333331E-3</v>
      </c>
      <c r="N3256">
        <v>3</v>
      </c>
    </row>
    <row r="3257" spans="1:14" x14ac:dyDescent="0.3">
      <c r="A3257" t="s">
        <v>3337</v>
      </c>
      <c r="B3257" t="s">
        <v>38</v>
      </c>
      <c r="C3257" t="s">
        <v>3298</v>
      </c>
      <c r="D3257" s="1">
        <v>0.68700231481481477</v>
      </c>
      <c r="E3257" s="2">
        <f>CallLog[[#This Row],[Date]]+CallLog[[#This Row],[Time]]</f>
        <v>44253.687002314815</v>
      </c>
      <c r="F3257" s="1" t="str">
        <f>TEXT(CallLog[[#This Row],[Date]],"dddd")</f>
        <v>Friday</v>
      </c>
      <c r="G3257" s="3">
        <f>HOUR(CallLog[[#This Row],[Time]])</f>
        <v>16</v>
      </c>
      <c r="H3257" t="s">
        <v>24</v>
      </c>
      <c r="I3257" t="s">
        <v>18</v>
      </c>
      <c r="J3257" t="s">
        <v>18</v>
      </c>
      <c r="L3257" t="str">
        <f>IF(AND(CallLog[[#This Row],[Answered (Y/N)]]="Y", CallLog[[#This Row],[Speed of answer in seconds]]&lt;=20),
    "Within",
    "Breach")</f>
        <v>Breach</v>
      </c>
    </row>
    <row r="3258" spans="1:14" x14ac:dyDescent="0.3">
      <c r="A3258" t="s">
        <v>3338</v>
      </c>
      <c r="B3258" t="s">
        <v>20</v>
      </c>
      <c r="C3258" t="s">
        <v>3298</v>
      </c>
      <c r="D3258" s="1">
        <v>0.70099537037037041</v>
      </c>
      <c r="E3258" s="2">
        <f>CallLog[[#This Row],[Date]]+CallLog[[#This Row],[Time]]</f>
        <v>44253.700995370367</v>
      </c>
      <c r="F3258" s="1" t="str">
        <f>TEXT(CallLog[[#This Row],[Date]],"dddd")</f>
        <v>Friday</v>
      </c>
      <c r="G3258" s="3">
        <f>HOUR(CallLog[[#This Row],[Time]])</f>
        <v>16</v>
      </c>
      <c r="H3258" t="s">
        <v>32</v>
      </c>
      <c r="I3258" t="s">
        <v>14</v>
      </c>
      <c r="J3258" t="s">
        <v>14</v>
      </c>
      <c r="K3258">
        <v>120</v>
      </c>
      <c r="L3258" t="str">
        <f>IF(AND(CallLog[[#This Row],[Answered (Y/N)]]="Y", CallLog[[#This Row],[Speed of answer in seconds]]&lt;=20),
    "Within",
    "Breach")</f>
        <v>Breach</v>
      </c>
      <c r="M3258" s="1">
        <v>4.6180555555555558E-3</v>
      </c>
      <c r="N3258">
        <v>4</v>
      </c>
    </row>
    <row r="3259" spans="1:14" x14ac:dyDescent="0.3">
      <c r="A3259" t="s">
        <v>3339</v>
      </c>
      <c r="B3259" t="s">
        <v>31</v>
      </c>
      <c r="C3259" t="s">
        <v>3298</v>
      </c>
      <c r="D3259" s="1">
        <v>0.70099537037037041</v>
      </c>
      <c r="E3259" s="2">
        <f>CallLog[[#This Row],[Date]]+CallLog[[#This Row],[Time]]</f>
        <v>44253.700995370367</v>
      </c>
      <c r="F3259" s="1" t="str">
        <f>TEXT(CallLog[[#This Row],[Date]],"dddd")</f>
        <v>Friday</v>
      </c>
      <c r="G3259" s="3">
        <f>HOUR(CallLog[[#This Row],[Time]])</f>
        <v>16</v>
      </c>
      <c r="H3259" t="s">
        <v>32</v>
      </c>
      <c r="I3259" t="s">
        <v>18</v>
      </c>
      <c r="J3259" t="s">
        <v>18</v>
      </c>
      <c r="L3259" t="str">
        <f>IF(AND(CallLog[[#This Row],[Answered (Y/N)]]="Y", CallLog[[#This Row],[Speed of answer in seconds]]&lt;=20),
    "Within",
    "Breach")</f>
        <v>Breach</v>
      </c>
    </row>
    <row r="3260" spans="1:14" x14ac:dyDescent="0.3">
      <c r="A3260" t="s">
        <v>3340</v>
      </c>
      <c r="B3260" t="s">
        <v>20</v>
      </c>
      <c r="C3260" t="s">
        <v>3298</v>
      </c>
      <c r="D3260" s="1">
        <v>0.70700231481481479</v>
      </c>
      <c r="E3260" s="2">
        <f>CallLog[[#This Row],[Date]]+CallLog[[#This Row],[Time]]</f>
        <v>44253.707002314812</v>
      </c>
      <c r="F3260" s="1" t="str">
        <f>TEXT(CallLog[[#This Row],[Date]],"dddd")</f>
        <v>Friday</v>
      </c>
      <c r="G3260" s="3">
        <f>HOUR(CallLog[[#This Row],[Time]])</f>
        <v>16</v>
      </c>
      <c r="H3260" t="s">
        <v>32</v>
      </c>
      <c r="I3260" t="s">
        <v>18</v>
      </c>
      <c r="J3260" t="s">
        <v>18</v>
      </c>
      <c r="L3260" t="str">
        <f>IF(AND(CallLog[[#This Row],[Answered (Y/N)]]="Y", CallLog[[#This Row],[Speed of answer in seconds]]&lt;=20),
    "Within",
    "Breach")</f>
        <v>Breach</v>
      </c>
    </row>
    <row r="3261" spans="1:14" x14ac:dyDescent="0.3">
      <c r="A3261" t="s">
        <v>3341</v>
      </c>
      <c r="B3261" t="s">
        <v>20</v>
      </c>
      <c r="C3261" t="s">
        <v>3298</v>
      </c>
      <c r="D3261" s="1">
        <v>0.70700231481481479</v>
      </c>
      <c r="E3261" s="2">
        <f>CallLog[[#This Row],[Date]]+CallLog[[#This Row],[Time]]</f>
        <v>44253.707002314812</v>
      </c>
      <c r="F3261" s="1" t="str">
        <f>TEXT(CallLog[[#This Row],[Date]],"dddd")</f>
        <v>Friday</v>
      </c>
      <c r="G3261" s="3">
        <f>HOUR(CallLog[[#This Row],[Time]])</f>
        <v>16</v>
      </c>
      <c r="H3261" t="s">
        <v>24</v>
      </c>
      <c r="I3261" t="s">
        <v>14</v>
      </c>
      <c r="J3261" t="s">
        <v>14</v>
      </c>
      <c r="K3261">
        <v>23</v>
      </c>
      <c r="L3261" t="str">
        <f>IF(AND(CallLog[[#This Row],[Answered (Y/N)]]="Y", CallLog[[#This Row],[Speed of answer in seconds]]&lt;=20),
    "Within",
    "Breach")</f>
        <v>Breach</v>
      </c>
      <c r="M3261" s="1">
        <v>3.6921296296296298E-3</v>
      </c>
      <c r="N3261">
        <v>4</v>
      </c>
    </row>
    <row r="3262" spans="1:14" x14ac:dyDescent="0.3">
      <c r="A3262" t="s">
        <v>3342</v>
      </c>
      <c r="B3262" t="s">
        <v>38</v>
      </c>
      <c r="C3262" t="s">
        <v>3298</v>
      </c>
      <c r="D3262" s="1">
        <v>0.7120023148148148</v>
      </c>
      <c r="E3262" s="2">
        <f>CallLog[[#This Row],[Date]]+CallLog[[#This Row],[Time]]</f>
        <v>44253.712002314816</v>
      </c>
      <c r="F3262" s="1" t="str">
        <f>TEXT(CallLog[[#This Row],[Date]],"dddd")</f>
        <v>Friday</v>
      </c>
      <c r="G3262" s="3">
        <f>HOUR(CallLog[[#This Row],[Time]])</f>
        <v>17</v>
      </c>
      <c r="H3262" t="s">
        <v>17</v>
      </c>
      <c r="I3262" t="s">
        <v>14</v>
      </c>
      <c r="J3262" t="s">
        <v>18</v>
      </c>
      <c r="K3262">
        <v>122</v>
      </c>
      <c r="L3262" t="str">
        <f>IF(AND(CallLog[[#This Row],[Answered (Y/N)]]="Y", CallLog[[#This Row],[Speed of answer in seconds]]&lt;=20),
    "Within",
    "Breach")</f>
        <v>Breach</v>
      </c>
      <c r="M3262" s="1">
        <v>2.650462962962963E-3</v>
      </c>
      <c r="N3262">
        <v>5</v>
      </c>
    </row>
    <row r="3263" spans="1:14" x14ac:dyDescent="0.3">
      <c r="A3263" t="s">
        <v>3343</v>
      </c>
      <c r="B3263" t="s">
        <v>34</v>
      </c>
      <c r="C3263" t="s">
        <v>3298</v>
      </c>
      <c r="D3263" s="1">
        <v>0.7120023148148148</v>
      </c>
      <c r="E3263" s="2">
        <f>CallLog[[#This Row],[Date]]+CallLog[[#This Row],[Time]]</f>
        <v>44253.712002314816</v>
      </c>
      <c r="F3263" s="1" t="str">
        <f>TEXT(CallLog[[#This Row],[Date]],"dddd")</f>
        <v>Friday</v>
      </c>
      <c r="G3263" s="3">
        <f>HOUR(CallLog[[#This Row],[Time]])</f>
        <v>17</v>
      </c>
      <c r="H3263" t="s">
        <v>13</v>
      </c>
      <c r="I3263" t="s">
        <v>14</v>
      </c>
      <c r="J3263" t="s">
        <v>14</v>
      </c>
      <c r="K3263">
        <v>60</v>
      </c>
      <c r="L3263" t="str">
        <f>IF(AND(CallLog[[#This Row],[Answered (Y/N)]]="Y", CallLog[[#This Row],[Speed of answer in seconds]]&lt;=20),
    "Within",
    "Breach")</f>
        <v>Breach</v>
      </c>
      <c r="M3263" s="1">
        <v>2.4074074074074076E-3</v>
      </c>
      <c r="N3263">
        <v>1</v>
      </c>
    </row>
    <row r="3264" spans="1:14" x14ac:dyDescent="0.3">
      <c r="A3264" t="s">
        <v>3344</v>
      </c>
      <c r="B3264" t="s">
        <v>47</v>
      </c>
      <c r="C3264" t="s">
        <v>3298</v>
      </c>
      <c r="D3264" s="1">
        <v>0.73299768518518515</v>
      </c>
      <c r="E3264" s="2">
        <f>CallLog[[#This Row],[Date]]+CallLog[[#This Row],[Time]]</f>
        <v>44253.732997685183</v>
      </c>
      <c r="F3264" s="1" t="str">
        <f>TEXT(CallLog[[#This Row],[Date]],"dddd")</f>
        <v>Friday</v>
      </c>
      <c r="G3264" s="3">
        <f>HOUR(CallLog[[#This Row],[Time]])</f>
        <v>17</v>
      </c>
      <c r="H3264" t="s">
        <v>13</v>
      </c>
      <c r="I3264" t="s">
        <v>14</v>
      </c>
      <c r="J3264" t="s">
        <v>14</v>
      </c>
      <c r="K3264">
        <v>123</v>
      </c>
      <c r="L3264" t="str">
        <f>IF(AND(CallLog[[#This Row],[Answered (Y/N)]]="Y", CallLog[[#This Row],[Speed of answer in seconds]]&lt;=20),
    "Within",
    "Breach")</f>
        <v>Breach</v>
      </c>
      <c r="M3264" s="1">
        <v>5.2083333333333333E-4</v>
      </c>
      <c r="N3264">
        <v>5</v>
      </c>
    </row>
    <row r="3265" spans="1:14" x14ac:dyDescent="0.3">
      <c r="A3265" t="s">
        <v>3345</v>
      </c>
      <c r="B3265" t="s">
        <v>47</v>
      </c>
      <c r="C3265" t="s">
        <v>3298</v>
      </c>
      <c r="D3265" s="1">
        <v>0.73299768518518515</v>
      </c>
      <c r="E3265" s="2">
        <f>CallLog[[#This Row],[Date]]+CallLog[[#This Row],[Time]]</f>
        <v>44253.732997685183</v>
      </c>
      <c r="F3265" s="1" t="str">
        <f>TEXT(CallLog[[#This Row],[Date]],"dddd")</f>
        <v>Friday</v>
      </c>
      <c r="G3265" s="3">
        <f>HOUR(CallLog[[#This Row],[Time]])</f>
        <v>17</v>
      </c>
      <c r="H3265" t="s">
        <v>17</v>
      </c>
      <c r="I3265" t="s">
        <v>14</v>
      </c>
      <c r="J3265" t="s">
        <v>14</v>
      </c>
      <c r="K3265">
        <v>64</v>
      </c>
      <c r="L3265" t="str">
        <f>IF(AND(CallLog[[#This Row],[Answered (Y/N)]]="Y", CallLog[[#This Row],[Speed of answer in seconds]]&lt;=20),
    "Within",
    "Breach")</f>
        <v>Breach</v>
      </c>
      <c r="M3265" s="1">
        <v>3.6921296296296298E-3</v>
      </c>
      <c r="N3265">
        <v>1</v>
      </c>
    </row>
    <row r="3266" spans="1:14" x14ac:dyDescent="0.3">
      <c r="A3266" t="s">
        <v>3346</v>
      </c>
      <c r="B3266" t="s">
        <v>22</v>
      </c>
      <c r="C3266" t="s">
        <v>3298</v>
      </c>
      <c r="D3266" s="1">
        <v>0.73400462962962965</v>
      </c>
      <c r="E3266" s="2">
        <f>CallLog[[#This Row],[Date]]+CallLog[[#This Row],[Time]]</f>
        <v>44253.73400462963</v>
      </c>
      <c r="F3266" s="1" t="str">
        <f>TEXT(CallLog[[#This Row],[Date]],"dddd")</f>
        <v>Friday</v>
      </c>
      <c r="G3266" s="3">
        <f>HOUR(CallLog[[#This Row],[Time]])</f>
        <v>17</v>
      </c>
      <c r="H3266" t="s">
        <v>32</v>
      </c>
      <c r="I3266" t="s">
        <v>14</v>
      </c>
      <c r="J3266" t="s">
        <v>14</v>
      </c>
      <c r="K3266">
        <v>124</v>
      </c>
      <c r="L3266" t="str">
        <f>IF(AND(CallLog[[#This Row],[Answered (Y/N)]]="Y", CallLog[[#This Row],[Speed of answer in seconds]]&lt;=20),
    "Within",
    "Breach")</f>
        <v>Breach</v>
      </c>
      <c r="M3266" s="1">
        <v>3.5185185185185185E-3</v>
      </c>
      <c r="N3266">
        <v>2</v>
      </c>
    </row>
    <row r="3267" spans="1:14" x14ac:dyDescent="0.3">
      <c r="A3267" t="s">
        <v>3347</v>
      </c>
      <c r="B3267" t="s">
        <v>11</v>
      </c>
      <c r="C3267" t="s">
        <v>3298</v>
      </c>
      <c r="D3267" s="1">
        <v>0.73400462962962965</v>
      </c>
      <c r="E3267" s="2">
        <f>CallLog[[#This Row],[Date]]+CallLog[[#This Row],[Time]]</f>
        <v>44253.73400462963</v>
      </c>
      <c r="F3267" s="1" t="str">
        <f>TEXT(CallLog[[#This Row],[Date]],"dddd")</f>
        <v>Friday</v>
      </c>
      <c r="G3267" s="3">
        <f>HOUR(CallLog[[#This Row],[Time]])</f>
        <v>17</v>
      </c>
      <c r="H3267" t="s">
        <v>13</v>
      </c>
      <c r="I3267" t="s">
        <v>14</v>
      </c>
      <c r="J3267" t="s">
        <v>14</v>
      </c>
      <c r="K3267">
        <v>102</v>
      </c>
      <c r="L3267" t="str">
        <f>IF(AND(CallLog[[#This Row],[Answered (Y/N)]]="Y", CallLog[[#This Row],[Speed of answer in seconds]]&lt;=20),
    "Within",
    "Breach")</f>
        <v>Breach</v>
      </c>
      <c r="M3267" s="1">
        <v>1.6203703703703703E-3</v>
      </c>
      <c r="N3267">
        <v>4</v>
      </c>
    </row>
    <row r="3268" spans="1:14" x14ac:dyDescent="0.3">
      <c r="A3268" t="s">
        <v>3348</v>
      </c>
      <c r="B3268" t="s">
        <v>16</v>
      </c>
      <c r="C3268" t="s">
        <v>3298</v>
      </c>
      <c r="D3268" s="1">
        <v>0.73599537037037033</v>
      </c>
      <c r="E3268" s="2">
        <f>CallLog[[#This Row],[Date]]+CallLog[[#This Row],[Time]]</f>
        <v>44253.735995370371</v>
      </c>
      <c r="F3268" s="1" t="str">
        <f>TEXT(CallLog[[#This Row],[Date]],"dddd")</f>
        <v>Friday</v>
      </c>
      <c r="G3268" s="3">
        <f>HOUR(CallLog[[#This Row],[Time]])</f>
        <v>17</v>
      </c>
      <c r="H3268" t="s">
        <v>29</v>
      </c>
      <c r="I3268" t="s">
        <v>14</v>
      </c>
      <c r="J3268" t="s">
        <v>14</v>
      </c>
      <c r="K3268">
        <v>27</v>
      </c>
      <c r="L3268" t="str">
        <f>IF(AND(CallLog[[#This Row],[Answered (Y/N)]]="Y", CallLog[[#This Row],[Speed of answer in seconds]]&lt;=20),
    "Within",
    "Breach")</f>
        <v>Breach</v>
      </c>
      <c r="M3268" s="1">
        <v>4.5370370370370373E-3</v>
      </c>
      <c r="N3268">
        <v>4</v>
      </c>
    </row>
    <row r="3269" spans="1:14" x14ac:dyDescent="0.3">
      <c r="A3269" t="s">
        <v>3349</v>
      </c>
      <c r="B3269" t="s">
        <v>16</v>
      </c>
      <c r="C3269" t="s">
        <v>3298</v>
      </c>
      <c r="D3269" s="1">
        <v>0.73599537037037033</v>
      </c>
      <c r="E3269" s="2">
        <f>CallLog[[#This Row],[Date]]+CallLog[[#This Row],[Time]]</f>
        <v>44253.735995370371</v>
      </c>
      <c r="F3269" s="1" t="str">
        <f>TEXT(CallLog[[#This Row],[Date]],"dddd")</f>
        <v>Friday</v>
      </c>
      <c r="G3269" s="3">
        <f>HOUR(CallLog[[#This Row],[Time]])</f>
        <v>17</v>
      </c>
      <c r="H3269" t="s">
        <v>29</v>
      </c>
      <c r="I3269" t="s">
        <v>14</v>
      </c>
      <c r="J3269" t="s">
        <v>14</v>
      </c>
      <c r="K3269">
        <v>26</v>
      </c>
      <c r="L3269" t="str">
        <f>IF(AND(CallLog[[#This Row],[Answered (Y/N)]]="Y", CallLog[[#This Row],[Speed of answer in seconds]]&lt;=20),
    "Within",
    "Breach")</f>
        <v>Breach</v>
      </c>
      <c r="M3269" s="1">
        <v>4.0162037037037041E-3</v>
      </c>
      <c r="N3269">
        <v>4</v>
      </c>
    </row>
    <row r="3270" spans="1:14" x14ac:dyDescent="0.3">
      <c r="A3270" t="s">
        <v>3350</v>
      </c>
      <c r="B3270" t="s">
        <v>34</v>
      </c>
      <c r="C3270" t="s">
        <v>3298</v>
      </c>
      <c r="D3270" s="1">
        <v>0.73799768518518516</v>
      </c>
      <c r="E3270" s="2">
        <f>CallLog[[#This Row],[Date]]+CallLog[[#This Row],[Time]]</f>
        <v>44253.737997685188</v>
      </c>
      <c r="F3270" s="1" t="str">
        <f>TEXT(CallLog[[#This Row],[Date]],"dddd")</f>
        <v>Friday</v>
      </c>
      <c r="G3270" s="3">
        <f>HOUR(CallLog[[#This Row],[Time]])</f>
        <v>17</v>
      </c>
      <c r="H3270" t="s">
        <v>24</v>
      </c>
      <c r="I3270" t="s">
        <v>14</v>
      </c>
      <c r="J3270" t="s">
        <v>14</v>
      </c>
      <c r="K3270">
        <v>42</v>
      </c>
      <c r="L3270" t="str">
        <f>IF(AND(CallLog[[#This Row],[Answered (Y/N)]]="Y", CallLog[[#This Row],[Speed of answer in seconds]]&lt;=20),
    "Within",
    "Breach")</f>
        <v>Breach</v>
      </c>
      <c r="M3270" s="1">
        <v>9.3749999999999997E-4</v>
      </c>
      <c r="N3270">
        <v>5</v>
      </c>
    </row>
    <row r="3271" spans="1:14" x14ac:dyDescent="0.3">
      <c r="A3271" t="s">
        <v>3351</v>
      </c>
      <c r="B3271" t="s">
        <v>47</v>
      </c>
      <c r="C3271" t="s">
        <v>3298</v>
      </c>
      <c r="D3271" s="1">
        <v>0.73799768518518516</v>
      </c>
      <c r="E3271" s="2">
        <f>CallLog[[#This Row],[Date]]+CallLog[[#This Row],[Time]]</f>
        <v>44253.737997685188</v>
      </c>
      <c r="F3271" s="1" t="str">
        <f>TEXT(CallLog[[#This Row],[Date]],"dddd")</f>
        <v>Friday</v>
      </c>
      <c r="G3271" s="3">
        <f>HOUR(CallLog[[#This Row],[Time]])</f>
        <v>17</v>
      </c>
      <c r="H3271" t="s">
        <v>17</v>
      </c>
      <c r="I3271" t="s">
        <v>14</v>
      </c>
      <c r="J3271" t="s">
        <v>14</v>
      </c>
      <c r="K3271">
        <v>121</v>
      </c>
      <c r="L3271" t="str">
        <f>IF(AND(CallLog[[#This Row],[Answered (Y/N)]]="Y", CallLog[[#This Row],[Speed of answer in seconds]]&lt;=20),
    "Within",
    "Breach")</f>
        <v>Breach</v>
      </c>
      <c r="M3271" s="1">
        <v>3.0787037037037037E-3</v>
      </c>
      <c r="N3271">
        <v>4</v>
      </c>
    </row>
    <row r="3272" spans="1:14" x14ac:dyDescent="0.3">
      <c r="A3272" t="s">
        <v>3352</v>
      </c>
      <c r="B3272" t="s">
        <v>16</v>
      </c>
      <c r="C3272" t="s">
        <v>3298</v>
      </c>
      <c r="D3272" s="1">
        <v>0.74400462962962965</v>
      </c>
      <c r="E3272" s="2">
        <f>CallLog[[#This Row],[Date]]+CallLog[[#This Row],[Time]]</f>
        <v>44253.744004629632</v>
      </c>
      <c r="F3272" s="1" t="str">
        <f>TEXT(CallLog[[#This Row],[Date]],"dddd")</f>
        <v>Friday</v>
      </c>
      <c r="G3272" s="3">
        <f>HOUR(CallLog[[#This Row],[Time]])</f>
        <v>17</v>
      </c>
      <c r="H3272" t="s">
        <v>24</v>
      </c>
      <c r="I3272" t="s">
        <v>14</v>
      </c>
      <c r="J3272" t="s">
        <v>14</v>
      </c>
      <c r="K3272">
        <v>91</v>
      </c>
      <c r="L3272" t="str">
        <f>IF(AND(CallLog[[#This Row],[Answered (Y/N)]]="Y", CallLog[[#This Row],[Speed of answer in seconds]]&lt;=20),
    "Within",
    "Breach")</f>
        <v>Breach</v>
      </c>
      <c r="M3272" s="1">
        <v>4.4675925925925924E-3</v>
      </c>
      <c r="N3272">
        <v>3</v>
      </c>
    </row>
    <row r="3273" spans="1:14" x14ac:dyDescent="0.3">
      <c r="A3273" t="s">
        <v>3353</v>
      </c>
      <c r="B3273" t="s">
        <v>20</v>
      </c>
      <c r="C3273" t="s">
        <v>3298</v>
      </c>
      <c r="D3273" s="1">
        <v>0.74400462962962965</v>
      </c>
      <c r="E3273" s="2">
        <f>CallLog[[#This Row],[Date]]+CallLog[[#This Row],[Time]]</f>
        <v>44253.744004629632</v>
      </c>
      <c r="F3273" s="1" t="str">
        <f>TEXT(CallLog[[#This Row],[Date]],"dddd")</f>
        <v>Friday</v>
      </c>
      <c r="G3273" s="3">
        <f>HOUR(CallLog[[#This Row],[Time]])</f>
        <v>17</v>
      </c>
      <c r="H3273" t="s">
        <v>17</v>
      </c>
      <c r="I3273" t="s">
        <v>14</v>
      </c>
      <c r="J3273" t="s">
        <v>14</v>
      </c>
      <c r="K3273">
        <v>79</v>
      </c>
      <c r="L3273" t="str">
        <f>IF(AND(CallLog[[#This Row],[Answered (Y/N)]]="Y", CallLog[[#This Row],[Speed of answer in seconds]]&lt;=20),
    "Within",
    "Breach")</f>
        <v>Breach</v>
      </c>
      <c r="M3273" s="1">
        <v>2.7430555555555554E-3</v>
      </c>
      <c r="N3273">
        <v>5</v>
      </c>
    </row>
    <row r="3274" spans="1:14" x14ac:dyDescent="0.3">
      <c r="A3274" t="s">
        <v>3354</v>
      </c>
      <c r="B3274" t="s">
        <v>20</v>
      </c>
      <c r="C3274" t="s">
        <v>3355</v>
      </c>
      <c r="D3274" s="1">
        <v>0.38299768518518518</v>
      </c>
      <c r="E3274" s="2">
        <f>CallLog[[#This Row],[Date]]+CallLog[[#This Row],[Time]]</f>
        <v>44254.382997685185</v>
      </c>
      <c r="F3274" s="1" t="str">
        <f>TEXT(CallLog[[#This Row],[Date]],"dddd")</f>
        <v>Saturday</v>
      </c>
      <c r="G3274" s="3">
        <f>HOUR(CallLog[[#This Row],[Time]])</f>
        <v>9</v>
      </c>
      <c r="H3274" t="s">
        <v>32</v>
      </c>
      <c r="I3274" t="s">
        <v>14</v>
      </c>
      <c r="J3274" t="s">
        <v>14</v>
      </c>
      <c r="K3274">
        <v>49</v>
      </c>
      <c r="L3274" t="str">
        <f>IF(AND(CallLog[[#This Row],[Answered (Y/N)]]="Y", CallLog[[#This Row],[Speed of answer in seconds]]&lt;=20),
    "Within",
    "Breach")</f>
        <v>Breach</v>
      </c>
      <c r="M3274" s="1">
        <v>3.0324074074074073E-3</v>
      </c>
      <c r="N3274">
        <v>5</v>
      </c>
    </row>
    <row r="3275" spans="1:14" x14ac:dyDescent="0.3">
      <c r="A3275" t="s">
        <v>3356</v>
      </c>
      <c r="B3275" t="s">
        <v>38</v>
      </c>
      <c r="C3275" t="s">
        <v>3355</v>
      </c>
      <c r="D3275" s="1">
        <v>0.38299768518518518</v>
      </c>
      <c r="E3275" s="2">
        <f>CallLog[[#This Row],[Date]]+CallLog[[#This Row],[Time]]</f>
        <v>44254.382997685185</v>
      </c>
      <c r="F3275" s="1" t="str">
        <f>TEXT(CallLog[[#This Row],[Date]],"dddd")</f>
        <v>Saturday</v>
      </c>
      <c r="G3275" s="3">
        <f>HOUR(CallLog[[#This Row],[Time]])</f>
        <v>9</v>
      </c>
      <c r="H3275" t="s">
        <v>32</v>
      </c>
      <c r="I3275" t="s">
        <v>18</v>
      </c>
      <c r="J3275" t="s">
        <v>18</v>
      </c>
      <c r="L3275" t="str">
        <f>IF(AND(CallLog[[#This Row],[Answered (Y/N)]]="Y", CallLog[[#This Row],[Speed of answer in seconds]]&lt;=20),
    "Within",
    "Breach")</f>
        <v>Breach</v>
      </c>
    </row>
    <row r="3276" spans="1:14" x14ac:dyDescent="0.3">
      <c r="A3276" t="s">
        <v>3357</v>
      </c>
      <c r="B3276" t="s">
        <v>38</v>
      </c>
      <c r="C3276" t="s">
        <v>3355</v>
      </c>
      <c r="D3276" s="1">
        <v>0.38299768518518518</v>
      </c>
      <c r="E3276" s="2">
        <f>CallLog[[#This Row],[Date]]+CallLog[[#This Row],[Time]]</f>
        <v>44254.382997685185</v>
      </c>
      <c r="F3276" s="1" t="str">
        <f>TEXT(CallLog[[#This Row],[Date]],"dddd")</f>
        <v>Saturday</v>
      </c>
      <c r="G3276" s="3">
        <f>HOUR(CallLog[[#This Row],[Time]])</f>
        <v>9</v>
      </c>
      <c r="H3276" t="s">
        <v>13</v>
      </c>
      <c r="I3276" t="s">
        <v>14</v>
      </c>
      <c r="J3276" t="s">
        <v>18</v>
      </c>
      <c r="K3276">
        <v>44</v>
      </c>
      <c r="L3276" t="str">
        <f>IF(AND(CallLog[[#This Row],[Answered (Y/N)]]="Y", CallLog[[#This Row],[Speed of answer in seconds]]&lt;=20),
    "Within",
    "Breach")</f>
        <v>Breach</v>
      </c>
      <c r="M3276" s="1">
        <v>3.6574074074074074E-3</v>
      </c>
      <c r="N3276">
        <v>4</v>
      </c>
    </row>
    <row r="3277" spans="1:14" x14ac:dyDescent="0.3">
      <c r="A3277" t="s">
        <v>3358</v>
      </c>
      <c r="B3277" t="s">
        <v>16</v>
      </c>
      <c r="C3277" t="s">
        <v>3355</v>
      </c>
      <c r="D3277" s="1">
        <v>0.38299768518518518</v>
      </c>
      <c r="E3277" s="2">
        <f>CallLog[[#This Row],[Date]]+CallLog[[#This Row],[Time]]</f>
        <v>44254.382997685185</v>
      </c>
      <c r="F3277" s="1" t="str">
        <f>TEXT(CallLog[[#This Row],[Date]],"dddd")</f>
        <v>Saturday</v>
      </c>
      <c r="G3277" s="3">
        <f>HOUR(CallLog[[#This Row],[Time]])</f>
        <v>9</v>
      </c>
      <c r="H3277" t="s">
        <v>13</v>
      </c>
      <c r="I3277" t="s">
        <v>18</v>
      </c>
      <c r="J3277" t="s">
        <v>18</v>
      </c>
      <c r="L3277" t="str">
        <f>IF(AND(CallLog[[#This Row],[Answered (Y/N)]]="Y", CallLog[[#This Row],[Speed of answer in seconds]]&lt;=20),
    "Within",
    "Breach")</f>
        <v>Breach</v>
      </c>
    </row>
    <row r="3278" spans="1:14" x14ac:dyDescent="0.3">
      <c r="A3278" t="s">
        <v>3359</v>
      </c>
      <c r="B3278" t="s">
        <v>22</v>
      </c>
      <c r="C3278" t="s">
        <v>3355</v>
      </c>
      <c r="D3278" s="1">
        <v>0.4070023148148148</v>
      </c>
      <c r="E3278" s="2">
        <f>CallLog[[#This Row],[Date]]+CallLog[[#This Row],[Time]]</f>
        <v>44254.407002314816</v>
      </c>
      <c r="F3278" s="1" t="str">
        <f>TEXT(CallLog[[#This Row],[Date]],"dddd")</f>
        <v>Saturday</v>
      </c>
      <c r="G3278" s="3">
        <f>HOUR(CallLog[[#This Row],[Time]])</f>
        <v>9</v>
      </c>
      <c r="H3278" t="s">
        <v>32</v>
      </c>
      <c r="I3278" t="s">
        <v>18</v>
      </c>
      <c r="J3278" t="s">
        <v>18</v>
      </c>
      <c r="L3278" t="str">
        <f>IF(AND(CallLog[[#This Row],[Answered (Y/N)]]="Y", CallLog[[#This Row],[Speed of answer in seconds]]&lt;=20),
    "Within",
    "Breach")</f>
        <v>Breach</v>
      </c>
    </row>
    <row r="3279" spans="1:14" x14ac:dyDescent="0.3">
      <c r="A3279" t="s">
        <v>3360</v>
      </c>
      <c r="B3279" t="s">
        <v>22</v>
      </c>
      <c r="C3279" t="s">
        <v>3355</v>
      </c>
      <c r="D3279" s="1">
        <v>0.4070023148148148</v>
      </c>
      <c r="E3279" s="2">
        <f>CallLog[[#This Row],[Date]]+CallLog[[#This Row],[Time]]</f>
        <v>44254.407002314816</v>
      </c>
      <c r="F3279" s="1" t="str">
        <f>TEXT(CallLog[[#This Row],[Date]],"dddd")</f>
        <v>Saturday</v>
      </c>
      <c r="G3279" s="3">
        <f>HOUR(CallLog[[#This Row],[Time]])</f>
        <v>9</v>
      </c>
      <c r="H3279" t="s">
        <v>32</v>
      </c>
      <c r="I3279" t="s">
        <v>14</v>
      </c>
      <c r="J3279" t="s">
        <v>14</v>
      </c>
      <c r="K3279">
        <v>47</v>
      </c>
      <c r="L3279" t="str">
        <f>IF(AND(CallLog[[#This Row],[Answered (Y/N)]]="Y", CallLog[[#This Row],[Speed of answer in seconds]]&lt;=20),
    "Within",
    "Breach")</f>
        <v>Breach</v>
      </c>
      <c r="M3279" s="1">
        <v>4.2245370370370371E-3</v>
      </c>
      <c r="N3279">
        <v>3</v>
      </c>
    </row>
    <row r="3280" spans="1:14" x14ac:dyDescent="0.3">
      <c r="A3280" t="s">
        <v>3361</v>
      </c>
      <c r="B3280" t="s">
        <v>22</v>
      </c>
      <c r="C3280" t="s">
        <v>3355</v>
      </c>
      <c r="D3280" s="1">
        <v>0.41</v>
      </c>
      <c r="E3280" s="2">
        <f>CallLog[[#This Row],[Date]]+CallLog[[#This Row],[Time]]</f>
        <v>44254.41</v>
      </c>
      <c r="F3280" s="1" t="str">
        <f>TEXT(CallLog[[#This Row],[Date]],"dddd")</f>
        <v>Saturday</v>
      </c>
      <c r="G3280" s="3">
        <f>HOUR(CallLog[[#This Row],[Time]])</f>
        <v>9</v>
      </c>
      <c r="H3280" t="s">
        <v>32</v>
      </c>
      <c r="I3280" t="s">
        <v>18</v>
      </c>
      <c r="J3280" t="s">
        <v>18</v>
      </c>
      <c r="L3280" t="str">
        <f>IF(AND(CallLog[[#This Row],[Answered (Y/N)]]="Y", CallLog[[#This Row],[Speed of answer in seconds]]&lt;=20),
    "Within",
    "Breach")</f>
        <v>Breach</v>
      </c>
    </row>
    <row r="3281" spans="1:14" x14ac:dyDescent="0.3">
      <c r="A3281" t="s">
        <v>3362</v>
      </c>
      <c r="B3281" t="s">
        <v>11</v>
      </c>
      <c r="C3281" t="s">
        <v>3355</v>
      </c>
      <c r="D3281" s="1">
        <v>0.41</v>
      </c>
      <c r="E3281" s="2">
        <f>CallLog[[#This Row],[Date]]+CallLog[[#This Row],[Time]]</f>
        <v>44254.41</v>
      </c>
      <c r="F3281" s="1" t="str">
        <f>TEXT(CallLog[[#This Row],[Date]],"dddd")</f>
        <v>Saturday</v>
      </c>
      <c r="G3281" s="3">
        <f>HOUR(CallLog[[#This Row],[Time]])</f>
        <v>9</v>
      </c>
      <c r="H3281" t="s">
        <v>24</v>
      </c>
      <c r="I3281" t="s">
        <v>18</v>
      </c>
      <c r="J3281" t="s">
        <v>18</v>
      </c>
      <c r="L3281" t="str">
        <f>IF(AND(CallLog[[#This Row],[Answered (Y/N)]]="Y", CallLog[[#This Row],[Speed of answer in seconds]]&lt;=20),
    "Within",
    "Breach")</f>
        <v>Breach</v>
      </c>
    </row>
    <row r="3282" spans="1:14" x14ac:dyDescent="0.3">
      <c r="A3282" t="s">
        <v>3363</v>
      </c>
      <c r="B3282" t="s">
        <v>22</v>
      </c>
      <c r="C3282" t="s">
        <v>3355</v>
      </c>
      <c r="D3282" s="1">
        <v>0.41400462962962964</v>
      </c>
      <c r="E3282" s="2">
        <f>CallLog[[#This Row],[Date]]+CallLog[[#This Row],[Time]]</f>
        <v>44254.414004629631</v>
      </c>
      <c r="F3282" s="1" t="str">
        <f>TEXT(CallLog[[#This Row],[Date]],"dddd")</f>
        <v>Saturday</v>
      </c>
      <c r="G3282" s="3">
        <f>HOUR(CallLog[[#This Row],[Time]])</f>
        <v>9</v>
      </c>
      <c r="H3282" t="s">
        <v>17</v>
      </c>
      <c r="I3282" t="s">
        <v>14</v>
      </c>
      <c r="J3282" t="s">
        <v>18</v>
      </c>
      <c r="K3282">
        <v>26</v>
      </c>
      <c r="L3282" t="str">
        <f>IF(AND(CallLog[[#This Row],[Answered (Y/N)]]="Y", CallLog[[#This Row],[Speed of answer in seconds]]&lt;=20),
    "Within",
    "Breach")</f>
        <v>Breach</v>
      </c>
      <c r="M3282" s="1">
        <v>5.9027777777777778E-4</v>
      </c>
      <c r="N3282">
        <v>5</v>
      </c>
    </row>
    <row r="3283" spans="1:14" x14ac:dyDescent="0.3">
      <c r="A3283" t="s">
        <v>3364</v>
      </c>
      <c r="B3283" t="s">
        <v>22</v>
      </c>
      <c r="C3283" t="s">
        <v>3355</v>
      </c>
      <c r="D3283" s="1">
        <v>0.41400462962962964</v>
      </c>
      <c r="E3283" s="2">
        <f>CallLog[[#This Row],[Date]]+CallLog[[#This Row],[Time]]</f>
        <v>44254.414004629631</v>
      </c>
      <c r="F3283" s="1" t="str">
        <f>TEXT(CallLog[[#This Row],[Date]],"dddd")</f>
        <v>Saturday</v>
      </c>
      <c r="G3283" s="3">
        <f>HOUR(CallLog[[#This Row],[Time]])</f>
        <v>9</v>
      </c>
      <c r="H3283" t="s">
        <v>29</v>
      </c>
      <c r="I3283" t="s">
        <v>18</v>
      </c>
      <c r="J3283" t="s">
        <v>18</v>
      </c>
      <c r="L3283" t="str">
        <f>IF(AND(CallLog[[#This Row],[Answered (Y/N)]]="Y", CallLog[[#This Row],[Speed of answer in seconds]]&lt;=20),
    "Within",
    "Breach")</f>
        <v>Breach</v>
      </c>
    </row>
    <row r="3284" spans="1:14" x14ac:dyDescent="0.3">
      <c r="A3284" t="s">
        <v>3365</v>
      </c>
      <c r="B3284" t="s">
        <v>38</v>
      </c>
      <c r="C3284" t="s">
        <v>3355</v>
      </c>
      <c r="D3284" s="1">
        <v>0.42799768518518516</v>
      </c>
      <c r="E3284" s="2">
        <f>CallLog[[#This Row],[Date]]+CallLog[[#This Row],[Time]]</f>
        <v>44254.427997685183</v>
      </c>
      <c r="F3284" s="1" t="str">
        <f>TEXT(CallLog[[#This Row],[Date]],"dddd")</f>
        <v>Saturday</v>
      </c>
      <c r="G3284" s="3">
        <f>HOUR(CallLog[[#This Row],[Time]])</f>
        <v>10</v>
      </c>
      <c r="H3284" t="s">
        <v>29</v>
      </c>
      <c r="I3284" t="s">
        <v>14</v>
      </c>
      <c r="J3284" t="s">
        <v>14</v>
      </c>
      <c r="K3284">
        <v>50</v>
      </c>
      <c r="L3284" t="str">
        <f>IF(AND(CallLog[[#This Row],[Answered (Y/N)]]="Y", CallLog[[#This Row],[Speed of answer in seconds]]&lt;=20),
    "Within",
    "Breach")</f>
        <v>Breach</v>
      </c>
      <c r="M3284" s="1">
        <v>1.0763888888888889E-3</v>
      </c>
      <c r="N3284">
        <v>3</v>
      </c>
    </row>
    <row r="3285" spans="1:14" x14ac:dyDescent="0.3">
      <c r="A3285" t="s">
        <v>3366</v>
      </c>
      <c r="B3285" t="s">
        <v>20</v>
      </c>
      <c r="C3285" t="s">
        <v>3355</v>
      </c>
      <c r="D3285" s="1">
        <v>0.42799768518518516</v>
      </c>
      <c r="E3285" s="2">
        <f>CallLog[[#This Row],[Date]]+CallLog[[#This Row],[Time]]</f>
        <v>44254.427997685183</v>
      </c>
      <c r="F3285" s="1" t="str">
        <f>TEXT(CallLog[[#This Row],[Date]],"dddd")</f>
        <v>Saturday</v>
      </c>
      <c r="G3285" s="3">
        <f>HOUR(CallLog[[#This Row],[Time]])</f>
        <v>10</v>
      </c>
      <c r="H3285" t="s">
        <v>32</v>
      </c>
      <c r="I3285" t="s">
        <v>14</v>
      </c>
      <c r="J3285" t="s">
        <v>14</v>
      </c>
      <c r="K3285">
        <v>121</v>
      </c>
      <c r="L3285" t="str">
        <f>IF(AND(CallLog[[#This Row],[Answered (Y/N)]]="Y", CallLog[[#This Row],[Speed of answer in seconds]]&lt;=20),
    "Within",
    "Breach")</f>
        <v>Breach</v>
      </c>
      <c r="M3285" s="1">
        <v>3.7037037037037038E-3</v>
      </c>
      <c r="N3285">
        <v>1</v>
      </c>
    </row>
    <row r="3286" spans="1:14" x14ac:dyDescent="0.3">
      <c r="A3286" t="s">
        <v>3367</v>
      </c>
      <c r="B3286" t="s">
        <v>31</v>
      </c>
      <c r="C3286" t="s">
        <v>3355</v>
      </c>
      <c r="D3286" s="1">
        <v>0.45200231481481479</v>
      </c>
      <c r="E3286" s="2">
        <f>CallLog[[#This Row],[Date]]+CallLog[[#This Row],[Time]]</f>
        <v>44254.452002314814</v>
      </c>
      <c r="F3286" s="1" t="str">
        <f>TEXT(CallLog[[#This Row],[Date]],"dddd")</f>
        <v>Saturday</v>
      </c>
      <c r="G3286" s="3">
        <f>HOUR(CallLog[[#This Row],[Time]])</f>
        <v>10</v>
      </c>
      <c r="H3286" t="s">
        <v>13</v>
      </c>
      <c r="I3286" t="s">
        <v>14</v>
      </c>
      <c r="J3286" t="s">
        <v>14</v>
      </c>
      <c r="K3286">
        <v>82</v>
      </c>
      <c r="L3286" t="str">
        <f>IF(AND(CallLog[[#This Row],[Answered (Y/N)]]="Y", CallLog[[#This Row],[Speed of answer in seconds]]&lt;=20),
    "Within",
    "Breach")</f>
        <v>Breach</v>
      </c>
      <c r="M3286" s="1">
        <v>4.6874999999999998E-3</v>
      </c>
      <c r="N3286">
        <v>3</v>
      </c>
    </row>
    <row r="3287" spans="1:14" x14ac:dyDescent="0.3">
      <c r="A3287" t="s">
        <v>3368</v>
      </c>
      <c r="B3287" t="s">
        <v>11</v>
      </c>
      <c r="C3287" t="s">
        <v>3355</v>
      </c>
      <c r="D3287" s="1">
        <v>0.45200231481481479</v>
      </c>
      <c r="E3287" s="2">
        <f>CallLog[[#This Row],[Date]]+CallLog[[#This Row],[Time]]</f>
        <v>44254.452002314814</v>
      </c>
      <c r="F3287" s="1" t="str">
        <f>TEXT(CallLog[[#This Row],[Date]],"dddd")</f>
        <v>Saturday</v>
      </c>
      <c r="G3287" s="3">
        <f>HOUR(CallLog[[#This Row],[Time]])</f>
        <v>10</v>
      </c>
      <c r="H3287" t="s">
        <v>29</v>
      </c>
      <c r="I3287" t="s">
        <v>14</v>
      </c>
      <c r="J3287" t="s">
        <v>14</v>
      </c>
      <c r="K3287">
        <v>41</v>
      </c>
      <c r="L3287" t="str">
        <f>IF(AND(CallLog[[#This Row],[Answered (Y/N)]]="Y", CallLog[[#This Row],[Speed of answer in seconds]]&lt;=20),
    "Within",
    "Breach")</f>
        <v>Breach</v>
      </c>
      <c r="M3287" s="1">
        <v>3.2060185185185186E-3</v>
      </c>
      <c r="N3287">
        <v>4</v>
      </c>
    </row>
    <row r="3288" spans="1:14" x14ac:dyDescent="0.3">
      <c r="A3288" t="s">
        <v>3369</v>
      </c>
      <c r="B3288" t="s">
        <v>47</v>
      </c>
      <c r="C3288" t="s">
        <v>3355</v>
      </c>
      <c r="D3288" s="1">
        <v>0.49099537037037039</v>
      </c>
      <c r="E3288" s="2">
        <f>CallLog[[#This Row],[Date]]+CallLog[[#This Row],[Time]]</f>
        <v>44254.490995370368</v>
      </c>
      <c r="F3288" s="1" t="str">
        <f>TEXT(CallLog[[#This Row],[Date]],"dddd")</f>
        <v>Saturday</v>
      </c>
      <c r="G3288" s="3">
        <f>HOUR(CallLog[[#This Row],[Time]])</f>
        <v>11</v>
      </c>
      <c r="H3288" t="s">
        <v>29</v>
      </c>
      <c r="I3288" t="s">
        <v>14</v>
      </c>
      <c r="J3288" t="s">
        <v>14</v>
      </c>
      <c r="K3288">
        <v>65</v>
      </c>
      <c r="L3288" t="str">
        <f>IF(AND(CallLog[[#This Row],[Answered (Y/N)]]="Y", CallLog[[#This Row],[Speed of answer in seconds]]&lt;=20),
    "Within",
    "Breach")</f>
        <v>Breach</v>
      </c>
      <c r="M3288" s="1">
        <v>4.0625000000000001E-3</v>
      </c>
      <c r="N3288">
        <v>1</v>
      </c>
    </row>
    <row r="3289" spans="1:14" x14ac:dyDescent="0.3">
      <c r="A3289" t="s">
        <v>3370</v>
      </c>
      <c r="B3289" t="s">
        <v>47</v>
      </c>
      <c r="C3289" t="s">
        <v>3355</v>
      </c>
      <c r="D3289" s="1">
        <v>0.49099537037037039</v>
      </c>
      <c r="E3289" s="2">
        <f>CallLog[[#This Row],[Date]]+CallLog[[#This Row],[Time]]</f>
        <v>44254.490995370368</v>
      </c>
      <c r="F3289" s="1" t="str">
        <f>TEXT(CallLog[[#This Row],[Date]],"dddd")</f>
        <v>Saturday</v>
      </c>
      <c r="G3289" s="3">
        <f>HOUR(CallLog[[#This Row],[Time]])</f>
        <v>11</v>
      </c>
      <c r="H3289" t="s">
        <v>13</v>
      </c>
      <c r="I3289" t="s">
        <v>14</v>
      </c>
      <c r="J3289" t="s">
        <v>14</v>
      </c>
      <c r="K3289">
        <v>100</v>
      </c>
      <c r="L3289" t="str">
        <f>IF(AND(CallLog[[#This Row],[Answered (Y/N)]]="Y", CallLog[[#This Row],[Speed of answer in seconds]]&lt;=20),
    "Within",
    "Breach")</f>
        <v>Breach</v>
      </c>
      <c r="M3289" s="1">
        <v>4.0393518518518521E-3</v>
      </c>
      <c r="N3289">
        <v>3</v>
      </c>
    </row>
    <row r="3290" spans="1:14" x14ac:dyDescent="0.3">
      <c r="A3290" t="s">
        <v>3371</v>
      </c>
      <c r="B3290" t="s">
        <v>47</v>
      </c>
      <c r="C3290" t="s">
        <v>3355</v>
      </c>
      <c r="D3290" s="1">
        <v>0.51</v>
      </c>
      <c r="E3290" s="2">
        <f>CallLog[[#This Row],[Date]]+CallLog[[#This Row],[Time]]</f>
        <v>44254.51</v>
      </c>
      <c r="F3290" s="1" t="str">
        <f>TEXT(CallLog[[#This Row],[Date]],"dddd")</f>
        <v>Saturday</v>
      </c>
      <c r="G3290" s="3">
        <f>HOUR(CallLog[[#This Row],[Time]])</f>
        <v>12</v>
      </c>
      <c r="H3290" t="s">
        <v>32</v>
      </c>
      <c r="I3290" t="s">
        <v>14</v>
      </c>
      <c r="J3290" t="s">
        <v>14</v>
      </c>
      <c r="K3290">
        <v>72</v>
      </c>
      <c r="L3290" t="str">
        <f>IF(AND(CallLog[[#This Row],[Answered (Y/N)]]="Y", CallLog[[#This Row],[Speed of answer in seconds]]&lt;=20),
    "Within",
    "Breach")</f>
        <v>Breach</v>
      </c>
      <c r="M3290" s="1">
        <v>3.449074074074074E-3</v>
      </c>
      <c r="N3290">
        <v>2</v>
      </c>
    </row>
    <row r="3291" spans="1:14" x14ac:dyDescent="0.3">
      <c r="A3291" t="s">
        <v>3372</v>
      </c>
      <c r="B3291" t="s">
        <v>47</v>
      </c>
      <c r="C3291" t="s">
        <v>3355</v>
      </c>
      <c r="D3291" s="1">
        <v>0.51</v>
      </c>
      <c r="E3291" s="2">
        <f>CallLog[[#This Row],[Date]]+CallLog[[#This Row],[Time]]</f>
        <v>44254.51</v>
      </c>
      <c r="F3291" s="1" t="str">
        <f>TEXT(CallLog[[#This Row],[Date]],"dddd")</f>
        <v>Saturday</v>
      </c>
      <c r="G3291" s="3">
        <f>HOUR(CallLog[[#This Row],[Time]])</f>
        <v>12</v>
      </c>
      <c r="H3291" t="s">
        <v>32</v>
      </c>
      <c r="I3291" t="s">
        <v>14</v>
      </c>
      <c r="J3291" t="s">
        <v>14</v>
      </c>
      <c r="K3291">
        <v>120</v>
      </c>
      <c r="L3291" t="str">
        <f>IF(AND(CallLog[[#This Row],[Answered (Y/N)]]="Y", CallLog[[#This Row],[Speed of answer in seconds]]&lt;=20),
    "Within",
    "Breach")</f>
        <v>Breach</v>
      </c>
      <c r="M3291" s="1">
        <v>5.6712962962962967E-4</v>
      </c>
      <c r="N3291">
        <v>5</v>
      </c>
    </row>
    <row r="3292" spans="1:14" x14ac:dyDescent="0.3">
      <c r="A3292" t="s">
        <v>3373</v>
      </c>
      <c r="B3292" t="s">
        <v>20</v>
      </c>
      <c r="C3292" t="s">
        <v>3355</v>
      </c>
      <c r="D3292" s="1">
        <v>0.52400462962962968</v>
      </c>
      <c r="E3292" s="2">
        <f>CallLog[[#This Row],[Date]]+CallLog[[#This Row],[Time]]</f>
        <v>44254.524004629631</v>
      </c>
      <c r="F3292" s="1" t="str">
        <f>TEXT(CallLog[[#This Row],[Date]],"dddd")</f>
        <v>Saturday</v>
      </c>
      <c r="G3292" s="3">
        <f>HOUR(CallLog[[#This Row],[Time]])</f>
        <v>12</v>
      </c>
      <c r="H3292" t="s">
        <v>13</v>
      </c>
      <c r="I3292" t="s">
        <v>14</v>
      </c>
      <c r="J3292" t="s">
        <v>14</v>
      </c>
      <c r="K3292">
        <v>59</v>
      </c>
      <c r="L3292" t="str">
        <f>IF(AND(CallLog[[#This Row],[Answered (Y/N)]]="Y", CallLog[[#This Row],[Speed of answer in seconds]]&lt;=20),
    "Within",
    "Breach")</f>
        <v>Breach</v>
      </c>
      <c r="M3292" s="1">
        <v>8.4490740740740739E-4</v>
      </c>
      <c r="N3292">
        <v>3</v>
      </c>
    </row>
    <row r="3293" spans="1:14" x14ac:dyDescent="0.3">
      <c r="A3293" t="s">
        <v>3374</v>
      </c>
      <c r="B3293" t="s">
        <v>11</v>
      </c>
      <c r="C3293" t="s">
        <v>3355</v>
      </c>
      <c r="D3293" s="1">
        <v>0.52400462962962968</v>
      </c>
      <c r="E3293" s="2">
        <f>CallLog[[#This Row],[Date]]+CallLog[[#This Row],[Time]]</f>
        <v>44254.524004629631</v>
      </c>
      <c r="F3293" s="1" t="str">
        <f>TEXT(CallLog[[#This Row],[Date]],"dddd")</f>
        <v>Saturday</v>
      </c>
      <c r="G3293" s="3">
        <f>HOUR(CallLog[[#This Row],[Time]])</f>
        <v>12</v>
      </c>
      <c r="H3293" t="s">
        <v>13</v>
      </c>
      <c r="I3293" t="s">
        <v>18</v>
      </c>
      <c r="J3293" t="s">
        <v>18</v>
      </c>
      <c r="L3293" t="str">
        <f>IF(AND(CallLog[[#This Row],[Answered (Y/N)]]="Y", CallLog[[#This Row],[Speed of answer in seconds]]&lt;=20),
    "Within",
    "Breach")</f>
        <v>Breach</v>
      </c>
    </row>
    <row r="3294" spans="1:14" x14ac:dyDescent="0.3">
      <c r="A3294" t="s">
        <v>3375</v>
      </c>
      <c r="B3294" t="s">
        <v>31</v>
      </c>
      <c r="C3294" t="s">
        <v>3355</v>
      </c>
      <c r="D3294" s="1">
        <v>0.53099537037037037</v>
      </c>
      <c r="E3294" s="2">
        <f>CallLog[[#This Row],[Date]]+CallLog[[#This Row],[Time]]</f>
        <v>44254.530995370369</v>
      </c>
      <c r="F3294" s="1" t="str">
        <f>TEXT(CallLog[[#This Row],[Date]],"dddd")</f>
        <v>Saturday</v>
      </c>
      <c r="G3294" s="3">
        <f>HOUR(CallLog[[#This Row],[Time]])</f>
        <v>12</v>
      </c>
      <c r="H3294" t="s">
        <v>13</v>
      </c>
      <c r="I3294" t="s">
        <v>14</v>
      </c>
      <c r="J3294" t="s">
        <v>14</v>
      </c>
      <c r="K3294">
        <v>25</v>
      </c>
      <c r="L3294" t="str">
        <f>IF(AND(CallLog[[#This Row],[Answered (Y/N)]]="Y", CallLog[[#This Row],[Speed of answer in seconds]]&lt;=20),
    "Within",
    "Breach")</f>
        <v>Breach</v>
      </c>
      <c r="M3294" s="1">
        <v>2.8356481481481483E-3</v>
      </c>
      <c r="N3294">
        <v>2</v>
      </c>
    </row>
    <row r="3295" spans="1:14" x14ac:dyDescent="0.3">
      <c r="A3295" t="s">
        <v>3376</v>
      </c>
      <c r="B3295" t="s">
        <v>47</v>
      </c>
      <c r="C3295" t="s">
        <v>3355</v>
      </c>
      <c r="D3295" s="1">
        <v>0.53099537037037037</v>
      </c>
      <c r="E3295" s="2">
        <f>CallLog[[#This Row],[Date]]+CallLog[[#This Row],[Time]]</f>
        <v>44254.530995370369</v>
      </c>
      <c r="F3295" s="1" t="str">
        <f>TEXT(CallLog[[#This Row],[Date]],"dddd")</f>
        <v>Saturday</v>
      </c>
      <c r="G3295" s="3">
        <f>HOUR(CallLog[[#This Row],[Time]])</f>
        <v>12</v>
      </c>
      <c r="H3295" t="s">
        <v>32</v>
      </c>
      <c r="I3295" t="s">
        <v>14</v>
      </c>
      <c r="J3295" t="s">
        <v>14</v>
      </c>
      <c r="K3295">
        <v>20</v>
      </c>
      <c r="L3295" t="str">
        <f>IF(AND(CallLog[[#This Row],[Answered (Y/N)]]="Y", CallLog[[#This Row],[Speed of answer in seconds]]&lt;=20),
    "Within",
    "Breach")</f>
        <v>Within</v>
      </c>
      <c r="M3295" s="1">
        <v>3.425925925925926E-3</v>
      </c>
      <c r="N3295">
        <v>3</v>
      </c>
    </row>
    <row r="3296" spans="1:14" x14ac:dyDescent="0.3">
      <c r="A3296" t="s">
        <v>3377</v>
      </c>
      <c r="B3296" t="s">
        <v>47</v>
      </c>
      <c r="C3296" t="s">
        <v>3355</v>
      </c>
      <c r="D3296" s="1">
        <v>0.53900462962962958</v>
      </c>
      <c r="E3296" s="2">
        <f>CallLog[[#This Row],[Date]]+CallLog[[#This Row],[Time]]</f>
        <v>44254.539004629631</v>
      </c>
      <c r="F3296" s="1" t="str">
        <f>TEXT(CallLog[[#This Row],[Date]],"dddd")</f>
        <v>Saturday</v>
      </c>
      <c r="G3296" s="3">
        <f>HOUR(CallLog[[#This Row],[Time]])</f>
        <v>12</v>
      </c>
      <c r="H3296" t="s">
        <v>24</v>
      </c>
      <c r="I3296" t="s">
        <v>14</v>
      </c>
      <c r="J3296" t="s">
        <v>14</v>
      </c>
      <c r="K3296">
        <v>40</v>
      </c>
      <c r="L3296" t="str">
        <f>IF(AND(CallLog[[#This Row],[Answered (Y/N)]]="Y", CallLog[[#This Row],[Speed of answer in seconds]]&lt;=20),
    "Within",
    "Breach")</f>
        <v>Breach</v>
      </c>
      <c r="M3296" s="1">
        <v>4.0972222222222226E-3</v>
      </c>
      <c r="N3296">
        <v>4</v>
      </c>
    </row>
    <row r="3297" spans="1:14" x14ac:dyDescent="0.3">
      <c r="A3297" t="s">
        <v>3378</v>
      </c>
      <c r="B3297" t="s">
        <v>16</v>
      </c>
      <c r="C3297" t="s">
        <v>3355</v>
      </c>
      <c r="D3297" s="1">
        <v>0.53900462962962958</v>
      </c>
      <c r="E3297" s="2">
        <f>CallLog[[#This Row],[Date]]+CallLog[[#This Row],[Time]]</f>
        <v>44254.539004629631</v>
      </c>
      <c r="F3297" s="1" t="str">
        <f>TEXT(CallLog[[#This Row],[Date]],"dddd")</f>
        <v>Saturday</v>
      </c>
      <c r="G3297" s="3">
        <f>HOUR(CallLog[[#This Row],[Time]])</f>
        <v>12</v>
      </c>
      <c r="H3297" t="s">
        <v>32</v>
      </c>
      <c r="I3297" t="s">
        <v>14</v>
      </c>
      <c r="J3297" t="s">
        <v>14</v>
      </c>
      <c r="K3297">
        <v>34</v>
      </c>
      <c r="L3297" t="str">
        <f>IF(AND(CallLog[[#This Row],[Answered (Y/N)]]="Y", CallLog[[#This Row],[Speed of answer in seconds]]&lt;=20),
    "Within",
    "Breach")</f>
        <v>Breach</v>
      </c>
      <c r="M3297" s="1">
        <v>3.5995370370370369E-3</v>
      </c>
      <c r="N3297">
        <v>5</v>
      </c>
    </row>
    <row r="3298" spans="1:14" x14ac:dyDescent="0.3">
      <c r="A3298" t="s">
        <v>3379</v>
      </c>
      <c r="B3298" t="s">
        <v>38</v>
      </c>
      <c r="C3298" t="s">
        <v>3355</v>
      </c>
      <c r="D3298" s="1">
        <v>0.54700231481481476</v>
      </c>
      <c r="E3298" s="2">
        <f>CallLog[[#This Row],[Date]]+CallLog[[#This Row],[Time]]</f>
        <v>44254.547002314815</v>
      </c>
      <c r="F3298" s="1" t="str">
        <f>TEXT(CallLog[[#This Row],[Date]],"dddd")</f>
        <v>Saturday</v>
      </c>
      <c r="G3298" s="3">
        <f>HOUR(CallLog[[#This Row],[Time]])</f>
        <v>13</v>
      </c>
      <c r="H3298" t="s">
        <v>29</v>
      </c>
      <c r="I3298" t="s">
        <v>18</v>
      </c>
      <c r="J3298" t="s">
        <v>18</v>
      </c>
      <c r="L3298" t="str">
        <f>IF(AND(CallLog[[#This Row],[Answered (Y/N)]]="Y", CallLog[[#This Row],[Speed of answer in seconds]]&lt;=20),
    "Within",
    "Breach")</f>
        <v>Breach</v>
      </c>
    </row>
    <row r="3299" spans="1:14" x14ac:dyDescent="0.3">
      <c r="A3299" t="s">
        <v>3380</v>
      </c>
      <c r="B3299" t="s">
        <v>38</v>
      </c>
      <c r="C3299" t="s">
        <v>3355</v>
      </c>
      <c r="D3299" s="1">
        <v>0.54700231481481476</v>
      </c>
      <c r="E3299" s="2">
        <f>CallLog[[#This Row],[Date]]+CallLog[[#This Row],[Time]]</f>
        <v>44254.547002314815</v>
      </c>
      <c r="F3299" s="1" t="str">
        <f>TEXT(CallLog[[#This Row],[Date]],"dddd")</f>
        <v>Saturday</v>
      </c>
      <c r="G3299" s="3">
        <f>HOUR(CallLog[[#This Row],[Time]])</f>
        <v>13</v>
      </c>
      <c r="H3299" t="s">
        <v>13</v>
      </c>
      <c r="I3299" t="s">
        <v>14</v>
      </c>
      <c r="J3299" t="s">
        <v>14</v>
      </c>
      <c r="K3299">
        <v>27</v>
      </c>
      <c r="L3299" t="str">
        <f>IF(AND(CallLog[[#This Row],[Answered (Y/N)]]="Y", CallLog[[#This Row],[Speed of answer in seconds]]&lt;=20),
    "Within",
    "Breach")</f>
        <v>Breach</v>
      </c>
      <c r="M3299" s="1">
        <v>1.5162037037037036E-3</v>
      </c>
      <c r="N3299">
        <v>5</v>
      </c>
    </row>
    <row r="3300" spans="1:14" x14ac:dyDescent="0.3">
      <c r="A3300" t="s">
        <v>3381</v>
      </c>
      <c r="B3300" t="s">
        <v>34</v>
      </c>
      <c r="C3300" t="s">
        <v>3355</v>
      </c>
      <c r="D3300" s="1">
        <v>0.56900462962962961</v>
      </c>
      <c r="E3300" s="2">
        <f>CallLog[[#This Row],[Date]]+CallLog[[#This Row],[Time]]</f>
        <v>44254.569004629629</v>
      </c>
      <c r="F3300" s="1" t="str">
        <f>TEXT(CallLog[[#This Row],[Date]],"dddd")</f>
        <v>Saturday</v>
      </c>
      <c r="G3300" s="3">
        <f>HOUR(CallLog[[#This Row],[Time]])</f>
        <v>13</v>
      </c>
      <c r="H3300" t="s">
        <v>32</v>
      </c>
      <c r="I3300" t="s">
        <v>14</v>
      </c>
      <c r="J3300" t="s">
        <v>14</v>
      </c>
      <c r="K3300">
        <v>103</v>
      </c>
      <c r="L3300" t="str">
        <f>IF(AND(CallLog[[#This Row],[Answered (Y/N)]]="Y", CallLog[[#This Row],[Speed of answer in seconds]]&lt;=20),
    "Within",
    "Breach")</f>
        <v>Breach</v>
      </c>
      <c r="M3300" s="1">
        <v>3.425925925925926E-3</v>
      </c>
      <c r="N3300">
        <v>1</v>
      </c>
    </row>
    <row r="3301" spans="1:14" x14ac:dyDescent="0.3">
      <c r="A3301" t="s">
        <v>3382</v>
      </c>
      <c r="B3301" t="s">
        <v>11</v>
      </c>
      <c r="C3301" t="s">
        <v>3355</v>
      </c>
      <c r="D3301" s="1">
        <v>0.56900462962962961</v>
      </c>
      <c r="E3301" s="2">
        <f>CallLog[[#This Row],[Date]]+CallLog[[#This Row],[Time]]</f>
        <v>44254.569004629629</v>
      </c>
      <c r="F3301" s="1" t="str">
        <f>TEXT(CallLog[[#This Row],[Date]],"dddd")</f>
        <v>Saturday</v>
      </c>
      <c r="G3301" s="3">
        <f>HOUR(CallLog[[#This Row],[Time]])</f>
        <v>13</v>
      </c>
      <c r="H3301" t="s">
        <v>29</v>
      </c>
      <c r="I3301" t="s">
        <v>14</v>
      </c>
      <c r="J3301" t="s">
        <v>14</v>
      </c>
      <c r="K3301">
        <v>76</v>
      </c>
      <c r="L3301" t="str">
        <f>IF(AND(CallLog[[#This Row],[Answered (Y/N)]]="Y", CallLog[[#This Row],[Speed of answer in seconds]]&lt;=20),
    "Within",
    "Breach")</f>
        <v>Breach</v>
      </c>
      <c r="M3301" s="1">
        <v>2.2800925925925927E-3</v>
      </c>
      <c r="N3301">
        <v>4</v>
      </c>
    </row>
    <row r="3302" spans="1:14" x14ac:dyDescent="0.3">
      <c r="A3302" t="s">
        <v>3383</v>
      </c>
      <c r="B3302" t="s">
        <v>31</v>
      </c>
      <c r="C3302" t="s">
        <v>3355</v>
      </c>
      <c r="D3302" s="1">
        <v>0.59099537037037042</v>
      </c>
      <c r="E3302" s="2">
        <f>CallLog[[#This Row],[Date]]+CallLog[[#This Row],[Time]]</f>
        <v>44254.590995370374</v>
      </c>
      <c r="F3302" s="1" t="str">
        <f>TEXT(CallLog[[#This Row],[Date]],"dddd")</f>
        <v>Saturday</v>
      </c>
      <c r="G3302" s="3">
        <f>HOUR(CallLog[[#This Row],[Time]])</f>
        <v>14</v>
      </c>
      <c r="H3302" t="s">
        <v>13</v>
      </c>
      <c r="I3302" t="s">
        <v>18</v>
      </c>
      <c r="J3302" t="s">
        <v>18</v>
      </c>
      <c r="L3302" t="str">
        <f>IF(AND(CallLog[[#This Row],[Answered (Y/N)]]="Y", CallLog[[#This Row],[Speed of answer in seconds]]&lt;=20),
    "Within",
    "Breach")</f>
        <v>Breach</v>
      </c>
    </row>
    <row r="3303" spans="1:14" x14ac:dyDescent="0.3">
      <c r="A3303" t="s">
        <v>3384</v>
      </c>
      <c r="B3303" t="s">
        <v>38</v>
      </c>
      <c r="C3303" t="s">
        <v>3355</v>
      </c>
      <c r="D3303" s="1">
        <v>0.59099537037037042</v>
      </c>
      <c r="E3303" s="2">
        <f>CallLog[[#This Row],[Date]]+CallLog[[#This Row],[Time]]</f>
        <v>44254.590995370374</v>
      </c>
      <c r="F3303" s="1" t="str">
        <f>TEXT(CallLog[[#This Row],[Date]],"dddd")</f>
        <v>Saturday</v>
      </c>
      <c r="G3303" s="3">
        <f>HOUR(CallLog[[#This Row],[Time]])</f>
        <v>14</v>
      </c>
      <c r="H3303" t="s">
        <v>29</v>
      </c>
      <c r="I3303" t="s">
        <v>14</v>
      </c>
      <c r="J3303" t="s">
        <v>14</v>
      </c>
      <c r="K3303">
        <v>23</v>
      </c>
      <c r="L3303" t="str">
        <f>IF(AND(CallLog[[#This Row],[Answered (Y/N)]]="Y", CallLog[[#This Row],[Speed of answer in seconds]]&lt;=20),
    "Within",
    "Breach")</f>
        <v>Breach</v>
      </c>
      <c r="M3303" s="1">
        <v>1.8749999999999999E-3</v>
      </c>
      <c r="N3303">
        <v>4</v>
      </c>
    </row>
    <row r="3304" spans="1:14" x14ac:dyDescent="0.3">
      <c r="A3304" t="s">
        <v>3385</v>
      </c>
      <c r="B3304" t="s">
        <v>22</v>
      </c>
      <c r="C3304" t="s">
        <v>3355</v>
      </c>
      <c r="D3304" s="1">
        <v>0.61</v>
      </c>
      <c r="E3304" s="2">
        <f>CallLog[[#This Row],[Date]]+CallLog[[#This Row],[Time]]</f>
        <v>44254.61</v>
      </c>
      <c r="F3304" s="1" t="str">
        <f>TEXT(CallLog[[#This Row],[Date]],"dddd")</f>
        <v>Saturday</v>
      </c>
      <c r="G3304" s="3">
        <f>HOUR(CallLog[[#This Row],[Time]])</f>
        <v>14</v>
      </c>
      <c r="H3304" t="s">
        <v>29</v>
      </c>
      <c r="I3304" t="s">
        <v>14</v>
      </c>
      <c r="J3304" t="s">
        <v>14</v>
      </c>
      <c r="K3304">
        <v>94</v>
      </c>
      <c r="L3304" t="str">
        <f>IF(AND(CallLog[[#This Row],[Answered (Y/N)]]="Y", CallLog[[#This Row],[Speed of answer in seconds]]&lt;=20),
    "Within",
    "Breach")</f>
        <v>Breach</v>
      </c>
      <c r="M3304" s="1">
        <v>4.8263888888888887E-3</v>
      </c>
      <c r="N3304">
        <v>4</v>
      </c>
    </row>
    <row r="3305" spans="1:14" x14ac:dyDescent="0.3">
      <c r="A3305" t="s">
        <v>3386</v>
      </c>
      <c r="B3305" t="s">
        <v>47</v>
      </c>
      <c r="C3305" t="s">
        <v>3355</v>
      </c>
      <c r="D3305" s="1">
        <v>0.61</v>
      </c>
      <c r="E3305" s="2">
        <f>CallLog[[#This Row],[Date]]+CallLog[[#This Row],[Time]]</f>
        <v>44254.61</v>
      </c>
      <c r="F3305" s="1" t="str">
        <f>TEXT(CallLog[[#This Row],[Date]],"dddd")</f>
        <v>Saturday</v>
      </c>
      <c r="G3305" s="3">
        <f>HOUR(CallLog[[#This Row],[Time]])</f>
        <v>14</v>
      </c>
      <c r="H3305" t="s">
        <v>17</v>
      </c>
      <c r="I3305" t="s">
        <v>14</v>
      </c>
      <c r="J3305" t="s">
        <v>14</v>
      </c>
      <c r="K3305">
        <v>115</v>
      </c>
      <c r="L3305" t="str">
        <f>IF(AND(CallLog[[#This Row],[Answered (Y/N)]]="Y", CallLog[[#This Row],[Speed of answer in seconds]]&lt;=20),
    "Within",
    "Breach")</f>
        <v>Breach</v>
      </c>
      <c r="M3305" s="1">
        <v>4.3750000000000004E-3</v>
      </c>
      <c r="N3305">
        <v>5</v>
      </c>
    </row>
    <row r="3306" spans="1:14" x14ac:dyDescent="0.3">
      <c r="A3306" t="s">
        <v>3387</v>
      </c>
      <c r="B3306" t="s">
        <v>38</v>
      </c>
      <c r="C3306" t="s">
        <v>3355</v>
      </c>
      <c r="D3306" s="1">
        <v>0.62400462962962966</v>
      </c>
      <c r="E3306" s="2">
        <f>CallLog[[#This Row],[Date]]+CallLog[[#This Row],[Time]]</f>
        <v>44254.62400462963</v>
      </c>
      <c r="F3306" s="1" t="str">
        <f>TEXT(CallLog[[#This Row],[Date]],"dddd")</f>
        <v>Saturday</v>
      </c>
      <c r="G3306" s="3">
        <f>HOUR(CallLog[[#This Row],[Time]])</f>
        <v>14</v>
      </c>
      <c r="H3306" t="s">
        <v>17</v>
      </c>
      <c r="I3306" t="s">
        <v>14</v>
      </c>
      <c r="J3306" t="s">
        <v>18</v>
      </c>
      <c r="K3306">
        <v>11</v>
      </c>
      <c r="L3306" t="str">
        <f>IF(AND(CallLog[[#This Row],[Answered (Y/N)]]="Y", CallLog[[#This Row],[Speed of answer in seconds]]&lt;=20),
    "Within",
    "Breach")</f>
        <v>Within</v>
      </c>
      <c r="M3306" s="1">
        <v>2.1990740740740742E-3</v>
      </c>
      <c r="N3306">
        <v>3</v>
      </c>
    </row>
    <row r="3307" spans="1:14" x14ac:dyDescent="0.3">
      <c r="A3307" t="s">
        <v>3388</v>
      </c>
      <c r="B3307" t="s">
        <v>11</v>
      </c>
      <c r="C3307" t="s">
        <v>3355</v>
      </c>
      <c r="D3307" s="1">
        <v>0.62400462962962966</v>
      </c>
      <c r="E3307" s="2">
        <f>CallLog[[#This Row],[Date]]+CallLog[[#This Row],[Time]]</f>
        <v>44254.62400462963</v>
      </c>
      <c r="F3307" s="1" t="str">
        <f>TEXT(CallLog[[#This Row],[Date]],"dddd")</f>
        <v>Saturday</v>
      </c>
      <c r="G3307" s="3">
        <f>HOUR(CallLog[[#This Row],[Time]])</f>
        <v>14</v>
      </c>
      <c r="H3307" t="s">
        <v>24</v>
      </c>
      <c r="I3307" t="s">
        <v>14</v>
      </c>
      <c r="J3307" t="s">
        <v>14</v>
      </c>
      <c r="K3307">
        <v>117</v>
      </c>
      <c r="L3307" t="str">
        <f>IF(AND(CallLog[[#This Row],[Answered (Y/N)]]="Y", CallLog[[#This Row],[Speed of answer in seconds]]&lt;=20),
    "Within",
    "Breach")</f>
        <v>Breach</v>
      </c>
      <c r="M3307" s="1">
        <v>1.4467592592592592E-3</v>
      </c>
      <c r="N3307">
        <v>5</v>
      </c>
    </row>
    <row r="3308" spans="1:14" x14ac:dyDescent="0.3">
      <c r="A3308" t="s">
        <v>3389</v>
      </c>
      <c r="B3308" t="s">
        <v>11</v>
      </c>
      <c r="C3308" t="s">
        <v>3355</v>
      </c>
      <c r="D3308" s="1">
        <v>0.625</v>
      </c>
      <c r="E3308" s="2">
        <f>CallLog[[#This Row],[Date]]+CallLog[[#This Row],[Time]]</f>
        <v>44254.625</v>
      </c>
      <c r="F3308" s="1" t="str">
        <f>TEXT(CallLog[[#This Row],[Date]],"dddd")</f>
        <v>Saturday</v>
      </c>
      <c r="G3308" s="3">
        <f>HOUR(CallLog[[#This Row],[Time]])</f>
        <v>15</v>
      </c>
      <c r="H3308" t="s">
        <v>13</v>
      </c>
      <c r="I3308" t="s">
        <v>14</v>
      </c>
      <c r="J3308" t="s">
        <v>14</v>
      </c>
      <c r="K3308">
        <v>110</v>
      </c>
      <c r="L3308" t="str">
        <f>IF(AND(CallLog[[#This Row],[Answered (Y/N)]]="Y", CallLog[[#This Row],[Speed of answer in seconds]]&lt;=20),
    "Within",
    "Breach")</f>
        <v>Breach</v>
      </c>
      <c r="M3308" s="1">
        <v>4.5486111111111109E-3</v>
      </c>
      <c r="N3308">
        <v>5</v>
      </c>
    </row>
    <row r="3309" spans="1:14" x14ac:dyDescent="0.3">
      <c r="A3309" t="s">
        <v>3390</v>
      </c>
      <c r="B3309" t="s">
        <v>47</v>
      </c>
      <c r="C3309" t="s">
        <v>3355</v>
      </c>
      <c r="D3309" s="1">
        <v>0.625</v>
      </c>
      <c r="E3309" s="2">
        <f>CallLog[[#This Row],[Date]]+CallLog[[#This Row],[Time]]</f>
        <v>44254.625</v>
      </c>
      <c r="F3309" s="1" t="str">
        <f>TEXT(CallLog[[#This Row],[Date]],"dddd")</f>
        <v>Saturday</v>
      </c>
      <c r="G3309" s="3">
        <f>HOUR(CallLog[[#This Row],[Time]])</f>
        <v>15</v>
      </c>
      <c r="H3309" t="s">
        <v>29</v>
      </c>
      <c r="I3309" t="s">
        <v>14</v>
      </c>
      <c r="J3309" t="s">
        <v>14</v>
      </c>
      <c r="K3309">
        <v>24</v>
      </c>
      <c r="L3309" t="str">
        <f>IF(AND(CallLog[[#This Row],[Answered (Y/N)]]="Y", CallLog[[#This Row],[Speed of answer in seconds]]&lt;=20),
    "Within",
    "Breach")</f>
        <v>Breach</v>
      </c>
      <c r="M3309" s="1">
        <v>1.9328703703703704E-3</v>
      </c>
      <c r="N3309">
        <v>3</v>
      </c>
    </row>
    <row r="3310" spans="1:14" x14ac:dyDescent="0.3">
      <c r="A3310" t="s">
        <v>3391</v>
      </c>
      <c r="B3310" t="s">
        <v>31</v>
      </c>
      <c r="C3310" t="s">
        <v>3355</v>
      </c>
      <c r="D3310" s="1">
        <v>0.63099537037037035</v>
      </c>
      <c r="E3310" s="2">
        <f>CallLog[[#This Row],[Date]]+CallLog[[#This Row],[Time]]</f>
        <v>44254.630995370368</v>
      </c>
      <c r="F3310" s="1" t="str">
        <f>TEXT(CallLog[[#This Row],[Date]],"dddd")</f>
        <v>Saturday</v>
      </c>
      <c r="G3310" s="3">
        <f>HOUR(CallLog[[#This Row],[Time]])</f>
        <v>15</v>
      </c>
      <c r="H3310" t="s">
        <v>32</v>
      </c>
      <c r="I3310" t="s">
        <v>14</v>
      </c>
      <c r="J3310" t="s">
        <v>14</v>
      </c>
      <c r="K3310">
        <v>31</v>
      </c>
      <c r="L3310" t="str">
        <f>IF(AND(CallLog[[#This Row],[Answered (Y/N)]]="Y", CallLog[[#This Row],[Speed of answer in seconds]]&lt;=20),
    "Within",
    "Breach")</f>
        <v>Breach</v>
      </c>
      <c r="M3310" s="1">
        <v>3.2175925925925926E-3</v>
      </c>
      <c r="N3310">
        <v>3</v>
      </c>
    </row>
    <row r="3311" spans="1:14" x14ac:dyDescent="0.3">
      <c r="A3311" t="s">
        <v>3392</v>
      </c>
      <c r="B3311" t="s">
        <v>16</v>
      </c>
      <c r="C3311" t="s">
        <v>3355</v>
      </c>
      <c r="D3311" s="1">
        <v>0.63099537037037035</v>
      </c>
      <c r="E3311" s="2">
        <f>CallLog[[#This Row],[Date]]+CallLog[[#This Row],[Time]]</f>
        <v>44254.630995370368</v>
      </c>
      <c r="F3311" s="1" t="str">
        <f>TEXT(CallLog[[#This Row],[Date]],"dddd")</f>
        <v>Saturday</v>
      </c>
      <c r="G3311" s="3">
        <f>HOUR(CallLog[[#This Row],[Time]])</f>
        <v>15</v>
      </c>
      <c r="H3311" t="s">
        <v>29</v>
      </c>
      <c r="I3311" t="s">
        <v>14</v>
      </c>
      <c r="J3311" t="s">
        <v>14</v>
      </c>
      <c r="K3311">
        <v>25</v>
      </c>
      <c r="L3311" t="str">
        <f>IF(AND(CallLog[[#This Row],[Answered (Y/N)]]="Y", CallLog[[#This Row],[Speed of answer in seconds]]&lt;=20),
    "Within",
    "Breach")</f>
        <v>Breach</v>
      </c>
      <c r="M3311" s="1">
        <v>3.5416666666666665E-3</v>
      </c>
      <c r="N3311">
        <v>3</v>
      </c>
    </row>
    <row r="3312" spans="1:14" x14ac:dyDescent="0.3">
      <c r="A3312" t="s">
        <v>3393</v>
      </c>
      <c r="B3312" t="s">
        <v>20</v>
      </c>
      <c r="C3312" t="s">
        <v>3355</v>
      </c>
      <c r="D3312" s="1">
        <v>0.64299768518518519</v>
      </c>
      <c r="E3312" s="2">
        <f>CallLog[[#This Row],[Date]]+CallLog[[#This Row],[Time]]</f>
        <v>44254.642997685187</v>
      </c>
      <c r="F3312" s="1" t="str">
        <f>TEXT(CallLog[[#This Row],[Date]],"dddd")</f>
        <v>Saturday</v>
      </c>
      <c r="G3312" s="3">
        <f>HOUR(CallLog[[#This Row],[Time]])</f>
        <v>15</v>
      </c>
      <c r="H3312" t="s">
        <v>13</v>
      </c>
      <c r="I3312" t="s">
        <v>14</v>
      </c>
      <c r="J3312" t="s">
        <v>14</v>
      </c>
      <c r="K3312">
        <v>96</v>
      </c>
      <c r="L3312" t="str">
        <f>IF(AND(CallLog[[#This Row],[Answered (Y/N)]]="Y", CallLog[[#This Row],[Speed of answer in seconds]]&lt;=20),
    "Within",
    "Breach")</f>
        <v>Breach</v>
      </c>
      <c r="M3312" s="1">
        <v>3.8310185185185183E-3</v>
      </c>
      <c r="N3312">
        <v>3</v>
      </c>
    </row>
    <row r="3313" spans="1:14" x14ac:dyDescent="0.3">
      <c r="A3313" t="s">
        <v>3394</v>
      </c>
      <c r="B3313" t="s">
        <v>16</v>
      </c>
      <c r="C3313" t="s">
        <v>3355</v>
      </c>
      <c r="D3313" s="1">
        <v>0.64299768518518519</v>
      </c>
      <c r="E3313" s="2">
        <f>CallLog[[#This Row],[Date]]+CallLog[[#This Row],[Time]]</f>
        <v>44254.642997685187</v>
      </c>
      <c r="F3313" s="1" t="str">
        <f>TEXT(CallLog[[#This Row],[Date]],"dddd")</f>
        <v>Saturday</v>
      </c>
      <c r="G3313" s="3">
        <f>HOUR(CallLog[[#This Row],[Time]])</f>
        <v>15</v>
      </c>
      <c r="H3313" t="s">
        <v>32</v>
      </c>
      <c r="I3313" t="s">
        <v>14</v>
      </c>
      <c r="J3313" t="s">
        <v>14</v>
      </c>
      <c r="K3313">
        <v>48</v>
      </c>
      <c r="L3313" t="str">
        <f>IF(AND(CallLog[[#This Row],[Answered (Y/N)]]="Y", CallLog[[#This Row],[Speed of answer in seconds]]&lt;=20),
    "Within",
    "Breach")</f>
        <v>Breach</v>
      </c>
      <c r="M3313" s="1">
        <v>5.0925925925925921E-4</v>
      </c>
      <c r="N3313">
        <v>2</v>
      </c>
    </row>
    <row r="3314" spans="1:14" x14ac:dyDescent="0.3">
      <c r="A3314" t="s">
        <v>3395</v>
      </c>
      <c r="B3314" t="s">
        <v>47</v>
      </c>
      <c r="C3314" t="s">
        <v>3355</v>
      </c>
      <c r="D3314" s="1">
        <v>0.66700231481481487</v>
      </c>
      <c r="E3314" s="2">
        <f>CallLog[[#This Row],[Date]]+CallLog[[#This Row],[Time]]</f>
        <v>44254.667002314818</v>
      </c>
      <c r="F3314" s="1" t="str">
        <f>TEXT(CallLog[[#This Row],[Date]],"dddd")</f>
        <v>Saturday</v>
      </c>
      <c r="G3314" s="3">
        <f>HOUR(CallLog[[#This Row],[Time]])</f>
        <v>16</v>
      </c>
      <c r="H3314" t="s">
        <v>29</v>
      </c>
      <c r="I3314" t="s">
        <v>14</v>
      </c>
      <c r="J3314" t="s">
        <v>18</v>
      </c>
      <c r="K3314">
        <v>110</v>
      </c>
      <c r="L3314" t="str">
        <f>IF(AND(CallLog[[#This Row],[Answered (Y/N)]]="Y", CallLog[[#This Row],[Speed of answer in seconds]]&lt;=20),
    "Within",
    "Breach")</f>
        <v>Breach</v>
      </c>
      <c r="M3314" s="1">
        <v>1.8055555555555555E-3</v>
      </c>
      <c r="N3314">
        <v>5</v>
      </c>
    </row>
    <row r="3315" spans="1:14" x14ac:dyDescent="0.3">
      <c r="A3315" t="s">
        <v>3396</v>
      </c>
      <c r="B3315" t="s">
        <v>31</v>
      </c>
      <c r="C3315" t="s">
        <v>3355</v>
      </c>
      <c r="D3315" s="1">
        <v>0.66700231481481487</v>
      </c>
      <c r="E3315" s="2">
        <f>CallLog[[#This Row],[Date]]+CallLog[[#This Row],[Time]]</f>
        <v>44254.667002314818</v>
      </c>
      <c r="F3315" s="1" t="str">
        <f>TEXT(CallLog[[#This Row],[Date]],"dddd")</f>
        <v>Saturday</v>
      </c>
      <c r="G3315" s="3">
        <f>HOUR(CallLog[[#This Row],[Time]])</f>
        <v>16</v>
      </c>
      <c r="H3315" t="s">
        <v>13</v>
      </c>
      <c r="I3315" t="s">
        <v>14</v>
      </c>
      <c r="J3315" t="s">
        <v>18</v>
      </c>
      <c r="K3315">
        <v>19</v>
      </c>
      <c r="L3315" t="str">
        <f>IF(AND(CallLog[[#This Row],[Answered (Y/N)]]="Y", CallLog[[#This Row],[Speed of answer in seconds]]&lt;=20),
    "Within",
    "Breach")</f>
        <v>Within</v>
      </c>
      <c r="M3315" s="1">
        <v>3.414351851851852E-3</v>
      </c>
      <c r="N3315">
        <v>3</v>
      </c>
    </row>
    <row r="3316" spans="1:14" x14ac:dyDescent="0.3">
      <c r="A3316" t="s">
        <v>3397</v>
      </c>
      <c r="B3316" t="s">
        <v>11</v>
      </c>
      <c r="C3316" t="s">
        <v>3355</v>
      </c>
      <c r="D3316" s="1">
        <v>0.68099537037037039</v>
      </c>
      <c r="E3316" s="2">
        <f>CallLog[[#This Row],[Date]]+CallLog[[#This Row],[Time]]</f>
        <v>44254.680995370371</v>
      </c>
      <c r="F3316" s="1" t="str">
        <f>TEXT(CallLog[[#This Row],[Date]],"dddd")</f>
        <v>Saturday</v>
      </c>
      <c r="G3316" s="3">
        <f>HOUR(CallLog[[#This Row],[Time]])</f>
        <v>16</v>
      </c>
      <c r="H3316" t="s">
        <v>29</v>
      </c>
      <c r="I3316" t="s">
        <v>18</v>
      </c>
      <c r="J3316" t="s">
        <v>18</v>
      </c>
      <c r="L3316" t="str">
        <f>IF(AND(CallLog[[#This Row],[Answered (Y/N)]]="Y", CallLog[[#This Row],[Speed of answer in seconds]]&lt;=20),
    "Within",
    "Breach")</f>
        <v>Breach</v>
      </c>
    </row>
    <row r="3317" spans="1:14" x14ac:dyDescent="0.3">
      <c r="A3317" t="s">
        <v>3398</v>
      </c>
      <c r="B3317" t="s">
        <v>11</v>
      </c>
      <c r="C3317" t="s">
        <v>3355</v>
      </c>
      <c r="D3317" s="1">
        <v>0.68099537037037039</v>
      </c>
      <c r="E3317" s="2">
        <f>CallLog[[#This Row],[Date]]+CallLog[[#This Row],[Time]]</f>
        <v>44254.680995370371</v>
      </c>
      <c r="F3317" s="1" t="str">
        <f>TEXT(CallLog[[#This Row],[Date]],"dddd")</f>
        <v>Saturday</v>
      </c>
      <c r="G3317" s="3">
        <f>HOUR(CallLog[[#This Row],[Time]])</f>
        <v>16</v>
      </c>
      <c r="H3317" t="s">
        <v>13</v>
      </c>
      <c r="I3317" t="s">
        <v>14</v>
      </c>
      <c r="J3317" t="s">
        <v>14</v>
      </c>
      <c r="K3317">
        <v>88</v>
      </c>
      <c r="L3317" t="str">
        <f>IF(AND(CallLog[[#This Row],[Answered (Y/N)]]="Y", CallLog[[#This Row],[Speed of answer in seconds]]&lt;=20),
    "Within",
    "Breach")</f>
        <v>Breach</v>
      </c>
      <c r="M3317" s="1">
        <v>2.5578703703703705E-3</v>
      </c>
      <c r="N3317">
        <v>1</v>
      </c>
    </row>
    <row r="3318" spans="1:14" x14ac:dyDescent="0.3">
      <c r="A3318" t="s">
        <v>3399</v>
      </c>
      <c r="B3318" t="s">
        <v>31</v>
      </c>
      <c r="C3318" t="s">
        <v>3355</v>
      </c>
      <c r="D3318" s="1">
        <v>0.69299768518518523</v>
      </c>
      <c r="E3318" s="2">
        <f>CallLog[[#This Row],[Date]]+CallLog[[#This Row],[Time]]</f>
        <v>44254.692997685182</v>
      </c>
      <c r="F3318" s="1" t="str">
        <f>TEXT(CallLog[[#This Row],[Date]],"dddd")</f>
        <v>Saturday</v>
      </c>
      <c r="G3318" s="3">
        <f>HOUR(CallLog[[#This Row],[Time]])</f>
        <v>16</v>
      </c>
      <c r="H3318" t="s">
        <v>13</v>
      </c>
      <c r="I3318" t="s">
        <v>14</v>
      </c>
      <c r="J3318" t="s">
        <v>14</v>
      </c>
      <c r="K3318">
        <v>42</v>
      </c>
      <c r="L3318" t="str">
        <f>IF(AND(CallLog[[#This Row],[Answered (Y/N)]]="Y", CallLog[[#This Row],[Speed of answer in seconds]]&lt;=20),
    "Within",
    "Breach")</f>
        <v>Breach</v>
      </c>
      <c r="M3318" s="1">
        <v>4.409722222222222E-3</v>
      </c>
      <c r="N3318">
        <v>3</v>
      </c>
    </row>
    <row r="3319" spans="1:14" x14ac:dyDescent="0.3">
      <c r="A3319" t="s">
        <v>3400</v>
      </c>
      <c r="B3319" t="s">
        <v>20</v>
      </c>
      <c r="C3319" t="s">
        <v>3355</v>
      </c>
      <c r="D3319" s="1">
        <v>0.69299768518518523</v>
      </c>
      <c r="E3319" s="2">
        <f>CallLog[[#This Row],[Date]]+CallLog[[#This Row],[Time]]</f>
        <v>44254.692997685182</v>
      </c>
      <c r="F3319" s="1" t="str">
        <f>TEXT(CallLog[[#This Row],[Date]],"dddd")</f>
        <v>Saturday</v>
      </c>
      <c r="G3319" s="3">
        <f>HOUR(CallLog[[#This Row],[Time]])</f>
        <v>16</v>
      </c>
      <c r="H3319" t="s">
        <v>24</v>
      </c>
      <c r="I3319" t="s">
        <v>14</v>
      </c>
      <c r="J3319" t="s">
        <v>14</v>
      </c>
      <c r="K3319">
        <v>111</v>
      </c>
      <c r="L3319" t="str">
        <f>IF(AND(CallLog[[#This Row],[Answered (Y/N)]]="Y", CallLog[[#This Row],[Speed of answer in seconds]]&lt;=20),
    "Within",
    "Breach")</f>
        <v>Breach</v>
      </c>
      <c r="M3319" s="1">
        <v>4.6180555555555558E-3</v>
      </c>
      <c r="N3319">
        <v>4</v>
      </c>
    </row>
    <row r="3320" spans="1:14" x14ac:dyDescent="0.3">
      <c r="A3320" t="s">
        <v>3401</v>
      </c>
      <c r="B3320" t="s">
        <v>20</v>
      </c>
      <c r="C3320" t="s">
        <v>3355</v>
      </c>
      <c r="D3320" s="1">
        <v>0.69900462962962961</v>
      </c>
      <c r="E3320" s="2">
        <f>CallLog[[#This Row],[Date]]+CallLog[[#This Row],[Time]]</f>
        <v>44254.699004629627</v>
      </c>
      <c r="F3320" s="1" t="str">
        <f>TEXT(CallLog[[#This Row],[Date]],"dddd")</f>
        <v>Saturday</v>
      </c>
      <c r="G3320" s="3">
        <f>HOUR(CallLog[[#This Row],[Time]])</f>
        <v>16</v>
      </c>
      <c r="H3320" t="s">
        <v>17</v>
      </c>
      <c r="I3320" t="s">
        <v>14</v>
      </c>
      <c r="J3320" t="s">
        <v>14</v>
      </c>
      <c r="K3320">
        <v>89</v>
      </c>
      <c r="L3320" t="str">
        <f>IF(AND(CallLog[[#This Row],[Answered (Y/N)]]="Y", CallLog[[#This Row],[Speed of answer in seconds]]&lt;=20),
    "Within",
    "Breach")</f>
        <v>Breach</v>
      </c>
      <c r="M3320" s="1">
        <v>2.6041666666666665E-3</v>
      </c>
      <c r="N3320">
        <v>5</v>
      </c>
    </row>
    <row r="3321" spans="1:14" x14ac:dyDescent="0.3">
      <c r="A3321" t="s">
        <v>3402</v>
      </c>
      <c r="B3321" t="s">
        <v>47</v>
      </c>
      <c r="C3321" t="s">
        <v>3355</v>
      </c>
      <c r="D3321" s="1">
        <v>0.69900462962962961</v>
      </c>
      <c r="E3321" s="2">
        <f>CallLog[[#This Row],[Date]]+CallLog[[#This Row],[Time]]</f>
        <v>44254.699004629627</v>
      </c>
      <c r="F3321" s="1" t="str">
        <f>TEXT(CallLog[[#This Row],[Date]],"dddd")</f>
        <v>Saturday</v>
      </c>
      <c r="G3321" s="3">
        <f>HOUR(CallLog[[#This Row],[Time]])</f>
        <v>16</v>
      </c>
      <c r="H3321" t="s">
        <v>32</v>
      </c>
      <c r="I3321" t="s">
        <v>14</v>
      </c>
      <c r="J3321" t="s">
        <v>14</v>
      </c>
      <c r="K3321">
        <v>32</v>
      </c>
      <c r="L3321" t="str">
        <f>IF(AND(CallLog[[#This Row],[Answered (Y/N)]]="Y", CallLog[[#This Row],[Speed of answer in seconds]]&lt;=20),
    "Within",
    "Breach")</f>
        <v>Breach</v>
      </c>
      <c r="M3321" s="1">
        <v>3.9351851851851848E-3</v>
      </c>
      <c r="N3321">
        <v>2</v>
      </c>
    </row>
    <row r="3322" spans="1:14" x14ac:dyDescent="0.3">
      <c r="A3322" t="s">
        <v>3403</v>
      </c>
      <c r="B3322" t="s">
        <v>22</v>
      </c>
      <c r="C3322" t="s">
        <v>3355</v>
      </c>
      <c r="D3322" s="1">
        <v>0.70299768518518524</v>
      </c>
      <c r="E3322" s="2">
        <f>CallLog[[#This Row],[Date]]+CallLog[[#This Row],[Time]]</f>
        <v>44254.702997685185</v>
      </c>
      <c r="F3322" s="1" t="str">
        <f>TEXT(CallLog[[#This Row],[Date]],"dddd")</f>
        <v>Saturday</v>
      </c>
      <c r="G3322" s="3">
        <f>HOUR(CallLog[[#This Row],[Time]])</f>
        <v>16</v>
      </c>
      <c r="H3322" t="s">
        <v>17</v>
      </c>
      <c r="I3322" t="s">
        <v>14</v>
      </c>
      <c r="J3322" t="s">
        <v>14</v>
      </c>
      <c r="K3322">
        <v>118</v>
      </c>
      <c r="L3322" t="str">
        <f>IF(AND(CallLog[[#This Row],[Answered (Y/N)]]="Y", CallLog[[#This Row],[Speed of answer in seconds]]&lt;=20),
    "Within",
    "Breach")</f>
        <v>Breach</v>
      </c>
      <c r="M3322" s="1">
        <v>4.1435185185185186E-3</v>
      </c>
      <c r="N3322">
        <v>3</v>
      </c>
    </row>
    <row r="3323" spans="1:14" x14ac:dyDescent="0.3">
      <c r="A3323" t="s">
        <v>3404</v>
      </c>
      <c r="B3323" t="s">
        <v>34</v>
      </c>
      <c r="C3323" t="s">
        <v>3355</v>
      </c>
      <c r="D3323" s="1">
        <v>0.70299768518518524</v>
      </c>
      <c r="E3323" s="2">
        <f>CallLog[[#This Row],[Date]]+CallLog[[#This Row],[Time]]</f>
        <v>44254.702997685185</v>
      </c>
      <c r="F3323" s="1" t="str">
        <f>TEXT(CallLog[[#This Row],[Date]],"dddd")</f>
        <v>Saturday</v>
      </c>
      <c r="G3323" s="3">
        <f>HOUR(CallLog[[#This Row],[Time]])</f>
        <v>16</v>
      </c>
      <c r="H3323" t="s">
        <v>17</v>
      </c>
      <c r="I3323" t="s">
        <v>14</v>
      </c>
      <c r="J3323" t="s">
        <v>14</v>
      </c>
      <c r="K3323">
        <v>21</v>
      </c>
      <c r="L3323" t="str">
        <f>IF(AND(CallLog[[#This Row],[Answered (Y/N)]]="Y", CallLog[[#This Row],[Speed of answer in seconds]]&lt;=20),
    "Within",
    "Breach")</f>
        <v>Breach</v>
      </c>
      <c r="M3323" s="1">
        <v>5.3240740740740744E-4</v>
      </c>
      <c r="N3323">
        <v>4</v>
      </c>
    </row>
    <row r="3324" spans="1:14" x14ac:dyDescent="0.3">
      <c r="A3324" t="s">
        <v>3405</v>
      </c>
      <c r="B3324" t="s">
        <v>31</v>
      </c>
      <c r="C3324" t="s">
        <v>3355</v>
      </c>
      <c r="D3324" s="1">
        <v>0.71299768518518514</v>
      </c>
      <c r="E3324" s="2">
        <f>CallLog[[#This Row],[Date]]+CallLog[[#This Row],[Time]]</f>
        <v>44254.712997685187</v>
      </c>
      <c r="F3324" s="1" t="str">
        <f>TEXT(CallLog[[#This Row],[Date]],"dddd")</f>
        <v>Saturday</v>
      </c>
      <c r="G3324" s="3">
        <f>HOUR(CallLog[[#This Row],[Time]])</f>
        <v>17</v>
      </c>
      <c r="H3324" t="s">
        <v>13</v>
      </c>
      <c r="I3324" t="s">
        <v>14</v>
      </c>
      <c r="J3324" t="s">
        <v>14</v>
      </c>
      <c r="K3324">
        <v>15</v>
      </c>
      <c r="L3324" t="str">
        <f>IF(AND(CallLog[[#This Row],[Answered (Y/N)]]="Y", CallLog[[#This Row],[Speed of answer in seconds]]&lt;=20),
    "Within",
    "Breach")</f>
        <v>Within</v>
      </c>
      <c r="M3324" s="1">
        <v>1.1689814814814816E-3</v>
      </c>
      <c r="N3324">
        <v>2</v>
      </c>
    </row>
    <row r="3325" spans="1:14" x14ac:dyDescent="0.3">
      <c r="A3325" t="s">
        <v>3406</v>
      </c>
      <c r="B3325" t="s">
        <v>47</v>
      </c>
      <c r="C3325" t="s">
        <v>3355</v>
      </c>
      <c r="D3325" s="1">
        <v>0.71299768518518514</v>
      </c>
      <c r="E3325" s="2">
        <f>CallLog[[#This Row],[Date]]+CallLog[[#This Row],[Time]]</f>
        <v>44254.712997685187</v>
      </c>
      <c r="F3325" s="1" t="str">
        <f>TEXT(CallLog[[#This Row],[Date]],"dddd")</f>
        <v>Saturday</v>
      </c>
      <c r="G3325" s="3">
        <f>HOUR(CallLog[[#This Row],[Time]])</f>
        <v>17</v>
      </c>
      <c r="H3325" t="s">
        <v>17</v>
      </c>
      <c r="I3325" t="s">
        <v>14</v>
      </c>
      <c r="J3325" t="s">
        <v>14</v>
      </c>
      <c r="K3325">
        <v>87</v>
      </c>
      <c r="L3325" t="str">
        <f>IF(AND(CallLog[[#This Row],[Answered (Y/N)]]="Y", CallLog[[#This Row],[Speed of answer in seconds]]&lt;=20),
    "Within",
    "Breach")</f>
        <v>Breach</v>
      </c>
      <c r="M3325" s="1">
        <v>1.9675925925925924E-3</v>
      </c>
      <c r="N3325">
        <v>4</v>
      </c>
    </row>
    <row r="3326" spans="1:14" x14ac:dyDescent="0.3">
      <c r="A3326" t="s">
        <v>3407</v>
      </c>
      <c r="B3326" t="s">
        <v>16</v>
      </c>
      <c r="C3326" t="s">
        <v>3355</v>
      </c>
      <c r="D3326" s="1">
        <v>0.71499999999999997</v>
      </c>
      <c r="E3326" s="2">
        <f>CallLog[[#This Row],[Date]]+CallLog[[#This Row],[Time]]</f>
        <v>44254.714999999997</v>
      </c>
      <c r="F3326" s="1" t="str">
        <f>TEXT(CallLog[[#This Row],[Date]],"dddd")</f>
        <v>Saturday</v>
      </c>
      <c r="G3326" s="3">
        <f>HOUR(CallLog[[#This Row],[Time]])</f>
        <v>17</v>
      </c>
      <c r="H3326" t="s">
        <v>29</v>
      </c>
      <c r="I3326" t="s">
        <v>14</v>
      </c>
      <c r="J3326" t="s">
        <v>14</v>
      </c>
      <c r="K3326">
        <v>18</v>
      </c>
      <c r="L3326" t="str">
        <f>IF(AND(CallLog[[#This Row],[Answered (Y/N)]]="Y", CallLog[[#This Row],[Speed of answer in seconds]]&lt;=20),
    "Within",
    "Breach")</f>
        <v>Within</v>
      </c>
      <c r="M3326" s="1">
        <v>4.3518518518518515E-3</v>
      </c>
      <c r="N3326">
        <v>1</v>
      </c>
    </row>
    <row r="3327" spans="1:14" x14ac:dyDescent="0.3">
      <c r="A3327" t="s">
        <v>3408</v>
      </c>
      <c r="B3327" t="s">
        <v>16</v>
      </c>
      <c r="C3327" t="s">
        <v>3355</v>
      </c>
      <c r="D3327" s="1">
        <v>0.71499999999999997</v>
      </c>
      <c r="E3327" s="2">
        <f>CallLog[[#This Row],[Date]]+CallLog[[#This Row],[Time]]</f>
        <v>44254.714999999997</v>
      </c>
      <c r="F3327" s="1" t="str">
        <f>TEXT(CallLog[[#This Row],[Date]],"dddd")</f>
        <v>Saturday</v>
      </c>
      <c r="G3327" s="3">
        <f>HOUR(CallLog[[#This Row],[Time]])</f>
        <v>17</v>
      </c>
      <c r="H3327" t="s">
        <v>24</v>
      </c>
      <c r="I3327" t="s">
        <v>18</v>
      </c>
      <c r="J3327" t="s">
        <v>18</v>
      </c>
      <c r="L3327" t="str">
        <f>IF(AND(CallLog[[#This Row],[Answered (Y/N)]]="Y", CallLog[[#This Row],[Speed of answer in seconds]]&lt;=20),
    "Within",
    "Breach")</f>
        <v>Breach</v>
      </c>
    </row>
    <row r="3328" spans="1:14" x14ac:dyDescent="0.3">
      <c r="A3328" t="s">
        <v>3409</v>
      </c>
      <c r="B3328" t="s">
        <v>11</v>
      </c>
      <c r="C3328" t="s">
        <v>3410</v>
      </c>
      <c r="D3328" s="1">
        <v>0.38</v>
      </c>
      <c r="E3328" s="2">
        <f>CallLog[[#This Row],[Date]]+CallLog[[#This Row],[Time]]</f>
        <v>44255.38</v>
      </c>
      <c r="F3328" s="1" t="str">
        <f>TEXT(CallLog[[#This Row],[Date]],"dddd")</f>
        <v>Sunday</v>
      </c>
      <c r="G3328" s="3">
        <f>HOUR(CallLog[[#This Row],[Time]])</f>
        <v>9</v>
      </c>
      <c r="H3328" t="s">
        <v>17</v>
      </c>
      <c r="I3328" t="s">
        <v>14</v>
      </c>
      <c r="J3328" t="s">
        <v>14</v>
      </c>
      <c r="K3328">
        <v>15</v>
      </c>
      <c r="L3328" t="str">
        <f>IF(AND(CallLog[[#This Row],[Answered (Y/N)]]="Y", CallLog[[#This Row],[Speed of answer in seconds]]&lt;=20),
    "Within",
    "Breach")</f>
        <v>Within</v>
      </c>
      <c r="M3328" s="1">
        <v>2.1527777777777778E-3</v>
      </c>
      <c r="N3328">
        <v>3</v>
      </c>
    </row>
    <row r="3329" spans="1:14" x14ac:dyDescent="0.3">
      <c r="A3329" t="s">
        <v>3411</v>
      </c>
      <c r="B3329" t="s">
        <v>11</v>
      </c>
      <c r="C3329" t="s">
        <v>3410</v>
      </c>
      <c r="D3329" s="1">
        <v>0.38</v>
      </c>
      <c r="E3329" s="2">
        <f>CallLog[[#This Row],[Date]]+CallLog[[#This Row],[Time]]</f>
        <v>44255.38</v>
      </c>
      <c r="F3329" s="1" t="str">
        <f>TEXT(CallLog[[#This Row],[Date]],"dddd")</f>
        <v>Sunday</v>
      </c>
      <c r="G3329" s="3">
        <f>HOUR(CallLog[[#This Row],[Time]])</f>
        <v>9</v>
      </c>
      <c r="H3329" t="s">
        <v>13</v>
      </c>
      <c r="I3329" t="s">
        <v>14</v>
      </c>
      <c r="J3329" t="s">
        <v>14</v>
      </c>
      <c r="K3329">
        <v>12</v>
      </c>
      <c r="L3329" t="str">
        <f>IF(AND(CallLog[[#This Row],[Answered (Y/N)]]="Y", CallLog[[#This Row],[Speed of answer in seconds]]&lt;=20),
    "Within",
    "Breach")</f>
        <v>Within</v>
      </c>
      <c r="M3329" s="1">
        <v>4.0393518518518521E-3</v>
      </c>
      <c r="N3329">
        <v>5</v>
      </c>
    </row>
    <row r="3330" spans="1:14" x14ac:dyDescent="0.3">
      <c r="A3330" t="s">
        <v>3412</v>
      </c>
      <c r="B3330" t="s">
        <v>20</v>
      </c>
      <c r="C3330" t="s">
        <v>3410</v>
      </c>
      <c r="D3330" s="1">
        <v>0.38500000000000001</v>
      </c>
      <c r="E3330" s="2">
        <f>CallLog[[#This Row],[Date]]+CallLog[[#This Row],[Time]]</f>
        <v>44255.385000000002</v>
      </c>
      <c r="F3330" s="1" t="str">
        <f>TEXT(CallLog[[#This Row],[Date]],"dddd")</f>
        <v>Sunday</v>
      </c>
      <c r="G3330" s="3">
        <f>HOUR(CallLog[[#This Row],[Time]])</f>
        <v>9</v>
      </c>
      <c r="H3330" t="s">
        <v>13</v>
      </c>
      <c r="I3330" t="s">
        <v>18</v>
      </c>
      <c r="J3330" t="s">
        <v>18</v>
      </c>
      <c r="L3330" t="str">
        <f>IF(AND(CallLog[[#This Row],[Answered (Y/N)]]="Y", CallLog[[#This Row],[Speed of answer in seconds]]&lt;=20),
    "Within",
    "Breach")</f>
        <v>Breach</v>
      </c>
    </row>
    <row r="3331" spans="1:14" x14ac:dyDescent="0.3">
      <c r="A3331" t="s">
        <v>3413</v>
      </c>
      <c r="B3331" t="s">
        <v>16</v>
      </c>
      <c r="C3331" t="s">
        <v>3410</v>
      </c>
      <c r="D3331" s="1">
        <v>0.38500000000000001</v>
      </c>
      <c r="E3331" s="2">
        <f>CallLog[[#This Row],[Date]]+CallLog[[#This Row],[Time]]</f>
        <v>44255.385000000002</v>
      </c>
      <c r="F3331" s="1" t="str">
        <f>TEXT(CallLog[[#This Row],[Date]],"dddd")</f>
        <v>Sunday</v>
      </c>
      <c r="G3331" s="3">
        <f>HOUR(CallLog[[#This Row],[Time]])</f>
        <v>9</v>
      </c>
      <c r="H3331" t="s">
        <v>29</v>
      </c>
      <c r="I3331" t="s">
        <v>14</v>
      </c>
      <c r="J3331" t="s">
        <v>14</v>
      </c>
      <c r="K3331">
        <v>84</v>
      </c>
      <c r="L3331" t="str">
        <f>IF(AND(CallLog[[#This Row],[Answered (Y/N)]]="Y", CallLog[[#This Row],[Speed of answer in seconds]]&lt;=20),
    "Within",
    "Breach")</f>
        <v>Breach</v>
      </c>
      <c r="M3331" s="1">
        <v>1.6898148148148148E-3</v>
      </c>
      <c r="N3331">
        <v>3</v>
      </c>
    </row>
    <row r="3332" spans="1:14" x14ac:dyDescent="0.3">
      <c r="A3332" t="s">
        <v>3414</v>
      </c>
      <c r="B3332" t="s">
        <v>11</v>
      </c>
      <c r="C3332" t="s">
        <v>3410</v>
      </c>
      <c r="D3332" s="1">
        <v>0.38599537037037035</v>
      </c>
      <c r="E3332" s="2">
        <f>CallLog[[#This Row],[Date]]+CallLog[[#This Row],[Time]]</f>
        <v>44255.385995370372</v>
      </c>
      <c r="F3332" s="1" t="str">
        <f>TEXT(CallLog[[#This Row],[Date]],"dddd")</f>
        <v>Sunday</v>
      </c>
      <c r="G3332" s="3">
        <f>HOUR(CallLog[[#This Row],[Time]])</f>
        <v>9</v>
      </c>
      <c r="H3332" t="s">
        <v>13</v>
      </c>
      <c r="I3332" t="s">
        <v>18</v>
      </c>
      <c r="J3332" t="s">
        <v>18</v>
      </c>
      <c r="L3332" t="str">
        <f>IF(AND(CallLog[[#This Row],[Answered (Y/N)]]="Y", CallLog[[#This Row],[Speed of answer in seconds]]&lt;=20),
    "Within",
    "Breach")</f>
        <v>Breach</v>
      </c>
    </row>
    <row r="3333" spans="1:14" x14ac:dyDescent="0.3">
      <c r="A3333" t="s">
        <v>3415</v>
      </c>
      <c r="B3333" t="s">
        <v>34</v>
      </c>
      <c r="C3333" t="s">
        <v>3410</v>
      </c>
      <c r="D3333" s="1">
        <v>0.38599537037037035</v>
      </c>
      <c r="E3333" s="2">
        <f>CallLog[[#This Row],[Date]]+CallLog[[#This Row],[Time]]</f>
        <v>44255.385995370372</v>
      </c>
      <c r="F3333" s="1" t="str">
        <f>TEXT(CallLog[[#This Row],[Date]],"dddd")</f>
        <v>Sunday</v>
      </c>
      <c r="G3333" s="3">
        <f>HOUR(CallLog[[#This Row],[Time]])</f>
        <v>9</v>
      </c>
      <c r="H3333" t="s">
        <v>29</v>
      </c>
      <c r="I3333" t="s">
        <v>18</v>
      </c>
      <c r="J3333" t="s">
        <v>18</v>
      </c>
      <c r="L3333" t="str">
        <f>IF(AND(CallLog[[#This Row],[Answered (Y/N)]]="Y", CallLog[[#This Row],[Speed of answer in seconds]]&lt;=20),
    "Within",
    "Breach")</f>
        <v>Breach</v>
      </c>
    </row>
    <row r="3334" spans="1:14" x14ac:dyDescent="0.3">
      <c r="A3334" t="s">
        <v>3416</v>
      </c>
      <c r="B3334" t="s">
        <v>47</v>
      </c>
      <c r="C3334" t="s">
        <v>3410</v>
      </c>
      <c r="D3334" s="1">
        <v>0.39599537037037036</v>
      </c>
      <c r="E3334" s="2">
        <f>CallLog[[#This Row],[Date]]+CallLog[[#This Row],[Time]]</f>
        <v>44255.395995370367</v>
      </c>
      <c r="F3334" s="1" t="str">
        <f>TEXT(CallLog[[#This Row],[Date]],"dddd")</f>
        <v>Sunday</v>
      </c>
      <c r="G3334" s="3">
        <f>HOUR(CallLog[[#This Row],[Time]])</f>
        <v>9</v>
      </c>
      <c r="H3334" t="s">
        <v>32</v>
      </c>
      <c r="I3334" t="s">
        <v>14</v>
      </c>
      <c r="J3334" t="s">
        <v>14</v>
      </c>
      <c r="K3334">
        <v>55</v>
      </c>
      <c r="L3334" t="str">
        <f>IF(AND(CallLog[[#This Row],[Answered (Y/N)]]="Y", CallLog[[#This Row],[Speed of answer in seconds]]&lt;=20),
    "Within",
    "Breach")</f>
        <v>Breach</v>
      </c>
      <c r="M3334" s="1">
        <v>2.627314814814815E-3</v>
      </c>
      <c r="N3334">
        <v>4</v>
      </c>
    </row>
    <row r="3335" spans="1:14" x14ac:dyDescent="0.3">
      <c r="A3335" t="s">
        <v>3417</v>
      </c>
      <c r="B3335" t="s">
        <v>31</v>
      </c>
      <c r="C3335" t="s">
        <v>3410</v>
      </c>
      <c r="D3335" s="1">
        <v>0.39599537037037036</v>
      </c>
      <c r="E3335" s="2">
        <f>CallLog[[#This Row],[Date]]+CallLog[[#This Row],[Time]]</f>
        <v>44255.395995370367</v>
      </c>
      <c r="F3335" s="1" t="str">
        <f>TEXT(CallLog[[#This Row],[Date]],"dddd")</f>
        <v>Sunday</v>
      </c>
      <c r="G3335" s="3">
        <f>HOUR(CallLog[[#This Row],[Time]])</f>
        <v>9</v>
      </c>
      <c r="H3335" t="s">
        <v>32</v>
      </c>
      <c r="I3335" t="s">
        <v>18</v>
      </c>
      <c r="J3335" t="s">
        <v>18</v>
      </c>
      <c r="L3335" t="str">
        <f>IF(AND(CallLog[[#This Row],[Answered (Y/N)]]="Y", CallLog[[#This Row],[Speed of answer in seconds]]&lt;=20),
    "Within",
    "Breach")</f>
        <v>Breach</v>
      </c>
    </row>
    <row r="3336" spans="1:14" x14ac:dyDescent="0.3">
      <c r="A3336" t="s">
        <v>3418</v>
      </c>
      <c r="B3336" t="s">
        <v>38</v>
      </c>
      <c r="C3336" t="s">
        <v>3410</v>
      </c>
      <c r="D3336" s="1">
        <v>0.42200231481481482</v>
      </c>
      <c r="E3336" s="2">
        <f>CallLog[[#This Row],[Date]]+CallLog[[#This Row],[Time]]</f>
        <v>44255.422002314815</v>
      </c>
      <c r="F3336" s="1" t="str">
        <f>TEXT(CallLog[[#This Row],[Date]],"dddd")</f>
        <v>Sunday</v>
      </c>
      <c r="G3336" s="3">
        <f>HOUR(CallLog[[#This Row],[Time]])</f>
        <v>10</v>
      </c>
      <c r="H3336" t="s">
        <v>17</v>
      </c>
      <c r="I3336" t="s">
        <v>14</v>
      </c>
      <c r="J3336" t="s">
        <v>14</v>
      </c>
      <c r="K3336">
        <v>63</v>
      </c>
      <c r="L3336" t="str">
        <f>IF(AND(CallLog[[#This Row],[Answered (Y/N)]]="Y", CallLog[[#This Row],[Speed of answer in seconds]]&lt;=20),
    "Within",
    "Breach")</f>
        <v>Breach</v>
      </c>
      <c r="M3336" s="1">
        <v>2.4305555555555556E-3</v>
      </c>
      <c r="N3336">
        <v>5</v>
      </c>
    </row>
    <row r="3337" spans="1:14" x14ac:dyDescent="0.3">
      <c r="A3337" t="s">
        <v>3419</v>
      </c>
      <c r="B3337" t="s">
        <v>47</v>
      </c>
      <c r="C3337" t="s">
        <v>3410</v>
      </c>
      <c r="D3337" s="1">
        <v>0.42200231481481482</v>
      </c>
      <c r="E3337" s="2">
        <f>CallLog[[#This Row],[Date]]+CallLog[[#This Row],[Time]]</f>
        <v>44255.422002314815</v>
      </c>
      <c r="F3337" s="1" t="str">
        <f>TEXT(CallLog[[#This Row],[Date]],"dddd")</f>
        <v>Sunday</v>
      </c>
      <c r="G3337" s="3">
        <f>HOUR(CallLog[[#This Row],[Time]])</f>
        <v>10</v>
      </c>
      <c r="H3337" t="s">
        <v>24</v>
      </c>
      <c r="I3337" t="s">
        <v>18</v>
      </c>
      <c r="J3337" t="s">
        <v>18</v>
      </c>
      <c r="L3337" t="str">
        <f>IF(AND(CallLog[[#This Row],[Answered (Y/N)]]="Y", CallLog[[#This Row],[Speed of answer in seconds]]&lt;=20),
    "Within",
    "Breach")</f>
        <v>Breach</v>
      </c>
    </row>
    <row r="3338" spans="1:14" x14ac:dyDescent="0.3">
      <c r="A3338" t="s">
        <v>3420</v>
      </c>
      <c r="B3338" t="s">
        <v>34</v>
      </c>
      <c r="C3338" t="s">
        <v>3410</v>
      </c>
      <c r="D3338" s="1">
        <v>0.43599537037037039</v>
      </c>
      <c r="E3338" s="2">
        <f>CallLog[[#This Row],[Date]]+CallLog[[#This Row],[Time]]</f>
        <v>44255.435995370368</v>
      </c>
      <c r="F3338" s="1" t="str">
        <f>TEXT(CallLog[[#This Row],[Date]],"dddd")</f>
        <v>Sunday</v>
      </c>
      <c r="G3338" s="3">
        <f>HOUR(CallLog[[#This Row],[Time]])</f>
        <v>10</v>
      </c>
      <c r="H3338" t="s">
        <v>32</v>
      </c>
      <c r="I3338" t="s">
        <v>14</v>
      </c>
      <c r="J3338" t="s">
        <v>14</v>
      </c>
      <c r="K3338">
        <v>121</v>
      </c>
      <c r="L3338" t="str">
        <f>IF(AND(CallLog[[#This Row],[Answered (Y/N)]]="Y", CallLog[[#This Row],[Speed of answer in seconds]]&lt;=20),
    "Within",
    "Breach")</f>
        <v>Breach</v>
      </c>
      <c r="M3338" s="1">
        <v>2.4189814814814816E-3</v>
      </c>
      <c r="N3338">
        <v>3</v>
      </c>
    </row>
    <row r="3339" spans="1:14" x14ac:dyDescent="0.3">
      <c r="A3339" t="s">
        <v>3421</v>
      </c>
      <c r="B3339" t="s">
        <v>34</v>
      </c>
      <c r="C3339" t="s">
        <v>3410</v>
      </c>
      <c r="D3339" s="1">
        <v>0.43599537037037039</v>
      </c>
      <c r="E3339" s="2">
        <f>CallLog[[#This Row],[Date]]+CallLog[[#This Row],[Time]]</f>
        <v>44255.435995370368</v>
      </c>
      <c r="F3339" s="1" t="str">
        <f>TEXT(CallLog[[#This Row],[Date]],"dddd")</f>
        <v>Sunday</v>
      </c>
      <c r="G3339" s="3">
        <f>HOUR(CallLog[[#This Row],[Time]])</f>
        <v>10</v>
      </c>
      <c r="H3339" t="s">
        <v>29</v>
      </c>
      <c r="I3339" t="s">
        <v>14</v>
      </c>
      <c r="J3339" t="s">
        <v>14</v>
      </c>
      <c r="K3339">
        <v>53</v>
      </c>
      <c r="L3339" t="str">
        <f>IF(AND(CallLog[[#This Row],[Answered (Y/N)]]="Y", CallLog[[#This Row],[Speed of answer in seconds]]&lt;=20),
    "Within",
    "Breach")</f>
        <v>Breach</v>
      </c>
      <c r="M3339" s="1">
        <v>4.2361111111111115E-3</v>
      </c>
      <c r="N3339">
        <v>4</v>
      </c>
    </row>
    <row r="3340" spans="1:14" x14ac:dyDescent="0.3">
      <c r="A3340" t="s">
        <v>3422</v>
      </c>
      <c r="B3340" t="s">
        <v>22</v>
      </c>
      <c r="C3340" t="s">
        <v>3410</v>
      </c>
      <c r="D3340" s="1">
        <v>0.44</v>
      </c>
      <c r="E3340" s="2">
        <f>CallLog[[#This Row],[Date]]+CallLog[[#This Row],[Time]]</f>
        <v>44255.44</v>
      </c>
      <c r="F3340" s="1" t="str">
        <f>TEXT(CallLog[[#This Row],[Date]],"dddd")</f>
        <v>Sunday</v>
      </c>
      <c r="G3340" s="3">
        <f>HOUR(CallLog[[#This Row],[Time]])</f>
        <v>10</v>
      </c>
      <c r="H3340" t="s">
        <v>32</v>
      </c>
      <c r="I3340" t="s">
        <v>14</v>
      </c>
      <c r="J3340" t="s">
        <v>14</v>
      </c>
      <c r="K3340">
        <v>102</v>
      </c>
      <c r="L3340" t="str">
        <f>IF(AND(CallLog[[#This Row],[Answered (Y/N)]]="Y", CallLog[[#This Row],[Speed of answer in seconds]]&lt;=20),
    "Within",
    "Breach")</f>
        <v>Breach</v>
      </c>
      <c r="M3340" s="1">
        <v>4.0509259259259258E-4</v>
      </c>
      <c r="N3340">
        <v>3</v>
      </c>
    </row>
    <row r="3341" spans="1:14" x14ac:dyDescent="0.3">
      <c r="A3341" t="s">
        <v>3423</v>
      </c>
      <c r="B3341" t="s">
        <v>34</v>
      </c>
      <c r="C3341" t="s">
        <v>3410</v>
      </c>
      <c r="D3341" s="1">
        <v>0.44</v>
      </c>
      <c r="E3341" s="2">
        <f>CallLog[[#This Row],[Date]]+CallLog[[#This Row],[Time]]</f>
        <v>44255.44</v>
      </c>
      <c r="F3341" s="1" t="str">
        <f>TEXT(CallLog[[#This Row],[Date]],"dddd")</f>
        <v>Sunday</v>
      </c>
      <c r="G3341" s="3">
        <f>HOUR(CallLog[[#This Row],[Time]])</f>
        <v>10</v>
      </c>
      <c r="H3341" t="s">
        <v>13</v>
      </c>
      <c r="I3341" t="s">
        <v>14</v>
      </c>
      <c r="J3341" t="s">
        <v>14</v>
      </c>
      <c r="K3341">
        <v>92</v>
      </c>
      <c r="L3341" t="str">
        <f>IF(AND(CallLog[[#This Row],[Answered (Y/N)]]="Y", CallLog[[#This Row],[Speed of answer in seconds]]&lt;=20),
    "Within",
    "Breach")</f>
        <v>Breach</v>
      </c>
      <c r="M3341" s="1">
        <v>4.3055555555555555E-3</v>
      </c>
      <c r="N3341">
        <v>2</v>
      </c>
    </row>
    <row r="3342" spans="1:14" x14ac:dyDescent="0.3">
      <c r="A3342" t="s">
        <v>3424</v>
      </c>
      <c r="B3342" t="s">
        <v>38</v>
      </c>
      <c r="C3342" t="s">
        <v>3410</v>
      </c>
      <c r="D3342" s="1">
        <v>0.45900462962962962</v>
      </c>
      <c r="E3342" s="2">
        <f>CallLog[[#This Row],[Date]]+CallLog[[#This Row],[Time]]</f>
        <v>44255.459004629629</v>
      </c>
      <c r="F3342" s="1" t="str">
        <f>TEXT(CallLog[[#This Row],[Date]],"dddd")</f>
        <v>Sunday</v>
      </c>
      <c r="G3342" s="3">
        <f>HOUR(CallLog[[#This Row],[Time]])</f>
        <v>11</v>
      </c>
      <c r="H3342" t="s">
        <v>13</v>
      </c>
      <c r="I3342" t="s">
        <v>14</v>
      </c>
      <c r="J3342" t="s">
        <v>14</v>
      </c>
      <c r="K3342">
        <v>32</v>
      </c>
      <c r="L3342" t="str">
        <f>IF(AND(CallLog[[#This Row],[Answered (Y/N)]]="Y", CallLog[[#This Row],[Speed of answer in seconds]]&lt;=20),
    "Within",
    "Breach")</f>
        <v>Breach</v>
      </c>
      <c r="M3342" s="1">
        <v>5.3240740740740744E-4</v>
      </c>
      <c r="N3342">
        <v>5</v>
      </c>
    </row>
    <row r="3343" spans="1:14" x14ac:dyDescent="0.3">
      <c r="A3343" t="s">
        <v>3425</v>
      </c>
      <c r="B3343" t="s">
        <v>20</v>
      </c>
      <c r="C3343" t="s">
        <v>3410</v>
      </c>
      <c r="D3343" s="1">
        <v>0.45900462962962962</v>
      </c>
      <c r="E3343" s="2">
        <f>CallLog[[#This Row],[Date]]+CallLog[[#This Row],[Time]]</f>
        <v>44255.459004629629</v>
      </c>
      <c r="F3343" s="1" t="str">
        <f>TEXT(CallLog[[#This Row],[Date]],"dddd")</f>
        <v>Sunday</v>
      </c>
      <c r="G3343" s="3">
        <f>HOUR(CallLog[[#This Row],[Time]])</f>
        <v>11</v>
      </c>
      <c r="H3343" t="s">
        <v>29</v>
      </c>
      <c r="I3343" t="s">
        <v>14</v>
      </c>
      <c r="J3343" t="s">
        <v>14</v>
      </c>
      <c r="K3343">
        <v>107</v>
      </c>
      <c r="L3343" t="str">
        <f>IF(AND(CallLog[[#This Row],[Answered (Y/N)]]="Y", CallLog[[#This Row],[Speed of answer in seconds]]&lt;=20),
    "Within",
    "Breach")</f>
        <v>Breach</v>
      </c>
      <c r="M3343" s="1">
        <v>3.2986111111111111E-3</v>
      </c>
      <c r="N3343">
        <v>5</v>
      </c>
    </row>
    <row r="3344" spans="1:14" x14ac:dyDescent="0.3">
      <c r="A3344" t="s">
        <v>3426</v>
      </c>
      <c r="B3344" t="s">
        <v>11</v>
      </c>
      <c r="C3344" t="s">
        <v>3410</v>
      </c>
      <c r="D3344" s="1">
        <v>0.45900462962962962</v>
      </c>
      <c r="E3344" s="2">
        <f>CallLog[[#This Row],[Date]]+CallLog[[#This Row],[Time]]</f>
        <v>44255.459004629629</v>
      </c>
      <c r="F3344" s="1" t="str">
        <f>TEXT(CallLog[[#This Row],[Date]],"dddd")</f>
        <v>Sunday</v>
      </c>
      <c r="G3344" s="3">
        <f>HOUR(CallLog[[#This Row],[Time]])</f>
        <v>11</v>
      </c>
      <c r="H3344" t="s">
        <v>29</v>
      </c>
      <c r="I3344" t="s">
        <v>14</v>
      </c>
      <c r="J3344" t="s">
        <v>14</v>
      </c>
      <c r="K3344">
        <v>106</v>
      </c>
      <c r="L3344" t="str">
        <f>IF(AND(CallLog[[#This Row],[Answered (Y/N)]]="Y", CallLog[[#This Row],[Speed of answer in seconds]]&lt;=20),
    "Within",
    "Breach")</f>
        <v>Breach</v>
      </c>
      <c r="M3344" s="1">
        <v>3.3564814814814816E-3</v>
      </c>
      <c r="N3344">
        <v>1</v>
      </c>
    </row>
    <row r="3345" spans="1:14" x14ac:dyDescent="0.3">
      <c r="A3345" t="s">
        <v>3427</v>
      </c>
      <c r="B3345" t="s">
        <v>31</v>
      </c>
      <c r="C3345" t="s">
        <v>3410</v>
      </c>
      <c r="D3345" s="1">
        <v>0.45900462962962962</v>
      </c>
      <c r="E3345" s="2">
        <f>CallLog[[#This Row],[Date]]+CallLog[[#This Row],[Time]]</f>
        <v>44255.459004629629</v>
      </c>
      <c r="F3345" s="1" t="str">
        <f>TEXT(CallLog[[#This Row],[Date]],"dddd")</f>
        <v>Sunday</v>
      </c>
      <c r="G3345" s="3">
        <f>HOUR(CallLog[[#This Row],[Time]])</f>
        <v>11</v>
      </c>
      <c r="H3345" t="s">
        <v>13</v>
      </c>
      <c r="I3345" t="s">
        <v>14</v>
      </c>
      <c r="J3345" t="s">
        <v>14</v>
      </c>
      <c r="K3345">
        <v>114</v>
      </c>
      <c r="L3345" t="str">
        <f>IF(AND(CallLog[[#This Row],[Answered (Y/N)]]="Y", CallLog[[#This Row],[Speed of answer in seconds]]&lt;=20),
    "Within",
    "Breach")</f>
        <v>Breach</v>
      </c>
      <c r="M3345" s="1">
        <v>2.3032407407407407E-3</v>
      </c>
      <c r="N3345">
        <v>5</v>
      </c>
    </row>
    <row r="3346" spans="1:14" x14ac:dyDescent="0.3">
      <c r="A3346" t="s">
        <v>3428</v>
      </c>
      <c r="B3346" t="s">
        <v>11</v>
      </c>
      <c r="C3346" t="s">
        <v>3410</v>
      </c>
      <c r="D3346" s="1">
        <v>0.4670023148148148</v>
      </c>
      <c r="E3346" s="2">
        <f>CallLog[[#This Row],[Date]]+CallLog[[#This Row],[Time]]</f>
        <v>44255.467002314814</v>
      </c>
      <c r="F3346" s="1" t="str">
        <f>TEXT(CallLog[[#This Row],[Date]],"dddd")</f>
        <v>Sunday</v>
      </c>
      <c r="G3346" s="3">
        <f>HOUR(CallLog[[#This Row],[Time]])</f>
        <v>11</v>
      </c>
      <c r="H3346" t="s">
        <v>24</v>
      </c>
      <c r="I3346" t="s">
        <v>14</v>
      </c>
      <c r="J3346" t="s">
        <v>18</v>
      </c>
      <c r="K3346">
        <v>62</v>
      </c>
      <c r="L3346" t="str">
        <f>IF(AND(CallLog[[#This Row],[Answered (Y/N)]]="Y", CallLog[[#This Row],[Speed of answer in seconds]]&lt;=20),
    "Within",
    "Breach")</f>
        <v>Breach</v>
      </c>
      <c r="M3346" s="1">
        <v>1.5393518518518519E-3</v>
      </c>
      <c r="N3346">
        <v>5</v>
      </c>
    </row>
    <row r="3347" spans="1:14" x14ac:dyDescent="0.3">
      <c r="A3347" t="s">
        <v>3429</v>
      </c>
      <c r="B3347" t="s">
        <v>47</v>
      </c>
      <c r="C3347" t="s">
        <v>3410</v>
      </c>
      <c r="D3347" s="1">
        <v>0.4670023148148148</v>
      </c>
      <c r="E3347" s="2">
        <f>CallLog[[#This Row],[Date]]+CallLog[[#This Row],[Time]]</f>
        <v>44255.467002314814</v>
      </c>
      <c r="F3347" s="1" t="str">
        <f>TEXT(CallLog[[#This Row],[Date]],"dddd")</f>
        <v>Sunday</v>
      </c>
      <c r="G3347" s="3">
        <f>HOUR(CallLog[[#This Row],[Time]])</f>
        <v>11</v>
      </c>
      <c r="H3347" t="s">
        <v>24</v>
      </c>
      <c r="I3347" t="s">
        <v>14</v>
      </c>
      <c r="J3347" t="s">
        <v>14</v>
      </c>
      <c r="K3347">
        <v>37</v>
      </c>
      <c r="L3347" t="str">
        <f>IF(AND(CallLog[[#This Row],[Answered (Y/N)]]="Y", CallLog[[#This Row],[Speed of answer in seconds]]&lt;=20),
    "Within",
    "Breach")</f>
        <v>Breach</v>
      </c>
      <c r="M3347" s="1">
        <v>2.8935185185185184E-3</v>
      </c>
      <c r="N3347">
        <v>5</v>
      </c>
    </row>
    <row r="3348" spans="1:14" x14ac:dyDescent="0.3">
      <c r="A3348" t="s">
        <v>3430</v>
      </c>
      <c r="B3348" t="s">
        <v>16</v>
      </c>
      <c r="C3348" t="s">
        <v>3410</v>
      </c>
      <c r="D3348" s="1">
        <v>0.47700231481481481</v>
      </c>
      <c r="E3348" s="2">
        <f>CallLog[[#This Row],[Date]]+CallLog[[#This Row],[Time]]</f>
        <v>44255.477002314816</v>
      </c>
      <c r="F3348" s="1" t="str">
        <f>TEXT(CallLog[[#This Row],[Date]],"dddd")</f>
        <v>Sunday</v>
      </c>
      <c r="G3348" s="3">
        <f>HOUR(CallLog[[#This Row],[Time]])</f>
        <v>11</v>
      </c>
      <c r="H3348" t="s">
        <v>13</v>
      </c>
      <c r="I3348" t="s">
        <v>14</v>
      </c>
      <c r="J3348" t="s">
        <v>18</v>
      </c>
      <c r="K3348">
        <v>116</v>
      </c>
      <c r="L3348" t="str">
        <f>IF(AND(CallLog[[#This Row],[Answered (Y/N)]]="Y", CallLog[[#This Row],[Speed of answer in seconds]]&lt;=20),
    "Within",
    "Breach")</f>
        <v>Breach</v>
      </c>
      <c r="M3348" s="1">
        <v>4.178240740740741E-3</v>
      </c>
      <c r="N3348">
        <v>4</v>
      </c>
    </row>
    <row r="3349" spans="1:14" x14ac:dyDescent="0.3">
      <c r="A3349" t="s">
        <v>3431</v>
      </c>
      <c r="B3349" t="s">
        <v>16</v>
      </c>
      <c r="C3349" t="s">
        <v>3410</v>
      </c>
      <c r="D3349" s="1">
        <v>0.47700231481481481</v>
      </c>
      <c r="E3349" s="2">
        <f>CallLog[[#This Row],[Date]]+CallLog[[#This Row],[Time]]</f>
        <v>44255.477002314816</v>
      </c>
      <c r="F3349" s="1" t="str">
        <f>TEXT(CallLog[[#This Row],[Date]],"dddd")</f>
        <v>Sunday</v>
      </c>
      <c r="G3349" s="3">
        <f>HOUR(CallLog[[#This Row],[Time]])</f>
        <v>11</v>
      </c>
      <c r="H3349" t="s">
        <v>24</v>
      </c>
      <c r="I3349" t="s">
        <v>14</v>
      </c>
      <c r="J3349" t="s">
        <v>14</v>
      </c>
      <c r="K3349">
        <v>89</v>
      </c>
      <c r="L3349" t="str">
        <f>IF(AND(CallLog[[#This Row],[Answered (Y/N)]]="Y", CallLog[[#This Row],[Speed of answer in seconds]]&lt;=20),
    "Within",
    "Breach")</f>
        <v>Breach</v>
      </c>
      <c r="M3349" s="1">
        <v>1.5393518518518519E-3</v>
      </c>
      <c r="N3349">
        <v>4</v>
      </c>
    </row>
    <row r="3350" spans="1:14" x14ac:dyDescent="0.3">
      <c r="A3350" t="s">
        <v>3432</v>
      </c>
      <c r="B3350" t="s">
        <v>31</v>
      </c>
      <c r="C3350" t="s">
        <v>3410</v>
      </c>
      <c r="D3350" s="1">
        <v>0.48200231481481481</v>
      </c>
      <c r="E3350" s="2">
        <f>CallLog[[#This Row],[Date]]+CallLog[[#This Row],[Time]]</f>
        <v>44255.482002314813</v>
      </c>
      <c r="F3350" s="1" t="str">
        <f>TEXT(CallLog[[#This Row],[Date]],"dddd")</f>
        <v>Sunday</v>
      </c>
      <c r="G3350" s="3">
        <f>HOUR(CallLog[[#This Row],[Time]])</f>
        <v>11</v>
      </c>
      <c r="H3350" t="s">
        <v>13</v>
      </c>
      <c r="I3350" t="s">
        <v>14</v>
      </c>
      <c r="J3350" t="s">
        <v>14</v>
      </c>
      <c r="K3350">
        <v>37</v>
      </c>
      <c r="L3350" t="str">
        <f>IF(AND(CallLog[[#This Row],[Answered (Y/N)]]="Y", CallLog[[#This Row],[Speed of answer in seconds]]&lt;=20),
    "Within",
    "Breach")</f>
        <v>Breach</v>
      </c>
      <c r="M3350" s="1">
        <v>3.2986111111111111E-3</v>
      </c>
      <c r="N3350">
        <v>4</v>
      </c>
    </row>
    <row r="3351" spans="1:14" x14ac:dyDescent="0.3">
      <c r="A3351" t="s">
        <v>3433</v>
      </c>
      <c r="B3351" t="s">
        <v>31</v>
      </c>
      <c r="C3351" t="s">
        <v>3410</v>
      </c>
      <c r="D3351" s="1">
        <v>0.48200231481481481</v>
      </c>
      <c r="E3351" s="2">
        <f>CallLog[[#This Row],[Date]]+CallLog[[#This Row],[Time]]</f>
        <v>44255.482002314813</v>
      </c>
      <c r="F3351" s="1" t="str">
        <f>TEXT(CallLog[[#This Row],[Date]],"dddd")</f>
        <v>Sunday</v>
      </c>
      <c r="G3351" s="3">
        <f>HOUR(CallLog[[#This Row],[Time]])</f>
        <v>11</v>
      </c>
      <c r="H3351" t="s">
        <v>13</v>
      </c>
      <c r="I3351" t="s">
        <v>14</v>
      </c>
      <c r="J3351" t="s">
        <v>14</v>
      </c>
      <c r="K3351">
        <v>120</v>
      </c>
      <c r="L3351" t="str">
        <f>IF(AND(CallLog[[#This Row],[Answered (Y/N)]]="Y", CallLog[[#This Row],[Speed of answer in seconds]]&lt;=20),
    "Within",
    "Breach")</f>
        <v>Breach</v>
      </c>
      <c r="M3351" s="1">
        <v>3.8078703703703703E-3</v>
      </c>
      <c r="N3351">
        <v>3</v>
      </c>
    </row>
    <row r="3352" spans="1:14" x14ac:dyDescent="0.3">
      <c r="A3352" t="s">
        <v>3434</v>
      </c>
      <c r="B3352" t="s">
        <v>47</v>
      </c>
      <c r="C3352" t="s">
        <v>3410</v>
      </c>
      <c r="D3352" s="1">
        <v>0.48200231481481481</v>
      </c>
      <c r="E3352" s="2">
        <f>CallLog[[#This Row],[Date]]+CallLog[[#This Row],[Time]]</f>
        <v>44255.482002314813</v>
      </c>
      <c r="F3352" s="1" t="str">
        <f>TEXT(CallLog[[#This Row],[Date]],"dddd")</f>
        <v>Sunday</v>
      </c>
      <c r="G3352" s="3">
        <f>HOUR(CallLog[[#This Row],[Time]])</f>
        <v>11</v>
      </c>
      <c r="H3352" t="s">
        <v>13</v>
      </c>
      <c r="I3352" t="s">
        <v>14</v>
      </c>
      <c r="J3352" t="s">
        <v>14</v>
      </c>
      <c r="K3352">
        <v>46</v>
      </c>
      <c r="L3352" t="str">
        <f>IF(AND(CallLog[[#This Row],[Answered (Y/N)]]="Y", CallLog[[#This Row],[Speed of answer in seconds]]&lt;=20),
    "Within",
    "Breach")</f>
        <v>Breach</v>
      </c>
      <c r="M3352" s="1">
        <v>3.9699074074074072E-3</v>
      </c>
      <c r="N3352">
        <v>1</v>
      </c>
    </row>
    <row r="3353" spans="1:14" x14ac:dyDescent="0.3">
      <c r="A3353" t="s">
        <v>3435</v>
      </c>
      <c r="B3353" t="s">
        <v>16</v>
      </c>
      <c r="C3353" t="s">
        <v>3410</v>
      </c>
      <c r="D3353" s="1">
        <v>0.48200231481481481</v>
      </c>
      <c r="E3353" s="2">
        <f>CallLog[[#This Row],[Date]]+CallLog[[#This Row],[Time]]</f>
        <v>44255.482002314813</v>
      </c>
      <c r="F3353" s="1" t="str">
        <f>TEXT(CallLog[[#This Row],[Date]],"dddd")</f>
        <v>Sunday</v>
      </c>
      <c r="G3353" s="3">
        <f>HOUR(CallLog[[#This Row],[Time]])</f>
        <v>11</v>
      </c>
      <c r="H3353" t="s">
        <v>32</v>
      </c>
      <c r="I3353" t="s">
        <v>14</v>
      </c>
      <c r="J3353" t="s">
        <v>14</v>
      </c>
      <c r="K3353">
        <v>70</v>
      </c>
      <c r="L3353" t="str">
        <f>IF(AND(CallLog[[#This Row],[Answered (Y/N)]]="Y", CallLog[[#This Row],[Speed of answer in seconds]]&lt;=20),
    "Within",
    "Breach")</f>
        <v>Breach</v>
      </c>
      <c r="M3353" s="1">
        <v>6.9444444444444447E-4</v>
      </c>
      <c r="N3353">
        <v>4</v>
      </c>
    </row>
    <row r="3354" spans="1:14" x14ac:dyDescent="0.3">
      <c r="A3354" t="s">
        <v>3436</v>
      </c>
      <c r="B3354" t="s">
        <v>11</v>
      </c>
      <c r="C3354" t="s">
        <v>3410</v>
      </c>
      <c r="D3354" s="1">
        <v>0.48799768518518516</v>
      </c>
      <c r="E3354" s="2">
        <f>CallLog[[#This Row],[Date]]+CallLog[[#This Row],[Time]]</f>
        <v>44255.487997685188</v>
      </c>
      <c r="F3354" s="1" t="str">
        <f>TEXT(CallLog[[#This Row],[Date]],"dddd")</f>
        <v>Sunday</v>
      </c>
      <c r="G3354" s="3">
        <f>HOUR(CallLog[[#This Row],[Time]])</f>
        <v>11</v>
      </c>
      <c r="H3354" t="s">
        <v>17</v>
      </c>
      <c r="I3354" t="s">
        <v>14</v>
      </c>
      <c r="J3354" t="s">
        <v>14</v>
      </c>
      <c r="K3354">
        <v>21</v>
      </c>
      <c r="L3354" t="str">
        <f>IF(AND(CallLog[[#This Row],[Answered (Y/N)]]="Y", CallLog[[#This Row],[Speed of answer in seconds]]&lt;=20),
    "Within",
    "Breach")</f>
        <v>Breach</v>
      </c>
      <c r="M3354" s="1">
        <v>1.5393518518518519E-3</v>
      </c>
      <c r="N3354">
        <v>4</v>
      </c>
    </row>
    <row r="3355" spans="1:14" x14ac:dyDescent="0.3">
      <c r="A3355" t="s">
        <v>3437</v>
      </c>
      <c r="B3355" t="s">
        <v>34</v>
      </c>
      <c r="C3355" t="s">
        <v>3410</v>
      </c>
      <c r="D3355" s="1">
        <v>0.48799768518518516</v>
      </c>
      <c r="E3355" s="2">
        <f>CallLog[[#This Row],[Date]]+CallLog[[#This Row],[Time]]</f>
        <v>44255.487997685188</v>
      </c>
      <c r="F3355" s="1" t="str">
        <f>TEXT(CallLog[[#This Row],[Date]],"dddd")</f>
        <v>Sunday</v>
      </c>
      <c r="G3355" s="3">
        <f>HOUR(CallLog[[#This Row],[Time]])</f>
        <v>11</v>
      </c>
      <c r="H3355" t="s">
        <v>29</v>
      </c>
      <c r="I3355" t="s">
        <v>14</v>
      </c>
      <c r="J3355" t="s">
        <v>14</v>
      </c>
      <c r="K3355">
        <v>86</v>
      </c>
      <c r="L3355" t="str">
        <f>IF(AND(CallLog[[#This Row],[Answered (Y/N)]]="Y", CallLog[[#This Row],[Speed of answer in seconds]]&lt;=20),
    "Within",
    "Breach")</f>
        <v>Breach</v>
      </c>
      <c r="M3355" s="1">
        <v>5.9027777777777778E-4</v>
      </c>
      <c r="N3355">
        <v>4</v>
      </c>
    </row>
    <row r="3356" spans="1:14" x14ac:dyDescent="0.3">
      <c r="A3356" t="s">
        <v>3438</v>
      </c>
      <c r="B3356" t="s">
        <v>16</v>
      </c>
      <c r="C3356" t="s">
        <v>3410</v>
      </c>
      <c r="D3356" s="1">
        <v>0.52799768518518519</v>
      </c>
      <c r="E3356" s="2">
        <f>CallLog[[#This Row],[Date]]+CallLog[[#This Row],[Time]]</f>
        <v>44255.527997685182</v>
      </c>
      <c r="F3356" s="1" t="str">
        <f>TEXT(CallLog[[#This Row],[Date]],"dddd")</f>
        <v>Sunday</v>
      </c>
      <c r="G3356" s="3">
        <f>HOUR(CallLog[[#This Row],[Time]])</f>
        <v>12</v>
      </c>
      <c r="H3356" t="s">
        <v>32</v>
      </c>
      <c r="I3356" t="s">
        <v>14</v>
      </c>
      <c r="J3356" t="s">
        <v>18</v>
      </c>
      <c r="K3356">
        <v>54</v>
      </c>
      <c r="L3356" t="str">
        <f>IF(AND(CallLog[[#This Row],[Answered (Y/N)]]="Y", CallLog[[#This Row],[Speed of answer in seconds]]&lt;=20),
    "Within",
    "Breach")</f>
        <v>Breach</v>
      </c>
      <c r="M3356" s="1">
        <v>3.8194444444444443E-3</v>
      </c>
      <c r="N3356">
        <v>2</v>
      </c>
    </row>
    <row r="3357" spans="1:14" x14ac:dyDescent="0.3">
      <c r="A3357" t="s">
        <v>3439</v>
      </c>
      <c r="B3357" t="s">
        <v>38</v>
      </c>
      <c r="C3357" t="s">
        <v>3410</v>
      </c>
      <c r="D3357" s="1">
        <v>0.52799768518518519</v>
      </c>
      <c r="E3357" s="2">
        <f>CallLog[[#This Row],[Date]]+CallLog[[#This Row],[Time]]</f>
        <v>44255.527997685182</v>
      </c>
      <c r="F3357" s="1" t="str">
        <f>TEXT(CallLog[[#This Row],[Date]],"dddd")</f>
        <v>Sunday</v>
      </c>
      <c r="G3357" s="3">
        <f>HOUR(CallLog[[#This Row],[Time]])</f>
        <v>12</v>
      </c>
      <c r="H3357" t="s">
        <v>29</v>
      </c>
      <c r="I3357" t="s">
        <v>14</v>
      </c>
      <c r="J3357" t="s">
        <v>14</v>
      </c>
      <c r="K3357">
        <v>117</v>
      </c>
      <c r="L3357" t="str">
        <f>IF(AND(CallLog[[#This Row],[Answered (Y/N)]]="Y", CallLog[[#This Row],[Speed of answer in seconds]]&lt;=20),
    "Within",
    "Breach")</f>
        <v>Breach</v>
      </c>
      <c r="M3357" s="1">
        <v>3.9236111111111112E-3</v>
      </c>
      <c r="N3357">
        <v>4</v>
      </c>
    </row>
    <row r="3358" spans="1:14" x14ac:dyDescent="0.3">
      <c r="A3358" t="s">
        <v>3440</v>
      </c>
      <c r="B3358" t="s">
        <v>22</v>
      </c>
      <c r="C3358" t="s">
        <v>3410</v>
      </c>
      <c r="D3358" s="1">
        <v>0.52799768518518519</v>
      </c>
      <c r="E3358" s="2">
        <f>CallLog[[#This Row],[Date]]+CallLog[[#This Row],[Time]]</f>
        <v>44255.527997685182</v>
      </c>
      <c r="F3358" s="1" t="str">
        <f>TEXT(CallLog[[#This Row],[Date]],"dddd")</f>
        <v>Sunday</v>
      </c>
      <c r="G3358" s="3">
        <f>HOUR(CallLog[[#This Row],[Time]])</f>
        <v>12</v>
      </c>
      <c r="H3358" t="s">
        <v>29</v>
      </c>
      <c r="I3358" t="s">
        <v>18</v>
      </c>
      <c r="J3358" t="s">
        <v>18</v>
      </c>
      <c r="L3358" t="str">
        <f>IF(AND(CallLog[[#This Row],[Answered (Y/N)]]="Y", CallLog[[#This Row],[Speed of answer in seconds]]&lt;=20),
    "Within",
    "Breach")</f>
        <v>Breach</v>
      </c>
    </row>
    <row r="3359" spans="1:14" x14ac:dyDescent="0.3">
      <c r="A3359" t="s">
        <v>3441</v>
      </c>
      <c r="B3359" t="s">
        <v>16</v>
      </c>
      <c r="C3359" t="s">
        <v>3410</v>
      </c>
      <c r="D3359" s="1">
        <v>0.52799768518518519</v>
      </c>
      <c r="E3359" s="2">
        <f>CallLog[[#This Row],[Date]]+CallLog[[#This Row],[Time]]</f>
        <v>44255.527997685182</v>
      </c>
      <c r="F3359" s="1" t="str">
        <f>TEXT(CallLog[[#This Row],[Date]],"dddd")</f>
        <v>Sunday</v>
      </c>
      <c r="G3359" s="3">
        <f>HOUR(CallLog[[#This Row],[Time]])</f>
        <v>12</v>
      </c>
      <c r="H3359" t="s">
        <v>32</v>
      </c>
      <c r="I3359" t="s">
        <v>14</v>
      </c>
      <c r="J3359" t="s">
        <v>14</v>
      </c>
      <c r="K3359">
        <v>101</v>
      </c>
      <c r="L3359" t="str">
        <f>IF(AND(CallLog[[#This Row],[Answered (Y/N)]]="Y", CallLog[[#This Row],[Speed of answer in seconds]]&lt;=20),
    "Within",
    "Breach")</f>
        <v>Breach</v>
      </c>
      <c r="M3359" s="1">
        <v>3.5416666666666665E-3</v>
      </c>
      <c r="N3359">
        <v>1</v>
      </c>
    </row>
    <row r="3360" spans="1:14" x14ac:dyDescent="0.3">
      <c r="A3360" t="s">
        <v>3442</v>
      </c>
      <c r="B3360" t="s">
        <v>38</v>
      </c>
      <c r="C3360" t="s">
        <v>3410</v>
      </c>
      <c r="D3360" s="1">
        <v>0.54799768518518521</v>
      </c>
      <c r="E3360" s="2">
        <f>CallLog[[#This Row],[Date]]+CallLog[[#This Row],[Time]]</f>
        <v>44255.547997685186</v>
      </c>
      <c r="F3360" s="1" t="str">
        <f>TEXT(CallLog[[#This Row],[Date]],"dddd")</f>
        <v>Sunday</v>
      </c>
      <c r="G3360" s="3">
        <f>HOUR(CallLog[[#This Row],[Time]])</f>
        <v>13</v>
      </c>
      <c r="H3360" t="s">
        <v>24</v>
      </c>
      <c r="I3360" t="s">
        <v>14</v>
      </c>
      <c r="J3360" t="s">
        <v>14</v>
      </c>
      <c r="K3360">
        <v>52</v>
      </c>
      <c r="L3360" t="str">
        <f>IF(AND(CallLog[[#This Row],[Answered (Y/N)]]="Y", CallLog[[#This Row],[Speed of answer in seconds]]&lt;=20),
    "Within",
    "Breach")</f>
        <v>Breach</v>
      </c>
      <c r="M3360" s="1">
        <v>1.238425925925926E-3</v>
      </c>
      <c r="N3360">
        <v>2</v>
      </c>
    </row>
    <row r="3361" spans="1:14" x14ac:dyDescent="0.3">
      <c r="A3361" t="s">
        <v>3443</v>
      </c>
      <c r="B3361" t="s">
        <v>47</v>
      </c>
      <c r="C3361" t="s">
        <v>3410</v>
      </c>
      <c r="D3361" s="1">
        <v>0.54799768518518521</v>
      </c>
      <c r="E3361" s="2">
        <f>CallLog[[#This Row],[Date]]+CallLog[[#This Row],[Time]]</f>
        <v>44255.547997685186</v>
      </c>
      <c r="F3361" s="1" t="str">
        <f>TEXT(CallLog[[#This Row],[Date]],"dddd")</f>
        <v>Sunday</v>
      </c>
      <c r="G3361" s="3">
        <f>HOUR(CallLog[[#This Row],[Time]])</f>
        <v>13</v>
      </c>
      <c r="H3361" t="s">
        <v>17</v>
      </c>
      <c r="I3361" t="s">
        <v>14</v>
      </c>
      <c r="J3361" t="s">
        <v>14</v>
      </c>
      <c r="K3361">
        <v>65</v>
      </c>
      <c r="L3361" t="str">
        <f>IF(AND(CallLog[[#This Row],[Answered (Y/N)]]="Y", CallLog[[#This Row],[Speed of answer in seconds]]&lt;=20),
    "Within",
    "Breach")</f>
        <v>Breach</v>
      </c>
      <c r="M3361" s="1">
        <v>1.5625000000000001E-3</v>
      </c>
      <c r="N3361">
        <v>5</v>
      </c>
    </row>
    <row r="3362" spans="1:14" x14ac:dyDescent="0.3">
      <c r="A3362" t="s">
        <v>3444</v>
      </c>
      <c r="B3362" t="s">
        <v>22</v>
      </c>
      <c r="C3362" t="s">
        <v>3410</v>
      </c>
      <c r="D3362" s="1">
        <v>0.55200231481481477</v>
      </c>
      <c r="E3362" s="2">
        <f>CallLog[[#This Row],[Date]]+CallLog[[#This Row],[Time]]</f>
        <v>44255.552002314813</v>
      </c>
      <c r="F3362" s="1" t="str">
        <f>TEXT(CallLog[[#This Row],[Date]],"dddd")</f>
        <v>Sunday</v>
      </c>
      <c r="G3362" s="3">
        <f>HOUR(CallLog[[#This Row],[Time]])</f>
        <v>13</v>
      </c>
      <c r="H3362" t="s">
        <v>24</v>
      </c>
      <c r="I3362" t="s">
        <v>14</v>
      </c>
      <c r="J3362" t="s">
        <v>14</v>
      </c>
      <c r="K3362">
        <v>84</v>
      </c>
      <c r="L3362" t="str">
        <f>IF(AND(CallLog[[#This Row],[Answered (Y/N)]]="Y", CallLog[[#This Row],[Speed of answer in seconds]]&lt;=20),
    "Within",
    "Breach")</f>
        <v>Breach</v>
      </c>
      <c r="M3362" s="1">
        <v>3.5763888888888889E-3</v>
      </c>
      <c r="N3362">
        <v>5</v>
      </c>
    </row>
    <row r="3363" spans="1:14" x14ac:dyDescent="0.3">
      <c r="A3363" t="s">
        <v>3445</v>
      </c>
      <c r="B3363" t="s">
        <v>34</v>
      </c>
      <c r="C3363" t="s">
        <v>3410</v>
      </c>
      <c r="D3363" s="1">
        <v>0.55200231481481477</v>
      </c>
      <c r="E3363" s="2">
        <f>CallLog[[#This Row],[Date]]+CallLog[[#This Row],[Time]]</f>
        <v>44255.552002314813</v>
      </c>
      <c r="F3363" s="1" t="str">
        <f>TEXT(CallLog[[#This Row],[Date]],"dddd")</f>
        <v>Sunday</v>
      </c>
      <c r="G3363" s="3">
        <f>HOUR(CallLog[[#This Row],[Time]])</f>
        <v>13</v>
      </c>
      <c r="H3363" t="s">
        <v>17</v>
      </c>
      <c r="I3363" t="s">
        <v>14</v>
      </c>
      <c r="J3363" t="s">
        <v>18</v>
      </c>
      <c r="K3363">
        <v>115</v>
      </c>
      <c r="L3363" t="str">
        <f>IF(AND(CallLog[[#This Row],[Answered (Y/N)]]="Y", CallLog[[#This Row],[Speed of answer in seconds]]&lt;=20),
    "Within",
    "Breach")</f>
        <v>Breach</v>
      </c>
      <c r="M3363" s="1">
        <v>4.5138888888888885E-3</v>
      </c>
      <c r="N3363">
        <v>2</v>
      </c>
    </row>
    <row r="3364" spans="1:14" x14ac:dyDescent="0.3">
      <c r="A3364" t="s">
        <v>3446</v>
      </c>
      <c r="B3364" t="s">
        <v>16</v>
      </c>
      <c r="C3364" t="s">
        <v>3410</v>
      </c>
      <c r="D3364" s="1">
        <v>0.55599537037037039</v>
      </c>
      <c r="E3364" s="2">
        <f>CallLog[[#This Row],[Date]]+CallLog[[#This Row],[Time]]</f>
        <v>44255.555995370371</v>
      </c>
      <c r="F3364" s="1" t="str">
        <f>TEXT(CallLog[[#This Row],[Date]],"dddd")</f>
        <v>Sunday</v>
      </c>
      <c r="G3364" s="3">
        <f>HOUR(CallLog[[#This Row],[Time]])</f>
        <v>13</v>
      </c>
      <c r="H3364" t="s">
        <v>13</v>
      </c>
      <c r="I3364" t="s">
        <v>18</v>
      </c>
      <c r="J3364" t="s">
        <v>18</v>
      </c>
      <c r="L3364" t="str">
        <f>IF(AND(CallLog[[#This Row],[Answered (Y/N)]]="Y", CallLog[[#This Row],[Speed of answer in seconds]]&lt;=20),
    "Within",
    "Breach")</f>
        <v>Breach</v>
      </c>
    </row>
    <row r="3365" spans="1:14" x14ac:dyDescent="0.3">
      <c r="A3365" t="s">
        <v>3447</v>
      </c>
      <c r="B3365" t="s">
        <v>11</v>
      </c>
      <c r="C3365" t="s">
        <v>3410</v>
      </c>
      <c r="D3365" s="1">
        <v>0.55599537037037039</v>
      </c>
      <c r="E3365" s="2">
        <f>CallLog[[#This Row],[Date]]+CallLog[[#This Row],[Time]]</f>
        <v>44255.555995370371</v>
      </c>
      <c r="F3365" s="1" t="str">
        <f>TEXT(CallLog[[#This Row],[Date]],"dddd")</f>
        <v>Sunday</v>
      </c>
      <c r="G3365" s="3">
        <f>HOUR(CallLog[[#This Row],[Time]])</f>
        <v>13</v>
      </c>
      <c r="H3365" t="s">
        <v>29</v>
      </c>
      <c r="I3365" t="s">
        <v>14</v>
      </c>
      <c r="J3365" t="s">
        <v>14</v>
      </c>
      <c r="K3365">
        <v>22</v>
      </c>
      <c r="L3365" t="str">
        <f>IF(AND(CallLog[[#This Row],[Answered (Y/N)]]="Y", CallLog[[#This Row],[Speed of answer in seconds]]&lt;=20),
    "Within",
    "Breach")</f>
        <v>Breach</v>
      </c>
      <c r="M3365" s="1">
        <v>2.3842592592592591E-3</v>
      </c>
      <c r="N3365">
        <v>4</v>
      </c>
    </row>
    <row r="3366" spans="1:14" x14ac:dyDescent="0.3">
      <c r="A3366" t="s">
        <v>3448</v>
      </c>
      <c r="B3366" t="s">
        <v>22</v>
      </c>
      <c r="C3366" t="s">
        <v>3410</v>
      </c>
      <c r="D3366" s="1">
        <v>0.55799768518518522</v>
      </c>
      <c r="E3366" s="2">
        <f>CallLog[[#This Row],[Date]]+CallLog[[#This Row],[Time]]</f>
        <v>44255.557997685188</v>
      </c>
      <c r="F3366" s="1" t="str">
        <f>TEXT(CallLog[[#This Row],[Date]],"dddd")</f>
        <v>Sunday</v>
      </c>
      <c r="G3366" s="3">
        <f>HOUR(CallLog[[#This Row],[Time]])</f>
        <v>13</v>
      </c>
      <c r="H3366" t="s">
        <v>29</v>
      </c>
      <c r="I3366" t="s">
        <v>14</v>
      </c>
      <c r="J3366" t="s">
        <v>14</v>
      </c>
      <c r="K3366">
        <v>45</v>
      </c>
      <c r="L3366" t="str">
        <f>IF(AND(CallLog[[#This Row],[Answered (Y/N)]]="Y", CallLog[[#This Row],[Speed of answer in seconds]]&lt;=20),
    "Within",
    "Breach")</f>
        <v>Breach</v>
      </c>
      <c r="M3366" s="1">
        <v>4.861111111111111E-4</v>
      </c>
      <c r="N3366">
        <v>4</v>
      </c>
    </row>
    <row r="3367" spans="1:14" x14ac:dyDescent="0.3">
      <c r="A3367" t="s">
        <v>3449</v>
      </c>
      <c r="B3367" t="s">
        <v>31</v>
      </c>
      <c r="C3367" t="s">
        <v>3410</v>
      </c>
      <c r="D3367" s="1">
        <v>0.55799768518518522</v>
      </c>
      <c r="E3367" s="2">
        <f>CallLog[[#This Row],[Date]]+CallLog[[#This Row],[Time]]</f>
        <v>44255.557997685188</v>
      </c>
      <c r="F3367" s="1" t="str">
        <f>TEXT(CallLog[[#This Row],[Date]],"dddd")</f>
        <v>Sunday</v>
      </c>
      <c r="G3367" s="3">
        <f>HOUR(CallLog[[#This Row],[Time]])</f>
        <v>13</v>
      </c>
      <c r="H3367" t="s">
        <v>29</v>
      </c>
      <c r="I3367" t="s">
        <v>18</v>
      </c>
      <c r="J3367" t="s">
        <v>18</v>
      </c>
      <c r="L3367" t="str">
        <f>IF(AND(CallLog[[#This Row],[Answered (Y/N)]]="Y", CallLog[[#This Row],[Speed of answer in seconds]]&lt;=20),
    "Within",
    "Breach")</f>
        <v>Breach</v>
      </c>
    </row>
    <row r="3368" spans="1:14" x14ac:dyDescent="0.3">
      <c r="A3368" t="s">
        <v>3450</v>
      </c>
      <c r="B3368" t="s">
        <v>11</v>
      </c>
      <c r="C3368" t="s">
        <v>3410</v>
      </c>
      <c r="D3368" s="1">
        <v>0.56999999999999995</v>
      </c>
      <c r="E3368" s="2">
        <f>CallLog[[#This Row],[Date]]+CallLog[[#This Row],[Time]]</f>
        <v>44255.57</v>
      </c>
      <c r="F3368" s="1" t="str">
        <f>TEXT(CallLog[[#This Row],[Date]],"dddd")</f>
        <v>Sunday</v>
      </c>
      <c r="G3368" s="3">
        <f>HOUR(CallLog[[#This Row],[Time]])</f>
        <v>13</v>
      </c>
      <c r="H3368" t="s">
        <v>13</v>
      </c>
      <c r="I3368" t="s">
        <v>18</v>
      </c>
      <c r="J3368" t="s">
        <v>18</v>
      </c>
      <c r="L3368" t="str">
        <f>IF(AND(CallLog[[#This Row],[Answered (Y/N)]]="Y", CallLog[[#This Row],[Speed of answer in seconds]]&lt;=20),
    "Within",
    "Breach")</f>
        <v>Breach</v>
      </c>
    </row>
    <row r="3369" spans="1:14" x14ac:dyDescent="0.3">
      <c r="A3369" t="s">
        <v>3451</v>
      </c>
      <c r="B3369" t="s">
        <v>22</v>
      </c>
      <c r="C3369" t="s">
        <v>3410</v>
      </c>
      <c r="D3369" s="1">
        <v>0.56999999999999995</v>
      </c>
      <c r="E3369" s="2">
        <f>CallLog[[#This Row],[Date]]+CallLog[[#This Row],[Time]]</f>
        <v>44255.57</v>
      </c>
      <c r="F3369" s="1" t="str">
        <f>TEXT(CallLog[[#This Row],[Date]],"dddd")</f>
        <v>Sunday</v>
      </c>
      <c r="G3369" s="3">
        <f>HOUR(CallLog[[#This Row],[Time]])</f>
        <v>13</v>
      </c>
      <c r="H3369" t="s">
        <v>13</v>
      </c>
      <c r="I3369" t="s">
        <v>14</v>
      </c>
      <c r="J3369" t="s">
        <v>14</v>
      </c>
      <c r="K3369">
        <v>23</v>
      </c>
      <c r="L3369" t="str">
        <f>IF(AND(CallLog[[#This Row],[Answered (Y/N)]]="Y", CallLog[[#This Row],[Speed of answer in seconds]]&lt;=20),
    "Within",
    "Breach")</f>
        <v>Breach</v>
      </c>
      <c r="M3369" s="1">
        <v>3.449074074074074E-3</v>
      </c>
      <c r="N3369">
        <v>5</v>
      </c>
    </row>
    <row r="3370" spans="1:14" x14ac:dyDescent="0.3">
      <c r="A3370" t="s">
        <v>3452</v>
      </c>
      <c r="B3370" t="s">
        <v>22</v>
      </c>
      <c r="C3370" t="s">
        <v>3410</v>
      </c>
      <c r="D3370" s="1">
        <v>0.58599537037037042</v>
      </c>
      <c r="E3370" s="2">
        <f>CallLog[[#This Row],[Date]]+CallLog[[#This Row],[Time]]</f>
        <v>44255.585995370369</v>
      </c>
      <c r="F3370" s="1" t="str">
        <f>TEXT(CallLog[[#This Row],[Date]],"dddd")</f>
        <v>Sunday</v>
      </c>
      <c r="G3370" s="3">
        <f>HOUR(CallLog[[#This Row],[Time]])</f>
        <v>14</v>
      </c>
      <c r="H3370" t="s">
        <v>17</v>
      </c>
      <c r="I3370" t="s">
        <v>14</v>
      </c>
      <c r="J3370" t="s">
        <v>14</v>
      </c>
      <c r="K3370">
        <v>45</v>
      </c>
      <c r="L3370" t="str">
        <f>IF(AND(CallLog[[#This Row],[Answered (Y/N)]]="Y", CallLog[[#This Row],[Speed of answer in seconds]]&lt;=20),
    "Within",
    "Breach")</f>
        <v>Breach</v>
      </c>
      <c r="M3370" s="1">
        <v>1.724537037037037E-3</v>
      </c>
      <c r="N3370">
        <v>3</v>
      </c>
    </row>
    <row r="3371" spans="1:14" x14ac:dyDescent="0.3">
      <c r="A3371" t="s">
        <v>3453</v>
      </c>
      <c r="B3371" t="s">
        <v>31</v>
      </c>
      <c r="C3371" t="s">
        <v>3410</v>
      </c>
      <c r="D3371" s="1">
        <v>0.58599537037037042</v>
      </c>
      <c r="E3371" s="2">
        <f>CallLog[[#This Row],[Date]]+CallLog[[#This Row],[Time]]</f>
        <v>44255.585995370369</v>
      </c>
      <c r="F3371" s="1" t="str">
        <f>TEXT(CallLog[[#This Row],[Date]],"dddd")</f>
        <v>Sunday</v>
      </c>
      <c r="G3371" s="3">
        <f>HOUR(CallLog[[#This Row],[Time]])</f>
        <v>14</v>
      </c>
      <c r="H3371" t="s">
        <v>13</v>
      </c>
      <c r="I3371" t="s">
        <v>18</v>
      </c>
      <c r="J3371" t="s">
        <v>18</v>
      </c>
      <c r="L3371" t="str">
        <f>IF(AND(CallLog[[#This Row],[Answered (Y/N)]]="Y", CallLog[[#This Row],[Speed of answer in seconds]]&lt;=20),
    "Within",
    "Breach")</f>
        <v>Breach</v>
      </c>
    </row>
    <row r="3372" spans="1:14" x14ac:dyDescent="0.3">
      <c r="A3372" t="s">
        <v>3454</v>
      </c>
      <c r="B3372" t="s">
        <v>11</v>
      </c>
      <c r="C3372" t="s">
        <v>3410</v>
      </c>
      <c r="D3372" s="1">
        <v>0.61700231481481482</v>
      </c>
      <c r="E3372" s="2">
        <f>CallLog[[#This Row],[Date]]+CallLog[[#This Row],[Time]]</f>
        <v>44255.617002314815</v>
      </c>
      <c r="F3372" s="1" t="str">
        <f>TEXT(CallLog[[#This Row],[Date]],"dddd")</f>
        <v>Sunday</v>
      </c>
      <c r="G3372" s="3">
        <f>HOUR(CallLog[[#This Row],[Time]])</f>
        <v>14</v>
      </c>
      <c r="H3372" t="s">
        <v>13</v>
      </c>
      <c r="I3372" t="s">
        <v>14</v>
      </c>
      <c r="J3372" t="s">
        <v>14</v>
      </c>
      <c r="K3372">
        <v>53</v>
      </c>
      <c r="L3372" t="str">
        <f>IF(AND(CallLog[[#This Row],[Answered (Y/N)]]="Y", CallLog[[#This Row],[Speed of answer in seconds]]&lt;=20),
    "Within",
    "Breach")</f>
        <v>Breach</v>
      </c>
      <c r="M3372" s="1">
        <v>5.4398148148148144E-4</v>
      </c>
      <c r="N3372">
        <v>4</v>
      </c>
    </row>
    <row r="3373" spans="1:14" x14ac:dyDescent="0.3">
      <c r="A3373" t="s">
        <v>3455</v>
      </c>
      <c r="B3373" t="s">
        <v>22</v>
      </c>
      <c r="C3373" t="s">
        <v>3410</v>
      </c>
      <c r="D3373" s="1">
        <v>0.61700231481481482</v>
      </c>
      <c r="E3373" s="2">
        <f>CallLog[[#This Row],[Date]]+CallLog[[#This Row],[Time]]</f>
        <v>44255.617002314815</v>
      </c>
      <c r="F3373" s="1" t="str">
        <f>TEXT(CallLog[[#This Row],[Date]],"dddd")</f>
        <v>Sunday</v>
      </c>
      <c r="G3373" s="3">
        <f>HOUR(CallLog[[#This Row],[Time]])</f>
        <v>14</v>
      </c>
      <c r="H3373" t="s">
        <v>13</v>
      </c>
      <c r="I3373" t="s">
        <v>14</v>
      </c>
      <c r="J3373" t="s">
        <v>14</v>
      </c>
      <c r="K3373">
        <v>76</v>
      </c>
      <c r="L3373" t="str">
        <f>IF(AND(CallLog[[#This Row],[Answered (Y/N)]]="Y", CallLog[[#This Row],[Speed of answer in seconds]]&lt;=20),
    "Within",
    "Breach")</f>
        <v>Breach</v>
      </c>
      <c r="M3373" s="1">
        <v>3.5300925925925925E-3</v>
      </c>
      <c r="N3373">
        <v>4</v>
      </c>
    </row>
    <row r="3374" spans="1:14" x14ac:dyDescent="0.3">
      <c r="A3374" t="s">
        <v>3456</v>
      </c>
      <c r="B3374" t="s">
        <v>11</v>
      </c>
      <c r="C3374" t="s">
        <v>3410</v>
      </c>
      <c r="D3374" s="1">
        <v>0.62</v>
      </c>
      <c r="E3374" s="2">
        <f>CallLog[[#This Row],[Date]]+CallLog[[#This Row],[Time]]</f>
        <v>44255.62</v>
      </c>
      <c r="F3374" s="1" t="str">
        <f>TEXT(CallLog[[#This Row],[Date]],"dddd")</f>
        <v>Sunday</v>
      </c>
      <c r="G3374" s="3">
        <f>HOUR(CallLog[[#This Row],[Time]])</f>
        <v>14</v>
      </c>
      <c r="H3374" t="s">
        <v>29</v>
      </c>
      <c r="I3374" t="s">
        <v>14</v>
      </c>
      <c r="J3374" t="s">
        <v>14</v>
      </c>
      <c r="K3374">
        <v>62</v>
      </c>
      <c r="L3374" t="str">
        <f>IF(AND(CallLog[[#This Row],[Answered (Y/N)]]="Y", CallLog[[#This Row],[Speed of answer in seconds]]&lt;=20),
    "Within",
    "Breach")</f>
        <v>Breach</v>
      </c>
      <c r="M3374" s="1">
        <v>2.0601851851851853E-3</v>
      </c>
      <c r="N3374">
        <v>3</v>
      </c>
    </row>
    <row r="3375" spans="1:14" x14ac:dyDescent="0.3">
      <c r="A3375" t="s">
        <v>3457</v>
      </c>
      <c r="B3375" t="s">
        <v>38</v>
      </c>
      <c r="C3375" t="s">
        <v>3410</v>
      </c>
      <c r="D3375" s="1">
        <v>0.62</v>
      </c>
      <c r="E3375" s="2">
        <f>CallLog[[#This Row],[Date]]+CallLog[[#This Row],[Time]]</f>
        <v>44255.62</v>
      </c>
      <c r="F3375" s="1" t="str">
        <f>TEXT(CallLog[[#This Row],[Date]],"dddd")</f>
        <v>Sunday</v>
      </c>
      <c r="G3375" s="3">
        <f>HOUR(CallLog[[#This Row],[Time]])</f>
        <v>14</v>
      </c>
      <c r="H3375" t="s">
        <v>32</v>
      </c>
      <c r="I3375" t="s">
        <v>14</v>
      </c>
      <c r="J3375" t="s">
        <v>18</v>
      </c>
      <c r="K3375">
        <v>104</v>
      </c>
      <c r="L3375" t="str">
        <f>IF(AND(CallLog[[#This Row],[Answered (Y/N)]]="Y", CallLog[[#This Row],[Speed of answer in seconds]]&lt;=20),
    "Within",
    "Breach")</f>
        <v>Breach</v>
      </c>
      <c r="M3375" s="1">
        <v>1.8634259259259259E-3</v>
      </c>
      <c r="N3375">
        <v>3</v>
      </c>
    </row>
    <row r="3376" spans="1:14" x14ac:dyDescent="0.3">
      <c r="A3376" t="s">
        <v>3458</v>
      </c>
      <c r="B3376" t="s">
        <v>38</v>
      </c>
      <c r="C3376" t="s">
        <v>3410</v>
      </c>
      <c r="D3376" s="1">
        <v>0.64</v>
      </c>
      <c r="E3376" s="2">
        <f>CallLog[[#This Row],[Date]]+CallLog[[#This Row],[Time]]</f>
        <v>44255.64</v>
      </c>
      <c r="F3376" s="1" t="str">
        <f>TEXT(CallLog[[#This Row],[Date]],"dddd")</f>
        <v>Sunday</v>
      </c>
      <c r="G3376" s="3">
        <f>HOUR(CallLog[[#This Row],[Time]])</f>
        <v>15</v>
      </c>
      <c r="H3376" t="s">
        <v>29</v>
      </c>
      <c r="I3376" t="s">
        <v>18</v>
      </c>
      <c r="J3376" t="s">
        <v>18</v>
      </c>
      <c r="L3376" t="str">
        <f>IF(AND(CallLog[[#This Row],[Answered (Y/N)]]="Y", CallLog[[#This Row],[Speed of answer in seconds]]&lt;=20),
    "Within",
    "Breach")</f>
        <v>Breach</v>
      </c>
    </row>
    <row r="3377" spans="1:14" x14ac:dyDescent="0.3">
      <c r="A3377" t="s">
        <v>3459</v>
      </c>
      <c r="B3377" t="s">
        <v>38</v>
      </c>
      <c r="C3377" t="s">
        <v>3410</v>
      </c>
      <c r="D3377" s="1">
        <v>0.64</v>
      </c>
      <c r="E3377" s="2">
        <f>CallLog[[#This Row],[Date]]+CallLog[[#This Row],[Time]]</f>
        <v>44255.64</v>
      </c>
      <c r="F3377" s="1" t="str">
        <f>TEXT(CallLog[[#This Row],[Date]],"dddd")</f>
        <v>Sunday</v>
      </c>
      <c r="G3377" s="3">
        <f>HOUR(CallLog[[#This Row],[Time]])</f>
        <v>15</v>
      </c>
      <c r="H3377" t="s">
        <v>13</v>
      </c>
      <c r="I3377" t="s">
        <v>14</v>
      </c>
      <c r="J3377" t="s">
        <v>14</v>
      </c>
      <c r="K3377">
        <v>72</v>
      </c>
      <c r="L3377" t="str">
        <f>IF(AND(CallLog[[#This Row],[Answered (Y/N)]]="Y", CallLog[[#This Row],[Speed of answer in seconds]]&lt;=20),
    "Within",
    "Breach")</f>
        <v>Breach</v>
      </c>
      <c r="M3377" s="1">
        <v>4.340277777777778E-3</v>
      </c>
      <c r="N3377">
        <v>1</v>
      </c>
    </row>
    <row r="3378" spans="1:14" x14ac:dyDescent="0.3">
      <c r="A3378" t="s">
        <v>3460</v>
      </c>
      <c r="B3378" t="s">
        <v>34</v>
      </c>
      <c r="C3378" t="s">
        <v>3410</v>
      </c>
      <c r="D3378" s="1">
        <v>0.64299768518518519</v>
      </c>
      <c r="E3378" s="2">
        <f>CallLog[[#This Row],[Date]]+CallLog[[#This Row],[Time]]</f>
        <v>44255.642997685187</v>
      </c>
      <c r="F3378" s="1" t="str">
        <f>TEXT(CallLog[[#This Row],[Date]],"dddd")</f>
        <v>Sunday</v>
      </c>
      <c r="G3378" s="3">
        <f>HOUR(CallLog[[#This Row],[Time]])</f>
        <v>15</v>
      </c>
      <c r="H3378" t="s">
        <v>17</v>
      </c>
      <c r="I3378" t="s">
        <v>18</v>
      </c>
      <c r="J3378" t="s">
        <v>18</v>
      </c>
      <c r="L3378" t="str">
        <f>IF(AND(CallLog[[#This Row],[Answered (Y/N)]]="Y", CallLog[[#This Row],[Speed of answer in seconds]]&lt;=20),
    "Within",
    "Breach")</f>
        <v>Breach</v>
      </c>
    </row>
    <row r="3379" spans="1:14" x14ac:dyDescent="0.3">
      <c r="A3379" t="s">
        <v>3461</v>
      </c>
      <c r="B3379" t="s">
        <v>22</v>
      </c>
      <c r="C3379" t="s">
        <v>3410</v>
      </c>
      <c r="D3379" s="1">
        <v>0.64299768518518519</v>
      </c>
      <c r="E3379" s="2">
        <f>CallLog[[#This Row],[Date]]+CallLog[[#This Row],[Time]]</f>
        <v>44255.642997685187</v>
      </c>
      <c r="F3379" s="1" t="str">
        <f>TEXT(CallLog[[#This Row],[Date]],"dddd")</f>
        <v>Sunday</v>
      </c>
      <c r="G3379" s="3">
        <f>HOUR(CallLog[[#This Row],[Time]])</f>
        <v>15</v>
      </c>
      <c r="H3379" t="s">
        <v>29</v>
      </c>
      <c r="I3379" t="s">
        <v>14</v>
      </c>
      <c r="J3379" t="s">
        <v>14</v>
      </c>
      <c r="K3379">
        <v>74</v>
      </c>
      <c r="L3379" t="str">
        <f>IF(AND(CallLog[[#This Row],[Answered (Y/N)]]="Y", CallLog[[#This Row],[Speed of answer in seconds]]&lt;=20),
    "Within",
    "Breach")</f>
        <v>Breach</v>
      </c>
      <c r="M3379" s="1">
        <v>4.3981481481481484E-3</v>
      </c>
      <c r="N3379">
        <v>4</v>
      </c>
    </row>
    <row r="3380" spans="1:14" x14ac:dyDescent="0.3">
      <c r="A3380" t="s">
        <v>3462</v>
      </c>
      <c r="B3380" t="s">
        <v>34</v>
      </c>
      <c r="C3380" t="s">
        <v>3410</v>
      </c>
      <c r="D3380" s="1">
        <v>0.67099537037037038</v>
      </c>
      <c r="E3380" s="2">
        <f>CallLog[[#This Row],[Date]]+CallLog[[#This Row],[Time]]</f>
        <v>44255.670995370368</v>
      </c>
      <c r="F3380" s="1" t="str">
        <f>TEXT(CallLog[[#This Row],[Date]],"dddd")</f>
        <v>Sunday</v>
      </c>
      <c r="G3380" s="3">
        <f>HOUR(CallLog[[#This Row],[Time]])</f>
        <v>16</v>
      </c>
      <c r="H3380" t="s">
        <v>24</v>
      </c>
      <c r="I3380" t="s">
        <v>14</v>
      </c>
      <c r="J3380" t="s">
        <v>14</v>
      </c>
      <c r="K3380">
        <v>64</v>
      </c>
      <c r="L3380" t="str">
        <f>IF(AND(CallLog[[#This Row],[Answered (Y/N)]]="Y", CallLog[[#This Row],[Speed of answer in seconds]]&lt;=20),
    "Within",
    "Breach")</f>
        <v>Breach</v>
      </c>
      <c r="M3380" s="1">
        <v>5.6712962962962967E-4</v>
      </c>
      <c r="N3380">
        <v>4</v>
      </c>
    </row>
    <row r="3381" spans="1:14" x14ac:dyDescent="0.3">
      <c r="A3381" t="s">
        <v>3463</v>
      </c>
      <c r="B3381" t="s">
        <v>11</v>
      </c>
      <c r="C3381" t="s">
        <v>3410</v>
      </c>
      <c r="D3381" s="1">
        <v>0.67099537037037038</v>
      </c>
      <c r="E3381" s="2">
        <f>CallLog[[#This Row],[Date]]+CallLog[[#This Row],[Time]]</f>
        <v>44255.670995370368</v>
      </c>
      <c r="F3381" s="1" t="str">
        <f>TEXT(CallLog[[#This Row],[Date]],"dddd")</f>
        <v>Sunday</v>
      </c>
      <c r="G3381" s="3">
        <f>HOUR(CallLog[[#This Row],[Time]])</f>
        <v>16</v>
      </c>
      <c r="H3381" t="s">
        <v>32</v>
      </c>
      <c r="I3381" t="s">
        <v>14</v>
      </c>
      <c r="J3381" t="s">
        <v>14</v>
      </c>
      <c r="K3381">
        <v>44</v>
      </c>
      <c r="L3381" t="str">
        <f>IF(AND(CallLog[[#This Row],[Answered (Y/N)]]="Y", CallLog[[#This Row],[Speed of answer in seconds]]&lt;=20),
    "Within",
    "Breach")</f>
        <v>Breach</v>
      </c>
      <c r="M3381" s="1">
        <v>2.1875000000000002E-3</v>
      </c>
      <c r="N3381">
        <v>4</v>
      </c>
    </row>
    <row r="3382" spans="1:14" x14ac:dyDescent="0.3">
      <c r="A3382" t="s">
        <v>3464</v>
      </c>
      <c r="B3382" t="s">
        <v>20</v>
      </c>
      <c r="C3382" t="s">
        <v>3410</v>
      </c>
      <c r="D3382" s="1">
        <v>0.67200231481481476</v>
      </c>
      <c r="E3382" s="2">
        <f>CallLog[[#This Row],[Date]]+CallLog[[#This Row],[Time]]</f>
        <v>44255.672002314815</v>
      </c>
      <c r="F3382" s="1" t="str">
        <f>TEXT(CallLog[[#This Row],[Date]],"dddd")</f>
        <v>Sunday</v>
      </c>
      <c r="G3382" s="3">
        <f>HOUR(CallLog[[#This Row],[Time]])</f>
        <v>16</v>
      </c>
      <c r="H3382" t="s">
        <v>17</v>
      </c>
      <c r="I3382" t="s">
        <v>14</v>
      </c>
      <c r="J3382" t="s">
        <v>14</v>
      </c>
      <c r="K3382">
        <v>50</v>
      </c>
      <c r="L3382" t="str">
        <f>IF(AND(CallLog[[#This Row],[Answered (Y/N)]]="Y", CallLog[[#This Row],[Speed of answer in seconds]]&lt;=20),
    "Within",
    "Breach")</f>
        <v>Breach</v>
      </c>
      <c r="M3382" s="1">
        <v>3.6111111111111109E-3</v>
      </c>
      <c r="N3382">
        <v>4</v>
      </c>
    </row>
    <row r="3383" spans="1:14" x14ac:dyDescent="0.3">
      <c r="A3383" t="s">
        <v>3465</v>
      </c>
      <c r="B3383" t="s">
        <v>47</v>
      </c>
      <c r="C3383" t="s">
        <v>3410</v>
      </c>
      <c r="D3383" s="1">
        <v>0.67200231481481476</v>
      </c>
      <c r="E3383" s="2">
        <f>CallLog[[#This Row],[Date]]+CallLog[[#This Row],[Time]]</f>
        <v>44255.672002314815</v>
      </c>
      <c r="F3383" s="1" t="str">
        <f>TEXT(CallLog[[#This Row],[Date]],"dddd")</f>
        <v>Sunday</v>
      </c>
      <c r="G3383" s="3">
        <f>HOUR(CallLog[[#This Row],[Time]])</f>
        <v>16</v>
      </c>
      <c r="H3383" t="s">
        <v>17</v>
      </c>
      <c r="I3383" t="s">
        <v>14</v>
      </c>
      <c r="J3383" t="s">
        <v>14</v>
      </c>
      <c r="K3383">
        <v>73</v>
      </c>
      <c r="L3383" t="str">
        <f>IF(AND(CallLog[[#This Row],[Answered (Y/N)]]="Y", CallLog[[#This Row],[Speed of answer in seconds]]&lt;=20),
    "Within",
    "Breach")</f>
        <v>Breach</v>
      </c>
      <c r="M3383" s="1">
        <v>2.7314814814814814E-3</v>
      </c>
      <c r="N3383">
        <v>3</v>
      </c>
    </row>
    <row r="3384" spans="1:14" x14ac:dyDescent="0.3">
      <c r="A3384" t="s">
        <v>3466</v>
      </c>
      <c r="B3384" t="s">
        <v>34</v>
      </c>
      <c r="C3384" t="s">
        <v>3410</v>
      </c>
      <c r="D3384" s="1">
        <v>0.70200231481481479</v>
      </c>
      <c r="E3384" s="2">
        <f>CallLog[[#This Row],[Date]]+CallLog[[#This Row],[Time]]</f>
        <v>44255.702002314814</v>
      </c>
      <c r="F3384" s="1" t="str">
        <f>TEXT(CallLog[[#This Row],[Date]],"dddd")</f>
        <v>Sunday</v>
      </c>
      <c r="G3384" s="3">
        <f>HOUR(CallLog[[#This Row],[Time]])</f>
        <v>16</v>
      </c>
      <c r="H3384" t="s">
        <v>17</v>
      </c>
      <c r="I3384" t="s">
        <v>14</v>
      </c>
      <c r="J3384" t="s">
        <v>14</v>
      </c>
      <c r="K3384">
        <v>34</v>
      </c>
      <c r="L3384" t="str">
        <f>IF(AND(CallLog[[#This Row],[Answered (Y/N)]]="Y", CallLog[[#This Row],[Speed of answer in seconds]]&lt;=20),
    "Within",
    "Breach")</f>
        <v>Breach</v>
      </c>
      <c r="M3384" s="1">
        <v>2.3726851851851851E-3</v>
      </c>
      <c r="N3384">
        <v>1</v>
      </c>
    </row>
    <row r="3385" spans="1:14" x14ac:dyDescent="0.3">
      <c r="A3385" t="s">
        <v>3467</v>
      </c>
      <c r="B3385" t="s">
        <v>47</v>
      </c>
      <c r="C3385" t="s">
        <v>3410</v>
      </c>
      <c r="D3385" s="1">
        <v>0.70200231481481479</v>
      </c>
      <c r="E3385" s="2">
        <f>CallLog[[#This Row],[Date]]+CallLog[[#This Row],[Time]]</f>
        <v>44255.702002314814</v>
      </c>
      <c r="F3385" s="1" t="str">
        <f>TEXT(CallLog[[#This Row],[Date]],"dddd")</f>
        <v>Sunday</v>
      </c>
      <c r="G3385" s="3">
        <f>HOUR(CallLog[[#This Row],[Time]])</f>
        <v>16</v>
      </c>
      <c r="H3385" t="s">
        <v>24</v>
      </c>
      <c r="I3385" t="s">
        <v>14</v>
      </c>
      <c r="J3385" t="s">
        <v>14</v>
      </c>
      <c r="K3385">
        <v>118</v>
      </c>
      <c r="L3385" t="str">
        <f>IF(AND(CallLog[[#This Row],[Answered (Y/N)]]="Y", CallLog[[#This Row],[Speed of answer in seconds]]&lt;=20),
    "Within",
    "Breach")</f>
        <v>Breach</v>
      </c>
      <c r="M3385" s="1">
        <v>4.5254629629629629E-3</v>
      </c>
      <c r="N3385">
        <v>3</v>
      </c>
    </row>
    <row r="3386" spans="1:14" x14ac:dyDescent="0.3">
      <c r="A3386" t="s">
        <v>3468</v>
      </c>
      <c r="B3386" t="s">
        <v>16</v>
      </c>
      <c r="C3386" t="s">
        <v>3410</v>
      </c>
      <c r="D3386" s="1">
        <v>0.73099537037037032</v>
      </c>
      <c r="E3386" s="2">
        <f>CallLog[[#This Row],[Date]]+CallLog[[#This Row],[Time]]</f>
        <v>44255.730995370373</v>
      </c>
      <c r="F3386" s="1" t="str">
        <f>TEXT(CallLog[[#This Row],[Date]],"dddd")</f>
        <v>Sunday</v>
      </c>
      <c r="G3386" s="3">
        <f>HOUR(CallLog[[#This Row],[Time]])</f>
        <v>17</v>
      </c>
      <c r="H3386" t="s">
        <v>29</v>
      </c>
      <c r="I3386" t="s">
        <v>14</v>
      </c>
      <c r="J3386" t="s">
        <v>14</v>
      </c>
      <c r="K3386">
        <v>44</v>
      </c>
      <c r="L3386" t="str">
        <f>IF(AND(CallLog[[#This Row],[Answered (Y/N)]]="Y", CallLog[[#This Row],[Speed of answer in seconds]]&lt;=20),
    "Within",
    "Breach")</f>
        <v>Breach</v>
      </c>
      <c r="M3386" s="1">
        <v>4.7453703703703703E-3</v>
      </c>
      <c r="N3386">
        <v>3</v>
      </c>
    </row>
    <row r="3387" spans="1:14" x14ac:dyDescent="0.3">
      <c r="A3387" t="s">
        <v>3469</v>
      </c>
      <c r="B3387" t="s">
        <v>22</v>
      </c>
      <c r="C3387" t="s">
        <v>3410</v>
      </c>
      <c r="D3387" s="1">
        <v>0.73099537037037032</v>
      </c>
      <c r="E3387" s="2">
        <f>CallLog[[#This Row],[Date]]+CallLog[[#This Row],[Time]]</f>
        <v>44255.730995370373</v>
      </c>
      <c r="F3387" s="1" t="str">
        <f>TEXT(CallLog[[#This Row],[Date]],"dddd")</f>
        <v>Sunday</v>
      </c>
      <c r="G3387" s="3">
        <f>HOUR(CallLog[[#This Row],[Time]])</f>
        <v>17</v>
      </c>
      <c r="H3387" t="s">
        <v>13</v>
      </c>
      <c r="I3387" t="s">
        <v>14</v>
      </c>
      <c r="J3387" t="s">
        <v>14</v>
      </c>
      <c r="K3387">
        <v>38</v>
      </c>
      <c r="L3387" t="str">
        <f>IF(AND(CallLog[[#This Row],[Answered (Y/N)]]="Y", CallLog[[#This Row],[Speed of answer in seconds]]&lt;=20),
    "Within",
    "Breach")</f>
        <v>Breach</v>
      </c>
      <c r="M3387" s="1">
        <v>1.1111111111111111E-3</v>
      </c>
      <c r="N3387">
        <v>3</v>
      </c>
    </row>
    <row r="3388" spans="1:14" x14ac:dyDescent="0.3">
      <c r="A3388" t="s">
        <v>3470</v>
      </c>
      <c r="B3388" t="s">
        <v>31</v>
      </c>
      <c r="C3388" t="s">
        <v>3410</v>
      </c>
      <c r="D3388" s="1">
        <v>0.75</v>
      </c>
      <c r="E3388" s="2">
        <f>CallLog[[#This Row],[Date]]+CallLog[[#This Row],[Time]]</f>
        <v>44255.75</v>
      </c>
      <c r="F3388" s="1" t="str">
        <f>TEXT(CallLog[[#This Row],[Date]],"dddd")</f>
        <v>Sunday</v>
      </c>
      <c r="G3388" s="3">
        <f>HOUR(CallLog[[#This Row],[Time]])</f>
        <v>18</v>
      </c>
      <c r="H3388" t="s">
        <v>32</v>
      </c>
      <c r="I3388" t="s">
        <v>14</v>
      </c>
      <c r="J3388" t="s">
        <v>14</v>
      </c>
      <c r="K3388">
        <v>56</v>
      </c>
      <c r="L3388" t="str">
        <f>IF(AND(CallLog[[#This Row],[Answered (Y/N)]]="Y", CallLog[[#This Row],[Speed of answer in seconds]]&lt;=20),
    "Within",
    "Breach")</f>
        <v>Breach</v>
      </c>
      <c r="M3388" s="1">
        <v>1.7824074074074075E-3</v>
      </c>
      <c r="N3388">
        <v>4</v>
      </c>
    </row>
    <row r="3389" spans="1:14" x14ac:dyDescent="0.3">
      <c r="A3389" t="s">
        <v>3471</v>
      </c>
      <c r="B3389" t="s">
        <v>34</v>
      </c>
      <c r="C3389" t="s">
        <v>3410</v>
      </c>
      <c r="D3389" s="1">
        <v>0.75</v>
      </c>
      <c r="E3389" s="2">
        <f>CallLog[[#This Row],[Date]]+CallLog[[#This Row],[Time]]</f>
        <v>44255.75</v>
      </c>
      <c r="F3389" s="1" t="str">
        <f>TEXT(CallLog[[#This Row],[Date]],"dddd")</f>
        <v>Sunday</v>
      </c>
      <c r="G3389" s="3">
        <f>HOUR(CallLog[[#This Row],[Time]])</f>
        <v>18</v>
      </c>
      <c r="H3389" t="s">
        <v>17</v>
      </c>
      <c r="I3389" t="s">
        <v>14</v>
      </c>
      <c r="J3389" t="s">
        <v>14</v>
      </c>
      <c r="K3389">
        <v>79</v>
      </c>
      <c r="L3389" t="str">
        <f>IF(AND(CallLog[[#This Row],[Answered (Y/N)]]="Y", CallLog[[#This Row],[Speed of answer in seconds]]&lt;=20),
    "Within",
    "Breach")</f>
        <v>Breach</v>
      </c>
      <c r="M3389" s="1">
        <v>4.386574074074074E-3</v>
      </c>
      <c r="N3389">
        <v>4</v>
      </c>
    </row>
    <row r="3390" spans="1:14" x14ac:dyDescent="0.3">
      <c r="A3390" t="s">
        <v>3472</v>
      </c>
      <c r="B3390" t="s">
        <v>20</v>
      </c>
      <c r="C3390" t="s">
        <v>3473</v>
      </c>
      <c r="D3390" s="1">
        <v>0.38</v>
      </c>
      <c r="E3390" s="2">
        <f>CallLog[[#This Row],[Date]]+CallLog[[#This Row],[Time]]</f>
        <v>44256.38</v>
      </c>
      <c r="F3390" s="1" t="str">
        <f>TEXT(CallLog[[#This Row],[Date]],"dddd")</f>
        <v>Monday</v>
      </c>
      <c r="G3390" s="3">
        <f>HOUR(CallLog[[#This Row],[Time]])</f>
        <v>9</v>
      </c>
      <c r="H3390" t="s">
        <v>24</v>
      </c>
      <c r="I3390" t="s">
        <v>14</v>
      </c>
      <c r="J3390" t="s">
        <v>14</v>
      </c>
      <c r="K3390">
        <v>111</v>
      </c>
      <c r="L3390" t="str">
        <f>IF(AND(CallLog[[#This Row],[Answered (Y/N)]]="Y", CallLog[[#This Row],[Speed of answer in seconds]]&lt;=20),
    "Within",
    "Breach")</f>
        <v>Breach</v>
      </c>
      <c r="M3390" s="1">
        <v>3.1481481481481482E-3</v>
      </c>
      <c r="N3390">
        <v>5</v>
      </c>
    </row>
    <row r="3391" spans="1:14" x14ac:dyDescent="0.3">
      <c r="A3391" t="s">
        <v>3474</v>
      </c>
      <c r="B3391" t="s">
        <v>34</v>
      </c>
      <c r="C3391" t="s">
        <v>3473</v>
      </c>
      <c r="D3391" s="1">
        <v>0.38</v>
      </c>
      <c r="E3391" s="2">
        <f>CallLog[[#This Row],[Date]]+CallLog[[#This Row],[Time]]</f>
        <v>44256.38</v>
      </c>
      <c r="F3391" s="1" t="str">
        <f>TEXT(CallLog[[#This Row],[Date]],"dddd")</f>
        <v>Monday</v>
      </c>
      <c r="G3391" s="3">
        <f>HOUR(CallLog[[#This Row],[Time]])</f>
        <v>9</v>
      </c>
      <c r="H3391" t="s">
        <v>13</v>
      </c>
      <c r="I3391" t="s">
        <v>14</v>
      </c>
      <c r="J3391" t="s">
        <v>18</v>
      </c>
      <c r="K3391">
        <v>62</v>
      </c>
      <c r="L3391" t="str">
        <f>IF(AND(CallLog[[#This Row],[Answered (Y/N)]]="Y", CallLog[[#This Row],[Speed of answer in seconds]]&lt;=20),
    "Within",
    "Breach")</f>
        <v>Breach</v>
      </c>
      <c r="M3391" s="1">
        <v>3.5648148148148149E-3</v>
      </c>
      <c r="N3391">
        <v>5</v>
      </c>
    </row>
    <row r="3392" spans="1:14" x14ac:dyDescent="0.3">
      <c r="A3392" t="s">
        <v>3475</v>
      </c>
      <c r="B3392" t="s">
        <v>38</v>
      </c>
      <c r="C3392" t="s">
        <v>3473</v>
      </c>
      <c r="D3392" s="1">
        <v>0.38599537037037035</v>
      </c>
      <c r="E3392" s="2">
        <f>CallLog[[#This Row],[Date]]+CallLog[[#This Row],[Time]]</f>
        <v>44256.385995370372</v>
      </c>
      <c r="F3392" s="1" t="str">
        <f>TEXT(CallLog[[#This Row],[Date]],"dddd")</f>
        <v>Monday</v>
      </c>
      <c r="G3392" s="3">
        <f>HOUR(CallLog[[#This Row],[Time]])</f>
        <v>9</v>
      </c>
      <c r="H3392" t="s">
        <v>32</v>
      </c>
      <c r="I3392" t="s">
        <v>14</v>
      </c>
      <c r="J3392" t="s">
        <v>14</v>
      </c>
      <c r="K3392">
        <v>112</v>
      </c>
      <c r="L3392" t="str">
        <f>IF(AND(CallLog[[#This Row],[Answered (Y/N)]]="Y", CallLog[[#This Row],[Speed of answer in seconds]]&lt;=20),
    "Within",
    "Breach")</f>
        <v>Breach</v>
      </c>
      <c r="M3392" s="1">
        <v>3.0092592592592593E-3</v>
      </c>
      <c r="N3392">
        <v>1</v>
      </c>
    </row>
    <row r="3393" spans="1:14" x14ac:dyDescent="0.3">
      <c r="A3393" t="s">
        <v>3476</v>
      </c>
      <c r="B3393" t="s">
        <v>47</v>
      </c>
      <c r="C3393" t="s">
        <v>3473</v>
      </c>
      <c r="D3393" s="1">
        <v>0.38599537037037035</v>
      </c>
      <c r="E3393" s="2">
        <f>CallLog[[#This Row],[Date]]+CallLog[[#This Row],[Time]]</f>
        <v>44256.385995370372</v>
      </c>
      <c r="F3393" s="1" t="str">
        <f>TEXT(CallLog[[#This Row],[Date]],"dddd")</f>
        <v>Monday</v>
      </c>
      <c r="G3393" s="3">
        <f>HOUR(CallLog[[#This Row],[Time]])</f>
        <v>9</v>
      </c>
      <c r="H3393" t="s">
        <v>29</v>
      </c>
      <c r="I3393" t="s">
        <v>14</v>
      </c>
      <c r="J3393" t="s">
        <v>14</v>
      </c>
      <c r="K3393">
        <v>55</v>
      </c>
      <c r="L3393" t="str">
        <f>IF(AND(CallLog[[#This Row],[Answered (Y/N)]]="Y", CallLog[[#This Row],[Speed of answer in seconds]]&lt;=20),
    "Within",
    "Breach")</f>
        <v>Breach</v>
      </c>
      <c r="M3393" s="1">
        <v>3.8310185185185183E-3</v>
      </c>
      <c r="N3393">
        <v>4</v>
      </c>
    </row>
    <row r="3394" spans="1:14" x14ac:dyDescent="0.3">
      <c r="A3394" t="s">
        <v>3477</v>
      </c>
      <c r="B3394" t="s">
        <v>31</v>
      </c>
      <c r="C3394" t="s">
        <v>3473</v>
      </c>
      <c r="D3394" s="1">
        <v>0.39799768518518519</v>
      </c>
      <c r="E3394" s="2">
        <f>CallLog[[#This Row],[Date]]+CallLog[[#This Row],[Time]]</f>
        <v>44256.397997685184</v>
      </c>
      <c r="F3394" s="1" t="str">
        <f>TEXT(CallLog[[#This Row],[Date]],"dddd")</f>
        <v>Monday</v>
      </c>
      <c r="G3394" s="3">
        <f>HOUR(CallLog[[#This Row],[Time]])</f>
        <v>9</v>
      </c>
      <c r="H3394" t="s">
        <v>29</v>
      </c>
      <c r="I3394" t="s">
        <v>14</v>
      </c>
      <c r="J3394" t="s">
        <v>14</v>
      </c>
      <c r="K3394">
        <v>107</v>
      </c>
      <c r="L3394" t="str">
        <f>IF(AND(CallLog[[#This Row],[Answered (Y/N)]]="Y", CallLog[[#This Row],[Speed of answer in seconds]]&lt;=20),
    "Within",
    "Breach")</f>
        <v>Breach</v>
      </c>
      <c r="M3394" s="1">
        <v>2.6041666666666665E-3</v>
      </c>
      <c r="N3394">
        <v>5</v>
      </c>
    </row>
    <row r="3395" spans="1:14" x14ac:dyDescent="0.3">
      <c r="A3395" t="s">
        <v>3478</v>
      </c>
      <c r="B3395" t="s">
        <v>38</v>
      </c>
      <c r="C3395" t="s">
        <v>3473</v>
      </c>
      <c r="D3395" s="1">
        <v>0.39799768518518519</v>
      </c>
      <c r="E3395" s="2">
        <f>CallLog[[#This Row],[Date]]+CallLog[[#This Row],[Time]]</f>
        <v>44256.397997685184</v>
      </c>
      <c r="F3395" s="1" t="str">
        <f>TEXT(CallLog[[#This Row],[Date]],"dddd")</f>
        <v>Monday</v>
      </c>
      <c r="G3395" s="3">
        <f>HOUR(CallLog[[#This Row],[Time]])</f>
        <v>9</v>
      </c>
      <c r="H3395" t="s">
        <v>29</v>
      </c>
      <c r="I3395" t="s">
        <v>18</v>
      </c>
      <c r="J3395" t="s">
        <v>18</v>
      </c>
      <c r="L3395" t="str">
        <f>IF(AND(CallLog[[#This Row],[Answered (Y/N)]]="Y", CallLog[[#This Row],[Speed of answer in seconds]]&lt;=20),
    "Within",
    "Breach")</f>
        <v>Breach</v>
      </c>
    </row>
    <row r="3396" spans="1:14" x14ac:dyDescent="0.3">
      <c r="A3396" t="s">
        <v>3479</v>
      </c>
      <c r="B3396" t="s">
        <v>11</v>
      </c>
      <c r="C3396" t="s">
        <v>3473</v>
      </c>
      <c r="D3396" s="1">
        <v>0.41499999999999998</v>
      </c>
      <c r="E3396" s="2">
        <f>CallLog[[#This Row],[Date]]+CallLog[[#This Row],[Time]]</f>
        <v>44256.415000000001</v>
      </c>
      <c r="F3396" s="1" t="str">
        <f>TEXT(CallLog[[#This Row],[Date]],"dddd")</f>
        <v>Monday</v>
      </c>
      <c r="G3396" s="3">
        <f>HOUR(CallLog[[#This Row],[Time]])</f>
        <v>9</v>
      </c>
      <c r="H3396" t="s">
        <v>17</v>
      </c>
      <c r="I3396" t="s">
        <v>18</v>
      </c>
      <c r="J3396" t="s">
        <v>18</v>
      </c>
      <c r="L3396" t="str">
        <f>IF(AND(CallLog[[#This Row],[Answered (Y/N)]]="Y", CallLog[[#This Row],[Speed of answer in seconds]]&lt;=20),
    "Within",
    "Breach")</f>
        <v>Breach</v>
      </c>
    </row>
    <row r="3397" spans="1:14" x14ac:dyDescent="0.3">
      <c r="A3397" t="s">
        <v>3480</v>
      </c>
      <c r="B3397" t="s">
        <v>16</v>
      </c>
      <c r="C3397" t="s">
        <v>3473</v>
      </c>
      <c r="D3397" s="1">
        <v>0.41499999999999998</v>
      </c>
      <c r="E3397" s="2">
        <f>CallLog[[#This Row],[Date]]+CallLog[[#This Row],[Time]]</f>
        <v>44256.415000000001</v>
      </c>
      <c r="F3397" s="1" t="str">
        <f>TEXT(CallLog[[#This Row],[Date]],"dddd")</f>
        <v>Monday</v>
      </c>
      <c r="G3397" s="3">
        <f>HOUR(CallLog[[#This Row],[Time]])</f>
        <v>9</v>
      </c>
      <c r="H3397" t="s">
        <v>29</v>
      </c>
      <c r="I3397" t="s">
        <v>14</v>
      </c>
      <c r="J3397" t="s">
        <v>14</v>
      </c>
      <c r="K3397">
        <v>81</v>
      </c>
      <c r="L3397" t="str">
        <f>IF(AND(CallLog[[#This Row],[Answered (Y/N)]]="Y", CallLog[[#This Row],[Speed of answer in seconds]]&lt;=20),
    "Within",
    "Breach")</f>
        <v>Breach</v>
      </c>
      <c r="M3397" s="1">
        <v>4.0393518518518521E-3</v>
      </c>
      <c r="N3397">
        <v>4</v>
      </c>
    </row>
    <row r="3398" spans="1:14" x14ac:dyDescent="0.3">
      <c r="A3398" t="s">
        <v>3481</v>
      </c>
      <c r="B3398" t="s">
        <v>34</v>
      </c>
      <c r="C3398" t="s">
        <v>3473</v>
      </c>
      <c r="D3398" s="1">
        <v>0.41799768518518521</v>
      </c>
      <c r="E3398" s="2">
        <f>CallLog[[#This Row],[Date]]+CallLog[[#This Row],[Time]]</f>
        <v>44256.417997685188</v>
      </c>
      <c r="F3398" s="1" t="str">
        <f>TEXT(CallLog[[#This Row],[Date]],"dddd")</f>
        <v>Monday</v>
      </c>
      <c r="G3398" s="3">
        <f>HOUR(CallLog[[#This Row],[Time]])</f>
        <v>10</v>
      </c>
      <c r="H3398" t="s">
        <v>32</v>
      </c>
      <c r="I3398" t="s">
        <v>14</v>
      </c>
      <c r="J3398" t="s">
        <v>18</v>
      </c>
      <c r="K3398">
        <v>120</v>
      </c>
      <c r="L3398" t="str">
        <f>IF(AND(CallLog[[#This Row],[Answered (Y/N)]]="Y", CallLog[[#This Row],[Speed of answer in seconds]]&lt;=20),
    "Within",
    "Breach")</f>
        <v>Breach</v>
      </c>
      <c r="M3398" s="1">
        <v>1.7476851851851852E-3</v>
      </c>
      <c r="N3398">
        <v>4</v>
      </c>
    </row>
    <row r="3399" spans="1:14" x14ac:dyDescent="0.3">
      <c r="A3399" t="s">
        <v>3482</v>
      </c>
      <c r="B3399" t="s">
        <v>11</v>
      </c>
      <c r="C3399" t="s">
        <v>3473</v>
      </c>
      <c r="D3399" s="1">
        <v>0.41799768518518521</v>
      </c>
      <c r="E3399" s="2">
        <f>CallLog[[#This Row],[Date]]+CallLog[[#This Row],[Time]]</f>
        <v>44256.417997685188</v>
      </c>
      <c r="F3399" s="1" t="str">
        <f>TEXT(CallLog[[#This Row],[Date]],"dddd")</f>
        <v>Monday</v>
      </c>
      <c r="G3399" s="3">
        <f>HOUR(CallLog[[#This Row],[Time]])</f>
        <v>10</v>
      </c>
      <c r="H3399" t="s">
        <v>29</v>
      </c>
      <c r="I3399" t="s">
        <v>18</v>
      </c>
      <c r="J3399" t="s">
        <v>18</v>
      </c>
      <c r="L3399" t="str">
        <f>IF(AND(CallLog[[#This Row],[Answered (Y/N)]]="Y", CallLog[[#This Row],[Speed of answer in seconds]]&lt;=20),
    "Within",
    "Breach")</f>
        <v>Breach</v>
      </c>
    </row>
    <row r="3400" spans="1:14" x14ac:dyDescent="0.3">
      <c r="A3400" t="s">
        <v>3483</v>
      </c>
      <c r="B3400" t="s">
        <v>16</v>
      </c>
      <c r="C3400" t="s">
        <v>3473</v>
      </c>
      <c r="D3400" s="1">
        <v>0.44</v>
      </c>
      <c r="E3400" s="2">
        <f>CallLog[[#This Row],[Date]]+CallLog[[#This Row],[Time]]</f>
        <v>44256.44</v>
      </c>
      <c r="F3400" s="1" t="str">
        <f>TEXT(CallLog[[#This Row],[Date]],"dddd")</f>
        <v>Monday</v>
      </c>
      <c r="G3400" s="3">
        <f>HOUR(CallLog[[#This Row],[Time]])</f>
        <v>10</v>
      </c>
      <c r="H3400" t="s">
        <v>13</v>
      </c>
      <c r="I3400" t="s">
        <v>18</v>
      </c>
      <c r="J3400" t="s">
        <v>18</v>
      </c>
      <c r="L3400" t="str">
        <f>IF(AND(CallLog[[#This Row],[Answered (Y/N)]]="Y", CallLog[[#This Row],[Speed of answer in seconds]]&lt;=20),
    "Within",
    "Breach")</f>
        <v>Breach</v>
      </c>
    </row>
    <row r="3401" spans="1:14" x14ac:dyDescent="0.3">
      <c r="A3401" t="s">
        <v>3484</v>
      </c>
      <c r="B3401" t="s">
        <v>31</v>
      </c>
      <c r="C3401" t="s">
        <v>3473</v>
      </c>
      <c r="D3401" s="1">
        <v>0.44</v>
      </c>
      <c r="E3401" s="2">
        <f>CallLog[[#This Row],[Date]]+CallLog[[#This Row],[Time]]</f>
        <v>44256.44</v>
      </c>
      <c r="F3401" s="1" t="str">
        <f>TEXT(CallLog[[#This Row],[Date]],"dddd")</f>
        <v>Monday</v>
      </c>
      <c r="G3401" s="3">
        <f>HOUR(CallLog[[#This Row],[Time]])</f>
        <v>10</v>
      </c>
      <c r="H3401" t="s">
        <v>17</v>
      </c>
      <c r="I3401" t="s">
        <v>14</v>
      </c>
      <c r="J3401" t="s">
        <v>14</v>
      </c>
      <c r="K3401">
        <v>68</v>
      </c>
      <c r="L3401" t="str">
        <f>IF(AND(CallLog[[#This Row],[Answered (Y/N)]]="Y", CallLog[[#This Row],[Speed of answer in seconds]]&lt;=20),
    "Within",
    "Breach")</f>
        <v>Breach</v>
      </c>
      <c r="M3401" s="1">
        <v>7.407407407407407E-4</v>
      </c>
      <c r="N3401">
        <v>3</v>
      </c>
    </row>
    <row r="3402" spans="1:14" x14ac:dyDescent="0.3">
      <c r="A3402" t="s">
        <v>3485</v>
      </c>
      <c r="B3402" t="s">
        <v>22</v>
      </c>
      <c r="C3402" t="s">
        <v>3473</v>
      </c>
      <c r="D3402" s="1">
        <v>0.4679976851851852</v>
      </c>
      <c r="E3402" s="2">
        <f>CallLog[[#This Row],[Date]]+CallLog[[#This Row],[Time]]</f>
        <v>44256.467997685184</v>
      </c>
      <c r="F3402" s="1" t="str">
        <f>TEXT(CallLog[[#This Row],[Date]],"dddd")</f>
        <v>Monday</v>
      </c>
      <c r="G3402" s="3">
        <f>HOUR(CallLog[[#This Row],[Time]])</f>
        <v>11</v>
      </c>
      <c r="H3402" t="s">
        <v>17</v>
      </c>
      <c r="I3402" t="s">
        <v>18</v>
      </c>
      <c r="J3402" t="s">
        <v>18</v>
      </c>
      <c r="L3402" t="str">
        <f>IF(AND(CallLog[[#This Row],[Answered (Y/N)]]="Y", CallLog[[#This Row],[Speed of answer in seconds]]&lt;=20),
    "Within",
    "Breach")</f>
        <v>Breach</v>
      </c>
    </row>
    <row r="3403" spans="1:14" x14ac:dyDescent="0.3">
      <c r="A3403" t="s">
        <v>3486</v>
      </c>
      <c r="B3403" t="s">
        <v>20</v>
      </c>
      <c r="C3403" t="s">
        <v>3473</v>
      </c>
      <c r="D3403" s="1">
        <v>0.4679976851851852</v>
      </c>
      <c r="E3403" s="2">
        <f>CallLog[[#This Row],[Date]]+CallLog[[#This Row],[Time]]</f>
        <v>44256.467997685184</v>
      </c>
      <c r="F3403" s="1" t="str">
        <f>TEXT(CallLog[[#This Row],[Date]],"dddd")</f>
        <v>Monday</v>
      </c>
      <c r="G3403" s="3">
        <f>HOUR(CallLog[[#This Row],[Time]])</f>
        <v>11</v>
      </c>
      <c r="H3403" t="s">
        <v>24</v>
      </c>
      <c r="I3403" t="s">
        <v>14</v>
      </c>
      <c r="J3403" t="s">
        <v>14</v>
      </c>
      <c r="K3403">
        <v>40</v>
      </c>
      <c r="L3403" t="str">
        <f>IF(AND(CallLog[[#This Row],[Answered (Y/N)]]="Y", CallLog[[#This Row],[Speed of answer in seconds]]&lt;=20),
    "Within",
    "Breach")</f>
        <v>Breach</v>
      </c>
      <c r="M3403" s="1">
        <v>9.7222222222222219E-4</v>
      </c>
      <c r="N3403">
        <v>4</v>
      </c>
    </row>
    <row r="3404" spans="1:14" x14ac:dyDescent="0.3">
      <c r="A3404" t="s">
        <v>3487</v>
      </c>
      <c r="B3404" t="s">
        <v>31</v>
      </c>
      <c r="C3404" t="s">
        <v>3473</v>
      </c>
      <c r="D3404" s="1">
        <v>0.51500000000000001</v>
      </c>
      <c r="E3404" s="2">
        <f>CallLog[[#This Row],[Date]]+CallLog[[#This Row],[Time]]</f>
        <v>44256.514999999999</v>
      </c>
      <c r="F3404" s="1" t="str">
        <f>TEXT(CallLog[[#This Row],[Date]],"dddd")</f>
        <v>Monday</v>
      </c>
      <c r="G3404" s="3">
        <f>HOUR(CallLog[[#This Row],[Time]])</f>
        <v>12</v>
      </c>
      <c r="H3404" t="s">
        <v>17</v>
      </c>
      <c r="I3404" t="s">
        <v>14</v>
      </c>
      <c r="J3404" t="s">
        <v>14</v>
      </c>
      <c r="K3404">
        <v>60</v>
      </c>
      <c r="L3404" t="str">
        <f>IF(AND(CallLog[[#This Row],[Answered (Y/N)]]="Y", CallLog[[#This Row],[Speed of answer in seconds]]&lt;=20),
    "Within",
    "Breach")</f>
        <v>Breach</v>
      </c>
      <c r="M3404" s="1">
        <v>3.3217592592592591E-3</v>
      </c>
      <c r="N3404">
        <v>4</v>
      </c>
    </row>
    <row r="3405" spans="1:14" x14ac:dyDescent="0.3">
      <c r="A3405" t="s">
        <v>3488</v>
      </c>
      <c r="B3405" t="s">
        <v>31</v>
      </c>
      <c r="C3405" t="s">
        <v>3473</v>
      </c>
      <c r="D3405" s="1">
        <v>0.51500000000000001</v>
      </c>
      <c r="E3405" s="2">
        <f>CallLog[[#This Row],[Date]]+CallLog[[#This Row],[Time]]</f>
        <v>44256.514999999999</v>
      </c>
      <c r="F3405" s="1" t="str">
        <f>TEXT(CallLog[[#This Row],[Date]],"dddd")</f>
        <v>Monday</v>
      </c>
      <c r="G3405" s="3">
        <f>HOUR(CallLog[[#This Row],[Time]])</f>
        <v>12</v>
      </c>
      <c r="H3405" t="s">
        <v>32</v>
      </c>
      <c r="I3405" t="s">
        <v>14</v>
      </c>
      <c r="J3405" t="s">
        <v>14</v>
      </c>
      <c r="K3405">
        <v>53</v>
      </c>
      <c r="L3405" t="str">
        <f>IF(AND(CallLog[[#This Row],[Answered (Y/N)]]="Y", CallLog[[#This Row],[Speed of answer in seconds]]&lt;=20),
    "Within",
    "Breach")</f>
        <v>Breach</v>
      </c>
      <c r="M3405" s="1">
        <v>2.7199074074074074E-3</v>
      </c>
      <c r="N3405">
        <v>3</v>
      </c>
    </row>
    <row r="3406" spans="1:14" x14ac:dyDescent="0.3">
      <c r="A3406" t="s">
        <v>3489</v>
      </c>
      <c r="B3406" t="s">
        <v>38</v>
      </c>
      <c r="C3406" t="s">
        <v>3473</v>
      </c>
      <c r="D3406" s="1">
        <v>0.52500000000000002</v>
      </c>
      <c r="E3406" s="2">
        <f>CallLog[[#This Row],[Date]]+CallLog[[#This Row],[Time]]</f>
        <v>44256.525000000001</v>
      </c>
      <c r="F3406" s="1" t="str">
        <f>TEXT(CallLog[[#This Row],[Date]],"dddd")</f>
        <v>Monday</v>
      </c>
      <c r="G3406" s="3">
        <f>HOUR(CallLog[[#This Row],[Time]])</f>
        <v>12</v>
      </c>
      <c r="H3406" t="s">
        <v>13</v>
      </c>
      <c r="I3406" t="s">
        <v>14</v>
      </c>
      <c r="J3406" t="s">
        <v>14</v>
      </c>
      <c r="K3406">
        <v>72</v>
      </c>
      <c r="L3406" t="str">
        <f>IF(AND(CallLog[[#This Row],[Answered (Y/N)]]="Y", CallLog[[#This Row],[Speed of answer in seconds]]&lt;=20),
    "Within",
    "Breach")</f>
        <v>Breach</v>
      </c>
      <c r="M3406" s="1">
        <v>1.9097222222222222E-3</v>
      </c>
      <c r="N3406">
        <v>3</v>
      </c>
    </row>
    <row r="3407" spans="1:14" x14ac:dyDescent="0.3">
      <c r="A3407" t="s">
        <v>3490</v>
      </c>
      <c r="B3407" t="s">
        <v>31</v>
      </c>
      <c r="C3407" t="s">
        <v>3473</v>
      </c>
      <c r="D3407" s="1">
        <v>0.52500000000000002</v>
      </c>
      <c r="E3407" s="2">
        <f>CallLog[[#This Row],[Date]]+CallLog[[#This Row],[Time]]</f>
        <v>44256.525000000001</v>
      </c>
      <c r="F3407" s="1" t="str">
        <f>TEXT(CallLog[[#This Row],[Date]],"dddd")</f>
        <v>Monday</v>
      </c>
      <c r="G3407" s="3">
        <f>HOUR(CallLog[[#This Row],[Time]])</f>
        <v>12</v>
      </c>
      <c r="H3407" t="s">
        <v>17</v>
      </c>
      <c r="I3407" t="s">
        <v>18</v>
      </c>
      <c r="J3407" t="s">
        <v>18</v>
      </c>
      <c r="L3407" t="str">
        <f>IF(AND(CallLog[[#This Row],[Answered (Y/N)]]="Y", CallLog[[#This Row],[Speed of answer in seconds]]&lt;=20),
    "Within",
    "Breach")</f>
        <v>Breach</v>
      </c>
    </row>
    <row r="3408" spans="1:14" x14ac:dyDescent="0.3">
      <c r="A3408" t="s">
        <v>3491</v>
      </c>
      <c r="B3408" t="s">
        <v>22</v>
      </c>
      <c r="C3408" t="s">
        <v>3473</v>
      </c>
      <c r="D3408" s="1">
        <v>0.53200231481481486</v>
      </c>
      <c r="E3408" s="2">
        <f>CallLog[[#This Row],[Date]]+CallLog[[#This Row],[Time]]</f>
        <v>44256.532002314816</v>
      </c>
      <c r="F3408" s="1" t="str">
        <f>TEXT(CallLog[[#This Row],[Date]],"dddd")</f>
        <v>Monday</v>
      </c>
      <c r="G3408" s="3">
        <f>HOUR(CallLog[[#This Row],[Time]])</f>
        <v>12</v>
      </c>
      <c r="H3408" t="s">
        <v>32</v>
      </c>
      <c r="I3408" t="s">
        <v>14</v>
      </c>
      <c r="J3408" t="s">
        <v>14</v>
      </c>
      <c r="K3408">
        <v>100</v>
      </c>
      <c r="L3408" t="str">
        <f>IF(AND(CallLog[[#This Row],[Answered (Y/N)]]="Y", CallLog[[#This Row],[Speed of answer in seconds]]&lt;=20),
    "Within",
    "Breach")</f>
        <v>Breach</v>
      </c>
      <c r="M3408" s="1">
        <v>3.0671296296296297E-3</v>
      </c>
      <c r="N3408">
        <v>1</v>
      </c>
    </row>
    <row r="3409" spans="1:14" x14ac:dyDescent="0.3">
      <c r="A3409" t="s">
        <v>3492</v>
      </c>
      <c r="B3409" t="s">
        <v>20</v>
      </c>
      <c r="C3409" t="s">
        <v>3473</v>
      </c>
      <c r="D3409" s="1">
        <v>0.53200231481481486</v>
      </c>
      <c r="E3409" s="2">
        <f>CallLog[[#This Row],[Date]]+CallLog[[#This Row],[Time]]</f>
        <v>44256.532002314816</v>
      </c>
      <c r="F3409" s="1" t="str">
        <f>TEXT(CallLog[[#This Row],[Date]],"dddd")</f>
        <v>Monday</v>
      </c>
      <c r="G3409" s="3">
        <f>HOUR(CallLog[[#This Row],[Time]])</f>
        <v>12</v>
      </c>
      <c r="H3409" t="s">
        <v>24</v>
      </c>
      <c r="I3409" t="s">
        <v>14</v>
      </c>
      <c r="J3409" t="s">
        <v>14</v>
      </c>
      <c r="K3409">
        <v>99</v>
      </c>
      <c r="L3409" t="str">
        <f>IF(AND(CallLog[[#This Row],[Answered (Y/N)]]="Y", CallLog[[#This Row],[Speed of answer in seconds]]&lt;=20),
    "Within",
    "Breach")</f>
        <v>Breach</v>
      </c>
      <c r="M3409" s="1">
        <v>1.6550925925925926E-3</v>
      </c>
      <c r="N3409">
        <v>3</v>
      </c>
    </row>
    <row r="3410" spans="1:14" x14ac:dyDescent="0.3">
      <c r="A3410" t="s">
        <v>3493</v>
      </c>
      <c r="B3410" t="s">
        <v>16</v>
      </c>
      <c r="C3410" t="s">
        <v>3473</v>
      </c>
      <c r="D3410" s="1">
        <v>0.54599537037037038</v>
      </c>
      <c r="E3410" s="2">
        <f>CallLog[[#This Row],[Date]]+CallLog[[#This Row],[Time]]</f>
        <v>44256.545995370368</v>
      </c>
      <c r="F3410" s="1" t="str">
        <f>TEXT(CallLog[[#This Row],[Date]],"dddd")</f>
        <v>Monday</v>
      </c>
      <c r="G3410" s="3">
        <f>HOUR(CallLog[[#This Row],[Time]])</f>
        <v>13</v>
      </c>
      <c r="H3410" t="s">
        <v>24</v>
      </c>
      <c r="I3410" t="s">
        <v>14</v>
      </c>
      <c r="J3410" t="s">
        <v>14</v>
      </c>
      <c r="K3410">
        <v>96</v>
      </c>
      <c r="L3410" t="str">
        <f>IF(AND(CallLog[[#This Row],[Answered (Y/N)]]="Y", CallLog[[#This Row],[Speed of answer in seconds]]&lt;=20),
    "Within",
    "Breach")</f>
        <v>Breach</v>
      </c>
      <c r="M3410" s="1">
        <v>4.8611111111111112E-3</v>
      </c>
      <c r="N3410">
        <v>4</v>
      </c>
    </row>
    <row r="3411" spans="1:14" x14ac:dyDescent="0.3">
      <c r="A3411" t="s">
        <v>3494</v>
      </c>
      <c r="B3411" t="s">
        <v>16</v>
      </c>
      <c r="C3411" t="s">
        <v>3473</v>
      </c>
      <c r="D3411" s="1">
        <v>0.54599537037037038</v>
      </c>
      <c r="E3411" s="2">
        <f>CallLog[[#This Row],[Date]]+CallLog[[#This Row],[Time]]</f>
        <v>44256.545995370368</v>
      </c>
      <c r="F3411" s="1" t="str">
        <f>TEXT(CallLog[[#This Row],[Date]],"dddd")</f>
        <v>Monday</v>
      </c>
      <c r="G3411" s="3">
        <f>HOUR(CallLog[[#This Row],[Time]])</f>
        <v>13</v>
      </c>
      <c r="H3411" t="s">
        <v>24</v>
      </c>
      <c r="I3411" t="s">
        <v>14</v>
      </c>
      <c r="J3411" t="s">
        <v>14</v>
      </c>
      <c r="K3411">
        <v>33</v>
      </c>
      <c r="L3411" t="str">
        <f>IF(AND(CallLog[[#This Row],[Answered (Y/N)]]="Y", CallLog[[#This Row],[Speed of answer in seconds]]&lt;=20),
    "Within",
    "Breach")</f>
        <v>Breach</v>
      </c>
      <c r="M3411" s="1">
        <v>1.6666666666666668E-3</v>
      </c>
      <c r="N3411">
        <v>2</v>
      </c>
    </row>
    <row r="3412" spans="1:14" x14ac:dyDescent="0.3">
      <c r="A3412" t="s">
        <v>3495</v>
      </c>
      <c r="B3412" t="s">
        <v>31</v>
      </c>
      <c r="C3412" t="s">
        <v>3473</v>
      </c>
      <c r="D3412" s="1">
        <v>0.54900462962962959</v>
      </c>
      <c r="E3412" s="2">
        <f>CallLog[[#This Row],[Date]]+CallLog[[#This Row],[Time]]</f>
        <v>44256.549004629633</v>
      </c>
      <c r="F3412" s="1" t="str">
        <f>TEXT(CallLog[[#This Row],[Date]],"dddd")</f>
        <v>Monday</v>
      </c>
      <c r="G3412" s="3">
        <f>HOUR(CallLog[[#This Row],[Time]])</f>
        <v>13</v>
      </c>
      <c r="H3412" t="s">
        <v>13</v>
      </c>
      <c r="I3412" t="s">
        <v>14</v>
      </c>
      <c r="J3412" t="s">
        <v>14</v>
      </c>
      <c r="K3412">
        <v>92</v>
      </c>
      <c r="L3412" t="str">
        <f>IF(AND(CallLog[[#This Row],[Answered (Y/N)]]="Y", CallLog[[#This Row],[Speed of answer in seconds]]&lt;=20),
    "Within",
    "Breach")</f>
        <v>Breach</v>
      </c>
      <c r="M3412" s="1">
        <v>2.5347222222222221E-3</v>
      </c>
      <c r="N3412">
        <v>4</v>
      </c>
    </row>
    <row r="3413" spans="1:14" x14ac:dyDescent="0.3">
      <c r="A3413" t="s">
        <v>3496</v>
      </c>
      <c r="B3413" t="s">
        <v>22</v>
      </c>
      <c r="C3413" t="s">
        <v>3473</v>
      </c>
      <c r="D3413" s="1">
        <v>0.54900462962962959</v>
      </c>
      <c r="E3413" s="2">
        <f>CallLog[[#This Row],[Date]]+CallLog[[#This Row],[Time]]</f>
        <v>44256.549004629633</v>
      </c>
      <c r="F3413" s="1" t="str">
        <f>TEXT(CallLog[[#This Row],[Date]],"dddd")</f>
        <v>Monday</v>
      </c>
      <c r="G3413" s="3">
        <f>HOUR(CallLog[[#This Row],[Time]])</f>
        <v>13</v>
      </c>
      <c r="H3413" t="s">
        <v>24</v>
      </c>
      <c r="I3413" t="s">
        <v>14</v>
      </c>
      <c r="J3413" t="s">
        <v>14</v>
      </c>
      <c r="K3413">
        <v>96</v>
      </c>
      <c r="L3413" t="str">
        <f>IF(AND(CallLog[[#This Row],[Answered (Y/N)]]="Y", CallLog[[#This Row],[Speed of answer in seconds]]&lt;=20),
    "Within",
    "Breach")</f>
        <v>Breach</v>
      </c>
      <c r="M3413" s="1">
        <v>3.1828703703703702E-3</v>
      </c>
      <c r="N3413">
        <v>4</v>
      </c>
    </row>
    <row r="3414" spans="1:14" x14ac:dyDescent="0.3">
      <c r="A3414" t="s">
        <v>3497</v>
      </c>
      <c r="B3414" t="s">
        <v>47</v>
      </c>
      <c r="C3414" t="s">
        <v>3473</v>
      </c>
      <c r="D3414" s="1">
        <v>0.55200231481481477</v>
      </c>
      <c r="E3414" s="2">
        <f>CallLog[[#This Row],[Date]]+CallLog[[#This Row],[Time]]</f>
        <v>44256.552002314813</v>
      </c>
      <c r="F3414" s="1" t="str">
        <f>TEXT(CallLog[[#This Row],[Date]],"dddd")</f>
        <v>Monday</v>
      </c>
      <c r="G3414" s="3">
        <f>HOUR(CallLog[[#This Row],[Time]])</f>
        <v>13</v>
      </c>
      <c r="H3414" t="s">
        <v>13</v>
      </c>
      <c r="I3414" t="s">
        <v>14</v>
      </c>
      <c r="J3414" t="s">
        <v>18</v>
      </c>
      <c r="K3414">
        <v>116</v>
      </c>
      <c r="L3414" t="str">
        <f>IF(AND(CallLog[[#This Row],[Answered (Y/N)]]="Y", CallLog[[#This Row],[Speed of answer in seconds]]&lt;=20),
    "Within",
    "Breach")</f>
        <v>Breach</v>
      </c>
      <c r="M3414" s="1">
        <v>4.5370370370370373E-3</v>
      </c>
      <c r="N3414">
        <v>3</v>
      </c>
    </row>
    <row r="3415" spans="1:14" x14ac:dyDescent="0.3">
      <c r="A3415" t="s">
        <v>3498</v>
      </c>
      <c r="B3415" t="s">
        <v>34</v>
      </c>
      <c r="C3415" t="s">
        <v>3473</v>
      </c>
      <c r="D3415" s="1">
        <v>0.55200231481481477</v>
      </c>
      <c r="E3415" s="2">
        <f>CallLog[[#This Row],[Date]]+CallLog[[#This Row],[Time]]</f>
        <v>44256.552002314813</v>
      </c>
      <c r="F3415" s="1" t="str">
        <f>TEXT(CallLog[[#This Row],[Date]],"dddd")</f>
        <v>Monday</v>
      </c>
      <c r="G3415" s="3">
        <f>HOUR(CallLog[[#This Row],[Time]])</f>
        <v>13</v>
      </c>
      <c r="H3415" t="s">
        <v>32</v>
      </c>
      <c r="I3415" t="s">
        <v>14</v>
      </c>
      <c r="J3415" t="s">
        <v>14</v>
      </c>
      <c r="K3415">
        <v>29</v>
      </c>
      <c r="L3415" t="str">
        <f>IF(AND(CallLog[[#This Row],[Answered (Y/N)]]="Y", CallLog[[#This Row],[Speed of answer in seconds]]&lt;=20),
    "Within",
    "Breach")</f>
        <v>Breach</v>
      </c>
      <c r="M3415" s="1">
        <v>4.1435185185185186E-3</v>
      </c>
      <c r="N3415">
        <v>5</v>
      </c>
    </row>
    <row r="3416" spans="1:14" x14ac:dyDescent="0.3">
      <c r="A3416" t="s">
        <v>3499</v>
      </c>
      <c r="B3416" t="s">
        <v>11</v>
      </c>
      <c r="C3416" t="s">
        <v>3473</v>
      </c>
      <c r="D3416" s="1">
        <v>0.55200231481481477</v>
      </c>
      <c r="E3416" s="2">
        <f>CallLog[[#This Row],[Date]]+CallLog[[#This Row],[Time]]</f>
        <v>44256.552002314813</v>
      </c>
      <c r="F3416" s="1" t="str">
        <f>TEXT(CallLog[[#This Row],[Date]],"dddd")</f>
        <v>Monday</v>
      </c>
      <c r="G3416" s="3">
        <f>HOUR(CallLog[[#This Row],[Time]])</f>
        <v>13</v>
      </c>
      <c r="H3416" t="s">
        <v>29</v>
      </c>
      <c r="I3416" t="s">
        <v>14</v>
      </c>
      <c r="J3416" t="s">
        <v>14</v>
      </c>
      <c r="K3416">
        <v>40</v>
      </c>
      <c r="L3416" t="str">
        <f>IF(AND(CallLog[[#This Row],[Answered (Y/N)]]="Y", CallLog[[#This Row],[Speed of answer in seconds]]&lt;=20),
    "Within",
    "Breach")</f>
        <v>Breach</v>
      </c>
      <c r="M3416" s="1">
        <v>1.4120370370370369E-3</v>
      </c>
      <c r="N3416">
        <v>4</v>
      </c>
    </row>
    <row r="3417" spans="1:14" x14ac:dyDescent="0.3">
      <c r="A3417" t="s">
        <v>3500</v>
      </c>
      <c r="B3417" t="s">
        <v>16</v>
      </c>
      <c r="C3417" t="s">
        <v>3473</v>
      </c>
      <c r="D3417" s="1">
        <v>0.55200231481481477</v>
      </c>
      <c r="E3417" s="2">
        <f>CallLog[[#This Row],[Date]]+CallLog[[#This Row],[Time]]</f>
        <v>44256.552002314813</v>
      </c>
      <c r="F3417" s="1" t="str">
        <f>TEXT(CallLog[[#This Row],[Date]],"dddd")</f>
        <v>Monday</v>
      </c>
      <c r="G3417" s="3">
        <f>HOUR(CallLog[[#This Row],[Time]])</f>
        <v>13</v>
      </c>
      <c r="H3417" t="s">
        <v>24</v>
      </c>
      <c r="I3417" t="s">
        <v>14</v>
      </c>
      <c r="J3417" t="s">
        <v>14</v>
      </c>
      <c r="K3417">
        <v>62</v>
      </c>
      <c r="L3417" t="str">
        <f>IF(AND(CallLog[[#This Row],[Answered (Y/N)]]="Y", CallLog[[#This Row],[Speed of answer in seconds]]&lt;=20),
    "Within",
    "Breach")</f>
        <v>Breach</v>
      </c>
      <c r="M3417" s="1">
        <v>9.0277777777777774E-4</v>
      </c>
      <c r="N3417">
        <v>4</v>
      </c>
    </row>
    <row r="3418" spans="1:14" x14ac:dyDescent="0.3">
      <c r="A3418" t="s">
        <v>3501</v>
      </c>
      <c r="B3418" t="s">
        <v>38</v>
      </c>
      <c r="C3418" t="s">
        <v>3473</v>
      </c>
      <c r="D3418" s="1">
        <v>0.55299768518518522</v>
      </c>
      <c r="E3418" s="2">
        <f>CallLog[[#This Row],[Date]]+CallLog[[#This Row],[Time]]</f>
        <v>44256.552997685183</v>
      </c>
      <c r="F3418" s="1" t="str">
        <f>TEXT(CallLog[[#This Row],[Date]],"dddd")</f>
        <v>Monday</v>
      </c>
      <c r="G3418" s="3">
        <f>HOUR(CallLog[[#This Row],[Time]])</f>
        <v>13</v>
      </c>
      <c r="H3418" t="s">
        <v>24</v>
      </c>
      <c r="I3418" t="s">
        <v>14</v>
      </c>
      <c r="J3418" t="s">
        <v>14</v>
      </c>
      <c r="K3418">
        <v>111</v>
      </c>
      <c r="L3418" t="str">
        <f>IF(AND(CallLog[[#This Row],[Answered (Y/N)]]="Y", CallLog[[#This Row],[Speed of answer in seconds]]&lt;=20),
    "Within",
    "Breach")</f>
        <v>Breach</v>
      </c>
      <c r="M3418" s="1">
        <v>1.8981481481481482E-3</v>
      </c>
      <c r="N3418">
        <v>1</v>
      </c>
    </row>
    <row r="3419" spans="1:14" x14ac:dyDescent="0.3">
      <c r="A3419" t="s">
        <v>3502</v>
      </c>
      <c r="B3419" t="s">
        <v>20</v>
      </c>
      <c r="C3419" t="s">
        <v>3473</v>
      </c>
      <c r="D3419" s="1">
        <v>0.55299768518518522</v>
      </c>
      <c r="E3419" s="2">
        <f>CallLog[[#This Row],[Date]]+CallLog[[#This Row],[Time]]</f>
        <v>44256.552997685183</v>
      </c>
      <c r="F3419" s="1" t="str">
        <f>TEXT(CallLog[[#This Row],[Date]],"dddd")</f>
        <v>Monday</v>
      </c>
      <c r="G3419" s="3">
        <f>HOUR(CallLog[[#This Row],[Time]])</f>
        <v>13</v>
      </c>
      <c r="H3419" t="s">
        <v>32</v>
      </c>
      <c r="I3419" t="s">
        <v>14</v>
      </c>
      <c r="J3419" t="s">
        <v>14</v>
      </c>
      <c r="K3419">
        <v>66</v>
      </c>
      <c r="L3419" t="str">
        <f>IF(AND(CallLog[[#This Row],[Answered (Y/N)]]="Y", CallLog[[#This Row],[Speed of answer in seconds]]&lt;=20),
    "Within",
    "Breach")</f>
        <v>Breach</v>
      </c>
      <c r="M3419" s="1">
        <v>5.2083333333333333E-4</v>
      </c>
      <c r="N3419">
        <v>3</v>
      </c>
    </row>
    <row r="3420" spans="1:14" x14ac:dyDescent="0.3">
      <c r="A3420" t="s">
        <v>3503</v>
      </c>
      <c r="B3420" t="s">
        <v>31</v>
      </c>
      <c r="C3420" t="s">
        <v>3473</v>
      </c>
      <c r="D3420" s="1">
        <v>0.55599537037037039</v>
      </c>
      <c r="E3420" s="2">
        <f>CallLog[[#This Row],[Date]]+CallLog[[#This Row],[Time]]</f>
        <v>44256.555995370371</v>
      </c>
      <c r="F3420" s="1" t="str">
        <f>TEXT(CallLog[[#This Row],[Date]],"dddd")</f>
        <v>Monday</v>
      </c>
      <c r="G3420" s="3">
        <f>HOUR(CallLog[[#This Row],[Time]])</f>
        <v>13</v>
      </c>
      <c r="H3420" t="s">
        <v>24</v>
      </c>
      <c r="I3420" t="s">
        <v>14</v>
      </c>
      <c r="J3420" t="s">
        <v>14</v>
      </c>
      <c r="K3420">
        <v>79</v>
      </c>
      <c r="L3420" t="str">
        <f>IF(AND(CallLog[[#This Row],[Answered (Y/N)]]="Y", CallLog[[#This Row],[Speed of answer in seconds]]&lt;=20),
    "Within",
    "Breach")</f>
        <v>Breach</v>
      </c>
      <c r="M3420" s="1">
        <v>2.1296296296296298E-3</v>
      </c>
      <c r="N3420">
        <v>3</v>
      </c>
    </row>
    <row r="3421" spans="1:14" x14ac:dyDescent="0.3">
      <c r="A3421" t="s">
        <v>3504</v>
      </c>
      <c r="B3421" t="s">
        <v>20</v>
      </c>
      <c r="C3421" t="s">
        <v>3473</v>
      </c>
      <c r="D3421" s="1">
        <v>0.55599537037037039</v>
      </c>
      <c r="E3421" s="2">
        <f>CallLog[[#This Row],[Date]]+CallLog[[#This Row],[Time]]</f>
        <v>44256.555995370371</v>
      </c>
      <c r="F3421" s="1" t="str">
        <f>TEXT(CallLog[[#This Row],[Date]],"dddd")</f>
        <v>Monday</v>
      </c>
      <c r="G3421" s="3">
        <f>HOUR(CallLog[[#This Row],[Time]])</f>
        <v>13</v>
      </c>
      <c r="H3421" t="s">
        <v>17</v>
      </c>
      <c r="I3421" t="s">
        <v>18</v>
      </c>
      <c r="J3421" t="s">
        <v>18</v>
      </c>
      <c r="L3421" t="str">
        <f>IF(AND(CallLog[[#This Row],[Answered (Y/N)]]="Y", CallLog[[#This Row],[Speed of answer in seconds]]&lt;=20),
    "Within",
    "Breach")</f>
        <v>Breach</v>
      </c>
    </row>
    <row r="3422" spans="1:14" x14ac:dyDescent="0.3">
      <c r="A3422" t="s">
        <v>3505</v>
      </c>
      <c r="B3422" t="s">
        <v>16</v>
      </c>
      <c r="C3422" t="s">
        <v>3473</v>
      </c>
      <c r="D3422" s="1">
        <v>0.56700231481481478</v>
      </c>
      <c r="E3422" s="2">
        <f>CallLog[[#This Row],[Date]]+CallLog[[#This Row],[Time]]</f>
        <v>44256.567002314812</v>
      </c>
      <c r="F3422" s="1" t="str">
        <f>TEXT(CallLog[[#This Row],[Date]],"dddd")</f>
        <v>Monday</v>
      </c>
      <c r="G3422" s="3">
        <f>HOUR(CallLog[[#This Row],[Time]])</f>
        <v>13</v>
      </c>
      <c r="H3422" t="s">
        <v>24</v>
      </c>
      <c r="I3422" t="s">
        <v>14</v>
      </c>
      <c r="J3422" t="s">
        <v>14</v>
      </c>
      <c r="K3422">
        <v>69</v>
      </c>
      <c r="L3422" t="str">
        <f>IF(AND(CallLog[[#This Row],[Answered (Y/N)]]="Y", CallLog[[#This Row],[Speed of answer in seconds]]&lt;=20),
    "Within",
    "Breach")</f>
        <v>Breach</v>
      </c>
      <c r="M3422" s="1">
        <v>4.2824074074074081E-4</v>
      </c>
      <c r="N3422">
        <v>5</v>
      </c>
    </row>
    <row r="3423" spans="1:14" x14ac:dyDescent="0.3">
      <c r="A3423" t="s">
        <v>3506</v>
      </c>
      <c r="B3423" t="s">
        <v>20</v>
      </c>
      <c r="C3423" t="s">
        <v>3473</v>
      </c>
      <c r="D3423" s="1">
        <v>0.56700231481481478</v>
      </c>
      <c r="E3423" s="2">
        <f>CallLog[[#This Row],[Date]]+CallLog[[#This Row],[Time]]</f>
        <v>44256.567002314812</v>
      </c>
      <c r="F3423" s="1" t="str">
        <f>TEXT(CallLog[[#This Row],[Date]],"dddd")</f>
        <v>Monday</v>
      </c>
      <c r="G3423" s="3">
        <f>HOUR(CallLog[[#This Row],[Time]])</f>
        <v>13</v>
      </c>
      <c r="H3423" t="s">
        <v>32</v>
      </c>
      <c r="I3423" t="s">
        <v>14</v>
      </c>
      <c r="J3423" t="s">
        <v>14</v>
      </c>
      <c r="K3423">
        <v>49</v>
      </c>
      <c r="L3423" t="str">
        <f>IF(AND(CallLog[[#This Row],[Answered (Y/N)]]="Y", CallLog[[#This Row],[Speed of answer in seconds]]&lt;=20),
    "Within",
    "Breach")</f>
        <v>Breach</v>
      </c>
      <c r="M3423" s="1">
        <v>1.6087962962962963E-3</v>
      </c>
      <c r="N3423">
        <v>2</v>
      </c>
    </row>
    <row r="3424" spans="1:14" x14ac:dyDescent="0.3">
      <c r="A3424" t="s">
        <v>3507</v>
      </c>
      <c r="B3424" t="s">
        <v>16</v>
      </c>
      <c r="C3424" t="s">
        <v>3473</v>
      </c>
      <c r="D3424" s="1">
        <v>0.56799768518518523</v>
      </c>
      <c r="E3424" s="2">
        <f>CallLog[[#This Row],[Date]]+CallLog[[#This Row],[Time]]</f>
        <v>44256.567997685182</v>
      </c>
      <c r="F3424" s="1" t="str">
        <f>TEXT(CallLog[[#This Row],[Date]],"dddd")</f>
        <v>Monday</v>
      </c>
      <c r="G3424" s="3">
        <f>HOUR(CallLog[[#This Row],[Time]])</f>
        <v>13</v>
      </c>
      <c r="H3424" t="s">
        <v>32</v>
      </c>
      <c r="I3424" t="s">
        <v>14</v>
      </c>
      <c r="J3424" t="s">
        <v>14</v>
      </c>
      <c r="K3424">
        <v>80</v>
      </c>
      <c r="L3424" t="str">
        <f>IF(AND(CallLog[[#This Row],[Answered (Y/N)]]="Y", CallLog[[#This Row],[Speed of answer in seconds]]&lt;=20),
    "Within",
    "Breach")</f>
        <v>Breach</v>
      </c>
      <c r="M3424" s="1">
        <v>3.0092592592592593E-3</v>
      </c>
      <c r="N3424">
        <v>4</v>
      </c>
    </row>
    <row r="3425" spans="1:14" x14ac:dyDescent="0.3">
      <c r="A3425" t="s">
        <v>3508</v>
      </c>
      <c r="B3425" t="s">
        <v>16</v>
      </c>
      <c r="C3425" t="s">
        <v>3473</v>
      </c>
      <c r="D3425" s="1">
        <v>0.56799768518518523</v>
      </c>
      <c r="E3425" s="2">
        <f>CallLog[[#This Row],[Date]]+CallLog[[#This Row],[Time]]</f>
        <v>44256.567997685182</v>
      </c>
      <c r="F3425" s="1" t="str">
        <f>TEXT(CallLog[[#This Row],[Date]],"dddd")</f>
        <v>Monday</v>
      </c>
      <c r="G3425" s="3">
        <f>HOUR(CallLog[[#This Row],[Time]])</f>
        <v>13</v>
      </c>
      <c r="H3425" t="s">
        <v>13</v>
      </c>
      <c r="I3425" t="s">
        <v>14</v>
      </c>
      <c r="J3425" t="s">
        <v>14</v>
      </c>
      <c r="K3425">
        <v>101</v>
      </c>
      <c r="L3425" t="str">
        <f>IF(AND(CallLog[[#This Row],[Answered (Y/N)]]="Y", CallLog[[#This Row],[Speed of answer in seconds]]&lt;=20),
    "Within",
    "Breach")</f>
        <v>Breach</v>
      </c>
      <c r="M3425" s="1">
        <v>5.6712962962962967E-4</v>
      </c>
      <c r="N3425">
        <v>5</v>
      </c>
    </row>
    <row r="3426" spans="1:14" x14ac:dyDescent="0.3">
      <c r="A3426" t="s">
        <v>3509</v>
      </c>
      <c r="B3426" t="s">
        <v>16</v>
      </c>
      <c r="C3426" t="s">
        <v>3473</v>
      </c>
      <c r="D3426" s="1">
        <v>0.58200231481481479</v>
      </c>
      <c r="E3426" s="2">
        <f>CallLog[[#This Row],[Date]]+CallLog[[#This Row],[Time]]</f>
        <v>44256.582002314812</v>
      </c>
      <c r="F3426" s="1" t="str">
        <f>TEXT(CallLog[[#This Row],[Date]],"dddd")</f>
        <v>Monday</v>
      </c>
      <c r="G3426" s="3">
        <f>HOUR(CallLog[[#This Row],[Time]])</f>
        <v>13</v>
      </c>
      <c r="H3426" t="s">
        <v>29</v>
      </c>
      <c r="I3426" t="s">
        <v>14</v>
      </c>
      <c r="J3426" t="s">
        <v>14</v>
      </c>
      <c r="K3426">
        <v>99</v>
      </c>
      <c r="L3426" t="str">
        <f>IF(AND(CallLog[[#This Row],[Answered (Y/N)]]="Y", CallLog[[#This Row],[Speed of answer in seconds]]&lt;=20),
    "Within",
    "Breach")</f>
        <v>Breach</v>
      </c>
      <c r="M3426" s="1">
        <v>1.2847222222222223E-3</v>
      </c>
      <c r="N3426">
        <v>5</v>
      </c>
    </row>
    <row r="3427" spans="1:14" x14ac:dyDescent="0.3">
      <c r="A3427" t="s">
        <v>3510</v>
      </c>
      <c r="B3427" t="s">
        <v>11</v>
      </c>
      <c r="C3427" t="s">
        <v>3473</v>
      </c>
      <c r="D3427" s="1">
        <v>0.58200231481481479</v>
      </c>
      <c r="E3427" s="2">
        <f>CallLog[[#This Row],[Date]]+CallLog[[#This Row],[Time]]</f>
        <v>44256.582002314812</v>
      </c>
      <c r="F3427" s="1" t="str">
        <f>TEXT(CallLog[[#This Row],[Date]],"dddd")</f>
        <v>Monday</v>
      </c>
      <c r="G3427" s="3">
        <f>HOUR(CallLog[[#This Row],[Time]])</f>
        <v>13</v>
      </c>
      <c r="H3427" t="s">
        <v>32</v>
      </c>
      <c r="I3427" t="s">
        <v>14</v>
      </c>
      <c r="J3427" t="s">
        <v>14</v>
      </c>
      <c r="K3427">
        <v>111</v>
      </c>
      <c r="L3427" t="str">
        <f>IF(AND(CallLog[[#This Row],[Answered (Y/N)]]="Y", CallLog[[#This Row],[Speed of answer in seconds]]&lt;=20),
    "Within",
    "Breach")</f>
        <v>Breach</v>
      </c>
      <c r="M3427" s="1">
        <v>3.5763888888888889E-3</v>
      </c>
      <c r="N3427">
        <v>5</v>
      </c>
    </row>
    <row r="3428" spans="1:14" x14ac:dyDescent="0.3">
      <c r="A3428" t="s">
        <v>3511</v>
      </c>
      <c r="B3428" t="s">
        <v>34</v>
      </c>
      <c r="C3428" t="s">
        <v>3473</v>
      </c>
      <c r="D3428" s="1">
        <v>0.5920023148148148</v>
      </c>
      <c r="E3428" s="2">
        <f>CallLog[[#This Row],[Date]]+CallLog[[#This Row],[Time]]</f>
        <v>44256.592002314814</v>
      </c>
      <c r="F3428" s="1" t="str">
        <f>TEXT(CallLog[[#This Row],[Date]],"dddd")</f>
        <v>Monday</v>
      </c>
      <c r="G3428" s="3">
        <f>HOUR(CallLog[[#This Row],[Time]])</f>
        <v>14</v>
      </c>
      <c r="H3428" t="s">
        <v>13</v>
      </c>
      <c r="I3428" t="s">
        <v>18</v>
      </c>
      <c r="J3428" t="s">
        <v>18</v>
      </c>
      <c r="L3428" t="str">
        <f>IF(AND(CallLog[[#This Row],[Answered (Y/N)]]="Y", CallLog[[#This Row],[Speed of answer in seconds]]&lt;=20),
    "Within",
    "Breach")</f>
        <v>Breach</v>
      </c>
    </row>
    <row r="3429" spans="1:14" x14ac:dyDescent="0.3">
      <c r="A3429" t="s">
        <v>3512</v>
      </c>
      <c r="B3429" t="s">
        <v>38</v>
      </c>
      <c r="C3429" t="s">
        <v>3473</v>
      </c>
      <c r="D3429" s="1">
        <v>0.5920023148148148</v>
      </c>
      <c r="E3429" s="2">
        <f>CallLog[[#This Row],[Date]]+CallLog[[#This Row],[Time]]</f>
        <v>44256.592002314814</v>
      </c>
      <c r="F3429" s="1" t="str">
        <f>TEXT(CallLog[[#This Row],[Date]],"dddd")</f>
        <v>Monday</v>
      </c>
      <c r="G3429" s="3">
        <f>HOUR(CallLog[[#This Row],[Time]])</f>
        <v>14</v>
      </c>
      <c r="H3429" t="s">
        <v>29</v>
      </c>
      <c r="I3429" t="s">
        <v>14</v>
      </c>
      <c r="J3429" t="s">
        <v>14</v>
      </c>
      <c r="K3429">
        <v>83</v>
      </c>
      <c r="L3429" t="str">
        <f>IF(AND(CallLog[[#This Row],[Answered (Y/N)]]="Y", CallLog[[#This Row],[Speed of answer in seconds]]&lt;=20),
    "Within",
    "Breach")</f>
        <v>Breach</v>
      </c>
      <c r="M3429" s="1">
        <v>3.5185185185185185E-3</v>
      </c>
      <c r="N3429">
        <v>5</v>
      </c>
    </row>
    <row r="3430" spans="1:14" x14ac:dyDescent="0.3">
      <c r="A3430" t="s">
        <v>3513</v>
      </c>
      <c r="B3430" t="s">
        <v>22</v>
      </c>
      <c r="C3430" t="s">
        <v>3473</v>
      </c>
      <c r="D3430" s="1">
        <v>0.59400462962962963</v>
      </c>
      <c r="E3430" s="2">
        <f>CallLog[[#This Row],[Date]]+CallLog[[#This Row],[Time]]</f>
        <v>44256.594004629631</v>
      </c>
      <c r="F3430" s="1" t="str">
        <f>TEXT(CallLog[[#This Row],[Date]],"dddd")</f>
        <v>Monday</v>
      </c>
      <c r="G3430" s="3">
        <f>HOUR(CallLog[[#This Row],[Time]])</f>
        <v>14</v>
      </c>
      <c r="H3430" t="s">
        <v>29</v>
      </c>
      <c r="I3430" t="s">
        <v>14</v>
      </c>
      <c r="J3430" t="s">
        <v>14</v>
      </c>
      <c r="K3430">
        <v>14</v>
      </c>
      <c r="L3430" t="str">
        <f>IF(AND(CallLog[[#This Row],[Answered (Y/N)]]="Y", CallLog[[#This Row],[Speed of answer in seconds]]&lt;=20),
    "Within",
    "Breach")</f>
        <v>Within</v>
      </c>
      <c r="M3430" s="1">
        <v>3.449074074074074E-3</v>
      </c>
      <c r="N3430">
        <v>3</v>
      </c>
    </row>
    <row r="3431" spans="1:14" x14ac:dyDescent="0.3">
      <c r="A3431" t="s">
        <v>3514</v>
      </c>
      <c r="B3431" t="s">
        <v>20</v>
      </c>
      <c r="C3431" t="s">
        <v>3473</v>
      </c>
      <c r="D3431" s="1">
        <v>0.59400462962962963</v>
      </c>
      <c r="E3431" s="2">
        <f>CallLog[[#This Row],[Date]]+CallLog[[#This Row],[Time]]</f>
        <v>44256.594004629631</v>
      </c>
      <c r="F3431" s="1" t="str">
        <f>TEXT(CallLog[[#This Row],[Date]],"dddd")</f>
        <v>Monday</v>
      </c>
      <c r="G3431" s="3">
        <f>HOUR(CallLog[[#This Row],[Time]])</f>
        <v>14</v>
      </c>
      <c r="H3431" t="s">
        <v>13</v>
      </c>
      <c r="I3431" t="s">
        <v>14</v>
      </c>
      <c r="J3431" t="s">
        <v>14</v>
      </c>
      <c r="K3431">
        <v>120</v>
      </c>
      <c r="L3431" t="str">
        <f>IF(AND(CallLog[[#This Row],[Answered (Y/N)]]="Y", CallLog[[#This Row],[Speed of answer in seconds]]&lt;=20),
    "Within",
    "Breach")</f>
        <v>Breach</v>
      </c>
      <c r="M3431" s="1">
        <v>4.0393518518518521E-3</v>
      </c>
      <c r="N3431">
        <v>3</v>
      </c>
    </row>
    <row r="3432" spans="1:14" x14ac:dyDescent="0.3">
      <c r="A3432" t="s">
        <v>3515</v>
      </c>
      <c r="B3432" t="s">
        <v>16</v>
      </c>
      <c r="C3432" t="s">
        <v>3473</v>
      </c>
      <c r="D3432" s="1">
        <v>0.59499999999999997</v>
      </c>
      <c r="E3432" s="2">
        <f>CallLog[[#This Row],[Date]]+CallLog[[#This Row],[Time]]</f>
        <v>44256.595000000001</v>
      </c>
      <c r="F3432" s="1" t="str">
        <f>TEXT(CallLog[[#This Row],[Date]],"dddd")</f>
        <v>Monday</v>
      </c>
      <c r="G3432" s="3">
        <f>HOUR(CallLog[[#This Row],[Time]])</f>
        <v>14</v>
      </c>
      <c r="H3432" t="s">
        <v>13</v>
      </c>
      <c r="I3432" t="s">
        <v>14</v>
      </c>
      <c r="J3432" t="s">
        <v>14</v>
      </c>
      <c r="K3432">
        <v>38</v>
      </c>
      <c r="L3432" t="str">
        <f>IF(AND(CallLog[[#This Row],[Answered (Y/N)]]="Y", CallLog[[#This Row],[Speed of answer in seconds]]&lt;=20),
    "Within",
    "Breach")</f>
        <v>Breach</v>
      </c>
      <c r="M3432" s="1">
        <v>1.3888888888888889E-3</v>
      </c>
      <c r="N3432">
        <v>5</v>
      </c>
    </row>
    <row r="3433" spans="1:14" x14ac:dyDescent="0.3">
      <c r="A3433" t="s">
        <v>3516</v>
      </c>
      <c r="B3433" t="s">
        <v>47</v>
      </c>
      <c r="C3433" t="s">
        <v>3473</v>
      </c>
      <c r="D3433" s="1">
        <v>0.59499999999999997</v>
      </c>
      <c r="E3433" s="2">
        <f>CallLog[[#This Row],[Date]]+CallLog[[#This Row],[Time]]</f>
        <v>44256.595000000001</v>
      </c>
      <c r="F3433" s="1" t="str">
        <f>TEXT(CallLog[[#This Row],[Date]],"dddd")</f>
        <v>Monday</v>
      </c>
      <c r="G3433" s="3">
        <f>HOUR(CallLog[[#This Row],[Time]])</f>
        <v>14</v>
      </c>
      <c r="H3433" t="s">
        <v>32</v>
      </c>
      <c r="I3433" t="s">
        <v>14</v>
      </c>
      <c r="J3433" t="s">
        <v>18</v>
      </c>
      <c r="K3433">
        <v>88</v>
      </c>
      <c r="L3433" t="str">
        <f>IF(AND(CallLog[[#This Row],[Answered (Y/N)]]="Y", CallLog[[#This Row],[Speed of answer in seconds]]&lt;=20),
    "Within",
    "Breach")</f>
        <v>Breach</v>
      </c>
      <c r="M3433" s="1">
        <v>3.6805555555555554E-3</v>
      </c>
      <c r="N3433">
        <v>1</v>
      </c>
    </row>
    <row r="3434" spans="1:14" x14ac:dyDescent="0.3">
      <c r="A3434" t="s">
        <v>3517</v>
      </c>
      <c r="B3434" t="s">
        <v>16</v>
      </c>
      <c r="C3434" t="s">
        <v>3473</v>
      </c>
      <c r="D3434" s="1">
        <v>0.61900462962962965</v>
      </c>
      <c r="E3434" s="2">
        <f>CallLog[[#This Row],[Date]]+CallLog[[#This Row],[Time]]</f>
        <v>44256.619004629632</v>
      </c>
      <c r="F3434" s="1" t="str">
        <f>TEXT(CallLog[[#This Row],[Date]],"dddd")</f>
        <v>Monday</v>
      </c>
      <c r="G3434" s="3">
        <f>HOUR(CallLog[[#This Row],[Time]])</f>
        <v>14</v>
      </c>
      <c r="H3434" t="s">
        <v>32</v>
      </c>
      <c r="I3434" t="s">
        <v>14</v>
      </c>
      <c r="J3434" t="s">
        <v>14</v>
      </c>
      <c r="K3434">
        <v>26</v>
      </c>
      <c r="L3434" t="str">
        <f>IF(AND(CallLog[[#This Row],[Answered (Y/N)]]="Y", CallLog[[#This Row],[Speed of answer in seconds]]&lt;=20),
    "Within",
    "Breach")</f>
        <v>Breach</v>
      </c>
      <c r="M3434" s="1">
        <v>9.0277777777777774E-4</v>
      </c>
      <c r="N3434">
        <v>4</v>
      </c>
    </row>
    <row r="3435" spans="1:14" x14ac:dyDescent="0.3">
      <c r="A3435" t="s">
        <v>3518</v>
      </c>
      <c r="B3435" t="s">
        <v>47</v>
      </c>
      <c r="C3435" t="s">
        <v>3473</v>
      </c>
      <c r="D3435" s="1">
        <v>0.61900462962962965</v>
      </c>
      <c r="E3435" s="2">
        <f>CallLog[[#This Row],[Date]]+CallLog[[#This Row],[Time]]</f>
        <v>44256.619004629632</v>
      </c>
      <c r="F3435" s="1" t="str">
        <f>TEXT(CallLog[[#This Row],[Date]],"dddd")</f>
        <v>Monday</v>
      </c>
      <c r="G3435" s="3">
        <f>HOUR(CallLog[[#This Row],[Time]])</f>
        <v>14</v>
      </c>
      <c r="H3435" t="s">
        <v>17</v>
      </c>
      <c r="I3435" t="s">
        <v>14</v>
      </c>
      <c r="J3435" t="s">
        <v>14</v>
      </c>
      <c r="K3435">
        <v>94</v>
      </c>
      <c r="L3435" t="str">
        <f>IF(AND(CallLog[[#This Row],[Answered (Y/N)]]="Y", CallLog[[#This Row],[Speed of answer in seconds]]&lt;=20),
    "Within",
    "Breach")</f>
        <v>Breach</v>
      </c>
      <c r="M3435" s="1">
        <v>2.3263888888888887E-3</v>
      </c>
      <c r="N3435">
        <v>3</v>
      </c>
    </row>
    <row r="3436" spans="1:14" x14ac:dyDescent="0.3">
      <c r="A3436" t="s">
        <v>3519</v>
      </c>
      <c r="B3436" t="s">
        <v>31</v>
      </c>
      <c r="C3436" t="s">
        <v>3473</v>
      </c>
      <c r="D3436" s="1">
        <v>0.62200231481481483</v>
      </c>
      <c r="E3436" s="2">
        <f>CallLog[[#This Row],[Date]]+CallLog[[#This Row],[Time]]</f>
        <v>44256.622002314813</v>
      </c>
      <c r="F3436" s="1" t="str">
        <f>TEXT(CallLog[[#This Row],[Date]],"dddd")</f>
        <v>Monday</v>
      </c>
      <c r="G3436" s="3">
        <f>HOUR(CallLog[[#This Row],[Time]])</f>
        <v>14</v>
      </c>
      <c r="H3436" t="s">
        <v>29</v>
      </c>
      <c r="I3436" t="s">
        <v>18</v>
      </c>
      <c r="J3436" t="s">
        <v>18</v>
      </c>
      <c r="L3436" t="str">
        <f>IF(AND(CallLog[[#This Row],[Answered (Y/N)]]="Y", CallLog[[#This Row],[Speed of answer in seconds]]&lt;=20),
    "Within",
    "Breach")</f>
        <v>Breach</v>
      </c>
    </row>
    <row r="3437" spans="1:14" x14ac:dyDescent="0.3">
      <c r="A3437" t="s">
        <v>3520</v>
      </c>
      <c r="B3437" t="s">
        <v>47</v>
      </c>
      <c r="C3437" t="s">
        <v>3473</v>
      </c>
      <c r="D3437" s="1">
        <v>0.62200231481481483</v>
      </c>
      <c r="E3437" s="2">
        <f>CallLog[[#This Row],[Date]]+CallLog[[#This Row],[Time]]</f>
        <v>44256.622002314813</v>
      </c>
      <c r="F3437" s="1" t="str">
        <f>TEXT(CallLog[[#This Row],[Date]],"dddd")</f>
        <v>Monday</v>
      </c>
      <c r="G3437" s="3">
        <f>HOUR(CallLog[[#This Row],[Time]])</f>
        <v>14</v>
      </c>
      <c r="H3437" t="s">
        <v>24</v>
      </c>
      <c r="I3437" t="s">
        <v>18</v>
      </c>
      <c r="J3437" t="s">
        <v>18</v>
      </c>
      <c r="L3437" t="str">
        <f>IF(AND(CallLog[[#This Row],[Answered (Y/N)]]="Y", CallLog[[#This Row],[Speed of answer in seconds]]&lt;=20),
    "Within",
    "Breach")</f>
        <v>Breach</v>
      </c>
    </row>
    <row r="3438" spans="1:14" x14ac:dyDescent="0.3">
      <c r="A3438" t="s">
        <v>3521</v>
      </c>
      <c r="B3438" t="s">
        <v>20</v>
      </c>
      <c r="C3438" t="s">
        <v>3473</v>
      </c>
      <c r="D3438" s="1">
        <v>0.64799768518518519</v>
      </c>
      <c r="E3438" s="2">
        <f>CallLog[[#This Row],[Date]]+CallLog[[#This Row],[Time]]</f>
        <v>44256.647997685184</v>
      </c>
      <c r="F3438" s="1" t="str">
        <f>TEXT(CallLog[[#This Row],[Date]],"dddd")</f>
        <v>Monday</v>
      </c>
      <c r="G3438" s="3">
        <f>HOUR(CallLog[[#This Row],[Time]])</f>
        <v>15</v>
      </c>
      <c r="H3438" t="s">
        <v>29</v>
      </c>
      <c r="I3438" t="s">
        <v>14</v>
      </c>
      <c r="J3438" t="s">
        <v>14</v>
      </c>
      <c r="K3438">
        <v>29</v>
      </c>
      <c r="L3438" t="str">
        <f>IF(AND(CallLog[[#This Row],[Answered (Y/N)]]="Y", CallLog[[#This Row],[Speed of answer in seconds]]&lt;=20),
    "Within",
    "Breach")</f>
        <v>Breach</v>
      </c>
      <c r="M3438" s="1">
        <v>4.3518518518518515E-3</v>
      </c>
      <c r="N3438">
        <v>3</v>
      </c>
    </row>
    <row r="3439" spans="1:14" x14ac:dyDescent="0.3">
      <c r="A3439" t="s">
        <v>3522</v>
      </c>
      <c r="B3439" t="s">
        <v>34</v>
      </c>
      <c r="C3439" t="s">
        <v>3473</v>
      </c>
      <c r="D3439" s="1">
        <v>0.64799768518518519</v>
      </c>
      <c r="E3439" s="2">
        <f>CallLog[[#This Row],[Date]]+CallLog[[#This Row],[Time]]</f>
        <v>44256.647997685184</v>
      </c>
      <c r="F3439" s="1" t="str">
        <f>TEXT(CallLog[[#This Row],[Date]],"dddd")</f>
        <v>Monday</v>
      </c>
      <c r="G3439" s="3">
        <f>HOUR(CallLog[[#This Row],[Time]])</f>
        <v>15</v>
      </c>
      <c r="H3439" t="s">
        <v>29</v>
      </c>
      <c r="I3439" t="s">
        <v>14</v>
      </c>
      <c r="J3439" t="s">
        <v>14</v>
      </c>
      <c r="K3439">
        <v>49</v>
      </c>
      <c r="L3439" t="str">
        <f>IF(AND(CallLog[[#This Row],[Answered (Y/N)]]="Y", CallLog[[#This Row],[Speed of answer in seconds]]&lt;=20),
    "Within",
    "Breach")</f>
        <v>Breach</v>
      </c>
      <c r="M3439" s="1">
        <v>1.9907407407407408E-3</v>
      </c>
      <c r="N3439">
        <v>3</v>
      </c>
    </row>
    <row r="3440" spans="1:14" x14ac:dyDescent="0.3">
      <c r="A3440" t="s">
        <v>3523</v>
      </c>
      <c r="B3440" t="s">
        <v>11</v>
      </c>
      <c r="C3440" t="s">
        <v>3473</v>
      </c>
      <c r="D3440" s="1">
        <v>0.65500000000000003</v>
      </c>
      <c r="E3440" s="2">
        <f>CallLog[[#This Row],[Date]]+CallLog[[#This Row],[Time]]</f>
        <v>44256.654999999999</v>
      </c>
      <c r="F3440" s="1" t="str">
        <f>TEXT(CallLog[[#This Row],[Date]],"dddd")</f>
        <v>Monday</v>
      </c>
      <c r="G3440" s="3">
        <f>HOUR(CallLog[[#This Row],[Time]])</f>
        <v>15</v>
      </c>
      <c r="H3440" t="s">
        <v>17</v>
      </c>
      <c r="I3440" t="s">
        <v>14</v>
      </c>
      <c r="J3440" t="s">
        <v>14</v>
      </c>
      <c r="K3440">
        <v>104</v>
      </c>
      <c r="L3440" t="str">
        <f>IF(AND(CallLog[[#This Row],[Answered (Y/N)]]="Y", CallLog[[#This Row],[Speed of answer in seconds]]&lt;=20),
    "Within",
    "Breach")</f>
        <v>Breach</v>
      </c>
      <c r="M3440" s="1">
        <v>1.5856481481481481E-3</v>
      </c>
      <c r="N3440">
        <v>4</v>
      </c>
    </row>
    <row r="3441" spans="1:14" x14ac:dyDescent="0.3">
      <c r="A3441" t="s">
        <v>3524</v>
      </c>
      <c r="B3441" t="s">
        <v>16</v>
      </c>
      <c r="C3441" t="s">
        <v>3473</v>
      </c>
      <c r="D3441" s="1">
        <v>0.65500000000000003</v>
      </c>
      <c r="E3441" s="2">
        <f>CallLog[[#This Row],[Date]]+CallLog[[#This Row],[Time]]</f>
        <v>44256.654999999999</v>
      </c>
      <c r="F3441" s="1" t="str">
        <f>TEXT(CallLog[[#This Row],[Date]],"dddd")</f>
        <v>Monday</v>
      </c>
      <c r="G3441" s="3">
        <f>HOUR(CallLog[[#This Row],[Time]])</f>
        <v>15</v>
      </c>
      <c r="H3441" t="s">
        <v>29</v>
      </c>
      <c r="I3441" t="s">
        <v>14</v>
      </c>
      <c r="J3441" t="s">
        <v>14</v>
      </c>
      <c r="K3441">
        <v>62</v>
      </c>
      <c r="L3441" t="str">
        <f>IF(AND(CallLog[[#This Row],[Answered (Y/N)]]="Y", CallLog[[#This Row],[Speed of answer in seconds]]&lt;=20),
    "Within",
    "Breach")</f>
        <v>Breach</v>
      </c>
      <c r="M3441" s="1">
        <v>7.291666666666667E-4</v>
      </c>
      <c r="N3441">
        <v>4</v>
      </c>
    </row>
    <row r="3442" spans="1:14" x14ac:dyDescent="0.3">
      <c r="A3442" t="s">
        <v>3525</v>
      </c>
      <c r="B3442" t="s">
        <v>16</v>
      </c>
      <c r="C3442" t="s">
        <v>3473</v>
      </c>
      <c r="D3442" s="1">
        <v>0.69</v>
      </c>
      <c r="E3442" s="2">
        <f>CallLog[[#This Row],[Date]]+CallLog[[#This Row],[Time]]</f>
        <v>44256.69</v>
      </c>
      <c r="F3442" s="1" t="str">
        <f>TEXT(CallLog[[#This Row],[Date]],"dddd")</f>
        <v>Monday</v>
      </c>
      <c r="G3442" s="3">
        <f>HOUR(CallLog[[#This Row],[Time]])</f>
        <v>16</v>
      </c>
      <c r="H3442" t="s">
        <v>29</v>
      </c>
      <c r="I3442" t="s">
        <v>14</v>
      </c>
      <c r="J3442" t="s">
        <v>14</v>
      </c>
      <c r="K3442">
        <v>123</v>
      </c>
      <c r="L3442" t="str">
        <f>IF(AND(CallLog[[#This Row],[Answered (Y/N)]]="Y", CallLog[[#This Row],[Speed of answer in seconds]]&lt;=20),
    "Within",
    "Breach")</f>
        <v>Breach</v>
      </c>
      <c r="M3442" s="1">
        <v>3.9583333333333337E-3</v>
      </c>
      <c r="N3442">
        <v>5</v>
      </c>
    </row>
    <row r="3443" spans="1:14" x14ac:dyDescent="0.3">
      <c r="A3443" t="s">
        <v>3526</v>
      </c>
      <c r="B3443" t="s">
        <v>16</v>
      </c>
      <c r="C3443" t="s">
        <v>3473</v>
      </c>
      <c r="D3443" s="1">
        <v>0.69</v>
      </c>
      <c r="E3443" s="2">
        <f>CallLog[[#This Row],[Date]]+CallLog[[#This Row],[Time]]</f>
        <v>44256.69</v>
      </c>
      <c r="F3443" s="1" t="str">
        <f>TEXT(CallLog[[#This Row],[Date]],"dddd")</f>
        <v>Monday</v>
      </c>
      <c r="G3443" s="3">
        <f>HOUR(CallLog[[#This Row],[Time]])</f>
        <v>16</v>
      </c>
      <c r="H3443" t="s">
        <v>13</v>
      </c>
      <c r="I3443" t="s">
        <v>14</v>
      </c>
      <c r="J3443" t="s">
        <v>14</v>
      </c>
      <c r="K3443">
        <v>114</v>
      </c>
      <c r="L3443" t="str">
        <f>IF(AND(CallLog[[#This Row],[Answered (Y/N)]]="Y", CallLog[[#This Row],[Speed of answer in seconds]]&lt;=20),
    "Within",
    "Breach")</f>
        <v>Breach</v>
      </c>
      <c r="M3443" s="1">
        <v>1.2962962962962963E-3</v>
      </c>
      <c r="N3443">
        <v>5</v>
      </c>
    </row>
    <row r="3444" spans="1:14" x14ac:dyDescent="0.3">
      <c r="A3444" t="s">
        <v>3527</v>
      </c>
      <c r="B3444" t="s">
        <v>16</v>
      </c>
      <c r="C3444" t="s">
        <v>3473</v>
      </c>
      <c r="D3444" s="1">
        <v>0.7</v>
      </c>
      <c r="E3444" s="2">
        <f>CallLog[[#This Row],[Date]]+CallLog[[#This Row],[Time]]</f>
        <v>44256.7</v>
      </c>
      <c r="F3444" s="1" t="str">
        <f>TEXT(CallLog[[#This Row],[Date]],"dddd")</f>
        <v>Monday</v>
      </c>
      <c r="G3444" s="3">
        <f>HOUR(CallLog[[#This Row],[Time]])</f>
        <v>16</v>
      </c>
      <c r="H3444" t="s">
        <v>13</v>
      </c>
      <c r="I3444" t="s">
        <v>18</v>
      </c>
      <c r="J3444" t="s">
        <v>18</v>
      </c>
      <c r="L3444" t="str">
        <f>IF(AND(CallLog[[#This Row],[Answered (Y/N)]]="Y", CallLog[[#This Row],[Speed of answer in seconds]]&lt;=20),
    "Within",
    "Breach")</f>
        <v>Breach</v>
      </c>
    </row>
    <row r="3445" spans="1:14" x14ac:dyDescent="0.3">
      <c r="A3445" t="s">
        <v>3528</v>
      </c>
      <c r="B3445" t="s">
        <v>31</v>
      </c>
      <c r="C3445" t="s">
        <v>3473</v>
      </c>
      <c r="D3445" s="1">
        <v>0.7</v>
      </c>
      <c r="E3445" s="2">
        <f>CallLog[[#This Row],[Date]]+CallLog[[#This Row],[Time]]</f>
        <v>44256.7</v>
      </c>
      <c r="F3445" s="1" t="str">
        <f>TEXT(CallLog[[#This Row],[Date]],"dddd")</f>
        <v>Monday</v>
      </c>
      <c r="G3445" s="3">
        <f>HOUR(CallLog[[#This Row],[Time]])</f>
        <v>16</v>
      </c>
      <c r="H3445" t="s">
        <v>29</v>
      </c>
      <c r="I3445" t="s">
        <v>14</v>
      </c>
      <c r="J3445" t="s">
        <v>14</v>
      </c>
      <c r="K3445">
        <v>12</v>
      </c>
      <c r="L3445" t="str">
        <f>IF(AND(CallLog[[#This Row],[Answered (Y/N)]]="Y", CallLog[[#This Row],[Speed of answer in seconds]]&lt;=20),
    "Within",
    "Breach")</f>
        <v>Within</v>
      </c>
      <c r="M3445" s="1">
        <v>3.6805555555555554E-3</v>
      </c>
      <c r="N3445">
        <v>4</v>
      </c>
    </row>
    <row r="3446" spans="1:14" x14ac:dyDescent="0.3">
      <c r="A3446" t="s">
        <v>3529</v>
      </c>
      <c r="B3446" t="s">
        <v>31</v>
      </c>
      <c r="C3446" t="s">
        <v>3473</v>
      </c>
      <c r="D3446" s="1">
        <v>0.71099537037037042</v>
      </c>
      <c r="E3446" s="2">
        <f>CallLog[[#This Row],[Date]]+CallLog[[#This Row],[Time]]</f>
        <v>44256.710995370369</v>
      </c>
      <c r="F3446" s="1" t="str">
        <f>TEXT(CallLog[[#This Row],[Date]],"dddd")</f>
        <v>Monday</v>
      </c>
      <c r="G3446" s="3">
        <f>HOUR(CallLog[[#This Row],[Time]])</f>
        <v>17</v>
      </c>
      <c r="H3446" t="s">
        <v>24</v>
      </c>
      <c r="I3446" t="s">
        <v>14</v>
      </c>
      <c r="J3446" t="s">
        <v>14</v>
      </c>
      <c r="K3446">
        <v>116</v>
      </c>
      <c r="L3446" t="str">
        <f>IF(AND(CallLog[[#This Row],[Answered (Y/N)]]="Y", CallLog[[#This Row],[Speed of answer in seconds]]&lt;=20),
    "Within",
    "Breach")</f>
        <v>Breach</v>
      </c>
      <c r="M3446" s="1">
        <v>3.7037037037037041E-4</v>
      </c>
      <c r="N3446">
        <v>4</v>
      </c>
    </row>
    <row r="3447" spans="1:14" x14ac:dyDescent="0.3">
      <c r="A3447" t="s">
        <v>3530</v>
      </c>
      <c r="B3447" t="s">
        <v>16</v>
      </c>
      <c r="C3447" t="s">
        <v>3473</v>
      </c>
      <c r="D3447" s="1">
        <v>0.71099537037037042</v>
      </c>
      <c r="E3447" s="2">
        <f>CallLog[[#This Row],[Date]]+CallLog[[#This Row],[Time]]</f>
        <v>44256.710995370369</v>
      </c>
      <c r="F3447" s="1" t="str">
        <f>TEXT(CallLog[[#This Row],[Date]],"dddd")</f>
        <v>Monday</v>
      </c>
      <c r="G3447" s="3">
        <f>HOUR(CallLog[[#This Row],[Time]])</f>
        <v>17</v>
      </c>
      <c r="H3447" t="s">
        <v>24</v>
      </c>
      <c r="I3447" t="s">
        <v>14</v>
      </c>
      <c r="J3447" t="s">
        <v>14</v>
      </c>
      <c r="K3447">
        <v>31</v>
      </c>
      <c r="L3447" t="str">
        <f>IF(AND(CallLog[[#This Row],[Answered (Y/N)]]="Y", CallLog[[#This Row],[Speed of answer in seconds]]&lt;=20),
    "Within",
    "Breach")</f>
        <v>Breach</v>
      </c>
      <c r="M3447" s="1">
        <v>1.1574074074074073E-3</v>
      </c>
      <c r="N3447">
        <v>2</v>
      </c>
    </row>
    <row r="3448" spans="1:14" x14ac:dyDescent="0.3">
      <c r="A3448" t="s">
        <v>3531</v>
      </c>
      <c r="B3448" t="s">
        <v>16</v>
      </c>
      <c r="C3448" t="s">
        <v>3473</v>
      </c>
      <c r="D3448" s="1">
        <v>0.72</v>
      </c>
      <c r="E3448" s="2">
        <f>CallLog[[#This Row],[Date]]+CallLog[[#This Row],[Time]]</f>
        <v>44256.72</v>
      </c>
      <c r="F3448" s="1" t="str">
        <f>TEXT(CallLog[[#This Row],[Date]],"dddd")</f>
        <v>Monday</v>
      </c>
      <c r="G3448" s="3">
        <f>HOUR(CallLog[[#This Row],[Time]])</f>
        <v>17</v>
      </c>
      <c r="H3448" t="s">
        <v>13</v>
      </c>
      <c r="I3448" t="s">
        <v>18</v>
      </c>
      <c r="J3448" t="s">
        <v>18</v>
      </c>
      <c r="L3448" t="str">
        <f>IF(AND(CallLog[[#This Row],[Answered (Y/N)]]="Y", CallLog[[#This Row],[Speed of answer in seconds]]&lt;=20),
    "Within",
    "Breach")</f>
        <v>Breach</v>
      </c>
    </row>
    <row r="3449" spans="1:14" x14ac:dyDescent="0.3">
      <c r="A3449" t="s">
        <v>3532</v>
      </c>
      <c r="B3449" t="s">
        <v>38</v>
      </c>
      <c r="C3449" t="s">
        <v>3473</v>
      </c>
      <c r="D3449" s="1">
        <v>0.72</v>
      </c>
      <c r="E3449" s="2">
        <f>CallLog[[#This Row],[Date]]+CallLog[[#This Row],[Time]]</f>
        <v>44256.72</v>
      </c>
      <c r="F3449" s="1" t="str">
        <f>TEXT(CallLog[[#This Row],[Date]],"dddd")</f>
        <v>Monday</v>
      </c>
      <c r="G3449" s="3">
        <f>HOUR(CallLog[[#This Row],[Time]])</f>
        <v>17</v>
      </c>
      <c r="H3449" t="s">
        <v>24</v>
      </c>
      <c r="I3449" t="s">
        <v>14</v>
      </c>
      <c r="J3449" t="s">
        <v>14</v>
      </c>
      <c r="K3449">
        <v>39</v>
      </c>
      <c r="L3449" t="str">
        <f>IF(AND(CallLog[[#This Row],[Answered (Y/N)]]="Y", CallLog[[#This Row],[Speed of answer in seconds]]&lt;=20),
    "Within",
    "Breach")</f>
        <v>Breach</v>
      </c>
      <c r="M3449" s="1">
        <v>1.2962962962962963E-3</v>
      </c>
      <c r="N3449">
        <v>3</v>
      </c>
    </row>
    <row r="3450" spans="1:14" x14ac:dyDescent="0.3">
      <c r="A3450" t="s">
        <v>3533</v>
      </c>
      <c r="B3450" t="s">
        <v>47</v>
      </c>
      <c r="C3450" t="s">
        <v>3473</v>
      </c>
      <c r="D3450" s="1">
        <v>0.73499999999999999</v>
      </c>
      <c r="E3450" s="2">
        <f>CallLog[[#This Row],[Date]]+CallLog[[#This Row],[Time]]</f>
        <v>44256.735000000001</v>
      </c>
      <c r="F3450" s="1" t="str">
        <f>TEXT(CallLog[[#This Row],[Date]],"dddd")</f>
        <v>Monday</v>
      </c>
      <c r="G3450" s="3">
        <f>HOUR(CallLog[[#This Row],[Time]])</f>
        <v>17</v>
      </c>
      <c r="H3450" t="s">
        <v>24</v>
      </c>
      <c r="I3450" t="s">
        <v>14</v>
      </c>
      <c r="J3450" t="s">
        <v>14</v>
      </c>
      <c r="K3450">
        <v>81</v>
      </c>
      <c r="L3450" t="str">
        <f>IF(AND(CallLog[[#This Row],[Answered (Y/N)]]="Y", CallLog[[#This Row],[Speed of answer in seconds]]&lt;=20),
    "Within",
    "Breach")</f>
        <v>Breach</v>
      </c>
      <c r="M3450" s="1">
        <v>3.7268518518518519E-3</v>
      </c>
      <c r="N3450">
        <v>4</v>
      </c>
    </row>
    <row r="3451" spans="1:14" x14ac:dyDescent="0.3">
      <c r="A3451" t="s">
        <v>3534</v>
      </c>
      <c r="B3451" t="s">
        <v>38</v>
      </c>
      <c r="C3451" t="s">
        <v>3473</v>
      </c>
      <c r="D3451" s="1">
        <v>0.73499999999999999</v>
      </c>
      <c r="E3451" s="2">
        <f>CallLog[[#This Row],[Date]]+CallLog[[#This Row],[Time]]</f>
        <v>44256.735000000001</v>
      </c>
      <c r="F3451" s="1" t="str">
        <f>TEXT(CallLog[[#This Row],[Date]],"dddd")</f>
        <v>Monday</v>
      </c>
      <c r="G3451" s="3">
        <f>HOUR(CallLog[[#This Row],[Time]])</f>
        <v>17</v>
      </c>
      <c r="H3451" t="s">
        <v>24</v>
      </c>
      <c r="I3451" t="s">
        <v>14</v>
      </c>
      <c r="J3451" t="s">
        <v>14</v>
      </c>
      <c r="K3451">
        <v>34</v>
      </c>
      <c r="L3451" t="str">
        <f>IF(AND(CallLog[[#This Row],[Answered (Y/N)]]="Y", CallLog[[#This Row],[Speed of answer in seconds]]&lt;=20),
    "Within",
    "Breach")</f>
        <v>Breach</v>
      </c>
      <c r="M3451" s="1">
        <v>1.9675925925925924E-3</v>
      </c>
      <c r="N3451">
        <v>3</v>
      </c>
    </row>
    <row r="3452" spans="1:14" x14ac:dyDescent="0.3">
      <c r="A3452" t="s">
        <v>3535</v>
      </c>
      <c r="B3452" t="s">
        <v>31</v>
      </c>
      <c r="C3452" t="s">
        <v>3473</v>
      </c>
      <c r="D3452" s="1">
        <v>0.73599537037037033</v>
      </c>
      <c r="E3452" s="2">
        <f>CallLog[[#This Row],[Date]]+CallLog[[#This Row],[Time]]</f>
        <v>44256.735995370371</v>
      </c>
      <c r="F3452" s="1" t="str">
        <f>TEXT(CallLog[[#This Row],[Date]],"dddd")</f>
        <v>Monday</v>
      </c>
      <c r="G3452" s="3">
        <f>HOUR(CallLog[[#This Row],[Time]])</f>
        <v>17</v>
      </c>
      <c r="H3452" t="s">
        <v>17</v>
      </c>
      <c r="I3452" t="s">
        <v>14</v>
      </c>
      <c r="J3452" t="s">
        <v>14</v>
      </c>
      <c r="K3452">
        <v>33</v>
      </c>
      <c r="L3452" t="str">
        <f>IF(AND(CallLog[[#This Row],[Answered (Y/N)]]="Y", CallLog[[#This Row],[Speed of answer in seconds]]&lt;=20),
    "Within",
    "Breach")</f>
        <v>Breach</v>
      </c>
      <c r="M3452" s="1">
        <v>2.3958333333333331E-3</v>
      </c>
      <c r="N3452">
        <v>3</v>
      </c>
    </row>
    <row r="3453" spans="1:14" x14ac:dyDescent="0.3">
      <c r="A3453" t="s">
        <v>3536</v>
      </c>
      <c r="B3453" t="s">
        <v>16</v>
      </c>
      <c r="C3453" t="s">
        <v>3473</v>
      </c>
      <c r="D3453" s="1">
        <v>0.73599537037037033</v>
      </c>
      <c r="E3453" s="2">
        <f>CallLog[[#This Row],[Date]]+CallLog[[#This Row],[Time]]</f>
        <v>44256.735995370371</v>
      </c>
      <c r="F3453" s="1" t="str">
        <f>TEXT(CallLog[[#This Row],[Date]],"dddd")</f>
        <v>Monday</v>
      </c>
      <c r="G3453" s="3">
        <f>HOUR(CallLog[[#This Row],[Time]])</f>
        <v>17</v>
      </c>
      <c r="H3453" t="s">
        <v>17</v>
      </c>
      <c r="I3453" t="s">
        <v>14</v>
      </c>
      <c r="J3453" t="s">
        <v>14</v>
      </c>
      <c r="K3453">
        <v>37</v>
      </c>
      <c r="L3453" t="str">
        <f>IF(AND(CallLog[[#This Row],[Answered (Y/N)]]="Y", CallLog[[#This Row],[Speed of answer in seconds]]&lt;=20),
    "Within",
    "Breach")</f>
        <v>Breach</v>
      </c>
      <c r="M3453" s="1">
        <v>8.564814814814815E-4</v>
      </c>
      <c r="N3453">
        <v>1</v>
      </c>
    </row>
    <row r="3454" spans="1:14" x14ac:dyDescent="0.3">
      <c r="A3454" t="s">
        <v>3537</v>
      </c>
      <c r="B3454" t="s">
        <v>34</v>
      </c>
      <c r="C3454" t="s">
        <v>3538</v>
      </c>
      <c r="D3454" s="1">
        <v>0.39200231481481479</v>
      </c>
      <c r="E3454" s="2">
        <f>CallLog[[#This Row],[Date]]+CallLog[[#This Row],[Time]]</f>
        <v>44257.392002314817</v>
      </c>
      <c r="F3454" s="1" t="str">
        <f>TEXT(CallLog[[#This Row],[Date]],"dddd")</f>
        <v>Tuesday</v>
      </c>
      <c r="G3454" s="3">
        <f>HOUR(CallLog[[#This Row],[Time]])</f>
        <v>9</v>
      </c>
      <c r="H3454" t="s">
        <v>32</v>
      </c>
      <c r="I3454" t="s">
        <v>14</v>
      </c>
      <c r="J3454" t="s">
        <v>14</v>
      </c>
      <c r="K3454">
        <v>92</v>
      </c>
      <c r="L3454" t="str">
        <f>IF(AND(CallLog[[#This Row],[Answered (Y/N)]]="Y", CallLog[[#This Row],[Speed of answer in seconds]]&lt;=20),
    "Within",
    "Breach")</f>
        <v>Breach</v>
      </c>
      <c r="M3454" s="1">
        <v>1.3773148148148147E-3</v>
      </c>
      <c r="N3454">
        <v>2</v>
      </c>
    </row>
    <row r="3455" spans="1:14" x14ac:dyDescent="0.3">
      <c r="A3455" t="s">
        <v>3539</v>
      </c>
      <c r="B3455" t="s">
        <v>31</v>
      </c>
      <c r="C3455" t="s">
        <v>3538</v>
      </c>
      <c r="D3455" s="1">
        <v>0.39200231481481479</v>
      </c>
      <c r="E3455" s="2">
        <f>CallLog[[#This Row],[Date]]+CallLog[[#This Row],[Time]]</f>
        <v>44257.392002314817</v>
      </c>
      <c r="F3455" s="1" t="str">
        <f>TEXT(CallLog[[#This Row],[Date]],"dddd")</f>
        <v>Tuesday</v>
      </c>
      <c r="G3455" s="3">
        <f>HOUR(CallLog[[#This Row],[Time]])</f>
        <v>9</v>
      </c>
      <c r="H3455" t="s">
        <v>24</v>
      </c>
      <c r="I3455" t="s">
        <v>14</v>
      </c>
      <c r="J3455" t="s">
        <v>14</v>
      </c>
      <c r="K3455">
        <v>117</v>
      </c>
      <c r="L3455" t="str">
        <f>IF(AND(CallLog[[#This Row],[Answered (Y/N)]]="Y", CallLog[[#This Row],[Speed of answer in seconds]]&lt;=20),
    "Within",
    "Breach")</f>
        <v>Breach</v>
      </c>
      <c r="M3455" s="1">
        <v>4.1550925925925922E-3</v>
      </c>
      <c r="N3455">
        <v>3</v>
      </c>
    </row>
    <row r="3456" spans="1:14" x14ac:dyDescent="0.3">
      <c r="A3456" t="s">
        <v>3540</v>
      </c>
      <c r="B3456" t="s">
        <v>16</v>
      </c>
      <c r="C3456" t="s">
        <v>3538</v>
      </c>
      <c r="D3456" s="1">
        <v>0.40599537037037037</v>
      </c>
      <c r="E3456" s="2">
        <f>CallLog[[#This Row],[Date]]+CallLog[[#This Row],[Time]]</f>
        <v>44257.405995370369</v>
      </c>
      <c r="F3456" s="1" t="str">
        <f>TEXT(CallLog[[#This Row],[Date]],"dddd")</f>
        <v>Tuesday</v>
      </c>
      <c r="G3456" s="3">
        <f>HOUR(CallLog[[#This Row],[Time]])</f>
        <v>9</v>
      </c>
      <c r="H3456" t="s">
        <v>32</v>
      </c>
      <c r="I3456" t="s">
        <v>14</v>
      </c>
      <c r="J3456" t="s">
        <v>14</v>
      </c>
      <c r="K3456">
        <v>53</v>
      </c>
      <c r="L3456" t="str">
        <f>IF(AND(CallLog[[#This Row],[Answered (Y/N)]]="Y", CallLog[[#This Row],[Speed of answer in seconds]]&lt;=20),
    "Within",
    "Breach")</f>
        <v>Breach</v>
      </c>
      <c r="M3456" s="1">
        <v>3.1481481481481482E-3</v>
      </c>
      <c r="N3456">
        <v>3</v>
      </c>
    </row>
    <row r="3457" spans="1:14" x14ac:dyDescent="0.3">
      <c r="A3457" t="s">
        <v>3541</v>
      </c>
      <c r="B3457" t="s">
        <v>20</v>
      </c>
      <c r="C3457" t="s">
        <v>3538</v>
      </c>
      <c r="D3457" s="1">
        <v>0.40599537037037037</v>
      </c>
      <c r="E3457" s="2">
        <f>CallLog[[#This Row],[Date]]+CallLog[[#This Row],[Time]]</f>
        <v>44257.405995370369</v>
      </c>
      <c r="F3457" s="1" t="str">
        <f>TEXT(CallLog[[#This Row],[Date]],"dddd")</f>
        <v>Tuesday</v>
      </c>
      <c r="G3457" s="3">
        <f>HOUR(CallLog[[#This Row],[Time]])</f>
        <v>9</v>
      </c>
      <c r="H3457" t="s">
        <v>13</v>
      </c>
      <c r="I3457" t="s">
        <v>14</v>
      </c>
      <c r="J3457" t="s">
        <v>14</v>
      </c>
      <c r="K3457">
        <v>61</v>
      </c>
      <c r="L3457" t="str">
        <f>IF(AND(CallLog[[#This Row],[Answered (Y/N)]]="Y", CallLog[[#This Row],[Speed of answer in seconds]]&lt;=20),
    "Within",
    "Breach")</f>
        <v>Breach</v>
      </c>
      <c r="M3457" s="1">
        <v>3.0324074074074073E-3</v>
      </c>
      <c r="N3457">
        <v>5</v>
      </c>
    </row>
    <row r="3458" spans="1:14" x14ac:dyDescent="0.3">
      <c r="A3458" t="s">
        <v>3542</v>
      </c>
      <c r="B3458" t="s">
        <v>38</v>
      </c>
      <c r="C3458" t="s">
        <v>3538</v>
      </c>
      <c r="D3458" s="1">
        <v>0.42299768518518521</v>
      </c>
      <c r="E3458" s="2">
        <f>CallLog[[#This Row],[Date]]+CallLog[[#This Row],[Time]]</f>
        <v>44257.422997685186</v>
      </c>
      <c r="F3458" s="1" t="str">
        <f>TEXT(CallLog[[#This Row],[Date]],"dddd")</f>
        <v>Tuesday</v>
      </c>
      <c r="G3458" s="3">
        <f>HOUR(CallLog[[#This Row],[Time]])</f>
        <v>10</v>
      </c>
      <c r="H3458" t="s">
        <v>17</v>
      </c>
      <c r="I3458" t="s">
        <v>18</v>
      </c>
      <c r="J3458" t="s">
        <v>18</v>
      </c>
      <c r="L3458" t="str">
        <f>IF(AND(CallLog[[#This Row],[Answered (Y/N)]]="Y", CallLog[[#This Row],[Speed of answer in seconds]]&lt;=20),
    "Within",
    "Breach")</f>
        <v>Breach</v>
      </c>
    </row>
    <row r="3459" spans="1:14" x14ac:dyDescent="0.3">
      <c r="A3459" t="s">
        <v>3543</v>
      </c>
      <c r="B3459" t="s">
        <v>11</v>
      </c>
      <c r="C3459" t="s">
        <v>3538</v>
      </c>
      <c r="D3459" s="1">
        <v>0.42299768518518521</v>
      </c>
      <c r="E3459" s="2">
        <f>CallLog[[#This Row],[Date]]+CallLog[[#This Row],[Time]]</f>
        <v>44257.422997685186</v>
      </c>
      <c r="F3459" s="1" t="str">
        <f>TEXT(CallLog[[#This Row],[Date]],"dddd")</f>
        <v>Tuesday</v>
      </c>
      <c r="G3459" s="3">
        <f>HOUR(CallLog[[#This Row],[Time]])</f>
        <v>10</v>
      </c>
      <c r="H3459" t="s">
        <v>17</v>
      </c>
      <c r="I3459" t="s">
        <v>14</v>
      </c>
      <c r="J3459" t="s">
        <v>14</v>
      </c>
      <c r="K3459">
        <v>72</v>
      </c>
      <c r="L3459" t="str">
        <f>IF(AND(CallLog[[#This Row],[Answered (Y/N)]]="Y", CallLog[[#This Row],[Speed of answer in seconds]]&lt;=20),
    "Within",
    "Breach")</f>
        <v>Breach</v>
      </c>
      <c r="M3459" s="1">
        <v>1.5856481481481481E-3</v>
      </c>
      <c r="N3459">
        <v>4</v>
      </c>
    </row>
    <row r="3460" spans="1:14" x14ac:dyDescent="0.3">
      <c r="A3460" t="s">
        <v>3544</v>
      </c>
      <c r="B3460" t="s">
        <v>47</v>
      </c>
      <c r="C3460" t="s">
        <v>3538</v>
      </c>
      <c r="D3460" s="1">
        <v>0.43299768518518517</v>
      </c>
      <c r="E3460" s="2">
        <f>CallLog[[#This Row],[Date]]+CallLog[[#This Row],[Time]]</f>
        <v>44257.432997685188</v>
      </c>
      <c r="F3460" s="1" t="str">
        <f>TEXT(CallLog[[#This Row],[Date]],"dddd")</f>
        <v>Tuesday</v>
      </c>
      <c r="G3460" s="3">
        <f>HOUR(CallLog[[#This Row],[Time]])</f>
        <v>10</v>
      </c>
      <c r="H3460" t="s">
        <v>24</v>
      </c>
      <c r="I3460" t="s">
        <v>18</v>
      </c>
      <c r="J3460" t="s">
        <v>18</v>
      </c>
      <c r="L3460" t="str">
        <f>IF(AND(CallLog[[#This Row],[Answered (Y/N)]]="Y", CallLog[[#This Row],[Speed of answer in seconds]]&lt;=20),
    "Within",
    "Breach")</f>
        <v>Breach</v>
      </c>
    </row>
    <row r="3461" spans="1:14" x14ac:dyDescent="0.3">
      <c r="A3461" t="s">
        <v>3545</v>
      </c>
      <c r="B3461" t="s">
        <v>22</v>
      </c>
      <c r="C3461" t="s">
        <v>3538</v>
      </c>
      <c r="D3461" s="1">
        <v>0.43299768518518517</v>
      </c>
      <c r="E3461" s="2">
        <f>CallLog[[#This Row],[Date]]+CallLog[[#This Row],[Time]]</f>
        <v>44257.432997685188</v>
      </c>
      <c r="F3461" s="1" t="str">
        <f>TEXT(CallLog[[#This Row],[Date]],"dddd")</f>
        <v>Tuesday</v>
      </c>
      <c r="G3461" s="3">
        <f>HOUR(CallLog[[#This Row],[Time]])</f>
        <v>10</v>
      </c>
      <c r="H3461" t="s">
        <v>29</v>
      </c>
      <c r="I3461" t="s">
        <v>14</v>
      </c>
      <c r="J3461" t="s">
        <v>14</v>
      </c>
      <c r="K3461">
        <v>82</v>
      </c>
      <c r="L3461" t="str">
        <f>IF(AND(CallLog[[#This Row],[Answered (Y/N)]]="Y", CallLog[[#This Row],[Speed of answer in seconds]]&lt;=20),
    "Within",
    "Breach")</f>
        <v>Breach</v>
      </c>
      <c r="M3461" s="1">
        <v>3.7037037037037038E-3</v>
      </c>
      <c r="N3461">
        <v>3</v>
      </c>
    </row>
    <row r="3462" spans="1:14" x14ac:dyDescent="0.3">
      <c r="A3462" t="s">
        <v>3546</v>
      </c>
      <c r="B3462" t="s">
        <v>38</v>
      </c>
      <c r="C3462" t="s">
        <v>3538</v>
      </c>
      <c r="D3462" s="1">
        <v>0.43700231481481483</v>
      </c>
      <c r="E3462" s="2">
        <f>CallLog[[#This Row],[Date]]+CallLog[[#This Row],[Time]]</f>
        <v>44257.437002314815</v>
      </c>
      <c r="F3462" s="1" t="str">
        <f>TEXT(CallLog[[#This Row],[Date]],"dddd")</f>
        <v>Tuesday</v>
      </c>
      <c r="G3462" s="3">
        <f>HOUR(CallLog[[#This Row],[Time]])</f>
        <v>10</v>
      </c>
      <c r="H3462" t="s">
        <v>24</v>
      </c>
      <c r="I3462" t="s">
        <v>14</v>
      </c>
      <c r="J3462" t="s">
        <v>14</v>
      </c>
      <c r="K3462">
        <v>86</v>
      </c>
      <c r="L3462" t="str">
        <f>IF(AND(CallLog[[#This Row],[Answered (Y/N)]]="Y", CallLog[[#This Row],[Speed of answer in seconds]]&lt;=20),
    "Within",
    "Breach")</f>
        <v>Breach</v>
      </c>
      <c r="M3462" s="1">
        <v>3.6458333333333334E-3</v>
      </c>
      <c r="N3462">
        <v>5</v>
      </c>
    </row>
    <row r="3463" spans="1:14" x14ac:dyDescent="0.3">
      <c r="A3463" t="s">
        <v>3547</v>
      </c>
      <c r="B3463" t="s">
        <v>16</v>
      </c>
      <c r="C3463" t="s">
        <v>3538</v>
      </c>
      <c r="D3463" s="1">
        <v>0.43700231481481483</v>
      </c>
      <c r="E3463" s="2">
        <f>CallLog[[#This Row],[Date]]+CallLog[[#This Row],[Time]]</f>
        <v>44257.437002314815</v>
      </c>
      <c r="F3463" s="1" t="str">
        <f>TEXT(CallLog[[#This Row],[Date]],"dddd")</f>
        <v>Tuesday</v>
      </c>
      <c r="G3463" s="3">
        <f>HOUR(CallLog[[#This Row],[Time]])</f>
        <v>10</v>
      </c>
      <c r="H3463" t="s">
        <v>17</v>
      </c>
      <c r="I3463" t="s">
        <v>14</v>
      </c>
      <c r="J3463" t="s">
        <v>14</v>
      </c>
      <c r="K3463">
        <v>35</v>
      </c>
      <c r="L3463" t="str">
        <f>IF(AND(CallLog[[#This Row],[Answered (Y/N)]]="Y", CallLog[[#This Row],[Speed of answer in seconds]]&lt;=20),
    "Within",
    "Breach")</f>
        <v>Breach</v>
      </c>
      <c r="M3463" s="1">
        <v>1.5509259259259259E-3</v>
      </c>
      <c r="N3463">
        <v>3</v>
      </c>
    </row>
    <row r="3464" spans="1:14" x14ac:dyDescent="0.3">
      <c r="A3464" t="s">
        <v>3548</v>
      </c>
      <c r="B3464" t="s">
        <v>22</v>
      </c>
      <c r="C3464" t="s">
        <v>3538</v>
      </c>
      <c r="D3464" s="1">
        <v>0.45099537037037035</v>
      </c>
      <c r="E3464" s="2">
        <f>CallLog[[#This Row],[Date]]+CallLog[[#This Row],[Time]]</f>
        <v>44257.450995370367</v>
      </c>
      <c r="F3464" s="1" t="str">
        <f>TEXT(CallLog[[#This Row],[Date]],"dddd")</f>
        <v>Tuesday</v>
      </c>
      <c r="G3464" s="3">
        <f>HOUR(CallLog[[#This Row],[Time]])</f>
        <v>10</v>
      </c>
      <c r="H3464" t="s">
        <v>32</v>
      </c>
      <c r="I3464" t="s">
        <v>14</v>
      </c>
      <c r="J3464" t="s">
        <v>14</v>
      </c>
      <c r="K3464">
        <v>83</v>
      </c>
      <c r="L3464" t="str">
        <f>IF(AND(CallLog[[#This Row],[Answered (Y/N)]]="Y", CallLog[[#This Row],[Speed of answer in seconds]]&lt;=20),
    "Within",
    "Breach")</f>
        <v>Breach</v>
      </c>
      <c r="M3464" s="1">
        <v>1.3310185185185185E-3</v>
      </c>
      <c r="N3464">
        <v>5</v>
      </c>
    </row>
    <row r="3465" spans="1:14" x14ac:dyDescent="0.3">
      <c r="A3465" t="s">
        <v>3549</v>
      </c>
      <c r="B3465" t="s">
        <v>20</v>
      </c>
      <c r="C3465" t="s">
        <v>3538</v>
      </c>
      <c r="D3465" s="1">
        <v>0.45099537037037035</v>
      </c>
      <c r="E3465" s="2">
        <f>CallLog[[#This Row],[Date]]+CallLog[[#This Row],[Time]]</f>
        <v>44257.450995370367</v>
      </c>
      <c r="F3465" s="1" t="str">
        <f>TEXT(CallLog[[#This Row],[Date]],"dddd")</f>
        <v>Tuesday</v>
      </c>
      <c r="G3465" s="3">
        <f>HOUR(CallLog[[#This Row],[Time]])</f>
        <v>10</v>
      </c>
      <c r="H3465" t="s">
        <v>29</v>
      </c>
      <c r="I3465" t="s">
        <v>14</v>
      </c>
      <c r="J3465" t="s">
        <v>14</v>
      </c>
      <c r="K3465">
        <v>42</v>
      </c>
      <c r="L3465" t="str">
        <f>IF(AND(CallLog[[#This Row],[Answered (Y/N)]]="Y", CallLog[[#This Row],[Speed of answer in seconds]]&lt;=20),
    "Within",
    "Breach")</f>
        <v>Breach</v>
      </c>
      <c r="M3465" s="1">
        <v>2.5925925925925925E-3</v>
      </c>
      <c r="N3465">
        <v>4</v>
      </c>
    </row>
    <row r="3466" spans="1:14" x14ac:dyDescent="0.3">
      <c r="A3466" t="s">
        <v>3550</v>
      </c>
      <c r="B3466" t="s">
        <v>20</v>
      </c>
      <c r="C3466" t="s">
        <v>3538</v>
      </c>
      <c r="D3466" s="1">
        <v>0.45400462962962962</v>
      </c>
      <c r="E3466" s="2">
        <f>CallLog[[#This Row],[Date]]+CallLog[[#This Row],[Time]]</f>
        <v>44257.454004629632</v>
      </c>
      <c r="F3466" s="1" t="str">
        <f>TEXT(CallLog[[#This Row],[Date]],"dddd")</f>
        <v>Tuesday</v>
      </c>
      <c r="G3466" s="3">
        <f>HOUR(CallLog[[#This Row],[Time]])</f>
        <v>10</v>
      </c>
      <c r="H3466" t="s">
        <v>17</v>
      </c>
      <c r="I3466" t="s">
        <v>14</v>
      </c>
      <c r="J3466" t="s">
        <v>14</v>
      </c>
      <c r="K3466">
        <v>82</v>
      </c>
      <c r="L3466" t="str">
        <f>IF(AND(CallLog[[#This Row],[Answered (Y/N)]]="Y", CallLog[[#This Row],[Speed of answer in seconds]]&lt;=20),
    "Within",
    "Breach")</f>
        <v>Breach</v>
      </c>
      <c r="M3466" s="1">
        <v>3.9583333333333337E-3</v>
      </c>
      <c r="N3466">
        <v>5</v>
      </c>
    </row>
    <row r="3467" spans="1:14" x14ac:dyDescent="0.3">
      <c r="A3467" t="s">
        <v>3551</v>
      </c>
      <c r="B3467" t="s">
        <v>11</v>
      </c>
      <c r="C3467" t="s">
        <v>3538</v>
      </c>
      <c r="D3467" s="1">
        <v>0.45400462962962962</v>
      </c>
      <c r="E3467" s="2">
        <f>CallLog[[#This Row],[Date]]+CallLog[[#This Row],[Time]]</f>
        <v>44257.454004629632</v>
      </c>
      <c r="F3467" s="1" t="str">
        <f>TEXT(CallLog[[#This Row],[Date]],"dddd")</f>
        <v>Tuesday</v>
      </c>
      <c r="G3467" s="3">
        <f>HOUR(CallLog[[#This Row],[Time]])</f>
        <v>10</v>
      </c>
      <c r="H3467" t="s">
        <v>17</v>
      </c>
      <c r="I3467" t="s">
        <v>14</v>
      </c>
      <c r="J3467" t="s">
        <v>14</v>
      </c>
      <c r="K3467">
        <v>42</v>
      </c>
      <c r="L3467" t="str">
        <f>IF(AND(CallLog[[#This Row],[Answered (Y/N)]]="Y", CallLog[[#This Row],[Speed of answer in seconds]]&lt;=20),
    "Within",
    "Breach")</f>
        <v>Breach</v>
      </c>
      <c r="M3467" s="1">
        <v>5.6712962962962967E-4</v>
      </c>
      <c r="N3467">
        <v>4</v>
      </c>
    </row>
    <row r="3468" spans="1:14" x14ac:dyDescent="0.3">
      <c r="A3468" t="s">
        <v>3552</v>
      </c>
      <c r="B3468" t="s">
        <v>31</v>
      </c>
      <c r="C3468" t="s">
        <v>3538</v>
      </c>
      <c r="D3468" s="1">
        <v>0.46400462962962963</v>
      </c>
      <c r="E3468" s="2">
        <f>CallLog[[#This Row],[Date]]+CallLog[[#This Row],[Time]]</f>
        <v>44257.464004629626</v>
      </c>
      <c r="F3468" s="1" t="str">
        <f>TEXT(CallLog[[#This Row],[Date]],"dddd")</f>
        <v>Tuesday</v>
      </c>
      <c r="G3468" s="3">
        <f>HOUR(CallLog[[#This Row],[Time]])</f>
        <v>11</v>
      </c>
      <c r="H3468" t="s">
        <v>32</v>
      </c>
      <c r="I3468" t="s">
        <v>18</v>
      </c>
      <c r="J3468" t="s">
        <v>18</v>
      </c>
      <c r="L3468" t="str">
        <f>IF(AND(CallLog[[#This Row],[Answered (Y/N)]]="Y", CallLog[[#This Row],[Speed of answer in seconds]]&lt;=20),
    "Within",
    "Breach")</f>
        <v>Breach</v>
      </c>
    </row>
    <row r="3469" spans="1:14" x14ac:dyDescent="0.3">
      <c r="A3469" t="s">
        <v>3553</v>
      </c>
      <c r="B3469" t="s">
        <v>16</v>
      </c>
      <c r="C3469" t="s">
        <v>3538</v>
      </c>
      <c r="D3469" s="1">
        <v>0.46400462962962963</v>
      </c>
      <c r="E3469" s="2">
        <f>CallLog[[#This Row],[Date]]+CallLog[[#This Row],[Time]]</f>
        <v>44257.464004629626</v>
      </c>
      <c r="F3469" s="1" t="str">
        <f>TEXT(CallLog[[#This Row],[Date]],"dddd")</f>
        <v>Tuesday</v>
      </c>
      <c r="G3469" s="3">
        <f>HOUR(CallLog[[#This Row],[Time]])</f>
        <v>11</v>
      </c>
      <c r="H3469" t="s">
        <v>24</v>
      </c>
      <c r="I3469" t="s">
        <v>14</v>
      </c>
      <c r="J3469" t="s">
        <v>18</v>
      </c>
      <c r="K3469">
        <v>106</v>
      </c>
      <c r="L3469" t="str">
        <f>IF(AND(CallLog[[#This Row],[Answered (Y/N)]]="Y", CallLog[[#This Row],[Speed of answer in seconds]]&lt;=20),
    "Within",
    "Breach")</f>
        <v>Breach</v>
      </c>
      <c r="M3469" s="1">
        <v>4.7222222222222223E-3</v>
      </c>
      <c r="N3469">
        <v>3</v>
      </c>
    </row>
    <row r="3470" spans="1:14" x14ac:dyDescent="0.3">
      <c r="A3470" t="s">
        <v>3554</v>
      </c>
      <c r="B3470" t="s">
        <v>34</v>
      </c>
      <c r="C3470" t="s">
        <v>3538</v>
      </c>
      <c r="D3470" s="1">
        <v>0.48099537037037038</v>
      </c>
      <c r="E3470" s="2">
        <f>CallLog[[#This Row],[Date]]+CallLog[[#This Row],[Time]]</f>
        <v>44257.480995370373</v>
      </c>
      <c r="F3470" s="1" t="str">
        <f>TEXT(CallLog[[#This Row],[Date]],"dddd")</f>
        <v>Tuesday</v>
      </c>
      <c r="G3470" s="3">
        <f>HOUR(CallLog[[#This Row],[Time]])</f>
        <v>11</v>
      </c>
      <c r="H3470" t="s">
        <v>32</v>
      </c>
      <c r="I3470" t="s">
        <v>18</v>
      </c>
      <c r="J3470" t="s">
        <v>18</v>
      </c>
      <c r="L3470" t="str">
        <f>IF(AND(CallLog[[#This Row],[Answered (Y/N)]]="Y", CallLog[[#This Row],[Speed of answer in seconds]]&lt;=20),
    "Within",
    "Breach")</f>
        <v>Breach</v>
      </c>
    </row>
    <row r="3471" spans="1:14" x14ac:dyDescent="0.3">
      <c r="A3471" t="s">
        <v>3555</v>
      </c>
      <c r="B3471" t="s">
        <v>11</v>
      </c>
      <c r="C3471" t="s">
        <v>3538</v>
      </c>
      <c r="D3471" s="1">
        <v>0.48099537037037038</v>
      </c>
      <c r="E3471" s="2">
        <f>CallLog[[#This Row],[Date]]+CallLog[[#This Row],[Time]]</f>
        <v>44257.480995370373</v>
      </c>
      <c r="F3471" s="1" t="str">
        <f>TEXT(CallLog[[#This Row],[Date]],"dddd")</f>
        <v>Tuesday</v>
      </c>
      <c r="G3471" s="3">
        <f>HOUR(CallLog[[#This Row],[Time]])</f>
        <v>11</v>
      </c>
      <c r="H3471" t="s">
        <v>29</v>
      </c>
      <c r="I3471" t="s">
        <v>14</v>
      </c>
      <c r="J3471" t="s">
        <v>14</v>
      </c>
      <c r="K3471">
        <v>89</v>
      </c>
      <c r="L3471" t="str">
        <f>IF(AND(CallLog[[#This Row],[Answered (Y/N)]]="Y", CallLog[[#This Row],[Speed of answer in seconds]]&lt;=20),
    "Within",
    "Breach")</f>
        <v>Breach</v>
      </c>
      <c r="M3471" s="1">
        <v>6.018518518518519E-4</v>
      </c>
      <c r="N3471">
        <v>4</v>
      </c>
    </row>
    <row r="3472" spans="1:14" x14ac:dyDescent="0.3">
      <c r="A3472" t="s">
        <v>3556</v>
      </c>
      <c r="B3472" t="s">
        <v>22</v>
      </c>
      <c r="C3472" t="s">
        <v>3538</v>
      </c>
      <c r="D3472" s="1">
        <v>0.49799768518518517</v>
      </c>
      <c r="E3472" s="2">
        <f>CallLog[[#This Row],[Date]]+CallLog[[#This Row],[Time]]</f>
        <v>44257.497997685183</v>
      </c>
      <c r="F3472" s="1" t="str">
        <f>TEXT(CallLog[[#This Row],[Date]],"dddd")</f>
        <v>Tuesday</v>
      </c>
      <c r="G3472" s="3">
        <f>HOUR(CallLog[[#This Row],[Time]])</f>
        <v>11</v>
      </c>
      <c r="H3472" t="s">
        <v>17</v>
      </c>
      <c r="I3472" t="s">
        <v>18</v>
      </c>
      <c r="J3472" t="s">
        <v>18</v>
      </c>
      <c r="L3472" t="str">
        <f>IF(AND(CallLog[[#This Row],[Answered (Y/N)]]="Y", CallLog[[#This Row],[Speed of answer in seconds]]&lt;=20),
    "Within",
    "Breach")</f>
        <v>Breach</v>
      </c>
    </row>
    <row r="3473" spans="1:14" x14ac:dyDescent="0.3">
      <c r="A3473" t="s">
        <v>3557</v>
      </c>
      <c r="B3473" t="s">
        <v>16</v>
      </c>
      <c r="C3473" t="s">
        <v>3538</v>
      </c>
      <c r="D3473" s="1">
        <v>0.49799768518518517</v>
      </c>
      <c r="E3473" s="2">
        <f>CallLog[[#This Row],[Date]]+CallLog[[#This Row],[Time]]</f>
        <v>44257.497997685183</v>
      </c>
      <c r="F3473" s="1" t="str">
        <f>TEXT(CallLog[[#This Row],[Date]],"dddd")</f>
        <v>Tuesday</v>
      </c>
      <c r="G3473" s="3">
        <f>HOUR(CallLog[[#This Row],[Time]])</f>
        <v>11</v>
      </c>
      <c r="H3473" t="s">
        <v>24</v>
      </c>
      <c r="I3473" t="s">
        <v>14</v>
      </c>
      <c r="J3473" t="s">
        <v>14</v>
      </c>
      <c r="K3473">
        <v>112</v>
      </c>
      <c r="L3473" t="str">
        <f>IF(AND(CallLog[[#This Row],[Answered (Y/N)]]="Y", CallLog[[#This Row],[Speed of answer in seconds]]&lt;=20),
    "Within",
    "Breach")</f>
        <v>Breach</v>
      </c>
      <c r="M3473" s="1">
        <v>3.6226851851851854E-3</v>
      </c>
      <c r="N3473">
        <v>4</v>
      </c>
    </row>
    <row r="3474" spans="1:14" x14ac:dyDescent="0.3">
      <c r="A3474" t="s">
        <v>3558</v>
      </c>
      <c r="B3474" t="s">
        <v>38</v>
      </c>
      <c r="C3474" t="s">
        <v>3538</v>
      </c>
      <c r="D3474" s="1">
        <v>0.5329976851851852</v>
      </c>
      <c r="E3474" s="2">
        <f>CallLog[[#This Row],[Date]]+CallLog[[#This Row],[Time]]</f>
        <v>44257.532997685186</v>
      </c>
      <c r="F3474" s="1" t="str">
        <f>TEXT(CallLog[[#This Row],[Date]],"dddd")</f>
        <v>Tuesday</v>
      </c>
      <c r="G3474" s="3">
        <f>HOUR(CallLog[[#This Row],[Time]])</f>
        <v>12</v>
      </c>
      <c r="H3474" t="s">
        <v>24</v>
      </c>
      <c r="I3474" t="s">
        <v>14</v>
      </c>
      <c r="J3474" t="s">
        <v>14</v>
      </c>
      <c r="K3474">
        <v>67</v>
      </c>
      <c r="L3474" t="str">
        <f>IF(AND(CallLog[[#This Row],[Answered (Y/N)]]="Y", CallLog[[#This Row],[Speed of answer in seconds]]&lt;=20),
    "Within",
    "Breach")</f>
        <v>Breach</v>
      </c>
      <c r="M3474" s="1">
        <v>3.1944444444444446E-3</v>
      </c>
      <c r="N3474">
        <v>4</v>
      </c>
    </row>
    <row r="3475" spans="1:14" x14ac:dyDescent="0.3">
      <c r="A3475" t="s">
        <v>3559</v>
      </c>
      <c r="B3475" t="s">
        <v>34</v>
      </c>
      <c r="C3475" t="s">
        <v>3538</v>
      </c>
      <c r="D3475" s="1">
        <v>0.5329976851851852</v>
      </c>
      <c r="E3475" s="2">
        <f>CallLog[[#This Row],[Date]]+CallLog[[#This Row],[Time]]</f>
        <v>44257.532997685186</v>
      </c>
      <c r="F3475" s="1" t="str">
        <f>TEXT(CallLog[[#This Row],[Date]],"dddd")</f>
        <v>Tuesday</v>
      </c>
      <c r="G3475" s="3">
        <f>HOUR(CallLog[[#This Row],[Time]])</f>
        <v>12</v>
      </c>
      <c r="H3475" t="s">
        <v>32</v>
      </c>
      <c r="I3475" t="s">
        <v>14</v>
      </c>
      <c r="J3475" t="s">
        <v>14</v>
      </c>
      <c r="K3475">
        <v>77</v>
      </c>
      <c r="L3475" t="str">
        <f>IF(AND(CallLog[[#This Row],[Answered (Y/N)]]="Y", CallLog[[#This Row],[Speed of answer in seconds]]&lt;=20),
    "Within",
    "Breach")</f>
        <v>Breach</v>
      </c>
      <c r="M3475" s="1">
        <v>2.7430555555555554E-3</v>
      </c>
      <c r="N3475">
        <v>5</v>
      </c>
    </row>
    <row r="3476" spans="1:14" x14ac:dyDescent="0.3">
      <c r="A3476" t="s">
        <v>3560</v>
      </c>
      <c r="B3476" t="s">
        <v>38</v>
      </c>
      <c r="C3476" t="s">
        <v>3538</v>
      </c>
      <c r="D3476" s="1">
        <v>0.54200231481481487</v>
      </c>
      <c r="E3476" s="2">
        <f>CallLog[[#This Row],[Date]]+CallLog[[#This Row],[Time]]</f>
        <v>44257.542002314818</v>
      </c>
      <c r="F3476" s="1" t="str">
        <f>TEXT(CallLog[[#This Row],[Date]],"dddd")</f>
        <v>Tuesday</v>
      </c>
      <c r="G3476" s="3">
        <f>HOUR(CallLog[[#This Row],[Time]])</f>
        <v>13</v>
      </c>
      <c r="H3476" t="s">
        <v>24</v>
      </c>
      <c r="I3476" t="s">
        <v>14</v>
      </c>
      <c r="J3476" t="s">
        <v>14</v>
      </c>
      <c r="K3476">
        <v>54</v>
      </c>
      <c r="L3476" t="str">
        <f>IF(AND(CallLog[[#This Row],[Answered (Y/N)]]="Y", CallLog[[#This Row],[Speed of answer in seconds]]&lt;=20),
    "Within",
    "Breach")</f>
        <v>Breach</v>
      </c>
      <c r="M3476" s="1">
        <v>7.407407407407407E-4</v>
      </c>
      <c r="N3476">
        <v>5</v>
      </c>
    </row>
    <row r="3477" spans="1:14" x14ac:dyDescent="0.3">
      <c r="A3477" t="s">
        <v>3561</v>
      </c>
      <c r="B3477" t="s">
        <v>47</v>
      </c>
      <c r="C3477" t="s">
        <v>3538</v>
      </c>
      <c r="D3477" s="1">
        <v>0.54200231481481487</v>
      </c>
      <c r="E3477" s="2">
        <f>CallLog[[#This Row],[Date]]+CallLog[[#This Row],[Time]]</f>
        <v>44257.542002314818</v>
      </c>
      <c r="F3477" s="1" t="str">
        <f>TEXT(CallLog[[#This Row],[Date]],"dddd")</f>
        <v>Tuesday</v>
      </c>
      <c r="G3477" s="3">
        <f>HOUR(CallLog[[#This Row],[Time]])</f>
        <v>13</v>
      </c>
      <c r="H3477" t="s">
        <v>29</v>
      </c>
      <c r="I3477" t="s">
        <v>14</v>
      </c>
      <c r="J3477" t="s">
        <v>14</v>
      </c>
      <c r="K3477">
        <v>83</v>
      </c>
      <c r="L3477" t="str">
        <f>IF(AND(CallLog[[#This Row],[Answered (Y/N)]]="Y", CallLog[[#This Row],[Speed of answer in seconds]]&lt;=20),
    "Within",
    "Breach")</f>
        <v>Breach</v>
      </c>
      <c r="M3477" s="1">
        <v>2.2800925925925927E-3</v>
      </c>
      <c r="N3477">
        <v>3</v>
      </c>
    </row>
    <row r="3478" spans="1:14" x14ac:dyDescent="0.3">
      <c r="A3478" t="s">
        <v>3562</v>
      </c>
      <c r="B3478" t="s">
        <v>31</v>
      </c>
      <c r="C3478" t="s">
        <v>3538</v>
      </c>
      <c r="D3478" s="1">
        <v>0.54700231481481476</v>
      </c>
      <c r="E3478" s="2">
        <f>CallLog[[#This Row],[Date]]+CallLog[[#This Row],[Time]]</f>
        <v>44257.547002314815</v>
      </c>
      <c r="F3478" s="1" t="str">
        <f>TEXT(CallLog[[#This Row],[Date]],"dddd")</f>
        <v>Tuesday</v>
      </c>
      <c r="G3478" s="3">
        <f>HOUR(CallLog[[#This Row],[Time]])</f>
        <v>13</v>
      </c>
      <c r="H3478" t="s">
        <v>24</v>
      </c>
      <c r="I3478" t="s">
        <v>14</v>
      </c>
      <c r="J3478" t="s">
        <v>14</v>
      </c>
      <c r="K3478">
        <v>56</v>
      </c>
      <c r="L3478" t="str">
        <f>IF(AND(CallLog[[#This Row],[Answered (Y/N)]]="Y", CallLog[[#This Row],[Speed of answer in seconds]]&lt;=20),
    "Within",
    "Breach")</f>
        <v>Breach</v>
      </c>
      <c r="M3478" s="1">
        <v>3.472222222222222E-3</v>
      </c>
      <c r="N3478">
        <v>5</v>
      </c>
    </row>
    <row r="3479" spans="1:14" x14ac:dyDescent="0.3">
      <c r="A3479" t="s">
        <v>3563</v>
      </c>
      <c r="B3479" t="s">
        <v>22</v>
      </c>
      <c r="C3479" t="s">
        <v>3538</v>
      </c>
      <c r="D3479" s="1">
        <v>0.54700231481481476</v>
      </c>
      <c r="E3479" s="2">
        <f>CallLog[[#This Row],[Date]]+CallLog[[#This Row],[Time]]</f>
        <v>44257.547002314815</v>
      </c>
      <c r="F3479" s="1" t="str">
        <f>TEXT(CallLog[[#This Row],[Date]],"dddd")</f>
        <v>Tuesday</v>
      </c>
      <c r="G3479" s="3">
        <f>HOUR(CallLog[[#This Row],[Time]])</f>
        <v>13</v>
      </c>
      <c r="H3479" t="s">
        <v>24</v>
      </c>
      <c r="I3479" t="s">
        <v>18</v>
      </c>
      <c r="J3479" t="s">
        <v>18</v>
      </c>
      <c r="L3479" t="str">
        <f>IF(AND(CallLog[[#This Row],[Answered (Y/N)]]="Y", CallLog[[#This Row],[Speed of answer in seconds]]&lt;=20),
    "Within",
    "Breach")</f>
        <v>Breach</v>
      </c>
    </row>
    <row r="3480" spans="1:14" x14ac:dyDescent="0.3">
      <c r="A3480" t="s">
        <v>3564</v>
      </c>
      <c r="B3480" t="s">
        <v>34</v>
      </c>
      <c r="C3480" t="s">
        <v>3538</v>
      </c>
      <c r="D3480" s="1">
        <v>0.55799768518518522</v>
      </c>
      <c r="E3480" s="2">
        <f>CallLog[[#This Row],[Date]]+CallLog[[#This Row],[Time]]</f>
        <v>44257.557997685188</v>
      </c>
      <c r="F3480" s="1" t="str">
        <f>TEXT(CallLog[[#This Row],[Date]],"dddd")</f>
        <v>Tuesday</v>
      </c>
      <c r="G3480" s="3">
        <f>HOUR(CallLog[[#This Row],[Time]])</f>
        <v>13</v>
      </c>
      <c r="H3480" t="s">
        <v>24</v>
      </c>
      <c r="I3480" t="s">
        <v>14</v>
      </c>
      <c r="J3480" t="s">
        <v>18</v>
      </c>
      <c r="K3480">
        <v>19</v>
      </c>
      <c r="L3480" t="str">
        <f>IF(AND(CallLog[[#This Row],[Answered (Y/N)]]="Y", CallLog[[#This Row],[Speed of answer in seconds]]&lt;=20),
    "Within",
    "Breach")</f>
        <v>Within</v>
      </c>
      <c r="M3480" s="1">
        <v>4.4560185185185189E-3</v>
      </c>
      <c r="N3480">
        <v>2</v>
      </c>
    </row>
    <row r="3481" spans="1:14" x14ac:dyDescent="0.3">
      <c r="A3481" t="s">
        <v>3565</v>
      </c>
      <c r="B3481" t="s">
        <v>20</v>
      </c>
      <c r="C3481" t="s">
        <v>3538</v>
      </c>
      <c r="D3481" s="1">
        <v>0.55799768518518522</v>
      </c>
      <c r="E3481" s="2">
        <f>CallLog[[#This Row],[Date]]+CallLog[[#This Row],[Time]]</f>
        <v>44257.557997685188</v>
      </c>
      <c r="F3481" s="1" t="str">
        <f>TEXT(CallLog[[#This Row],[Date]],"dddd")</f>
        <v>Tuesday</v>
      </c>
      <c r="G3481" s="3">
        <f>HOUR(CallLog[[#This Row],[Time]])</f>
        <v>13</v>
      </c>
      <c r="H3481" t="s">
        <v>29</v>
      </c>
      <c r="I3481" t="s">
        <v>18</v>
      </c>
      <c r="J3481" t="s">
        <v>18</v>
      </c>
      <c r="L3481" t="str">
        <f>IF(AND(CallLog[[#This Row],[Answered (Y/N)]]="Y", CallLog[[#This Row],[Speed of answer in seconds]]&lt;=20),
    "Within",
    "Breach")</f>
        <v>Breach</v>
      </c>
    </row>
    <row r="3482" spans="1:14" x14ac:dyDescent="0.3">
      <c r="A3482" t="s">
        <v>3566</v>
      </c>
      <c r="B3482" t="s">
        <v>38</v>
      </c>
      <c r="C3482" t="s">
        <v>3538</v>
      </c>
      <c r="D3482" s="1">
        <v>0.55799768518518522</v>
      </c>
      <c r="E3482" s="2">
        <f>CallLog[[#This Row],[Date]]+CallLog[[#This Row],[Time]]</f>
        <v>44257.557997685188</v>
      </c>
      <c r="F3482" s="1" t="str">
        <f>TEXT(CallLog[[#This Row],[Date]],"dddd")</f>
        <v>Tuesday</v>
      </c>
      <c r="G3482" s="3">
        <f>HOUR(CallLog[[#This Row],[Time]])</f>
        <v>13</v>
      </c>
      <c r="H3482" t="s">
        <v>32</v>
      </c>
      <c r="I3482" t="s">
        <v>14</v>
      </c>
      <c r="J3482" t="s">
        <v>14</v>
      </c>
      <c r="K3482">
        <v>47</v>
      </c>
      <c r="L3482" t="str">
        <f>IF(AND(CallLog[[#This Row],[Answered (Y/N)]]="Y", CallLog[[#This Row],[Speed of answer in seconds]]&lt;=20),
    "Within",
    "Breach")</f>
        <v>Breach</v>
      </c>
      <c r="M3482" s="1">
        <v>2.8819444444444444E-3</v>
      </c>
      <c r="N3482">
        <v>4</v>
      </c>
    </row>
    <row r="3483" spans="1:14" x14ac:dyDescent="0.3">
      <c r="A3483" t="s">
        <v>3567</v>
      </c>
      <c r="B3483" t="s">
        <v>11</v>
      </c>
      <c r="C3483" t="s">
        <v>3538</v>
      </c>
      <c r="D3483" s="1">
        <v>0.55799768518518522</v>
      </c>
      <c r="E3483" s="2">
        <f>CallLog[[#This Row],[Date]]+CallLog[[#This Row],[Time]]</f>
        <v>44257.557997685188</v>
      </c>
      <c r="F3483" s="1" t="str">
        <f>TEXT(CallLog[[#This Row],[Date]],"dddd")</f>
        <v>Tuesday</v>
      </c>
      <c r="G3483" s="3">
        <f>HOUR(CallLog[[#This Row],[Time]])</f>
        <v>13</v>
      </c>
      <c r="H3483" t="s">
        <v>24</v>
      </c>
      <c r="I3483" t="s">
        <v>14</v>
      </c>
      <c r="J3483" t="s">
        <v>14</v>
      </c>
      <c r="K3483">
        <v>89</v>
      </c>
      <c r="L3483" t="str">
        <f>IF(AND(CallLog[[#This Row],[Answered (Y/N)]]="Y", CallLog[[#This Row],[Speed of answer in seconds]]&lt;=20),
    "Within",
    "Breach")</f>
        <v>Breach</v>
      </c>
      <c r="M3483" s="1">
        <v>2.3495370370370371E-3</v>
      </c>
      <c r="N3483">
        <v>1</v>
      </c>
    </row>
    <row r="3484" spans="1:14" x14ac:dyDescent="0.3">
      <c r="A3484" t="s">
        <v>3568</v>
      </c>
      <c r="B3484" t="s">
        <v>34</v>
      </c>
      <c r="C3484" t="s">
        <v>3538</v>
      </c>
      <c r="D3484" s="1">
        <v>0.58799768518518514</v>
      </c>
      <c r="E3484" s="2">
        <f>CallLog[[#This Row],[Date]]+CallLog[[#This Row],[Time]]</f>
        <v>44257.587997685187</v>
      </c>
      <c r="F3484" s="1" t="str">
        <f>TEXT(CallLog[[#This Row],[Date]],"dddd")</f>
        <v>Tuesday</v>
      </c>
      <c r="G3484" s="3">
        <f>HOUR(CallLog[[#This Row],[Time]])</f>
        <v>14</v>
      </c>
      <c r="H3484" t="s">
        <v>32</v>
      </c>
      <c r="I3484" t="s">
        <v>18</v>
      </c>
      <c r="J3484" t="s">
        <v>18</v>
      </c>
      <c r="L3484" t="str">
        <f>IF(AND(CallLog[[#This Row],[Answered (Y/N)]]="Y", CallLog[[#This Row],[Speed of answer in seconds]]&lt;=20),
    "Within",
    "Breach")</f>
        <v>Breach</v>
      </c>
    </row>
    <row r="3485" spans="1:14" x14ac:dyDescent="0.3">
      <c r="A3485" t="s">
        <v>3569</v>
      </c>
      <c r="B3485" t="s">
        <v>38</v>
      </c>
      <c r="C3485" t="s">
        <v>3538</v>
      </c>
      <c r="D3485" s="1">
        <v>0.58799768518518514</v>
      </c>
      <c r="E3485" s="2">
        <f>CallLog[[#This Row],[Date]]+CallLog[[#This Row],[Time]]</f>
        <v>44257.587997685187</v>
      </c>
      <c r="F3485" s="1" t="str">
        <f>TEXT(CallLog[[#This Row],[Date]],"dddd")</f>
        <v>Tuesday</v>
      </c>
      <c r="G3485" s="3">
        <f>HOUR(CallLog[[#This Row],[Time]])</f>
        <v>14</v>
      </c>
      <c r="H3485" t="s">
        <v>24</v>
      </c>
      <c r="I3485" t="s">
        <v>14</v>
      </c>
      <c r="J3485" t="s">
        <v>14</v>
      </c>
      <c r="K3485">
        <v>44</v>
      </c>
      <c r="L3485" t="str">
        <f>IF(AND(CallLog[[#This Row],[Answered (Y/N)]]="Y", CallLog[[#This Row],[Speed of answer in seconds]]&lt;=20),
    "Within",
    "Breach")</f>
        <v>Breach</v>
      </c>
      <c r="M3485" s="1">
        <v>3.1250000000000002E-3</v>
      </c>
      <c r="N3485">
        <v>3</v>
      </c>
    </row>
    <row r="3486" spans="1:14" x14ac:dyDescent="0.3">
      <c r="A3486" t="s">
        <v>3570</v>
      </c>
      <c r="B3486" t="s">
        <v>16</v>
      </c>
      <c r="C3486" t="s">
        <v>3538</v>
      </c>
      <c r="D3486" s="1">
        <v>0.60700231481481481</v>
      </c>
      <c r="E3486" s="2">
        <f>CallLog[[#This Row],[Date]]+CallLog[[#This Row],[Time]]</f>
        <v>44257.607002314813</v>
      </c>
      <c r="F3486" s="1" t="str">
        <f>TEXT(CallLog[[#This Row],[Date]],"dddd")</f>
        <v>Tuesday</v>
      </c>
      <c r="G3486" s="3">
        <f>HOUR(CallLog[[#This Row],[Time]])</f>
        <v>14</v>
      </c>
      <c r="H3486" t="s">
        <v>24</v>
      </c>
      <c r="I3486" t="s">
        <v>14</v>
      </c>
      <c r="J3486" t="s">
        <v>14</v>
      </c>
      <c r="K3486">
        <v>91</v>
      </c>
      <c r="L3486" t="str">
        <f>IF(AND(CallLog[[#This Row],[Answered (Y/N)]]="Y", CallLog[[#This Row],[Speed of answer in seconds]]&lt;=20),
    "Within",
    "Breach")</f>
        <v>Breach</v>
      </c>
      <c r="M3486" s="1">
        <v>2.5810185185185185E-3</v>
      </c>
      <c r="N3486">
        <v>5</v>
      </c>
    </row>
    <row r="3487" spans="1:14" x14ac:dyDescent="0.3">
      <c r="A3487" t="s">
        <v>3571</v>
      </c>
      <c r="B3487" t="s">
        <v>22</v>
      </c>
      <c r="C3487" t="s">
        <v>3538</v>
      </c>
      <c r="D3487" s="1">
        <v>0.60700231481481481</v>
      </c>
      <c r="E3487" s="2">
        <f>CallLog[[#This Row],[Date]]+CallLog[[#This Row],[Time]]</f>
        <v>44257.607002314813</v>
      </c>
      <c r="F3487" s="1" t="str">
        <f>TEXT(CallLog[[#This Row],[Date]],"dddd")</f>
        <v>Tuesday</v>
      </c>
      <c r="G3487" s="3">
        <f>HOUR(CallLog[[#This Row],[Time]])</f>
        <v>14</v>
      </c>
      <c r="H3487" t="s">
        <v>29</v>
      </c>
      <c r="I3487" t="s">
        <v>18</v>
      </c>
      <c r="J3487" t="s">
        <v>18</v>
      </c>
      <c r="L3487" t="str">
        <f>IF(AND(CallLog[[#This Row],[Answered (Y/N)]]="Y", CallLog[[#This Row],[Speed of answer in seconds]]&lt;=20),
    "Within",
    "Breach")</f>
        <v>Breach</v>
      </c>
    </row>
    <row r="3488" spans="1:14" x14ac:dyDescent="0.3">
      <c r="A3488" t="s">
        <v>3572</v>
      </c>
      <c r="B3488" t="s">
        <v>38</v>
      </c>
      <c r="C3488" t="s">
        <v>3538</v>
      </c>
      <c r="D3488" s="1">
        <v>0.62299768518518517</v>
      </c>
      <c r="E3488" s="2">
        <f>CallLog[[#This Row],[Date]]+CallLog[[#This Row],[Time]]</f>
        <v>44257.622997685183</v>
      </c>
      <c r="F3488" s="1" t="str">
        <f>TEXT(CallLog[[#This Row],[Date]],"dddd")</f>
        <v>Tuesday</v>
      </c>
      <c r="G3488" s="3">
        <f>HOUR(CallLog[[#This Row],[Time]])</f>
        <v>14</v>
      </c>
      <c r="H3488" t="s">
        <v>24</v>
      </c>
      <c r="I3488" t="s">
        <v>14</v>
      </c>
      <c r="J3488" t="s">
        <v>14</v>
      </c>
      <c r="K3488">
        <v>75</v>
      </c>
      <c r="L3488" t="str">
        <f>IF(AND(CallLog[[#This Row],[Answered (Y/N)]]="Y", CallLog[[#This Row],[Speed of answer in seconds]]&lt;=20),
    "Within",
    "Breach")</f>
        <v>Breach</v>
      </c>
      <c r="M3488" s="1">
        <v>4.8495370370370368E-3</v>
      </c>
      <c r="N3488">
        <v>4</v>
      </c>
    </row>
    <row r="3489" spans="1:14" x14ac:dyDescent="0.3">
      <c r="A3489" t="s">
        <v>3573</v>
      </c>
      <c r="B3489" t="s">
        <v>22</v>
      </c>
      <c r="C3489" t="s">
        <v>3538</v>
      </c>
      <c r="D3489" s="1">
        <v>0.62299768518518517</v>
      </c>
      <c r="E3489" s="2">
        <f>CallLog[[#This Row],[Date]]+CallLog[[#This Row],[Time]]</f>
        <v>44257.622997685183</v>
      </c>
      <c r="F3489" s="1" t="str">
        <f>TEXT(CallLog[[#This Row],[Date]],"dddd")</f>
        <v>Tuesday</v>
      </c>
      <c r="G3489" s="3">
        <f>HOUR(CallLog[[#This Row],[Time]])</f>
        <v>14</v>
      </c>
      <c r="H3489" t="s">
        <v>13</v>
      </c>
      <c r="I3489" t="s">
        <v>14</v>
      </c>
      <c r="J3489" t="s">
        <v>14</v>
      </c>
      <c r="K3489">
        <v>62</v>
      </c>
      <c r="L3489" t="str">
        <f>IF(AND(CallLog[[#This Row],[Answered (Y/N)]]="Y", CallLog[[#This Row],[Speed of answer in seconds]]&lt;=20),
    "Within",
    "Breach")</f>
        <v>Breach</v>
      </c>
      <c r="M3489" s="1">
        <v>2.5347222222222221E-3</v>
      </c>
      <c r="N3489">
        <v>4</v>
      </c>
    </row>
    <row r="3490" spans="1:14" x14ac:dyDescent="0.3">
      <c r="A3490" t="s">
        <v>3574</v>
      </c>
      <c r="B3490" t="s">
        <v>38</v>
      </c>
      <c r="C3490" t="s">
        <v>3538</v>
      </c>
      <c r="D3490" s="1">
        <v>0.64099537037037035</v>
      </c>
      <c r="E3490" s="2">
        <f>CallLog[[#This Row],[Date]]+CallLog[[#This Row],[Time]]</f>
        <v>44257.64099537037</v>
      </c>
      <c r="F3490" s="1" t="str">
        <f>TEXT(CallLog[[#This Row],[Date]],"dddd")</f>
        <v>Tuesday</v>
      </c>
      <c r="G3490" s="3">
        <f>HOUR(CallLog[[#This Row],[Time]])</f>
        <v>15</v>
      </c>
      <c r="H3490" t="s">
        <v>17</v>
      </c>
      <c r="I3490" t="s">
        <v>14</v>
      </c>
      <c r="J3490" t="s">
        <v>14</v>
      </c>
      <c r="K3490">
        <v>31</v>
      </c>
      <c r="L3490" t="str">
        <f>IF(AND(CallLog[[#This Row],[Answered (Y/N)]]="Y", CallLog[[#This Row],[Speed of answer in seconds]]&lt;=20),
    "Within",
    "Breach")</f>
        <v>Breach</v>
      </c>
      <c r="M3490" s="1">
        <v>3.4722222222222218E-4</v>
      </c>
      <c r="N3490">
        <v>4</v>
      </c>
    </row>
    <row r="3491" spans="1:14" x14ac:dyDescent="0.3">
      <c r="A3491" t="s">
        <v>3575</v>
      </c>
      <c r="B3491" t="s">
        <v>47</v>
      </c>
      <c r="C3491" t="s">
        <v>3538</v>
      </c>
      <c r="D3491" s="1">
        <v>0.64099537037037035</v>
      </c>
      <c r="E3491" s="2">
        <f>CallLog[[#This Row],[Date]]+CallLog[[#This Row],[Time]]</f>
        <v>44257.64099537037</v>
      </c>
      <c r="F3491" s="1" t="str">
        <f>TEXT(CallLog[[#This Row],[Date]],"dddd")</f>
        <v>Tuesday</v>
      </c>
      <c r="G3491" s="3">
        <f>HOUR(CallLog[[#This Row],[Time]])</f>
        <v>15</v>
      </c>
      <c r="H3491" t="s">
        <v>13</v>
      </c>
      <c r="I3491" t="s">
        <v>14</v>
      </c>
      <c r="J3491" t="s">
        <v>14</v>
      </c>
      <c r="K3491">
        <v>122</v>
      </c>
      <c r="L3491" t="str">
        <f>IF(AND(CallLog[[#This Row],[Answered (Y/N)]]="Y", CallLog[[#This Row],[Speed of answer in seconds]]&lt;=20),
    "Within",
    "Breach")</f>
        <v>Breach</v>
      </c>
      <c r="M3491" s="1">
        <v>3.0555555555555557E-3</v>
      </c>
      <c r="N3491">
        <v>1</v>
      </c>
    </row>
    <row r="3492" spans="1:14" x14ac:dyDescent="0.3">
      <c r="A3492" t="s">
        <v>3576</v>
      </c>
      <c r="B3492" t="s">
        <v>38</v>
      </c>
      <c r="C3492" t="s">
        <v>3538</v>
      </c>
      <c r="D3492" s="1">
        <v>0.65</v>
      </c>
      <c r="E3492" s="2">
        <f>CallLog[[#This Row],[Date]]+CallLog[[#This Row],[Time]]</f>
        <v>44257.65</v>
      </c>
      <c r="F3492" s="1" t="str">
        <f>TEXT(CallLog[[#This Row],[Date]],"dddd")</f>
        <v>Tuesday</v>
      </c>
      <c r="G3492" s="3">
        <f>HOUR(CallLog[[#This Row],[Time]])</f>
        <v>15</v>
      </c>
      <c r="H3492" t="s">
        <v>17</v>
      </c>
      <c r="I3492" t="s">
        <v>14</v>
      </c>
      <c r="J3492" t="s">
        <v>14</v>
      </c>
      <c r="K3492">
        <v>80</v>
      </c>
      <c r="L3492" t="str">
        <f>IF(AND(CallLog[[#This Row],[Answered (Y/N)]]="Y", CallLog[[#This Row],[Speed of answer in seconds]]&lt;=20),
    "Within",
    "Breach")</f>
        <v>Breach</v>
      </c>
      <c r="M3492" s="1">
        <v>1.5625000000000001E-3</v>
      </c>
      <c r="N3492">
        <v>3</v>
      </c>
    </row>
    <row r="3493" spans="1:14" x14ac:dyDescent="0.3">
      <c r="A3493" t="s">
        <v>3577</v>
      </c>
      <c r="B3493" t="s">
        <v>34</v>
      </c>
      <c r="C3493" t="s">
        <v>3538</v>
      </c>
      <c r="D3493" s="1">
        <v>0.65</v>
      </c>
      <c r="E3493" s="2">
        <f>CallLog[[#This Row],[Date]]+CallLog[[#This Row],[Time]]</f>
        <v>44257.65</v>
      </c>
      <c r="F3493" s="1" t="str">
        <f>TEXT(CallLog[[#This Row],[Date]],"dddd")</f>
        <v>Tuesday</v>
      </c>
      <c r="G3493" s="3">
        <f>HOUR(CallLog[[#This Row],[Time]])</f>
        <v>15</v>
      </c>
      <c r="H3493" t="s">
        <v>17</v>
      </c>
      <c r="I3493" t="s">
        <v>14</v>
      </c>
      <c r="J3493" t="s">
        <v>14</v>
      </c>
      <c r="K3493">
        <v>105</v>
      </c>
      <c r="L3493" t="str">
        <f>IF(AND(CallLog[[#This Row],[Answered (Y/N)]]="Y", CallLog[[#This Row],[Speed of answer in seconds]]&lt;=20),
    "Within",
    "Breach")</f>
        <v>Breach</v>
      </c>
      <c r="M3493" s="1">
        <v>3.8310185185185183E-3</v>
      </c>
      <c r="N3493">
        <v>5</v>
      </c>
    </row>
    <row r="3494" spans="1:14" x14ac:dyDescent="0.3">
      <c r="A3494" t="s">
        <v>3578</v>
      </c>
      <c r="B3494" t="s">
        <v>22</v>
      </c>
      <c r="C3494" t="s">
        <v>3538</v>
      </c>
      <c r="D3494" s="1">
        <v>0.6579976851851852</v>
      </c>
      <c r="E3494" s="2">
        <f>CallLog[[#This Row],[Date]]+CallLog[[#This Row],[Time]]</f>
        <v>44257.657997685186</v>
      </c>
      <c r="F3494" s="1" t="str">
        <f>TEXT(CallLog[[#This Row],[Date]],"dddd")</f>
        <v>Tuesday</v>
      </c>
      <c r="G3494" s="3">
        <f>HOUR(CallLog[[#This Row],[Time]])</f>
        <v>15</v>
      </c>
      <c r="H3494" t="s">
        <v>32</v>
      </c>
      <c r="I3494" t="s">
        <v>14</v>
      </c>
      <c r="J3494" t="s">
        <v>14</v>
      </c>
      <c r="K3494">
        <v>91</v>
      </c>
      <c r="L3494" t="str">
        <f>IF(AND(CallLog[[#This Row],[Answered (Y/N)]]="Y", CallLog[[#This Row],[Speed of answer in seconds]]&lt;=20),
    "Within",
    "Breach")</f>
        <v>Breach</v>
      </c>
      <c r="M3494" s="1">
        <v>4.6180555555555558E-3</v>
      </c>
      <c r="N3494">
        <v>3</v>
      </c>
    </row>
    <row r="3495" spans="1:14" x14ac:dyDescent="0.3">
      <c r="A3495" t="s">
        <v>3579</v>
      </c>
      <c r="B3495" t="s">
        <v>22</v>
      </c>
      <c r="C3495" t="s">
        <v>3538</v>
      </c>
      <c r="D3495" s="1">
        <v>0.6579976851851852</v>
      </c>
      <c r="E3495" s="2">
        <f>CallLog[[#This Row],[Date]]+CallLog[[#This Row],[Time]]</f>
        <v>44257.657997685186</v>
      </c>
      <c r="F3495" s="1" t="str">
        <f>TEXT(CallLog[[#This Row],[Date]],"dddd")</f>
        <v>Tuesday</v>
      </c>
      <c r="G3495" s="3">
        <f>HOUR(CallLog[[#This Row],[Time]])</f>
        <v>15</v>
      </c>
      <c r="H3495" t="s">
        <v>24</v>
      </c>
      <c r="I3495" t="s">
        <v>14</v>
      </c>
      <c r="J3495" t="s">
        <v>14</v>
      </c>
      <c r="K3495">
        <v>66</v>
      </c>
      <c r="L3495" t="str">
        <f>IF(AND(CallLog[[#This Row],[Answered (Y/N)]]="Y", CallLog[[#This Row],[Speed of answer in seconds]]&lt;=20),
    "Within",
    "Breach")</f>
        <v>Breach</v>
      </c>
      <c r="M3495" s="1">
        <v>9.4907407407407408E-4</v>
      </c>
      <c r="N3495">
        <v>4</v>
      </c>
    </row>
    <row r="3496" spans="1:14" x14ac:dyDescent="0.3">
      <c r="A3496" t="s">
        <v>3580</v>
      </c>
      <c r="B3496" t="s">
        <v>38</v>
      </c>
      <c r="C3496" t="s">
        <v>3538</v>
      </c>
      <c r="D3496" s="1">
        <v>0.67200231481481476</v>
      </c>
      <c r="E3496" s="2">
        <f>CallLog[[#This Row],[Date]]+CallLog[[#This Row],[Time]]</f>
        <v>44257.672002314815</v>
      </c>
      <c r="F3496" s="1" t="str">
        <f>TEXT(CallLog[[#This Row],[Date]],"dddd")</f>
        <v>Tuesday</v>
      </c>
      <c r="G3496" s="3">
        <f>HOUR(CallLog[[#This Row],[Time]])</f>
        <v>16</v>
      </c>
      <c r="H3496" t="s">
        <v>24</v>
      </c>
      <c r="I3496" t="s">
        <v>14</v>
      </c>
      <c r="J3496" t="s">
        <v>14</v>
      </c>
      <c r="K3496">
        <v>26</v>
      </c>
      <c r="L3496" t="str">
        <f>IF(AND(CallLog[[#This Row],[Answered (Y/N)]]="Y", CallLog[[#This Row],[Speed of answer in seconds]]&lt;=20),
    "Within",
    "Breach")</f>
        <v>Breach</v>
      </c>
      <c r="M3496" s="1">
        <v>1.736111111111111E-3</v>
      </c>
      <c r="N3496">
        <v>3</v>
      </c>
    </row>
    <row r="3497" spans="1:14" x14ac:dyDescent="0.3">
      <c r="A3497" t="s">
        <v>3581</v>
      </c>
      <c r="B3497" t="s">
        <v>20</v>
      </c>
      <c r="C3497" t="s">
        <v>3538</v>
      </c>
      <c r="D3497" s="1">
        <v>0.67200231481481476</v>
      </c>
      <c r="E3497" s="2">
        <f>CallLog[[#This Row],[Date]]+CallLog[[#This Row],[Time]]</f>
        <v>44257.672002314815</v>
      </c>
      <c r="F3497" s="1" t="str">
        <f>TEXT(CallLog[[#This Row],[Date]],"dddd")</f>
        <v>Tuesday</v>
      </c>
      <c r="G3497" s="3">
        <f>HOUR(CallLog[[#This Row],[Time]])</f>
        <v>16</v>
      </c>
      <c r="H3497" t="s">
        <v>24</v>
      </c>
      <c r="I3497" t="s">
        <v>14</v>
      </c>
      <c r="J3497" t="s">
        <v>14</v>
      </c>
      <c r="K3497">
        <v>72</v>
      </c>
      <c r="L3497" t="str">
        <f>IF(AND(CallLog[[#This Row],[Answered (Y/N)]]="Y", CallLog[[#This Row],[Speed of answer in seconds]]&lt;=20),
    "Within",
    "Breach")</f>
        <v>Breach</v>
      </c>
      <c r="M3497" s="1">
        <v>2.1643518518518518E-3</v>
      </c>
      <c r="N3497">
        <v>3</v>
      </c>
    </row>
    <row r="3498" spans="1:14" x14ac:dyDescent="0.3">
      <c r="A3498" t="s">
        <v>3582</v>
      </c>
      <c r="B3498" t="s">
        <v>11</v>
      </c>
      <c r="C3498" t="s">
        <v>3538</v>
      </c>
      <c r="D3498" s="1">
        <v>0.68500000000000005</v>
      </c>
      <c r="E3498" s="2">
        <f>CallLog[[#This Row],[Date]]+CallLog[[#This Row],[Time]]</f>
        <v>44257.684999999998</v>
      </c>
      <c r="F3498" s="1" t="str">
        <f>TEXT(CallLog[[#This Row],[Date]],"dddd")</f>
        <v>Tuesday</v>
      </c>
      <c r="G3498" s="3">
        <f>HOUR(CallLog[[#This Row],[Time]])</f>
        <v>16</v>
      </c>
      <c r="H3498" t="s">
        <v>17</v>
      </c>
      <c r="I3498" t="s">
        <v>14</v>
      </c>
      <c r="J3498" t="s">
        <v>14</v>
      </c>
      <c r="K3498">
        <v>71</v>
      </c>
      <c r="L3498" t="str">
        <f>IF(AND(CallLog[[#This Row],[Answered (Y/N)]]="Y", CallLog[[#This Row],[Speed of answer in seconds]]&lt;=20),
    "Within",
    "Breach")</f>
        <v>Breach</v>
      </c>
      <c r="M3498" s="1">
        <v>3.7847222222222223E-3</v>
      </c>
      <c r="N3498">
        <v>3</v>
      </c>
    </row>
    <row r="3499" spans="1:14" x14ac:dyDescent="0.3">
      <c r="A3499" t="s">
        <v>3583</v>
      </c>
      <c r="B3499" t="s">
        <v>31</v>
      </c>
      <c r="C3499" t="s">
        <v>3538</v>
      </c>
      <c r="D3499" s="1">
        <v>0.68500000000000005</v>
      </c>
      <c r="E3499" s="2">
        <f>CallLog[[#This Row],[Date]]+CallLog[[#This Row],[Time]]</f>
        <v>44257.684999999998</v>
      </c>
      <c r="F3499" s="1" t="str">
        <f>TEXT(CallLog[[#This Row],[Date]],"dddd")</f>
        <v>Tuesday</v>
      </c>
      <c r="G3499" s="3">
        <f>HOUR(CallLog[[#This Row],[Time]])</f>
        <v>16</v>
      </c>
      <c r="H3499" t="s">
        <v>13</v>
      </c>
      <c r="I3499" t="s">
        <v>18</v>
      </c>
      <c r="J3499" t="s">
        <v>18</v>
      </c>
      <c r="L3499" t="str">
        <f>IF(AND(CallLog[[#This Row],[Answered (Y/N)]]="Y", CallLog[[#This Row],[Speed of answer in seconds]]&lt;=20),
    "Within",
    "Breach")</f>
        <v>Breach</v>
      </c>
    </row>
    <row r="3500" spans="1:14" x14ac:dyDescent="0.3">
      <c r="A3500" t="s">
        <v>3584</v>
      </c>
      <c r="B3500" t="s">
        <v>34</v>
      </c>
      <c r="C3500" t="s">
        <v>3538</v>
      </c>
      <c r="D3500" s="1">
        <v>0.68799768518518523</v>
      </c>
      <c r="E3500" s="2">
        <f>CallLog[[#This Row],[Date]]+CallLog[[#This Row],[Time]]</f>
        <v>44257.687997685185</v>
      </c>
      <c r="F3500" s="1" t="str">
        <f>TEXT(CallLog[[#This Row],[Date]],"dddd")</f>
        <v>Tuesday</v>
      </c>
      <c r="G3500" s="3">
        <f>HOUR(CallLog[[#This Row],[Time]])</f>
        <v>16</v>
      </c>
      <c r="H3500" t="s">
        <v>29</v>
      </c>
      <c r="I3500" t="s">
        <v>14</v>
      </c>
      <c r="J3500" t="s">
        <v>14</v>
      </c>
      <c r="K3500">
        <v>115</v>
      </c>
      <c r="L3500" t="str">
        <f>IF(AND(CallLog[[#This Row],[Answered (Y/N)]]="Y", CallLog[[#This Row],[Speed of answer in seconds]]&lt;=20),
    "Within",
    "Breach")</f>
        <v>Breach</v>
      </c>
      <c r="M3500" s="1">
        <v>3.2754629629629631E-3</v>
      </c>
      <c r="N3500">
        <v>5</v>
      </c>
    </row>
    <row r="3501" spans="1:14" x14ac:dyDescent="0.3">
      <c r="A3501" t="s">
        <v>3585</v>
      </c>
      <c r="B3501" t="s">
        <v>47</v>
      </c>
      <c r="C3501" t="s">
        <v>3538</v>
      </c>
      <c r="D3501" s="1">
        <v>0.68799768518518523</v>
      </c>
      <c r="E3501" s="2">
        <f>CallLog[[#This Row],[Date]]+CallLog[[#This Row],[Time]]</f>
        <v>44257.687997685185</v>
      </c>
      <c r="F3501" s="1" t="str">
        <f>TEXT(CallLog[[#This Row],[Date]],"dddd")</f>
        <v>Tuesday</v>
      </c>
      <c r="G3501" s="3">
        <f>HOUR(CallLog[[#This Row],[Time]])</f>
        <v>16</v>
      </c>
      <c r="H3501" t="s">
        <v>29</v>
      </c>
      <c r="I3501" t="s">
        <v>14</v>
      </c>
      <c r="J3501" t="s">
        <v>14</v>
      </c>
      <c r="K3501">
        <v>69</v>
      </c>
      <c r="L3501" t="str">
        <f>IF(AND(CallLog[[#This Row],[Answered (Y/N)]]="Y", CallLog[[#This Row],[Speed of answer in seconds]]&lt;=20),
    "Within",
    "Breach")</f>
        <v>Breach</v>
      </c>
      <c r="M3501" s="1">
        <v>2.5347222222222221E-3</v>
      </c>
      <c r="N3501">
        <v>2</v>
      </c>
    </row>
    <row r="3502" spans="1:14" x14ac:dyDescent="0.3">
      <c r="A3502" t="s">
        <v>3586</v>
      </c>
      <c r="B3502" t="s">
        <v>34</v>
      </c>
      <c r="C3502" t="s">
        <v>3538</v>
      </c>
      <c r="D3502" s="1">
        <v>0.68799768518518523</v>
      </c>
      <c r="E3502" s="2">
        <f>CallLog[[#This Row],[Date]]+CallLog[[#This Row],[Time]]</f>
        <v>44257.687997685185</v>
      </c>
      <c r="F3502" s="1" t="str">
        <f>TEXT(CallLog[[#This Row],[Date]],"dddd")</f>
        <v>Tuesday</v>
      </c>
      <c r="G3502" s="3">
        <f>HOUR(CallLog[[#This Row],[Time]])</f>
        <v>16</v>
      </c>
      <c r="H3502" t="s">
        <v>32</v>
      </c>
      <c r="I3502" t="s">
        <v>14</v>
      </c>
      <c r="J3502" t="s">
        <v>14</v>
      </c>
      <c r="K3502">
        <v>30</v>
      </c>
      <c r="L3502" t="str">
        <f>IF(AND(CallLog[[#This Row],[Answered (Y/N)]]="Y", CallLog[[#This Row],[Speed of answer in seconds]]&lt;=20),
    "Within",
    "Breach")</f>
        <v>Breach</v>
      </c>
      <c r="M3502" s="1">
        <v>1.0300925925925926E-3</v>
      </c>
      <c r="N3502">
        <v>4</v>
      </c>
    </row>
    <row r="3503" spans="1:14" x14ac:dyDescent="0.3">
      <c r="A3503" t="s">
        <v>3587</v>
      </c>
      <c r="B3503" t="s">
        <v>20</v>
      </c>
      <c r="C3503" t="s">
        <v>3538</v>
      </c>
      <c r="D3503" s="1">
        <v>0.68799768518518523</v>
      </c>
      <c r="E3503" s="2">
        <f>CallLog[[#This Row],[Date]]+CallLog[[#This Row],[Time]]</f>
        <v>44257.687997685185</v>
      </c>
      <c r="F3503" s="1" t="str">
        <f>TEXT(CallLog[[#This Row],[Date]],"dddd")</f>
        <v>Tuesday</v>
      </c>
      <c r="G3503" s="3">
        <f>HOUR(CallLog[[#This Row],[Time]])</f>
        <v>16</v>
      </c>
      <c r="H3503" t="s">
        <v>13</v>
      </c>
      <c r="I3503" t="s">
        <v>14</v>
      </c>
      <c r="J3503" t="s">
        <v>14</v>
      </c>
      <c r="K3503">
        <v>85</v>
      </c>
      <c r="L3503" t="str">
        <f>IF(AND(CallLog[[#This Row],[Answered (Y/N)]]="Y", CallLog[[#This Row],[Speed of answer in seconds]]&lt;=20),
    "Within",
    "Breach")</f>
        <v>Breach</v>
      </c>
      <c r="M3503" s="1">
        <v>2.673611111111111E-3</v>
      </c>
      <c r="N3503">
        <v>3</v>
      </c>
    </row>
    <row r="3504" spans="1:14" x14ac:dyDescent="0.3">
      <c r="A3504" t="s">
        <v>3588</v>
      </c>
      <c r="B3504" t="s">
        <v>22</v>
      </c>
      <c r="C3504" t="s">
        <v>3538</v>
      </c>
      <c r="D3504" s="1">
        <v>0.6959953703703704</v>
      </c>
      <c r="E3504" s="2">
        <f>CallLog[[#This Row],[Date]]+CallLog[[#This Row],[Time]]</f>
        <v>44257.69599537037</v>
      </c>
      <c r="F3504" s="1" t="str">
        <f>TEXT(CallLog[[#This Row],[Date]],"dddd")</f>
        <v>Tuesday</v>
      </c>
      <c r="G3504" s="3">
        <f>HOUR(CallLog[[#This Row],[Time]])</f>
        <v>16</v>
      </c>
      <c r="H3504" t="s">
        <v>29</v>
      </c>
      <c r="I3504" t="s">
        <v>14</v>
      </c>
      <c r="J3504" t="s">
        <v>14</v>
      </c>
      <c r="K3504">
        <v>54</v>
      </c>
      <c r="L3504" t="str">
        <f>IF(AND(CallLog[[#This Row],[Answered (Y/N)]]="Y", CallLog[[#This Row],[Speed of answer in seconds]]&lt;=20),
    "Within",
    "Breach")</f>
        <v>Breach</v>
      </c>
      <c r="M3504" s="1">
        <v>4.31712962962963E-3</v>
      </c>
      <c r="N3504">
        <v>4</v>
      </c>
    </row>
    <row r="3505" spans="1:14" x14ac:dyDescent="0.3">
      <c r="A3505" t="s">
        <v>3589</v>
      </c>
      <c r="B3505" t="s">
        <v>47</v>
      </c>
      <c r="C3505" t="s">
        <v>3538</v>
      </c>
      <c r="D3505" s="1">
        <v>0.6959953703703704</v>
      </c>
      <c r="E3505" s="2">
        <f>CallLog[[#This Row],[Date]]+CallLog[[#This Row],[Time]]</f>
        <v>44257.69599537037</v>
      </c>
      <c r="F3505" s="1" t="str">
        <f>TEXT(CallLog[[#This Row],[Date]],"dddd")</f>
        <v>Tuesday</v>
      </c>
      <c r="G3505" s="3">
        <f>HOUR(CallLog[[#This Row],[Time]])</f>
        <v>16</v>
      </c>
      <c r="H3505" t="s">
        <v>13</v>
      </c>
      <c r="I3505" t="s">
        <v>18</v>
      </c>
      <c r="J3505" t="s">
        <v>18</v>
      </c>
      <c r="L3505" t="str">
        <f>IF(AND(CallLog[[#This Row],[Answered (Y/N)]]="Y", CallLog[[#This Row],[Speed of answer in seconds]]&lt;=20),
    "Within",
    "Breach")</f>
        <v>Breach</v>
      </c>
    </row>
    <row r="3506" spans="1:14" x14ac:dyDescent="0.3">
      <c r="A3506" t="s">
        <v>3590</v>
      </c>
      <c r="B3506" t="s">
        <v>11</v>
      </c>
      <c r="C3506" t="s">
        <v>3538</v>
      </c>
      <c r="D3506" s="1">
        <v>0.69799768518518523</v>
      </c>
      <c r="E3506" s="2">
        <f>CallLog[[#This Row],[Date]]+CallLog[[#This Row],[Time]]</f>
        <v>44257.697997685187</v>
      </c>
      <c r="F3506" s="1" t="str">
        <f>TEXT(CallLog[[#This Row],[Date]],"dddd")</f>
        <v>Tuesday</v>
      </c>
      <c r="G3506" s="3">
        <f>HOUR(CallLog[[#This Row],[Time]])</f>
        <v>16</v>
      </c>
      <c r="H3506" t="s">
        <v>13</v>
      </c>
      <c r="I3506" t="s">
        <v>18</v>
      </c>
      <c r="J3506" t="s">
        <v>18</v>
      </c>
      <c r="L3506" t="str">
        <f>IF(AND(CallLog[[#This Row],[Answered (Y/N)]]="Y", CallLog[[#This Row],[Speed of answer in seconds]]&lt;=20),
    "Within",
    "Breach")</f>
        <v>Breach</v>
      </c>
    </row>
    <row r="3507" spans="1:14" x14ac:dyDescent="0.3">
      <c r="A3507" t="s">
        <v>3591</v>
      </c>
      <c r="B3507" t="s">
        <v>31</v>
      </c>
      <c r="C3507" t="s">
        <v>3538</v>
      </c>
      <c r="D3507" s="1">
        <v>0.69799768518518523</v>
      </c>
      <c r="E3507" s="2">
        <f>CallLog[[#This Row],[Date]]+CallLog[[#This Row],[Time]]</f>
        <v>44257.697997685187</v>
      </c>
      <c r="F3507" s="1" t="str">
        <f>TEXT(CallLog[[#This Row],[Date]],"dddd")</f>
        <v>Tuesday</v>
      </c>
      <c r="G3507" s="3">
        <f>HOUR(CallLog[[#This Row],[Time]])</f>
        <v>16</v>
      </c>
      <c r="H3507" t="s">
        <v>17</v>
      </c>
      <c r="I3507" t="s">
        <v>14</v>
      </c>
      <c r="J3507" t="s">
        <v>14</v>
      </c>
      <c r="K3507">
        <v>122</v>
      </c>
      <c r="L3507" t="str">
        <f>IF(AND(CallLog[[#This Row],[Answered (Y/N)]]="Y", CallLog[[#This Row],[Speed of answer in seconds]]&lt;=20),
    "Within",
    "Breach")</f>
        <v>Breach</v>
      </c>
      <c r="M3507" s="1">
        <v>1.7476851851851852E-3</v>
      </c>
      <c r="N3507">
        <v>3</v>
      </c>
    </row>
    <row r="3508" spans="1:14" x14ac:dyDescent="0.3">
      <c r="A3508" t="s">
        <v>3592</v>
      </c>
      <c r="B3508" t="s">
        <v>38</v>
      </c>
      <c r="C3508" t="s">
        <v>3538</v>
      </c>
      <c r="D3508" s="1">
        <v>0.7120023148148148</v>
      </c>
      <c r="E3508" s="2">
        <f>CallLog[[#This Row],[Date]]+CallLog[[#This Row],[Time]]</f>
        <v>44257.712002314816</v>
      </c>
      <c r="F3508" s="1" t="str">
        <f>TEXT(CallLog[[#This Row],[Date]],"dddd")</f>
        <v>Tuesday</v>
      </c>
      <c r="G3508" s="3">
        <f>HOUR(CallLog[[#This Row],[Time]])</f>
        <v>17</v>
      </c>
      <c r="H3508" t="s">
        <v>29</v>
      </c>
      <c r="I3508" t="s">
        <v>14</v>
      </c>
      <c r="J3508" t="s">
        <v>14</v>
      </c>
      <c r="K3508">
        <v>48</v>
      </c>
      <c r="L3508" t="str">
        <f>IF(AND(CallLog[[#This Row],[Answered (Y/N)]]="Y", CallLog[[#This Row],[Speed of answer in seconds]]&lt;=20),
    "Within",
    "Breach")</f>
        <v>Breach</v>
      </c>
      <c r="M3508" s="1">
        <v>4.0277777777777777E-3</v>
      </c>
      <c r="N3508">
        <v>3</v>
      </c>
    </row>
    <row r="3509" spans="1:14" x14ac:dyDescent="0.3">
      <c r="A3509" t="s">
        <v>3593</v>
      </c>
      <c r="B3509" t="s">
        <v>31</v>
      </c>
      <c r="C3509" t="s">
        <v>3538</v>
      </c>
      <c r="D3509" s="1">
        <v>0.7120023148148148</v>
      </c>
      <c r="E3509" s="2">
        <f>CallLog[[#This Row],[Date]]+CallLog[[#This Row],[Time]]</f>
        <v>44257.712002314816</v>
      </c>
      <c r="F3509" s="1" t="str">
        <f>TEXT(CallLog[[#This Row],[Date]],"dddd")</f>
        <v>Tuesday</v>
      </c>
      <c r="G3509" s="3">
        <f>HOUR(CallLog[[#This Row],[Time]])</f>
        <v>17</v>
      </c>
      <c r="H3509" t="s">
        <v>32</v>
      </c>
      <c r="I3509" t="s">
        <v>14</v>
      </c>
      <c r="J3509" t="s">
        <v>14</v>
      </c>
      <c r="K3509">
        <v>13</v>
      </c>
      <c r="L3509" t="str">
        <f>IF(AND(CallLog[[#This Row],[Answered (Y/N)]]="Y", CallLog[[#This Row],[Speed of answer in seconds]]&lt;=20),
    "Within",
    "Breach")</f>
        <v>Within</v>
      </c>
      <c r="M3509" s="1">
        <v>2.0486111111111113E-3</v>
      </c>
      <c r="N3509">
        <v>1</v>
      </c>
    </row>
    <row r="3510" spans="1:14" x14ac:dyDescent="0.3">
      <c r="A3510" t="s">
        <v>3594</v>
      </c>
      <c r="B3510" t="s">
        <v>11</v>
      </c>
      <c r="C3510" t="s">
        <v>3538</v>
      </c>
      <c r="D3510" s="1">
        <v>0.7170023148148148</v>
      </c>
      <c r="E3510" s="2">
        <f>CallLog[[#This Row],[Date]]+CallLog[[#This Row],[Time]]</f>
        <v>44257.717002314814</v>
      </c>
      <c r="F3510" s="1" t="str">
        <f>TEXT(CallLog[[#This Row],[Date]],"dddd")</f>
        <v>Tuesday</v>
      </c>
      <c r="G3510" s="3">
        <f>HOUR(CallLog[[#This Row],[Time]])</f>
        <v>17</v>
      </c>
      <c r="H3510" t="s">
        <v>29</v>
      </c>
      <c r="I3510" t="s">
        <v>14</v>
      </c>
      <c r="J3510" t="s">
        <v>14</v>
      </c>
      <c r="K3510">
        <v>23</v>
      </c>
      <c r="L3510" t="str">
        <f>IF(AND(CallLog[[#This Row],[Answered (Y/N)]]="Y", CallLog[[#This Row],[Speed of answer in seconds]]&lt;=20),
    "Within",
    "Breach")</f>
        <v>Breach</v>
      </c>
      <c r="M3510" s="1">
        <v>2.5347222222222221E-3</v>
      </c>
      <c r="N3510">
        <v>3</v>
      </c>
    </row>
    <row r="3511" spans="1:14" x14ac:dyDescent="0.3">
      <c r="A3511" t="s">
        <v>3595</v>
      </c>
      <c r="B3511" t="s">
        <v>47</v>
      </c>
      <c r="C3511" t="s">
        <v>3538</v>
      </c>
      <c r="D3511" s="1">
        <v>0.7170023148148148</v>
      </c>
      <c r="E3511" s="2">
        <f>CallLog[[#This Row],[Date]]+CallLog[[#This Row],[Time]]</f>
        <v>44257.717002314814</v>
      </c>
      <c r="F3511" s="1" t="str">
        <f>TEXT(CallLog[[#This Row],[Date]],"dddd")</f>
        <v>Tuesday</v>
      </c>
      <c r="G3511" s="3">
        <f>HOUR(CallLog[[#This Row],[Time]])</f>
        <v>17</v>
      </c>
      <c r="H3511" t="s">
        <v>32</v>
      </c>
      <c r="I3511" t="s">
        <v>14</v>
      </c>
      <c r="J3511" t="s">
        <v>14</v>
      </c>
      <c r="K3511">
        <v>13</v>
      </c>
      <c r="L3511" t="str">
        <f>IF(AND(CallLog[[#This Row],[Answered (Y/N)]]="Y", CallLog[[#This Row],[Speed of answer in seconds]]&lt;=20),
    "Within",
    "Breach")</f>
        <v>Within</v>
      </c>
      <c r="M3511" s="1">
        <v>7.9861111111111116E-4</v>
      </c>
      <c r="N3511">
        <v>4</v>
      </c>
    </row>
    <row r="3512" spans="1:14" x14ac:dyDescent="0.3">
      <c r="A3512" t="s">
        <v>3596</v>
      </c>
      <c r="B3512" t="s">
        <v>31</v>
      </c>
      <c r="C3512" t="s">
        <v>3538</v>
      </c>
      <c r="D3512" s="1">
        <v>0.72099537037037043</v>
      </c>
      <c r="E3512" s="2">
        <f>CallLog[[#This Row],[Date]]+CallLog[[#This Row],[Time]]</f>
        <v>44257.720995370371</v>
      </c>
      <c r="F3512" s="1" t="str">
        <f>TEXT(CallLog[[#This Row],[Date]],"dddd")</f>
        <v>Tuesday</v>
      </c>
      <c r="G3512" s="3">
        <f>HOUR(CallLog[[#This Row],[Time]])</f>
        <v>17</v>
      </c>
      <c r="H3512" t="s">
        <v>17</v>
      </c>
      <c r="I3512" t="s">
        <v>14</v>
      </c>
      <c r="J3512" t="s">
        <v>14</v>
      </c>
      <c r="K3512">
        <v>16</v>
      </c>
      <c r="L3512" t="str">
        <f>IF(AND(CallLog[[#This Row],[Answered (Y/N)]]="Y", CallLog[[#This Row],[Speed of answer in seconds]]&lt;=20),
    "Within",
    "Breach")</f>
        <v>Within</v>
      </c>
      <c r="M3512" s="1">
        <v>4.1435185185185186E-3</v>
      </c>
      <c r="N3512">
        <v>3</v>
      </c>
    </row>
    <row r="3513" spans="1:14" x14ac:dyDescent="0.3">
      <c r="A3513" t="s">
        <v>3597</v>
      </c>
      <c r="B3513" t="s">
        <v>31</v>
      </c>
      <c r="C3513" t="s">
        <v>3538</v>
      </c>
      <c r="D3513" s="1">
        <v>0.72099537037037043</v>
      </c>
      <c r="E3513" s="2">
        <f>CallLog[[#This Row],[Date]]+CallLog[[#This Row],[Time]]</f>
        <v>44257.720995370371</v>
      </c>
      <c r="F3513" s="1" t="str">
        <f>TEXT(CallLog[[#This Row],[Date]],"dddd")</f>
        <v>Tuesday</v>
      </c>
      <c r="G3513" s="3">
        <f>HOUR(CallLog[[#This Row],[Time]])</f>
        <v>17</v>
      </c>
      <c r="H3513" t="s">
        <v>13</v>
      </c>
      <c r="I3513" t="s">
        <v>18</v>
      </c>
      <c r="J3513" t="s">
        <v>18</v>
      </c>
      <c r="L3513" t="str">
        <f>IF(AND(CallLog[[#This Row],[Answered (Y/N)]]="Y", CallLog[[#This Row],[Speed of answer in seconds]]&lt;=20),
    "Within",
    "Breach")</f>
        <v>Breach</v>
      </c>
    </row>
    <row r="3514" spans="1:14" x14ac:dyDescent="0.3">
      <c r="A3514" t="s">
        <v>3598</v>
      </c>
      <c r="B3514" t="s">
        <v>16</v>
      </c>
      <c r="C3514" t="s">
        <v>3538</v>
      </c>
      <c r="D3514" s="1">
        <v>0.72900462962962964</v>
      </c>
      <c r="E3514" s="2">
        <f>CallLog[[#This Row],[Date]]+CallLog[[#This Row],[Time]]</f>
        <v>44257.729004629633</v>
      </c>
      <c r="F3514" s="1" t="str">
        <f>TEXT(CallLog[[#This Row],[Date]],"dddd")</f>
        <v>Tuesday</v>
      </c>
      <c r="G3514" s="3">
        <f>HOUR(CallLog[[#This Row],[Time]])</f>
        <v>17</v>
      </c>
      <c r="H3514" t="s">
        <v>32</v>
      </c>
      <c r="I3514" t="s">
        <v>14</v>
      </c>
      <c r="J3514" t="s">
        <v>14</v>
      </c>
      <c r="K3514">
        <v>49</v>
      </c>
      <c r="L3514" t="str">
        <f>IF(AND(CallLog[[#This Row],[Answered (Y/N)]]="Y", CallLog[[#This Row],[Speed of answer in seconds]]&lt;=20),
    "Within",
    "Breach")</f>
        <v>Breach</v>
      </c>
      <c r="M3514" s="1">
        <v>2.9513888888888888E-3</v>
      </c>
      <c r="N3514">
        <v>3</v>
      </c>
    </row>
    <row r="3515" spans="1:14" x14ac:dyDescent="0.3">
      <c r="A3515" t="s">
        <v>3599</v>
      </c>
      <c r="B3515" t="s">
        <v>16</v>
      </c>
      <c r="C3515" t="s">
        <v>3538</v>
      </c>
      <c r="D3515" s="1">
        <v>0.72900462962962964</v>
      </c>
      <c r="E3515" s="2">
        <f>CallLog[[#This Row],[Date]]+CallLog[[#This Row],[Time]]</f>
        <v>44257.729004629633</v>
      </c>
      <c r="F3515" s="1" t="str">
        <f>TEXT(CallLog[[#This Row],[Date]],"dddd")</f>
        <v>Tuesday</v>
      </c>
      <c r="G3515" s="3">
        <f>HOUR(CallLog[[#This Row],[Time]])</f>
        <v>17</v>
      </c>
      <c r="H3515" t="s">
        <v>13</v>
      </c>
      <c r="I3515" t="s">
        <v>14</v>
      </c>
      <c r="J3515" t="s">
        <v>14</v>
      </c>
      <c r="K3515">
        <v>76</v>
      </c>
      <c r="L3515" t="str">
        <f>IF(AND(CallLog[[#This Row],[Answered (Y/N)]]="Y", CallLog[[#This Row],[Speed of answer in seconds]]&lt;=20),
    "Within",
    "Breach")</f>
        <v>Breach</v>
      </c>
      <c r="M3515" s="1">
        <v>9.837962962962962E-4</v>
      </c>
      <c r="N3515">
        <v>3</v>
      </c>
    </row>
    <row r="3516" spans="1:14" x14ac:dyDescent="0.3">
      <c r="A3516" t="s">
        <v>3600</v>
      </c>
      <c r="B3516" t="s">
        <v>22</v>
      </c>
      <c r="C3516" t="s">
        <v>3601</v>
      </c>
      <c r="D3516" s="1">
        <v>0.38900462962962962</v>
      </c>
      <c r="E3516" s="2">
        <f>CallLog[[#This Row],[Date]]+CallLog[[#This Row],[Time]]</f>
        <v>44258.389004629629</v>
      </c>
      <c r="F3516" s="1" t="str">
        <f>TEXT(CallLog[[#This Row],[Date]],"dddd")</f>
        <v>Wednesday</v>
      </c>
      <c r="G3516" s="3">
        <f>HOUR(CallLog[[#This Row],[Time]])</f>
        <v>9</v>
      </c>
      <c r="H3516" t="s">
        <v>17</v>
      </c>
      <c r="I3516" t="s">
        <v>18</v>
      </c>
      <c r="J3516" t="s">
        <v>18</v>
      </c>
      <c r="L3516" t="str">
        <f>IF(AND(CallLog[[#This Row],[Answered (Y/N)]]="Y", CallLog[[#This Row],[Speed of answer in seconds]]&lt;=20),
    "Within",
    "Breach")</f>
        <v>Breach</v>
      </c>
    </row>
    <row r="3517" spans="1:14" x14ac:dyDescent="0.3">
      <c r="A3517" t="s">
        <v>3602</v>
      </c>
      <c r="B3517" t="s">
        <v>11</v>
      </c>
      <c r="C3517" t="s">
        <v>3601</v>
      </c>
      <c r="D3517" s="1">
        <v>0.38900462962962962</v>
      </c>
      <c r="E3517" s="2">
        <f>CallLog[[#This Row],[Date]]+CallLog[[#This Row],[Time]]</f>
        <v>44258.389004629629</v>
      </c>
      <c r="F3517" s="1" t="str">
        <f>TEXT(CallLog[[#This Row],[Date]],"dddd")</f>
        <v>Wednesday</v>
      </c>
      <c r="G3517" s="3">
        <f>HOUR(CallLog[[#This Row],[Time]])</f>
        <v>9</v>
      </c>
      <c r="H3517" t="s">
        <v>32</v>
      </c>
      <c r="I3517" t="s">
        <v>18</v>
      </c>
      <c r="J3517" t="s">
        <v>18</v>
      </c>
      <c r="L3517" t="str">
        <f>IF(AND(CallLog[[#This Row],[Answered (Y/N)]]="Y", CallLog[[#This Row],[Speed of answer in seconds]]&lt;=20),
    "Within",
    "Breach")</f>
        <v>Breach</v>
      </c>
    </row>
    <row r="3518" spans="1:14" x14ac:dyDescent="0.3">
      <c r="A3518" t="s">
        <v>3603</v>
      </c>
      <c r="B3518" t="s">
        <v>34</v>
      </c>
      <c r="C3518" t="s">
        <v>3601</v>
      </c>
      <c r="D3518" s="1">
        <v>0.40299768518518519</v>
      </c>
      <c r="E3518" s="2">
        <f>CallLog[[#This Row],[Date]]+CallLog[[#This Row],[Time]]</f>
        <v>44258.402997685182</v>
      </c>
      <c r="F3518" s="1" t="str">
        <f>TEXT(CallLog[[#This Row],[Date]],"dddd")</f>
        <v>Wednesday</v>
      </c>
      <c r="G3518" s="3">
        <f>HOUR(CallLog[[#This Row],[Time]])</f>
        <v>9</v>
      </c>
      <c r="H3518" t="s">
        <v>13</v>
      </c>
      <c r="I3518" t="s">
        <v>18</v>
      </c>
      <c r="J3518" t="s">
        <v>18</v>
      </c>
      <c r="L3518" t="str">
        <f>IF(AND(CallLog[[#This Row],[Answered (Y/N)]]="Y", CallLog[[#This Row],[Speed of answer in seconds]]&lt;=20),
    "Within",
    "Breach")</f>
        <v>Breach</v>
      </c>
    </row>
    <row r="3519" spans="1:14" x14ac:dyDescent="0.3">
      <c r="A3519" t="s">
        <v>3604</v>
      </c>
      <c r="B3519" t="s">
        <v>31</v>
      </c>
      <c r="C3519" t="s">
        <v>3601</v>
      </c>
      <c r="D3519" s="1">
        <v>0.40299768518518519</v>
      </c>
      <c r="E3519" s="2">
        <f>CallLog[[#This Row],[Date]]+CallLog[[#This Row],[Time]]</f>
        <v>44258.402997685182</v>
      </c>
      <c r="F3519" s="1" t="str">
        <f>TEXT(CallLog[[#This Row],[Date]],"dddd")</f>
        <v>Wednesday</v>
      </c>
      <c r="G3519" s="3">
        <f>HOUR(CallLog[[#This Row],[Time]])</f>
        <v>9</v>
      </c>
      <c r="H3519" t="s">
        <v>32</v>
      </c>
      <c r="I3519" t="s">
        <v>14</v>
      </c>
      <c r="J3519" t="s">
        <v>14</v>
      </c>
      <c r="K3519">
        <v>43</v>
      </c>
      <c r="L3519" t="str">
        <f>IF(AND(CallLog[[#This Row],[Answered (Y/N)]]="Y", CallLog[[#This Row],[Speed of answer in seconds]]&lt;=20),
    "Within",
    "Breach")</f>
        <v>Breach</v>
      </c>
      <c r="M3519" s="1">
        <v>2.2569444444444442E-3</v>
      </c>
      <c r="N3519">
        <v>4</v>
      </c>
    </row>
    <row r="3520" spans="1:14" x14ac:dyDescent="0.3">
      <c r="A3520" t="s">
        <v>3605</v>
      </c>
      <c r="B3520" t="s">
        <v>38</v>
      </c>
      <c r="C3520" t="s">
        <v>3601</v>
      </c>
      <c r="D3520" s="1">
        <v>0.41</v>
      </c>
      <c r="E3520" s="2">
        <f>CallLog[[#This Row],[Date]]+CallLog[[#This Row],[Time]]</f>
        <v>44258.41</v>
      </c>
      <c r="F3520" s="1" t="str">
        <f>TEXT(CallLog[[#This Row],[Date]],"dddd")</f>
        <v>Wednesday</v>
      </c>
      <c r="G3520" s="3">
        <f>HOUR(CallLog[[#This Row],[Time]])</f>
        <v>9</v>
      </c>
      <c r="H3520" t="s">
        <v>32</v>
      </c>
      <c r="I3520" t="s">
        <v>14</v>
      </c>
      <c r="J3520" t="s">
        <v>18</v>
      </c>
      <c r="K3520">
        <v>118</v>
      </c>
      <c r="L3520" t="str">
        <f>IF(AND(CallLog[[#This Row],[Answered (Y/N)]]="Y", CallLog[[#This Row],[Speed of answer in seconds]]&lt;=20),
    "Within",
    "Breach")</f>
        <v>Breach</v>
      </c>
      <c r="M3520" s="1">
        <v>1.0069444444444444E-3</v>
      </c>
      <c r="N3520">
        <v>5</v>
      </c>
    </row>
    <row r="3521" spans="1:14" x14ac:dyDescent="0.3">
      <c r="A3521" t="s">
        <v>3606</v>
      </c>
      <c r="B3521" t="s">
        <v>22</v>
      </c>
      <c r="C3521" t="s">
        <v>3601</v>
      </c>
      <c r="D3521" s="1">
        <v>0.41</v>
      </c>
      <c r="E3521" s="2">
        <f>CallLog[[#This Row],[Date]]+CallLog[[#This Row],[Time]]</f>
        <v>44258.41</v>
      </c>
      <c r="F3521" s="1" t="str">
        <f>TEXT(CallLog[[#This Row],[Date]],"dddd")</f>
        <v>Wednesday</v>
      </c>
      <c r="G3521" s="3">
        <f>HOUR(CallLog[[#This Row],[Time]])</f>
        <v>9</v>
      </c>
      <c r="H3521" t="s">
        <v>32</v>
      </c>
      <c r="I3521" t="s">
        <v>14</v>
      </c>
      <c r="J3521" t="s">
        <v>14</v>
      </c>
      <c r="K3521">
        <v>57</v>
      </c>
      <c r="L3521" t="str">
        <f>IF(AND(CallLog[[#This Row],[Answered (Y/N)]]="Y", CallLog[[#This Row],[Speed of answer in seconds]]&lt;=20),
    "Within",
    "Breach")</f>
        <v>Breach</v>
      </c>
      <c r="M3521" s="1">
        <v>9.837962962962962E-4</v>
      </c>
      <c r="N3521">
        <v>4</v>
      </c>
    </row>
    <row r="3522" spans="1:14" x14ac:dyDescent="0.3">
      <c r="A3522" t="s">
        <v>3607</v>
      </c>
      <c r="B3522" t="s">
        <v>11</v>
      </c>
      <c r="C3522" t="s">
        <v>3601</v>
      </c>
      <c r="D3522" s="1">
        <v>0.42200231481481482</v>
      </c>
      <c r="E3522" s="2">
        <f>CallLog[[#This Row],[Date]]+CallLog[[#This Row],[Time]]</f>
        <v>44258.422002314815</v>
      </c>
      <c r="F3522" s="1" t="str">
        <f>TEXT(CallLog[[#This Row],[Date]],"dddd")</f>
        <v>Wednesday</v>
      </c>
      <c r="G3522" s="3">
        <f>HOUR(CallLog[[#This Row],[Time]])</f>
        <v>10</v>
      </c>
      <c r="H3522" t="s">
        <v>29</v>
      </c>
      <c r="I3522" t="s">
        <v>14</v>
      </c>
      <c r="J3522" t="s">
        <v>14</v>
      </c>
      <c r="K3522">
        <v>79</v>
      </c>
      <c r="L3522" t="str">
        <f>IF(AND(CallLog[[#This Row],[Answered (Y/N)]]="Y", CallLog[[#This Row],[Speed of answer in seconds]]&lt;=20),
    "Within",
    "Breach")</f>
        <v>Breach</v>
      </c>
      <c r="M3522" s="1">
        <v>2.5115740740740741E-3</v>
      </c>
      <c r="N3522">
        <v>2</v>
      </c>
    </row>
    <row r="3523" spans="1:14" x14ac:dyDescent="0.3">
      <c r="A3523" t="s">
        <v>3608</v>
      </c>
      <c r="B3523" t="s">
        <v>47</v>
      </c>
      <c r="C3523" t="s">
        <v>3601</v>
      </c>
      <c r="D3523" s="1">
        <v>0.42200231481481482</v>
      </c>
      <c r="E3523" s="2">
        <f>CallLog[[#This Row],[Date]]+CallLog[[#This Row],[Time]]</f>
        <v>44258.422002314815</v>
      </c>
      <c r="F3523" s="1" t="str">
        <f>TEXT(CallLog[[#This Row],[Date]],"dddd")</f>
        <v>Wednesday</v>
      </c>
      <c r="G3523" s="3">
        <f>HOUR(CallLog[[#This Row],[Time]])</f>
        <v>10</v>
      </c>
      <c r="H3523" t="s">
        <v>13</v>
      </c>
      <c r="I3523" t="s">
        <v>14</v>
      </c>
      <c r="J3523" t="s">
        <v>14</v>
      </c>
      <c r="K3523">
        <v>39</v>
      </c>
      <c r="L3523" t="str">
        <f>IF(AND(CallLog[[#This Row],[Answered (Y/N)]]="Y", CallLog[[#This Row],[Speed of answer in seconds]]&lt;=20),
    "Within",
    "Breach")</f>
        <v>Breach</v>
      </c>
      <c r="M3523" s="1">
        <v>4.7453703703703703E-3</v>
      </c>
      <c r="N3523">
        <v>1</v>
      </c>
    </row>
    <row r="3524" spans="1:14" x14ac:dyDescent="0.3">
      <c r="A3524" t="s">
        <v>3609</v>
      </c>
      <c r="B3524" t="s">
        <v>22</v>
      </c>
      <c r="C3524" t="s">
        <v>3601</v>
      </c>
      <c r="D3524" s="1">
        <v>0.44700231481481484</v>
      </c>
      <c r="E3524" s="2">
        <f>CallLog[[#This Row],[Date]]+CallLog[[#This Row],[Time]]</f>
        <v>44258.447002314817</v>
      </c>
      <c r="F3524" s="1" t="str">
        <f>TEXT(CallLog[[#This Row],[Date]],"dddd")</f>
        <v>Wednesday</v>
      </c>
      <c r="G3524" s="3">
        <f>HOUR(CallLog[[#This Row],[Time]])</f>
        <v>10</v>
      </c>
      <c r="H3524" t="s">
        <v>29</v>
      </c>
      <c r="I3524" t="s">
        <v>14</v>
      </c>
      <c r="J3524" t="s">
        <v>14</v>
      </c>
      <c r="K3524">
        <v>62</v>
      </c>
      <c r="L3524" t="str">
        <f>IF(AND(CallLog[[#This Row],[Answered (Y/N)]]="Y", CallLog[[#This Row],[Speed of answer in seconds]]&lt;=20),
    "Within",
    "Breach")</f>
        <v>Breach</v>
      </c>
      <c r="M3524" s="1">
        <v>1.9675925925925924E-3</v>
      </c>
      <c r="N3524">
        <v>4</v>
      </c>
    </row>
    <row r="3525" spans="1:14" x14ac:dyDescent="0.3">
      <c r="A3525" t="s">
        <v>3610</v>
      </c>
      <c r="B3525" t="s">
        <v>20</v>
      </c>
      <c r="C3525" t="s">
        <v>3601</v>
      </c>
      <c r="D3525" s="1">
        <v>0.44700231481481484</v>
      </c>
      <c r="E3525" s="2">
        <f>CallLog[[#This Row],[Date]]+CallLog[[#This Row],[Time]]</f>
        <v>44258.447002314817</v>
      </c>
      <c r="F3525" s="1" t="str">
        <f>TEXT(CallLog[[#This Row],[Date]],"dddd")</f>
        <v>Wednesday</v>
      </c>
      <c r="G3525" s="3">
        <f>HOUR(CallLog[[#This Row],[Time]])</f>
        <v>10</v>
      </c>
      <c r="H3525" t="s">
        <v>13</v>
      </c>
      <c r="I3525" t="s">
        <v>14</v>
      </c>
      <c r="J3525" t="s">
        <v>14</v>
      </c>
      <c r="K3525">
        <v>38</v>
      </c>
      <c r="L3525" t="str">
        <f>IF(AND(CallLog[[#This Row],[Answered (Y/N)]]="Y", CallLog[[#This Row],[Speed of answer in seconds]]&lt;=20),
    "Within",
    "Breach")</f>
        <v>Breach</v>
      </c>
      <c r="M3525" s="1">
        <v>2.7314814814814814E-3</v>
      </c>
      <c r="N3525">
        <v>5</v>
      </c>
    </row>
    <row r="3526" spans="1:14" x14ac:dyDescent="0.3">
      <c r="A3526" t="s">
        <v>3611</v>
      </c>
      <c r="B3526" t="s">
        <v>20</v>
      </c>
      <c r="C3526" t="s">
        <v>3601</v>
      </c>
      <c r="D3526" s="1">
        <v>0.45799768518518519</v>
      </c>
      <c r="E3526" s="2">
        <f>CallLog[[#This Row],[Date]]+CallLog[[#This Row],[Time]]</f>
        <v>44258.457997685182</v>
      </c>
      <c r="F3526" s="1" t="str">
        <f>TEXT(CallLog[[#This Row],[Date]],"dddd")</f>
        <v>Wednesday</v>
      </c>
      <c r="G3526" s="3">
        <f>HOUR(CallLog[[#This Row],[Time]])</f>
        <v>10</v>
      </c>
      <c r="H3526" t="s">
        <v>17</v>
      </c>
      <c r="I3526" t="s">
        <v>14</v>
      </c>
      <c r="J3526" t="s">
        <v>14</v>
      </c>
      <c r="K3526">
        <v>85</v>
      </c>
      <c r="L3526" t="str">
        <f>IF(AND(CallLog[[#This Row],[Answered (Y/N)]]="Y", CallLog[[#This Row],[Speed of answer in seconds]]&lt;=20),
    "Within",
    "Breach")</f>
        <v>Breach</v>
      </c>
      <c r="M3526" s="1">
        <v>3.9004629629629628E-3</v>
      </c>
      <c r="N3526">
        <v>5</v>
      </c>
    </row>
    <row r="3527" spans="1:14" x14ac:dyDescent="0.3">
      <c r="A3527" t="s">
        <v>3612</v>
      </c>
      <c r="B3527" t="s">
        <v>34</v>
      </c>
      <c r="C3527" t="s">
        <v>3601</v>
      </c>
      <c r="D3527" s="1">
        <v>0.45799768518518519</v>
      </c>
      <c r="E3527" s="2">
        <f>CallLog[[#This Row],[Date]]+CallLog[[#This Row],[Time]]</f>
        <v>44258.457997685182</v>
      </c>
      <c r="F3527" s="1" t="str">
        <f>TEXT(CallLog[[#This Row],[Date]],"dddd")</f>
        <v>Wednesday</v>
      </c>
      <c r="G3527" s="3">
        <f>HOUR(CallLog[[#This Row],[Time]])</f>
        <v>10</v>
      </c>
      <c r="H3527" t="s">
        <v>32</v>
      </c>
      <c r="I3527" t="s">
        <v>14</v>
      </c>
      <c r="J3527" t="s">
        <v>14</v>
      </c>
      <c r="K3527">
        <v>56</v>
      </c>
      <c r="L3527" t="str">
        <f>IF(AND(CallLog[[#This Row],[Answered (Y/N)]]="Y", CallLog[[#This Row],[Speed of answer in seconds]]&lt;=20),
    "Within",
    "Breach")</f>
        <v>Breach</v>
      </c>
      <c r="M3527" s="1">
        <v>1.9444444444444444E-3</v>
      </c>
      <c r="N3527">
        <v>1</v>
      </c>
    </row>
    <row r="3528" spans="1:14" x14ac:dyDescent="0.3">
      <c r="A3528" t="s">
        <v>3613</v>
      </c>
      <c r="B3528" t="s">
        <v>11</v>
      </c>
      <c r="C3528" t="s">
        <v>3601</v>
      </c>
      <c r="D3528" s="1">
        <v>0.52900462962962957</v>
      </c>
      <c r="E3528" s="2">
        <f>CallLog[[#This Row],[Date]]+CallLog[[#This Row],[Time]]</f>
        <v>44258.529004629629</v>
      </c>
      <c r="F3528" s="1" t="str">
        <f>TEXT(CallLog[[#This Row],[Date]],"dddd")</f>
        <v>Wednesday</v>
      </c>
      <c r="G3528" s="3">
        <f>HOUR(CallLog[[#This Row],[Time]])</f>
        <v>12</v>
      </c>
      <c r="H3528" t="s">
        <v>13</v>
      </c>
      <c r="I3528" t="s">
        <v>14</v>
      </c>
      <c r="J3528" t="s">
        <v>14</v>
      </c>
      <c r="K3528">
        <v>38</v>
      </c>
      <c r="L3528" t="str">
        <f>IF(AND(CallLog[[#This Row],[Answered (Y/N)]]="Y", CallLog[[#This Row],[Speed of answer in seconds]]&lt;=20),
    "Within",
    "Breach")</f>
        <v>Breach</v>
      </c>
      <c r="M3528" s="1">
        <v>3.7384259259259259E-3</v>
      </c>
      <c r="N3528">
        <v>1</v>
      </c>
    </row>
    <row r="3529" spans="1:14" x14ac:dyDescent="0.3">
      <c r="A3529" t="s">
        <v>3614</v>
      </c>
      <c r="B3529" t="s">
        <v>38</v>
      </c>
      <c r="C3529" t="s">
        <v>3601</v>
      </c>
      <c r="D3529" s="1">
        <v>0.52900462962962957</v>
      </c>
      <c r="E3529" s="2">
        <f>CallLog[[#This Row],[Date]]+CallLog[[#This Row],[Time]]</f>
        <v>44258.529004629629</v>
      </c>
      <c r="F3529" s="1" t="str">
        <f>TEXT(CallLog[[#This Row],[Date]],"dddd")</f>
        <v>Wednesday</v>
      </c>
      <c r="G3529" s="3">
        <f>HOUR(CallLog[[#This Row],[Time]])</f>
        <v>12</v>
      </c>
      <c r="H3529" t="s">
        <v>13</v>
      </c>
      <c r="I3529" t="s">
        <v>14</v>
      </c>
      <c r="J3529" t="s">
        <v>14</v>
      </c>
      <c r="K3529">
        <v>21</v>
      </c>
      <c r="L3529" t="str">
        <f>IF(AND(CallLog[[#This Row],[Answered (Y/N)]]="Y", CallLog[[#This Row],[Speed of answer in seconds]]&lt;=20),
    "Within",
    "Breach")</f>
        <v>Breach</v>
      </c>
      <c r="M3529" s="1">
        <v>2.1643518518518518E-3</v>
      </c>
      <c r="N3529">
        <v>3</v>
      </c>
    </row>
    <row r="3530" spans="1:14" x14ac:dyDescent="0.3">
      <c r="A3530" t="s">
        <v>3615</v>
      </c>
      <c r="B3530" t="s">
        <v>20</v>
      </c>
      <c r="C3530" t="s">
        <v>3601</v>
      </c>
      <c r="D3530" s="1">
        <v>0.54</v>
      </c>
      <c r="E3530" s="2">
        <f>CallLog[[#This Row],[Date]]+CallLog[[#This Row],[Time]]</f>
        <v>44258.54</v>
      </c>
      <c r="F3530" s="1" t="str">
        <f>TEXT(CallLog[[#This Row],[Date]],"dddd")</f>
        <v>Wednesday</v>
      </c>
      <c r="G3530" s="3">
        <f>HOUR(CallLog[[#This Row],[Time]])</f>
        <v>12</v>
      </c>
      <c r="H3530" t="s">
        <v>32</v>
      </c>
      <c r="I3530" t="s">
        <v>14</v>
      </c>
      <c r="J3530" t="s">
        <v>14</v>
      </c>
      <c r="K3530">
        <v>36</v>
      </c>
      <c r="L3530" t="str">
        <f>IF(AND(CallLog[[#This Row],[Answered (Y/N)]]="Y", CallLog[[#This Row],[Speed of answer in seconds]]&lt;=20),
    "Within",
    "Breach")</f>
        <v>Breach</v>
      </c>
      <c r="M3530" s="1">
        <v>2.8240740740740739E-3</v>
      </c>
      <c r="N3530">
        <v>1</v>
      </c>
    </row>
    <row r="3531" spans="1:14" x14ac:dyDescent="0.3">
      <c r="A3531" t="s">
        <v>3616</v>
      </c>
      <c r="B3531" t="s">
        <v>22</v>
      </c>
      <c r="C3531" t="s">
        <v>3601</v>
      </c>
      <c r="D3531" s="1">
        <v>0.54</v>
      </c>
      <c r="E3531" s="2">
        <f>CallLog[[#This Row],[Date]]+CallLog[[#This Row],[Time]]</f>
        <v>44258.54</v>
      </c>
      <c r="F3531" s="1" t="str">
        <f>TEXT(CallLog[[#This Row],[Date]],"dddd")</f>
        <v>Wednesday</v>
      </c>
      <c r="G3531" s="3">
        <f>HOUR(CallLog[[#This Row],[Time]])</f>
        <v>12</v>
      </c>
      <c r="H3531" t="s">
        <v>24</v>
      </c>
      <c r="I3531" t="s">
        <v>14</v>
      </c>
      <c r="J3531" t="s">
        <v>14</v>
      </c>
      <c r="K3531">
        <v>77</v>
      </c>
      <c r="L3531" t="str">
        <f>IF(AND(CallLog[[#This Row],[Answered (Y/N)]]="Y", CallLog[[#This Row],[Speed of answer in seconds]]&lt;=20),
    "Within",
    "Breach")</f>
        <v>Breach</v>
      </c>
      <c r="M3531" s="1">
        <v>4.3287037037037035E-3</v>
      </c>
      <c r="N3531">
        <v>4</v>
      </c>
    </row>
    <row r="3532" spans="1:14" x14ac:dyDescent="0.3">
      <c r="A3532" t="s">
        <v>3617</v>
      </c>
      <c r="B3532" t="s">
        <v>22</v>
      </c>
      <c r="C3532" t="s">
        <v>3601</v>
      </c>
      <c r="D3532" s="1">
        <v>0.55000000000000004</v>
      </c>
      <c r="E3532" s="2">
        <f>CallLog[[#This Row],[Date]]+CallLog[[#This Row],[Time]]</f>
        <v>44258.55</v>
      </c>
      <c r="F3532" s="1" t="str">
        <f>TEXT(CallLog[[#This Row],[Date]],"dddd")</f>
        <v>Wednesday</v>
      </c>
      <c r="G3532" s="3">
        <f>HOUR(CallLog[[#This Row],[Time]])</f>
        <v>13</v>
      </c>
      <c r="H3532" t="s">
        <v>13</v>
      </c>
      <c r="I3532" t="s">
        <v>14</v>
      </c>
      <c r="J3532" t="s">
        <v>14</v>
      </c>
      <c r="K3532">
        <v>64</v>
      </c>
      <c r="L3532" t="str">
        <f>IF(AND(CallLog[[#This Row],[Answered (Y/N)]]="Y", CallLog[[#This Row],[Speed of answer in seconds]]&lt;=20),
    "Within",
    "Breach")</f>
        <v>Breach</v>
      </c>
      <c r="M3532" s="1">
        <v>9.3749999999999997E-4</v>
      </c>
      <c r="N3532">
        <v>3</v>
      </c>
    </row>
    <row r="3533" spans="1:14" x14ac:dyDescent="0.3">
      <c r="A3533" t="s">
        <v>3618</v>
      </c>
      <c r="B3533" t="s">
        <v>20</v>
      </c>
      <c r="C3533" t="s">
        <v>3601</v>
      </c>
      <c r="D3533" s="1">
        <v>0.55000000000000004</v>
      </c>
      <c r="E3533" s="2">
        <f>CallLog[[#This Row],[Date]]+CallLog[[#This Row],[Time]]</f>
        <v>44258.55</v>
      </c>
      <c r="F3533" s="1" t="str">
        <f>TEXT(CallLog[[#This Row],[Date]],"dddd")</f>
        <v>Wednesday</v>
      </c>
      <c r="G3533" s="3">
        <f>HOUR(CallLog[[#This Row],[Time]])</f>
        <v>13</v>
      </c>
      <c r="H3533" t="s">
        <v>24</v>
      </c>
      <c r="I3533" t="s">
        <v>18</v>
      </c>
      <c r="J3533" t="s">
        <v>18</v>
      </c>
      <c r="L3533" t="str">
        <f>IF(AND(CallLog[[#This Row],[Answered (Y/N)]]="Y", CallLog[[#This Row],[Speed of answer in seconds]]&lt;=20),
    "Within",
    "Breach")</f>
        <v>Breach</v>
      </c>
    </row>
    <row r="3534" spans="1:14" x14ac:dyDescent="0.3">
      <c r="A3534" t="s">
        <v>3619</v>
      </c>
      <c r="B3534" t="s">
        <v>11</v>
      </c>
      <c r="C3534" t="s">
        <v>3601</v>
      </c>
      <c r="D3534" s="1">
        <v>0.55299768518518522</v>
      </c>
      <c r="E3534" s="2">
        <f>CallLog[[#This Row],[Date]]+CallLog[[#This Row],[Time]]</f>
        <v>44258.552997685183</v>
      </c>
      <c r="F3534" s="1" t="str">
        <f>TEXT(CallLog[[#This Row],[Date]],"dddd")</f>
        <v>Wednesday</v>
      </c>
      <c r="G3534" s="3">
        <f>HOUR(CallLog[[#This Row],[Time]])</f>
        <v>13</v>
      </c>
      <c r="H3534" t="s">
        <v>17</v>
      </c>
      <c r="I3534" t="s">
        <v>14</v>
      </c>
      <c r="J3534" t="s">
        <v>14</v>
      </c>
      <c r="K3534">
        <v>72</v>
      </c>
      <c r="L3534" t="str">
        <f>IF(AND(CallLog[[#This Row],[Answered (Y/N)]]="Y", CallLog[[#This Row],[Speed of answer in seconds]]&lt;=20),
    "Within",
    "Breach")</f>
        <v>Breach</v>
      </c>
      <c r="M3534" s="1">
        <v>1.5393518518518519E-3</v>
      </c>
      <c r="N3534">
        <v>1</v>
      </c>
    </row>
    <row r="3535" spans="1:14" x14ac:dyDescent="0.3">
      <c r="A3535" t="s">
        <v>3620</v>
      </c>
      <c r="B3535" t="s">
        <v>20</v>
      </c>
      <c r="C3535" t="s">
        <v>3601</v>
      </c>
      <c r="D3535" s="1">
        <v>0.55299768518518522</v>
      </c>
      <c r="E3535" s="2">
        <f>CallLog[[#This Row],[Date]]+CallLog[[#This Row],[Time]]</f>
        <v>44258.552997685183</v>
      </c>
      <c r="F3535" s="1" t="str">
        <f>TEXT(CallLog[[#This Row],[Date]],"dddd")</f>
        <v>Wednesday</v>
      </c>
      <c r="G3535" s="3">
        <f>HOUR(CallLog[[#This Row],[Time]])</f>
        <v>13</v>
      </c>
      <c r="H3535" t="s">
        <v>17</v>
      </c>
      <c r="I3535" t="s">
        <v>14</v>
      </c>
      <c r="J3535" t="s">
        <v>14</v>
      </c>
      <c r="K3535">
        <v>84</v>
      </c>
      <c r="L3535" t="str">
        <f>IF(AND(CallLog[[#This Row],[Answered (Y/N)]]="Y", CallLog[[#This Row],[Speed of answer in seconds]]&lt;=20),
    "Within",
    "Breach")</f>
        <v>Breach</v>
      </c>
      <c r="M3535" s="1">
        <v>1.1689814814814816E-3</v>
      </c>
      <c r="N3535">
        <v>4</v>
      </c>
    </row>
    <row r="3536" spans="1:14" x14ac:dyDescent="0.3">
      <c r="A3536" t="s">
        <v>3621</v>
      </c>
      <c r="B3536" t="s">
        <v>16</v>
      </c>
      <c r="C3536" t="s">
        <v>3601</v>
      </c>
      <c r="D3536" s="1">
        <v>0.58900462962962963</v>
      </c>
      <c r="E3536" s="2">
        <f>CallLog[[#This Row],[Date]]+CallLog[[#This Row],[Time]]</f>
        <v>44258.589004629626</v>
      </c>
      <c r="F3536" s="1" t="str">
        <f>TEXT(CallLog[[#This Row],[Date]],"dddd")</f>
        <v>Wednesday</v>
      </c>
      <c r="G3536" s="3">
        <f>HOUR(CallLog[[#This Row],[Time]])</f>
        <v>14</v>
      </c>
      <c r="H3536" t="s">
        <v>13</v>
      </c>
      <c r="I3536" t="s">
        <v>14</v>
      </c>
      <c r="J3536" t="s">
        <v>14</v>
      </c>
      <c r="K3536">
        <v>59</v>
      </c>
      <c r="L3536" t="str">
        <f>IF(AND(CallLog[[#This Row],[Answered (Y/N)]]="Y", CallLog[[#This Row],[Speed of answer in seconds]]&lt;=20),
    "Within",
    "Breach")</f>
        <v>Breach</v>
      </c>
      <c r="M3536" s="1">
        <v>2.0138888888888888E-3</v>
      </c>
      <c r="N3536">
        <v>5</v>
      </c>
    </row>
    <row r="3537" spans="1:14" x14ac:dyDescent="0.3">
      <c r="A3537" t="s">
        <v>3622</v>
      </c>
      <c r="B3537" t="s">
        <v>11</v>
      </c>
      <c r="C3537" t="s">
        <v>3601</v>
      </c>
      <c r="D3537" s="1">
        <v>0.58900462962962963</v>
      </c>
      <c r="E3537" s="2">
        <f>CallLog[[#This Row],[Date]]+CallLog[[#This Row],[Time]]</f>
        <v>44258.589004629626</v>
      </c>
      <c r="F3537" s="1" t="str">
        <f>TEXT(CallLog[[#This Row],[Date]],"dddd")</f>
        <v>Wednesday</v>
      </c>
      <c r="G3537" s="3">
        <f>HOUR(CallLog[[#This Row],[Time]])</f>
        <v>14</v>
      </c>
      <c r="H3537" t="s">
        <v>29</v>
      </c>
      <c r="I3537" t="s">
        <v>14</v>
      </c>
      <c r="J3537" t="s">
        <v>14</v>
      </c>
      <c r="K3537">
        <v>10</v>
      </c>
      <c r="L3537" t="str">
        <f>IF(AND(CallLog[[#This Row],[Answered (Y/N)]]="Y", CallLog[[#This Row],[Speed of answer in seconds]]&lt;=20),
    "Within",
    "Breach")</f>
        <v>Within</v>
      </c>
      <c r="M3537" s="1">
        <v>4.2129629629629626E-3</v>
      </c>
      <c r="N3537">
        <v>3</v>
      </c>
    </row>
    <row r="3538" spans="1:14" x14ac:dyDescent="0.3">
      <c r="A3538" t="s">
        <v>3623</v>
      </c>
      <c r="B3538" t="s">
        <v>38</v>
      </c>
      <c r="C3538" t="s">
        <v>3601</v>
      </c>
      <c r="D3538" s="1">
        <v>0.61400462962962965</v>
      </c>
      <c r="E3538" s="2">
        <f>CallLog[[#This Row],[Date]]+CallLog[[#This Row],[Time]]</f>
        <v>44258.614004629628</v>
      </c>
      <c r="F3538" s="1" t="str">
        <f>TEXT(CallLog[[#This Row],[Date]],"dddd")</f>
        <v>Wednesday</v>
      </c>
      <c r="G3538" s="3">
        <f>HOUR(CallLog[[#This Row],[Time]])</f>
        <v>14</v>
      </c>
      <c r="H3538" t="s">
        <v>29</v>
      </c>
      <c r="I3538" t="s">
        <v>14</v>
      </c>
      <c r="J3538" t="s">
        <v>14</v>
      </c>
      <c r="K3538">
        <v>64</v>
      </c>
      <c r="L3538" t="str">
        <f>IF(AND(CallLog[[#This Row],[Answered (Y/N)]]="Y", CallLog[[#This Row],[Speed of answer in seconds]]&lt;=20),
    "Within",
    "Breach")</f>
        <v>Breach</v>
      </c>
      <c r="M3538" s="1">
        <v>4.2361111111111115E-3</v>
      </c>
      <c r="N3538">
        <v>1</v>
      </c>
    </row>
    <row r="3539" spans="1:14" x14ac:dyDescent="0.3">
      <c r="A3539" t="s">
        <v>3624</v>
      </c>
      <c r="B3539" t="s">
        <v>47</v>
      </c>
      <c r="C3539" t="s">
        <v>3601</v>
      </c>
      <c r="D3539" s="1">
        <v>0.61400462962962965</v>
      </c>
      <c r="E3539" s="2">
        <f>CallLog[[#This Row],[Date]]+CallLog[[#This Row],[Time]]</f>
        <v>44258.614004629628</v>
      </c>
      <c r="F3539" s="1" t="str">
        <f>TEXT(CallLog[[#This Row],[Date]],"dddd")</f>
        <v>Wednesday</v>
      </c>
      <c r="G3539" s="3">
        <f>HOUR(CallLog[[#This Row],[Time]])</f>
        <v>14</v>
      </c>
      <c r="H3539" t="s">
        <v>29</v>
      </c>
      <c r="I3539" t="s">
        <v>14</v>
      </c>
      <c r="J3539" t="s">
        <v>14</v>
      </c>
      <c r="K3539">
        <v>60</v>
      </c>
      <c r="L3539" t="str">
        <f>IF(AND(CallLog[[#This Row],[Answered (Y/N)]]="Y", CallLog[[#This Row],[Speed of answer in seconds]]&lt;=20),
    "Within",
    "Breach")</f>
        <v>Breach</v>
      </c>
      <c r="M3539" s="1">
        <v>6.018518518518519E-4</v>
      </c>
      <c r="N3539">
        <v>3</v>
      </c>
    </row>
    <row r="3540" spans="1:14" x14ac:dyDescent="0.3">
      <c r="A3540" t="s">
        <v>3625</v>
      </c>
      <c r="B3540" t="s">
        <v>31</v>
      </c>
      <c r="C3540" t="s">
        <v>3601</v>
      </c>
      <c r="D3540" s="1">
        <v>0.61900462962962965</v>
      </c>
      <c r="E3540" s="2">
        <f>CallLog[[#This Row],[Date]]+CallLog[[#This Row],[Time]]</f>
        <v>44258.619004629632</v>
      </c>
      <c r="F3540" s="1" t="str">
        <f>TEXT(CallLog[[#This Row],[Date]],"dddd")</f>
        <v>Wednesday</v>
      </c>
      <c r="G3540" s="3">
        <f>HOUR(CallLog[[#This Row],[Time]])</f>
        <v>14</v>
      </c>
      <c r="H3540" t="s">
        <v>29</v>
      </c>
      <c r="I3540" t="s">
        <v>14</v>
      </c>
      <c r="J3540" t="s">
        <v>14</v>
      </c>
      <c r="K3540">
        <v>44</v>
      </c>
      <c r="L3540" t="str">
        <f>IF(AND(CallLog[[#This Row],[Answered (Y/N)]]="Y", CallLog[[#This Row],[Speed of answer in seconds]]&lt;=20),
    "Within",
    "Breach")</f>
        <v>Breach</v>
      </c>
      <c r="M3540" s="1">
        <v>4.2939814814814811E-3</v>
      </c>
      <c r="N3540">
        <v>4</v>
      </c>
    </row>
    <row r="3541" spans="1:14" x14ac:dyDescent="0.3">
      <c r="A3541" t="s">
        <v>3626</v>
      </c>
      <c r="B3541" t="s">
        <v>47</v>
      </c>
      <c r="C3541" t="s">
        <v>3601</v>
      </c>
      <c r="D3541" s="1">
        <v>0.61900462962962965</v>
      </c>
      <c r="E3541" s="2">
        <f>CallLog[[#This Row],[Date]]+CallLog[[#This Row],[Time]]</f>
        <v>44258.619004629632</v>
      </c>
      <c r="F3541" s="1" t="str">
        <f>TEXT(CallLog[[#This Row],[Date]],"dddd")</f>
        <v>Wednesday</v>
      </c>
      <c r="G3541" s="3">
        <f>HOUR(CallLog[[#This Row],[Time]])</f>
        <v>14</v>
      </c>
      <c r="H3541" t="s">
        <v>29</v>
      </c>
      <c r="I3541" t="s">
        <v>18</v>
      </c>
      <c r="J3541" t="s">
        <v>18</v>
      </c>
      <c r="L3541" t="str">
        <f>IF(AND(CallLog[[#This Row],[Answered (Y/N)]]="Y", CallLog[[#This Row],[Speed of answer in seconds]]&lt;=20),
    "Within",
    "Breach")</f>
        <v>Breach</v>
      </c>
    </row>
    <row r="3542" spans="1:14" x14ac:dyDescent="0.3">
      <c r="A3542" t="s">
        <v>3627</v>
      </c>
      <c r="B3542" t="s">
        <v>16</v>
      </c>
      <c r="C3542" t="s">
        <v>3601</v>
      </c>
      <c r="D3542" s="1">
        <v>0.64299768518518519</v>
      </c>
      <c r="E3542" s="2">
        <f>CallLog[[#This Row],[Date]]+CallLog[[#This Row],[Time]]</f>
        <v>44258.642997685187</v>
      </c>
      <c r="F3542" s="1" t="str">
        <f>TEXT(CallLog[[#This Row],[Date]],"dddd")</f>
        <v>Wednesday</v>
      </c>
      <c r="G3542" s="3">
        <f>HOUR(CallLog[[#This Row],[Time]])</f>
        <v>15</v>
      </c>
      <c r="H3542" t="s">
        <v>24</v>
      </c>
      <c r="I3542" t="s">
        <v>18</v>
      </c>
      <c r="J3542" t="s">
        <v>18</v>
      </c>
      <c r="L3542" t="str">
        <f>IF(AND(CallLog[[#This Row],[Answered (Y/N)]]="Y", CallLog[[#This Row],[Speed of answer in seconds]]&lt;=20),
    "Within",
    "Breach")</f>
        <v>Breach</v>
      </c>
    </row>
    <row r="3543" spans="1:14" x14ac:dyDescent="0.3">
      <c r="A3543" t="s">
        <v>3628</v>
      </c>
      <c r="B3543" t="s">
        <v>34</v>
      </c>
      <c r="C3543" t="s">
        <v>3601</v>
      </c>
      <c r="D3543" s="1">
        <v>0.64299768518518519</v>
      </c>
      <c r="E3543" s="2">
        <f>CallLog[[#This Row],[Date]]+CallLog[[#This Row],[Time]]</f>
        <v>44258.642997685187</v>
      </c>
      <c r="F3543" s="1" t="str">
        <f>TEXT(CallLog[[#This Row],[Date]],"dddd")</f>
        <v>Wednesday</v>
      </c>
      <c r="G3543" s="3">
        <f>HOUR(CallLog[[#This Row],[Time]])</f>
        <v>15</v>
      </c>
      <c r="H3543" t="s">
        <v>13</v>
      </c>
      <c r="I3543" t="s">
        <v>14</v>
      </c>
      <c r="J3543" t="s">
        <v>14</v>
      </c>
      <c r="K3543">
        <v>70</v>
      </c>
      <c r="L3543" t="str">
        <f>IF(AND(CallLog[[#This Row],[Answered (Y/N)]]="Y", CallLog[[#This Row],[Speed of answer in seconds]]&lt;=20),
    "Within",
    "Breach")</f>
        <v>Breach</v>
      </c>
      <c r="M3543" s="1">
        <v>5.3240740740740744E-4</v>
      </c>
      <c r="N3543">
        <v>2</v>
      </c>
    </row>
    <row r="3544" spans="1:14" x14ac:dyDescent="0.3">
      <c r="A3544" t="s">
        <v>3629</v>
      </c>
      <c r="B3544" t="s">
        <v>34</v>
      </c>
      <c r="C3544" t="s">
        <v>3601</v>
      </c>
      <c r="D3544" s="1">
        <v>0.64400462962962968</v>
      </c>
      <c r="E3544" s="2">
        <f>CallLog[[#This Row],[Date]]+CallLog[[#This Row],[Time]]</f>
        <v>44258.644004629627</v>
      </c>
      <c r="F3544" s="1" t="str">
        <f>TEXT(CallLog[[#This Row],[Date]],"dddd")</f>
        <v>Wednesday</v>
      </c>
      <c r="G3544" s="3">
        <f>HOUR(CallLog[[#This Row],[Time]])</f>
        <v>15</v>
      </c>
      <c r="H3544" t="s">
        <v>24</v>
      </c>
      <c r="I3544" t="s">
        <v>18</v>
      </c>
      <c r="J3544" t="s">
        <v>18</v>
      </c>
      <c r="L3544" t="str">
        <f>IF(AND(CallLog[[#This Row],[Answered (Y/N)]]="Y", CallLog[[#This Row],[Speed of answer in seconds]]&lt;=20),
    "Within",
    "Breach")</f>
        <v>Breach</v>
      </c>
    </row>
    <row r="3545" spans="1:14" x14ac:dyDescent="0.3">
      <c r="A3545" t="s">
        <v>3630</v>
      </c>
      <c r="B3545" t="s">
        <v>34</v>
      </c>
      <c r="C3545" t="s">
        <v>3601</v>
      </c>
      <c r="D3545" s="1">
        <v>0.64400462962962968</v>
      </c>
      <c r="E3545" s="2">
        <f>CallLog[[#This Row],[Date]]+CallLog[[#This Row],[Time]]</f>
        <v>44258.644004629627</v>
      </c>
      <c r="F3545" s="1" t="str">
        <f>TEXT(CallLog[[#This Row],[Date]],"dddd")</f>
        <v>Wednesday</v>
      </c>
      <c r="G3545" s="3">
        <f>HOUR(CallLog[[#This Row],[Time]])</f>
        <v>15</v>
      </c>
      <c r="H3545" t="s">
        <v>13</v>
      </c>
      <c r="I3545" t="s">
        <v>14</v>
      </c>
      <c r="J3545" t="s">
        <v>14</v>
      </c>
      <c r="K3545">
        <v>51</v>
      </c>
      <c r="L3545" t="str">
        <f>IF(AND(CallLog[[#This Row],[Answered (Y/N)]]="Y", CallLog[[#This Row],[Speed of answer in seconds]]&lt;=20),
    "Within",
    "Breach")</f>
        <v>Breach</v>
      </c>
      <c r="M3545" s="1">
        <v>2.8240740740740739E-3</v>
      </c>
      <c r="N3545">
        <v>1</v>
      </c>
    </row>
    <row r="3546" spans="1:14" x14ac:dyDescent="0.3">
      <c r="A3546" t="s">
        <v>3631</v>
      </c>
      <c r="B3546" t="s">
        <v>31</v>
      </c>
      <c r="C3546" t="s">
        <v>3601</v>
      </c>
      <c r="D3546" s="1">
        <v>0.64700231481481485</v>
      </c>
      <c r="E3546" s="2">
        <f>CallLog[[#This Row],[Date]]+CallLog[[#This Row],[Time]]</f>
        <v>44258.647002314814</v>
      </c>
      <c r="F3546" s="1" t="str">
        <f>TEXT(CallLog[[#This Row],[Date]],"dddd")</f>
        <v>Wednesday</v>
      </c>
      <c r="G3546" s="3">
        <f>HOUR(CallLog[[#This Row],[Time]])</f>
        <v>15</v>
      </c>
      <c r="H3546" t="s">
        <v>17</v>
      </c>
      <c r="I3546" t="s">
        <v>14</v>
      </c>
      <c r="J3546" t="s">
        <v>14</v>
      </c>
      <c r="K3546">
        <v>31</v>
      </c>
      <c r="L3546" t="str">
        <f>IF(AND(CallLog[[#This Row],[Answered (Y/N)]]="Y", CallLog[[#This Row],[Speed of answer in seconds]]&lt;=20),
    "Within",
    "Breach")</f>
        <v>Breach</v>
      </c>
      <c r="M3546" s="1">
        <v>3.1250000000000002E-3</v>
      </c>
      <c r="N3546">
        <v>5</v>
      </c>
    </row>
    <row r="3547" spans="1:14" x14ac:dyDescent="0.3">
      <c r="A3547" t="s">
        <v>3632</v>
      </c>
      <c r="B3547" t="s">
        <v>38</v>
      </c>
      <c r="C3547" t="s">
        <v>3601</v>
      </c>
      <c r="D3547" s="1">
        <v>0.64700231481481485</v>
      </c>
      <c r="E3547" s="2">
        <f>CallLog[[#This Row],[Date]]+CallLog[[#This Row],[Time]]</f>
        <v>44258.647002314814</v>
      </c>
      <c r="F3547" s="1" t="str">
        <f>TEXT(CallLog[[#This Row],[Date]],"dddd")</f>
        <v>Wednesday</v>
      </c>
      <c r="G3547" s="3">
        <f>HOUR(CallLog[[#This Row],[Time]])</f>
        <v>15</v>
      </c>
      <c r="H3547" t="s">
        <v>17</v>
      </c>
      <c r="I3547" t="s">
        <v>14</v>
      </c>
      <c r="J3547" t="s">
        <v>14</v>
      </c>
      <c r="K3547">
        <v>51</v>
      </c>
      <c r="L3547" t="str">
        <f>IF(AND(CallLog[[#This Row],[Answered (Y/N)]]="Y", CallLog[[#This Row],[Speed of answer in seconds]]&lt;=20),
    "Within",
    "Breach")</f>
        <v>Breach</v>
      </c>
      <c r="M3547" s="1">
        <v>4.4675925925925924E-3</v>
      </c>
      <c r="N3547">
        <v>4</v>
      </c>
    </row>
    <row r="3548" spans="1:14" x14ac:dyDescent="0.3">
      <c r="A3548" t="s">
        <v>3633</v>
      </c>
      <c r="B3548" t="s">
        <v>16</v>
      </c>
      <c r="C3548" t="s">
        <v>3601</v>
      </c>
      <c r="D3548" s="1">
        <v>0.64799768518518519</v>
      </c>
      <c r="E3548" s="2">
        <f>CallLog[[#This Row],[Date]]+CallLog[[#This Row],[Time]]</f>
        <v>44258.647997685184</v>
      </c>
      <c r="F3548" s="1" t="str">
        <f>TEXT(CallLog[[#This Row],[Date]],"dddd")</f>
        <v>Wednesday</v>
      </c>
      <c r="G3548" s="3">
        <f>HOUR(CallLog[[#This Row],[Time]])</f>
        <v>15</v>
      </c>
      <c r="H3548" t="s">
        <v>24</v>
      </c>
      <c r="I3548" t="s">
        <v>14</v>
      </c>
      <c r="J3548" t="s">
        <v>14</v>
      </c>
      <c r="K3548">
        <v>36</v>
      </c>
      <c r="L3548" t="str">
        <f>IF(AND(CallLog[[#This Row],[Answered (Y/N)]]="Y", CallLog[[#This Row],[Speed of answer in seconds]]&lt;=20),
    "Within",
    "Breach")</f>
        <v>Breach</v>
      </c>
      <c r="M3548" s="1">
        <v>1.1921296296296296E-3</v>
      </c>
      <c r="N3548">
        <v>1</v>
      </c>
    </row>
    <row r="3549" spans="1:14" x14ac:dyDescent="0.3">
      <c r="A3549" t="s">
        <v>3634</v>
      </c>
      <c r="B3549" t="s">
        <v>47</v>
      </c>
      <c r="C3549" t="s">
        <v>3601</v>
      </c>
      <c r="D3549" s="1">
        <v>0.64799768518518519</v>
      </c>
      <c r="E3549" s="2">
        <f>CallLog[[#This Row],[Date]]+CallLog[[#This Row],[Time]]</f>
        <v>44258.647997685184</v>
      </c>
      <c r="F3549" s="1" t="str">
        <f>TEXT(CallLog[[#This Row],[Date]],"dddd")</f>
        <v>Wednesday</v>
      </c>
      <c r="G3549" s="3">
        <f>HOUR(CallLog[[#This Row],[Time]])</f>
        <v>15</v>
      </c>
      <c r="H3549" t="s">
        <v>29</v>
      </c>
      <c r="I3549" t="s">
        <v>14</v>
      </c>
      <c r="J3549" t="s">
        <v>18</v>
      </c>
      <c r="K3549">
        <v>18</v>
      </c>
      <c r="L3549" t="str">
        <f>IF(AND(CallLog[[#This Row],[Answered (Y/N)]]="Y", CallLog[[#This Row],[Speed of answer in seconds]]&lt;=20),
    "Within",
    "Breach")</f>
        <v>Within</v>
      </c>
      <c r="M3549" s="1">
        <v>4.31712962962963E-3</v>
      </c>
      <c r="N3549">
        <v>5</v>
      </c>
    </row>
    <row r="3550" spans="1:14" x14ac:dyDescent="0.3">
      <c r="A3550" t="s">
        <v>3635</v>
      </c>
      <c r="B3550" t="s">
        <v>38</v>
      </c>
      <c r="C3550" t="s">
        <v>3601</v>
      </c>
      <c r="D3550" s="1">
        <v>0.66</v>
      </c>
      <c r="E3550" s="2">
        <f>CallLog[[#This Row],[Date]]+CallLog[[#This Row],[Time]]</f>
        <v>44258.66</v>
      </c>
      <c r="F3550" s="1" t="str">
        <f>TEXT(CallLog[[#This Row],[Date]],"dddd")</f>
        <v>Wednesday</v>
      </c>
      <c r="G3550" s="3">
        <f>HOUR(CallLog[[#This Row],[Time]])</f>
        <v>15</v>
      </c>
      <c r="H3550" t="s">
        <v>24</v>
      </c>
      <c r="I3550" t="s">
        <v>14</v>
      </c>
      <c r="J3550" t="s">
        <v>14</v>
      </c>
      <c r="K3550">
        <v>89</v>
      </c>
      <c r="L3550" t="str">
        <f>IF(AND(CallLog[[#This Row],[Answered (Y/N)]]="Y", CallLog[[#This Row],[Speed of answer in seconds]]&lt;=20),
    "Within",
    "Breach")</f>
        <v>Breach</v>
      </c>
      <c r="M3550" s="1">
        <v>3.5648148148148149E-3</v>
      </c>
      <c r="N3550">
        <v>4</v>
      </c>
    </row>
    <row r="3551" spans="1:14" x14ac:dyDescent="0.3">
      <c r="A3551" t="s">
        <v>3636</v>
      </c>
      <c r="B3551" t="s">
        <v>11</v>
      </c>
      <c r="C3551" t="s">
        <v>3601</v>
      </c>
      <c r="D3551" s="1">
        <v>0.66</v>
      </c>
      <c r="E3551" s="2">
        <f>CallLog[[#This Row],[Date]]+CallLog[[#This Row],[Time]]</f>
        <v>44258.66</v>
      </c>
      <c r="F3551" s="1" t="str">
        <f>TEXT(CallLog[[#This Row],[Date]],"dddd")</f>
        <v>Wednesday</v>
      </c>
      <c r="G3551" s="3">
        <f>HOUR(CallLog[[#This Row],[Time]])</f>
        <v>15</v>
      </c>
      <c r="H3551" t="s">
        <v>17</v>
      </c>
      <c r="I3551" t="s">
        <v>14</v>
      </c>
      <c r="J3551" t="s">
        <v>14</v>
      </c>
      <c r="K3551">
        <v>90</v>
      </c>
      <c r="L3551" t="str">
        <f>IF(AND(CallLog[[#This Row],[Answered (Y/N)]]="Y", CallLog[[#This Row],[Speed of answer in seconds]]&lt;=20),
    "Within",
    "Breach")</f>
        <v>Breach</v>
      </c>
      <c r="M3551" s="1">
        <v>2.488425925925926E-3</v>
      </c>
      <c r="N3551">
        <v>5</v>
      </c>
    </row>
    <row r="3552" spans="1:14" x14ac:dyDescent="0.3">
      <c r="A3552" t="s">
        <v>3637</v>
      </c>
      <c r="B3552" t="s">
        <v>16</v>
      </c>
      <c r="C3552" t="s">
        <v>3601</v>
      </c>
      <c r="D3552" s="1">
        <v>0.6629976851851852</v>
      </c>
      <c r="E3552" s="2">
        <f>CallLog[[#This Row],[Date]]+CallLog[[#This Row],[Time]]</f>
        <v>44258.662997685184</v>
      </c>
      <c r="F3552" s="1" t="str">
        <f>TEXT(CallLog[[#This Row],[Date]],"dddd")</f>
        <v>Wednesday</v>
      </c>
      <c r="G3552" s="3">
        <f>HOUR(CallLog[[#This Row],[Time]])</f>
        <v>15</v>
      </c>
      <c r="H3552" t="s">
        <v>24</v>
      </c>
      <c r="I3552" t="s">
        <v>14</v>
      </c>
      <c r="J3552" t="s">
        <v>14</v>
      </c>
      <c r="K3552">
        <v>94</v>
      </c>
      <c r="L3552" t="str">
        <f>IF(AND(CallLog[[#This Row],[Answered (Y/N)]]="Y", CallLog[[#This Row],[Speed of answer in seconds]]&lt;=20),
    "Within",
    "Breach")</f>
        <v>Breach</v>
      </c>
      <c r="M3552" s="1">
        <v>2.2222222222222222E-3</v>
      </c>
      <c r="N3552">
        <v>4</v>
      </c>
    </row>
    <row r="3553" spans="1:14" x14ac:dyDescent="0.3">
      <c r="A3553" t="s">
        <v>3638</v>
      </c>
      <c r="B3553" t="s">
        <v>20</v>
      </c>
      <c r="C3553" t="s">
        <v>3601</v>
      </c>
      <c r="D3553" s="1">
        <v>0.6629976851851852</v>
      </c>
      <c r="E3553" s="2">
        <f>CallLog[[#This Row],[Date]]+CallLog[[#This Row],[Time]]</f>
        <v>44258.662997685184</v>
      </c>
      <c r="F3553" s="1" t="str">
        <f>TEXT(CallLog[[#This Row],[Date]],"dddd")</f>
        <v>Wednesday</v>
      </c>
      <c r="G3553" s="3">
        <f>HOUR(CallLog[[#This Row],[Time]])</f>
        <v>15</v>
      </c>
      <c r="H3553" t="s">
        <v>24</v>
      </c>
      <c r="I3553" t="s">
        <v>14</v>
      </c>
      <c r="J3553" t="s">
        <v>14</v>
      </c>
      <c r="K3553">
        <v>121</v>
      </c>
      <c r="L3553" t="str">
        <f>IF(AND(CallLog[[#This Row],[Answered (Y/N)]]="Y", CallLog[[#This Row],[Speed of answer in seconds]]&lt;=20),
    "Within",
    "Breach")</f>
        <v>Breach</v>
      </c>
      <c r="M3553" s="1">
        <v>1.1458333333333333E-3</v>
      </c>
      <c r="N3553">
        <v>5</v>
      </c>
    </row>
    <row r="3554" spans="1:14" x14ac:dyDescent="0.3">
      <c r="A3554" t="s">
        <v>3639</v>
      </c>
      <c r="B3554" t="s">
        <v>20</v>
      </c>
      <c r="C3554" t="s">
        <v>3601</v>
      </c>
      <c r="D3554" s="1">
        <v>0.66400462962962958</v>
      </c>
      <c r="E3554" s="2">
        <f>CallLog[[#This Row],[Date]]+CallLog[[#This Row],[Time]]</f>
        <v>44258.664004629631</v>
      </c>
      <c r="F3554" s="1" t="str">
        <f>TEXT(CallLog[[#This Row],[Date]],"dddd")</f>
        <v>Wednesday</v>
      </c>
      <c r="G3554" s="3">
        <f>HOUR(CallLog[[#This Row],[Time]])</f>
        <v>15</v>
      </c>
      <c r="H3554" t="s">
        <v>29</v>
      </c>
      <c r="I3554" t="s">
        <v>14</v>
      </c>
      <c r="J3554" t="s">
        <v>14</v>
      </c>
      <c r="K3554">
        <v>46</v>
      </c>
      <c r="L3554" t="str">
        <f>IF(AND(CallLog[[#This Row],[Answered (Y/N)]]="Y", CallLog[[#This Row],[Speed of answer in seconds]]&lt;=20),
    "Within",
    "Breach")</f>
        <v>Breach</v>
      </c>
      <c r="M3554" s="1">
        <v>3.1250000000000002E-3</v>
      </c>
      <c r="N3554">
        <v>2</v>
      </c>
    </row>
    <row r="3555" spans="1:14" x14ac:dyDescent="0.3">
      <c r="A3555" t="s">
        <v>3640</v>
      </c>
      <c r="B3555" t="s">
        <v>38</v>
      </c>
      <c r="C3555" t="s">
        <v>3601</v>
      </c>
      <c r="D3555" s="1">
        <v>0.66400462962962958</v>
      </c>
      <c r="E3555" s="2">
        <f>CallLog[[#This Row],[Date]]+CallLog[[#This Row],[Time]]</f>
        <v>44258.664004629631</v>
      </c>
      <c r="F3555" s="1" t="str">
        <f>TEXT(CallLog[[#This Row],[Date]],"dddd")</f>
        <v>Wednesday</v>
      </c>
      <c r="G3555" s="3">
        <f>HOUR(CallLog[[#This Row],[Time]])</f>
        <v>15</v>
      </c>
      <c r="H3555" t="s">
        <v>13</v>
      </c>
      <c r="I3555" t="s">
        <v>14</v>
      </c>
      <c r="J3555" t="s">
        <v>14</v>
      </c>
      <c r="K3555">
        <v>117</v>
      </c>
      <c r="L3555" t="str">
        <f>IF(AND(CallLog[[#This Row],[Answered (Y/N)]]="Y", CallLog[[#This Row],[Speed of answer in seconds]]&lt;=20),
    "Within",
    "Breach")</f>
        <v>Breach</v>
      </c>
      <c r="M3555" s="1">
        <v>2.685185185185185E-3</v>
      </c>
      <c r="N3555">
        <v>1</v>
      </c>
    </row>
    <row r="3556" spans="1:14" x14ac:dyDescent="0.3">
      <c r="A3556" t="s">
        <v>3641</v>
      </c>
      <c r="B3556" t="s">
        <v>11</v>
      </c>
      <c r="C3556" t="s">
        <v>3601</v>
      </c>
      <c r="D3556" s="1">
        <v>0.66500000000000004</v>
      </c>
      <c r="E3556" s="2">
        <f>CallLog[[#This Row],[Date]]+CallLog[[#This Row],[Time]]</f>
        <v>44258.665000000001</v>
      </c>
      <c r="F3556" s="1" t="str">
        <f>TEXT(CallLog[[#This Row],[Date]],"dddd")</f>
        <v>Wednesday</v>
      </c>
      <c r="G3556" s="3">
        <f>HOUR(CallLog[[#This Row],[Time]])</f>
        <v>15</v>
      </c>
      <c r="H3556" t="s">
        <v>32</v>
      </c>
      <c r="I3556" t="s">
        <v>14</v>
      </c>
      <c r="J3556" t="s">
        <v>18</v>
      </c>
      <c r="K3556">
        <v>114</v>
      </c>
      <c r="L3556" t="str">
        <f>IF(AND(CallLog[[#This Row],[Answered (Y/N)]]="Y", CallLog[[#This Row],[Speed of answer in seconds]]&lt;=20),
    "Within",
    "Breach")</f>
        <v>Breach</v>
      </c>
      <c r="M3556" s="1">
        <v>2.1527777777777778E-3</v>
      </c>
      <c r="N3556">
        <v>5</v>
      </c>
    </row>
    <row r="3557" spans="1:14" x14ac:dyDescent="0.3">
      <c r="A3557" t="s">
        <v>3642</v>
      </c>
      <c r="B3557" t="s">
        <v>11</v>
      </c>
      <c r="C3557" t="s">
        <v>3601</v>
      </c>
      <c r="D3557" s="1">
        <v>0.66500000000000004</v>
      </c>
      <c r="E3557" s="2">
        <f>CallLog[[#This Row],[Date]]+CallLog[[#This Row],[Time]]</f>
        <v>44258.665000000001</v>
      </c>
      <c r="F3557" s="1" t="str">
        <f>TEXT(CallLog[[#This Row],[Date]],"dddd")</f>
        <v>Wednesday</v>
      </c>
      <c r="G3557" s="3">
        <f>HOUR(CallLog[[#This Row],[Time]])</f>
        <v>15</v>
      </c>
      <c r="H3557" t="s">
        <v>13</v>
      </c>
      <c r="I3557" t="s">
        <v>18</v>
      </c>
      <c r="J3557" t="s">
        <v>18</v>
      </c>
      <c r="L3557" t="str">
        <f>IF(AND(CallLog[[#This Row],[Answered (Y/N)]]="Y", CallLog[[#This Row],[Speed of answer in seconds]]&lt;=20),
    "Within",
    "Breach")</f>
        <v>Breach</v>
      </c>
    </row>
    <row r="3558" spans="1:14" x14ac:dyDescent="0.3">
      <c r="A3558" t="s">
        <v>3643</v>
      </c>
      <c r="B3558" t="s">
        <v>38</v>
      </c>
      <c r="C3558" t="s">
        <v>3601</v>
      </c>
      <c r="D3558" s="1">
        <v>0.67099537037037038</v>
      </c>
      <c r="E3558" s="2">
        <f>CallLog[[#This Row],[Date]]+CallLog[[#This Row],[Time]]</f>
        <v>44258.670995370368</v>
      </c>
      <c r="F3558" s="1" t="str">
        <f>TEXT(CallLog[[#This Row],[Date]],"dddd")</f>
        <v>Wednesday</v>
      </c>
      <c r="G3558" s="3">
        <f>HOUR(CallLog[[#This Row],[Time]])</f>
        <v>16</v>
      </c>
      <c r="H3558" t="s">
        <v>24</v>
      </c>
      <c r="I3558" t="s">
        <v>14</v>
      </c>
      <c r="J3558" t="s">
        <v>14</v>
      </c>
      <c r="K3558">
        <v>65</v>
      </c>
      <c r="L3558" t="str">
        <f>IF(AND(CallLog[[#This Row],[Answered (Y/N)]]="Y", CallLog[[#This Row],[Speed of answer in seconds]]&lt;=20),
    "Within",
    "Breach")</f>
        <v>Breach</v>
      </c>
      <c r="M3558" s="1">
        <v>3.2754629629629631E-3</v>
      </c>
      <c r="N3558">
        <v>4</v>
      </c>
    </row>
    <row r="3559" spans="1:14" x14ac:dyDescent="0.3">
      <c r="A3559" t="s">
        <v>3644</v>
      </c>
      <c r="B3559" t="s">
        <v>11</v>
      </c>
      <c r="C3559" t="s">
        <v>3601</v>
      </c>
      <c r="D3559" s="1">
        <v>0.67099537037037038</v>
      </c>
      <c r="E3559" s="2">
        <f>CallLog[[#This Row],[Date]]+CallLog[[#This Row],[Time]]</f>
        <v>44258.670995370368</v>
      </c>
      <c r="F3559" s="1" t="str">
        <f>TEXT(CallLog[[#This Row],[Date]],"dddd")</f>
        <v>Wednesday</v>
      </c>
      <c r="G3559" s="3">
        <f>HOUR(CallLog[[#This Row],[Time]])</f>
        <v>16</v>
      </c>
      <c r="H3559" t="s">
        <v>29</v>
      </c>
      <c r="I3559" t="s">
        <v>18</v>
      </c>
      <c r="J3559" t="s">
        <v>18</v>
      </c>
      <c r="L3559" t="str">
        <f>IF(AND(CallLog[[#This Row],[Answered (Y/N)]]="Y", CallLog[[#This Row],[Speed of answer in seconds]]&lt;=20),
    "Within",
    "Breach")</f>
        <v>Breach</v>
      </c>
    </row>
    <row r="3560" spans="1:14" x14ac:dyDescent="0.3">
      <c r="A3560" t="s">
        <v>3645</v>
      </c>
      <c r="B3560" t="s">
        <v>16</v>
      </c>
      <c r="C3560" t="s">
        <v>3601</v>
      </c>
      <c r="D3560" s="1">
        <v>0.6790046296296296</v>
      </c>
      <c r="E3560" s="2">
        <f>CallLog[[#This Row],[Date]]+CallLog[[#This Row],[Time]]</f>
        <v>44258.67900462963</v>
      </c>
      <c r="F3560" s="1" t="str">
        <f>TEXT(CallLog[[#This Row],[Date]],"dddd")</f>
        <v>Wednesday</v>
      </c>
      <c r="G3560" s="3">
        <f>HOUR(CallLog[[#This Row],[Time]])</f>
        <v>16</v>
      </c>
      <c r="H3560" t="s">
        <v>17</v>
      </c>
      <c r="I3560" t="s">
        <v>14</v>
      </c>
      <c r="J3560" t="s">
        <v>14</v>
      </c>
      <c r="K3560">
        <v>100</v>
      </c>
      <c r="L3560" t="str">
        <f>IF(AND(CallLog[[#This Row],[Answered (Y/N)]]="Y", CallLog[[#This Row],[Speed of answer in seconds]]&lt;=20),
    "Within",
    "Breach")</f>
        <v>Breach</v>
      </c>
      <c r="M3560" s="1">
        <v>3.8194444444444452E-4</v>
      </c>
      <c r="N3560">
        <v>1</v>
      </c>
    </row>
    <row r="3561" spans="1:14" x14ac:dyDescent="0.3">
      <c r="A3561" t="s">
        <v>3646</v>
      </c>
      <c r="B3561" t="s">
        <v>47</v>
      </c>
      <c r="C3561" t="s">
        <v>3601</v>
      </c>
      <c r="D3561" s="1">
        <v>0.6790046296296296</v>
      </c>
      <c r="E3561" s="2">
        <f>CallLog[[#This Row],[Date]]+CallLog[[#This Row],[Time]]</f>
        <v>44258.67900462963</v>
      </c>
      <c r="F3561" s="1" t="str">
        <f>TEXT(CallLog[[#This Row],[Date]],"dddd")</f>
        <v>Wednesday</v>
      </c>
      <c r="G3561" s="3">
        <f>HOUR(CallLog[[#This Row],[Time]])</f>
        <v>16</v>
      </c>
      <c r="H3561" t="s">
        <v>29</v>
      </c>
      <c r="I3561" t="s">
        <v>14</v>
      </c>
      <c r="J3561" t="s">
        <v>14</v>
      </c>
      <c r="K3561">
        <v>67</v>
      </c>
      <c r="L3561" t="str">
        <f>IF(AND(CallLog[[#This Row],[Answered (Y/N)]]="Y", CallLog[[#This Row],[Speed of answer in seconds]]&lt;=20),
    "Within",
    "Breach")</f>
        <v>Breach</v>
      </c>
      <c r="M3561" s="1">
        <v>4.5717592592592589E-3</v>
      </c>
      <c r="N3561">
        <v>4</v>
      </c>
    </row>
    <row r="3562" spans="1:14" x14ac:dyDescent="0.3">
      <c r="A3562" t="s">
        <v>3647</v>
      </c>
      <c r="B3562" t="s">
        <v>47</v>
      </c>
      <c r="C3562" t="s">
        <v>3601</v>
      </c>
      <c r="D3562" s="1">
        <v>0.6790046296296296</v>
      </c>
      <c r="E3562" s="2">
        <f>CallLog[[#This Row],[Date]]+CallLog[[#This Row],[Time]]</f>
        <v>44258.67900462963</v>
      </c>
      <c r="F3562" s="1" t="str">
        <f>TEXT(CallLog[[#This Row],[Date]],"dddd")</f>
        <v>Wednesday</v>
      </c>
      <c r="G3562" s="3">
        <f>HOUR(CallLog[[#This Row],[Time]])</f>
        <v>16</v>
      </c>
      <c r="H3562" t="s">
        <v>13</v>
      </c>
      <c r="I3562" t="s">
        <v>14</v>
      </c>
      <c r="J3562" t="s">
        <v>14</v>
      </c>
      <c r="K3562">
        <v>46</v>
      </c>
      <c r="L3562" t="str">
        <f>IF(AND(CallLog[[#This Row],[Answered (Y/N)]]="Y", CallLog[[#This Row],[Speed of answer in seconds]]&lt;=20),
    "Within",
    "Breach")</f>
        <v>Breach</v>
      </c>
      <c r="M3562" s="1">
        <v>1.4351851851851852E-3</v>
      </c>
      <c r="N3562">
        <v>4</v>
      </c>
    </row>
    <row r="3563" spans="1:14" x14ac:dyDescent="0.3">
      <c r="A3563" t="s">
        <v>3648</v>
      </c>
      <c r="B3563" t="s">
        <v>11</v>
      </c>
      <c r="C3563" t="s">
        <v>3601</v>
      </c>
      <c r="D3563" s="1">
        <v>0.6790046296296296</v>
      </c>
      <c r="E3563" s="2">
        <f>CallLog[[#This Row],[Date]]+CallLog[[#This Row],[Time]]</f>
        <v>44258.67900462963</v>
      </c>
      <c r="F3563" s="1" t="str">
        <f>TEXT(CallLog[[#This Row],[Date]],"dddd")</f>
        <v>Wednesday</v>
      </c>
      <c r="G3563" s="3">
        <f>HOUR(CallLog[[#This Row],[Time]])</f>
        <v>16</v>
      </c>
      <c r="H3563" t="s">
        <v>17</v>
      </c>
      <c r="I3563" t="s">
        <v>14</v>
      </c>
      <c r="J3563" t="s">
        <v>14</v>
      </c>
      <c r="K3563">
        <v>117</v>
      </c>
      <c r="L3563" t="str">
        <f>IF(AND(CallLog[[#This Row],[Answered (Y/N)]]="Y", CallLog[[#This Row],[Speed of answer in seconds]]&lt;=20),
    "Within",
    "Breach")</f>
        <v>Breach</v>
      </c>
      <c r="M3563" s="1">
        <v>1.6666666666666668E-3</v>
      </c>
      <c r="N3563">
        <v>3</v>
      </c>
    </row>
    <row r="3564" spans="1:14" x14ac:dyDescent="0.3">
      <c r="A3564" t="s">
        <v>3649</v>
      </c>
      <c r="B3564" t="s">
        <v>22</v>
      </c>
      <c r="C3564" t="s">
        <v>3601</v>
      </c>
      <c r="D3564" s="1">
        <v>0.71799768518518514</v>
      </c>
      <c r="E3564" s="2">
        <f>CallLog[[#This Row],[Date]]+CallLog[[#This Row],[Time]]</f>
        <v>44258.717997685184</v>
      </c>
      <c r="F3564" s="1" t="str">
        <f>TEXT(CallLog[[#This Row],[Date]],"dddd")</f>
        <v>Wednesday</v>
      </c>
      <c r="G3564" s="3">
        <f>HOUR(CallLog[[#This Row],[Time]])</f>
        <v>17</v>
      </c>
      <c r="H3564" t="s">
        <v>17</v>
      </c>
      <c r="I3564" t="s">
        <v>14</v>
      </c>
      <c r="J3564" t="s">
        <v>14</v>
      </c>
      <c r="K3564">
        <v>34</v>
      </c>
      <c r="L3564" t="str">
        <f>IF(AND(CallLog[[#This Row],[Answered (Y/N)]]="Y", CallLog[[#This Row],[Speed of answer in seconds]]&lt;=20),
    "Within",
    "Breach")</f>
        <v>Breach</v>
      </c>
      <c r="M3564" s="1">
        <v>4.5833333333333334E-3</v>
      </c>
      <c r="N3564">
        <v>4</v>
      </c>
    </row>
    <row r="3565" spans="1:14" x14ac:dyDescent="0.3">
      <c r="A3565" t="s">
        <v>3650</v>
      </c>
      <c r="B3565" t="s">
        <v>22</v>
      </c>
      <c r="C3565" t="s">
        <v>3601</v>
      </c>
      <c r="D3565" s="1">
        <v>0.71799768518518514</v>
      </c>
      <c r="E3565" s="2">
        <f>CallLog[[#This Row],[Date]]+CallLog[[#This Row],[Time]]</f>
        <v>44258.717997685184</v>
      </c>
      <c r="F3565" s="1" t="str">
        <f>TEXT(CallLog[[#This Row],[Date]],"dddd")</f>
        <v>Wednesday</v>
      </c>
      <c r="G3565" s="3">
        <f>HOUR(CallLog[[#This Row],[Time]])</f>
        <v>17</v>
      </c>
      <c r="H3565" t="s">
        <v>24</v>
      </c>
      <c r="I3565" t="s">
        <v>14</v>
      </c>
      <c r="J3565" t="s">
        <v>14</v>
      </c>
      <c r="K3565">
        <v>120</v>
      </c>
      <c r="L3565" t="str">
        <f>IF(AND(CallLog[[#This Row],[Answered (Y/N)]]="Y", CallLog[[#This Row],[Speed of answer in seconds]]&lt;=20),
    "Within",
    "Breach")</f>
        <v>Breach</v>
      </c>
      <c r="M3565" s="1">
        <v>1.6550925925925926E-3</v>
      </c>
      <c r="N3565">
        <v>4</v>
      </c>
    </row>
    <row r="3566" spans="1:14" x14ac:dyDescent="0.3">
      <c r="A3566" t="s">
        <v>3651</v>
      </c>
      <c r="B3566" t="s">
        <v>31</v>
      </c>
      <c r="C3566" t="s">
        <v>3601</v>
      </c>
      <c r="D3566" s="1">
        <v>0.72400462962962964</v>
      </c>
      <c r="E3566" s="2">
        <f>CallLog[[#This Row],[Date]]+CallLog[[#This Row],[Time]]</f>
        <v>44258.724004629628</v>
      </c>
      <c r="F3566" s="1" t="str">
        <f>TEXT(CallLog[[#This Row],[Date]],"dddd")</f>
        <v>Wednesday</v>
      </c>
      <c r="G3566" s="3">
        <f>HOUR(CallLog[[#This Row],[Time]])</f>
        <v>17</v>
      </c>
      <c r="H3566" t="s">
        <v>13</v>
      </c>
      <c r="I3566" t="s">
        <v>14</v>
      </c>
      <c r="J3566" t="s">
        <v>14</v>
      </c>
      <c r="K3566">
        <v>67</v>
      </c>
      <c r="L3566" t="str">
        <f>IF(AND(CallLog[[#This Row],[Answered (Y/N)]]="Y", CallLog[[#This Row],[Speed of answer in seconds]]&lt;=20),
    "Within",
    "Breach")</f>
        <v>Breach</v>
      </c>
      <c r="M3566" s="1">
        <v>1.5393518518518519E-3</v>
      </c>
      <c r="N3566">
        <v>4</v>
      </c>
    </row>
    <row r="3567" spans="1:14" x14ac:dyDescent="0.3">
      <c r="A3567" t="s">
        <v>3652</v>
      </c>
      <c r="B3567" t="s">
        <v>31</v>
      </c>
      <c r="C3567" t="s">
        <v>3601</v>
      </c>
      <c r="D3567" s="1">
        <v>0.72400462962962964</v>
      </c>
      <c r="E3567" s="2">
        <f>CallLog[[#This Row],[Date]]+CallLog[[#This Row],[Time]]</f>
        <v>44258.724004629628</v>
      </c>
      <c r="F3567" s="1" t="str">
        <f>TEXT(CallLog[[#This Row],[Date]],"dddd")</f>
        <v>Wednesday</v>
      </c>
      <c r="G3567" s="3">
        <f>HOUR(CallLog[[#This Row],[Time]])</f>
        <v>17</v>
      </c>
      <c r="H3567" t="s">
        <v>32</v>
      </c>
      <c r="I3567" t="s">
        <v>14</v>
      </c>
      <c r="J3567" t="s">
        <v>18</v>
      </c>
      <c r="K3567">
        <v>44</v>
      </c>
      <c r="L3567" t="str">
        <f>IF(AND(CallLog[[#This Row],[Answered (Y/N)]]="Y", CallLog[[#This Row],[Speed of answer in seconds]]&lt;=20),
    "Within",
    "Breach")</f>
        <v>Breach</v>
      </c>
      <c r="M3567" s="1">
        <v>2.4189814814814816E-3</v>
      </c>
      <c r="N3567">
        <v>2</v>
      </c>
    </row>
    <row r="3568" spans="1:14" x14ac:dyDescent="0.3">
      <c r="A3568" t="s">
        <v>3653</v>
      </c>
      <c r="B3568" t="s">
        <v>38</v>
      </c>
      <c r="C3568" t="s">
        <v>3654</v>
      </c>
      <c r="D3568" s="1">
        <v>0.40299768518518519</v>
      </c>
      <c r="E3568" s="2">
        <f>CallLog[[#This Row],[Date]]+CallLog[[#This Row],[Time]]</f>
        <v>44259.402997685182</v>
      </c>
      <c r="F3568" s="1" t="str">
        <f>TEXT(CallLog[[#This Row],[Date]],"dddd")</f>
        <v>Thursday</v>
      </c>
      <c r="G3568" s="3">
        <f>HOUR(CallLog[[#This Row],[Time]])</f>
        <v>9</v>
      </c>
      <c r="H3568" t="s">
        <v>29</v>
      </c>
      <c r="I3568" t="s">
        <v>14</v>
      </c>
      <c r="J3568" t="s">
        <v>14</v>
      </c>
      <c r="K3568">
        <v>91</v>
      </c>
      <c r="L3568" t="str">
        <f>IF(AND(CallLog[[#This Row],[Answered (Y/N)]]="Y", CallLog[[#This Row],[Speed of answer in seconds]]&lt;=20),
    "Within",
    "Breach")</f>
        <v>Breach</v>
      </c>
      <c r="M3568" s="1">
        <v>3.5532407407407409E-3</v>
      </c>
      <c r="N3568">
        <v>2</v>
      </c>
    </row>
    <row r="3569" spans="1:14" x14ac:dyDescent="0.3">
      <c r="A3569" t="s">
        <v>3655</v>
      </c>
      <c r="B3569" t="s">
        <v>20</v>
      </c>
      <c r="C3569" t="s">
        <v>3654</v>
      </c>
      <c r="D3569" s="1">
        <v>0.40299768518518519</v>
      </c>
      <c r="E3569" s="2">
        <f>CallLog[[#This Row],[Date]]+CallLog[[#This Row],[Time]]</f>
        <v>44259.402997685182</v>
      </c>
      <c r="F3569" s="1" t="str">
        <f>TEXT(CallLog[[#This Row],[Date]],"dddd")</f>
        <v>Thursday</v>
      </c>
      <c r="G3569" s="3">
        <f>HOUR(CallLog[[#This Row],[Time]])</f>
        <v>9</v>
      </c>
      <c r="H3569" t="s">
        <v>24</v>
      </c>
      <c r="I3569" t="s">
        <v>14</v>
      </c>
      <c r="J3569" t="s">
        <v>14</v>
      </c>
      <c r="K3569">
        <v>44</v>
      </c>
      <c r="L3569" t="str">
        <f>IF(AND(CallLog[[#This Row],[Answered (Y/N)]]="Y", CallLog[[#This Row],[Speed of answer in seconds]]&lt;=20),
    "Within",
    "Breach")</f>
        <v>Breach</v>
      </c>
      <c r="M3569" s="1">
        <v>3.2638888888888891E-3</v>
      </c>
      <c r="N3569">
        <v>4</v>
      </c>
    </row>
    <row r="3570" spans="1:14" x14ac:dyDescent="0.3">
      <c r="A3570" t="s">
        <v>3656</v>
      </c>
      <c r="B3570" t="s">
        <v>11</v>
      </c>
      <c r="C3570" t="s">
        <v>3654</v>
      </c>
      <c r="D3570" s="1">
        <v>0.40500000000000003</v>
      </c>
      <c r="E3570" s="2">
        <f>CallLog[[#This Row],[Date]]+CallLog[[#This Row],[Time]]</f>
        <v>44259.404999999999</v>
      </c>
      <c r="F3570" s="1" t="str">
        <f>TEXT(CallLog[[#This Row],[Date]],"dddd")</f>
        <v>Thursday</v>
      </c>
      <c r="G3570" s="3">
        <f>HOUR(CallLog[[#This Row],[Time]])</f>
        <v>9</v>
      </c>
      <c r="H3570" t="s">
        <v>17</v>
      </c>
      <c r="I3570" t="s">
        <v>18</v>
      </c>
      <c r="J3570" t="s">
        <v>18</v>
      </c>
      <c r="L3570" t="str">
        <f>IF(AND(CallLog[[#This Row],[Answered (Y/N)]]="Y", CallLog[[#This Row],[Speed of answer in seconds]]&lt;=20),
    "Within",
    "Breach")</f>
        <v>Breach</v>
      </c>
    </row>
    <row r="3571" spans="1:14" x14ac:dyDescent="0.3">
      <c r="A3571" t="s">
        <v>3657</v>
      </c>
      <c r="B3571" t="s">
        <v>31</v>
      </c>
      <c r="C3571" t="s">
        <v>3654</v>
      </c>
      <c r="D3571" s="1">
        <v>0.40500000000000003</v>
      </c>
      <c r="E3571" s="2">
        <f>CallLog[[#This Row],[Date]]+CallLog[[#This Row],[Time]]</f>
        <v>44259.404999999999</v>
      </c>
      <c r="F3571" s="1" t="str">
        <f>TEXT(CallLog[[#This Row],[Date]],"dddd")</f>
        <v>Thursday</v>
      </c>
      <c r="G3571" s="3">
        <f>HOUR(CallLog[[#This Row],[Time]])</f>
        <v>9</v>
      </c>
      <c r="H3571" t="s">
        <v>13</v>
      </c>
      <c r="I3571" t="s">
        <v>14</v>
      </c>
      <c r="J3571" t="s">
        <v>18</v>
      </c>
      <c r="K3571">
        <v>24</v>
      </c>
      <c r="L3571" t="str">
        <f>IF(AND(CallLog[[#This Row],[Answered (Y/N)]]="Y", CallLog[[#This Row],[Speed of answer in seconds]]&lt;=20),
    "Within",
    "Breach")</f>
        <v>Breach</v>
      </c>
      <c r="M3571" s="1">
        <v>1.4120370370370369E-3</v>
      </c>
      <c r="N3571">
        <v>5</v>
      </c>
    </row>
    <row r="3572" spans="1:14" x14ac:dyDescent="0.3">
      <c r="A3572" t="s">
        <v>3658</v>
      </c>
      <c r="B3572" t="s">
        <v>47</v>
      </c>
      <c r="C3572" t="s">
        <v>3654</v>
      </c>
      <c r="D3572" s="1">
        <v>0.40599537037037037</v>
      </c>
      <c r="E3572" s="2">
        <f>CallLog[[#This Row],[Date]]+CallLog[[#This Row],[Time]]</f>
        <v>44259.405995370369</v>
      </c>
      <c r="F3572" s="1" t="str">
        <f>TEXT(CallLog[[#This Row],[Date]],"dddd")</f>
        <v>Thursday</v>
      </c>
      <c r="G3572" s="3">
        <f>HOUR(CallLog[[#This Row],[Time]])</f>
        <v>9</v>
      </c>
      <c r="H3572" t="s">
        <v>13</v>
      </c>
      <c r="I3572" t="s">
        <v>14</v>
      </c>
      <c r="J3572" t="s">
        <v>14</v>
      </c>
      <c r="K3572">
        <v>11</v>
      </c>
      <c r="L3572" t="str">
        <f>IF(AND(CallLog[[#This Row],[Answered (Y/N)]]="Y", CallLog[[#This Row],[Speed of answer in seconds]]&lt;=20),
    "Within",
    "Breach")</f>
        <v>Within</v>
      </c>
      <c r="M3572" s="1">
        <v>2.7662037037037039E-3</v>
      </c>
      <c r="N3572">
        <v>3</v>
      </c>
    </row>
    <row r="3573" spans="1:14" x14ac:dyDescent="0.3">
      <c r="A3573" t="s">
        <v>3659</v>
      </c>
      <c r="B3573" t="s">
        <v>38</v>
      </c>
      <c r="C3573" t="s">
        <v>3654</v>
      </c>
      <c r="D3573" s="1">
        <v>0.40599537037037037</v>
      </c>
      <c r="E3573" s="2">
        <f>CallLog[[#This Row],[Date]]+CallLog[[#This Row],[Time]]</f>
        <v>44259.405995370369</v>
      </c>
      <c r="F3573" s="1" t="str">
        <f>TEXT(CallLog[[#This Row],[Date]],"dddd")</f>
        <v>Thursday</v>
      </c>
      <c r="G3573" s="3">
        <f>HOUR(CallLog[[#This Row],[Time]])</f>
        <v>9</v>
      </c>
      <c r="H3573" t="s">
        <v>29</v>
      </c>
      <c r="I3573" t="s">
        <v>14</v>
      </c>
      <c r="J3573" t="s">
        <v>14</v>
      </c>
      <c r="K3573">
        <v>75</v>
      </c>
      <c r="L3573" t="str">
        <f>IF(AND(CallLog[[#This Row],[Answered (Y/N)]]="Y", CallLog[[#This Row],[Speed of answer in seconds]]&lt;=20),
    "Within",
    "Breach")</f>
        <v>Breach</v>
      </c>
      <c r="M3573" s="1">
        <v>2.3495370370370371E-3</v>
      </c>
      <c r="N3573">
        <v>4</v>
      </c>
    </row>
    <row r="3574" spans="1:14" x14ac:dyDescent="0.3">
      <c r="A3574" t="s">
        <v>3660</v>
      </c>
      <c r="B3574" t="s">
        <v>34</v>
      </c>
      <c r="C3574" t="s">
        <v>3654</v>
      </c>
      <c r="D3574" s="1">
        <v>0.4079976851851852</v>
      </c>
      <c r="E3574" s="2">
        <f>CallLog[[#This Row],[Date]]+CallLog[[#This Row],[Time]]</f>
        <v>44259.407997685186</v>
      </c>
      <c r="F3574" s="1" t="str">
        <f>TEXT(CallLog[[#This Row],[Date]],"dddd")</f>
        <v>Thursday</v>
      </c>
      <c r="G3574" s="3">
        <f>HOUR(CallLog[[#This Row],[Time]])</f>
        <v>9</v>
      </c>
      <c r="H3574" t="s">
        <v>32</v>
      </c>
      <c r="I3574" t="s">
        <v>14</v>
      </c>
      <c r="J3574" t="s">
        <v>14</v>
      </c>
      <c r="K3574">
        <v>58</v>
      </c>
      <c r="L3574" t="str">
        <f>IF(AND(CallLog[[#This Row],[Answered (Y/N)]]="Y", CallLog[[#This Row],[Speed of answer in seconds]]&lt;=20),
    "Within",
    "Breach")</f>
        <v>Breach</v>
      </c>
      <c r="M3574" s="1">
        <v>2.1527777777777778E-3</v>
      </c>
      <c r="N3574">
        <v>2</v>
      </c>
    </row>
    <row r="3575" spans="1:14" x14ac:dyDescent="0.3">
      <c r="A3575" t="s">
        <v>3661</v>
      </c>
      <c r="B3575" t="s">
        <v>38</v>
      </c>
      <c r="C3575" t="s">
        <v>3654</v>
      </c>
      <c r="D3575" s="1">
        <v>0.4079976851851852</v>
      </c>
      <c r="E3575" s="2">
        <f>CallLog[[#This Row],[Date]]+CallLog[[#This Row],[Time]]</f>
        <v>44259.407997685186</v>
      </c>
      <c r="F3575" s="1" t="str">
        <f>TEXT(CallLog[[#This Row],[Date]],"dddd")</f>
        <v>Thursday</v>
      </c>
      <c r="G3575" s="3">
        <f>HOUR(CallLog[[#This Row],[Time]])</f>
        <v>9</v>
      </c>
      <c r="H3575" t="s">
        <v>29</v>
      </c>
      <c r="I3575" t="s">
        <v>14</v>
      </c>
      <c r="J3575" t="s">
        <v>14</v>
      </c>
      <c r="K3575">
        <v>123</v>
      </c>
      <c r="L3575" t="str">
        <f>IF(AND(CallLog[[#This Row],[Answered (Y/N)]]="Y", CallLog[[#This Row],[Speed of answer in seconds]]&lt;=20),
    "Within",
    "Breach")</f>
        <v>Breach</v>
      </c>
      <c r="M3575" s="1">
        <v>3.472222222222222E-3</v>
      </c>
      <c r="N3575">
        <v>5</v>
      </c>
    </row>
    <row r="3576" spans="1:14" x14ac:dyDescent="0.3">
      <c r="A3576" t="s">
        <v>3662</v>
      </c>
      <c r="B3576" t="s">
        <v>47</v>
      </c>
      <c r="C3576" t="s">
        <v>3654</v>
      </c>
      <c r="D3576" s="1">
        <v>0.4129976851851852</v>
      </c>
      <c r="E3576" s="2">
        <f>CallLog[[#This Row],[Date]]+CallLog[[#This Row],[Time]]</f>
        <v>44259.412997685184</v>
      </c>
      <c r="F3576" s="1" t="str">
        <f>TEXT(CallLog[[#This Row],[Date]],"dddd")</f>
        <v>Thursday</v>
      </c>
      <c r="G3576" s="3">
        <f>HOUR(CallLog[[#This Row],[Time]])</f>
        <v>9</v>
      </c>
      <c r="H3576" t="s">
        <v>29</v>
      </c>
      <c r="I3576" t="s">
        <v>18</v>
      </c>
      <c r="J3576" t="s">
        <v>18</v>
      </c>
      <c r="L3576" t="str">
        <f>IF(AND(CallLog[[#This Row],[Answered (Y/N)]]="Y", CallLog[[#This Row],[Speed of answer in seconds]]&lt;=20),
    "Within",
    "Breach")</f>
        <v>Breach</v>
      </c>
    </row>
    <row r="3577" spans="1:14" x14ac:dyDescent="0.3">
      <c r="A3577" t="s">
        <v>3663</v>
      </c>
      <c r="B3577" t="s">
        <v>34</v>
      </c>
      <c r="C3577" t="s">
        <v>3654</v>
      </c>
      <c r="D3577" s="1">
        <v>0.4129976851851852</v>
      </c>
      <c r="E3577" s="2">
        <f>CallLog[[#This Row],[Date]]+CallLog[[#This Row],[Time]]</f>
        <v>44259.412997685184</v>
      </c>
      <c r="F3577" s="1" t="str">
        <f>TEXT(CallLog[[#This Row],[Date]],"dddd")</f>
        <v>Thursday</v>
      </c>
      <c r="G3577" s="3">
        <f>HOUR(CallLog[[#This Row],[Time]])</f>
        <v>9</v>
      </c>
      <c r="H3577" t="s">
        <v>24</v>
      </c>
      <c r="I3577" t="s">
        <v>18</v>
      </c>
      <c r="J3577" t="s">
        <v>18</v>
      </c>
      <c r="L3577" t="str">
        <f>IF(AND(CallLog[[#This Row],[Answered (Y/N)]]="Y", CallLog[[#This Row],[Speed of answer in seconds]]&lt;=20),
    "Within",
    "Breach")</f>
        <v>Breach</v>
      </c>
    </row>
    <row r="3578" spans="1:14" x14ac:dyDescent="0.3">
      <c r="A3578" t="s">
        <v>3664</v>
      </c>
      <c r="B3578" t="s">
        <v>22</v>
      </c>
      <c r="C3578" t="s">
        <v>3654</v>
      </c>
      <c r="D3578" s="1">
        <v>0.42400462962962965</v>
      </c>
      <c r="E3578" s="2">
        <f>CallLog[[#This Row],[Date]]+CallLog[[#This Row],[Time]]</f>
        <v>44259.424004629633</v>
      </c>
      <c r="F3578" s="1" t="str">
        <f>TEXT(CallLog[[#This Row],[Date]],"dddd")</f>
        <v>Thursday</v>
      </c>
      <c r="G3578" s="3">
        <f>HOUR(CallLog[[#This Row],[Time]])</f>
        <v>10</v>
      </c>
      <c r="H3578" t="s">
        <v>29</v>
      </c>
      <c r="I3578" t="s">
        <v>14</v>
      </c>
      <c r="J3578" t="s">
        <v>14</v>
      </c>
      <c r="K3578">
        <v>45</v>
      </c>
      <c r="L3578" t="str">
        <f>IF(AND(CallLog[[#This Row],[Answered (Y/N)]]="Y", CallLog[[#This Row],[Speed of answer in seconds]]&lt;=20),
    "Within",
    "Breach")</f>
        <v>Breach</v>
      </c>
      <c r="M3578" s="1">
        <v>3.5763888888888889E-3</v>
      </c>
      <c r="N3578">
        <v>1</v>
      </c>
    </row>
    <row r="3579" spans="1:14" x14ac:dyDescent="0.3">
      <c r="A3579" t="s">
        <v>3665</v>
      </c>
      <c r="B3579" t="s">
        <v>38</v>
      </c>
      <c r="C3579" t="s">
        <v>3654</v>
      </c>
      <c r="D3579" s="1">
        <v>0.42400462962962965</v>
      </c>
      <c r="E3579" s="2">
        <f>CallLog[[#This Row],[Date]]+CallLog[[#This Row],[Time]]</f>
        <v>44259.424004629633</v>
      </c>
      <c r="F3579" s="1" t="str">
        <f>TEXT(CallLog[[#This Row],[Date]],"dddd")</f>
        <v>Thursday</v>
      </c>
      <c r="G3579" s="3">
        <f>HOUR(CallLog[[#This Row],[Time]])</f>
        <v>10</v>
      </c>
      <c r="H3579" t="s">
        <v>24</v>
      </c>
      <c r="I3579" t="s">
        <v>14</v>
      </c>
      <c r="J3579" t="s">
        <v>14</v>
      </c>
      <c r="K3579">
        <v>38</v>
      </c>
      <c r="L3579" t="str">
        <f>IF(AND(CallLog[[#This Row],[Answered (Y/N)]]="Y", CallLog[[#This Row],[Speed of answer in seconds]]&lt;=20),
    "Within",
    "Breach")</f>
        <v>Breach</v>
      </c>
      <c r="M3579" s="1">
        <v>6.5972222222222224E-4</v>
      </c>
      <c r="N3579">
        <v>3</v>
      </c>
    </row>
    <row r="3580" spans="1:14" x14ac:dyDescent="0.3">
      <c r="A3580" t="s">
        <v>3666</v>
      </c>
      <c r="B3580" t="s">
        <v>20</v>
      </c>
      <c r="C3580" t="s">
        <v>3654</v>
      </c>
      <c r="D3580" s="1">
        <v>0.43</v>
      </c>
      <c r="E3580" s="2">
        <f>CallLog[[#This Row],[Date]]+CallLog[[#This Row],[Time]]</f>
        <v>44259.43</v>
      </c>
      <c r="F3580" s="1" t="str">
        <f>TEXT(CallLog[[#This Row],[Date]],"dddd")</f>
        <v>Thursday</v>
      </c>
      <c r="G3580" s="3">
        <f>HOUR(CallLog[[#This Row],[Time]])</f>
        <v>10</v>
      </c>
      <c r="H3580" t="s">
        <v>13</v>
      </c>
      <c r="I3580" t="s">
        <v>14</v>
      </c>
      <c r="J3580" t="s">
        <v>14</v>
      </c>
      <c r="K3580">
        <v>37</v>
      </c>
      <c r="L3580" t="str">
        <f>IF(AND(CallLog[[#This Row],[Answered (Y/N)]]="Y", CallLog[[#This Row],[Speed of answer in seconds]]&lt;=20),
    "Within",
    "Breach")</f>
        <v>Breach</v>
      </c>
      <c r="M3580" s="1">
        <v>2.8819444444444444E-3</v>
      </c>
      <c r="N3580">
        <v>4</v>
      </c>
    </row>
    <row r="3581" spans="1:14" x14ac:dyDescent="0.3">
      <c r="A3581" t="s">
        <v>3667</v>
      </c>
      <c r="B3581" t="s">
        <v>11</v>
      </c>
      <c r="C3581" t="s">
        <v>3654</v>
      </c>
      <c r="D3581" s="1">
        <v>0.43</v>
      </c>
      <c r="E3581" s="2">
        <f>CallLog[[#This Row],[Date]]+CallLog[[#This Row],[Time]]</f>
        <v>44259.43</v>
      </c>
      <c r="F3581" s="1" t="str">
        <f>TEXT(CallLog[[#This Row],[Date]],"dddd")</f>
        <v>Thursday</v>
      </c>
      <c r="G3581" s="3">
        <f>HOUR(CallLog[[#This Row],[Time]])</f>
        <v>10</v>
      </c>
      <c r="H3581" t="s">
        <v>32</v>
      </c>
      <c r="I3581" t="s">
        <v>14</v>
      </c>
      <c r="J3581" t="s">
        <v>14</v>
      </c>
      <c r="K3581">
        <v>90</v>
      </c>
      <c r="L3581" t="str">
        <f>IF(AND(CallLog[[#This Row],[Answered (Y/N)]]="Y", CallLog[[#This Row],[Speed of answer in seconds]]&lt;=20),
    "Within",
    "Breach")</f>
        <v>Breach</v>
      </c>
      <c r="M3581" s="1">
        <v>1.3888888888888889E-3</v>
      </c>
      <c r="N3581">
        <v>4</v>
      </c>
    </row>
    <row r="3582" spans="1:14" x14ac:dyDescent="0.3">
      <c r="A3582" t="s">
        <v>3668</v>
      </c>
      <c r="B3582" t="s">
        <v>47</v>
      </c>
      <c r="C3582" t="s">
        <v>3654</v>
      </c>
      <c r="D3582" s="1">
        <v>0.43799768518518517</v>
      </c>
      <c r="E3582" s="2">
        <f>CallLog[[#This Row],[Date]]+CallLog[[#This Row],[Time]]</f>
        <v>44259.437997685185</v>
      </c>
      <c r="F3582" s="1" t="str">
        <f>TEXT(CallLog[[#This Row],[Date]],"dddd")</f>
        <v>Thursday</v>
      </c>
      <c r="G3582" s="3">
        <f>HOUR(CallLog[[#This Row],[Time]])</f>
        <v>10</v>
      </c>
      <c r="H3582" t="s">
        <v>32</v>
      </c>
      <c r="I3582" t="s">
        <v>14</v>
      </c>
      <c r="J3582" t="s">
        <v>14</v>
      </c>
      <c r="K3582">
        <v>90</v>
      </c>
      <c r="L3582" t="str">
        <f>IF(AND(CallLog[[#This Row],[Answered (Y/N)]]="Y", CallLog[[#This Row],[Speed of answer in seconds]]&lt;=20),
    "Within",
    "Breach")</f>
        <v>Breach</v>
      </c>
      <c r="M3582" s="1">
        <v>2.6967592592592594E-3</v>
      </c>
      <c r="N3582">
        <v>3</v>
      </c>
    </row>
    <row r="3583" spans="1:14" x14ac:dyDescent="0.3">
      <c r="A3583" t="s">
        <v>3669</v>
      </c>
      <c r="B3583" t="s">
        <v>22</v>
      </c>
      <c r="C3583" t="s">
        <v>3654</v>
      </c>
      <c r="D3583" s="1">
        <v>0.43799768518518517</v>
      </c>
      <c r="E3583" s="2">
        <f>CallLog[[#This Row],[Date]]+CallLog[[#This Row],[Time]]</f>
        <v>44259.437997685185</v>
      </c>
      <c r="F3583" s="1" t="str">
        <f>TEXT(CallLog[[#This Row],[Date]],"dddd")</f>
        <v>Thursday</v>
      </c>
      <c r="G3583" s="3">
        <f>HOUR(CallLog[[#This Row],[Time]])</f>
        <v>10</v>
      </c>
      <c r="H3583" t="s">
        <v>29</v>
      </c>
      <c r="I3583" t="s">
        <v>18</v>
      </c>
      <c r="J3583" t="s">
        <v>18</v>
      </c>
      <c r="L3583" t="str">
        <f>IF(AND(CallLog[[#This Row],[Answered (Y/N)]]="Y", CallLog[[#This Row],[Speed of answer in seconds]]&lt;=20),
    "Within",
    "Breach")</f>
        <v>Breach</v>
      </c>
    </row>
    <row r="3584" spans="1:14" x14ac:dyDescent="0.3">
      <c r="A3584" t="s">
        <v>3670</v>
      </c>
      <c r="B3584" t="s">
        <v>31</v>
      </c>
      <c r="C3584" t="s">
        <v>3654</v>
      </c>
      <c r="D3584" s="1">
        <v>0.44700231481481484</v>
      </c>
      <c r="E3584" s="2">
        <f>CallLog[[#This Row],[Date]]+CallLog[[#This Row],[Time]]</f>
        <v>44259.447002314817</v>
      </c>
      <c r="F3584" s="1" t="str">
        <f>TEXT(CallLog[[#This Row],[Date]],"dddd")</f>
        <v>Thursday</v>
      </c>
      <c r="G3584" s="3">
        <f>HOUR(CallLog[[#This Row],[Time]])</f>
        <v>10</v>
      </c>
      <c r="H3584" t="s">
        <v>32</v>
      </c>
      <c r="I3584" t="s">
        <v>14</v>
      </c>
      <c r="J3584" t="s">
        <v>14</v>
      </c>
      <c r="K3584">
        <v>74</v>
      </c>
      <c r="L3584" t="str">
        <f>IF(AND(CallLog[[#This Row],[Answered (Y/N)]]="Y", CallLog[[#This Row],[Speed of answer in seconds]]&lt;=20),
    "Within",
    "Breach")</f>
        <v>Breach</v>
      </c>
      <c r="M3584" s="1">
        <v>2.4305555555555556E-3</v>
      </c>
      <c r="N3584">
        <v>3</v>
      </c>
    </row>
    <row r="3585" spans="1:14" x14ac:dyDescent="0.3">
      <c r="A3585" t="s">
        <v>3671</v>
      </c>
      <c r="B3585" t="s">
        <v>38</v>
      </c>
      <c r="C3585" t="s">
        <v>3654</v>
      </c>
      <c r="D3585" s="1">
        <v>0.44700231481481484</v>
      </c>
      <c r="E3585" s="2">
        <f>CallLog[[#This Row],[Date]]+CallLog[[#This Row],[Time]]</f>
        <v>44259.447002314817</v>
      </c>
      <c r="F3585" s="1" t="str">
        <f>TEXT(CallLog[[#This Row],[Date]],"dddd")</f>
        <v>Thursday</v>
      </c>
      <c r="G3585" s="3">
        <f>HOUR(CallLog[[#This Row],[Time]])</f>
        <v>10</v>
      </c>
      <c r="H3585" t="s">
        <v>32</v>
      </c>
      <c r="I3585" t="s">
        <v>18</v>
      </c>
      <c r="J3585" t="s">
        <v>18</v>
      </c>
      <c r="L3585" t="str">
        <f>IF(AND(CallLog[[#This Row],[Answered (Y/N)]]="Y", CallLog[[#This Row],[Speed of answer in seconds]]&lt;=20),
    "Within",
    "Breach")</f>
        <v>Breach</v>
      </c>
    </row>
    <row r="3586" spans="1:14" x14ac:dyDescent="0.3">
      <c r="A3586" t="s">
        <v>3672</v>
      </c>
      <c r="B3586" t="s">
        <v>11</v>
      </c>
      <c r="C3586" t="s">
        <v>3654</v>
      </c>
      <c r="D3586" s="1">
        <v>0.45799768518518519</v>
      </c>
      <c r="E3586" s="2">
        <f>CallLog[[#This Row],[Date]]+CallLog[[#This Row],[Time]]</f>
        <v>44259.457997685182</v>
      </c>
      <c r="F3586" s="1" t="str">
        <f>TEXT(CallLog[[#This Row],[Date]],"dddd")</f>
        <v>Thursday</v>
      </c>
      <c r="G3586" s="3">
        <f>HOUR(CallLog[[#This Row],[Time]])</f>
        <v>10</v>
      </c>
      <c r="H3586" t="s">
        <v>17</v>
      </c>
      <c r="I3586" t="s">
        <v>14</v>
      </c>
      <c r="J3586" t="s">
        <v>18</v>
      </c>
      <c r="K3586">
        <v>101</v>
      </c>
      <c r="L3586" t="str">
        <f>IF(AND(CallLog[[#This Row],[Answered (Y/N)]]="Y", CallLog[[#This Row],[Speed of answer in seconds]]&lt;=20),
    "Within",
    "Breach")</f>
        <v>Breach</v>
      </c>
      <c r="M3586" s="1">
        <v>1.6782407407407408E-3</v>
      </c>
      <c r="N3586">
        <v>4</v>
      </c>
    </row>
    <row r="3587" spans="1:14" x14ac:dyDescent="0.3">
      <c r="A3587" t="s">
        <v>3673</v>
      </c>
      <c r="B3587" t="s">
        <v>34</v>
      </c>
      <c r="C3587" t="s">
        <v>3654</v>
      </c>
      <c r="D3587" s="1">
        <v>0.45799768518518519</v>
      </c>
      <c r="E3587" s="2">
        <f>CallLog[[#This Row],[Date]]+CallLog[[#This Row],[Time]]</f>
        <v>44259.457997685182</v>
      </c>
      <c r="F3587" s="1" t="str">
        <f>TEXT(CallLog[[#This Row],[Date]],"dddd")</f>
        <v>Thursday</v>
      </c>
      <c r="G3587" s="3">
        <f>HOUR(CallLog[[#This Row],[Time]])</f>
        <v>10</v>
      </c>
      <c r="H3587" t="s">
        <v>29</v>
      </c>
      <c r="I3587" t="s">
        <v>18</v>
      </c>
      <c r="J3587" t="s">
        <v>18</v>
      </c>
      <c r="L3587" t="str">
        <f>IF(AND(CallLog[[#This Row],[Answered (Y/N)]]="Y", CallLog[[#This Row],[Speed of answer in seconds]]&lt;=20),
    "Within",
    "Breach")</f>
        <v>Breach</v>
      </c>
    </row>
    <row r="3588" spans="1:14" x14ac:dyDescent="0.3">
      <c r="A3588" t="s">
        <v>3674</v>
      </c>
      <c r="B3588" t="s">
        <v>22</v>
      </c>
      <c r="C3588" t="s">
        <v>3654</v>
      </c>
      <c r="D3588" s="1">
        <v>0.46500000000000002</v>
      </c>
      <c r="E3588" s="2">
        <f>CallLog[[#This Row],[Date]]+CallLog[[#This Row],[Time]]</f>
        <v>44259.464999999997</v>
      </c>
      <c r="F3588" s="1" t="str">
        <f>TEXT(CallLog[[#This Row],[Date]],"dddd")</f>
        <v>Thursday</v>
      </c>
      <c r="G3588" s="3">
        <f>HOUR(CallLog[[#This Row],[Time]])</f>
        <v>11</v>
      </c>
      <c r="H3588" t="s">
        <v>13</v>
      </c>
      <c r="I3588" t="s">
        <v>14</v>
      </c>
      <c r="J3588" t="s">
        <v>14</v>
      </c>
      <c r="K3588">
        <v>105</v>
      </c>
      <c r="L3588" t="str">
        <f>IF(AND(CallLog[[#This Row],[Answered (Y/N)]]="Y", CallLog[[#This Row],[Speed of answer in seconds]]&lt;=20),
    "Within",
    "Breach")</f>
        <v>Breach</v>
      </c>
      <c r="M3588" s="1">
        <v>3.8657407407407408E-3</v>
      </c>
      <c r="N3588">
        <v>4</v>
      </c>
    </row>
    <row r="3589" spans="1:14" x14ac:dyDescent="0.3">
      <c r="A3589" t="s">
        <v>3675</v>
      </c>
      <c r="B3589" t="s">
        <v>20</v>
      </c>
      <c r="C3589" t="s">
        <v>3654</v>
      </c>
      <c r="D3589" s="1">
        <v>0.46500000000000002</v>
      </c>
      <c r="E3589" s="2">
        <f>CallLog[[#This Row],[Date]]+CallLog[[#This Row],[Time]]</f>
        <v>44259.464999999997</v>
      </c>
      <c r="F3589" s="1" t="str">
        <f>TEXT(CallLog[[#This Row],[Date]],"dddd")</f>
        <v>Thursday</v>
      </c>
      <c r="G3589" s="3">
        <f>HOUR(CallLog[[#This Row],[Time]])</f>
        <v>11</v>
      </c>
      <c r="H3589" t="s">
        <v>32</v>
      </c>
      <c r="I3589" t="s">
        <v>14</v>
      </c>
      <c r="J3589" t="s">
        <v>14</v>
      </c>
      <c r="K3589">
        <v>11</v>
      </c>
      <c r="L3589" t="str">
        <f>IF(AND(CallLog[[#This Row],[Answered (Y/N)]]="Y", CallLog[[#This Row],[Speed of answer in seconds]]&lt;=20),
    "Within",
    "Breach")</f>
        <v>Within</v>
      </c>
      <c r="M3589" s="1">
        <v>1.4930555555555556E-3</v>
      </c>
      <c r="N3589">
        <v>1</v>
      </c>
    </row>
    <row r="3590" spans="1:14" x14ac:dyDescent="0.3">
      <c r="A3590" t="s">
        <v>3676</v>
      </c>
      <c r="B3590" t="s">
        <v>16</v>
      </c>
      <c r="C3590" t="s">
        <v>3654</v>
      </c>
      <c r="D3590" s="1">
        <v>0.46599537037037037</v>
      </c>
      <c r="E3590" s="2">
        <f>CallLog[[#This Row],[Date]]+CallLog[[#This Row],[Time]]</f>
        <v>44259.465995370374</v>
      </c>
      <c r="F3590" s="1" t="str">
        <f>TEXT(CallLog[[#This Row],[Date]],"dddd")</f>
        <v>Thursday</v>
      </c>
      <c r="G3590" s="3">
        <f>HOUR(CallLog[[#This Row],[Time]])</f>
        <v>11</v>
      </c>
      <c r="H3590" t="s">
        <v>29</v>
      </c>
      <c r="I3590" t="s">
        <v>18</v>
      </c>
      <c r="J3590" t="s">
        <v>18</v>
      </c>
      <c r="L3590" t="str">
        <f>IF(AND(CallLog[[#This Row],[Answered (Y/N)]]="Y", CallLog[[#This Row],[Speed of answer in seconds]]&lt;=20),
    "Within",
    "Breach")</f>
        <v>Breach</v>
      </c>
    </row>
    <row r="3591" spans="1:14" x14ac:dyDescent="0.3">
      <c r="A3591" t="s">
        <v>3677</v>
      </c>
      <c r="B3591" t="s">
        <v>11</v>
      </c>
      <c r="C3591" t="s">
        <v>3654</v>
      </c>
      <c r="D3591" s="1">
        <v>0.46599537037037037</v>
      </c>
      <c r="E3591" s="2">
        <f>CallLog[[#This Row],[Date]]+CallLog[[#This Row],[Time]]</f>
        <v>44259.465995370374</v>
      </c>
      <c r="F3591" s="1" t="str">
        <f>TEXT(CallLog[[#This Row],[Date]],"dddd")</f>
        <v>Thursday</v>
      </c>
      <c r="G3591" s="3">
        <f>HOUR(CallLog[[#This Row],[Time]])</f>
        <v>11</v>
      </c>
      <c r="H3591" t="s">
        <v>17</v>
      </c>
      <c r="I3591" t="s">
        <v>14</v>
      </c>
      <c r="J3591" t="s">
        <v>14</v>
      </c>
      <c r="K3591">
        <v>89</v>
      </c>
      <c r="L3591" t="str">
        <f>IF(AND(CallLog[[#This Row],[Answered (Y/N)]]="Y", CallLog[[#This Row],[Speed of answer in seconds]]&lt;=20),
    "Within",
    "Breach")</f>
        <v>Breach</v>
      </c>
      <c r="M3591" s="1">
        <v>3.5069444444444445E-3</v>
      </c>
      <c r="N3591">
        <v>3</v>
      </c>
    </row>
    <row r="3592" spans="1:14" x14ac:dyDescent="0.3">
      <c r="A3592" t="s">
        <v>3678</v>
      </c>
      <c r="B3592" t="s">
        <v>16</v>
      </c>
      <c r="C3592" t="s">
        <v>3654</v>
      </c>
      <c r="D3592" s="1">
        <v>0.48099537037037038</v>
      </c>
      <c r="E3592" s="2">
        <f>CallLog[[#This Row],[Date]]+CallLog[[#This Row],[Time]]</f>
        <v>44259.480995370373</v>
      </c>
      <c r="F3592" s="1" t="str">
        <f>TEXT(CallLog[[#This Row],[Date]],"dddd")</f>
        <v>Thursday</v>
      </c>
      <c r="G3592" s="3">
        <f>HOUR(CallLog[[#This Row],[Time]])</f>
        <v>11</v>
      </c>
      <c r="H3592" t="s">
        <v>13</v>
      </c>
      <c r="I3592" t="s">
        <v>14</v>
      </c>
      <c r="J3592" t="s">
        <v>14</v>
      </c>
      <c r="K3592">
        <v>90</v>
      </c>
      <c r="L3592" t="str">
        <f>IF(AND(CallLog[[#This Row],[Answered (Y/N)]]="Y", CallLog[[#This Row],[Speed of answer in seconds]]&lt;=20),
    "Within",
    "Breach")</f>
        <v>Breach</v>
      </c>
      <c r="M3592" s="1">
        <v>1.6550925925925926E-3</v>
      </c>
      <c r="N3592">
        <v>3</v>
      </c>
    </row>
    <row r="3593" spans="1:14" x14ac:dyDescent="0.3">
      <c r="A3593" t="s">
        <v>3679</v>
      </c>
      <c r="B3593" t="s">
        <v>16</v>
      </c>
      <c r="C3593" t="s">
        <v>3654</v>
      </c>
      <c r="D3593" s="1">
        <v>0.48099537037037038</v>
      </c>
      <c r="E3593" s="2">
        <f>CallLog[[#This Row],[Date]]+CallLog[[#This Row],[Time]]</f>
        <v>44259.480995370373</v>
      </c>
      <c r="F3593" s="1" t="str">
        <f>TEXT(CallLog[[#This Row],[Date]],"dddd")</f>
        <v>Thursday</v>
      </c>
      <c r="G3593" s="3">
        <f>HOUR(CallLog[[#This Row],[Time]])</f>
        <v>11</v>
      </c>
      <c r="H3593" t="s">
        <v>17</v>
      </c>
      <c r="I3593" t="s">
        <v>14</v>
      </c>
      <c r="J3593" t="s">
        <v>14</v>
      </c>
      <c r="K3593">
        <v>106</v>
      </c>
      <c r="L3593" t="str">
        <f>IF(AND(CallLog[[#This Row],[Answered (Y/N)]]="Y", CallLog[[#This Row],[Speed of answer in seconds]]&lt;=20),
    "Within",
    "Breach")</f>
        <v>Breach</v>
      </c>
      <c r="M3593" s="1">
        <v>3.2407407407407406E-3</v>
      </c>
      <c r="N3593">
        <v>5</v>
      </c>
    </row>
    <row r="3594" spans="1:14" x14ac:dyDescent="0.3">
      <c r="A3594" t="s">
        <v>3680</v>
      </c>
      <c r="B3594" t="s">
        <v>22</v>
      </c>
      <c r="C3594" t="s">
        <v>3654</v>
      </c>
      <c r="D3594" s="1">
        <v>0.48400462962962965</v>
      </c>
      <c r="E3594" s="2">
        <f>CallLog[[#This Row],[Date]]+CallLog[[#This Row],[Time]]</f>
        <v>44259.48400462963</v>
      </c>
      <c r="F3594" s="1" t="str">
        <f>TEXT(CallLog[[#This Row],[Date]],"dddd")</f>
        <v>Thursday</v>
      </c>
      <c r="G3594" s="3">
        <f>HOUR(CallLog[[#This Row],[Time]])</f>
        <v>11</v>
      </c>
      <c r="H3594" t="s">
        <v>17</v>
      </c>
      <c r="I3594" t="s">
        <v>14</v>
      </c>
      <c r="J3594" t="s">
        <v>14</v>
      </c>
      <c r="K3594">
        <v>113</v>
      </c>
      <c r="L3594" t="str">
        <f>IF(AND(CallLog[[#This Row],[Answered (Y/N)]]="Y", CallLog[[#This Row],[Speed of answer in seconds]]&lt;=20),
    "Within",
    "Breach")</f>
        <v>Breach</v>
      </c>
      <c r="M3594" s="1">
        <v>2.4537037037037036E-3</v>
      </c>
      <c r="N3594">
        <v>4</v>
      </c>
    </row>
    <row r="3595" spans="1:14" x14ac:dyDescent="0.3">
      <c r="A3595" t="s">
        <v>3681</v>
      </c>
      <c r="B3595" t="s">
        <v>31</v>
      </c>
      <c r="C3595" t="s">
        <v>3654</v>
      </c>
      <c r="D3595" s="1">
        <v>0.48400462962962965</v>
      </c>
      <c r="E3595" s="2">
        <f>CallLog[[#This Row],[Date]]+CallLog[[#This Row],[Time]]</f>
        <v>44259.48400462963</v>
      </c>
      <c r="F3595" s="1" t="str">
        <f>TEXT(CallLog[[#This Row],[Date]],"dddd")</f>
        <v>Thursday</v>
      </c>
      <c r="G3595" s="3">
        <f>HOUR(CallLog[[#This Row],[Time]])</f>
        <v>11</v>
      </c>
      <c r="H3595" t="s">
        <v>32</v>
      </c>
      <c r="I3595" t="s">
        <v>14</v>
      </c>
      <c r="J3595" t="s">
        <v>14</v>
      </c>
      <c r="K3595">
        <v>44</v>
      </c>
      <c r="L3595" t="str">
        <f>IF(AND(CallLog[[#This Row],[Answered (Y/N)]]="Y", CallLog[[#This Row],[Speed of answer in seconds]]&lt;=20),
    "Within",
    "Breach")</f>
        <v>Breach</v>
      </c>
      <c r="M3595" s="1">
        <v>2.0949074074074073E-3</v>
      </c>
      <c r="N3595">
        <v>5</v>
      </c>
    </row>
    <row r="3596" spans="1:14" x14ac:dyDescent="0.3">
      <c r="A3596" t="s">
        <v>3682</v>
      </c>
      <c r="B3596" t="s">
        <v>16</v>
      </c>
      <c r="C3596" t="s">
        <v>3654</v>
      </c>
      <c r="D3596" s="1">
        <v>0.5</v>
      </c>
      <c r="E3596" s="2">
        <f>CallLog[[#This Row],[Date]]+CallLog[[#This Row],[Time]]</f>
        <v>44259.5</v>
      </c>
      <c r="F3596" s="1" t="str">
        <f>TEXT(CallLog[[#This Row],[Date]],"dddd")</f>
        <v>Thursday</v>
      </c>
      <c r="G3596" s="3">
        <f>HOUR(CallLog[[#This Row],[Time]])</f>
        <v>12</v>
      </c>
      <c r="H3596" t="s">
        <v>24</v>
      </c>
      <c r="I3596" t="s">
        <v>14</v>
      </c>
      <c r="J3596" t="s">
        <v>14</v>
      </c>
      <c r="K3596">
        <v>50</v>
      </c>
      <c r="L3596" t="str">
        <f>IF(AND(CallLog[[#This Row],[Answered (Y/N)]]="Y", CallLog[[#This Row],[Speed of answer in seconds]]&lt;=20),
    "Within",
    "Breach")</f>
        <v>Breach</v>
      </c>
      <c r="M3596" s="1">
        <v>9.2592592592592596E-4</v>
      </c>
      <c r="N3596">
        <v>3</v>
      </c>
    </row>
    <row r="3597" spans="1:14" x14ac:dyDescent="0.3">
      <c r="A3597" t="s">
        <v>3683</v>
      </c>
      <c r="B3597" t="s">
        <v>31</v>
      </c>
      <c r="C3597" t="s">
        <v>3654</v>
      </c>
      <c r="D3597" s="1">
        <v>0.5</v>
      </c>
      <c r="E3597" s="2">
        <f>CallLog[[#This Row],[Date]]+CallLog[[#This Row],[Time]]</f>
        <v>44259.5</v>
      </c>
      <c r="F3597" s="1" t="str">
        <f>TEXT(CallLog[[#This Row],[Date]],"dddd")</f>
        <v>Thursday</v>
      </c>
      <c r="G3597" s="3">
        <f>HOUR(CallLog[[#This Row],[Time]])</f>
        <v>12</v>
      </c>
      <c r="H3597" t="s">
        <v>13</v>
      </c>
      <c r="I3597" t="s">
        <v>14</v>
      </c>
      <c r="J3597" t="s">
        <v>14</v>
      </c>
      <c r="K3597">
        <v>111</v>
      </c>
      <c r="L3597" t="str">
        <f>IF(AND(CallLog[[#This Row],[Answered (Y/N)]]="Y", CallLog[[#This Row],[Speed of answer in seconds]]&lt;=20),
    "Within",
    "Breach")</f>
        <v>Breach</v>
      </c>
      <c r="M3597" s="1">
        <v>3.2638888888888891E-3</v>
      </c>
      <c r="N3597">
        <v>4</v>
      </c>
    </row>
    <row r="3598" spans="1:14" x14ac:dyDescent="0.3">
      <c r="A3598" t="s">
        <v>3684</v>
      </c>
      <c r="B3598" t="s">
        <v>34</v>
      </c>
      <c r="C3598" t="s">
        <v>3654</v>
      </c>
      <c r="D3598" s="1">
        <v>0.51</v>
      </c>
      <c r="E3598" s="2">
        <f>CallLog[[#This Row],[Date]]+CallLog[[#This Row],[Time]]</f>
        <v>44259.51</v>
      </c>
      <c r="F3598" s="1" t="str">
        <f>TEXT(CallLog[[#This Row],[Date]],"dddd")</f>
        <v>Thursday</v>
      </c>
      <c r="G3598" s="3">
        <f>HOUR(CallLog[[#This Row],[Time]])</f>
        <v>12</v>
      </c>
      <c r="H3598" t="s">
        <v>29</v>
      </c>
      <c r="I3598" t="s">
        <v>14</v>
      </c>
      <c r="J3598" t="s">
        <v>14</v>
      </c>
      <c r="K3598">
        <v>46</v>
      </c>
      <c r="L3598" t="str">
        <f>IF(AND(CallLog[[#This Row],[Answered (Y/N)]]="Y", CallLog[[#This Row],[Speed of answer in seconds]]&lt;=20),
    "Within",
    "Breach")</f>
        <v>Breach</v>
      </c>
      <c r="M3598" s="1">
        <v>1.6435185185185185E-3</v>
      </c>
      <c r="N3598">
        <v>1</v>
      </c>
    </row>
    <row r="3599" spans="1:14" x14ac:dyDescent="0.3">
      <c r="A3599" t="s">
        <v>3685</v>
      </c>
      <c r="B3599" t="s">
        <v>47</v>
      </c>
      <c r="C3599" t="s">
        <v>3654</v>
      </c>
      <c r="D3599" s="1">
        <v>0.51</v>
      </c>
      <c r="E3599" s="2">
        <f>CallLog[[#This Row],[Date]]+CallLog[[#This Row],[Time]]</f>
        <v>44259.51</v>
      </c>
      <c r="F3599" s="1" t="str">
        <f>TEXT(CallLog[[#This Row],[Date]],"dddd")</f>
        <v>Thursday</v>
      </c>
      <c r="G3599" s="3">
        <f>HOUR(CallLog[[#This Row],[Time]])</f>
        <v>12</v>
      </c>
      <c r="H3599" t="s">
        <v>32</v>
      </c>
      <c r="I3599" t="s">
        <v>14</v>
      </c>
      <c r="J3599" t="s">
        <v>14</v>
      </c>
      <c r="K3599">
        <v>96</v>
      </c>
      <c r="L3599" t="str">
        <f>IF(AND(CallLog[[#This Row],[Answered (Y/N)]]="Y", CallLog[[#This Row],[Speed of answer in seconds]]&lt;=20),
    "Within",
    "Breach")</f>
        <v>Breach</v>
      </c>
      <c r="M3599" s="1">
        <v>1.8981481481481482E-3</v>
      </c>
      <c r="N3599">
        <v>5</v>
      </c>
    </row>
    <row r="3600" spans="1:14" x14ac:dyDescent="0.3">
      <c r="A3600" t="s">
        <v>3686</v>
      </c>
      <c r="B3600" t="s">
        <v>22</v>
      </c>
      <c r="C3600" t="s">
        <v>3654</v>
      </c>
      <c r="D3600" s="1">
        <v>0.53200231481481486</v>
      </c>
      <c r="E3600" s="2">
        <f>CallLog[[#This Row],[Date]]+CallLog[[#This Row],[Time]]</f>
        <v>44259.532002314816</v>
      </c>
      <c r="F3600" s="1" t="str">
        <f>TEXT(CallLog[[#This Row],[Date]],"dddd")</f>
        <v>Thursday</v>
      </c>
      <c r="G3600" s="3">
        <f>HOUR(CallLog[[#This Row],[Time]])</f>
        <v>12</v>
      </c>
      <c r="H3600" t="s">
        <v>24</v>
      </c>
      <c r="I3600" t="s">
        <v>14</v>
      </c>
      <c r="J3600" t="s">
        <v>14</v>
      </c>
      <c r="K3600">
        <v>102</v>
      </c>
      <c r="L3600" t="str">
        <f>IF(AND(CallLog[[#This Row],[Answered (Y/N)]]="Y", CallLog[[#This Row],[Speed of answer in seconds]]&lt;=20),
    "Within",
    "Breach")</f>
        <v>Breach</v>
      </c>
      <c r="M3600" s="1">
        <v>1.9907407407407408E-3</v>
      </c>
      <c r="N3600">
        <v>3</v>
      </c>
    </row>
    <row r="3601" spans="1:14" x14ac:dyDescent="0.3">
      <c r="A3601" t="s">
        <v>3687</v>
      </c>
      <c r="B3601" t="s">
        <v>38</v>
      </c>
      <c r="C3601" t="s">
        <v>3654</v>
      </c>
      <c r="D3601" s="1">
        <v>0.53200231481481486</v>
      </c>
      <c r="E3601" s="2">
        <f>CallLog[[#This Row],[Date]]+CallLog[[#This Row],[Time]]</f>
        <v>44259.532002314816</v>
      </c>
      <c r="F3601" s="1" t="str">
        <f>TEXT(CallLog[[#This Row],[Date]],"dddd")</f>
        <v>Thursday</v>
      </c>
      <c r="G3601" s="3">
        <f>HOUR(CallLog[[#This Row],[Time]])</f>
        <v>12</v>
      </c>
      <c r="H3601" t="s">
        <v>13</v>
      </c>
      <c r="I3601" t="s">
        <v>14</v>
      </c>
      <c r="J3601" t="s">
        <v>18</v>
      </c>
      <c r="K3601">
        <v>30</v>
      </c>
      <c r="L3601" t="str">
        <f>IF(AND(CallLog[[#This Row],[Answered (Y/N)]]="Y", CallLog[[#This Row],[Speed of answer in seconds]]&lt;=20),
    "Within",
    "Breach")</f>
        <v>Breach</v>
      </c>
      <c r="M3601" s="1">
        <v>3.5995370370370369E-3</v>
      </c>
      <c r="N3601">
        <v>5</v>
      </c>
    </row>
    <row r="3602" spans="1:14" x14ac:dyDescent="0.3">
      <c r="A3602" t="s">
        <v>3688</v>
      </c>
      <c r="B3602" t="s">
        <v>20</v>
      </c>
      <c r="C3602" t="s">
        <v>3654</v>
      </c>
      <c r="D3602" s="1">
        <v>0.54799768518518521</v>
      </c>
      <c r="E3602" s="2">
        <f>CallLog[[#This Row],[Date]]+CallLog[[#This Row],[Time]]</f>
        <v>44259.547997685186</v>
      </c>
      <c r="F3602" s="1" t="str">
        <f>TEXT(CallLog[[#This Row],[Date]],"dddd")</f>
        <v>Thursday</v>
      </c>
      <c r="G3602" s="3">
        <f>HOUR(CallLog[[#This Row],[Time]])</f>
        <v>13</v>
      </c>
      <c r="H3602" t="s">
        <v>32</v>
      </c>
      <c r="I3602" t="s">
        <v>14</v>
      </c>
      <c r="J3602" t="s">
        <v>14</v>
      </c>
      <c r="K3602">
        <v>91</v>
      </c>
      <c r="L3602" t="str">
        <f>IF(AND(CallLog[[#This Row],[Answered (Y/N)]]="Y", CallLog[[#This Row],[Speed of answer in seconds]]&lt;=20),
    "Within",
    "Breach")</f>
        <v>Breach</v>
      </c>
      <c r="M3602" s="1">
        <v>3.8078703703703703E-3</v>
      </c>
      <c r="N3602">
        <v>5</v>
      </c>
    </row>
    <row r="3603" spans="1:14" x14ac:dyDescent="0.3">
      <c r="A3603" t="s">
        <v>3689</v>
      </c>
      <c r="B3603" t="s">
        <v>22</v>
      </c>
      <c r="C3603" t="s">
        <v>3654</v>
      </c>
      <c r="D3603" s="1">
        <v>0.54799768518518521</v>
      </c>
      <c r="E3603" s="2">
        <f>CallLog[[#This Row],[Date]]+CallLog[[#This Row],[Time]]</f>
        <v>44259.547997685186</v>
      </c>
      <c r="F3603" s="1" t="str">
        <f>TEXT(CallLog[[#This Row],[Date]],"dddd")</f>
        <v>Thursday</v>
      </c>
      <c r="G3603" s="3">
        <f>HOUR(CallLog[[#This Row],[Time]])</f>
        <v>13</v>
      </c>
      <c r="H3603" t="s">
        <v>17</v>
      </c>
      <c r="I3603" t="s">
        <v>14</v>
      </c>
      <c r="J3603" t="s">
        <v>14</v>
      </c>
      <c r="K3603">
        <v>111</v>
      </c>
      <c r="L3603" t="str">
        <f>IF(AND(CallLog[[#This Row],[Answered (Y/N)]]="Y", CallLog[[#This Row],[Speed of answer in seconds]]&lt;=20),
    "Within",
    "Breach")</f>
        <v>Breach</v>
      </c>
      <c r="M3603" s="1">
        <v>3.2523148148148147E-3</v>
      </c>
      <c r="N3603">
        <v>4</v>
      </c>
    </row>
    <row r="3604" spans="1:14" x14ac:dyDescent="0.3">
      <c r="A3604" t="s">
        <v>3690</v>
      </c>
      <c r="B3604" t="s">
        <v>22</v>
      </c>
      <c r="C3604" t="s">
        <v>3654</v>
      </c>
      <c r="D3604" s="1">
        <v>0.56700231481481478</v>
      </c>
      <c r="E3604" s="2">
        <f>CallLog[[#This Row],[Date]]+CallLog[[#This Row],[Time]]</f>
        <v>44259.567002314812</v>
      </c>
      <c r="F3604" s="1" t="str">
        <f>TEXT(CallLog[[#This Row],[Date]],"dddd")</f>
        <v>Thursday</v>
      </c>
      <c r="G3604" s="3">
        <f>HOUR(CallLog[[#This Row],[Time]])</f>
        <v>13</v>
      </c>
      <c r="H3604" t="s">
        <v>32</v>
      </c>
      <c r="I3604" t="s">
        <v>18</v>
      </c>
      <c r="J3604" t="s">
        <v>18</v>
      </c>
      <c r="L3604" t="str">
        <f>IF(AND(CallLog[[#This Row],[Answered (Y/N)]]="Y", CallLog[[#This Row],[Speed of answer in seconds]]&lt;=20),
    "Within",
    "Breach")</f>
        <v>Breach</v>
      </c>
    </row>
    <row r="3605" spans="1:14" x14ac:dyDescent="0.3">
      <c r="A3605" t="s">
        <v>3691</v>
      </c>
      <c r="B3605" t="s">
        <v>11</v>
      </c>
      <c r="C3605" t="s">
        <v>3654</v>
      </c>
      <c r="D3605" s="1">
        <v>0.56700231481481478</v>
      </c>
      <c r="E3605" s="2">
        <f>CallLog[[#This Row],[Date]]+CallLog[[#This Row],[Time]]</f>
        <v>44259.567002314812</v>
      </c>
      <c r="F3605" s="1" t="str">
        <f>TEXT(CallLog[[#This Row],[Date]],"dddd")</f>
        <v>Thursday</v>
      </c>
      <c r="G3605" s="3">
        <f>HOUR(CallLog[[#This Row],[Time]])</f>
        <v>13</v>
      </c>
      <c r="H3605" t="s">
        <v>32</v>
      </c>
      <c r="I3605" t="s">
        <v>14</v>
      </c>
      <c r="J3605" t="s">
        <v>14</v>
      </c>
      <c r="K3605">
        <v>99</v>
      </c>
      <c r="L3605" t="str">
        <f>IF(AND(CallLog[[#This Row],[Answered (Y/N)]]="Y", CallLog[[#This Row],[Speed of answer in seconds]]&lt;=20),
    "Within",
    "Breach")</f>
        <v>Breach</v>
      </c>
      <c r="M3605" s="1">
        <v>2.1180555555555558E-3</v>
      </c>
      <c r="N3605">
        <v>4</v>
      </c>
    </row>
    <row r="3606" spans="1:14" x14ac:dyDescent="0.3">
      <c r="A3606" t="s">
        <v>3692</v>
      </c>
      <c r="B3606" t="s">
        <v>34</v>
      </c>
      <c r="C3606" t="s">
        <v>3654</v>
      </c>
      <c r="D3606" s="1">
        <v>0.56999999999999995</v>
      </c>
      <c r="E3606" s="2">
        <f>CallLog[[#This Row],[Date]]+CallLog[[#This Row],[Time]]</f>
        <v>44259.57</v>
      </c>
      <c r="F3606" s="1" t="str">
        <f>TEXT(CallLog[[#This Row],[Date]],"dddd")</f>
        <v>Thursday</v>
      </c>
      <c r="G3606" s="3">
        <f>HOUR(CallLog[[#This Row],[Time]])</f>
        <v>13</v>
      </c>
      <c r="H3606" t="s">
        <v>17</v>
      </c>
      <c r="I3606" t="s">
        <v>14</v>
      </c>
      <c r="J3606" t="s">
        <v>14</v>
      </c>
      <c r="K3606">
        <v>125</v>
      </c>
      <c r="L3606" t="str">
        <f>IF(AND(CallLog[[#This Row],[Answered (Y/N)]]="Y", CallLog[[#This Row],[Speed of answer in seconds]]&lt;=20),
    "Within",
    "Breach")</f>
        <v>Breach</v>
      </c>
      <c r="M3606" s="1">
        <v>5.3240740740740744E-4</v>
      </c>
      <c r="N3606">
        <v>3</v>
      </c>
    </row>
    <row r="3607" spans="1:14" x14ac:dyDescent="0.3">
      <c r="A3607" t="s">
        <v>3693</v>
      </c>
      <c r="B3607" t="s">
        <v>34</v>
      </c>
      <c r="C3607" t="s">
        <v>3654</v>
      </c>
      <c r="D3607" s="1">
        <v>0.56999999999999995</v>
      </c>
      <c r="E3607" s="2">
        <f>CallLog[[#This Row],[Date]]+CallLog[[#This Row],[Time]]</f>
        <v>44259.57</v>
      </c>
      <c r="F3607" s="1" t="str">
        <f>TEXT(CallLog[[#This Row],[Date]],"dddd")</f>
        <v>Thursday</v>
      </c>
      <c r="G3607" s="3">
        <f>HOUR(CallLog[[#This Row],[Time]])</f>
        <v>13</v>
      </c>
      <c r="H3607" t="s">
        <v>24</v>
      </c>
      <c r="I3607" t="s">
        <v>14</v>
      </c>
      <c r="J3607" t="s">
        <v>14</v>
      </c>
      <c r="K3607">
        <v>11</v>
      </c>
      <c r="L3607" t="str">
        <f>IF(AND(CallLog[[#This Row],[Answered (Y/N)]]="Y", CallLog[[#This Row],[Speed of answer in seconds]]&lt;=20),
    "Within",
    "Breach")</f>
        <v>Within</v>
      </c>
      <c r="M3607" s="1">
        <v>4.31712962962963E-3</v>
      </c>
      <c r="N3607">
        <v>3</v>
      </c>
    </row>
    <row r="3608" spans="1:14" x14ac:dyDescent="0.3">
      <c r="A3608" t="s">
        <v>3694</v>
      </c>
      <c r="B3608" t="s">
        <v>38</v>
      </c>
      <c r="C3608" t="s">
        <v>3654</v>
      </c>
      <c r="D3608" s="1">
        <v>0.59499999999999997</v>
      </c>
      <c r="E3608" s="2">
        <f>CallLog[[#This Row],[Date]]+CallLog[[#This Row],[Time]]</f>
        <v>44259.595000000001</v>
      </c>
      <c r="F3608" s="1" t="str">
        <f>TEXT(CallLog[[#This Row],[Date]],"dddd")</f>
        <v>Thursday</v>
      </c>
      <c r="G3608" s="3">
        <f>HOUR(CallLog[[#This Row],[Time]])</f>
        <v>14</v>
      </c>
      <c r="H3608" t="s">
        <v>13</v>
      </c>
      <c r="I3608" t="s">
        <v>14</v>
      </c>
      <c r="J3608" t="s">
        <v>14</v>
      </c>
      <c r="K3608">
        <v>79</v>
      </c>
      <c r="L3608" t="str">
        <f>IF(AND(CallLog[[#This Row],[Answered (Y/N)]]="Y", CallLog[[#This Row],[Speed of answer in seconds]]&lt;=20),
    "Within",
    "Breach")</f>
        <v>Breach</v>
      </c>
      <c r="M3608" s="1">
        <v>6.134259259259259E-4</v>
      </c>
      <c r="N3608">
        <v>2</v>
      </c>
    </row>
    <row r="3609" spans="1:14" x14ac:dyDescent="0.3">
      <c r="A3609" t="s">
        <v>3695</v>
      </c>
      <c r="B3609" t="s">
        <v>20</v>
      </c>
      <c r="C3609" t="s">
        <v>3654</v>
      </c>
      <c r="D3609" s="1">
        <v>0.59499999999999997</v>
      </c>
      <c r="E3609" s="2">
        <f>CallLog[[#This Row],[Date]]+CallLog[[#This Row],[Time]]</f>
        <v>44259.595000000001</v>
      </c>
      <c r="F3609" s="1" t="str">
        <f>TEXT(CallLog[[#This Row],[Date]],"dddd")</f>
        <v>Thursday</v>
      </c>
      <c r="G3609" s="3">
        <f>HOUR(CallLog[[#This Row],[Time]])</f>
        <v>14</v>
      </c>
      <c r="H3609" t="s">
        <v>17</v>
      </c>
      <c r="I3609" t="s">
        <v>14</v>
      </c>
      <c r="J3609" t="s">
        <v>14</v>
      </c>
      <c r="K3609">
        <v>92</v>
      </c>
      <c r="L3609" t="str">
        <f>IF(AND(CallLog[[#This Row],[Answered (Y/N)]]="Y", CallLog[[#This Row],[Speed of answer in seconds]]&lt;=20),
    "Within",
    "Breach")</f>
        <v>Breach</v>
      </c>
      <c r="M3609" s="1">
        <v>3.0902777777777777E-3</v>
      </c>
      <c r="N3609">
        <v>1</v>
      </c>
    </row>
    <row r="3610" spans="1:14" x14ac:dyDescent="0.3">
      <c r="A3610" t="s">
        <v>3696</v>
      </c>
      <c r="B3610" t="s">
        <v>47</v>
      </c>
      <c r="C3610" t="s">
        <v>3654</v>
      </c>
      <c r="D3610" s="1">
        <v>0.61799768518518516</v>
      </c>
      <c r="E3610" s="2">
        <f>CallLog[[#This Row],[Date]]+CallLog[[#This Row],[Time]]</f>
        <v>44259.617997685185</v>
      </c>
      <c r="F3610" s="1" t="str">
        <f>TEXT(CallLog[[#This Row],[Date]],"dddd")</f>
        <v>Thursday</v>
      </c>
      <c r="G3610" s="3">
        <f>HOUR(CallLog[[#This Row],[Time]])</f>
        <v>14</v>
      </c>
      <c r="H3610" t="s">
        <v>17</v>
      </c>
      <c r="I3610" t="s">
        <v>18</v>
      </c>
      <c r="J3610" t="s">
        <v>18</v>
      </c>
      <c r="L3610" t="str">
        <f>IF(AND(CallLog[[#This Row],[Answered (Y/N)]]="Y", CallLog[[#This Row],[Speed of answer in seconds]]&lt;=20),
    "Within",
    "Breach")</f>
        <v>Breach</v>
      </c>
    </row>
    <row r="3611" spans="1:14" x14ac:dyDescent="0.3">
      <c r="A3611" t="s">
        <v>3697</v>
      </c>
      <c r="B3611" t="s">
        <v>34</v>
      </c>
      <c r="C3611" t="s">
        <v>3654</v>
      </c>
      <c r="D3611" s="1">
        <v>0.61799768518518516</v>
      </c>
      <c r="E3611" s="2">
        <f>CallLog[[#This Row],[Date]]+CallLog[[#This Row],[Time]]</f>
        <v>44259.617997685185</v>
      </c>
      <c r="F3611" s="1" t="str">
        <f>TEXT(CallLog[[#This Row],[Date]],"dddd")</f>
        <v>Thursday</v>
      </c>
      <c r="G3611" s="3">
        <f>HOUR(CallLog[[#This Row],[Time]])</f>
        <v>14</v>
      </c>
      <c r="H3611" t="s">
        <v>32</v>
      </c>
      <c r="I3611" t="s">
        <v>14</v>
      </c>
      <c r="J3611" t="s">
        <v>14</v>
      </c>
      <c r="K3611">
        <v>119</v>
      </c>
      <c r="L3611" t="str">
        <f>IF(AND(CallLog[[#This Row],[Answered (Y/N)]]="Y", CallLog[[#This Row],[Speed of answer in seconds]]&lt;=20),
    "Within",
    "Breach")</f>
        <v>Breach</v>
      </c>
      <c r="M3611" s="1">
        <v>3.7268518518518519E-3</v>
      </c>
      <c r="N3611">
        <v>3</v>
      </c>
    </row>
    <row r="3612" spans="1:14" x14ac:dyDescent="0.3">
      <c r="A3612" t="s">
        <v>3698</v>
      </c>
      <c r="B3612" t="s">
        <v>31</v>
      </c>
      <c r="C3612" t="s">
        <v>3654</v>
      </c>
      <c r="D3612" s="1">
        <v>0.625</v>
      </c>
      <c r="E3612" s="2">
        <f>CallLog[[#This Row],[Date]]+CallLog[[#This Row],[Time]]</f>
        <v>44259.625</v>
      </c>
      <c r="F3612" s="1" t="str">
        <f>TEXT(CallLog[[#This Row],[Date]],"dddd")</f>
        <v>Thursday</v>
      </c>
      <c r="G3612" s="3">
        <f>HOUR(CallLog[[#This Row],[Time]])</f>
        <v>15</v>
      </c>
      <c r="H3612" t="s">
        <v>17</v>
      </c>
      <c r="I3612" t="s">
        <v>14</v>
      </c>
      <c r="J3612" t="s">
        <v>14</v>
      </c>
      <c r="K3612">
        <v>15</v>
      </c>
      <c r="L3612" t="str">
        <f>IF(AND(CallLog[[#This Row],[Answered (Y/N)]]="Y", CallLog[[#This Row],[Speed of answer in seconds]]&lt;=20),
    "Within",
    "Breach")</f>
        <v>Within</v>
      </c>
      <c r="M3612" s="1">
        <v>3.1944444444444446E-3</v>
      </c>
      <c r="N3612">
        <v>4</v>
      </c>
    </row>
    <row r="3613" spans="1:14" x14ac:dyDescent="0.3">
      <c r="A3613" t="s">
        <v>3699</v>
      </c>
      <c r="B3613" t="s">
        <v>31</v>
      </c>
      <c r="C3613" t="s">
        <v>3654</v>
      </c>
      <c r="D3613" s="1">
        <v>0.625</v>
      </c>
      <c r="E3613" s="2">
        <f>CallLog[[#This Row],[Date]]+CallLog[[#This Row],[Time]]</f>
        <v>44259.625</v>
      </c>
      <c r="F3613" s="1" t="str">
        <f>TEXT(CallLog[[#This Row],[Date]],"dddd")</f>
        <v>Thursday</v>
      </c>
      <c r="G3613" s="3">
        <f>HOUR(CallLog[[#This Row],[Time]])</f>
        <v>15</v>
      </c>
      <c r="H3613" t="s">
        <v>17</v>
      </c>
      <c r="I3613" t="s">
        <v>14</v>
      </c>
      <c r="J3613" t="s">
        <v>14</v>
      </c>
      <c r="K3613">
        <v>15</v>
      </c>
      <c r="L3613" t="str">
        <f>IF(AND(CallLog[[#This Row],[Answered (Y/N)]]="Y", CallLog[[#This Row],[Speed of answer in seconds]]&lt;=20),
    "Within",
    "Breach")</f>
        <v>Within</v>
      </c>
      <c r="M3613" s="1">
        <v>1.5509259259259259E-3</v>
      </c>
      <c r="N3613">
        <v>4</v>
      </c>
    </row>
    <row r="3614" spans="1:14" x14ac:dyDescent="0.3">
      <c r="A3614" t="s">
        <v>3700</v>
      </c>
      <c r="B3614" t="s">
        <v>38</v>
      </c>
      <c r="C3614" t="s">
        <v>3654</v>
      </c>
      <c r="D3614" s="1">
        <v>0.64599537037037036</v>
      </c>
      <c r="E3614" s="2">
        <f>CallLog[[#This Row],[Date]]+CallLog[[#This Row],[Time]]</f>
        <v>44259.645995370367</v>
      </c>
      <c r="F3614" s="1" t="str">
        <f>TEXT(CallLog[[#This Row],[Date]],"dddd")</f>
        <v>Thursday</v>
      </c>
      <c r="G3614" s="3">
        <f>HOUR(CallLog[[#This Row],[Time]])</f>
        <v>15</v>
      </c>
      <c r="H3614" t="s">
        <v>29</v>
      </c>
      <c r="I3614" t="s">
        <v>14</v>
      </c>
      <c r="J3614" t="s">
        <v>14</v>
      </c>
      <c r="K3614">
        <v>61</v>
      </c>
      <c r="L3614" t="str">
        <f>IF(AND(CallLog[[#This Row],[Answered (Y/N)]]="Y", CallLog[[#This Row],[Speed of answer in seconds]]&lt;=20),
    "Within",
    "Breach")</f>
        <v>Breach</v>
      </c>
      <c r="M3614" s="1">
        <v>4.6990740740740743E-3</v>
      </c>
      <c r="N3614">
        <v>5</v>
      </c>
    </row>
    <row r="3615" spans="1:14" x14ac:dyDescent="0.3">
      <c r="A3615" t="s">
        <v>3701</v>
      </c>
      <c r="B3615" t="s">
        <v>34</v>
      </c>
      <c r="C3615" t="s">
        <v>3654</v>
      </c>
      <c r="D3615" s="1">
        <v>0.64599537037037036</v>
      </c>
      <c r="E3615" s="2">
        <f>CallLog[[#This Row],[Date]]+CallLog[[#This Row],[Time]]</f>
        <v>44259.645995370367</v>
      </c>
      <c r="F3615" s="1" t="str">
        <f>TEXT(CallLog[[#This Row],[Date]],"dddd")</f>
        <v>Thursday</v>
      </c>
      <c r="G3615" s="3">
        <f>HOUR(CallLog[[#This Row],[Time]])</f>
        <v>15</v>
      </c>
      <c r="H3615" t="s">
        <v>13</v>
      </c>
      <c r="I3615" t="s">
        <v>14</v>
      </c>
      <c r="J3615" t="s">
        <v>14</v>
      </c>
      <c r="K3615">
        <v>92</v>
      </c>
      <c r="L3615" t="str">
        <f>IF(AND(CallLog[[#This Row],[Answered (Y/N)]]="Y", CallLog[[#This Row],[Speed of answer in seconds]]&lt;=20),
    "Within",
    "Breach")</f>
        <v>Breach</v>
      </c>
      <c r="M3615" s="1">
        <v>3.0208333333333333E-3</v>
      </c>
      <c r="N3615">
        <v>3</v>
      </c>
    </row>
    <row r="3616" spans="1:14" x14ac:dyDescent="0.3">
      <c r="A3616" t="s">
        <v>3702</v>
      </c>
      <c r="B3616" t="s">
        <v>34</v>
      </c>
      <c r="C3616" t="s">
        <v>3654</v>
      </c>
      <c r="D3616" s="1">
        <v>0.65</v>
      </c>
      <c r="E3616" s="2">
        <f>CallLog[[#This Row],[Date]]+CallLog[[#This Row],[Time]]</f>
        <v>44259.65</v>
      </c>
      <c r="F3616" s="1" t="str">
        <f>TEXT(CallLog[[#This Row],[Date]],"dddd")</f>
        <v>Thursday</v>
      </c>
      <c r="G3616" s="3">
        <f>HOUR(CallLog[[#This Row],[Time]])</f>
        <v>15</v>
      </c>
      <c r="H3616" t="s">
        <v>32</v>
      </c>
      <c r="I3616" t="s">
        <v>14</v>
      </c>
      <c r="J3616" t="s">
        <v>18</v>
      </c>
      <c r="K3616">
        <v>69</v>
      </c>
      <c r="L3616" t="str">
        <f>IF(AND(CallLog[[#This Row],[Answered (Y/N)]]="Y", CallLog[[#This Row],[Speed of answer in seconds]]&lt;=20),
    "Within",
    "Breach")</f>
        <v>Breach</v>
      </c>
      <c r="M3616" s="1">
        <v>1.5393518518518519E-3</v>
      </c>
      <c r="N3616">
        <v>4</v>
      </c>
    </row>
    <row r="3617" spans="1:14" x14ac:dyDescent="0.3">
      <c r="A3617" t="s">
        <v>3703</v>
      </c>
      <c r="B3617" t="s">
        <v>16</v>
      </c>
      <c r="C3617" t="s">
        <v>3654</v>
      </c>
      <c r="D3617" s="1">
        <v>0.65</v>
      </c>
      <c r="E3617" s="2">
        <f>CallLog[[#This Row],[Date]]+CallLog[[#This Row],[Time]]</f>
        <v>44259.65</v>
      </c>
      <c r="F3617" s="1" t="str">
        <f>TEXT(CallLog[[#This Row],[Date]],"dddd")</f>
        <v>Thursday</v>
      </c>
      <c r="G3617" s="3">
        <f>HOUR(CallLog[[#This Row],[Time]])</f>
        <v>15</v>
      </c>
      <c r="H3617" t="s">
        <v>24</v>
      </c>
      <c r="I3617" t="s">
        <v>14</v>
      </c>
      <c r="J3617" t="s">
        <v>14</v>
      </c>
      <c r="K3617">
        <v>32</v>
      </c>
      <c r="L3617" t="str">
        <f>IF(AND(CallLog[[#This Row],[Answered (Y/N)]]="Y", CallLog[[#This Row],[Speed of answer in seconds]]&lt;=20),
    "Within",
    "Breach")</f>
        <v>Breach</v>
      </c>
      <c r="M3617" s="1">
        <v>4.4675925925925924E-3</v>
      </c>
      <c r="N3617">
        <v>3</v>
      </c>
    </row>
    <row r="3618" spans="1:14" x14ac:dyDescent="0.3">
      <c r="A3618" t="s">
        <v>3704</v>
      </c>
      <c r="B3618" t="s">
        <v>11</v>
      </c>
      <c r="C3618" t="s">
        <v>3654</v>
      </c>
      <c r="D3618" s="1">
        <v>0.65</v>
      </c>
      <c r="E3618" s="2">
        <f>CallLog[[#This Row],[Date]]+CallLog[[#This Row],[Time]]</f>
        <v>44259.65</v>
      </c>
      <c r="F3618" s="1" t="str">
        <f>TEXT(CallLog[[#This Row],[Date]],"dddd")</f>
        <v>Thursday</v>
      </c>
      <c r="G3618" s="3">
        <f>HOUR(CallLog[[#This Row],[Time]])</f>
        <v>15</v>
      </c>
      <c r="H3618" t="s">
        <v>24</v>
      </c>
      <c r="I3618" t="s">
        <v>14</v>
      </c>
      <c r="J3618" t="s">
        <v>14</v>
      </c>
      <c r="K3618">
        <v>119</v>
      </c>
      <c r="L3618" t="str">
        <f>IF(AND(CallLog[[#This Row],[Answered (Y/N)]]="Y", CallLog[[#This Row],[Speed of answer in seconds]]&lt;=20),
    "Within",
    "Breach")</f>
        <v>Breach</v>
      </c>
      <c r="M3618" s="1">
        <v>3.1597222222222222E-3</v>
      </c>
      <c r="N3618">
        <v>4</v>
      </c>
    </row>
    <row r="3619" spans="1:14" x14ac:dyDescent="0.3">
      <c r="A3619" t="s">
        <v>3705</v>
      </c>
      <c r="B3619" t="s">
        <v>11</v>
      </c>
      <c r="C3619" t="s">
        <v>3654</v>
      </c>
      <c r="D3619" s="1">
        <v>0.65</v>
      </c>
      <c r="E3619" s="2">
        <f>CallLog[[#This Row],[Date]]+CallLog[[#This Row],[Time]]</f>
        <v>44259.65</v>
      </c>
      <c r="F3619" s="1" t="str">
        <f>TEXT(CallLog[[#This Row],[Date]],"dddd")</f>
        <v>Thursday</v>
      </c>
      <c r="G3619" s="3">
        <f>HOUR(CallLog[[#This Row],[Time]])</f>
        <v>15</v>
      </c>
      <c r="H3619" t="s">
        <v>13</v>
      </c>
      <c r="I3619" t="s">
        <v>14</v>
      </c>
      <c r="J3619" t="s">
        <v>18</v>
      </c>
      <c r="K3619">
        <v>11</v>
      </c>
      <c r="L3619" t="str">
        <f>IF(AND(CallLog[[#This Row],[Answered (Y/N)]]="Y", CallLog[[#This Row],[Speed of answer in seconds]]&lt;=20),
    "Within",
    "Breach")</f>
        <v>Within</v>
      </c>
      <c r="M3619" s="1">
        <v>3.5763888888888889E-3</v>
      </c>
      <c r="N3619">
        <v>4</v>
      </c>
    </row>
    <row r="3620" spans="1:14" x14ac:dyDescent="0.3">
      <c r="A3620" t="s">
        <v>3706</v>
      </c>
      <c r="B3620" t="s">
        <v>22</v>
      </c>
      <c r="C3620" t="s">
        <v>3654</v>
      </c>
      <c r="D3620" s="1">
        <v>0.67099537037037038</v>
      </c>
      <c r="E3620" s="2">
        <f>CallLog[[#This Row],[Date]]+CallLog[[#This Row],[Time]]</f>
        <v>44259.670995370368</v>
      </c>
      <c r="F3620" s="1" t="str">
        <f>TEXT(CallLog[[#This Row],[Date]],"dddd")</f>
        <v>Thursday</v>
      </c>
      <c r="G3620" s="3">
        <f>HOUR(CallLog[[#This Row],[Time]])</f>
        <v>16</v>
      </c>
      <c r="H3620" t="s">
        <v>17</v>
      </c>
      <c r="I3620" t="s">
        <v>14</v>
      </c>
      <c r="J3620" t="s">
        <v>14</v>
      </c>
      <c r="K3620">
        <v>81</v>
      </c>
      <c r="L3620" t="str">
        <f>IF(AND(CallLog[[#This Row],[Answered (Y/N)]]="Y", CallLog[[#This Row],[Speed of answer in seconds]]&lt;=20),
    "Within",
    "Breach")</f>
        <v>Breach</v>
      </c>
      <c r="M3620" s="1">
        <v>2.0023148148148148E-3</v>
      </c>
      <c r="N3620">
        <v>4</v>
      </c>
    </row>
    <row r="3621" spans="1:14" x14ac:dyDescent="0.3">
      <c r="A3621" t="s">
        <v>3707</v>
      </c>
      <c r="B3621" t="s">
        <v>16</v>
      </c>
      <c r="C3621" t="s">
        <v>3654</v>
      </c>
      <c r="D3621" s="1">
        <v>0.67099537037037038</v>
      </c>
      <c r="E3621" s="2">
        <f>CallLog[[#This Row],[Date]]+CallLog[[#This Row],[Time]]</f>
        <v>44259.670995370368</v>
      </c>
      <c r="F3621" s="1" t="str">
        <f>TEXT(CallLog[[#This Row],[Date]],"dddd")</f>
        <v>Thursday</v>
      </c>
      <c r="G3621" s="3">
        <f>HOUR(CallLog[[#This Row],[Time]])</f>
        <v>16</v>
      </c>
      <c r="H3621" t="s">
        <v>32</v>
      </c>
      <c r="I3621" t="s">
        <v>14</v>
      </c>
      <c r="J3621" t="s">
        <v>14</v>
      </c>
      <c r="K3621">
        <v>23</v>
      </c>
      <c r="L3621" t="str">
        <f>IF(AND(CallLog[[#This Row],[Answered (Y/N)]]="Y", CallLog[[#This Row],[Speed of answer in seconds]]&lt;=20),
    "Within",
    "Breach")</f>
        <v>Breach</v>
      </c>
      <c r="M3621" s="1">
        <v>3.5879629629629629E-4</v>
      </c>
      <c r="N3621">
        <v>3</v>
      </c>
    </row>
    <row r="3622" spans="1:14" x14ac:dyDescent="0.3">
      <c r="A3622" t="s">
        <v>3708</v>
      </c>
      <c r="B3622" t="s">
        <v>22</v>
      </c>
      <c r="C3622" t="s">
        <v>3654</v>
      </c>
      <c r="D3622" s="1">
        <v>0.6790046296296296</v>
      </c>
      <c r="E3622" s="2">
        <f>CallLog[[#This Row],[Date]]+CallLog[[#This Row],[Time]]</f>
        <v>44259.67900462963</v>
      </c>
      <c r="F3622" s="1" t="str">
        <f>TEXT(CallLog[[#This Row],[Date]],"dddd")</f>
        <v>Thursday</v>
      </c>
      <c r="G3622" s="3">
        <f>HOUR(CallLog[[#This Row],[Time]])</f>
        <v>16</v>
      </c>
      <c r="H3622" t="s">
        <v>32</v>
      </c>
      <c r="I3622" t="s">
        <v>14</v>
      </c>
      <c r="J3622" t="s">
        <v>14</v>
      </c>
      <c r="K3622">
        <v>54</v>
      </c>
      <c r="L3622" t="str">
        <f>IF(AND(CallLog[[#This Row],[Answered (Y/N)]]="Y", CallLog[[#This Row],[Speed of answer in seconds]]&lt;=20),
    "Within",
    "Breach")</f>
        <v>Breach</v>
      </c>
      <c r="M3622" s="1">
        <v>5.4398148148148144E-4</v>
      </c>
      <c r="N3622">
        <v>2</v>
      </c>
    </row>
    <row r="3623" spans="1:14" x14ac:dyDescent="0.3">
      <c r="A3623" t="s">
        <v>3709</v>
      </c>
      <c r="B3623" t="s">
        <v>38</v>
      </c>
      <c r="C3623" t="s">
        <v>3654</v>
      </c>
      <c r="D3623" s="1">
        <v>0.6790046296296296</v>
      </c>
      <c r="E3623" s="2">
        <f>CallLog[[#This Row],[Date]]+CallLog[[#This Row],[Time]]</f>
        <v>44259.67900462963</v>
      </c>
      <c r="F3623" s="1" t="str">
        <f>TEXT(CallLog[[#This Row],[Date]],"dddd")</f>
        <v>Thursday</v>
      </c>
      <c r="G3623" s="3">
        <f>HOUR(CallLog[[#This Row],[Time]])</f>
        <v>16</v>
      </c>
      <c r="H3623" t="s">
        <v>32</v>
      </c>
      <c r="I3623" t="s">
        <v>14</v>
      </c>
      <c r="J3623" t="s">
        <v>14</v>
      </c>
      <c r="K3623">
        <v>61</v>
      </c>
      <c r="L3623" t="str">
        <f>IF(AND(CallLog[[#This Row],[Answered (Y/N)]]="Y", CallLog[[#This Row],[Speed of answer in seconds]]&lt;=20),
    "Within",
    "Breach")</f>
        <v>Breach</v>
      </c>
      <c r="M3623" s="1">
        <v>3.9814814814814817E-3</v>
      </c>
      <c r="N3623">
        <v>5</v>
      </c>
    </row>
    <row r="3624" spans="1:14" x14ac:dyDescent="0.3">
      <c r="A3624" t="s">
        <v>3710</v>
      </c>
      <c r="B3624" t="s">
        <v>11</v>
      </c>
      <c r="C3624" t="s">
        <v>3654</v>
      </c>
      <c r="D3624" s="1">
        <v>0.68799768518518523</v>
      </c>
      <c r="E3624" s="2">
        <f>CallLog[[#This Row],[Date]]+CallLog[[#This Row],[Time]]</f>
        <v>44259.687997685185</v>
      </c>
      <c r="F3624" s="1" t="str">
        <f>TEXT(CallLog[[#This Row],[Date]],"dddd")</f>
        <v>Thursday</v>
      </c>
      <c r="G3624" s="3">
        <f>HOUR(CallLog[[#This Row],[Time]])</f>
        <v>16</v>
      </c>
      <c r="H3624" t="s">
        <v>17</v>
      </c>
      <c r="I3624" t="s">
        <v>14</v>
      </c>
      <c r="J3624" t="s">
        <v>14</v>
      </c>
      <c r="K3624">
        <v>62</v>
      </c>
      <c r="L3624" t="str">
        <f>IF(AND(CallLog[[#This Row],[Answered (Y/N)]]="Y", CallLog[[#This Row],[Speed of answer in seconds]]&lt;=20),
    "Within",
    "Breach")</f>
        <v>Breach</v>
      </c>
      <c r="M3624" s="1">
        <v>2.8124999999999999E-3</v>
      </c>
      <c r="N3624">
        <v>4</v>
      </c>
    </row>
    <row r="3625" spans="1:14" x14ac:dyDescent="0.3">
      <c r="A3625" t="s">
        <v>3711</v>
      </c>
      <c r="B3625" t="s">
        <v>38</v>
      </c>
      <c r="C3625" t="s">
        <v>3654</v>
      </c>
      <c r="D3625" s="1">
        <v>0.68799768518518523</v>
      </c>
      <c r="E3625" s="2">
        <f>CallLog[[#This Row],[Date]]+CallLog[[#This Row],[Time]]</f>
        <v>44259.687997685185</v>
      </c>
      <c r="F3625" s="1" t="str">
        <f>TEXT(CallLog[[#This Row],[Date]],"dddd")</f>
        <v>Thursday</v>
      </c>
      <c r="G3625" s="3">
        <f>HOUR(CallLog[[#This Row],[Time]])</f>
        <v>16</v>
      </c>
      <c r="H3625" t="s">
        <v>24</v>
      </c>
      <c r="I3625" t="s">
        <v>14</v>
      </c>
      <c r="J3625" t="s">
        <v>14</v>
      </c>
      <c r="K3625">
        <v>105</v>
      </c>
      <c r="L3625" t="str">
        <f>IF(AND(CallLog[[#This Row],[Answered (Y/N)]]="Y", CallLog[[#This Row],[Speed of answer in seconds]]&lt;=20),
    "Within",
    "Breach")</f>
        <v>Breach</v>
      </c>
      <c r="M3625" s="1">
        <v>4.1435185185185186E-3</v>
      </c>
      <c r="N3625">
        <v>4</v>
      </c>
    </row>
    <row r="3626" spans="1:14" x14ac:dyDescent="0.3">
      <c r="A3626" t="s">
        <v>3712</v>
      </c>
      <c r="B3626" t="s">
        <v>47</v>
      </c>
      <c r="C3626" t="s">
        <v>3654</v>
      </c>
      <c r="D3626" s="1">
        <v>0.69200231481481478</v>
      </c>
      <c r="E3626" s="2">
        <f>CallLog[[#This Row],[Date]]+CallLog[[#This Row],[Time]]</f>
        <v>44259.692002314812</v>
      </c>
      <c r="F3626" s="1" t="str">
        <f>TEXT(CallLog[[#This Row],[Date]],"dddd")</f>
        <v>Thursday</v>
      </c>
      <c r="G3626" s="3">
        <f>HOUR(CallLog[[#This Row],[Time]])</f>
        <v>16</v>
      </c>
      <c r="H3626" t="s">
        <v>13</v>
      </c>
      <c r="I3626" t="s">
        <v>18</v>
      </c>
      <c r="J3626" t="s">
        <v>18</v>
      </c>
      <c r="L3626" t="str">
        <f>IF(AND(CallLog[[#This Row],[Answered (Y/N)]]="Y", CallLog[[#This Row],[Speed of answer in seconds]]&lt;=20),
    "Within",
    "Breach")</f>
        <v>Breach</v>
      </c>
    </row>
    <row r="3627" spans="1:14" x14ac:dyDescent="0.3">
      <c r="A3627" t="s">
        <v>3713</v>
      </c>
      <c r="B3627" t="s">
        <v>16</v>
      </c>
      <c r="C3627" t="s">
        <v>3654</v>
      </c>
      <c r="D3627" s="1">
        <v>0.69200231481481478</v>
      </c>
      <c r="E3627" s="2">
        <f>CallLog[[#This Row],[Date]]+CallLog[[#This Row],[Time]]</f>
        <v>44259.692002314812</v>
      </c>
      <c r="F3627" s="1" t="str">
        <f>TEXT(CallLog[[#This Row],[Date]],"dddd")</f>
        <v>Thursday</v>
      </c>
      <c r="G3627" s="3">
        <f>HOUR(CallLog[[#This Row],[Time]])</f>
        <v>16</v>
      </c>
      <c r="H3627" t="s">
        <v>13</v>
      </c>
      <c r="I3627" t="s">
        <v>14</v>
      </c>
      <c r="J3627" t="s">
        <v>14</v>
      </c>
      <c r="K3627">
        <v>83</v>
      </c>
      <c r="L3627" t="str">
        <f>IF(AND(CallLog[[#This Row],[Answered (Y/N)]]="Y", CallLog[[#This Row],[Speed of answer in seconds]]&lt;=20),
    "Within",
    "Breach")</f>
        <v>Breach</v>
      </c>
      <c r="M3627" s="1">
        <v>4.0740740740740737E-3</v>
      </c>
      <c r="N3627">
        <v>4</v>
      </c>
    </row>
    <row r="3628" spans="1:14" x14ac:dyDescent="0.3">
      <c r="A3628" t="s">
        <v>3714</v>
      </c>
      <c r="B3628" t="s">
        <v>47</v>
      </c>
      <c r="C3628" t="s">
        <v>3654</v>
      </c>
      <c r="D3628" s="1">
        <v>0.70599537037037041</v>
      </c>
      <c r="E3628" s="2">
        <f>CallLog[[#This Row],[Date]]+CallLog[[#This Row],[Time]]</f>
        <v>44259.705995370372</v>
      </c>
      <c r="F3628" s="1" t="str">
        <f>TEXT(CallLog[[#This Row],[Date]],"dddd")</f>
        <v>Thursday</v>
      </c>
      <c r="G3628" s="3">
        <f>HOUR(CallLog[[#This Row],[Time]])</f>
        <v>16</v>
      </c>
      <c r="H3628" t="s">
        <v>32</v>
      </c>
      <c r="I3628" t="s">
        <v>14</v>
      </c>
      <c r="J3628" t="s">
        <v>14</v>
      </c>
      <c r="K3628">
        <v>31</v>
      </c>
      <c r="L3628" t="str">
        <f>IF(AND(CallLog[[#This Row],[Answered (Y/N)]]="Y", CallLog[[#This Row],[Speed of answer in seconds]]&lt;=20),
    "Within",
    "Breach")</f>
        <v>Breach</v>
      </c>
      <c r="M3628" s="1">
        <v>1.9560185185185184E-3</v>
      </c>
      <c r="N3628">
        <v>4</v>
      </c>
    </row>
    <row r="3629" spans="1:14" x14ac:dyDescent="0.3">
      <c r="A3629" t="s">
        <v>3715</v>
      </c>
      <c r="B3629" t="s">
        <v>31</v>
      </c>
      <c r="C3629" t="s">
        <v>3654</v>
      </c>
      <c r="D3629" s="1">
        <v>0.70599537037037041</v>
      </c>
      <c r="E3629" s="2">
        <f>CallLog[[#This Row],[Date]]+CallLog[[#This Row],[Time]]</f>
        <v>44259.705995370372</v>
      </c>
      <c r="F3629" s="1" t="str">
        <f>TEXT(CallLog[[#This Row],[Date]],"dddd")</f>
        <v>Thursday</v>
      </c>
      <c r="G3629" s="3">
        <f>HOUR(CallLog[[#This Row],[Time]])</f>
        <v>16</v>
      </c>
      <c r="H3629" t="s">
        <v>24</v>
      </c>
      <c r="I3629" t="s">
        <v>14</v>
      </c>
      <c r="J3629" t="s">
        <v>18</v>
      </c>
      <c r="K3629">
        <v>57</v>
      </c>
      <c r="L3629" t="str">
        <f>IF(AND(CallLog[[#This Row],[Answered (Y/N)]]="Y", CallLog[[#This Row],[Speed of answer in seconds]]&lt;=20),
    "Within",
    "Breach")</f>
        <v>Breach</v>
      </c>
      <c r="M3629" s="1">
        <v>3.4375E-3</v>
      </c>
      <c r="N3629">
        <v>1</v>
      </c>
    </row>
    <row r="3630" spans="1:14" x14ac:dyDescent="0.3">
      <c r="A3630" t="s">
        <v>3716</v>
      </c>
      <c r="B3630" t="s">
        <v>22</v>
      </c>
      <c r="C3630" t="s">
        <v>3654</v>
      </c>
      <c r="D3630" s="1">
        <v>0.71900462962962963</v>
      </c>
      <c r="E3630" s="2">
        <f>CallLog[[#This Row],[Date]]+CallLog[[#This Row],[Time]]</f>
        <v>44259.719004629631</v>
      </c>
      <c r="F3630" s="1" t="str">
        <f>TEXT(CallLog[[#This Row],[Date]],"dddd")</f>
        <v>Thursday</v>
      </c>
      <c r="G3630" s="3">
        <f>HOUR(CallLog[[#This Row],[Time]])</f>
        <v>17</v>
      </c>
      <c r="H3630" t="s">
        <v>13</v>
      </c>
      <c r="I3630" t="s">
        <v>14</v>
      </c>
      <c r="J3630" t="s">
        <v>14</v>
      </c>
      <c r="K3630">
        <v>54</v>
      </c>
      <c r="L3630" t="str">
        <f>IF(AND(CallLog[[#This Row],[Answered (Y/N)]]="Y", CallLog[[#This Row],[Speed of answer in seconds]]&lt;=20),
    "Within",
    "Breach")</f>
        <v>Breach</v>
      </c>
      <c r="M3630" s="1">
        <v>2.9976851851851853E-3</v>
      </c>
      <c r="N3630">
        <v>5</v>
      </c>
    </row>
    <row r="3631" spans="1:14" x14ac:dyDescent="0.3">
      <c r="A3631" t="s">
        <v>3717</v>
      </c>
      <c r="B3631" t="s">
        <v>31</v>
      </c>
      <c r="C3631" t="s">
        <v>3654</v>
      </c>
      <c r="D3631" s="1">
        <v>0.71900462962962963</v>
      </c>
      <c r="E3631" s="2">
        <f>CallLog[[#This Row],[Date]]+CallLog[[#This Row],[Time]]</f>
        <v>44259.719004629631</v>
      </c>
      <c r="F3631" s="1" t="str">
        <f>TEXT(CallLog[[#This Row],[Date]],"dddd")</f>
        <v>Thursday</v>
      </c>
      <c r="G3631" s="3">
        <f>HOUR(CallLog[[#This Row],[Time]])</f>
        <v>17</v>
      </c>
      <c r="H3631" t="s">
        <v>13</v>
      </c>
      <c r="I3631" t="s">
        <v>14</v>
      </c>
      <c r="J3631" t="s">
        <v>18</v>
      </c>
      <c r="K3631">
        <v>91</v>
      </c>
      <c r="L3631" t="str">
        <f>IF(AND(CallLog[[#This Row],[Answered (Y/N)]]="Y", CallLog[[#This Row],[Speed of answer in seconds]]&lt;=20),
    "Within",
    "Breach")</f>
        <v>Breach</v>
      </c>
      <c r="M3631" s="1">
        <v>3.9814814814814817E-3</v>
      </c>
      <c r="N3631">
        <v>5</v>
      </c>
    </row>
    <row r="3632" spans="1:14" x14ac:dyDescent="0.3">
      <c r="A3632" t="s">
        <v>3718</v>
      </c>
      <c r="B3632" t="s">
        <v>38</v>
      </c>
      <c r="C3632" t="s">
        <v>3654</v>
      </c>
      <c r="D3632" s="1">
        <v>0.72400462962962964</v>
      </c>
      <c r="E3632" s="2">
        <f>CallLog[[#This Row],[Date]]+CallLog[[#This Row],[Time]]</f>
        <v>44259.724004629628</v>
      </c>
      <c r="F3632" s="1" t="str">
        <f>TEXT(CallLog[[#This Row],[Date]],"dddd")</f>
        <v>Thursday</v>
      </c>
      <c r="G3632" s="3">
        <f>HOUR(CallLog[[#This Row],[Time]])</f>
        <v>17</v>
      </c>
      <c r="H3632" t="s">
        <v>13</v>
      </c>
      <c r="I3632" t="s">
        <v>14</v>
      </c>
      <c r="J3632" t="s">
        <v>14</v>
      </c>
      <c r="K3632">
        <v>96</v>
      </c>
      <c r="L3632" t="str">
        <f>IF(AND(CallLog[[#This Row],[Answered (Y/N)]]="Y", CallLog[[#This Row],[Speed of answer in seconds]]&lt;=20),
    "Within",
    "Breach")</f>
        <v>Breach</v>
      </c>
      <c r="M3632" s="1">
        <v>5.0925925925925921E-4</v>
      </c>
      <c r="N3632">
        <v>1</v>
      </c>
    </row>
    <row r="3633" spans="1:14" x14ac:dyDescent="0.3">
      <c r="A3633" t="s">
        <v>3719</v>
      </c>
      <c r="B3633" t="s">
        <v>20</v>
      </c>
      <c r="C3633" t="s">
        <v>3654</v>
      </c>
      <c r="D3633" s="1">
        <v>0.72400462962962964</v>
      </c>
      <c r="E3633" s="2">
        <f>CallLog[[#This Row],[Date]]+CallLog[[#This Row],[Time]]</f>
        <v>44259.724004629628</v>
      </c>
      <c r="F3633" s="1" t="str">
        <f>TEXT(CallLog[[#This Row],[Date]],"dddd")</f>
        <v>Thursday</v>
      </c>
      <c r="G3633" s="3">
        <f>HOUR(CallLog[[#This Row],[Time]])</f>
        <v>17</v>
      </c>
      <c r="H3633" t="s">
        <v>17</v>
      </c>
      <c r="I3633" t="s">
        <v>18</v>
      </c>
      <c r="J3633" t="s">
        <v>18</v>
      </c>
      <c r="L3633" t="str">
        <f>IF(AND(CallLog[[#This Row],[Answered (Y/N)]]="Y", CallLog[[#This Row],[Speed of answer in seconds]]&lt;=20),
    "Within",
    "Breach")</f>
        <v>Breach</v>
      </c>
    </row>
    <row r="3634" spans="1:14" x14ac:dyDescent="0.3">
      <c r="A3634" t="s">
        <v>3720</v>
      </c>
      <c r="B3634" t="s">
        <v>16</v>
      </c>
      <c r="C3634" t="s">
        <v>3654</v>
      </c>
      <c r="D3634" s="1">
        <v>0.72599537037037032</v>
      </c>
      <c r="E3634" s="2">
        <f>CallLog[[#This Row],[Date]]+CallLog[[#This Row],[Time]]</f>
        <v>44259.725995370369</v>
      </c>
      <c r="F3634" s="1" t="str">
        <f>TEXT(CallLog[[#This Row],[Date]],"dddd")</f>
        <v>Thursday</v>
      </c>
      <c r="G3634" s="3">
        <f>HOUR(CallLog[[#This Row],[Time]])</f>
        <v>17</v>
      </c>
      <c r="H3634" t="s">
        <v>29</v>
      </c>
      <c r="I3634" t="s">
        <v>14</v>
      </c>
      <c r="J3634" t="s">
        <v>14</v>
      </c>
      <c r="K3634">
        <v>46</v>
      </c>
      <c r="L3634" t="str">
        <f>IF(AND(CallLog[[#This Row],[Answered (Y/N)]]="Y", CallLog[[#This Row],[Speed of answer in seconds]]&lt;=20),
    "Within",
    "Breach")</f>
        <v>Breach</v>
      </c>
      <c r="M3634" s="1">
        <v>3.1481481481481482E-3</v>
      </c>
      <c r="N3634">
        <v>4</v>
      </c>
    </row>
    <row r="3635" spans="1:14" x14ac:dyDescent="0.3">
      <c r="A3635" t="s">
        <v>3721</v>
      </c>
      <c r="B3635" t="s">
        <v>38</v>
      </c>
      <c r="C3635" t="s">
        <v>3654</v>
      </c>
      <c r="D3635" s="1">
        <v>0.72599537037037032</v>
      </c>
      <c r="E3635" s="2">
        <f>CallLog[[#This Row],[Date]]+CallLog[[#This Row],[Time]]</f>
        <v>44259.725995370369</v>
      </c>
      <c r="F3635" s="1" t="str">
        <f>TEXT(CallLog[[#This Row],[Date]],"dddd")</f>
        <v>Thursday</v>
      </c>
      <c r="G3635" s="3">
        <f>HOUR(CallLog[[#This Row],[Time]])</f>
        <v>17</v>
      </c>
      <c r="H3635" t="s">
        <v>29</v>
      </c>
      <c r="I3635" t="s">
        <v>14</v>
      </c>
      <c r="J3635" t="s">
        <v>14</v>
      </c>
      <c r="K3635">
        <v>94</v>
      </c>
      <c r="L3635" t="str">
        <f>IF(AND(CallLog[[#This Row],[Answered (Y/N)]]="Y", CallLog[[#This Row],[Speed of answer in seconds]]&lt;=20),
    "Within",
    "Breach")</f>
        <v>Breach</v>
      </c>
      <c r="M3635" s="1">
        <v>3.6458333333333334E-3</v>
      </c>
      <c r="N3635">
        <v>4</v>
      </c>
    </row>
    <row r="3636" spans="1:14" x14ac:dyDescent="0.3">
      <c r="A3636" t="s">
        <v>3722</v>
      </c>
      <c r="B3636" t="s">
        <v>16</v>
      </c>
      <c r="C3636" t="s">
        <v>3654</v>
      </c>
      <c r="D3636" s="1">
        <v>0.73599537037037033</v>
      </c>
      <c r="E3636" s="2">
        <f>CallLog[[#This Row],[Date]]+CallLog[[#This Row],[Time]]</f>
        <v>44259.735995370371</v>
      </c>
      <c r="F3636" s="1" t="str">
        <f>TEXT(CallLog[[#This Row],[Date]],"dddd")</f>
        <v>Thursday</v>
      </c>
      <c r="G3636" s="3">
        <f>HOUR(CallLog[[#This Row],[Time]])</f>
        <v>17</v>
      </c>
      <c r="H3636" t="s">
        <v>32</v>
      </c>
      <c r="I3636" t="s">
        <v>14</v>
      </c>
      <c r="J3636" t="s">
        <v>14</v>
      </c>
      <c r="K3636">
        <v>48</v>
      </c>
      <c r="L3636" t="str">
        <f>IF(AND(CallLog[[#This Row],[Answered (Y/N)]]="Y", CallLog[[#This Row],[Speed of answer in seconds]]&lt;=20),
    "Within",
    "Breach")</f>
        <v>Breach</v>
      </c>
      <c r="M3636" s="1">
        <v>4.1087962962962962E-3</v>
      </c>
      <c r="N3636">
        <v>4</v>
      </c>
    </row>
    <row r="3637" spans="1:14" x14ac:dyDescent="0.3">
      <c r="A3637" t="s">
        <v>3723</v>
      </c>
      <c r="B3637" t="s">
        <v>31</v>
      </c>
      <c r="C3637" t="s">
        <v>3654</v>
      </c>
      <c r="D3637" s="1">
        <v>0.73599537037037033</v>
      </c>
      <c r="E3637" s="2">
        <f>CallLog[[#This Row],[Date]]+CallLog[[#This Row],[Time]]</f>
        <v>44259.735995370371</v>
      </c>
      <c r="F3637" s="1" t="str">
        <f>TEXT(CallLog[[#This Row],[Date]],"dddd")</f>
        <v>Thursday</v>
      </c>
      <c r="G3637" s="3">
        <f>HOUR(CallLog[[#This Row],[Time]])</f>
        <v>17</v>
      </c>
      <c r="H3637" t="s">
        <v>17</v>
      </c>
      <c r="I3637" t="s">
        <v>14</v>
      </c>
      <c r="J3637" t="s">
        <v>14</v>
      </c>
      <c r="K3637">
        <v>38</v>
      </c>
      <c r="L3637" t="str">
        <f>IF(AND(CallLog[[#This Row],[Answered (Y/N)]]="Y", CallLog[[#This Row],[Speed of answer in seconds]]&lt;=20),
    "Within",
    "Breach")</f>
        <v>Breach</v>
      </c>
      <c r="M3637" s="1">
        <v>2.5925925925925925E-3</v>
      </c>
      <c r="N3637">
        <v>3</v>
      </c>
    </row>
    <row r="3638" spans="1:14" x14ac:dyDescent="0.3">
      <c r="A3638" t="s">
        <v>3724</v>
      </c>
      <c r="B3638" t="s">
        <v>16</v>
      </c>
      <c r="C3638" t="s">
        <v>3725</v>
      </c>
      <c r="D3638" s="1">
        <v>0.43400462962962966</v>
      </c>
      <c r="E3638" s="2">
        <f>CallLog[[#This Row],[Date]]+CallLog[[#This Row],[Time]]</f>
        <v>44260.434004629627</v>
      </c>
      <c r="F3638" s="1" t="str">
        <f>TEXT(CallLog[[#This Row],[Date]],"dddd")</f>
        <v>Friday</v>
      </c>
      <c r="G3638" s="3">
        <f>HOUR(CallLog[[#This Row],[Time]])</f>
        <v>10</v>
      </c>
      <c r="H3638" t="s">
        <v>24</v>
      </c>
      <c r="I3638" t="s">
        <v>14</v>
      </c>
      <c r="J3638" t="s">
        <v>18</v>
      </c>
      <c r="K3638">
        <v>98</v>
      </c>
      <c r="L3638" t="str">
        <f>IF(AND(CallLog[[#This Row],[Answered (Y/N)]]="Y", CallLog[[#This Row],[Speed of answer in seconds]]&lt;=20),
    "Within",
    "Breach")</f>
        <v>Breach</v>
      </c>
      <c r="M3638" s="1">
        <v>6.8287037037037036E-4</v>
      </c>
      <c r="N3638">
        <v>5</v>
      </c>
    </row>
    <row r="3639" spans="1:14" x14ac:dyDescent="0.3">
      <c r="A3639" t="s">
        <v>3726</v>
      </c>
      <c r="B3639" t="s">
        <v>16</v>
      </c>
      <c r="C3639" t="s">
        <v>3725</v>
      </c>
      <c r="D3639" s="1">
        <v>0.43400462962962966</v>
      </c>
      <c r="E3639" s="2">
        <f>CallLog[[#This Row],[Date]]+CallLog[[#This Row],[Time]]</f>
        <v>44260.434004629627</v>
      </c>
      <c r="F3639" s="1" t="str">
        <f>TEXT(CallLog[[#This Row],[Date]],"dddd")</f>
        <v>Friday</v>
      </c>
      <c r="G3639" s="3">
        <f>HOUR(CallLog[[#This Row],[Time]])</f>
        <v>10</v>
      </c>
      <c r="H3639" t="s">
        <v>29</v>
      </c>
      <c r="I3639" t="s">
        <v>14</v>
      </c>
      <c r="J3639" t="s">
        <v>14</v>
      </c>
      <c r="K3639">
        <v>59</v>
      </c>
      <c r="L3639" t="str">
        <f>IF(AND(CallLog[[#This Row],[Answered (Y/N)]]="Y", CallLog[[#This Row],[Speed of answer in seconds]]&lt;=20),
    "Within",
    "Breach")</f>
        <v>Breach</v>
      </c>
      <c r="M3639" s="1">
        <v>3.7268518518518519E-3</v>
      </c>
      <c r="N3639">
        <v>5</v>
      </c>
    </row>
    <row r="3640" spans="1:14" x14ac:dyDescent="0.3">
      <c r="A3640" t="s">
        <v>3727</v>
      </c>
      <c r="B3640" t="s">
        <v>11</v>
      </c>
      <c r="C3640" t="s">
        <v>3725</v>
      </c>
      <c r="D3640" s="1">
        <v>0.44900462962962961</v>
      </c>
      <c r="E3640" s="2">
        <f>CallLog[[#This Row],[Date]]+CallLog[[#This Row],[Time]]</f>
        <v>44260.449004629627</v>
      </c>
      <c r="F3640" s="1" t="str">
        <f>TEXT(CallLog[[#This Row],[Date]],"dddd")</f>
        <v>Friday</v>
      </c>
      <c r="G3640" s="3">
        <f>HOUR(CallLog[[#This Row],[Time]])</f>
        <v>10</v>
      </c>
      <c r="H3640" t="s">
        <v>17</v>
      </c>
      <c r="I3640" t="s">
        <v>14</v>
      </c>
      <c r="J3640" t="s">
        <v>14</v>
      </c>
      <c r="K3640">
        <v>18</v>
      </c>
      <c r="L3640" t="str">
        <f>IF(AND(CallLog[[#This Row],[Answered (Y/N)]]="Y", CallLog[[#This Row],[Speed of answer in seconds]]&lt;=20),
    "Within",
    "Breach")</f>
        <v>Within</v>
      </c>
      <c r="M3640" s="1">
        <v>2.9513888888888888E-3</v>
      </c>
      <c r="N3640">
        <v>4</v>
      </c>
    </row>
    <row r="3641" spans="1:14" x14ac:dyDescent="0.3">
      <c r="A3641" t="s">
        <v>3728</v>
      </c>
      <c r="B3641" t="s">
        <v>11</v>
      </c>
      <c r="C3641" t="s">
        <v>3725</v>
      </c>
      <c r="D3641" s="1">
        <v>0.44900462962962961</v>
      </c>
      <c r="E3641" s="2">
        <f>CallLog[[#This Row],[Date]]+CallLog[[#This Row],[Time]]</f>
        <v>44260.449004629627</v>
      </c>
      <c r="F3641" s="1" t="str">
        <f>TEXT(CallLog[[#This Row],[Date]],"dddd")</f>
        <v>Friday</v>
      </c>
      <c r="G3641" s="3">
        <f>HOUR(CallLog[[#This Row],[Time]])</f>
        <v>10</v>
      </c>
      <c r="H3641" t="s">
        <v>32</v>
      </c>
      <c r="I3641" t="s">
        <v>14</v>
      </c>
      <c r="J3641" t="s">
        <v>14</v>
      </c>
      <c r="K3641">
        <v>118</v>
      </c>
      <c r="L3641" t="str">
        <f>IF(AND(CallLog[[#This Row],[Answered (Y/N)]]="Y", CallLog[[#This Row],[Speed of answer in seconds]]&lt;=20),
    "Within",
    "Breach")</f>
        <v>Breach</v>
      </c>
      <c r="M3641" s="1">
        <v>4.7453703703703698E-4</v>
      </c>
      <c r="N3641">
        <v>2</v>
      </c>
    </row>
    <row r="3642" spans="1:14" x14ac:dyDescent="0.3">
      <c r="A3642" t="s">
        <v>3729</v>
      </c>
      <c r="B3642" t="s">
        <v>22</v>
      </c>
      <c r="C3642" t="s">
        <v>3725</v>
      </c>
      <c r="D3642" s="1">
        <v>0.45299768518518518</v>
      </c>
      <c r="E3642" s="2">
        <f>CallLog[[#This Row],[Date]]+CallLog[[#This Row],[Time]]</f>
        <v>44260.452997685185</v>
      </c>
      <c r="F3642" s="1" t="str">
        <f>TEXT(CallLog[[#This Row],[Date]],"dddd")</f>
        <v>Friday</v>
      </c>
      <c r="G3642" s="3">
        <f>HOUR(CallLog[[#This Row],[Time]])</f>
        <v>10</v>
      </c>
      <c r="H3642" t="s">
        <v>24</v>
      </c>
      <c r="I3642" t="s">
        <v>14</v>
      </c>
      <c r="J3642" t="s">
        <v>14</v>
      </c>
      <c r="K3642">
        <v>97</v>
      </c>
      <c r="L3642" t="str">
        <f>IF(AND(CallLog[[#This Row],[Answered (Y/N)]]="Y", CallLog[[#This Row],[Speed of answer in seconds]]&lt;=20),
    "Within",
    "Breach")</f>
        <v>Breach</v>
      </c>
      <c r="M3642" s="1">
        <v>3.9351851851851852E-4</v>
      </c>
      <c r="N3642">
        <v>4</v>
      </c>
    </row>
    <row r="3643" spans="1:14" x14ac:dyDescent="0.3">
      <c r="A3643" t="s">
        <v>3730</v>
      </c>
      <c r="B3643" t="s">
        <v>31</v>
      </c>
      <c r="C3643" t="s">
        <v>3725</v>
      </c>
      <c r="D3643" s="1">
        <v>0.45299768518518518</v>
      </c>
      <c r="E3643" s="2">
        <f>CallLog[[#This Row],[Date]]+CallLog[[#This Row],[Time]]</f>
        <v>44260.452997685185</v>
      </c>
      <c r="F3643" s="1" t="str">
        <f>TEXT(CallLog[[#This Row],[Date]],"dddd")</f>
        <v>Friday</v>
      </c>
      <c r="G3643" s="3">
        <f>HOUR(CallLog[[#This Row],[Time]])</f>
        <v>10</v>
      </c>
      <c r="H3643" t="s">
        <v>17</v>
      </c>
      <c r="I3643" t="s">
        <v>14</v>
      </c>
      <c r="J3643" t="s">
        <v>14</v>
      </c>
      <c r="K3643">
        <v>41</v>
      </c>
      <c r="L3643" t="str">
        <f>IF(AND(CallLog[[#This Row],[Answered (Y/N)]]="Y", CallLog[[#This Row],[Speed of answer in seconds]]&lt;=20),
    "Within",
    "Breach")</f>
        <v>Breach</v>
      </c>
      <c r="M3643" s="1">
        <v>2.7777777777777779E-3</v>
      </c>
      <c r="N3643">
        <v>3</v>
      </c>
    </row>
    <row r="3644" spans="1:14" x14ac:dyDescent="0.3">
      <c r="A3644" t="s">
        <v>3731</v>
      </c>
      <c r="B3644" t="s">
        <v>22</v>
      </c>
      <c r="C3644" t="s">
        <v>3725</v>
      </c>
      <c r="D3644" s="1">
        <v>0.46900462962962963</v>
      </c>
      <c r="E3644" s="2">
        <f>CallLog[[#This Row],[Date]]+CallLog[[#This Row],[Time]]</f>
        <v>44260.469004629631</v>
      </c>
      <c r="F3644" s="1" t="str">
        <f>TEXT(CallLog[[#This Row],[Date]],"dddd")</f>
        <v>Friday</v>
      </c>
      <c r="G3644" s="3">
        <f>HOUR(CallLog[[#This Row],[Time]])</f>
        <v>11</v>
      </c>
      <c r="H3644" t="s">
        <v>32</v>
      </c>
      <c r="I3644" t="s">
        <v>14</v>
      </c>
      <c r="J3644" t="s">
        <v>14</v>
      </c>
      <c r="K3644">
        <v>24</v>
      </c>
      <c r="L3644" t="str">
        <f>IF(AND(CallLog[[#This Row],[Answered (Y/N)]]="Y", CallLog[[#This Row],[Speed of answer in seconds]]&lt;=20),
    "Within",
    "Breach")</f>
        <v>Breach</v>
      </c>
      <c r="M3644" s="1">
        <v>3.2754629629629631E-3</v>
      </c>
      <c r="N3644">
        <v>3</v>
      </c>
    </row>
    <row r="3645" spans="1:14" x14ac:dyDescent="0.3">
      <c r="A3645" t="s">
        <v>3732</v>
      </c>
      <c r="B3645" t="s">
        <v>16</v>
      </c>
      <c r="C3645" t="s">
        <v>3725</v>
      </c>
      <c r="D3645" s="1">
        <v>0.46900462962962963</v>
      </c>
      <c r="E3645" s="2">
        <f>CallLog[[#This Row],[Date]]+CallLog[[#This Row],[Time]]</f>
        <v>44260.469004629631</v>
      </c>
      <c r="F3645" s="1" t="str">
        <f>TEXT(CallLog[[#This Row],[Date]],"dddd")</f>
        <v>Friday</v>
      </c>
      <c r="G3645" s="3">
        <f>HOUR(CallLog[[#This Row],[Time]])</f>
        <v>11</v>
      </c>
      <c r="H3645" t="s">
        <v>32</v>
      </c>
      <c r="I3645" t="s">
        <v>14</v>
      </c>
      <c r="J3645" t="s">
        <v>14</v>
      </c>
      <c r="K3645">
        <v>112</v>
      </c>
      <c r="L3645" t="str">
        <f>IF(AND(CallLog[[#This Row],[Answered (Y/N)]]="Y", CallLog[[#This Row],[Speed of answer in seconds]]&lt;=20),
    "Within",
    "Breach")</f>
        <v>Breach</v>
      </c>
      <c r="M3645" s="1">
        <v>6.8287037037037036E-4</v>
      </c>
      <c r="N3645">
        <v>3</v>
      </c>
    </row>
    <row r="3646" spans="1:14" x14ac:dyDescent="0.3">
      <c r="A3646" t="s">
        <v>3733</v>
      </c>
      <c r="B3646" t="s">
        <v>38</v>
      </c>
      <c r="C3646" t="s">
        <v>3725</v>
      </c>
      <c r="D3646" s="1">
        <v>0.47499999999999998</v>
      </c>
      <c r="E3646" s="2">
        <f>CallLog[[#This Row],[Date]]+CallLog[[#This Row],[Time]]</f>
        <v>44260.474999999999</v>
      </c>
      <c r="F3646" s="1" t="str">
        <f>TEXT(CallLog[[#This Row],[Date]],"dddd")</f>
        <v>Friday</v>
      </c>
      <c r="G3646" s="3">
        <f>HOUR(CallLog[[#This Row],[Time]])</f>
        <v>11</v>
      </c>
      <c r="H3646" t="s">
        <v>17</v>
      </c>
      <c r="I3646" t="s">
        <v>14</v>
      </c>
      <c r="J3646" t="s">
        <v>14</v>
      </c>
      <c r="K3646">
        <v>104</v>
      </c>
      <c r="L3646" t="str">
        <f>IF(AND(CallLog[[#This Row],[Answered (Y/N)]]="Y", CallLog[[#This Row],[Speed of answer in seconds]]&lt;=20),
    "Within",
    "Breach")</f>
        <v>Breach</v>
      </c>
      <c r="M3646" s="1">
        <v>1.7939814814814815E-3</v>
      </c>
      <c r="N3646">
        <v>2</v>
      </c>
    </row>
    <row r="3647" spans="1:14" x14ac:dyDescent="0.3">
      <c r="A3647" t="s">
        <v>3734</v>
      </c>
      <c r="B3647" t="s">
        <v>11</v>
      </c>
      <c r="C3647" t="s">
        <v>3725</v>
      </c>
      <c r="D3647" s="1">
        <v>0.47499999999999998</v>
      </c>
      <c r="E3647" s="2">
        <f>CallLog[[#This Row],[Date]]+CallLog[[#This Row],[Time]]</f>
        <v>44260.474999999999</v>
      </c>
      <c r="F3647" s="1" t="str">
        <f>TEXT(CallLog[[#This Row],[Date]],"dddd")</f>
        <v>Friday</v>
      </c>
      <c r="G3647" s="3">
        <f>HOUR(CallLog[[#This Row],[Time]])</f>
        <v>11</v>
      </c>
      <c r="H3647" t="s">
        <v>24</v>
      </c>
      <c r="I3647" t="s">
        <v>14</v>
      </c>
      <c r="J3647" t="s">
        <v>18</v>
      </c>
      <c r="K3647">
        <v>117</v>
      </c>
      <c r="L3647" t="str">
        <f>IF(AND(CallLog[[#This Row],[Answered (Y/N)]]="Y", CallLog[[#This Row],[Speed of answer in seconds]]&lt;=20),
    "Within",
    "Breach")</f>
        <v>Breach</v>
      </c>
      <c r="M3647" s="1">
        <v>1.5162037037037036E-3</v>
      </c>
      <c r="N3647">
        <v>4</v>
      </c>
    </row>
    <row r="3648" spans="1:14" x14ac:dyDescent="0.3">
      <c r="A3648" t="s">
        <v>3735</v>
      </c>
      <c r="B3648" t="s">
        <v>31</v>
      </c>
      <c r="C3648" t="s">
        <v>3725</v>
      </c>
      <c r="D3648" s="1">
        <v>0.48900462962962965</v>
      </c>
      <c r="E3648" s="2">
        <f>CallLog[[#This Row],[Date]]+CallLog[[#This Row],[Time]]</f>
        <v>44260.489004629628</v>
      </c>
      <c r="F3648" s="1" t="str">
        <f>TEXT(CallLog[[#This Row],[Date]],"dddd")</f>
        <v>Friday</v>
      </c>
      <c r="G3648" s="3">
        <f>HOUR(CallLog[[#This Row],[Time]])</f>
        <v>11</v>
      </c>
      <c r="H3648" t="s">
        <v>17</v>
      </c>
      <c r="I3648" t="s">
        <v>14</v>
      </c>
      <c r="J3648" t="s">
        <v>14</v>
      </c>
      <c r="K3648">
        <v>51</v>
      </c>
      <c r="L3648" t="str">
        <f>IF(AND(CallLog[[#This Row],[Answered (Y/N)]]="Y", CallLog[[#This Row],[Speed of answer in seconds]]&lt;=20),
    "Within",
    "Breach")</f>
        <v>Breach</v>
      </c>
      <c r="M3648" s="1">
        <v>3.0324074074074073E-3</v>
      </c>
      <c r="N3648">
        <v>4</v>
      </c>
    </row>
    <row r="3649" spans="1:14" x14ac:dyDescent="0.3">
      <c r="A3649" t="s">
        <v>3736</v>
      </c>
      <c r="B3649" t="s">
        <v>16</v>
      </c>
      <c r="C3649" t="s">
        <v>3725</v>
      </c>
      <c r="D3649" s="1">
        <v>0.48900462962962965</v>
      </c>
      <c r="E3649" s="2">
        <f>CallLog[[#This Row],[Date]]+CallLog[[#This Row],[Time]]</f>
        <v>44260.489004629628</v>
      </c>
      <c r="F3649" s="1" t="str">
        <f>TEXT(CallLog[[#This Row],[Date]],"dddd")</f>
        <v>Friday</v>
      </c>
      <c r="G3649" s="3">
        <f>HOUR(CallLog[[#This Row],[Time]])</f>
        <v>11</v>
      </c>
      <c r="H3649" t="s">
        <v>29</v>
      </c>
      <c r="I3649" t="s">
        <v>14</v>
      </c>
      <c r="J3649" t="s">
        <v>14</v>
      </c>
      <c r="K3649">
        <v>62</v>
      </c>
      <c r="L3649" t="str">
        <f>IF(AND(CallLog[[#This Row],[Answered (Y/N)]]="Y", CallLog[[#This Row],[Speed of answer in seconds]]&lt;=20),
    "Within",
    "Breach")</f>
        <v>Breach</v>
      </c>
      <c r="M3649" s="1">
        <v>4.1550925925925922E-3</v>
      </c>
      <c r="N3649">
        <v>4</v>
      </c>
    </row>
    <row r="3650" spans="1:14" x14ac:dyDescent="0.3">
      <c r="A3650" t="s">
        <v>3737</v>
      </c>
      <c r="B3650" t="s">
        <v>11</v>
      </c>
      <c r="C3650" t="s">
        <v>3725</v>
      </c>
      <c r="D3650" s="1">
        <v>0.50799768518518518</v>
      </c>
      <c r="E3650" s="2">
        <f>CallLog[[#This Row],[Date]]+CallLog[[#This Row],[Time]]</f>
        <v>44260.507997685185</v>
      </c>
      <c r="F3650" s="1" t="str">
        <f>TEXT(CallLog[[#This Row],[Date]],"dddd")</f>
        <v>Friday</v>
      </c>
      <c r="G3650" s="3">
        <f>HOUR(CallLog[[#This Row],[Time]])</f>
        <v>12</v>
      </c>
      <c r="H3650" t="s">
        <v>24</v>
      </c>
      <c r="I3650" t="s">
        <v>18</v>
      </c>
      <c r="J3650" t="s">
        <v>18</v>
      </c>
      <c r="L3650" t="str">
        <f>IF(AND(CallLog[[#This Row],[Answered (Y/N)]]="Y", CallLog[[#This Row],[Speed of answer in seconds]]&lt;=20),
    "Within",
    "Breach")</f>
        <v>Breach</v>
      </c>
    </row>
    <row r="3651" spans="1:14" x14ac:dyDescent="0.3">
      <c r="A3651" t="s">
        <v>3738</v>
      </c>
      <c r="B3651" t="s">
        <v>20</v>
      </c>
      <c r="C3651" t="s">
        <v>3725</v>
      </c>
      <c r="D3651" s="1">
        <v>0.50799768518518518</v>
      </c>
      <c r="E3651" s="2">
        <f>CallLog[[#This Row],[Date]]+CallLog[[#This Row],[Time]]</f>
        <v>44260.507997685185</v>
      </c>
      <c r="F3651" s="1" t="str">
        <f>TEXT(CallLog[[#This Row],[Date]],"dddd")</f>
        <v>Friday</v>
      </c>
      <c r="G3651" s="3">
        <f>HOUR(CallLog[[#This Row],[Time]])</f>
        <v>12</v>
      </c>
      <c r="H3651" t="s">
        <v>17</v>
      </c>
      <c r="I3651" t="s">
        <v>14</v>
      </c>
      <c r="J3651" t="s">
        <v>14</v>
      </c>
      <c r="K3651">
        <v>56</v>
      </c>
      <c r="L3651" t="str">
        <f>IF(AND(CallLog[[#This Row],[Answered (Y/N)]]="Y", CallLog[[#This Row],[Speed of answer in seconds]]&lt;=20),
    "Within",
    "Breach")</f>
        <v>Breach</v>
      </c>
      <c r="M3651" s="1">
        <v>2.9976851851851853E-3</v>
      </c>
      <c r="N3651">
        <v>4</v>
      </c>
    </row>
    <row r="3652" spans="1:14" x14ac:dyDescent="0.3">
      <c r="A3652" t="s">
        <v>3739</v>
      </c>
      <c r="B3652" t="s">
        <v>34</v>
      </c>
      <c r="C3652" t="s">
        <v>3725</v>
      </c>
      <c r="D3652" s="1">
        <v>0.52200231481481485</v>
      </c>
      <c r="E3652" s="2">
        <f>CallLog[[#This Row],[Date]]+CallLog[[#This Row],[Time]]</f>
        <v>44260.522002314814</v>
      </c>
      <c r="F3652" s="1" t="str">
        <f>TEXT(CallLog[[#This Row],[Date]],"dddd")</f>
        <v>Friday</v>
      </c>
      <c r="G3652" s="3">
        <f>HOUR(CallLog[[#This Row],[Time]])</f>
        <v>12</v>
      </c>
      <c r="H3652" t="s">
        <v>13</v>
      </c>
      <c r="I3652" t="s">
        <v>14</v>
      </c>
      <c r="J3652" t="s">
        <v>14</v>
      </c>
      <c r="K3652">
        <v>72</v>
      </c>
      <c r="L3652" t="str">
        <f>IF(AND(CallLog[[#This Row],[Answered (Y/N)]]="Y", CallLog[[#This Row],[Speed of answer in seconds]]&lt;=20),
    "Within",
    "Breach")</f>
        <v>Breach</v>
      </c>
      <c r="M3652" s="1">
        <v>1.0995370370370371E-3</v>
      </c>
      <c r="N3652">
        <v>4</v>
      </c>
    </row>
    <row r="3653" spans="1:14" x14ac:dyDescent="0.3">
      <c r="A3653" t="s">
        <v>3740</v>
      </c>
      <c r="B3653" t="s">
        <v>31</v>
      </c>
      <c r="C3653" t="s">
        <v>3725</v>
      </c>
      <c r="D3653" s="1">
        <v>0.52200231481481485</v>
      </c>
      <c r="E3653" s="2">
        <f>CallLog[[#This Row],[Date]]+CallLog[[#This Row],[Time]]</f>
        <v>44260.522002314814</v>
      </c>
      <c r="F3653" s="1" t="str">
        <f>TEXT(CallLog[[#This Row],[Date]],"dddd")</f>
        <v>Friday</v>
      </c>
      <c r="G3653" s="3">
        <f>HOUR(CallLog[[#This Row],[Time]])</f>
        <v>12</v>
      </c>
      <c r="H3653" t="s">
        <v>17</v>
      </c>
      <c r="I3653" t="s">
        <v>14</v>
      </c>
      <c r="J3653" t="s">
        <v>14</v>
      </c>
      <c r="K3653">
        <v>115</v>
      </c>
      <c r="L3653" t="str">
        <f>IF(AND(CallLog[[#This Row],[Answered (Y/N)]]="Y", CallLog[[#This Row],[Speed of answer in seconds]]&lt;=20),
    "Within",
    "Breach")</f>
        <v>Breach</v>
      </c>
      <c r="M3653" s="1">
        <v>3.3449074074074076E-3</v>
      </c>
      <c r="N3653">
        <v>1</v>
      </c>
    </row>
    <row r="3654" spans="1:14" x14ac:dyDescent="0.3">
      <c r="A3654" t="s">
        <v>3741</v>
      </c>
      <c r="B3654" t="s">
        <v>34</v>
      </c>
      <c r="C3654" t="s">
        <v>3725</v>
      </c>
      <c r="D3654" s="1">
        <v>0.52900462962962957</v>
      </c>
      <c r="E3654" s="2">
        <f>CallLog[[#This Row],[Date]]+CallLog[[#This Row],[Time]]</f>
        <v>44260.529004629629</v>
      </c>
      <c r="F3654" s="1" t="str">
        <f>TEXT(CallLog[[#This Row],[Date]],"dddd")</f>
        <v>Friday</v>
      </c>
      <c r="G3654" s="3">
        <f>HOUR(CallLog[[#This Row],[Time]])</f>
        <v>12</v>
      </c>
      <c r="H3654" t="s">
        <v>29</v>
      </c>
      <c r="I3654" t="s">
        <v>14</v>
      </c>
      <c r="J3654" t="s">
        <v>18</v>
      </c>
      <c r="K3654">
        <v>118</v>
      </c>
      <c r="L3654" t="str">
        <f>IF(AND(CallLog[[#This Row],[Answered (Y/N)]]="Y", CallLog[[#This Row],[Speed of answer in seconds]]&lt;=20),
    "Within",
    "Breach")</f>
        <v>Breach</v>
      </c>
      <c r="M3654" s="1">
        <v>2.0833333333333333E-3</v>
      </c>
      <c r="N3654">
        <v>3</v>
      </c>
    </row>
    <row r="3655" spans="1:14" x14ac:dyDescent="0.3">
      <c r="A3655" t="s">
        <v>3742</v>
      </c>
      <c r="B3655" t="s">
        <v>20</v>
      </c>
      <c r="C3655" t="s">
        <v>3725</v>
      </c>
      <c r="D3655" s="1">
        <v>0.52900462962962957</v>
      </c>
      <c r="E3655" s="2">
        <f>CallLog[[#This Row],[Date]]+CallLog[[#This Row],[Time]]</f>
        <v>44260.529004629629</v>
      </c>
      <c r="F3655" s="1" t="str">
        <f>TEXT(CallLog[[#This Row],[Date]],"dddd")</f>
        <v>Friday</v>
      </c>
      <c r="G3655" s="3">
        <f>HOUR(CallLog[[#This Row],[Time]])</f>
        <v>12</v>
      </c>
      <c r="H3655" t="s">
        <v>24</v>
      </c>
      <c r="I3655" t="s">
        <v>14</v>
      </c>
      <c r="J3655" t="s">
        <v>14</v>
      </c>
      <c r="K3655">
        <v>98</v>
      </c>
      <c r="L3655" t="str">
        <f>IF(AND(CallLog[[#This Row],[Answered (Y/N)]]="Y", CallLog[[#This Row],[Speed of answer in seconds]]&lt;=20),
    "Within",
    "Breach")</f>
        <v>Breach</v>
      </c>
      <c r="M3655" s="1">
        <v>1.7476851851851852E-3</v>
      </c>
      <c r="N3655">
        <v>3</v>
      </c>
    </row>
    <row r="3656" spans="1:14" x14ac:dyDescent="0.3">
      <c r="A3656" t="s">
        <v>3743</v>
      </c>
      <c r="B3656" t="s">
        <v>11</v>
      </c>
      <c r="C3656" t="s">
        <v>3725</v>
      </c>
      <c r="D3656" s="1">
        <v>0.5329976851851852</v>
      </c>
      <c r="E3656" s="2">
        <f>CallLog[[#This Row],[Date]]+CallLog[[#This Row],[Time]]</f>
        <v>44260.532997685186</v>
      </c>
      <c r="F3656" s="1" t="str">
        <f>TEXT(CallLog[[#This Row],[Date]],"dddd")</f>
        <v>Friday</v>
      </c>
      <c r="G3656" s="3">
        <f>HOUR(CallLog[[#This Row],[Time]])</f>
        <v>12</v>
      </c>
      <c r="H3656" t="s">
        <v>32</v>
      </c>
      <c r="I3656" t="s">
        <v>14</v>
      </c>
      <c r="J3656" t="s">
        <v>14</v>
      </c>
      <c r="K3656">
        <v>112</v>
      </c>
      <c r="L3656" t="str">
        <f>IF(AND(CallLog[[#This Row],[Answered (Y/N)]]="Y", CallLog[[#This Row],[Speed of answer in seconds]]&lt;=20),
    "Within",
    "Breach")</f>
        <v>Breach</v>
      </c>
      <c r="M3656" s="1">
        <v>1.238425925925926E-3</v>
      </c>
      <c r="N3656">
        <v>4</v>
      </c>
    </row>
    <row r="3657" spans="1:14" x14ac:dyDescent="0.3">
      <c r="A3657" t="s">
        <v>3744</v>
      </c>
      <c r="B3657" t="s">
        <v>20</v>
      </c>
      <c r="C3657" t="s">
        <v>3725</v>
      </c>
      <c r="D3657" s="1">
        <v>0.5329976851851852</v>
      </c>
      <c r="E3657" s="2">
        <f>CallLog[[#This Row],[Date]]+CallLog[[#This Row],[Time]]</f>
        <v>44260.532997685186</v>
      </c>
      <c r="F3657" s="1" t="str">
        <f>TEXT(CallLog[[#This Row],[Date]],"dddd")</f>
        <v>Friday</v>
      </c>
      <c r="G3657" s="3">
        <f>HOUR(CallLog[[#This Row],[Time]])</f>
        <v>12</v>
      </c>
      <c r="H3657" t="s">
        <v>17</v>
      </c>
      <c r="I3657" t="s">
        <v>14</v>
      </c>
      <c r="J3657" t="s">
        <v>14</v>
      </c>
      <c r="K3657">
        <v>75</v>
      </c>
      <c r="L3657" t="str">
        <f>IF(AND(CallLog[[#This Row],[Answered (Y/N)]]="Y", CallLog[[#This Row],[Speed of answer in seconds]]&lt;=20),
    "Within",
    "Breach")</f>
        <v>Breach</v>
      </c>
      <c r="M3657" s="1">
        <v>2.3495370370370371E-3</v>
      </c>
      <c r="N3657">
        <v>1</v>
      </c>
    </row>
    <row r="3658" spans="1:14" x14ac:dyDescent="0.3">
      <c r="A3658" t="s">
        <v>3745</v>
      </c>
      <c r="B3658" t="s">
        <v>16</v>
      </c>
      <c r="C3658" t="s">
        <v>3725</v>
      </c>
      <c r="D3658" s="1">
        <v>0.53500000000000003</v>
      </c>
      <c r="E3658" s="2">
        <f>CallLog[[#This Row],[Date]]+CallLog[[#This Row],[Time]]</f>
        <v>44260.535000000003</v>
      </c>
      <c r="F3658" s="1" t="str">
        <f>TEXT(CallLog[[#This Row],[Date]],"dddd")</f>
        <v>Friday</v>
      </c>
      <c r="G3658" s="3">
        <f>HOUR(CallLog[[#This Row],[Time]])</f>
        <v>12</v>
      </c>
      <c r="H3658" t="s">
        <v>24</v>
      </c>
      <c r="I3658" t="s">
        <v>14</v>
      </c>
      <c r="J3658" t="s">
        <v>14</v>
      </c>
      <c r="K3658">
        <v>34</v>
      </c>
      <c r="L3658" t="str">
        <f>IF(AND(CallLog[[#This Row],[Answered (Y/N)]]="Y", CallLog[[#This Row],[Speed of answer in seconds]]&lt;=20),
    "Within",
    "Breach")</f>
        <v>Breach</v>
      </c>
      <c r="M3658" s="1">
        <v>1.3078703703703703E-3</v>
      </c>
      <c r="N3658">
        <v>3</v>
      </c>
    </row>
    <row r="3659" spans="1:14" x14ac:dyDescent="0.3">
      <c r="A3659" t="s">
        <v>3746</v>
      </c>
      <c r="B3659" t="s">
        <v>31</v>
      </c>
      <c r="C3659" t="s">
        <v>3725</v>
      </c>
      <c r="D3659" s="1">
        <v>0.53500000000000003</v>
      </c>
      <c r="E3659" s="2">
        <f>CallLog[[#This Row],[Date]]+CallLog[[#This Row],[Time]]</f>
        <v>44260.535000000003</v>
      </c>
      <c r="F3659" s="1" t="str">
        <f>TEXT(CallLog[[#This Row],[Date]],"dddd")</f>
        <v>Friday</v>
      </c>
      <c r="G3659" s="3">
        <f>HOUR(CallLog[[#This Row],[Time]])</f>
        <v>12</v>
      </c>
      <c r="H3659" t="s">
        <v>29</v>
      </c>
      <c r="I3659" t="s">
        <v>18</v>
      </c>
      <c r="J3659" t="s">
        <v>18</v>
      </c>
      <c r="L3659" t="str">
        <f>IF(AND(CallLog[[#This Row],[Answered (Y/N)]]="Y", CallLog[[#This Row],[Speed of answer in seconds]]&lt;=20),
    "Within",
    "Breach")</f>
        <v>Breach</v>
      </c>
    </row>
    <row r="3660" spans="1:14" x14ac:dyDescent="0.3">
      <c r="A3660" t="s">
        <v>3747</v>
      </c>
      <c r="B3660" t="s">
        <v>20</v>
      </c>
      <c r="C3660" t="s">
        <v>3725</v>
      </c>
      <c r="D3660" s="1">
        <v>0.56000000000000005</v>
      </c>
      <c r="E3660" s="2">
        <f>CallLog[[#This Row],[Date]]+CallLog[[#This Row],[Time]]</f>
        <v>44260.56</v>
      </c>
      <c r="F3660" s="1" t="str">
        <f>TEXT(CallLog[[#This Row],[Date]],"dddd")</f>
        <v>Friday</v>
      </c>
      <c r="G3660" s="3">
        <f>HOUR(CallLog[[#This Row],[Time]])</f>
        <v>13</v>
      </c>
      <c r="H3660" t="s">
        <v>24</v>
      </c>
      <c r="I3660" t="s">
        <v>14</v>
      </c>
      <c r="J3660" t="s">
        <v>14</v>
      </c>
      <c r="K3660">
        <v>111</v>
      </c>
      <c r="L3660" t="str">
        <f>IF(AND(CallLog[[#This Row],[Answered (Y/N)]]="Y", CallLog[[#This Row],[Speed of answer in seconds]]&lt;=20),
    "Within",
    "Breach")</f>
        <v>Breach</v>
      </c>
      <c r="M3660" s="1">
        <v>3.8194444444444443E-3</v>
      </c>
      <c r="N3660">
        <v>4</v>
      </c>
    </row>
    <row r="3661" spans="1:14" x14ac:dyDescent="0.3">
      <c r="A3661" t="s">
        <v>3748</v>
      </c>
      <c r="B3661" t="s">
        <v>38</v>
      </c>
      <c r="C3661" t="s">
        <v>3725</v>
      </c>
      <c r="D3661" s="1">
        <v>0.56000000000000005</v>
      </c>
      <c r="E3661" s="2">
        <f>CallLog[[#This Row],[Date]]+CallLog[[#This Row],[Time]]</f>
        <v>44260.56</v>
      </c>
      <c r="F3661" s="1" t="str">
        <f>TEXT(CallLog[[#This Row],[Date]],"dddd")</f>
        <v>Friday</v>
      </c>
      <c r="G3661" s="3">
        <f>HOUR(CallLog[[#This Row],[Time]])</f>
        <v>13</v>
      </c>
      <c r="H3661" t="s">
        <v>32</v>
      </c>
      <c r="I3661" t="s">
        <v>14</v>
      </c>
      <c r="J3661" t="s">
        <v>14</v>
      </c>
      <c r="K3661">
        <v>81</v>
      </c>
      <c r="L3661" t="str">
        <f>IF(AND(CallLog[[#This Row],[Answered (Y/N)]]="Y", CallLog[[#This Row],[Speed of answer in seconds]]&lt;=20),
    "Within",
    "Breach")</f>
        <v>Breach</v>
      </c>
      <c r="M3661" s="1">
        <v>2.0254629629629629E-3</v>
      </c>
      <c r="N3661">
        <v>4</v>
      </c>
    </row>
    <row r="3662" spans="1:14" x14ac:dyDescent="0.3">
      <c r="A3662" t="s">
        <v>3749</v>
      </c>
      <c r="B3662" t="s">
        <v>34</v>
      </c>
      <c r="C3662" t="s">
        <v>3725</v>
      </c>
      <c r="D3662" s="1">
        <v>0.5709953703703704</v>
      </c>
      <c r="E3662" s="2">
        <f>CallLog[[#This Row],[Date]]+CallLog[[#This Row],[Time]]</f>
        <v>44260.57099537037</v>
      </c>
      <c r="F3662" s="1" t="str">
        <f>TEXT(CallLog[[#This Row],[Date]],"dddd")</f>
        <v>Friday</v>
      </c>
      <c r="G3662" s="3">
        <f>HOUR(CallLog[[#This Row],[Time]])</f>
        <v>13</v>
      </c>
      <c r="H3662" t="s">
        <v>17</v>
      </c>
      <c r="I3662" t="s">
        <v>14</v>
      </c>
      <c r="J3662" t="s">
        <v>14</v>
      </c>
      <c r="K3662">
        <v>16</v>
      </c>
      <c r="L3662" t="str">
        <f>IF(AND(CallLog[[#This Row],[Answered (Y/N)]]="Y", CallLog[[#This Row],[Speed of answer in seconds]]&lt;=20),
    "Within",
    "Breach")</f>
        <v>Within</v>
      </c>
      <c r="M3662" s="1">
        <v>1.8287037037037037E-3</v>
      </c>
      <c r="N3662">
        <v>3</v>
      </c>
    </row>
    <row r="3663" spans="1:14" x14ac:dyDescent="0.3">
      <c r="A3663" t="s">
        <v>3750</v>
      </c>
      <c r="B3663" t="s">
        <v>47</v>
      </c>
      <c r="C3663" t="s">
        <v>3725</v>
      </c>
      <c r="D3663" s="1">
        <v>0.5709953703703704</v>
      </c>
      <c r="E3663" s="2">
        <f>CallLog[[#This Row],[Date]]+CallLog[[#This Row],[Time]]</f>
        <v>44260.57099537037</v>
      </c>
      <c r="F3663" s="1" t="str">
        <f>TEXT(CallLog[[#This Row],[Date]],"dddd")</f>
        <v>Friday</v>
      </c>
      <c r="G3663" s="3">
        <f>HOUR(CallLog[[#This Row],[Time]])</f>
        <v>13</v>
      </c>
      <c r="H3663" t="s">
        <v>24</v>
      </c>
      <c r="I3663" t="s">
        <v>14</v>
      </c>
      <c r="J3663" t="s">
        <v>14</v>
      </c>
      <c r="K3663">
        <v>75</v>
      </c>
      <c r="L3663" t="str">
        <f>IF(AND(CallLog[[#This Row],[Answered (Y/N)]]="Y", CallLog[[#This Row],[Speed of answer in seconds]]&lt;=20),
    "Within",
    "Breach")</f>
        <v>Breach</v>
      </c>
      <c r="M3663" s="1">
        <v>2.2337962962962962E-3</v>
      </c>
      <c r="N3663">
        <v>3</v>
      </c>
    </row>
    <row r="3664" spans="1:14" x14ac:dyDescent="0.3">
      <c r="A3664" t="s">
        <v>3751</v>
      </c>
      <c r="B3664" t="s">
        <v>16</v>
      </c>
      <c r="C3664" t="s">
        <v>3725</v>
      </c>
      <c r="D3664" s="1">
        <v>0.59299768518518514</v>
      </c>
      <c r="E3664" s="2">
        <f>CallLog[[#This Row],[Date]]+CallLog[[#This Row],[Time]]</f>
        <v>44260.592997685184</v>
      </c>
      <c r="F3664" s="1" t="str">
        <f>TEXT(CallLog[[#This Row],[Date]],"dddd")</f>
        <v>Friday</v>
      </c>
      <c r="G3664" s="3">
        <f>HOUR(CallLog[[#This Row],[Time]])</f>
        <v>14</v>
      </c>
      <c r="H3664" t="s">
        <v>32</v>
      </c>
      <c r="I3664" t="s">
        <v>14</v>
      </c>
      <c r="J3664" t="s">
        <v>14</v>
      </c>
      <c r="K3664">
        <v>11</v>
      </c>
      <c r="L3664" t="str">
        <f>IF(AND(CallLog[[#This Row],[Answered (Y/N)]]="Y", CallLog[[#This Row],[Speed of answer in seconds]]&lt;=20),
    "Within",
    "Breach")</f>
        <v>Within</v>
      </c>
      <c r="M3664" s="1">
        <v>4.7222222222222223E-3</v>
      </c>
      <c r="N3664">
        <v>4</v>
      </c>
    </row>
    <row r="3665" spans="1:14" x14ac:dyDescent="0.3">
      <c r="A3665" t="s">
        <v>3752</v>
      </c>
      <c r="B3665" t="s">
        <v>47</v>
      </c>
      <c r="C3665" t="s">
        <v>3725</v>
      </c>
      <c r="D3665" s="1">
        <v>0.59299768518518514</v>
      </c>
      <c r="E3665" s="2">
        <f>CallLog[[#This Row],[Date]]+CallLog[[#This Row],[Time]]</f>
        <v>44260.592997685184</v>
      </c>
      <c r="F3665" s="1" t="str">
        <f>TEXT(CallLog[[#This Row],[Date]],"dddd")</f>
        <v>Friday</v>
      </c>
      <c r="G3665" s="3">
        <f>HOUR(CallLog[[#This Row],[Time]])</f>
        <v>14</v>
      </c>
      <c r="H3665" t="s">
        <v>24</v>
      </c>
      <c r="I3665" t="s">
        <v>14</v>
      </c>
      <c r="J3665" t="s">
        <v>14</v>
      </c>
      <c r="K3665">
        <v>65</v>
      </c>
      <c r="L3665" t="str">
        <f>IF(AND(CallLog[[#This Row],[Answered (Y/N)]]="Y", CallLog[[#This Row],[Speed of answer in seconds]]&lt;=20),
    "Within",
    "Breach")</f>
        <v>Breach</v>
      </c>
      <c r="M3665" s="1">
        <v>3.2870370370370371E-3</v>
      </c>
      <c r="N3665">
        <v>3</v>
      </c>
    </row>
    <row r="3666" spans="1:14" x14ac:dyDescent="0.3">
      <c r="A3666" t="s">
        <v>3753</v>
      </c>
      <c r="B3666" t="s">
        <v>20</v>
      </c>
      <c r="C3666" t="s">
        <v>3725</v>
      </c>
      <c r="D3666" s="1">
        <v>0.59900462962962964</v>
      </c>
      <c r="E3666" s="2">
        <f>CallLog[[#This Row],[Date]]+CallLog[[#This Row],[Time]]</f>
        <v>44260.599004629628</v>
      </c>
      <c r="F3666" s="1" t="str">
        <f>TEXT(CallLog[[#This Row],[Date]],"dddd")</f>
        <v>Friday</v>
      </c>
      <c r="G3666" s="3">
        <f>HOUR(CallLog[[#This Row],[Time]])</f>
        <v>14</v>
      </c>
      <c r="H3666" t="s">
        <v>13</v>
      </c>
      <c r="I3666" t="s">
        <v>14</v>
      </c>
      <c r="J3666" t="s">
        <v>14</v>
      </c>
      <c r="K3666">
        <v>36</v>
      </c>
      <c r="L3666" t="str">
        <f>IF(AND(CallLog[[#This Row],[Answered (Y/N)]]="Y", CallLog[[#This Row],[Speed of answer in seconds]]&lt;=20),
    "Within",
    "Breach")</f>
        <v>Breach</v>
      </c>
      <c r="M3666" s="1">
        <v>2.9398148148148148E-3</v>
      </c>
      <c r="N3666">
        <v>3</v>
      </c>
    </row>
    <row r="3667" spans="1:14" x14ac:dyDescent="0.3">
      <c r="A3667" t="s">
        <v>3754</v>
      </c>
      <c r="B3667" t="s">
        <v>31</v>
      </c>
      <c r="C3667" t="s">
        <v>3725</v>
      </c>
      <c r="D3667" s="1">
        <v>0.59900462962962964</v>
      </c>
      <c r="E3667" s="2">
        <f>CallLog[[#This Row],[Date]]+CallLog[[#This Row],[Time]]</f>
        <v>44260.599004629628</v>
      </c>
      <c r="F3667" s="1" t="str">
        <f>TEXT(CallLog[[#This Row],[Date]],"dddd")</f>
        <v>Friday</v>
      </c>
      <c r="G3667" s="3">
        <f>HOUR(CallLog[[#This Row],[Time]])</f>
        <v>14</v>
      </c>
      <c r="H3667" t="s">
        <v>24</v>
      </c>
      <c r="I3667" t="s">
        <v>14</v>
      </c>
      <c r="J3667" t="s">
        <v>14</v>
      </c>
      <c r="K3667">
        <v>28</v>
      </c>
      <c r="L3667" t="str">
        <f>IF(AND(CallLog[[#This Row],[Answered (Y/N)]]="Y", CallLog[[#This Row],[Speed of answer in seconds]]&lt;=20),
    "Within",
    "Breach")</f>
        <v>Breach</v>
      </c>
      <c r="M3667" s="1">
        <v>2.5115740740740741E-3</v>
      </c>
      <c r="N3667">
        <v>2</v>
      </c>
    </row>
    <row r="3668" spans="1:14" x14ac:dyDescent="0.3">
      <c r="A3668" t="s">
        <v>3755</v>
      </c>
      <c r="B3668" t="s">
        <v>31</v>
      </c>
      <c r="C3668" t="s">
        <v>3725</v>
      </c>
      <c r="D3668" s="1">
        <v>0.63599537037037035</v>
      </c>
      <c r="E3668" s="2">
        <f>CallLog[[#This Row],[Date]]+CallLog[[#This Row],[Time]]</f>
        <v>44260.635995370372</v>
      </c>
      <c r="F3668" s="1" t="str">
        <f>TEXT(CallLog[[#This Row],[Date]],"dddd")</f>
        <v>Friday</v>
      </c>
      <c r="G3668" s="3">
        <f>HOUR(CallLog[[#This Row],[Time]])</f>
        <v>15</v>
      </c>
      <c r="H3668" t="s">
        <v>29</v>
      </c>
      <c r="I3668" t="s">
        <v>14</v>
      </c>
      <c r="J3668" t="s">
        <v>14</v>
      </c>
      <c r="K3668">
        <v>34</v>
      </c>
      <c r="L3668" t="str">
        <f>IF(AND(CallLog[[#This Row],[Answered (Y/N)]]="Y", CallLog[[#This Row],[Speed of answer in seconds]]&lt;=20),
    "Within",
    "Breach")</f>
        <v>Breach</v>
      </c>
      <c r="M3668" s="1">
        <v>3.0555555555555557E-3</v>
      </c>
      <c r="N3668">
        <v>4</v>
      </c>
    </row>
    <row r="3669" spans="1:14" x14ac:dyDescent="0.3">
      <c r="A3669" t="s">
        <v>3756</v>
      </c>
      <c r="B3669" t="s">
        <v>16</v>
      </c>
      <c r="C3669" t="s">
        <v>3725</v>
      </c>
      <c r="D3669" s="1">
        <v>0.63599537037037035</v>
      </c>
      <c r="E3669" s="2">
        <f>CallLog[[#This Row],[Date]]+CallLog[[#This Row],[Time]]</f>
        <v>44260.635995370372</v>
      </c>
      <c r="F3669" s="1" t="str">
        <f>TEXT(CallLog[[#This Row],[Date]],"dddd")</f>
        <v>Friday</v>
      </c>
      <c r="G3669" s="3">
        <f>HOUR(CallLog[[#This Row],[Time]])</f>
        <v>15</v>
      </c>
      <c r="H3669" t="s">
        <v>32</v>
      </c>
      <c r="I3669" t="s">
        <v>18</v>
      </c>
      <c r="J3669" t="s">
        <v>18</v>
      </c>
      <c r="L3669" t="str">
        <f>IF(AND(CallLog[[#This Row],[Answered (Y/N)]]="Y", CallLog[[#This Row],[Speed of answer in seconds]]&lt;=20),
    "Within",
    "Breach")</f>
        <v>Breach</v>
      </c>
    </row>
    <row r="3670" spans="1:14" x14ac:dyDescent="0.3">
      <c r="A3670" t="s">
        <v>3757</v>
      </c>
      <c r="B3670" t="s">
        <v>16</v>
      </c>
      <c r="C3670" t="s">
        <v>3725</v>
      </c>
      <c r="D3670" s="1">
        <v>0.66099537037037037</v>
      </c>
      <c r="E3670" s="2">
        <f>CallLog[[#This Row],[Date]]+CallLog[[#This Row],[Time]]</f>
        <v>44260.660995370374</v>
      </c>
      <c r="F3670" s="1" t="str">
        <f>TEXT(CallLog[[#This Row],[Date]],"dddd")</f>
        <v>Friday</v>
      </c>
      <c r="G3670" s="3">
        <f>HOUR(CallLog[[#This Row],[Time]])</f>
        <v>15</v>
      </c>
      <c r="H3670" t="s">
        <v>32</v>
      </c>
      <c r="I3670" t="s">
        <v>14</v>
      </c>
      <c r="J3670" t="s">
        <v>14</v>
      </c>
      <c r="K3670">
        <v>105</v>
      </c>
      <c r="L3670" t="str">
        <f>IF(AND(CallLog[[#This Row],[Answered (Y/N)]]="Y", CallLog[[#This Row],[Speed of answer in seconds]]&lt;=20),
    "Within",
    "Breach")</f>
        <v>Breach</v>
      </c>
      <c r="M3670" s="1">
        <v>2.4305555555555556E-3</v>
      </c>
      <c r="N3670">
        <v>4</v>
      </c>
    </row>
    <row r="3671" spans="1:14" x14ac:dyDescent="0.3">
      <c r="A3671" t="s">
        <v>3758</v>
      </c>
      <c r="B3671" t="s">
        <v>20</v>
      </c>
      <c r="C3671" t="s">
        <v>3725</v>
      </c>
      <c r="D3671" s="1">
        <v>0.66099537037037037</v>
      </c>
      <c r="E3671" s="2">
        <f>CallLog[[#This Row],[Date]]+CallLog[[#This Row],[Time]]</f>
        <v>44260.660995370374</v>
      </c>
      <c r="F3671" s="1" t="str">
        <f>TEXT(CallLog[[#This Row],[Date]],"dddd")</f>
        <v>Friday</v>
      </c>
      <c r="G3671" s="3">
        <f>HOUR(CallLog[[#This Row],[Time]])</f>
        <v>15</v>
      </c>
      <c r="H3671" t="s">
        <v>24</v>
      </c>
      <c r="I3671" t="s">
        <v>18</v>
      </c>
      <c r="J3671" t="s">
        <v>18</v>
      </c>
      <c r="L3671" t="str">
        <f>IF(AND(CallLog[[#This Row],[Answered (Y/N)]]="Y", CallLog[[#This Row],[Speed of answer in seconds]]&lt;=20),
    "Within",
    "Breach")</f>
        <v>Breach</v>
      </c>
    </row>
    <row r="3672" spans="1:14" x14ac:dyDescent="0.3">
      <c r="A3672" t="s">
        <v>3759</v>
      </c>
      <c r="B3672" t="s">
        <v>20</v>
      </c>
      <c r="C3672" t="s">
        <v>3725</v>
      </c>
      <c r="D3672" s="1">
        <v>0.6629976851851852</v>
      </c>
      <c r="E3672" s="2">
        <f>CallLog[[#This Row],[Date]]+CallLog[[#This Row],[Time]]</f>
        <v>44260.662997685184</v>
      </c>
      <c r="F3672" s="1" t="str">
        <f>TEXT(CallLog[[#This Row],[Date]],"dddd")</f>
        <v>Friday</v>
      </c>
      <c r="G3672" s="3">
        <f>HOUR(CallLog[[#This Row],[Time]])</f>
        <v>15</v>
      </c>
      <c r="H3672" t="s">
        <v>13</v>
      </c>
      <c r="I3672" t="s">
        <v>14</v>
      </c>
      <c r="J3672" t="s">
        <v>14</v>
      </c>
      <c r="K3672">
        <v>23</v>
      </c>
      <c r="L3672" t="str">
        <f>IF(AND(CallLog[[#This Row],[Answered (Y/N)]]="Y", CallLog[[#This Row],[Speed of answer in seconds]]&lt;=20),
    "Within",
    "Breach")</f>
        <v>Breach</v>
      </c>
      <c r="M3672" s="1">
        <v>9.0277777777777774E-4</v>
      </c>
      <c r="N3672">
        <v>1</v>
      </c>
    </row>
    <row r="3673" spans="1:14" x14ac:dyDescent="0.3">
      <c r="A3673" t="s">
        <v>3760</v>
      </c>
      <c r="B3673" t="s">
        <v>20</v>
      </c>
      <c r="C3673" t="s">
        <v>3725</v>
      </c>
      <c r="D3673" s="1">
        <v>0.6629976851851852</v>
      </c>
      <c r="E3673" s="2">
        <f>CallLog[[#This Row],[Date]]+CallLog[[#This Row],[Time]]</f>
        <v>44260.662997685184</v>
      </c>
      <c r="F3673" s="1" t="str">
        <f>TEXT(CallLog[[#This Row],[Date]],"dddd")</f>
        <v>Friday</v>
      </c>
      <c r="G3673" s="3">
        <f>HOUR(CallLog[[#This Row],[Time]])</f>
        <v>15</v>
      </c>
      <c r="H3673" t="s">
        <v>32</v>
      </c>
      <c r="I3673" t="s">
        <v>14</v>
      </c>
      <c r="J3673" t="s">
        <v>18</v>
      </c>
      <c r="K3673">
        <v>74</v>
      </c>
      <c r="L3673" t="str">
        <f>IF(AND(CallLog[[#This Row],[Answered (Y/N)]]="Y", CallLog[[#This Row],[Speed of answer in seconds]]&lt;=20),
    "Within",
    "Breach")</f>
        <v>Breach</v>
      </c>
      <c r="M3673" s="1">
        <v>2.4421296296296296E-3</v>
      </c>
      <c r="N3673">
        <v>1</v>
      </c>
    </row>
    <row r="3674" spans="1:14" x14ac:dyDescent="0.3">
      <c r="A3674" t="s">
        <v>3761</v>
      </c>
      <c r="B3674" t="s">
        <v>20</v>
      </c>
      <c r="C3674" t="s">
        <v>3725</v>
      </c>
      <c r="D3674" s="1">
        <v>0.67400462962962959</v>
      </c>
      <c r="E3674" s="2">
        <f>CallLog[[#This Row],[Date]]+CallLog[[#This Row],[Time]]</f>
        <v>44260.674004629633</v>
      </c>
      <c r="F3674" s="1" t="str">
        <f>TEXT(CallLog[[#This Row],[Date]],"dddd")</f>
        <v>Friday</v>
      </c>
      <c r="G3674" s="3">
        <f>HOUR(CallLog[[#This Row],[Time]])</f>
        <v>16</v>
      </c>
      <c r="H3674" t="s">
        <v>13</v>
      </c>
      <c r="I3674" t="s">
        <v>14</v>
      </c>
      <c r="J3674" t="s">
        <v>14</v>
      </c>
      <c r="K3674">
        <v>19</v>
      </c>
      <c r="L3674" t="str">
        <f>IF(AND(CallLog[[#This Row],[Answered (Y/N)]]="Y", CallLog[[#This Row],[Speed of answer in seconds]]&lt;=20),
    "Within",
    "Breach")</f>
        <v>Within</v>
      </c>
      <c r="M3674" s="1">
        <v>3.5185185185185185E-3</v>
      </c>
      <c r="N3674">
        <v>4</v>
      </c>
    </row>
    <row r="3675" spans="1:14" x14ac:dyDescent="0.3">
      <c r="A3675" t="s">
        <v>3762</v>
      </c>
      <c r="B3675" t="s">
        <v>11</v>
      </c>
      <c r="C3675" t="s">
        <v>3725</v>
      </c>
      <c r="D3675" s="1">
        <v>0.67400462962962959</v>
      </c>
      <c r="E3675" s="2">
        <f>CallLog[[#This Row],[Date]]+CallLog[[#This Row],[Time]]</f>
        <v>44260.674004629633</v>
      </c>
      <c r="F3675" s="1" t="str">
        <f>TEXT(CallLog[[#This Row],[Date]],"dddd")</f>
        <v>Friday</v>
      </c>
      <c r="G3675" s="3">
        <f>HOUR(CallLog[[#This Row],[Time]])</f>
        <v>16</v>
      </c>
      <c r="H3675" t="s">
        <v>32</v>
      </c>
      <c r="I3675" t="s">
        <v>14</v>
      </c>
      <c r="J3675" t="s">
        <v>14</v>
      </c>
      <c r="K3675">
        <v>102</v>
      </c>
      <c r="L3675" t="str">
        <f>IF(AND(CallLog[[#This Row],[Answered (Y/N)]]="Y", CallLog[[#This Row],[Speed of answer in seconds]]&lt;=20),
    "Within",
    "Breach")</f>
        <v>Breach</v>
      </c>
      <c r="M3675" s="1">
        <v>2.7893518518518519E-3</v>
      </c>
      <c r="N3675">
        <v>4</v>
      </c>
    </row>
    <row r="3676" spans="1:14" x14ac:dyDescent="0.3">
      <c r="A3676" t="s">
        <v>3763</v>
      </c>
      <c r="B3676" t="s">
        <v>34</v>
      </c>
      <c r="C3676" t="s">
        <v>3725</v>
      </c>
      <c r="D3676" s="1">
        <v>0.67599537037037039</v>
      </c>
      <c r="E3676" s="2">
        <f>CallLog[[#This Row],[Date]]+CallLog[[#This Row],[Time]]</f>
        <v>44260.675995370373</v>
      </c>
      <c r="F3676" s="1" t="str">
        <f>TEXT(CallLog[[#This Row],[Date]],"dddd")</f>
        <v>Friday</v>
      </c>
      <c r="G3676" s="3">
        <f>HOUR(CallLog[[#This Row],[Time]])</f>
        <v>16</v>
      </c>
      <c r="H3676" t="s">
        <v>32</v>
      </c>
      <c r="I3676" t="s">
        <v>14</v>
      </c>
      <c r="J3676" t="s">
        <v>18</v>
      </c>
      <c r="K3676">
        <v>16</v>
      </c>
      <c r="L3676" t="str">
        <f>IF(AND(CallLog[[#This Row],[Answered (Y/N)]]="Y", CallLog[[#This Row],[Speed of answer in seconds]]&lt;=20),
    "Within",
    "Breach")</f>
        <v>Within</v>
      </c>
      <c r="M3676" s="1">
        <v>2.8472222222222223E-3</v>
      </c>
      <c r="N3676">
        <v>3</v>
      </c>
    </row>
    <row r="3677" spans="1:14" x14ac:dyDescent="0.3">
      <c r="A3677" t="s">
        <v>3764</v>
      </c>
      <c r="B3677" t="s">
        <v>34</v>
      </c>
      <c r="C3677" t="s">
        <v>3725</v>
      </c>
      <c r="D3677" s="1">
        <v>0.67599537037037039</v>
      </c>
      <c r="E3677" s="2">
        <f>CallLog[[#This Row],[Date]]+CallLog[[#This Row],[Time]]</f>
        <v>44260.675995370373</v>
      </c>
      <c r="F3677" s="1" t="str">
        <f>TEXT(CallLog[[#This Row],[Date]],"dddd")</f>
        <v>Friday</v>
      </c>
      <c r="G3677" s="3">
        <f>HOUR(CallLog[[#This Row],[Time]])</f>
        <v>16</v>
      </c>
      <c r="H3677" t="s">
        <v>13</v>
      </c>
      <c r="I3677" t="s">
        <v>14</v>
      </c>
      <c r="J3677" t="s">
        <v>14</v>
      </c>
      <c r="K3677">
        <v>56</v>
      </c>
      <c r="L3677" t="str">
        <f>IF(AND(CallLog[[#This Row],[Answered (Y/N)]]="Y", CallLog[[#This Row],[Speed of answer in seconds]]&lt;=20),
    "Within",
    "Breach")</f>
        <v>Breach</v>
      </c>
      <c r="M3677" s="1">
        <v>8.2175925925925927E-4</v>
      </c>
      <c r="N3677">
        <v>5</v>
      </c>
    </row>
    <row r="3678" spans="1:14" x14ac:dyDescent="0.3">
      <c r="A3678" t="s">
        <v>3765</v>
      </c>
      <c r="B3678" t="s">
        <v>34</v>
      </c>
      <c r="C3678" t="s">
        <v>3725</v>
      </c>
      <c r="D3678" s="1">
        <v>0.67799768518518522</v>
      </c>
      <c r="E3678" s="2">
        <f>CallLog[[#This Row],[Date]]+CallLog[[#This Row],[Time]]</f>
        <v>44260.677997685183</v>
      </c>
      <c r="F3678" s="1" t="str">
        <f>TEXT(CallLog[[#This Row],[Date]],"dddd")</f>
        <v>Friday</v>
      </c>
      <c r="G3678" s="3">
        <f>HOUR(CallLog[[#This Row],[Time]])</f>
        <v>16</v>
      </c>
      <c r="H3678" t="s">
        <v>32</v>
      </c>
      <c r="I3678" t="s">
        <v>14</v>
      </c>
      <c r="J3678" t="s">
        <v>14</v>
      </c>
      <c r="K3678">
        <v>22</v>
      </c>
      <c r="L3678" t="str">
        <f>IF(AND(CallLog[[#This Row],[Answered (Y/N)]]="Y", CallLog[[#This Row],[Speed of answer in seconds]]&lt;=20),
    "Within",
    "Breach")</f>
        <v>Breach</v>
      </c>
      <c r="M3678" s="1">
        <v>2.662037037037037E-3</v>
      </c>
      <c r="N3678">
        <v>2</v>
      </c>
    </row>
    <row r="3679" spans="1:14" x14ac:dyDescent="0.3">
      <c r="A3679" t="s">
        <v>3766</v>
      </c>
      <c r="B3679" t="s">
        <v>34</v>
      </c>
      <c r="C3679" t="s">
        <v>3725</v>
      </c>
      <c r="D3679" s="1">
        <v>0.67799768518518522</v>
      </c>
      <c r="E3679" s="2">
        <f>CallLog[[#This Row],[Date]]+CallLog[[#This Row],[Time]]</f>
        <v>44260.677997685183</v>
      </c>
      <c r="F3679" s="1" t="str">
        <f>TEXT(CallLog[[#This Row],[Date]],"dddd")</f>
        <v>Friday</v>
      </c>
      <c r="G3679" s="3">
        <f>HOUR(CallLog[[#This Row],[Time]])</f>
        <v>16</v>
      </c>
      <c r="H3679" t="s">
        <v>17</v>
      </c>
      <c r="I3679" t="s">
        <v>14</v>
      </c>
      <c r="J3679" t="s">
        <v>14</v>
      </c>
      <c r="K3679">
        <v>68</v>
      </c>
      <c r="L3679" t="str">
        <f>IF(AND(CallLog[[#This Row],[Answered (Y/N)]]="Y", CallLog[[#This Row],[Speed of answer in seconds]]&lt;=20),
    "Within",
    "Breach")</f>
        <v>Breach</v>
      </c>
      <c r="M3679" s="1">
        <v>3.1250000000000002E-3</v>
      </c>
      <c r="N3679">
        <v>4</v>
      </c>
    </row>
    <row r="3680" spans="1:14" x14ac:dyDescent="0.3">
      <c r="A3680" t="s">
        <v>3767</v>
      </c>
      <c r="B3680" t="s">
        <v>38</v>
      </c>
      <c r="C3680" t="s">
        <v>3725</v>
      </c>
      <c r="D3680" s="1">
        <v>0.68099537037037039</v>
      </c>
      <c r="E3680" s="2">
        <f>CallLog[[#This Row],[Date]]+CallLog[[#This Row],[Time]]</f>
        <v>44260.680995370371</v>
      </c>
      <c r="F3680" s="1" t="str">
        <f>TEXT(CallLog[[#This Row],[Date]],"dddd")</f>
        <v>Friday</v>
      </c>
      <c r="G3680" s="3">
        <f>HOUR(CallLog[[#This Row],[Time]])</f>
        <v>16</v>
      </c>
      <c r="H3680" t="s">
        <v>17</v>
      </c>
      <c r="I3680" t="s">
        <v>14</v>
      </c>
      <c r="J3680" t="s">
        <v>14</v>
      </c>
      <c r="K3680">
        <v>103</v>
      </c>
      <c r="L3680" t="str">
        <f>IF(AND(CallLog[[#This Row],[Answered (Y/N)]]="Y", CallLog[[#This Row],[Speed of answer in seconds]]&lt;=20),
    "Within",
    "Breach")</f>
        <v>Breach</v>
      </c>
      <c r="M3680" s="1">
        <v>3.9351851851851848E-3</v>
      </c>
      <c r="N3680">
        <v>4</v>
      </c>
    </row>
    <row r="3681" spans="1:14" x14ac:dyDescent="0.3">
      <c r="A3681" t="s">
        <v>3768</v>
      </c>
      <c r="B3681" t="s">
        <v>34</v>
      </c>
      <c r="C3681" t="s">
        <v>3725</v>
      </c>
      <c r="D3681" s="1">
        <v>0.68099537037037039</v>
      </c>
      <c r="E3681" s="2">
        <f>CallLog[[#This Row],[Date]]+CallLog[[#This Row],[Time]]</f>
        <v>44260.680995370371</v>
      </c>
      <c r="F3681" s="1" t="str">
        <f>TEXT(CallLog[[#This Row],[Date]],"dddd")</f>
        <v>Friday</v>
      </c>
      <c r="G3681" s="3">
        <f>HOUR(CallLog[[#This Row],[Time]])</f>
        <v>16</v>
      </c>
      <c r="H3681" t="s">
        <v>17</v>
      </c>
      <c r="I3681" t="s">
        <v>18</v>
      </c>
      <c r="J3681" t="s">
        <v>18</v>
      </c>
      <c r="L3681" t="str">
        <f>IF(AND(CallLog[[#This Row],[Answered (Y/N)]]="Y", CallLog[[#This Row],[Speed of answer in seconds]]&lt;=20),
    "Within",
    "Breach")</f>
        <v>Breach</v>
      </c>
    </row>
    <row r="3682" spans="1:14" x14ac:dyDescent="0.3">
      <c r="A3682" t="s">
        <v>3769</v>
      </c>
      <c r="B3682" t="s">
        <v>20</v>
      </c>
      <c r="C3682" t="s">
        <v>3725</v>
      </c>
      <c r="D3682" s="1">
        <v>0.68099537037037039</v>
      </c>
      <c r="E3682" s="2">
        <f>CallLog[[#This Row],[Date]]+CallLog[[#This Row],[Time]]</f>
        <v>44260.680995370371</v>
      </c>
      <c r="F3682" s="1" t="str">
        <f>TEXT(CallLog[[#This Row],[Date]],"dddd")</f>
        <v>Friday</v>
      </c>
      <c r="G3682" s="3">
        <f>HOUR(CallLog[[#This Row],[Time]])</f>
        <v>16</v>
      </c>
      <c r="H3682" t="s">
        <v>17</v>
      </c>
      <c r="I3682" t="s">
        <v>14</v>
      </c>
      <c r="J3682" t="s">
        <v>14</v>
      </c>
      <c r="K3682">
        <v>74</v>
      </c>
      <c r="L3682" t="str">
        <f>IF(AND(CallLog[[#This Row],[Answered (Y/N)]]="Y", CallLog[[#This Row],[Speed of answer in seconds]]&lt;=20),
    "Within",
    "Breach")</f>
        <v>Breach</v>
      </c>
      <c r="M3682" s="1">
        <v>3.0324074074074073E-3</v>
      </c>
      <c r="N3682">
        <v>3</v>
      </c>
    </row>
    <row r="3683" spans="1:14" x14ac:dyDescent="0.3">
      <c r="A3683" t="s">
        <v>3770</v>
      </c>
      <c r="B3683" t="s">
        <v>20</v>
      </c>
      <c r="C3683" t="s">
        <v>3725</v>
      </c>
      <c r="D3683" s="1">
        <v>0.68099537037037039</v>
      </c>
      <c r="E3683" s="2">
        <f>CallLog[[#This Row],[Date]]+CallLog[[#This Row],[Time]]</f>
        <v>44260.680995370371</v>
      </c>
      <c r="F3683" s="1" t="str">
        <f>TEXT(CallLog[[#This Row],[Date]],"dddd")</f>
        <v>Friday</v>
      </c>
      <c r="G3683" s="3">
        <f>HOUR(CallLog[[#This Row],[Time]])</f>
        <v>16</v>
      </c>
      <c r="H3683" t="s">
        <v>29</v>
      </c>
      <c r="I3683" t="s">
        <v>14</v>
      </c>
      <c r="J3683" t="s">
        <v>14</v>
      </c>
      <c r="K3683">
        <v>72</v>
      </c>
      <c r="L3683" t="str">
        <f>IF(AND(CallLog[[#This Row],[Answered (Y/N)]]="Y", CallLog[[#This Row],[Speed of answer in seconds]]&lt;=20),
    "Within",
    "Breach")</f>
        <v>Breach</v>
      </c>
      <c r="M3683" s="1">
        <v>2.2337962962962962E-3</v>
      </c>
      <c r="N3683">
        <v>3</v>
      </c>
    </row>
    <row r="3684" spans="1:14" x14ac:dyDescent="0.3">
      <c r="A3684" t="s">
        <v>3771</v>
      </c>
      <c r="B3684" t="s">
        <v>11</v>
      </c>
      <c r="C3684" t="s">
        <v>3725</v>
      </c>
      <c r="D3684" s="1">
        <v>0.68299768518518522</v>
      </c>
      <c r="E3684" s="2">
        <f>CallLog[[#This Row],[Date]]+CallLog[[#This Row],[Time]]</f>
        <v>44260.682997685188</v>
      </c>
      <c r="F3684" s="1" t="str">
        <f>TEXT(CallLog[[#This Row],[Date]],"dddd")</f>
        <v>Friday</v>
      </c>
      <c r="G3684" s="3">
        <f>HOUR(CallLog[[#This Row],[Time]])</f>
        <v>16</v>
      </c>
      <c r="H3684" t="s">
        <v>32</v>
      </c>
      <c r="I3684" t="s">
        <v>14</v>
      </c>
      <c r="J3684" t="s">
        <v>14</v>
      </c>
      <c r="K3684">
        <v>44</v>
      </c>
      <c r="L3684" t="str">
        <f>IF(AND(CallLog[[#This Row],[Answered (Y/N)]]="Y", CallLog[[#This Row],[Speed of answer in seconds]]&lt;=20),
    "Within",
    "Breach")</f>
        <v>Breach</v>
      </c>
      <c r="M3684" s="1">
        <v>3.2870370370370371E-3</v>
      </c>
      <c r="N3684">
        <v>3</v>
      </c>
    </row>
    <row r="3685" spans="1:14" x14ac:dyDescent="0.3">
      <c r="A3685" t="s">
        <v>3772</v>
      </c>
      <c r="B3685" t="s">
        <v>34</v>
      </c>
      <c r="C3685" t="s">
        <v>3725</v>
      </c>
      <c r="D3685" s="1">
        <v>0.68299768518518522</v>
      </c>
      <c r="E3685" s="2">
        <f>CallLog[[#This Row],[Date]]+CallLog[[#This Row],[Time]]</f>
        <v>44260.682997685188</v>
      </c>
      <c r="F3685" s="1" t="str">
        <f>TEXT(CallLog[[#This Row],[Date]],"dddd")</f>
        <v>Friday</v>
      </c>
      <c r="G3685" s="3">
        <f>HOUR(CallLog[[#This Row],[Time]])</f>
        <v>16</v>
      </c>
      <c r="H3685" t="s">
        <v>13</v>
      </c>
      <c r="I3685" t="s">
        <v>14</v>
      </c>
      <c r="J3685" t="s">
        <v>14</v>
      </c>
      <c r="K3685">
        <v>118</v>
      </c>
      <c r="L3685" t="str">
        <f>IF(AND(CallLog[[#This Row],[Answered (Y/N)]]="Y", CallLog[[#This Row],[Speed of answer in seconds]]&lt;=20),
    "Within",
    "Breach")</f>
        <v>Breach</v>
      </c>
      <c r="M3685" s="1">
        <v>2.5810185185185185E-3</v>
      </c>
      <c r="N3685">
        <v>3</v>
      </c>
    </row>
    <row r="3686" spans="1:14" x14ac:dyDescent="0.3">
      <c r="A3686" t="s">
        <v>3773</v>
      </c>
      <c r="B3686" t="s">
        <v>47</v>
      </c>
      <c r="C3686" t="s">
        <v>3725</v>
      </c>
      <c r="D3686" s="1">
        <v>0.73</v>
      </c>
      <c r="E3686" s="2">
        <f>CallLog[[#This Row],[Date]]+CallLog[[#This Row],[Time]]</f>
        <v>44260.73</v>
      </c>
      <c r="F3686" s="1" t="str">
        <f>TEXT(CallLog[[#This Row],[Date]],"dddd")</f>
        <v>Friday</v>
      </c>
      <c r="G3686" s="3">
        <f>HOUR(CallLog[[#This Row],[Time]])</f>
        <v>17</v>
      </c>
      <c r="H3686" t="s">
        <v>24</v>
      </c>
      <c r="I3686" t="s">
        <v>14</v>
      </c>
      <c r="J3686" t="s">
        <v>18</v>
      </c>
      <c r="K3686">
        <v>102</v>
      </c>
      <c r="L3686" t="str">
        <f>IF(AND(CallLog[[#This Row],[Answered (Y/N)]]="Y", CallLog[[#This Row],[Speed of answer in seconds]]&lt;=20),
    "Within",
    "Breach")</f>
        <v>Breach</v>
      </c>
      <c r="M3686" s="1">
        <v>1.4930555555555556E-3</v>
      </c>
      <c r="N3686">
        <v>5</v>
      </c>
    </row>
    <row r="3687" spans="1:14" x14ac:dyDescent="0.3">
      <c r="A3687" t="s">
        <v>3774</v>
      </c>
      <c r="B3687" t="s">
        <v>22</v>
      </c>
      <c r="C3687" t="s">
        <v>3725</v>
      </c>
      <c r="D3687" s="1">
        <v>0.73</v>
      </c>
      <c r="E3687" s="2">
        <f>CallLog[[#This Row],[Date]]+CallLog[[#This Row],[Time]]</f>
        <v>44260.73</v>
      </c>
      <c r="F3687" s="1" t="str">
        <f>TEXT(CallLog[[#This Row],[Date]],"dddd")</f>
        <v>Friday</v>
      </c>
      <c r="G3687" s="3">
        <f>HOUR(CallLog[[#This Row],[Time]])</f>
        <v>17</v>
      </c>
      <c r="H3687" t="s">
        <v>17</v>
      </c>
      <c r="I3687" t="s">
        <v>14</v>
      </c>
      <c r="J3687" t="s">
        <v>14</v>
      </c>
      <c r="K3687">
        <v>116</v>
      </c>
      <c r="L3687" t="str">
        <f>IF(AND(CallLog[[#This Row],[Answered (Y/N)]]="Y", CallLog[[#This Row],[Speed of answer in seconds]]&lt;=20),
    "Within",
    "Breach")</f>
        <v>Breach</v>
      </c>
      <c r="M3687" s="1">
        <v>3.8194444444444443E-3</v>
      </c>
      <c r="N3687">
        <v>2</v>
      </c>
    </row>
    <row r="3688" spans="1:14" x14ac:dyDescent="0.3">
      <c r="A3688" t="s">
        <v>3775</v>
      </c>
      <c r="B3688" t="s">
        <v>31</v>
      </c>
      <c r="C3688" t="s">
        <v>3725</v>
      </c>
      <c r="D3688" s="1">
        <v>0.73200231481481481</v>
      </c>
      <c r="E3688" s="2">
        <f>CallLog[[#This Row],[Date]]+CallLog[[#This Row],[Time]]</f>
        <v>44260.732002314813</v>
      </c>
      <c r="F3688" s="1" t="str">
        <f>TEXT(CallLog[[#This Row],[Date]],"dddd")</f>
        <v>Friday</v>
      </c>
      <c r="G3688" s="3">
        <f>HOUR(CallLog[[#This Row],[Time]])</f>
        <v>17</v>
      </c>
      <c r="H3688" t="s">
        <v>32</v>
      </c>
      <c r="I3688" t="s">
        <v>18</v>
      </c>
      <c r="J3688" t="s">
        <v>18</v>
      </c>
      <c r="L3688" t="str">
        <f>IF(AND(CallLog[[#This Row],[Answered (Y/N)]]="Y", CallLog[[#This Row],[Speed of answer in seconds]]&lt;=20),
    "Within",
    "Breach")</f>
        <v>Breach</v>
      </c>
    </row>
    <row r="3689" spans="1:14" x14ac:dyDescent="0.3">
      <c r="A3689" t="s">
        <v>3776</v>
      </c>
      <c r="B3689" t="s">
        <v>31</v>
      </c>
      <c r="C3689" t="s">
        <v>3725</v>
      </c>
      <c r="D3689" s="1">
        <v>0.73200231481481481</v>
      </c>
      <c r="E3689" s="2">
        <f>CallLog[[#This Row],[Date]]+CallLog[[#This Row],[Time]]</f>
        <v>44260.732002314813</v>
      </c>
      <c r="F3689" s="1" t="str">
        <f>TEXT(CallLog[[#This Row],[Date]],"dddd")</f>
        <v>Friday</v>
      </c>
      <c r="G3689" s="3">
        <f>HOUR(CallLog[[#This Row],[Time]])</f>
        <v>17</v>
      </c>
      <c r="H3689" t="s">
        <v>13</v>
      </c>
      <c r="I3689" t="s">
        <v>14</v>
      </c>
      <c r="J3689" t="s">
        <v>18</v>
      </c>
      <c r="K3689">
        <v>116</v>
      </c>
      <c r="L3689" t="str">
        <f>IF(AND(CallLog[[#This Row],[Answered (Y/N)]]="Y", CallLog[[#This Row],[Speed of answer in seconds]]&lt;=20),
    "Within",
    "Breach")</f>
        <v>Breach</v>
      </c>
      <c r="M3689" s="1">
        <v>2.3148148148148147E-3</v>
      </c>
      <c r="N3689">
        <v>5</v>
      </c>
    </row>
    <row r="3690" spans="1:14" x14ac:dyDescent="0.3">
      <c r="A3690" t="s">
        <v>3777</v>
      </c>
      <c r="B3690" t="s">
        <v>16</v>
      </c>
      <c r="C3690" t="s">
        <v>3725</v>
      </c>
      <c r="D3690" s="1">
        <v>0.745</v>
      </c>
      <c r="E3690" s="2">
        <f>CallLog[[#This Row],[Date]]+CallLog[[#This Row],[Time]]</f>
        <v>44260.745000000003</v>
      </c>
      <c r="F3690" s="1" t="str">
        <f>TEXT(CallLog[[#This Row],[Date]],"dddd")</f>
        <v>Friday</v>
      </c>
      <c r="G3690" s="3">
        <f>HOUR(CallLog[[#This Row],[Time]])</f>
        <v>17</v>
      </c>
      <c r="H3690" t="s">
        <v>29</v>
      </c>
      <c r="I3690" t="s">
        <v>14</v>
      </c>
      <c r="J3690" t="s">
        <v>14</v>
      </c>
      <c r="K3690">
        <v>29</v>
      </c>
      <c r="L3690" t="str">
        <f>IF(AND(CallLog[[#This Row],[Answered (Y/N)]]="Y", CallLog[[#This Row],[Speed of answer in seconds]]&lt;=20),
    "Within",
    "Breach")</f>
        <v>Breach</v>
      </c>
      <c r="M3690" s="1">
        <v>2.2800925925925927E-3</v>
      </c>
      <c r="N3690">
        <v>2</v>
      </c>
    </row>
    <row r="3691" spans="1:14" x14ac:dyDescent="0.3">
      <c r="A3691" t="s">
        <v>3778</v>
      </c>
      <c r="B3691" t="s">
        <v>20</v>
      </c>
      <c r="C3691" t="s">
        <v>3725</v>
      </c>
      <c r="D3691" s="1">
        <v>0.745</v>
      </c>
      <c r="E3691" s="2">
        <f>CallLog[[#This Row],[Date]]+CallLog[[#This Row],[Time]]</f>
        <v>44260.745000000003</v>
      </c>
      <c r="F3691" s="1" t="str">
        <f>TEXT(CallLog[[#This Row],[Date]],"dddd")</f>
        <v>Friday</v>
      </c>
      <c r="G3691" s="3">
        <f>HOUR(CallLog[[#This Row],[Time]])</f>
        <v>17</v>
      </c>
      <c r="H3691" t="s">
        <v>32</v>
      </c>
      <c r="I3691" t="s">
        <v>18</v>
      </c>
      <c r="J3691" t="s">
        <v>18</v>
      </c>
      <c r="L3691" t="str">
        <f>IF(AND(CallLog[[#This Row],[Answered (Y/N)]]="Y", CallLog[[#This Row],[Speed of answer in seconds]]&lt;=20),
    "Within",
    "Breach")</f>
        <v>Breach</v>
      </c>
    </row>
    <row r="3692" spans="1:14" x14ac:dyDescent="0.3">
      <c r="A3692" t="s">
        <v>3779</v>
      </c>
      <c r="B3692" t="s">
        <v>38</v>
      </c>
      <c r="C3692" t="s">
        <v>3780</v>
      </c>
      <c r="D3692" s="1">
        <v>0.375</v>
      </c>
      <c r="E3692" s="2">
        <f>CallLog[[#This Row],[Date]]+CallLog[[#This Row],[Time]]</f>
        <v>44261.375</v>
      </c>
      <c r="F3692" s="1" t="str">
        <f>TEXT(CallLog[[#This Row],[Date]],"dddd")</f>
        <v>Saturday</v>
      </c>
      <c r="G3692" s="3">
        <f>HOUR(CallLog[[#This Row],[Time]])</f>
        <v>9</v>
      </c>
      <c r="H3692" t="s">
        <v>17</v>
      </c>
      <c r="I3692" t="s">
        <v>14</v>
      </c>
      <c r="J3692" t="s">
        <v>14</v>
      </c>
      <c r="K3692">
        <v>73</v>
      </c>
      <c r="L3692" t="str">
        <f>IF(AND(CallLog[[#This Row],[Answered (Y/N)]]="Y", CallLog[[#This Row],[Speed of answer in seconds]]&lt;=20),
    "Within",
    "Breach")</f>
        <v>Breach</v>
      </c>
      <c r="M3692" s="1">
        <v>9.2592592592592596E-4</v>
      </c>
      <c r="N3692">
        <v>4</v>
      </c>
    </row>
    <row r="3693" spans="1:14" x14ac:dyDescent="0.3">
      <c r="A3693" t="s">
        <v>3781</v>
      </c>
      <c r="B3693" t="s">
        <v>20</v>
      </c>
      <c r="C3693" t="s">
        <v>3780</v>
      </c>
      <c r="D3693" s="1">
        <v>0.375</v>
      </c>
      <c r="E3693" s="2">
        <f>CallLog[[#This Row],[Date]]+CallLog[[#This Row],[Time]]</f>
        <v>44261.375</v>
      </c>
      <c r="F3693" s="1" t="str">
        <f>TEXT(CallLog[[#This Row],[Date]],"dddd")</f>
        <v>Saturday</v>
      </c>
      <c r="G3693" s="3">
        <f>HOUR(CallLog[[#This Row],[Time]])</f>
        <v>9</v>
      </c>
      <c r="H3693" t="s">
        <v>24</v>
      </c>
      <c r="I3693" t="s">
        <v>14</v>
      </c>
      <c r="J3693" t="s">
        <v>14</v>
      </c>
      <c r="K3693">
        <v>85</v>
      </c>
      <c r="L3693" t="str">
        <f>IF(AND(CallLog[[#This Row],[Answered (Y/N)]]="Y", CallLog[[#This Row],[Speed of answer in seconds]]&lt;=20),
    "Within",
    "Breach")</f>
        <v>Breach</v>
      </c>
      <c r="M3693" s="1">
        <v>1.5625000000000001E-3</v>
      </c>
      <c r="N3693">
        <v>5</v>
      </c>
    </row>
    <row r="3694" spans="1:14" x14ac:dyDescent="0.3">
      <c r="A3694" t="s">
        <v>3782</v>
      </c>
      <c r="B3694" t="s">
        <v>11</v>
      </c>
      <c r="C3694" t="s">
        <v>3780</v>
      </c>
      <c r="D3694" s="1">
        <v>0.41099537037037037</v>
      </c>
      <c r="E3694" s="2">
        <f>CallLog[[#This Row],[Date]]+CallLog[[#This Row],[Time]]</f>
        <v>44261.410995370374</v>
      </c>
      <c r="F3694" s="1" t="str">
        <f>TEXT(CallLog[[#This Row],[Date]],"dddd")</f>
        <v>Saturday</v>
      </c>
      <c r="G3694" s="3">
        <f>HOUR(CallLog[[#This Row],[Time]])</f>
        <v>9</v>
      </c>
      <c r="H3694" t="s">
        <v>29</v>
      </c>
      <c r="I3694" t="s">
        <v>14</v>
      </c>
      <c r="J3694" t="s">
        <v>14</v>
      </c>
      <c r="K3694">
        <v>22</v>
      </c>
      <c r="L3694" t="str">
        <f>IF(AND(CallLog[[#This Row],[Answered (Y/N)]]="Y", CallLog[[#This Row],[Speed of answer in seconds]]&lt;=20),
    "Within",
    "Breach")</f>
        <v>Breach</v>
      </c>
      <c r="M3694" s="1">
        <v>3.4837962962962965E-3</v>
      </c>
      <c r="N3694">
        <v>3</v>
      </c>
    </row>
    <row r="3695" spans="1:14" x14ac:dyDescent="0.3">
      <c r="A3695" t="s">
        <v>3783</v>
      </c>
      <c r="B3695" t="s">
        <v>31</v>
      </c>
      <c r="C3695" t="s">
        <v>3780</v>
      </c>
      <c r="D3695" s="1">
        <v>0.41099537037037037</v>
      </c>
      <c r="E3695" s="2">
        <f>CallLog[[#This Row],[Date]]+CallLog[[#This Row],[Time]]</f>
        <v>44261.410995370374</v>
      </c>
      <c r="F3695" s="1" t="str">
        <f>TEXT(CallLog[[#This Row],[Date]],"dddd")</f>
        <v>Saturday</v>
      </c>
      <c r="G3695" s="3">
        <f>HOUR(CallLog[[#This Row],[Time]])</f>
        <v>9</v>
      </c>
      <c r="H3695" t="s">
        <v>13</v>
      </c>
      <c r="I3695" t="s">
        <v>14</v>
      </c>
      <c r="J3695" t="s">
        <v>14</v>
      </c>
      <c r="K3695">
        <v>29</v>
      </c>
      <c r="L3695" t="str">
        <f>IF(AND(CallLog[[#This Row],[Answered (Y/N)]]="Y", CallLog[[#This Row],[Speed of answer in seconds]]&lt;=20),
    "Within",
    "Breach")</f>
        <v>Breach</v>
      </c>
      <c r="M3695" s="1">
        <v>9.3749999999999997E-4</v>
      </c>
      <c r="N3695">
        <v>3</v>
      </c>
    </row>
    <row r="3696" spans="1:14" x14ac:dyDescent="0.3">
      <c r="A3696" t="s">
        <v>3784</v>
      </c>
      <c r="B3696" t="s">
        <v>16</v>
      </c>
      <c r="C3696" t="s">
        <v>3780</v>
      </c>
      <c r="D3696" s="1">
        <v>0.41700231481481481</v>
      </c>
      <c r="E3696" s="2">
        <f>CallLog[[#This Row],[Date]]+CallLog[[#This Row],[Time]]</f>
        <v>44261.417002314818</v>
      </c>
      <c r="F3696" s="1" t="str">
        <f>TEXT(CallLog[[#This Row],[Date]],"dddd")</f>
        <v>Saturday</v>
      </c>
      <c r="G3696" s="3">
        <f>HOUR(CallLog[[#This Row],[Time]])</f>
        <v>10</v>
      </c>
      <c r="H3696" t="s">
        <v>13</v>
      </c>
      <c r="I3696" t="s">
        <v>14</v>
      </c>
      <c r="J3696" t="s">
        <v>14</v>
      </c>
      <c r="K3696">
        <v>56</v>
      </c>
      <c r="L3696" t="str">
        <f>IF(AND(CallLog[[#This Row],[Answered (Y/N)]]="Y", CallLog[[#This Row],[Speed of answer in seconds]]&lt;=20),
    "Within",
    "Breach")</f>
        <v>Breach</v>
      </c>
      <c r="M3696" s="1">
        <v>1.7013888888888888E-3</v>
      </c>
      <c r="N3696">
        <v>5</v>
      </c>
    </row>
    <row r="3697" spans="1:14" x14ac:dyDescent="0.3">
      <c r="A3697" t="s">
        <v>3785</v>
      </c>
      <c r="B3697" t="s">
        <v>38</v>
      </c>
      <c r="C3697" t="s">
        <v>3780</v>
      </c>
      <c r="D3697" s="1">
        <v>0.41700231481481481</v>
      </c>
      <c r="E3697" s="2">
        <f>CallLog[[#This Row],[Date]]+CallLog[[#This Row],[Time]]</f>
        <v>44261.417002314818</v>
      </c>
      <c r="F3697" s="1" t="str">
        <f>TEXT(CallLog[[#This Row],[Date]],"dddd")</f>
        <v>Saturday</v>
      </c>
      <c r="G3697" s="3">
        <f>HOUR(CallLog[[#This Row],[Time]])</f>
        <v>10</v>
      </c>
      <c r="H3697" t="s">
        <v>29</v>
      </c>
      <c r="I3697" t="s">
        <v>14</v>
      </c>
      <c r="J3697" t="s">
        <v>14</v>
      </c>
      <c r="K3697">
        <v>93</v>
      </c>
      <c r="L3697" t="str">
        <f>IF(AND(CallLog[[#This Row],[Answered (Y/N)]]="Y", CallLog[[#This Row],[Speed of answer in seconds]]&lt;=20),
    "Within",
    "Breach")</f>
        <v>Breach</v>
      </c>
      <c r="M3697" s="1">
        <v>4.0277777777777777E-3</v>
      </c>
      <c r="N3697">
        <v>3</v>
      </c>
    </row>
    <row r="3698" spans="1:14" x14ac:dyDescent="0.3">
      <c r="A3698" t="s">
        <v>3786</v>
      </c>
      <c r="B3698" t="s">
        <v>22</v>
      </c>
      <c r="C3698" t="s">
        <v>3780</v>
      </c>
      <c r="D3698" s="1">
        <v>0.42900462962962965</v>
      </c>
      <c r="E3698" s="2">
        <f>CallLog[[#This Row],[Date]]+CallLog[[#This Row],[Time]]</f>
        <v>44261.42900462963</v>
      </c>
      <c r="F3698" s="1" t="str">
        <f>TEXT(CallLog[[#This Row],[Date]],"dddd")</f>
        <v>Saturday</v>
      </c>
      <c r="G3698" s="3">
        <f>HOUR(CallLog[[#This Row],[Time]])</f>
        <v>10</v>
      </c>
      <c r="H3698" t="s">
        <v>32</v>
      </c>
      <c r="I3698" t="s">
        <v>14</v>
      </c>
      <c r="J3698" t="s">
        <v>14</v>
      </c>
      <c r="K3698">
        <v>85</v>
      </c>
      <c r="L3698" t="str">
        <f>IF(AND(CallLog[[#This Row],[Answered (Y/N)]]="Y", CallLog[[#This Row],[Speed of answer in seconds]]&lt;=20),
    "Within",
    "Breach")</f>
        <v>Breach</v>
      </c>
      <c r="M3698" s="1">
        <v>4.2129629629629626E-3</v>
      </c>
      <c r="N3698">
        <v>5</v>
      </c>
    </row>
    <row r="3699" spans="1:14" x14ac:dyDescent="0.3">
      <c r="A3699" t="s">
        <v>3787</v>
      </c>
      <c r="B3699" t="s">
        <v>38</v>
      </c>
      <c r="C3699" t="s">
        <v>3780</v>
      </c>
      <c r="D3699" s="1">
        <v>0.42900462962962965</v>
      </c>
      <c r="E3699" s="2">
        <f>CallLog[[#This Row],[Date]]+CallLog[[#This Row],[Time]]</f>
        <v>44261.42900462963</v>
      </c>
      <c r="F3699" s="1" t="str">
        <f>TEXT(CallLog[[#This Row],[Date]],"dddd")</f>
        <v>Saturday</v>
      </c>
      <c r="G3699" s="3">
        <f>HOUR(CallLog[[#This Row],[Time]])</f>
        <v>10</v>
      </c>
      <c r="H3699" t="s">
        <v>24</v>
      </c>
      <c r="I3699" t="s">
        <v>18</v>
      </c>
      <c r="J3699" t="s">
        <v>18</v>
      </c>
      <c r="L3699" t="str">
        <f>IF(AND(CallLog[[#This Row],[Answered (Y/N)]]="Y", CallLog[[#This Row],[Speed of answer in seconds]]&lt;=20),
    "Within",
    "Breach")</f>
        <v>Breach</v>
      </c>
    </row>
    <row r="3700" spans="1:14" x14ac:dyDescent="0.3">
      <c r="A3700" t="s">
        <v>3788</v>
      </c>
      <c r="B3700" t="s">
        <v>22</v>
      </c>
      <c r="C3700" t="s">
        <v>3780</v>
      </c>
      <c r="D3700" s="1">
        <v>0.42900462962962965</v>
      </c>
      <c r="E3700" s="2">
        <f>CallLog[[#This Row],[Date]]+CallLog[[#This Row],[Time]]</f>
        <v>44261.42900462963</v>
      </c>
      <c r="F3700" s="1" t="str">
        <f>TEXT(CallLog[[#This Row],[Date]],"dddd")</f>
        <v>Saturday</v>
      </c>
      <c r="G3700" s="3">
        <f>HOUR(CallLog[[#This Row],[Time]])</f>
        <v>10</v>
      </c>
      <c r="H3700" t="s">
        <v>32</v>
      </c>
      <c r="I3700" t="s">
        <v>14</v>
      </c>
      <c r="J3700" t="s">
        <v>14</v>
      </c>
      <c r="K3700">
        <v>69</v>
      </c>
      <c r="L3700" t="str">
        <f>IF(AND(CallLog[[#This Row],[Answered (Y/N)]]="Y", CallLog[[#This Row],[Speed of answer in seconds]]&lt;=20),
    "Within",
    "Breach")</f>
        <v>Breach</v>
      </c>
      <c r="M3700" s="1">
        <v>1.8865740740740742E-3</v>
      </c>
      <c r="N3700">
        <v>5</v>
      </c>
    </row>
    <row r="3701" spans="1:14" x14ac:dyDescent="0.3">
      <c r="A3701" t="s">
        <v>3789</v>
      </c>
      <c r="B3701" t="s">
        <v>16</v>
      </c>
      <c r="C3701" t="s">
        <v>3780</v>
      </c>
      <c r="D3701" s="1">
        <v>0.42900462962962965</v>
      </c>
      <c r="E3701" s="2">
        <f>CallLog[[#This Row],[Date]]+CallLog[[#This Row],[Time]]</f>
        <v>44261.42900462963</v>
      </c>
      <c r="F3701" s="1" t="str">
        <f>TEXT(CallLog[[#This Row],[Date]],"dddd")</f>
        <v>Saturday</v>
      </c>
      <c r="G3701" s="3">
        <f>HOUR(CallLog[[#This Row],[Time]])</f>
        <v>10</v>
      </c>
      <c r="H3701" t="s">
        <v>13</v>
      </c>
      <c r="I3701" t="s">
        <v>14</v>
      </c>
      <c r="J3701" t="s">
        <v>14</v>
      </c>
      <c r="K3701">
        <v>66</v>
      </c>
      <c r="L3701" t="str">
        <f>IF(AND(CallLog[[#This Row],[Answered (Y/N)]]="Y", CallLog[[#This Row],[Speed of answer in seconds]]&lt;=20),
    "Within",
    "Breach")</f>
        <v>Breach</v>
      </c>
      <c r="M3701" s="1">
        <v>2.3958333333333331E-3</v>
      </c>
      <c r="N3701">
        <v>2</v>
      </c>
    </row>
    <row r="3702" spans="1:14" x14ac:dyDescent="0.3">
      <c r="A3702" t="s">
        <v>3790</v>
      </c>
      <c r="B3702" t="s">
        <v>34</v>
      </c>
      <c r="C3702" t="s">
        <v>3780</v>
      </c>
      <c r="D3702" s="1">
        <v>0.44500000000000001</v>
      </c>
      <c r="E3702" s="2">
        <f>CallLog[[#This Row],[Date]]+CallLog[[#This Row],[Time]]</f>
        <v>44261.445</v>
      </c>
      <c r="F3702" s="1" t="str">
        <f>TEXT(CallLog[[#This Row],[Date]],"dddd")</f>
        <v>Saturday</v>
      </c>
      <c r="G3702" s="3">
        <f>HOUR(CallLog[[#This Row],[Time]])</f>
        <v>10</v>
      </c>
      <c r="H3702" t="s">
        <v>24</v>
      </c>
      <c r="I3702" t="s">
        <v>14</v>
      </c>
      <c r="J3702" t="s">
        <v>14</v>
      </c>
      <c r="K3702">
        <v>117</v>
      </c>
      <c r="L3702" t="str">
        <f>IF(AND(CallLog[[#This Row],[Answered (Y/N)]]="Y", CallLog[[#This Row],[Speed of answer in seconds]]&lt;=20),
    "Within",
    "Breach")</f>
        <v>Breach</v>
      </c>
      <c r="M3702" s="1">
        <v>4.5833333333333334E-3</v>
      </c>
      <c r="N3702">
        <v>3</v>
      </c>
    </row>
    <row r="3703" spans="1:14" x14ac:dyDescent="0.3">
      <c r="A3703" t="s">
        <v>3791</v>
      </c>
      <c r="B3703" t="s">
        <v>47</v>
      </c>
      <c r="C3703" t="s">
        <v>3780</v>
      </c>
      <c r="D3703" s="1">
        <v>0.44500000000000001</v>
      </c>
      <c r="E3703" s="2">
        <f>CallLog[[#This Row],[Date]]+CallLog[[#This Row],[Time]]</f>
        <v>44261.445</v>
      </c>
      <c r="F3703" s="1" t="str">
        <f>TEXT(CallLog[[#This Row],[Date]],"dddd")</f>
        <v>Saturday</v>
      </c>
      <c r="G3703" s="3">
        <f>HOUR(CallLog[[#This Row],[Time]])</f>
        <v>10</v>
      </c>
      <c r="H3703" t="s">
        <v>24</v>
      </c>
      <c r="I3703" t="s">
        <v>14</v>
      </c>
      <c r="J3703" t="s">
        <v>14</v>
      </c>
      <c r="K3703">
        <v>71</v>
      </c>
      <c r="L3703" t="str">
        <f>IF(AND(CallLog[[#This Row],[Answered (Y/N)]]="Y", CallLog[[#This Row],[Speed of answer in seconds]]&lt;=20),
    "Within",
    "Breach")</f>
        <v>Breach</v>
      </c>
      <c r="M3703" s="1">
        <v>2.2222222222222222E-3</v>
      </c>
      <c r="N3703">
        <v>1</v>
      </c>
    </row>
    <row r="3704" spans="1:14" x14ac:dyDescent="0.3">
      <c r="A3704" t="s">
        <v>3792</v>
      </c>
      <c r="B3704" t="s">
        <v>38</v>
      </c>
      <c r="C3704" t="s">
        <v>3780</v>
      </c>
      <c r="D3704" s="1">
        <v>0.44799768518518518</v>
      </c>
      <c r="E3704" s="2">
        <f>CallLog[[#This Row],[Date]]+CallLog[[#This Row],[Time]]</f>
        <v>44261.447997685187</v>
      </c>
      <c r="F3704" s="1" t="str">
        <f>TEXT(CallLog[[#This Row],[Date]],"dddd")</f>
        <v>Saturday</v>
      </c>
      <c r="G3704" s="3">
        <f>HOUR(CallLog[[#This Row],[Time]])</f>
        <v>10</v>
      </c>
      <c r="H3704" t="s">
        <v>29</v>
      </c>
      <c r="I3704" t="s">
        <v>14</v>
      </c>
      <c r="J3704" t="s">
        <v>14</v>
      </c>
      <c r="K3704">
        <v>23</v>
      </c>
      <c r="L3704" t="str">
        <f>IF(AND(CallLog[[#This Row],[Answered (Y/N)]]="Y", CallLog[[#This Row],[Speed of answer in seconds]]&lt;=20),
    "Within",
    "Breach")</f>
        <v>Breach</v>
      </c>
      <c r="M3704" s="1">
        <v>3.5300925925925925E-3</v>
      </c>
      <c r="N3704">
        <v>4</v>
      </c>
    </row>
    <row r="3705" spans="1:14" x14ac:dyDescent="0.3">
      <c r="A3705" t="s">
        <v>3793</v>
      </c>
      <c r="B3705" t="s">
        <v>34</v>
      </c>
      <c r="C3705" t="s">
        <v>3780</v>
      </c>
      <c r="D3705" s="1">
        <v>0.44799768518518518</v>
      </c>
      <c r="E3705" s="2">
        <f>CallLog[[#This Row],[Date]]+CallLog[[#This Row],[Time]]</f>
        <v>44261.447997685187</v>
      </c>
      <c r="F3705" s="1" t="str">
        <f>TEXT(CallLog[[#This Row],[Date]],"dddd")</f>
        <v>Saturday</v>
      </c>
      <c r="G3705" s="3">
        <f>HOUR(CallLog[[#This Row],[Time]])</f>
        <v>10</v>
      </c>
      <c r="H3705" t="s">
        <v>29</v>
      </c>
      <c r="I3705" t="s">
        <v>18</v>
      </c>
      <c r="J3705" t="s">
        <v>18</v>
      </c>
      <c r="L3705" t="str">
        <f>IF(AND(CallLog[[#This Row],[Answered (Y/N)]]="Y", CallLog[[#This Row],[Speed of answer in seconds]]&lt;=20),
    "Within",
    "Breach")</f>
        <v>Breach</v>
      </c>
    </row>
    <row r="3706" spans="1:14" x14ac:dyDescent="0.3">
      <c r="A3706" t="s">
        <v>3794</v>
      </c>
      <c r="B3706" t="s">
        <v>47</v>
      </c>
      <c r="C3706" t="s">
        <v>3780</v>
      </c>
      <c r="D3706" s="1">
        <v>0.46</v>
      </c>
      <c r="E3706" s="2">
        <f>CallLog[[#This Row],[Date]]+CallLog[[#This Row],[Time]]</f>
        <v>44261.46</v>
      </c>
      <c r="F3706" s="1" t="str">
        <f>TEXT(CallLog[[#This Row],[Date]],"dddd")</f>
        <v>Saturday</v>
      </c>
      <c r="G3706" s="3">
        <f>HOUR(CallLog[[#This Row],[Time]])</f>
        <v>11</v>
      </c>
      <c r="H3706" t="s">
        <v>17</v>
      </c>
      <c r="I3706" t="s">
        <v>14</v>
      </c>
      <c r="J3706" t="s">
        <v>14</v>
      </c>
      <c r="K3706">
        <v>116</v>
      </c>
      <c r="L3706" t="str">
        <f>IF(AND(CallLog[[#This Row],[Answered (Y/N)]]="Y", CallLog[[#This Row],[Speed of answer in seconds]]&lt;=20),
    "Within",
    "Breach")</f>
        <v>Breach</v>
      </c>
      <c r="M3706" s="1">
        <v>6.018518518518519E-4</v>
      </c>
      <c r="N3706">
        <v>4</v>
      </c>
    </row>
    <row r="3707" spans="1:14" x14ac:dyDescent="0.3">
      <c r="A3707" t="s">
        <v>3795</v>
      </c>
      <c r="B3707" t="s">
        <v>31</v>
      </c>
      <c r="C3707" t="s">
        <v>3780</v>
      </c>
      <c r="D3707" s="1">
        <v>0.46</v>
      </c>
      <c r="E3707" s="2">
        <f>CallLog[[#This Row],[Date]]+CallLog[[#This Row],[Time]]</f>
        <v>44261.46</v>
      </c>
      <c r="F3707" s="1" t="str">
        <f>TEXT(CallLog[[#This Row],[Date]],"dddd")</f>
        <v>Saturday</v>
      </c>
      <c r="G3707" s="3">
        <f>HOUR(CallLog[[#This Row],[Time]])</f>
        <v>11</v>
      </c>
      <c r="H3707" t="s">
        <v>13</v>
      </c>
      <c r="I3707" t="s">
        <v>14</v>
      </c>
      <c r="J3707" t="s">
        <v>14</v>
      </c>
      <c r="K3707">
        <v>52</v>
      </c>
      <c r="L3707" t="str">
        <f>IF(AND(CallLog[[#This Row],[Answered (Y/N)]]="Y", CallLog[[#This Row],[Speed of answer in seconds]]&lt;=20),
    "Within",
    "Breach")</f>
        <v>Breach</v>
      </c>
      <c r="M3707" s="1">
        <v>4.6990740740740743E-3</v>
      </c>
      <c r="N3707">
        <v>4</v>
      </c>
    </row>
    <row r="3708" spans="1:14" x14ac:dyDescent="0.3">
      <c r="A3708" t="s">
        <v>3796</v>
      </c>
      <c r="B3708" t="s">
        <v>38</v>
      </c>
      <c r="C3708" t="s">
        <v>3780</v>
      </c>
      <c r="D3708" s="1">
        <v>0.4729976851851852</v>
      </c>
      <c r="E3708" s="2">
        <f>CallLog[[#This Row],[Date]]+CallLog[[#This Row],[Time]]</f>
        <v>44261.472997685189</v>
      </c>
      <c r="F3708" s="1" t="str">
        <f>TEXT(CallLog[[#This Row],[Date]],"dddd")</f>
        <v>Saturday</v>
      </c>
      <c r="G3708" s="3">
        <f>HOUR(CallLog[[#This Row],[Time]])</f>
        <v>11</v>
      </c>
      <c r="H3708" t="s">
        <v>29</v>
      </c>
      <c r="I3708" t="s">
        <v>14</v>
      </c>
      <c r="J3708" t="s">
        <v>14</v>
      </c>
      <c r="K3708">
        <v>106</v>
      </c>
      <c r="L3708" t="str">
        <f>IF(AND(CallLog[[#This Row],[Answered (Y/N)]]="Y", CallLog[[#This Row],[Speed of answer in seconds]]&lt;=20),
    "Within",
    "Breach")</f>
        <v>Breach</v>
      </c>
      <c r="M3708" s="1">
        <v>1.2962962962962963E-3</v>
      </c>
      <c r="N3708">
        <v>5</v>
      </c>
    </row>
    <row r="3709" spans="1:14" x14ac:dyDescent="0.3">
      <c r="A3709" t="s">
        <v>3797</v>
      </c>
      <c r="B3709" t="s">
        <v>34</v>
      </c>
      <c r="C3709" t="s">
        <v>3780</v>
      </c>
      <c r="D3709" s="1">
        <v>0.4729976851851852</v>
      </c>
      <c r="E3709" s="2">
        <f>CallLog[[#This Row],[Date]]+CallLog[[#This Row],[Time]]</f>
        <v>44261.472997685189</v>
      </c>
      <c r="F3709" s="1" t="str">
        <f>TEXT(CallLog[[#This Row],[Date]],"dddd")</f>
        <v>Saturday</v>
      </c>
      <c r="G3709" s="3">
        <f>HOUR(CallLog[[#This Row],[Time]])</f>
        <v>11</v>
      </c>
      <c r="H3709" t="s">
        <v>13</v>
      </c>
      <c r="I3709" t="s">
        <v>18</v>
      </c>
      <c r="J3709" t="s">
        <v>18</v>
      </c>
      <c r="L3709" t="str">
        <f>IF(AND(CallLog[[#This Row],[Answered (Y/N)]]="Y", CallLog[[#This Row],[Speed of answer in seconds]]&lt;=20),
    "Within",
    "Breach")</f>
        <v>Breach</v>
      </c>
    </row>
    <row r="3710" spans="1:14" x14ac:dyDescent="0.3">
      <c r="A3710" t="s">
        <v>3798</v>
      </c>
      <c r="B3710" t="s">
        <v>38</v>
      </c>
      <c r="C3710" t="s">
        <v>3780</v>
      </c>
      <c r="D3710" s="1">
        <v>0.47599537037037037</v>
      </c>
      <c r="E3710" s="2">
        <f>CallLog[[#This Row],[Date]]+CallLog[[#This Row],[Time]]</f>
        <v>44261.475995370369</v>
      </c>
      <c r="F3710" s="1" t="str">
        <f>TEXT(CallLog[[#This Row],[Date]],"dddd")</f>
        <v>Saturday</v>
      </c>
      <c r="G3710" s="3">
        <f>HOUR(CallLog[[#This Row],[Time]])</f>
        <v>11</v>
      </c>
      <c r="H3710" t="s">
        <v>29</v>
      </c>
      <c r="I3710" t="s">
        <v>14</v>
      </c>
      <c r="J3710" t="s">
        <v>14</v>
      </c>
      <c r="K3710">
        <v>48</v>
      </c>
      <c r="L3710" t="str">
        <f>IF(AND(CallLog[[#This Row],[Answered (Y/N)]]="Y", CallLog[[#This Row],[Speed of answer in seconds]]&lt;=20),
    "Within",
    "Breach")</f>
        <v>Breach</v>
      </c>
      <c r="M3710" s="1">
        <v>2.3263888888888887E-3</v>
      </c>
      <c r="N3710">
        <v>1</v>
      </c>
    </row>
    <row r="3711" spans="1:14" x14ac:dyDescent="0.3">
      <c r="A3711" t="s">
        <v>3799</v>
      </c>
      <c r="B3711" t="s">
        <v>47</v>
      </c>
      <c r="C3711" t="s">
        <v>3780</v>
      </c>
      <c r="D3711" s="1">
        <v>0.47599537037037037</v>
      </c>
      <c r="E3711" s="2">
        <f>CallLog[[#This Row],[Date]]+CallLog[[#This Row],[Time]]</f>
        <v>44261.475995370369</v>
      </c>
      <c r="F3711" s="1" t="str">
        <f>TEXT(CallLog[[#This Row],[Date]],"dddd")</f>
        <v>Saturday</v>
      </c>
      <c r="G3711" s="3">
        <f>HOUR(CallLog[[#This Row],[Time]])</f>
        <v>11</v>
      </c>
      <c r="H3711" t="s">
        <v>24</v>
      </c>
      <c r="I3711" t="s">
        <v>14</v>
      </c>
      <c r="J3711" t="s">
        <v>14</v>
      </c>
      <c r="K3711">
        <v>93</v>
      </c>
      <c r="L3711" t="str">
        <f>IF(AND(CallLog[[#This Row],[Answered (Y/N)]]="Y", CallLog[[#This Row],[Speed of answer in seconds]]&lt;=20),
    "Within",
    "Breach")</f>
        <v>Breach</v>
      </c>
      <c r="M3711" s="1">
        <v>4.6064814814814814E-3</v>
      </c>
      <c r="N3711">
        <v>2</v>
      </c>
    </row>
    <row r="3712" spans="1:14" x14ac:dyDescent="0.3">
      <c r="A3712" t="s">
        <v>3800</v>
      </c>
      <c r="B3712" t="s">
        <v>38</v>
      </c>
      <c r="C3712" t="s">
        <v>3780</v>
      </c>
      <c r="D3712" s="1">
        <v>0.47799768518518521</v>
      </c>
      <c r="E3712" s="2">
        <f>CallLog[[#This Row],[Date]]+CallLog[[#This Row],[Time]]</f>
        <v>44261.477997685186</v>
      </c>
      <c r="F3712" s="1" t="str">
        <f>TEXT(CallLog[[#This Row],[Date]],"dddd")</f>
        <v>Saturday</v>
      </c>
      <c r="G3712" s="3">
        <f>HOUR(CallLog[[#This Row],[Time]])</f>
        <v>11</v>
      </c>
      <c r="H3712" t="s">
        <v>24</v>
      </c>
      <c r="I3712" t="s">
        <v>14</v>
      </c>
      <c r="J3712" t="s">
        <v>14</v>
      </c>
      <c r="K3712">
        <v>106</v>
      </c>
      <c r="L3712" t="str">
        <f>IF(AND(CallLog[[#This Row],[Answered (Y/N)]]="Y", CallLog[[#This Row],[Speed of answer in seconds]]&lt;=20),
    "Within",
    "Breach")</f>
        <v>Breach</v>
      </c>
      <c r="M3712" s="1">
        <v>6.2500000000000001E-4</v>
      </c>
      <c r="N3712">
        <v>5</v>
      </c>
    </row>
    <row r="3713" spans="1:14" x14ac:dyDescent="0.3">
      <c r="A3713" t="s">
        <v>3801</v>
      </c>
      <c r="B3713" t="s">
        <v>34</v>
      </c>
      <c r="C3713" t="s">
        <v>3780</v>
      </c>
      <c r="D3713" s="1">
        <v>0.47799768518518521</v>
      </c>
      <c r="E3713" s="2">
        <f>CallLog[[#This Row],[Date]]+CallLog[[#This Row],[Time]]</f>
        <v>44261.477997685186</v>
      </c>
      <c r="F3713" s="1" t="str">
        <f>TEXT(CallLog[[#This Row],[Date]],"dddd")</f>
        <v>Saturday</v>
      </c>
      <c r="G3713" s="3">
        <f>HOUR(CallLog[[#This Row],[Time]])</f>
        <v>11</v>
      </c>
      <c r="H3713" t="s">
        <v>32</v>
      </c>
      <c r="I3713" t="s">
        <v>18</v>
      </c>
      <c r="J3713" t="s">
        <v>18</v>
      </c>
      <c r="L3713" t="str">
        <f>IF(AND(CallLog[[#This Row],[Answered (Y/N)]]="Y", CallLog[[#This Row],[Speed of answer in seconds]]&lt;=20),
    "Within",
    "Breach")</f>
        <v>Breach</v>
      </c>
    </row>
    <row r="3714" spans="1:14" x14ac:dyDescent="0.3">
      <c r="A3714" t="s">
        <v>3802</v>
      </c>
      <c r="B3714" t="s">
        <v>16</v>
      </c>
      <c r="C3714" t="s">
        <v>3780</v>
      </c>
      <c r="D3714" s="1">
        <v>0.505</v>
      </c>
      <c r="E3714" s="2">
        <f>CallLog[[#This Row],[Date]]+CallLog[[#This Row],[Time]]</f>
        <v>44261.504999999997</v>
      </c>
      <c r="F3714" s="1" t="str">
        <f>TEXT(CallLog[[#This Row],[Date]],"dddd")</f>
        <v>Saturday</v>
      </c>
      <c r="G3714" s="3">
        <f>HOUR(CallLog[[#This Row],[Time]])</f>
        <v>12</v>
      </c>
      <c r="H3714" t="s">
        <v>29</v>
      </c>
      <c r="I3714" t="s">
        <v>14</v>
      </c>
      <c r="J3714" t="s">
        <v>14</v>
      </c>
      <c r="K3714">
        <v>33</v>
      </c>
      <c r="L3714" t="str">
        <f>IF(AND(CallLog[[#This Row],[Answered (Y/N)]]="Y", CallLog[[#This Row],[Speed of answer in seconds]]&lt;=20),
    "Within",
    "Breach")</f>
        <v>Breach</v>
      </c>
      <c r="M3714" s="1">
        <v>3.3796296296296296E-3</v>
      </c>
      <c r="N3714">
        <v>4</v>
      </c>
    </row>
    <row r="3715" spans="1:14" x14ac:dyDescent="0.3">
      <c r="A3715" t="s">
        <v>3803</v>
      </c>
      <c r="B3715" t="s">
        <v>34</v>
      </c>
      <c r="C3715" t="s">
        <v>3780</v>
      </c>
      <c r="D3715" s="1">
        <v>0.505</v>
      </c>
      <c r="E3715" s="2">
        <f>CallLog[[#This Row],[Date]]+CallLog[[#This Row],[Time]]</f>
        <v>44261.504999999997</v>
      </c>
      <c r="F3715" s="1" t="str">
        <f>TEXT(CallLog[[#This Row],[Date]],"dddd")</f>
        <v>Saturday</v>
      </c>
      <c r="G3715" s="3">
        <f>HOUR(CallLog[[#This Row],[Time]])</f>
        <v>12</v>
      </c>
      <c r="H3715" t="s">
        <v>29</v>
      </c>
      <c r="I3715" t="s">
        <v>14</v>
      </c>
      <c r="J3715" t="s">
        <v>14</v>
      </c>
      <c r="K3715">
        <v>18</v>
      </c>
      <c r="L3715" t="str">
        <f>IF(AND(CallLog[[#This Row],[Answered (Y/N)]]="Y", CallLog[[#This Row],[Speed of answer in seconds]]&lt;=20),
    "Within",
    "Breach")</f>
        <v>Within</v>
      </c>
      <c r="M3715" s="1">
        <v>1.736111111111111E-3</v>
      </c>
      <c r="N3715">
        <v>5</v>
      </c>
    </row>
    <row r="3716" spans="1:14" x14ac:dyDescent="0.3">
      <c r="A3716" t="s">
        <v>3804</v>
      </c>
      <c r="B3716" t="s">
        <v>34</v>
      </c>
      <c r="C3716" t="s">
        <v>3780</v>
      </c>
      <c r="D3716" s="1">
        <v>0.51299768518518518</v>
      </c>
      <c r="E3716" s="2">
        <f>CallLog[[#This Row],[Date]]+CallLog[[#This Row],[Time]]</f>
        <v>44261.512997685182</v>
      </c>
      <c r="F3716" s="1" t="str">
        <f>TEXT(CallLog[[#This Row],[Date]],"dddd")</f>
        <v>Saturday</v>
      </c>
      <c r="G3716" s="3">
        <f>HOUR(CallLog[[#This Row],[Time]])</f>
        <v>12</v>
      </c>
      <c r="H3716" t="s">
        <v>17</v>
      </c>
      <c r="I3716" t="s">
        <v>14</v>
      </c>
      <c r="J3716" t="s">
        <v>14</v>
      </c>
      <c r="K3716">
        <v>118</v>
      </c>
      <c r="L3716" t="str">
        <f>IF(AND(CallLog[[#This Row],[Answered (Y/N)]]="Y", CallLog[[#This Row],[Speed of answer in seconds]]&lt;=20),
    "Within",
    "Breach")</f>
        <v>Breach</v>
      </c>
      <c r="M3716" s="1">
        <v>3.8888888888888888E-3</v>
      </c>
      <c r="N3716">
        <v>4</v>
      </c>
    </row>
    <row r="3717" spans="1:14" x14ac:dyDescent="0.3">
      <c r="A3717" t="s">
        <v>3805</v>
      </c>
      <c r="B3717" t="s">
        <v>38</v>
      </c>
      <c r="C3717" t="s">
        <v>3780</v>
      </c>
      <c r="D3717" s="1">
        <v>0.51299768518518518</v>
      </c>
      <c r="E3717" s="2">
        <f>CallLog[[#This Row],[Date]]+CallLog[[#This Row],[Time]]</f>
        <v>44261.512997685182</v>
      </c>
      <c r="F3717" s="1" t="str">
        <f>TEXT(CallLog[[#This Row],[Date]],"dddd")</f>
        <v>Saturday</v>
      </c>
      <c r="G3717" s="3">
        <f>HOUR(CallLog[[#This Row],[Time]])</f>
        <v>12</v>
      </c>
      <c r="H3717" t="s">
        <v>24</v>
      </c>
      <c r="I3717" t="s">
        <v>18</v>
      </c>
      <c r="J3717" t="s">
        <v>18</v>
      </c>
      <c r="L3717" t="str">
        <f>IF(AND(CallLog[[#This Row],[Answered (Y/N)]]="Y", CallLog[[#This Row],[Speed of answer in seconds]]&lt;=20),
    "Within",
    "Breach")</f>
        <v>Breach</v>
      </c>
    </row>
    <row r="3718" spans="1:14" x14ac:dyDescent="0.3">
      <c r="A3718" t="s">
        <v>3806</v>
      </c>
      <c r="B3718" t="s">
        <v>20</v>
      </c>
      <c r="C3718" t="s">
        <v>3780</v>
      </c>
      <c r="D3718" s="1">
        <v>0.53200231481481486</v>
      </c>
      <c r="E3718" s="2">
        <f>CallLog[[#This Row],[Date]]+CallLog[[#This Row],[Time]]</f>
        <v>44261.532002314816</v>
      </c>
      <c r="F3718" s="1" t="str">
        <f>TEXT(CallLog[[#This Row],[Date]],"dddd")</f>
        <v>Saturday</v>
      </c>
      <c r="G3718" s="3">
        <f>HOUR(CallLog[[#This Row],[Time]])</f>
        <v>12</v>
      </c>
      <c r="H3718" t="s">
        <v>29</v>
      </c>
      <c r="I3718" t="s">
        <v>14</v>
      </c>
      <c r="J3718" t="s">
        <v>14</v>
      </c>
      <c r="K3718">
        <v>55</v>
      </c>
      <c r="L3718" t="str">
        <f>IF(AND(CallLog[[#This Row],[Answered (Y/N)]]="Y", CallLog[[#This Row],[Speed of answer in seconds]]&lt;=20),
    "Within",
    "Breach")</f>
        <v>Breach</v>
      </c>
      <c r="M3718" s="1">
        <v>2.4421296296296296E-3</v>
      </c>
      <c r="N3718">
        <v>3</v>
      </c>
    </row>
    <row r="3719" spans="1:14" x14ac:dyDescent="0.3">
      <c r="A3719" t="s">
        <v>3807</v>
      </c>
      <c r="B3719" t="s">
        <v>22</v>
      </c>
      <c r="C3719" t="s">
        <v>3780</v>
      </c>
      <c r="D3719" s="1">
        <v>0.53200231481481486</v>
      </c>
      <c r="E3719" s="2">
        <f>CallLog[[#This Row],[Date]]+CallLog[[#This Row],[Time]]</f>
        <v>44261.532002314816</v>
      </c>
      <c r="F3719" s="1" t="str">
        <f>TEXT(CallLog[[#This Row],[Date]],"dddd")</f>
        <v>Saturday</v>
      </c>
      <c r="G3719" s="3">
        <f>HOUR(CallLog[[#This Row],[Time]])</f>
        <v>12</v>
      </c>
      <c r="H3719" t="s">
        <v>13</v>
      </c>
      <c r="I3719" t="s">
        <v>18</v>
      </c>
      <c r="J3719" t="s">
        <v>18</v>
      </c>
      <c r="L3719" t="str">
        <f>IF(AND(CallLog[[#This Row],[Answered (Y/N)]]="Y", CallLog[[#This Row],[Speed of answer in seconds]]&lt;=20),
    "Within",
    "Breach")</f>
        <v>Breach</v>
      </c>
    </row>
    <row r="3720" spans="1:14" x14ac:dyDescent="0.3">
      <c r="A3720" t="s">
        <v>3808</v>
      </c>
      <c r="B3720" t="s">
        <v>31</v>
      </c>
      <c r="C3720" t="s">
        <v>3780</v>
      </c>
      <c r="D3720" s="1">
        <v>0.55700231481481477</v>
      </c>
      <c r="E3720" s="2">
        <f>CallLog[[#This Row],[Date]]+CallLog[[#This Row],[Time]]</f>
        <v>44261.557002314818</v>
      </c>
      <c r="F3720" s="1" t="str">
        <f>TEXT(CallLog[[#This Row],[Date]],"dddd")</f>
        <v>Saturday</v>
      </c>
      <c r="G3720" s="3">
        <f>HOUR(CallLog[[#This Row],[Time]])</f>
        <v>13</v>
      </c>
      <c r="H3720" t="s">
        <v>29</v>
      </c>
      <c r="I3720" t="s">
        <v>14</v>
      </c>
      <c r="J3720" t="s">
        <v>14</v>
      </c>
      <c r="K3720">
        <v>35</v>
      </c>
      <c r="L3720" t="str">
        <f>IF(AND(CallLog[[#This Row],[Answered (Y/N)]]="Y", CallLog[[#This Row],[Speed of answer in seconds]]&lt;=20),
    "Within",
    "Breach")</f>
        <v>Breach</v>
      </c>
      <c r="M3720" s="1">
        <v>2.5694444444444445E-3</v>
      </c>
      <c r="N3720">
        <v>3</v>
      </c>
    </row>
    <row r="3721" spans="1:14" x14ac:dyDescent="0.3">
      <c r="A3721" t="s">
        <v>3809</v>
      </c>
      <c r="B3721" t="s">
        <v>34</v>
      </c>
      <c r="C3721" t="s">
        <v>3780</v>
      </c>
      <c r="D3721" s="1">
        <v>0.55700231481481477</v>
      </c>
      <c r="E3721" s="2">
        <f>CallLog[[#This Row],[Date]]+CallLog[[#This Row],[Time]]</f>
        <v>44261.557002314818</v>
      </c>
      <c r="F3721" s="1" t="str">
        <f>TEXT(CallLog[[#This Row],[Date]],"dddd")</f>
        <v>Saturday</v>
      </c>
      <c r="G3721" s="3">
        <f>HOUR(CallLog[[#This Row],[Time]])</f>
        <v>13</v>
      </c>
      <c r="H3721" t="s">
        <v>32</v>
      </c>
      <c r="I3721" t="s">
        <v>14</v>
      </c>
      <c r="J3721" t="s">
        <v>14</v>
      </c>
      <c r="K3721">
        <v>10</v>
      </c>
      <c r="L3721" t="str">
        <f>IF(AND(CallLog[[#This Row],[Answered (Y/N)]]="Y", CallLog[[#This Row],[Speed of answer in seconds]]&lt;=20),
    "Within",
    "Breach")</f>
        <v>Within</v>
      </c>
      <c r="M3721" s="1">
        <v>3.0324074074074073E-3</v>
      </c>
      <c r="N3721">
        <v>2</v>
      </c>
    </row>
    <row r="3722" spans="1:14" x14ac:dyDescent="0.3">
      <c r="A3722" t="s">
        <v>3810</v>
      </c>
      <c r="B3722" t="s">
        <v>31</v>
      </c>
      <c r="C3722" t="s">
        <v>3780</v>
      </c>
      <c r="D3722" s="1">
        <v>0.56400462962962961</v>
      </c>
      <c r="E3722" s="2">
        <f>CallLog[[#This Row],[Date]]+CallLog[[#This Row],[Time]]</f>
        <v>44261.564004629632</v>
      </c>
      <c r="F3722" s="1" t="str">
        <f>TEXT(CallLog[[#This Row],[Date]],"dddd")</f>
        <v>Saturday</v>
      </c>
      <c r="G3722" s="3">
        <f>HOUR(CallLog[[#This Row],[Time]])</f>
        <v>13</v>
      </c>
      <c r="H3722" t="s">
        <v>13</v>
      </c>
      <c r="I3722" t="s">
        <v>14</v>
      </c>
      <c r="J3722" t="s">
        <v>14</v>
      </c>
      <c r="K3722">
        <v>114</v>
      </c>
      <c r="L3722" t="str">
        <f>IF(AND(CallLog[[#This Row],[Answered (Y/N)]]="Y", CallLog[[#This Row],[Speed of answer in seconds]]&lt;=20),
    "Within",
    "Breach")</f>
        <v>Breach</v>
      </c>
      <c r="M3722" s="1">
        <v>2.2685185185185187E-3</v>
      </c>
      <c r="N3722">
        <v>3</v>
      </c>
    </row>
    <row r="3723" spans="1:14" x14ac:dyDescent="0.3">
      <c r="A3723" t="s">
        <v>3811</v>
      </c>
      <c r="B3723" t="s">
        <v>31</v>
      </c>
      <c r="C3723" t="s">
        <v>3780</v>
      </c>
      <c r="D3723" s="1">
        <v>0.56400462962962961</v>
      </c>
      <c r="E3723" s="2">
        <f>CallLog[[#This Row],[Date]]+CallLog[[#This Row],[Time]]</f>
        <v>44261.564004629632</v>
      </c>
      <c r="F3723" s="1" t="str">
        <f>TEXT(CallLog[[#This Row],[Date]],"dddd")</f>
        <v>Saturday</v>
      </c>
      <c r="G3723" s="3">
        <f>HOUR(CallLog[[#This Row],[Time]])</f>
        <v>13</v>
      </c>
      <c r="H3723" t="s">
        <v>32</v>
      </c>
      <c r="I3723" t="s">
        <v>14</v>
      </c>
      <c r="J3723" t="s">
        <v>14</v>
      </c>
      <c r="K3723">
        <v>85</v>
      </c>
      <c r="L3723" t="str">
        <f>IF(AND(CallLog[[#This Row],[Answered (Y/N)]]="Y", CallLog[[#This Row],[Speed of answer in seconds]]&lt;=20),
    "Within",
    "Breach")</f>
        <v>Breach</v>
      </c>
      <c r="M3723" s="1">
        <v>1.4004629629629629E-3</v>
      </c>
      <c r="N3723">
        <v>4</v>
      </c>
    </row>
    <row r="3724" spans="1:14" x14ac:dyDescent="0.3">
      <c r="A3724" t="s">
        <v>3812</v>
      </c>
      <c r="B3724" t="s">
        <v>22</v>
      </c>
      <c r="C3724" t="s">
        <v>3780</v>
      </c>
      <c r="D3724" s="1">
        <v>0.5709953703703704</v>
      </c>
      <c r="E3724" s="2">
        <f>CallLog[[#This Row],[Date]]+CallLog[[#This Row],[Time]]</f>
        <v>44261.57099537037</v>
      </c>
      <c r="F3724" s="1" t="str">
        <f>TEXT(CallLog[[#This Row],[Date]],"dddd")</f>
        <v>Saturday</v>
      </c>
      <c r="G3724" s="3">
        <f>HOUR(CallLog[[#This Row],[Time]])</f>
        <v>13</v>
      </c>
      <c r="H3724" t="s">
        <v>13</v>
      </c>
      <c r="I3724" t="s">
        <v>18</v>
      </c>
      <c r="J3724" t="s">
        <v>18</v>
      </c>
      <c r="L3724" t="str">
        <f>IF(AND(CallLog[[#This Row],[Answered (Y/N)]]="Y", CallLog[[#This Row],[Speed of answer in seconds]]&lt;=20),
    "Within",
    "Breach")</f>
        <v>Breach</v>
      </c>
    </row>
    <row r="3725" spans="1:14" x14ac:dyDescent="0.3">
      <c r="A3725" t="s">
        <v>3813</v>
      </c>
      <c r="B3725" t="s">
        <v>16</v>
      </c>
      <c r="C3725" t="s">
        <v>3780</v>
      </c>
      <c r="D3725" s="1">
        <v>0.5709953703703704</v>
      </c>
      <c r="E3725" s="2">
        <f>CallLog[[#This Row],[Date]]+CallLog[[#This Row],[Time]]</f>
        <v>44261.57099537037</v>
      </c>
      <c r="F3725" s="1" t="str">
        <f>TEXT(CallLog[[#This Row],[Date]],"dddd")</f>
        <v>Saturday</v>
      </c>
      <c r="G3725" s="3">
        <f>HOUR(CallLog[[#This Row],[Time]])</f>
        <v>13</v>
      </c>
      <c r="H3725" t="s">
        <v>29</v>
      </c>
      <c r="I3725" t="s">
        <v>14</v>
      </c>
      <c r="J3725" t="s">
        <v>14</v>
      </c>
      <c r="K3725">
        <v>84</v>
      </c>
      <c r="L3725" t="str">
        <f>IF(AND(CallLog[[#This Row],[Answered (Y/N)]]="Y", CallLog[[#This Row],[Speed of answer in seconds]]&lt;=20),
    "Within",
    "Breach")</f>
        <v>Breach</v>
      </c>
      <c r="M3725" s="1">
        <v>4.2361111111111115E-3</v>
      </c>
      <c r="N3725">
        <v>3</v>
      </c>
    </row>
    <row r="3726" spans="1:14" x14ac:dyDescent="0.3">
      <c r="A3726" t="s">
        <v>3814</v>
      </c>
      <c r="B3726" t="s">
        <v>31</v>
      </c>
      <c r="C3726" t="s">
        <v>3780</v>
      </c>
      <c r="D3726" s="1">
        <v>0.57400462962962961</v>
      </c>
      <c r="E3726" s="2">
        <f>CallLog[[#This Row],[Date]]+CallLog[[#This Row],[Time]]</f>
        <v>44261.574004629627</v>
      </c>
      <c r="F3726" s="1" t="str">
        <f>TEXT(CallLog[[#This Row],[Date]],"dddd")</f>
        <v>Saturday</v>
      </c>
      <c r="G3726" s="3">
        <f>HOUR(CallLog[[#This Row],[Time]])</f>
        <v>13</v>
      </c>
      <c r="H3726" t="s">
        <v>17</v>
      </c>
      <c r="I3726" t="s">
        <v>18</v>
      </c>
      <c r="J3726" t="s">
        <v>18</v>
      </c>
      <c r="L3726" t="str">
        <f>IF(AND(CallLog[[#This Row],[Answered (Y/N)]]="Y", CallLog[[#This Row],[Speed of answer in seconds]]&lt;=20),
    "Within",
    "Breach")</f>
        <v>Breach</v>
      </c>
    </row>
    <row r="3727" spans="1:14" x14ac:dyDescent="0.3">
      <c r="A3727" t="s">
        <v>3815</v>
      </c>
      <c r="B3727" t="s">
        <v>22</v>
      </c>
      <c r="C3727" t="s">
        <v>3780</v>
      </c>
      <c r="D3727" s="1">
        <v>0.57400462962962961</v>
      </c>
      <c r="E3727" s="2">
        <f>CallLog[[#This Row],[Date]]+CallLog[[#This Row],[Time]]</f>
        <v>44261.574004629627</v>
      </c>
      <c r="F3727" s="1" t="str">
        <f>TEXT(CallLog[[#This Row],[Date]],"dddd")</f>
        <v>Saturday</v>
      </c>
      <c r="G3727" s="3">
        <f>HOUR(CallLog[[#This Row],[Time]])</f>
        <v>13</v>
      </c>
      <c r="H3727" t="s">
        <v>32</v>
      </c>
      <c r="I3727" t="s">
        <v>14</v>
      </c>
      <c r="J3727" t="s">
        <v>14</v>
      </c>
      <c r="K3727">
        <v>73</v>
      </c>
      <c r="L3727" t="str">
        <f>IF(AND(CallLog[[#This Row],[Answered (Y/N)]]="Y", CallLog[[#This Row],[Speed of answer in seconds]]&lt;=20),
    "Within",
    "Breach")</f>
        <v>Breach</v>
      </c>
      <c r="M3727" s="1">
        <v>1.5277777777777779E-3</v>
      </c>
      <c r="N3727">
        <v>3</v>
      </c>
    </row>
    <row r="3728" spans="1:14" x14ac:dyDescent="0.3">
      <c r="A3728" t="s">
        <v>3816</v>
      </c>
      <c r="B3728" t="s">
        <v>16</v>
      </c>
      <c r="C3728" t="s">
        <v>3780</v>
      </c>
      <c r="D3728" s="1">
        <v>0.57599537037037041</v>
      </c>
      <c r="E3728" s="2">
        <f>CallLog[[#This Row],[Date]]+CallLog[[#This Row],[Time]]</f>
        <v>44261.575995370367</v>
      </c>
      <c r="F3728" s="1" t="str">
        <f>TEXT(CallLog[[#This Row],[Date]],"dddd")</f>
        <v>Saturday</v>
      </c>
      <c r="G3728" s="3">
        <f>HOUR(CallLog[[#This Row],[Time]])</f>
        <v>13</v>
      </c>
      <c r="H3728" t="s">
        <v>29</v>
      </c>
      <c r="I3728" t="s">
        <v>14</v>
      </c>
      <c r="J3728" t="s">
        <v>14</v>
      </c>
      <c r="K3728">
        <v>22</v>
      </c>
      <c r="L3728" t="str">
        <f>IF(AND(CallLog[[#This Row],[Answered (Y/N)]]="Y", CallLog[[#This Row],[Speed of answer in seconds]]&lt;=20),
    "Within",
    "Breach")</f>
        <v>Breach</v>
      </c>
      <c r="M3728" s="1">
        <v>3.2986111111111111E-3</v>
      </c>
      <c r="N3728">
        <v>4</v>
      </c>
    </row>
    <row r="3729" spans="1:14" x14ac:dyDescent="0.3">
      <c r="A3729" t="s">
        <v>3817</v>
      </c>
      <c r="B3729" t="s">
        <v>11</v>
      </c>
      <c r="C3729" t="s">
        <v>3780</v>
      </c>
      <c r="D3729" s="1">
        <v>0.57599537037037041</v>
      </c>
      <c r="E3729" s="2">
        <f>CallLog[[#This Row],[Date]]+CallLog[[#This Row],[Time]]</f>
        <v>44261.575995370367</v>
      </c>
      <c r="F3729" s="1" t="str">
        <f>TEXT(CallLog[[#This Row],[Date]],"dddd")</f>
        <v>Saturday</v>
      </c>
      <c r="G3729" s="3">
        <f>HOUR(CallLog[[#This Row],[Time]])</f>
        <v>13</v>
      </c>
      <c r="H3729" t="s">
        <v>29</v>
      </c>
      <c r="I3729" t="s">
        <v>14</v>
      </c>
      <c r="J3729" t="s">
        <v>14</v>
      </c>
      <c r="K3729">
        <v>102</v>
      </c>
      <c r="L3729" t="str">
        <f>IF(AND(CallLog[[#This Row],[Answered (Y/N)]]="Y", CallLog[[#This Row],[Speed of answer in seconds]]&lt;=20),
    "Within",
    "Breach")</f>
        <v>Breach</v>
      </c>
      <c r="M3729" s="1">
        <v>2.4189814814814816E-3</v>
      </c>
      <c r="N3729">
        <v>5</v>
      </c>
    </row>
    <row r="3730" spans="1:14" x14ac:dyDescent="0.3">
      <c r="A3730" t="s">
        <v>3818</v>
      </c>
      <c r="B3730" t="s">
        <v>11</v>
      </c>
      <c r="C3730" t="s">
        <v>3780</v>
      </c>
      <c r="D3730" s="1">
        <v>0.60099537037037032</v>
      </c>
      <c r="E3730" s="2">
        <f>CallLog[[#This Row],[Date]]+CallLog[[#This Row],[Time]]</f>
        <v>44261.600995370369</v>
      </c>
      <c r="F3730" s="1" t="str">
        <f>TEXT(CallLog[[#This Row],[Date]],"dddd")</f>
        <v>Saturday</v>
      </c>
      <c r="G3730" s="3">
        <f>HOUR(CallLog[[#This Row],[Time]])</f>
        <v>14</v>
      </c>
      <c r="H3730" t="s">
        <v>32</v>
      </c>
      <c r="I3730" t="s">
        <v>14</v>
      </c>
      <c r="J3730" t="s">
        <v>14</v>
      </c>
      <c r="K3730">
        <v>14</v>
      </c>
      <c r="L3730" t="str">
        <f>IF(AND(CallLog[[#This Row],[Answered (Y/N)]]="Y", CallLog[[#This Row],[Speed of answer in seconds]]&lt;=20),
    "Within",
    "Breach")</f>
        <v>Within</v>
      </c>
      <c r="M3730" s="1">
        <v>2.3032407407407407E-3</v>
      </c>
      <c r="N3730">
        <v>3</v>
      </c>
    </row>
    <row r="3731" spans="1:14" x14ac:dyDescent="0.3">
      <c r="A3731" t="s">
        <v>3819</v>
      </c>
      <c r="B3731" t="s">
        <v>22</v>
      </c>
      <c r="C3731" t="s">
        <v>3780</v>
      </c>
      <c r="D3731" s="1">
        <v>0.60099537037037032</v>
      </c>
      <c r="E3731" s="2">
        <f>CallLog[[#This Row],[Date]]+CallLog[[#This Row],[Time]]</f>
        <v>44261.600995370369</v>
      </c>
      <c r="F3731" s="1" t="str">
        <f>TEXT(CallLog[[#This Row],[Date]],"dddd")</f>
        <v>Saturday</v>
      </c>
      <c r="G3731" s="3">
        <f>HOUR(CallLog[[#This Row],[Time]])</f>
        <v>14</v>
      </c>
      <c r="H3731" t="s">
        <v>29</v>
      </c>
      <c r="I3731" t="s">
        <v>18</v>
      </c>
      <c r="J3731" t="s">
        <v>18</v>
      </c>
      <c r="L3731" t="str">
        <f>IF(AND(CallLog[[#This Row],[Answered (Y/N)]]="Y", CallLog[[#This Row],[Speed of answer in seconds]]&lt;=20),
    "Within",
    "Breach")</f>
        <v>Breach</v>
      </c>
    </row>
    <row r="3732" spans="1:14" x14ac:dyDescent="0.3">
      <c r="A3732" t="s">
        <v>3820</v>
      </c>
      <c r="B3732" t="s">
        <v>16</v>
      </c>
      <c r="C3732" t="s">
        <v>3780</v>
      </c>
      <c r="D3732" s="1">
        <v>0.60299768518518515</v>
      </c>
      <c r="E3732" s="2">
        <f>CallLog[[#This Row],[Date]]+CallLog[[#This Row],[Time]]</f>
        <v>44261.602997685186</v>
      </c>
      <c r="F3732" s="1" t="str">
        <f>TEXT(CallLog[[#This Row],[Date]],"dddd")</f>
        <v>Saturday</v>
      </c>
      <c r="G3732" s="3">
        <f>HOUR(CallLog[[#This Row],[Time]])</f>
        <v>14</v>
      </c>
      <c r="H3732" t="s">
        <v>32</v>
      </c>
      <c r="I3732" t="s">
        <v>18</v>
      </c>
      <c r="J3732" t="s">
        <v>18</v>
      </c>
      <c r="L3732" t="str">
        <f>IF(AND(CallLog[[#This Row],[Answered (Y/N)]]="Y", CallLog[[#This Row],[Speed of answer in seconds]]&lt;=20),
    "Within",
    "Breach")</f>
        <v>Breach</v>
      </c>
    </row>
    <row r="3733" spans="1:14" x14ac:dyDescent="0.3">
      <c r="A3733" t="s">
        <v>3821</v>
      </c>
      <c r="B3733" t="s">
        <v>31</v>
      </c>
      <c r="C3733" t="s">
        <v>3780</v>
      </c>
      <c r="D3733" s="1">
        <v>0.60299768518518515</v>
      </c>
      <c r="E3733" s="2">
        <f>CallLog[[#This Row],[Date]]+CallLog[[#This Row],[Time]]</f>
        <v>44261.602997685186</v>
      </c>
      <c r="F3733" s="1" t="str">
        <f>TEXT(CallLog[[#This Row],[Date]],"dddd")</f>
        <v>Saturday</v>
      </c>
      <c r="G3733" s="3">
        <f>HOUR(CallLog[[#This Row],[Time]])</f>
        <v>14</v>
      </c>
      <c r="H3733" t="s">
        <v>24</v>
      </c>
      <c r="I3733" t="s">
        <v>14</v>
      </c>
      <c r="J3733" t="s">
        <v>14</v>
      </c>
      <c r="K3733">
        <v>66</v>
      </c>
      <c r="L3733" t="str">
        <f>IF(AND(CallLog[[#This Row],[Answered (Y/N)]]="Y", CallLog[[#This Row],[Speed of answer in seconds]]&lt;=20),
    "Within",
    "Breach")</f>
        <v>Breach</v>
      </c>
      <c r="M3733" s="1">
        <v>2.1990740740740742E-3</v>
      </c>
      <c r="N3733">
        <v>1</v>
      </c>
    </row>
    <row r="3734" spans="1:14" x14ac:dyDescent="0.3">
      <c r="A3734" t="s">
        <v>3822</v>
      </c>
      <c r="B3734" t="s">
        <v>16</v>
      </c>
      <c r="C3734" t="s">
        <v>3780</v>
      </c>
      <c r="D3734" s="1">
        <v>0.67400462962962959</v>
      </c>
      <c r="E3734" s="2">
        <f>CallLog[[#This Row],[Date]]+CallLog[[#This Row],[Time]]</f>
        <v>44261.674004629633</v>
      </c>
      <c r="F3734" s="1" t="str">
        <f>TEXT(CallLog[[#This Row],[Date]],"dddd")</f>
        <v>Saturday</v>
      </c>
      <c r="G3734" s="3">
        <f>HOUR(CallLog[[#This Row],[Time]])</f>
        <v>16</v>
      </c>
      <c r="H3734" t="s">
        <v>13</v>
      </c>
      <c r="I3734" t="s">
        <v>14</v>
      </c>
      <c r="J3734" t="s">
        <v>14</v>
      </c>
      <c r="K3734">
        <v>57</v>
      </c>
      <c r="L3734" t="str">
        <f>IF(AND(CallLog[[#This Row],[Answered (Y/N)]]="Y", CallLog[[#This Row],[Speed of answer in seconds]]&lt;=20),
    "Within",
    "Breach")</f>
        <v>Breach</v>
      </c>
      <c r="M3734" s="1">
        <v>2.3495370370370371E-3</v>
      </c>
      <c r="N3734">
        <v>5</v>
      </c>
    </row>
    <row r="3735" spans="1:14" x14ac:dyDescent="0.3">
      <c r="A3735" t="s">
        <v>3823</v>
      </c>
      <c r="B3735" t="s">
        <v>47</v>
      </c>
      <c r="C3735" t="s">
        <v>3780</v>
      </c>
      <c r="D3735" s="1">
        <v>0.67400462962962959</v>
      </c>
      <c r="E3735" s="2">
        <f>CallLog[[#This Row],[Date]]+CallLog[[#This Row],[Time]]</f>
        <v>44261.674004629633</v>
      </c>
      <c r="F3735" s="1" t="str">
        <f>TEXT(CallLog[[#This Row],[Date]],"dddd")</f>
        <v>Saturday</v>
      </c>
      <c r="G3735" s="3">
        <f>HOUR(CallLog[[#This Row],[Time]])</f>
        <v>16</v>
      </c>
      <c r="H3735" t="s">
        <v>24</v>
      </c>
      <c r="I3735" t="s">
        <v>14</v>
      </c>
      <c r="J3735" t="s">
        <v>14</v>
      </c>
      <c r="K3735">
        <v>40</v>
      </c>
      <c r="L3735" t="str">
        <f>IF(AND(CallLog[[#This Row],[Answered (Y/N)]]="Y", CallLog[[#This Row],[Speed of answer in seconds]]&lt;=20),
    "Within",
    "Breach")</f>
        <v>Breach</v>
      </c>
      <c r="M3735" s="1">
        <v>3.6689814814814814E-3</v>
      </c>
      <c r="N3735">
        <v>4</v>
      </c>
    </row>
    <row r="3736" spans="1:14" x14ac:dyDescent="0.3">
      <c r="A3736" t="s">
        <v>3824</v>
      </c>
      <c r="B3736" t="s">
        <v>31</v>
      </c>
      <c r="C3736" t="s">
        <v>3780</v>
      </c>
      <c r="D3736" s="1">
        <v>0.68599537037037039</v>
      </c>
      <c r="E3736" s="2">
        <f>CallLog[[#This Row],[Date]]+CallLog[[#This Row],[Time]]</f>
        <v>44261.685995370368</v>
      </c>
      <c r="F3736" s="1" t="str">
        <f>TEXT(CallLog[[#This Row],[Date]],"dddd")</f>
        <v>Saturday</v>
      </c>
      <c r="G3736" s="3">
        <f>HOUR(CallLog[[#This Row],[Time]])</f>
        <v>16</v>
      </c>
      <c r="H3736" t="s">
        <v>13</v>
      </c>
      <c r="I3736" t="s">
        <v>14</v>
      </c>
      <c r="J3736" t="s">
        <v>14</v>
      </c>
      <c r="K3736">
        <v>90</v>
      </c>
      <c r="L3736" t="str">
        <f>IF(AND(CallLog[[#This Row],[Answered (Y/N)]]="Y", CallLog[[#This Row],[Speed of answer in seconds]]&lt;=20),
    "Within",
    "Breach")</f>
        <v>Breach</v>
      </c>
      <c r="M3736" s="1">
        <v>1.9444444444444444E-3</v>
      </c>
      <c r="N3736">
        <v>4</v>
      </c>
    </row>
    <row r="3737" spans="1:14" x14ac:dyDescent="0.3">
      <c r="A3737" t="s">
        <v>3825</v>
      </c>
      <c r="B3737" t="s">
        <v>11</v>
      </c>
      <c r="C3737" t="s">
        <v>3780</v>
      </c>
      <c r="D3737" s="1">
        <v>0.68599537037037039</v>
      </c>
      <c r="E3737" s="2">
        <f>CallLog[[#This Row],[Date]]+CallLog[[#This Row],[Time]]</f>
        <v>44261.685995370368</v>
      </c>
      <c r="F3737" s="1" t="str">
        <f>TEXT(CallLog[[#This Row],[Date]],"dddd")</f>
        <v>Saturday</v>
      </c>
      <c r="G3737" s="3">
        <f>HOUR(CallLog[[#This Row],[Time]])</f>
        <v>16</v>
      </c>
      <c r="H3737" t="s">
        <v>17</v>
      </c>
      <c r="I3737" t="s">
        <v>14</v>
      </c>
      <c r="J3737" t="s">
        <v>14</v>
      </c>
      <c r="K3737">
        <v>74</v>
      </c>
      <c r="L3737" t="str">
        <f>IF(AND(CallLog[[#This Row],[Answered (Y/N)]]="Y", CallLog[[#This Row],[Speed of answer in seconds]]&lt;=20),
    "Within",
    "Breach")</f>
        <v>Breach</v>
      </c>
      <c r="M3737" s="1">
        <v>9.7222222222222219E-4</v>
      </c>
      <c r="N3737">
        <v>4</v>
      </c>
    </row>
    <row r="3738" spans="1:14" x14ac:dyDescent="0.3">
      <c r="A3738" t="s">
        <v>3826</v>
      </c>
      <c r="B3738" t="s">
        <v>11</v>
      </c>
      <c r="C3738" t="s">
        <v>3780</v>
      </c>
      <c r="D3738" s="1">
        <v>0.68900462962962961</v>
      </c>
      <c r="E3738" s="2">
        <f>CallLog[[#This Row],[Date]]+CallLog[[#This Row],[Time]]</f>
        <v>44261.689004629632</v>
      </c>
      <c r="F3738" s="1" t="str">
        <f>TEXT(CallLog[[#This Row],[Date]],"dddd")</f>
        <v>Saturday</v>
      </c>
      <c r="G3738" s="3">
        <f>HOUR(CallLog[[#This Row],[Time]])</f>
        <v>16</v>
      </c>
      <c r="H3738" t="s">
        <v>32</v>
      </c>
      <c r="I3738" t="s">
        <v>14</v>
      </c>
      <c r="J3738" t="s">
        <v>14</v>
      </c>
      <c r="K3738">
        <v>65</v>
      </c>
      <c r="L3738" t="str">
        <f>IF(AND(CallLog[[#This Row],[Answered (Y/N)]]="Y", CallLog[[#This Row],[Speed of answer in seconds]]&lt;=20),
    "Within",
    "Breach")</f>
        <v>Breach</v>
      </c>
      <c r="M3738" s="1">
        <v>4.5023148148148149E-3</v>
      </c>
      <c r="N3738">
        <v>3</v>
      </c>
    </row>
    <row r="3739" spans="1:14" x14ac:dyDescent="0.3">
      <c r="A3739" t="s">
        <v>3827</v>
      </c>
      <c r="B3739" t="s">
        <v>31</v>
      </c>
      <c r="C3739" t="s">
        <v>3780</v>
      </c>
      <c r="D3739" s="1">
        <v>0.68900462962962961</v>
      </c>
      <c r="E3739" s="2">
        <f>CallLog[[#This Row],[Date]]+CallLog[[#This Row],[Time]]</f>
        <v>44261.689004629632</v>
      </c>
      <c r="F3739" s="1" t="str">
        <f>TEXT(CallLog[[#This Row],[Date]],"dddd")</f>
        <v>Saturday</v>
      </c>
      <c r="G3739" s="3">
        <f>HOUR(CallLog[[#This Row],[Time]])</f>
        <v>16</v>
      </c>
      <c r="H3739" t="s">
        <v>24</v>
      </c>
      <c r="I3739" t="s">
        <v>14</v>
      </c>
      <c r="J3739" t="s">
        <v>14</v>
      </c>
      <c r="K3739">
        <v>125</v>
      </c>
      <c r="L3739" t="str">
        <f>IF(AND(CallLog[[#This Row],[Answered (Y/N)]]="Y", CallLog[[#This Row],[Speed of answer in seconds]]&lt;=20),
    "Within",
    "Breach")</f>
        <v>Breach</v>
      </c>
      <c r="M3739" s="1">
        <v>4.861111111111111E-4</v>
      </c>
      <c r="N3739">
        <v>5</v>
      </c>
    </row>
    <row r="3740" spans="1:14" x14ac:dyDescent="0.3">
      <c r="A3740" t="s">
        <v>3828</v>
      </c>
      <c r="B3740" t="s">
        <v>11</v>
      </c>
      <c r="C3740" t="s">
        <v>3780</v>
      </c>
      <c r="D3740" s="1">
        <v>0.6909953703703704</v>
      </c>
      <c r="E3740" s="2">
        <f>CallLog[[#This Row],[Date]]+CallLog[[#This Row],[Time]]</f>
        <v>44261.690995370373</v>
      </c>
      <c r="F3740" s="1" t="str">
        <f>TEXT(CallLog[[#This Row],[Date]],"dddd")</f>
        <v>Saturday</v>
      </c>
      <c r="G3740" s="3">
        <f>HOUR(CallLog[[#This Row],[Time]])</f>
        <v>16</v>
      </c>
      <c r="H3740" t="s">
        <v>13</v>
      </c>
      <c r="I3740" t="s">
        <v>18</v>
      </c>
      <c r="J3740" t="s">
        <v>18</v>
      </c>
      <c r="L3740" t="str">
        <f>IF(AND(CallLog[[#This Row],[Answered (Y/N)]]="Y", CallLog[[#This Row],[Speed of answer in seconds]]&lt;=20),
    "Within",
    "Breach")</f>
        <v>Breach</v>
      </c>
    </row>
    <row r="3741" spans="1:14" x14ac:dyDescent="0.3">
      <c r="A3741" t="s">
        <v>3829</v>
      </c>
      <c r="B3741" t="s">
        <v>47</v>
      </c>
      <c r="C3741" t="s">
        <v>3780</v>
      </c>
      <c r="D3741" s="1">
        <v>0.6909953703703704</v>
      </c>
      <c r="E3741" s="2">
        <f>CallLog[[#This Row],[Date]]+CallLog[[#This Row],[Time]]</f>
        <v>44261.690995370373</v>
      </c>
      <c r="F3741" s="1" t="str">
        <f>TEXT(CallLog[[#This Row],[Date]],"dddd")</f>
        <v>Saturday</v>
      </c>
      <c r="G3741" s="3">
        <f>HOUR(CallLog[[#This Row],[Time]])</f>
        <v>16</v>
      </c>
      <c r="H3741" t="s">
        <v>17</v>
      </c>
      <c r="I3741" t="s">
        <v>14</v>
      </c>
      <c r="J3741" t="s">
        <v>18</v>
      </c>
      <c r="K3741">
        <v>71</v>
      </c>
      <c r="L3741" t="str">
        <f>IF(AND(CallLog[[#This Row],[Answered (Y/N)]]="Y", CallLog[[#This Row],[Speed of answer in seconds]]&lt;=20),
    "Within",
    "Breach")</f>
        <v>Breach</v>
      </c>
      <c r="M3741" s="1">
        <v>4.1898148148148146E-3</v>
      </c>
      <c r="N3741">
        <v>5</v>
      </c>
    </row>
    <row r="3742" spans="1:14" x14ac:dyDescent="0.3">
      <c r="A3742" t="s">
        <v>3830</v>
      </c>
      <c r="B3742" t="s">
        <v>20</v>
      </c>
      <c r="C3742" t="s">
        <v>3780</v>
      </c>
      <c r="D3742" s="1">
        <v>0.69499999999999995</v>
      </c>
      <c r="E3742" s="2">
        <f>CallLog[[#This Row],[Date]]+CallLog[[#This Row],[Time]]</f>
        <v>44261.695</v>
      </c>
      <c r="F3742" s="1" t="str">
        <f>TEXT(CallLog[[#This Row],[Date]],"dddd")</f>
        <v>Saturday</v>
      </c>
      <c r="G3742" s="3">
        <f>HOUR(CallLog[[#This Row],[Time]])</f>
        <v>16</v>
      </c>
      <c r="H3742" t="s">
        <v>13</v>
      </c>
      <c r="I3742" t="s">
        <v>14</v>
      </c>
      <c r="J3742" t="s">
        <v>14</v>
      </c>
      <c r="K3742">
        <v>37</v>
      </c>
      <c r="L3742" t="str">
        <f>IF(AND(CallLog[[#This Row],[Answered (Y/N)]]="Y", CallLog[[#This Row],[Speed of answer in seconds]]&lt;=20),
    "Within",
    "Breach")</f>
        <v>Breach</v>
      </c>
      <c r="M3742" s="1">
        <v>1.4004629629629629E-3</v>
      </c>
      <c r="N3742">
        <v>1</v>
      </c>
    </row>
    <row r="3743" spans="1:14" x14ac:dyDescent="0.3">
      <c r="A3743" t="s">
        <v>3831</v>
      </c>
      <c r="B3743" t="s">
        <v>22</v>
      </c>
      <c r="C3743" t="s">
        <v>3780</v>
      </c>
      <c r="D3743" s="1">
        <v>0.69499999999999995</v>
      </c>
      <c r="E3743" s="2">
        <f>CallLog[[#This Row],[Date]]+CallLog[[#This Row],[Time]]</f>
        <v>44261.695</v>
      </c>
      <c r="F3743" s="1" t="str">
        <f>TEXT(CallLog[[#This Row],[Date]],"dddd")</f>
        <v>Saturday</v>
      </c>
      <c r="G3743" s="3">
        <f>HOUR(CallLog[[#This Row],[Time]])</f>
        <v>16</v>
      </c>
      <c r="H3743" t="s">
        <v>17</v>
      </c>
      <c r="I3743" t="s">
        <v>14</v>
      </c>
      <c r="J3743" t="s">
        <v>14</v>
      </c>
      <c r="K3743">
        <v>119</v>
      </c>
      <c r="L3743" t="str">
        <f>IF(AND(CallLog[[#This Row],[Answered (Y/N)]]="Y", CallLog[[#This Row],[Speed of answer in seconds]]&lt;=20),
    "Within",
    "Breach")</f>
        <v>Breach</v>
      </c>
      <c r="M3743" s="1">
        <v>4.386574074074074E-3</v>
      </c>
      <c r="N3743">
        <v>4</v>
      </c>
    </row>
    <row r="3744" spans="1:14" x14ac:dyDescent="0.3">
      <c r="A3744" t="s">
        <v>3832</v>
      </c>
      <c r="B3744" t="s">
        <v>38</v>
      </c>
      <c r="C3744" t="s">
        <v>3780</v>
      </c>
      <c r="D3744" s="1">
        <v>0.70099537037037041</v>
      </c>
      <c r="E3744" s="2">
        <f>CallLog[[#This Row],[Date]]+CallLog[[#This Row],[Time]]</f>
        <v>44261.700995370367</v>
      </c>
      <c r="F3744" s="1" t="str">
        <f>TEXT(CallLog[[#This Row],[Date]],"dddd")</f>
        <v>Saturday</v>
      </c>
      <c r="G3744" s="3">
        <f>HOUR(CallLog[[#This Row],[Time]])</f>
        <v>16</v>
      </c>
      <c r="H3744" t="s">
        <v>29</v>
      </c>
      <c r="I3744" t="s">
        <v>14</v>
      </c>
      <c r="J3744" t="s">
        <v>14</v>
      </c>
      <c r="K3744">
        <v>22</v>
      </c>
      <c r="L3744" t="str">
        <f>IF(AND(CallLog[[#This Row],[Answered (Y/N)]]="Y", CallLog[[#This Row],[Speed of answer in seconds]]&lt;=20),
    "Within",
    "Breach")</f>
        <v>Breach</v>
      </c>
      <c r="M3744" s="1">
        <v>9.6064814814814819E-4</v>
      </c>
      <c r="N3744">
        <v>4</v>
      </c>
    </row>
    <row r="3745" spans="1:14" x14ac:dyDescent="0.3">
      <c r="A3745" t="s">
        <v>3833</v>
      </c>
      <c r="B3745" t="s">
        <v>47</v>
      </c>
      <c r="C3745" t="s">
        <v>3780</v>
      </c>
      <c r="D3745" s="1">
        <v>0.70099537037037041</v>
      </c>
      <c r="E3745" s="2">
        <f>CallLog[[#This Row],[Date]]+CallLog[[#This Row],[Time]]</f>
        <v>44261.700995370367</v>
      </c>
      <c r="F3745" s="1" t="str">
        <f>TEXT(CallLog[[#This Row],[Date]],"dddd")</f>
        <v>Saturday</v>
      </c>
      <c r="G3745" s="3">
        <f>HOUR(CallLog[[#This Row],[Time]])</f>
        <v>16</v>
      </c>
      <c r="H3745" t="s">
        <v>17</v>
      </c>
      <c r="I3745" t="s">
        <v>14</v>
      </c>
      <c r="J3745" t="s">
        <v>14</v>
      </c>
      <c r="K3745">
        <v>76</v>
      </c>
      <c r="L3745" t="str">
        <f>IF(AND(CallLog[[#This Row],[Answered (Y/N)]]="Y", CallLog[[#This Row],[Speed of answer in seconds]]&lt;=20),
    "Within",
    "Breach")</f>
        <v>Breach</v>
      </c>
      <c r="M3745" s="1">
        <v>8.3333333333333339E-4</v>
      </c>
      <c r="N3745">
        <v>5</v>
      </c>
    </row>
    <row r="3746" spans="1:14" x14ac:dyDescent="0.3">
      <c r="A3746" t="s">
        <v>3834</v>
      </c>
      <c r="B3746" t="s">
        <v>22</v>
      </c>
      <c r="C3746" t="s">
        <v>3780</v>
      </c>
      <c r="D3746" s="1">
        <v>0.71900462962962963</v>
      </c>
      <c r="E3746" s="2">
        <f>CallLog[[#This Row],[Date]]+CallLog[[#This Row],[Time]]</f>
        <v>44261.719004629631</v>
      </c>
      <c r="F3746" s="1" t="str">
        <f>TEXT(CallLog[[#This Row],[Date]],"dddd")</f>
        <v>Saturday</v>
      </c>
      <c r="G3746" s="3">
        <f>HOUR(CallLog[[#This Row],[Time]])</f>
        <v>17</v>
      </c>
      <c r="H3746" t="s">
        <v>29</v>
      </c>
      <c r="I3746" t="s">
        <v>18</v>
      </c>
      <c r="J3746" t="s">
        <v>18</v>
      </c>
      <c r="L3746" t="str">
        <f>IF(AND(CallLog[[#This Row],[Answered (Y/N)]]="Y", CallLog[[#This Row],[Speed of answer in seconds]]&lt;=20),
    "Within",
    "Breach")</f>
        <v>Breach</v>
      </c>
    </row>
    <row r="3747" spans="1:14" x14ac:dyDescent="0.3">
      <c r="A3747" t="s">
        <v>3835</v>
      </c>
      <c r="B3747" t="s">
        <v>38</v>
      </c>
      <c r="C3747" t="s">
        <v>3780</v>
      </c>
      <c r="D3747" s="1">
        <v>0.71900462962962963</v>
      </c>
      <c r="E3747" s="2">
        <f>CallLog[[#This Row],[Date]]+CallLog[[#This Row],[Time]]</f>
        <v>44261.719004629631</v>
      </c>
      <c r="F3747" s="1" t="str">
        <f>TEXT(CallLog[[#This Row],[Date]],"dddd")</f>
        <v>Saturday</v>
      </c>
      <c r="G3747" s="3">
        <f>HOUR(CallLog[[#This Row],[Time]])</f>
        <v>17</v>
      </c>
      <c r="H3747" t="s">
        <v>32</v>
      </c>
      <c r="I3747" t="s">
        <v>14</v>
      </c>
      <c r="J3747" t="s">
        <v>18</v>
      </c>
      <c r="K3747">
        <v>125</v>
      </c>
      <c r="L3747" t="str">
        <f>IF(AND(CallLog[[#This Row],[Answered (Y/N)]]="Y", CallLog[[#This Row],[Speed of answer in seconds]]&lt;=20),
    "Within",
    "Breach")</f>
        <v>Breach</v>
      </c>
      <c r="M3747" s="1">
        <v>3.425925925925926E-3</v>
      </c>
      <c r="N3747">
        <v>5</v>
      </c>
    </row>
    <row r="3748" spans="1:14" x14ac:dyDescent="0.3">
      <c r="A3748" t="s">
        <v>3836</v>
      </c>
      <c r="B3748" t="s">
        <v>11</v>
      </c>
      <c r="C3748" t="s">
        <v>3780</v>
      </c>
      <c r="D3748" s="1">
        <v>0.72099537037037043</v>
      </c>
      <c r="E3748" s="2">
        <f>CallLog[[#This Row],[Date]]+CallLog[[#This Row],[Time]]</f>
        <v>44261.720995370371</v>
      </c>
      <c r="F3748" s="1" t="str">
        <f>TEXT(CallLog[[#This Row],[Date]],"dddd")</f>
        <v>Saturday</v>
      </c>
      <c r="G3748" s="3">
        <f>HOUR(CallLog[[#This Row],[Time]])</f>
        <v>17</v>
      </c>
      <c r="H3748" t="s">
        <v>24</v>
      </c>
      <c r="I3748" t="s">
        <v>14</v>
      </c>
      <c r="J3748" t="s">
        <v>18</v>
      </c>
      <c r="K3748">
        <v>34</v>
      </c>
      <c r="L3748" t="str">
        <f>IF(AND(CallLog[[#This Row],[Answered (Y/N)]]="Y", CallLog[[#This Row],[Speed of answer in seconds]]&lt;=20),
    "Within",
    "Breach")</f>
        <v>Breach</v>
      </c>
      <c r="M3748" s="1">
        <v>2.6967592592592594E-3</v>
      </c>
      <c r="N3748">
        <v>1</v>
      </c>
    </row>
    <row r="3749" spans="1:14" x14ac:dyDescent="0.3">
      <c r="A3749" t="s">
        <v>3837</v>
      </c>
      <c r="B3749" t="s">
        <v>11</v>
      </c>
      <c r="C3749" t="s">
        <v>3780</v>
      </c>
      <c r="D3749" s="1">
        <v>0.72099537037037043</v>
      </c>
      <c r="E3749" s="2">
        <f>CallLog[[#This Row],[Date]]+CallLog[[#This Row],[Time]]</f>
        <v>44261.720995370371</v>
      </c>
      <c r="F3749" s="1" t="str">
        <f>TEXT(CallLog[[#This Row],[Date]],"dddd")</f>
        <v>Saturday</v>
      </c>
      <c r="G3749" s="3">
        <f>HOUR(CallLog[[#This Row],[Time]])</f>
        <v>17</v>
      </c>
      <c r="H3749" t="s">
        <v>29</v>
      </c>
      <c r="I3749" t="s">
        <v>14</v>
      </c>
      <c r="J3749" t="s">
        <v>14</v>
      </c>
      <c r="K3749">
        <v>121</v>
      </c>
      <c r="L3749" t="str">
        <f>IF(AND(CallLog[[#This Row],[Answered (Y/N)]]="Y", CallLog[[#This Row],[Speed of answer in seconds]]&lt;=20),
    "Within",
    "Breach")</f>
        <v>Breach</v>
      </c>
      <c r="M3749" s="1">
        <v>4.4907407407407405E-3</v>
      </c>
      <c r="N3749">
        <v>3</v>
      </c>
    </row>
    <row r="3750" spans="1:14" x14ac:dyDescent="0.3">
      <c r="A3750" t="s">
        <v>3838</v>
      </c>
      <c r="B3750" t="s">
        <v>11</v>
      </c>
      <c r="C3750" t="s">
        <v>3780</v>
      </c>
      <c r="D3750" s="1">
        <v>0.72400462962962964</v>
      </c>
      <c r="E3750" s="2">
        <f>CallLog[[#This Row],[Date]]+CallLog[[#This Row],[Time]]</f>
        <v>44261.724004629628</v>
      </c>
      <c r="F3750" s="1" t="str">
        <f>TEXT(CallLog[[#This Row],[Date]],"dddd")</f>
        <v>Saturday</v>
      </c>
      <c r="G3750" s="3">
        <f>HOUR(CallLog[[#This Row],[Time]])</f>
        <v>17</v>
      </c>
      <c r="H3750" t="s">
        <v>17</v>
      </c>
      <c r="I3750" t="s">
        <v>18</v>
      </c>
      <c r="J3750" t="s">
        <v>18</v>
      </c>
      <c r="L3750" t="str">
        <f>IF(AND(CallLog[[#This Row],[Answered (Y/N)]]="Y", CallLog[[#This Row],[Speed of answer in seconds]]&lt;=20),
    "Within",
    "Breach")</f>
        <v>Breach</v>
      </c>
    </row>
    <row r="3751" spans="1:14" x14ac:dyDescent="0.3">
      <c r="A3751" t="s">
        <v>3839</v>
      </c>
      <c r="B3751" t="s">
        <v>22</v>
      </c>
      <c r="C3751" t="s">
        <v>3780</v>
      </c>
      <c r="D3751" s="1">
        <v>0.72400462962962964</v>
      </c>
      <c r="E3751" s="2">
        <f>CallLog[[#This Row],[Date]]+CallLog[[#This Row],[Time]]</f>
        <v>44261.724004629628</v>
      </c>
      <c r="F3751" s="1" t="str">
        <f>TEXT(CallLog[[#This Row],[Date]],"dddd")</f>
        <v>Saturday</v>
      </c>
      <c r="G3751" s="3">
        <f>HOUR(CallLog[[#This Row],[Time]])</f>
        <v>17</v>
      </c>
      <c r="H3751" t="s">
        <v>24</v>
      </c>
      <c r="I3751" t="s">
        <v>18</v>
      </c>
      <c r="J3751" t="s">
        <v>18</v>
      </c>
      <c r="L3751" t="str">
        <f>IF(AND(CallLog[[#This Row],[Answered (Y/N)]]="Y", CallLog[[#This Row],[Speed of answer in seconds]]&lt;=20),
    "Within",
    "Breach")</f>
        <v>Breach</v>
      </c>
    </row>
    <row r="3752" spans="1:14" x14ac:dyDescent="0.3">
      <c r="A3752" t="s">
        <v>3840</v>
      </c>
      <c r="B3752" t="s">
        <v>38</v>
      </c>
      <c r="C3752" t="s">
        <v>3780</v>
      </c>
      <c r="D3752" s="1">
        <v>0.72400462962962964</v>
      </c>
      <c r="E3752" s="2">
        <f>CallLog[[#This Row],[Date]]+CallLog[[#This Row],[Time]]</f>
        <v>44261.724004629628</v>
      </c>
      <c r="F3752" s="1" t="str">
        <f>TEXT(CallLog[[#This Row],[Date]],"dddd")</f>
        <v>Saturday</v>
      </c>
      <c r="G3752" s="3">
        <f>HOUR(CallLog[[#This Row],[Time]])</f>
        <v>17</v>
      </c>
      <c r="H3752" t="s">
        <v>32</v>
      </c>
      <c r="I3752" t="s">
        <v>14</v>
      </c>
      <c r="J3752" t="s">
        <v>14</v>
      </c>
      <c r="K3752">
        <v>17</v>
      </c>
      <c r="L3752" t="str">
        <f>IF(AND(CallLog[[#This Row],[Answered (Y/N)]]="Y", CallLog[[#This Row],[Speed of answer in seconds]]&lt;=20),
    "Within",
    "Breach")</f>
        <v>Within</v>
      </c>
      <c r="M3752" s="1">
        <v>1.4120370370370369E-3</v>
      </c>
      <c r="N3752">
        <v>1</v>
      </c>
    </row>
    <row r="3753" spans="1:14" x14ac:dyDescent="0.3">
      <c r="A3753" t="s">
        <v>3841</v>
      </c>
      <c r="B3753" t="s">
        <v>47</v>
      </c>
      <c r="C3753" t="s">
        <v>3780</v>
      </c>
      <c r="D3753" s="1">
        <v>0.72400462962962964</v>
      </c>
      <c r="E3753" s="2">
        <f>CallLog[[#This Row],[Date]]+CallLog[[#This Row],[Time]]</f>
        <v>44261.724004629628</v>
      </c>
      <c r="F3753" s="1" t="str">
        <f>TEXT(CallLog[[#This Row],[Date]],"dddd")</f>
        <v>Saturday</v>
      </c>
      <c r="G3753" s="3">
        <f>HOUR(CallLog[[#This Row],[Time]])</f>
        <v>17</v>
      </c>
      <c r="H3753" t="s">
        <v>13</v>
      </c>
      <c r="I3753" t="s">
        <v>14</v>
      </c>
      <c r="J3753" t="s">
        <v>14</v>
      </c>
      <c r="K3753">
        <v>65</v>
      </c>
      <c r="L3753" t="str">
        <f>IF(AND(CallLog[[#This Row],[Answered (Y/N)]]="Y", CallLog[[#This Row],[Speed of answer in seconds]]&lt;=20),
    "Within",
    "Breach")</f>
        <v>Breach</v>
      </c>
      <c r="M3753" s="1">
        <v>3.7384259259259259E-3</v>
      </c>
      <c r="N3753">
        <v>1</v>
      </c>
    </row>
    <row r="3754" spans="1:14" x14ac:dyDescent="0.3">
      <c r="A3754" t="s">
        <v>3842</v>
      </c>
      <c r="B3754" t="s">
        <v>20</v>
      </c>
      <c r="C3754" t="s">
        <v>3843</v>
      </c>
      <c r="D3754" s="1">
        <v>0.41599537037037038</v>
      </c>
      <c r="E3754" s="2">
        <f>CallLog[[#This Row],[Date]]+CallLog[[#This Row],[Time]]</f>
        <v>44262.415995370371</v>
      </c>
      <c r="F3754" s="1" t="str">
        <f>TEXT(CallLog[[#This Row],[Date]],"dddd")</f>
        <v>Sunday</v>
      </c>
      <c r="G3754" s="3">
        <f>HOUR(CallLog[[#This Row],[Time]])</f>
        <v>9</v>
      </c>
      <c r="H3754" t="s">
        <v>17</v>
      </c>
      <c r="I3754" t="s">
        <v>14</v>
      </c>
      <c r="J3754" t="s">
        <v>14</v>
      </c>
      <c r="K3754">
        <v>65</v>
      </c>
      <c r="L3754" t="str">
        <f>IF(AND(CallLog[[#This Row],[Answered (Y/N)]]="Y", CallLog[[#This Row],[Speed of answer in seconds]]&lt;=20),
    "Within",
    "Breach")</f>
        <v>Breach</v>
      </c>
      <c r="M3754" s="1">
        <v>3.0902777777777777E-3</v>
      </c>
      <c r="N3754">
        <v>5</v>
      </c>
    </row>
    <row r="3755" spans="1:14" x14ac:dyDescent="0.3">
      <c r="A3755" t="s">
        <v>3844</v>
      </c>
      <c r="B3755" t="s">
        <v>31</v>
      </c>
      <c r="C3755" t="s">
        <v>3843</v>
      </c>
      <c r="D3755" s="1">
        <v>0.41599537037037038</v>
      </c>
      <c r="E3755" s="2">
        <f>CallLog[[#This Row],[Date]]+CallLog[[#This Row],[Time]]</f>
        <v>44262.415995370371</v>
      </c>
      <c r="F3755" s="1" t="str">
        <f>TEXT(CallLog[[#This Row],[Date]],"dddd")</f>
        <v>Sunday</v>
      </c>
      <c r="G3755" s="3">
        <f>HOUR(CallLog[[#This Row],[Time]])</f>
        <v>9</v>
      </c>
      <c r="H3755" t="s">
        <v>24</v>
      </c>
      <c r="I3755" t="s">
        <v>18</v>
      </c>
      <c r="J3755" t="s">
        <v>18</v>
      </c>
      <c r="L3755" t="str">
        <f>IF(AND(CallLog[[#This Row],[Answered (Y/N)]]="Y", CallLog[[#This Row],[Speed of answer in seconds]]&lt;=20),
    "Within",
    "Breach")</f>
        <v>Breach</v>
      </c>
    </row>
    <row r="3756" spans="1:14" x14ac:dyDescent="0.3">
      <c r="A3756" t="s">
        <v>3845</v>
      </c>
      <c r="B3756" t="s">
        <v>38</v>
      </c>
      <c r="C3756" t="s">
        <v>3843</v>
      </c>
      <c r="D3756" s="1">
        <v>0.41799768518518521</v>
      </c>
      <c r="E3756" s="2">
        <f>CallLog[[#This Row],[Date]]+CallLog[[#This Row],[Time]]</f>
        <v>44262.417997685188</v>
      </c>
      <c r="F3756" s="1" t="str">
        <f>TEXT(CallLog[[#This Row],[Date]],"dddd")</f>
        <v>Sunday</v>
      </c>
      <c r="G3756" s="3">
        <f>HOUR(CallLog[[#This Row],[Time]])</f>
        <v>10</v>
      </c>
      <c r="H3756" t="s">
        <v>24</v>
      </c>
      <c r="I3756" t="s">
        <v>14</v>
      </c>
      <c r="J3756" t="s">
        <v>14</v>
      </c>
      <c r="K3756">
        <v>96</v>
      </c>
      <c r="L3756" t="str">
        <f>IF(AND(CallLog[[#This Row],[Answered (Y/N)]]="Y", CallLog[[#This Row],[Speed of answer in seconds]]&lt;=20),
    "Within",
    "Breach")</f>
        <v>Breach</v>
      </c>
      <c r="M3756" s="1">
        <v>4.6990740740740743E-3</v>
      </c>
      <c r="N3756">
        <v>1</v>
      </c>
    </row>
    <row r="3757" spans="1:14" x14ac:dyDescent="0.3">
      <c r="A3757" t="s">
        <v>3846</v>
      </c>
      <c r="B3757" t="s">
        <v>11</v>
      </c>
      <c r="C3757" t="s">
        <v>3843</v>
      </c>
      <c r="D3757" s="1">
        <v>0.41799768518518521</v>
      </c>
      <c r="E3757" s="2">
        <f>CallLog[[#This Row],[Date]]+CallLog[[#This Row],[Time]]</f>
        <v>44262.417997685188</v>
      </c>
      <c r="F3757" s="1" t="str">
        <f>TEXT(CallLog[[#This Row],[Date]],"dddd")</f>
        <v>Sunday</v>
      </c>
      <c r="G3757" s="3">
        <f>HOUR(CallLog[[#This Row],[Time]])</f>
        <v>10</v>
      </c>
      <c r="H3757" t="s">
        <v>13</v>
      </c>
      <c r="I3757" t="s">
        <v>14</v>
      </c>
      <c r="J3757" t="s">
        <v>14</v>
      </c>
      <c r="K3757">
        <v>23</v>
      </c>
      <c r="L3757" t="str">
        <f>IF(AND(CallLog[[#This Row],[Answered (Y/N)]]="Y", CallLog[[#This Row],[Speed of answer in seconds]]&lt;=20),
    "Within",
    "Breach")</f>
        <v>Breach</v>
      </c>
      <c r="M3757" s="1">
        <v>4.7916666666666663E-3</v>
      </c>
      <c r="N3757">
        <v>4</v>
      </c>
    </row>
    <row r="3758" spans="1:14" x14ac:dyDescent="0.3">
      <c r="A3758" t="s">
        <v>3847</v>
      </c>
      <c r="B3758" t="s">
        <v>38</v>
      </c>
      <c r="C3758" t="s">
        <v>3843</v>
      </c>
      <c r="D3758" s="1">
        <v>0.45700231481481479</v>
      </c>
      <c r="E3758" s="2">
        <f>CallLog[[#This Row],[Date]]+CallLog[[#This Row],[Time]]</f>
        <v>44262.457002314812</v>
      </c>
      <c r="F3758" s="1" t="str">
        <f>TEXT(CallLog[[#This Row],[Date]],"dddd")</f>
        <v>Sunday</v>
      </c>
      <c r="G3758" s="3">
        <f>HOUR(CallLog[[#This Row],[Time]])</f>
        <v>10</v>
      </c>
      <c r="H3758" t="s">
        <v>17</v>
      </c>
      <c r="I3758" t="s">
        <v>18</v>
      </c>
      <c r="J3758" t="s">
        <v>18</v>
      </c>
      <c r="L3758" t="str">
        <f>IF(AND(CallLog[[#This Row],[Answered (Y/N)]]="Y", CallLog[[#This Row],[Speed of answer in seconds]]&lt;=20),
    "Within",
    "Breach")</f>
        <v>Breach</v>
      </c>
    </row>
    <row r="3759" spans="1:14" x14ac:dyDescent="0.3">
      <c r="A3759" t="s">
        <v>3848</v>
      </c>
      <c r="B3759" t="s">
        <v>34</v>
      </c>
      <c r="C3759" t="s">
        <v>3843</v>
      </c>
      <c r="D3759" s="1">
        <v>0.45700231481481479</v>
      </c>
      <c r="E3759" s="2">
        <f>CallLog[[#This Row],[Date]]+CallLog[[#This Row],[Time]]</f>
        <v>44262.457002314812</v>
      </c>
      <c r="F3759" s="1" t="str">
        <f>TEXT(CallLog[[#This Row],[Date]],"dddd")</f>
        <v>Sunday</v>
      </c>
      <c r="G3759" s="3">
        <f>HOUR(CallLog[[#This Row],[Time]])</f>
        <v>10</v>
      </c>
      <c r="H3759" t="s">
        <v>29</v>
      </c>
      <c r="I3759" t="s">
        <v>18</v>
      </c>
      <c r="J3759" t="s">
        <v>18</v>
      </c>
      <c r="L3759" t="str">
        <f>IF(AND(CallLog[[#This Row],[Answered (Y/N)]]="Y", CallLog[[#This Row],[Speed of answer in seconds]]&lt;=20),
    "Within",
    "Breach")</f>
        <v>Breach</v>
      </c>
    </row>
    <row r="3760" spans="1:14" x14ac:dyDescent="0.3">
      <c r="A3760" t="s">
        <v>3849</v>
      </c>
      <c r="B3760" t="s">
        <v>31</v>
      </c>
      <c r="C3760" t="s">
        <v>3843</v>
      </c>
      <c r="D3760" s="1">
        <v>0.50099537037037034</v>
      </c>
      <c r="E3760" s="2">
        <f>CallLog[[#This Row],[Date]]+CallLog[[#This Row],[Time]]</f>
        <v>44262.50099537037</v>
      </c>
      <c r="F3760" s="1" t="str">
        <f>TEXT(CallLog[[#This Row],[Date]],"dddd")</f>
        <v>Sunday</v>
      </c>
      <c r="G3760" s="3">
        <f>HOUR(CallLog[[#This Row],[Time]])</f>
        <v>12</v>
      </c>
      <c r="H3760" t="s">
        <v>24</v>
      </c>
      <c r="I3760" t="s">
        <v>14</v>
      </c>
      <c r="J3760" t="s">
        <v>14</v>
      </c>
      <c r="K3760">
        <v>105</v>
      </c>
      <c r="L3760" t="str">
        <f>IF(AND(CallLog[[#This Row],[Answered (Y/N)]]="Y", CallLog[[#This Row],[Speed of answer in seconds]]&lt;=20),
    "Within",
    "Breach")</f>
        <v>Breach</v>
      </c>
      <c r="M3760" s="1">
        <v>1.3888888888888889E-3</v>
      </c>
      <c r="N3760">
        <v>4</v>
      </c>
    </row>
    <row r="3761" spans="1:14" x14ac:dyDescent="0.3">
      <c r="A3761" t="s">
        <v>3850</v>
      </c>
      <c r="B3761" t="s">
        <v>47</v>
      </c>
      <c r="C3761" t="s">
        <v>3843</v>
      </c>
      <c r="D3761" s="1">
        <v>0.50099537037037034</v>
      </c>
      <c r="E3761" s="2">
        <f>CallLog[[#This Row],[Date]]+CallLog[[#This Row],[Time]]</f>
        <v>44262.50099537037</v>
      </c>
      <c r="F3761" s="1" t="str">
        <f>TEXT(CallLog[[#This Row],[Date]],"dddd")</f>
        <v>Sunday</v>
      </c>
      <c r="G3761" s="3">
        <f>HOUR(CallLog[[#This Row],[Time]])</f>
        <v>12</v>
      </c>
      <c r="H3761" t="s">
        <v>29</v>
      </c>
      <c r="I3761" t="s">
        <v>18</v>
      </c>
      <c r="J3761" t="s">
        <v>18</v>
      </c>
      <c r="L3761" t="str">
        <f>IF(AND(CallLog[[#This Row],[Answered (Y/N)]]="Y", CallLog[[#This Row],[Speed of answer in seconds]]&lt;=20),
    "Within",
    "Breach")</f>
        <v>Breach</v>
      </c>
    </row>
    <row r="3762" spans="1:14" x14ac:dyDescent="0.3">
      <c r="A3762" t="s">
        <v>3851</v>
      </c>
      <c r="B3762" t="s">
        <v>31</v>
      </c>
      <c r="C3762" t="s">
        <v>3843</v>
      </c>
      <c r="D3762" s="1">
        <v>0.505</v>
      </c>
      <c r="E3762" s="2">
        <f>CallLog[[#This Row],[Date]]+CallLog[[#This Row],[Time]]</f>
        <v>44262.504999999997</v>
      </c>
      <c r="F3762" s="1" t="str">
        <f>TEXT(CallLog[[#This Row],[Date]],"dddd")</f>
        <v>Sunday</v>
      </c>
      <c r="G3762" s="3">
        <f>HOUR(CallLog[[#This Row],[Time]])</f>
        <v>12</v>
      </c>
      <c r="H3762" t="s">
        <v>32</v>
      </c>
      <c r="I3762" t="s">
        <v>14</v>
      </c>
      <c r="J3762" t="s">
        <v>14</v>
      </c>
      <c r="K3762">
        <v>42</v>
      </c>
      <c r="L3762" t="str">
        <f>IF(AND(CallLog[[#This Row],[Answered (Y/N)]]="Y", CallLog[[#This Row],[Speed of answer in seconds]]&lt;=20),
    "Within",
    "Breach")</f>
        <v>Breach</v>
      </c>
      <c r="M3762" s="1">
        <v>1.3425925925925925E-3</v>
      </c>
      <c r="N3762">
        <v>5</v>
      </c>
    </row>
    <row r="3763" spans="1:14" x14ac:dyDescent="0.3">
      <c r="A3763" t="s">
        <v>3852</v>
      </c>
      <c r="B3763" t="s">
        <v>31</v>
      </c>
      <c r="C3763" t="s">
        <v>3843</v>
      </c>
      <c r="D3763" s="1">
        <v>0.505</v>
      </c>
      <c r="E3763" s="2">
        <f>CallLog[[#This Row],[Date]]+CallLog[[#This Row],[Time]]</f>
        <v>44262.504999999997</v>
      </c>
      <c r="F3763" s="1" t="str">
        <f>TEXT(CallLog[[#This Row],[Date]],"dddd")</f>
        <v>Sunday</v>
      </c>
      <c r="G3763" s="3">
        <f>HOUR(CallLog[[#This Row],[Time]])</f>
        <v>12</v>
      </c>
      <c r="H3763" t="s">
        <v>29</v>
      </c>
      <c r="I3763" t="s">
        <v>14</v>
      </c>
      <c r="J3763" t="s">
        <v>14</v>
      </c>
      <c r="K3763">
        <v>79</v>
      </c>
      <c r="L3763" t="str">
        <f>IF(AND(CallLog[[#This Row],[Answered (Y/N)]]="Y", CallLog[[#This Row],[Speed of answer in seconds]]&lt;=20),
    "Within",
    "Breach")</f>
        <v>Breach</v>
      </c>
      <c r="M3763" s="1">
        <v>1.4699074074074074E-3</v>
      </c>
      <c r="N3763">
        <v>4</v>
      </c>
    </row>
    <row r="3764" spans="1:14" x14ac:dyDescent="0.3">
      <c r="A3764" t="s">
        <v>3853</v>
      </c>
      <c r="B3764" t="s">
        <v>11</v>
      </c>
      <c r="C3764" t="s">
        <v>3843</v>
      </c>
      <c r="D3764" s="1">
        <v>0.51500000000000001</v>
      </c>
      <c r="E3764" s="2">
        <f>CallLog[[#This Row],[Date]]+CallLog[[#This Row],[Time]]</f>
        <v>44262.514999999999</v>
      </c>
      <c r="F3764" s="1" t="str">
        <f>TEXT(CallLog[[#This Row],[Date]],"dddd")</f>
        <v>Sunday</v>
      </c>
      <c r="G3764" s="3">
        <f>HOUR(CallLog[[#This Row],[Time]])</f>
        <v>12</v>
      </c>
      <c r="H3764" t="s">
        <v>13</v>
      </c>
      <c r="I3764" t="s">
        <v>18</v>
      </c>
      <c r="J3764" t="s">
        <v>18</v>
      </c>
      <c r="L3764" t="str">
        <f>IF(AND(CallLog[[#This Row],[Answered (Y/N)]]="Y", CallLog[[#This Row],[Speed of answer in seconds]]&lt;=20),
    "Within",
    "Breach")</f>
        <v>Breach</v>
      </c>
    </row>
    <row r="3765" spans="1:14" x14ac:dyDescent="0.3">
      <c r="A3765" t="s">
        <v>3854</v>
      </c>
      <c r="B3765" t="s">
        <v>38</v>
      </c>
      <c r="C3765" t="s">
        <v>3843</v>
      </c>
      <c r="D3765" s="1">
        <v>0.51500000000000001</v>
      </c>
      <c r="E3765" s="2">
        <f>CallLog[[#This Row],[Date]]+CallLog[[#This Row],[Time]]</f>
        <v>44262.514999999999</v>
      </c>
      <c r="F3765" s="1" t="str">
        <f>TEXT(CallLog[[#This Row],[Date]],"dddd")</f>
        <v>Sunday</v>
      </c>
      <c r="G3765" s="3">
        <f>HOUR(CallLog[[#This Row],[Time]])</f>
        <v>12</v>
      </c>
      <c r="H3765" t="s">
        <v>24</v>
      </c>
      <c r="I3765" t="s">
        <v>14</v>
      </c>
      <c r="J3765" t="s">
        <v>14</v>
      </c>
      <c r="K3765">
        <v>35</v>
      </c>
      <c r="L3765" t="str">
        <f>IF(AND(CallLog[[#This Row],[Answered (Y/N)]]="Y", CallLog[[#This Row],[Speed of answer in seconds]]&lt;=20),
    "Within",
    "Breach")</f>
        <v>Breach</v>
      </c>
      <c r="M3765" s="1">
        <v>7.1759259259259259E-4</v>
      </c>
      <c r="N3765">
        <v>5</v>
      </c>
    </row>
    <row r="3766" spans="1:14" x14ac:dyDescent="0.3">
      <c r="A3766" t="s">
        <v>3855</v>
      </c>
      <c r="B3766" t="s">
        <v>38</v>
      </c>
      <c r="C3766" t="s">
        <v>3843</v>
      </c>
      <c r="D3766" s="1">
        <v>0.52299768518518519</v>
      </c>
      <c r="E3766" s="2">
        <f>CallLog[[#This Row],[Date]]+CallLog[[#This Row],[Time]]</f>
        <v>44262.522997685184</v>
      </c>
      <c r="F3766" s="1" t="str">
        <f>TEXT(CallLog[[#This Row],[Date]],"dddd")</f>
        <v>Sunday</v>
      </c>
      <c r="G3766" s="3">
        <f>HOUR(CallLog[[#This Row],[Time]])</f>
        <v>12</v>
      </c>
      <c r="H3766" t="s">
        <v>24</v>
      </c>
      <c r="I3766" t="s">
        <v>14</v>
      </c>
      <c r="J3766" t="s">
        <v>14</v>
      </c>
      <c r="K3766">
        <v>70</v>
      </c>
      <c r="L3766" t="str">
        <f>IF(AND(CallLog[[#This Row],[Answered (Y/N)]]="Y", CallLog[[#This Row],[Speed of answer in seconds]]&lt;=20),
    "Within",
    "Breach")</f>
        <v>Breach</v>
      </c>
      <c r="M3766" s="1">
        <v>4.6759259259259263E-3</v>
      </c>
      <c r="N3766">
        <v>4</v>
      </c>
    </row>
    <row r="3767" spans="1:14" x14ac:dyDescent="0.3">
      <c r="A3767" t="s">
        <v>3856</v>
      </c>
      <c r="B3767" t="s">
        <v>16</v>
      </c>
      <c r="C3767" t="s">
        <v>3843</v>
      </c>
      <c r="D3767" s="1">
        <v>0.52299768518518519</v>
      </c>
      <c r="E3767" s="2">
        <f>CallLog[[#This Row],[Date]]+CallLog[[#This Row],[Time]]</f>
        <v>44262.522997685184</v>
      </c>
      <c r="F3767" s="1" t="str">
        <f>TEXT(CallLog[[#This Row],[Date]],"dddd")</f>
        <v>Sunday</v>
      </c>
      <c r="G3767" s="3">
        <f>HOUR(CallLog[[#This Row],[Time]])</f>
        <v>12</v>
      </c>
      <c r="H3767" t="s">
        <v>29</v>
      </c>
      <c r="I3767" t="s">
        <v>14</v>
      </c>
      <c r="J3767" t="s">
        <v>14</v>
      </c>
      <c r="K3767">
        <v>104</v>
      </c>
      <c r="L3767" t="str">
        <f>IF(AND(CallLog[[#This Row],[Answered (Y/N)]]="Y", CallLog[[#This Row],[Speed of answer in seconds]]&lt;=20),
    "Within",
    "Breach")</f>
        <v>Breach</v>
      </c>
      <c r="M3767" s="1">
        <v>4.4907407407407405E-3</v>
      </c>
      <c r="N3767">
        <v>4</v>
      </c>
    </row>
    <row r="3768" spans="1:14" x14ac:dyDescent="0.3">
      <c r="A3768" t="s">
        <v>3857</v>
      </c>
      <c r="B3768" t="s">
        <v>22</v>
      </c>
      <c r="C3768" t="s">
        <v>3843</v>
      </c>
      <c r="D3768" s="1">
        <v>0.54599537037037038</v>
      </c>
      <c r="E3768" s="2">
        <f>CallLog[[#This Row],[Date]]+CallLog[[#This Row],[Time]]</f>
        <v>44262.545995370368</v>
      </c>
      <c r="F3768" s="1" t="str">
        <f>TEXT(CallLog[[#This Row],[Date]],"dddd")</f>
        <v>Sunday</v>
      </c>
      <c r="G3768" s="3">
        <f>HOUR(CallLog[[#This Row],[Time]])</f>
        <v>13</v>
      </c>
      <c r="H3768" t="s">
        <v>29</v>
      </c>
      <c r="I3768" t="s">
        <v>14</v>
      </c>
      <c r="J3768" t="s">
        <v>14</v>
      </c>
      <c r="K3768">
        <v>103</v>
      </c>
      <c r="L3768" t="str">
        <f>IF(AND(CallLog[[#This Row],[Answered (Y/N)]]="Y", CallLog[[#This Row],[Speed of answer in seconds]]&lt;=20),
    "Within",
    "Breach")</f>
        <v>Breach</v>
      </c>
      <c r="M3768" s="1">
        <v>1.5162037037037036E-3</v>
      </c>
      <c r="N3768">
        <v>3</v>
      </c>
    </row>
    <row r="3769" spans="1:14" x14ac:dyDescent="0.3">
      <c r="A3769" t="s">
        <v>3858</v>
      </c>
      <c r="B3769" t="s">
        <v>22</v>
      </c>
      <c r="C3769" t="s">
        <v>3843</v>
      </c>
      <c r="D3769" s="1">
        <v>0.54599537037037038</v>
      </c>
      <c r="E3769" s="2">
        <f>CallLog[[#This Row],[Date]]+CallLog[[#This Row],[Time]]</f>
        <v>44262.545995370368</v>
      </c>
      <c r="F3769" s="1" t="str">
        <f>TEXT(CallLog[[#This Row],[Date]],"dddd")</f>
        <v>Sunday</v>
      </c>
      <c r="G3769" s="3">
        <f>HOUR(CallLog[[#This Row],[Time]])</f>
        <v>13</v>
      </c>
      <c r="H3769" t="s">
        <v>32</v>
      </c>
      <c r="I3769" t="s">
        <v>18</v>
      </c>
      <c r="J3769" t="s">
        <v>18</v>
      </c>
      <c r="L3769" t="str">
        <f>IF(AND(CallLog[[#This Row],[Answered (Y/N)]]="Y", CallLog[[#This Row],[Speed of answer in seconds]]&lt;=20),
    "Within",
    "Breach")</f>
        <v>Breach</v>
      </c>
    </row>
    <row r="3770" spans="1:14" x14ac:dyDescent="0.3">
      <c r="A3770" t="s">
        <v>3859</v>
      </c>
      <c r="B3770" t="s">
        <v>16</v>
      </c>
      <c r="C3770" t="s">
        <v>3843</v>
      </c>
      <c r="D3770" s="1">
        <v>0.55599537037037039</v>
      </c>
      <c r="E3770" s="2">
        <f>CallLog[[#This Row],[Date]]+CallLog[[#This Row],[Time]]</f>
        <v>44262.555995370371</v>
      </c>
      <c r="F3770" s="1" t="str">
        <f>TEXT(CallLog[[#This Row],[Date]],"dddd")</f>
        <v>Sunday</v>
      </c>
      <c r="G3770" s="3">
        <f>HOUR(CallLog[[#This Row],[Time]])</f>
        <v>13</v>
      </c>
      <c r="H3770" t="s">
        <v>24</v>
      </c>
      <c r="I3770" t="s">
        <v>14</v>
      </c>
      <c r="J3770" t="s">
        <v>14</v>
      </c>
      <c r="K3770">
        <v>22</v>
      </c>
      <c r="L3770" t="str">
        <f>IF(AND(CallLog[[#This Row],[Answered (Y/N)]]="Y", CallLog[[#This Row],[Speed of answer in seconds]]&lt;=20),
    "Within",
    "Breach")</f>
        <v>Breach</v>
      </c>
      <c r="M3770" s="1">
        <v>4.386574074074074E-3</v>
      </c>
      <c r="N3770">
        <v>3</v>
      </c>
    </row>
    <row r="3771" spans="1:14" x14ac:dyDescent="0.3">
      <c r="A3771" t="s">
        <v>3860</v>
      </c>
      <c r="B3771" t="s">
        <v>20</v>
      </c>
      <c r="C3771" t="s">
        <v>3843</v>
      </c>
      <c r="D3771" s="1">
        <v>0.55599537037037039</v>
      </c>
      <c r="E3771" s="2">
        <f>CallLog[[#This Row],[Date]]+CallLog[[#This Row],[Time]]</f>
        <v>44262.555995370371</v>
      </c>
      <c r="F3771" s="1" t="str">
        <f>TEXT(CallLog[[#This Row],[Date]],"dddd")</f>
        <v>Sunday</v>
      </c>
      <c r="G3771" s="3">
        <f>HOUR(CallLog[[#This Row],[Time]])</f>
        <v>13</v>
      </c>
      <c r="H3771" t="s">
        <v>13</v>
      </c>
      <c r="I3771" t="s">
        <v>14</v>
      </c>
      <c r="J3771" t="s">
        <v>14</v>
      </c>
      <c r="K3771">
        <v>48</v>
      </c>
      <c r="L3771" t="str">
        <f>IF(AND(CallLog[[#This Row],[Answered (Y/N)]]="Y", CallLog[[#This Row],[Speed of answer in seconds]]&lt;=20),
    "Within",
    "Breach")</f>
        <v>Breach</v>
      </c>
      <c r="M3771" s="1">
        <v>4.0509259259259257E-3</v>
      </c>
      <c r="N3771">
        <v>2</v>
      </c>
    </row>
    <row r="3772" spans="1:14" x14ac:dyDescent="0.3">
      <c r="A3772" t="s">
        <v>3861</v>
      </c>
      <c r="B3772" t="s">
        <v>16</v>
      </c>
      <c r="C3772" t="s">
        <v>3843</v>
      </c>
      <c r="D3772" s="1">
        <v>0.56999999999999995</v>
      </c>
      <c r="E3772" s="2">
        <f>CallLog[[#This Row],[Date]]+CallLog[[#This Row],[Time]]</f>
        <v>44262.57</v>
      </c>
      <c r="F3772" s="1" t="str">
        <f>TEXT(CallLog[[#This Row],[Date]],"dddd")</f>
        <v>Sunday</v>
      </c>
      <c r="G3772" s="3">
        <f>HOUR(CallLog[[#This Row],[Time]])</f>
        <v>13</v>
      </c>
      <c r="H3772" t="s">
        <v>24</v>
      </c>
      <c r="I3772" t="s">
        <v>18</v>
      </c>
      <c r="J3772" t="s">
        <v>18</v>
      </c>
      <c r="L3772" t="str">
        <f>IF(AND(CallLog[[#This Row],[Answered (Y/N)]]="Y", CallLog[[#This Row],[Speed of answer in seconds]]&lt;=20),
    "Within",
    "Breach")</f>
        <v>Breach</v>
      </c>
    </row>
    <row r="3773" spans="1:14" x14ac:dyDescent="0.3">
      <c r="A3773" t="s">
        <v>3862</v>
      </c>
      <c r="B3773" t="s">
        <v>20</v>
      </c>
      <c r="C3773" t="s">
        <v>3843</v>
      </c>
      <c r="D3773" s="1">
        <v>0.56999999999999995</v>
      </c>
      <c r="E3773" s="2">
        <f>CallLog[[#This Row],[Date]]+CallLog[[#This Row],[Time]]</f>
        <v>44262.57</v>
      </c>
      <c r="F3773" s="1" t="str">
        <f>TEXT(CallLog[[#This Row],[Date]],"dddd")</f>
        <v>Sunday</v>
      </c>
      <c r="G3773" s="3">
        <f>HOUR(CallLog[[#This Row],[Time]])</f>
        <v>13</v>
      </c>
      <c r="H3773" t="s">
        <v>17</v>
      </c>
      <c r="I3773" t="s">
        <v>14</v>
      </c>
      <c r="J3773" t="s">
        <v>14</v>
      </c>
      <c r="K3773">
        <v>12</v>
      </c>
      <c r="L3773" t="str">
        <f>IF(AND(CallLog[[#This Row],[Answered (Y/N)]]="Y", CallLog[[#This Row],[Speed of answer in seconds]]&lt;=20),
    "Within",
    "Breach")</f>
        <v>Within</v>
      </c>
      <c r="M3773" s="1">
        <v>1.7592592592592592E-3</v>
      </c>
      <c r="N3773">
        <v>3</v>
      </c>
    </row>
    <row r="3774" spans="1:14" x14ac:dyDescent="0.3">
      <c r="A3774" t="s">
        <v>3863</v>
      </c>
      <c r="B3774" t="s">
        <v>34</v>
      </c>
      <c r="C3774" t="s">
        <v>3843</v>
      </c>
      <c r="D3774" s="1">
        <v>0.57400462962962961</v>
      </c>
      <c r="E3774" s="2">
        <f>CallLog[[#This Row],[Date]]+CallLog[[#This Row],[Time]]</f>
        <v>44262.574004629627</v>
      </c>
      <c r="F3774" s="1" t="str">
        <f>TEXT(CallLog[[#This Row],[Date]],"dddd")</f>
        <v>Sunday</v>
      </c>
      <c r="G3774" s="3">
        <f>HOUR(CallLog[[#This Row],[Time]])</f>
        <v>13</v>
      </c>
      <c r="H3774" t="s">
        <v>17</v>
      </c>
      <c r="I3774" t="s">
        <v>14</v>
      </c>
      <c r="J3774" t="s">
        <v>14</v>
      </c>
      <c r="K3774">
        <v>16</v>
      </c>
      <c r="L3774" t="str">
        <f>IF(AND(CallLog[[#This Row],[Answered (Y/N)]]="Y", CallLog[[#This Row],[Speed of answer in seconds]]&lt;=20),
    "Within",
    "Breach")</f>
        <v>Within</v>
      </c>
      <c r="M3774" s="1">
        <v>3.1944444444444446E-3</v>
      </c>
      <c r="N3774">
        <v>3</v>
      </c>
    </row>
    <row r="3775" spans="1:14" x14ac:dyDescent="0.3">
      <c r="A3775" t="s">
        <v>3864</v>
      </c>
      <c r="B3775" t="s">
        <v>34</v>
      </c>
      <c r="C3775" t="s">
        <v>3843</v>
      </c>
      <c r="D3775" s="1">
        <v>0.57400462962962961</v>
      </c>
      <c r="E3775" s="2">
        <f>CallLog[[#This Row],[Date]]+CallLog[[#This Row],[Time]]</f>
        <v>44262.574004629627</v>
      </c>
      <c r="F3775" s="1" t="str">
        <f>TEXT(CallLog[[#This Row],[Date]],"dddd")</f>
        <v>Sunday</v>
      </c>
      <c r="G3775" s="3">
        <f>HOUR(CallLog[[#This Row],[Time]])</f>
        <v>13</v>
      </c>
      <c r="H3775" t="s">
        <v>13</v>
      </c>
      <c r="I3775" t="s">
        <v>14</v>
      </c>
      <c r="J3775" t="s">
        <v>14</v>
      </c>
      <c r="K3775">
        <v>116</v>
      </c>
      <c r="L3775" t="str">
        <f>IF(AND(CallLog[[#This Row],[Answered (Y/N)]]="Y", CallLog[[#This Row],[Speed of answer in seconds]]&lt;=20),
    "Within",
    "Breach")</f>
        <v>Breach</v>
      </c>
      <c r="M3775" s="1">
        <v>2.7893518518518519E-3</v>
      </c>
      <c r="N3775">
        <v>2</v>
      </c>
    </row>
    <row r="3776" spans="1:14" x14ac:dyDescent="0.3">
      <c r="A3776" t="s">
        <v>3865</v>
      </c>
      <c r="B3776" t="s">
        <v>22</v>
      </c>
      <c r="C3776" t="s">
        <v>3843</v>
      </c>
      <c r="D3776" s="1">
        <v>0.57799768518518524</v>
      </c>
      <c r="E3776" s="2">
        <f>CallLog[[#This Row],[Date]]+CallLog[[#This Row],[Time]]</f>
        <v>44262.577997685185</v>
      </c>
      <c r="F3776" s="1" t="str">
        <f>TEXT(CallLog[[#This Row],[Date]],"dddd")</f>
        <v>Sunday</v>
      </c>
      <c r="G3776" s="3">
        <f>HOUR(CallLog[[#This Row],[Time]])</f>
        <v>13</v>
      </c>
      <c r="H3776" t="s">
        <v>29</v>
      </c>
      <c r="I3776" t="s">
        <v>18</v>
      </c>
      <c r="J3776" t="s">
        <v>18</v>
      </c>
      <c r="L3776" t="str">
        <f>IF(AND(CallLog[[#This Row],[Answered (Y/N)]]="Y", CallLog[[#This Row],[Speed of answer in seconds]]&lt;=20),
    "Within",
    "Breach")</f>
        <v>Breach</v>
      </c>
    </row>
    <row r="3777" spans="1:14" x14ac:dyDescent="0.3">
      <c r="A3777" t="s">
        <v>3866</v>
      </c>
      <c r="B3777" t="s">
        <v>22</v>
      </c>
      <c r="C3777" t="s">
        <v>3843</v>
      </c>
      <c r="D3777" s="1">
        <v>0.57799768518518524</v>
      </c>
      <c r="E3777" s="2">
        <f>CallLog[[#This Row],[Date]]+CallLog[[#This Row],[Time]]</f>
        <v>44262.577997685185</v>
      </c>
      <c r="F3777" s="1" t="str">
        <f>TEXT(CallLog[[#This Row],[Date]],"dddd")</f>
        <v>Sunday</v>
      </c>
      <c r="G3777" s="3">
        <f>HOUR(CallLog[[#This Row],[Time]])</f>
        <v>13</v>
      </c>
      <c r="H3777" t="s">
        <v>29</v>
      </c>
      <c r="I3777" t="s">
        <v>14</v>
      </c>
      <c r="J3777" t="s">
        <v>14</v>
      </c>
      <c r="K3777">
        <v>25</v>
      </c>
      <c r="L3777" t="str">
        <f>IF(AND(CallLog[[#This Row],[Answered (Y/N)]]="Y", CallLog[[#This Row],[Speed of answer in seconds]]&lt;=20),
    "Within",
    "Breach")</f>
        <v>Breach</v>
      </c>
      <c r="M3777" s="1">
        <v>1.6550925925925926E-3</v>
      </c>
      <c r="N3777">
        <v>2</v>
      </c>
    </row>
    <row r="3778" spans="1:14" x14ac:dyDescent="0.3">
      <c r="A3778" t="s">
        <v>3867</v>
      </c>
      <c r="B3778" t="s">
        <v>22</v>
      </c>
      <c r="C3778" t="s">
        <v>3843</v>
      </c>
      <c r="D3778" s="1">
        <v>0.57900462962962962</v>
      </c>
      <c r="E3778" s="2">
        <f>CallLog[[#This Row],[Date]]+CallLog[[#This Row],[Time]]</f>
        <v>44262.579004629632</v>
      </c>
      <c r="F3778" s="1" t="str">
        <f>TEXT(CallLog[[#This Row],[Date]],"dddd")</f>
        <v>Sunday</v>
      </c>
      <c r="G3778" s="3">
        <f>HOUR(CallLog[[#This Row],[Time]])</f>
        <v>13</v>
      </c>
      <c r="H3778" t="s">
        <v>29</v>
      </c>
      <c r="I3778" t="s">
        <v>14</v>
      </c>
      <c r="J3778" t="s">
        <v>14</v>
      </c>
      <c r="K3778">
        <v>30</v>
      </c>
      <c r="L3778" t="str">
        <f>IF(AND(CallLog[[#This Row],[Answered (Y/N)]]="Y", CallLog[[#This Row],[Speed of answer in seconds]]&lt;=20),
    "Within",
    "Breach")</f>
        <v>Breach</v>
      </c>
      <c r="M3778" s="1">
        <v>3.1828703703703702E-3</v>
      </c>
      <c r="N3778">
        <v>4</v>
      </c>
    </row>
    <row r="3779" spans="1:14" x14ac:dyDescent="0.3">
      <c r="A3779" t="s">
        <v>3868</v>
      </c>
      <c r="B3779" t="s">
        <v>34</v>
      </c>
      <c r="C3779" t="s">
        <v>3843</v>
      </c>
      <c r="D3779" s="1">
        <v>0.57900462962962962</v>
      </c>
      <c r="E3779" s="2">
        <f>CallLog[[#This Row],[Date]]+CallLog[[#This Row],[Time]]</f>
        <v>44262.579004629632</v>
      </c>
      <c r="F3779" s="1" t="str">
        <f>TEXT(CallLog[[#This Row],[Date]],"dddd")</f>
        <v>Sunday</v>
      </c>
      <c r="G3779" s="3">
        <f>HOUR(CallLog[[#This Row],[Time]])</f>
        <v>13</v>
      </c>
      <c r="H3779" t="s">
        <v>17</v>
      </c>
      <c r="I3779" t="s">
        <v>18</v>
      </c>
      <c r="J3779" t="s">
        <v>18</v>
      </c>
      <c r="L3779" t="str">
        <f>IF(AND(CallLog[[#This Row],[Answered (Y/N)]]="Y", CallLog[[#This Row],[Speed of answer in seconds]]&lt;=20),
    "Within",
    "Breach")</f>
        <v>Breach</v>
      </c>
    </row>
    <row r="3780" spans="1:14" x14ac:dyDescent="0.3">
      <c r="A3780" t="s">
        <v>3869</v>
      </c>
      <c r="B3780" t="s">
        <v>31</v>
      </c>
      <c r="C3780" t="s">
        <v>3843</v>
      </c>
      <c r="D3780" s="1">
        <v>0.60799768518518515</v>
      </c>
      <c r="E3780" s="2">
        <f>CallLog[[#This Row],[Date]]+CallLog[[#This Row],[Time]]</f>
        <v>44262.607997685183</v>
      </c>
      <c r="F3780" s="1" t="str">
        <f>TEXT(CallLog[[#This Row],[Date]],"dddd")</f>
        <v>Sunday</v>
      </c>
      <c r="G3780" s="3">
        <f>HOUR(CallLog[[#This Row],[Time]])</f>
        <v>14</v>
      </c>
      <c r="H3780" t="s">
        <v>17</v>
      </c>
      <c r="I3780" t="s">
        <v>14</v>
      </c>
      <c r="J3780" t="s">
        <v>14</v>
      </c>
      <c r="K3780">
        <v>29</v>
      </c>
      <c r="L3780" t="str">
        <f>IF(AND(CallLog[[#This Row],[Answered (Y/N)]]="Y", CallLog[[#This Row],[Speed of answer in seconds]]&lt;=20),
    "Within",
    "Breach")</f>
        <v>Breach</v>
      </c>
      <c r="M3780" s="1">
        <v>2.7199074074074074E-3</v>
      </c>
      <c r="N3780">
        <v>2</v>
      </c>
    </row>
    <row r="3781" spans="1:14" x14ac:dyDescent="0.3">
      <c r="A3781" t="s">
        <v>3870</v>
      </c>
      <c r="B3781" t="s">
        <v>31</v>
      </c>
      <c r="C3781" t="s">
        <v>3843</v>
      </c>
      <c r="D3781" s="1">
        <v>0.60799768518518515</v>
      </c>
      <c r="E3781" s="2">
        <f>CallLog[[#This Row],[Date]]+CallLog[[#This Row],[Time]]</f>
        <v>44262.607997685183</v>
      </c>
      <c r="F3781" s="1" t="str">
        <f>TEXT(CallLog[[#This Row],[Date]],"dddd")</f>
        <v>Sunday</v>
      </c>
      <c r="G3781" s="3">
        <f>HOUR(CallLog[[#This Row],[Time]])</f>
        <v>14</v>
      </c>
      <c r="H3781" t="s">
        <v>24</v>
      </c>
      <c r="I3781" t="s">
        <v>14</v>
      </c>
      <c r="J3781" t="s">
        <v>14</v>
      </c>
      <c r="K3781">
        <v>23</v>
      </c>
      <c r="L3781" t="str">
        <f>IF(AND(CallLog[[#This Row],[Answered (Y/N)]]="Y", CallLog[[#This Row],[Speed of answer in seconds]]&lt;=20),
    "Within",
    "Breach")</f>
        <v>Breach</v>
      </c>
      <c r="M3781" s="1">
        <v>2.2685185185185187E-3</v>
      </c>
      <c r="N3781">
        <v>4</v>
      </c>
    </row>
    <row r="3782" spans="1:14" x14ac:dyDescent="0.3">
      <c r="A3782" t="s">
        <v>3871</v>
      </c>
      <c r="B3782" t="s">
        <v>20</v>
      </c>
      <c r="C3782" t="s">
        <v>3843</v>
      </c>
      <c r="D3782" s="1">
        <v>0.61299768518518516</v>
      </c>
      <c r="E3782" s="2">
        <f>CallLog[[#This Row],[Date]]+CallLog[[#This Row],[Time]]</f>
        <v>44262.612997685188</v>
      </c>
      <c r="F3782" s="1" t="str">
        <f>TEXT(CallLog[[#This Row],[Date]],"dddd")</f>
        <v>Sunday</v>
      </c>
      <c r="G3782" s="3">
        <f>HOUR(CallLog[[#This Row],[Time]])</f>
        <v>14</v>
      </c>
      <c r="H3782" t="s">
        <v>13</v>
      </c>
      <c r="I3782" t="s">
        <v>14</v>
      </c>
      <c r="J3782" t="s">
        <v>14</v>
      </c>
      <c r="K3782">
        <v>11</v>
      </c>
      <c r="L3782" t="str">
        <f>IF(AND(CallLog[[#This Row],[Answered (Y/N)]]="Y", CallLog[[#This Row],[Speed of answer in seconds]]&lt;=20),
    "Within",
    "Breach")</f>
        <v>Within</v>
      </c>
      <c r="M3782" s="1">
        <v>3.5879629629629629E-3</v>
      </c>
      <c r="N3782">
        <v>5</v>
      </c>
    </row>
    <row r="3783" spans="1:14" x14ac:dyDescent="0.3">
      <c r="A3783" t="s">
        <v>3872</v>
      </c>
      <c r="B3783" t="s">
        <v>38</v>
      </c>
      <c r="C3783" t="s">
        <v>3843</v>
      </c>
      <c r="D3783" s="1">
        <v>0.61299768518518516</v>
      </c>
      <c r="E3783" s="2">
        <f>CallLog[[#This Row],[Date]]+CallLog[[#This Row],[Time]]</f>
        <v>44262.612997685188</v>
      </c>
      <c r="F3783" s="1" t="str">
        <f>TEXT(CallLog[[#This Row],[Date]],"dddd")</f>
        <v>Sunday</v>
      </c>
      <c r="G3783" s="3">
        <f>HOUR(CallLog[[#This Row],[Time]])</f>
        <v>14</v>
      </c>
      <c r="H3783" t="s">
        <v>13</v>
      </c>
      <c r="I3783" t="s">
        <v>14</v>
      </c>
      <c r="J3783" t="s">
        <v>14</v>
      </c>
      <c r="K3783">
        <v>114</v>
      </c>
      <c r="L3783" t="str">
        <f>IF(AND(CallLog[[#This Row],[Answered (Y/N)]]="Y", CallLog[[#This Row],[Speed of answer in seconds]]&lt;=20),
    "Within",
    "Breach")</f>
        <v>Breach</v>
      </c>
      <c r="M3783" s="1">
        <v>1.8055555555555555E-3</v>
      </c>
      <c r="N3783">
        <v>3</v>
      </c>
    </row>
    <row r="3784" spans="1:14" x14ac:dyDescent="0.3">
      <c r="A3784" t="s">
        <v>3873</v>
      </c>
      <c r="B3784" t="s">
        <v>31</v>
      </c>
      <c r="C3784" t="s">
        <v>3843</v>
      </c>
      <c r="D3784" s="1">
        <v>0.64299768518518519</v>
      </c>
      <c r="E3784" s="2">
        <f>CallLog[[#This Row],[Date]]+CallLog[[#This Row],[Time]]</f>
        <v>44262.642997685187</v>
      </c>
      <c r="F3784" s="1" t="str">
        <f>TEXT(CallLog[[#This Row],[Date]],"dddd")</f>
        <v>Sunday</v>
      </c>
      <c r="G3784" s="3">
        <f>HOUR(CallLog[[#This Row],[Time]])</f>
        <v>15</v>
      </c>
      <c r="H3784" t="s">
        <v>32</v>
      </c>
      <c r="I3784" t="s">
        <v>14</v>
      </c>
      <c r="J3784" t="s">
        <v>14</v>
      </c>
      <c r="K3784">
        <v>27</v>
      </c>
      <c r="L3784" t="str">
        <f>IF(AND(CallLog[[#This Row],[Answered (Y/N)]]="Y", CallLog[[#This Row],[Speed of answer in seconds]]&lt;=20),
    "Within",
    "Breach")</f>
        <v>Breach</v>
      </c>
      <c r="M3784" s="1">
        <v>6.134259259259259E-4</v>
      </c>
      <c r="N3784">
        <v>3</v>
      </c>
    </row>
    <row r="3785" spans="1:14" x14ac:dyDescent="0.3">
      <c r="A3785" t="s">
        <v>3874</v>
      </c>
      <c r="B3785" t="s">
        <v>47</v>
      </c>
      <c r="C3785" t="s">
        <v>3843</v>
      </c>
      <c r="D3785" s="1">
        <v>0.64299768518518519</v>
      </c>
      <c r="E3785" s="2">
        <f>CallLog[[#This Row],[Date]]+CallLog[[#This Row],[Time]]</f>
        <v>44262.642997685187</v>
      </c>
      <c r="F3785" s="1" t="str">
        <f>TEXT(CallLog[[#This Row],[Date]],"dddd")</f>
        <v>Sunday</v>
      </c>
      <c r="G3785" s="3">
        <f>HOUR(CallLog[[#This Row],[Time]])</f>
        <v>15</v>
      </c>
      <c r="H3785" t="s">
        <v>32</v>
      </c>
      <c r="I3785" t="s">
        <v>14</v>
      </c>
      <c r="J3785" t="s">
        <v>14</v>
      </c>
      <c r="K3785">
        <v>64</v>
      </c>
      <c r="L3785" t="str">
        <f>IF(AND(CallLog[[#This Row],[Answered (Y/N)]]="Y", CallLog[[#This Row],[Speed of answer in seconds]]&lt;=20),
    "Within",
    "Breach")</f>
        <v>Breach</v>
      </c>
      <c r="M3785" s="1">
        <v>2.3958333333333331E-3</v>
      </c>
      <c r="N3785">
        <v>3</v>
      </c>
    </row>
    <row r="3786" spans="1:14" x14ac:dyDescent="0.3">
      <c r="A3786" t="s">
        <v>3875</v>
      </c>
      <c r="B3786" t="s">
        <v>16</v>
      </c>
      <c r="C3786" t="s">
        <v>3843</v>
      </c>
      <c r="D3786" s="1">
        <v>0.64599537037037036</v>
      </c>
      <c r="E3786" s="2">
        <f>CallLog[[#This Row],[Date]]+CallLog[[#This Row],[Time]]</f>
        <v>44262.645995370367</v>
      </c>
      <c r="F3786" s="1" t="str">
        <f>TEXT(CallLog[[#This Row],[Date]],"dddd")</f>
        <v>Sunday</v>
      </c>
      <c r="G3786" s="3">
        <f>HOUR(CallLog[[#This Row],[Time]])</f>
        <v>15</v>
      </c>
      <c r="H3786" t="s">
        <v>29</v>
      </c>
      <c r="I3786" t="s">
        <v>14</v>
      </c>
      <c r="J3786" t="s">
        <v>14</v>
      </c>
      <c r="K3786">
        <v>59</v>
      </c>
      <c r="L3786" t="str">
        <f>IF(AND(CallLog[[#This Row],[Answered (Y/N)]]="Y", CallLog[[#This Row],[Speed of answer in seconds]]&lt;=20),
    "Within",
    "Breach")</f>
        <v>Breach</v>
      </c>
      <c r="M3786" s="1">
        <v>2.5462962962962965E-3</v>
      </c>
      <c r="N3786">
        <v>2</v>
      </c>
    </row>
    <row r="3787" spans="1:14" x14ac:dyDescent="0.3">
      <c r="A3787" t="s">
        <v>3876</v>
      </c>
      <c r="B3787" t="s">
        <v>38</v>
      </c>
      <c r="C3787" t="s">
        <v>3843</v>
      </c>
      <c r="D3787" s="1">
        <v>0.64599537037037036</v>
      </c>
      <c r="E3787" s="2">
        <f>CallLog[[#This Row],[Date]]+CallLog[[#This Row],[Time]]</f>
        <v>44262.645995370367</v>
      </c>
      <c r="F3787" s="1" t="str">
        <f>TEXT(CallLog[[#This Row],[Date]],"dddd")</f>
        <v>Sunday</v>
      </c>
      <c r="G3787" s="3">
        <f>HOUR(CallLog[[#This Row],[Time]])</f>
        <v>15</v>
      </c>
      <c r="H3787" t="s">
        <v>17</v>
      </c>
      <c r="I3787" t="s">
        <v>18</v>
      </c>
      <c r="J3787" t="s">
        <v>18</v>
      </c>
      <c r="L3787" t="str">
        <f>IF(AND(CallLog[[#This Row],[Answered (Y/N)]]="Y", CallLog[[#This Row],[Speed of answer in seconds]]&lt;=20),
    "Within",
    "Breach")</f>
        <v>Breach</v>
      </c>
    </row>
    <row r="3788" spans="1:14" x14ac:dyDescent="0.3">
      <c r="A3788" t="s">
        <v>3877</v>
      </c>
      <c r="B3788" t="s">
        <v>34</v>
      </c>
      <c r="C3788" t="s">
        <v>3843</v>
      </c>
      <c r="D3788" s="1">
        <v>0.65</v>
      </c>
      <c r="E3788" s="2">
        <f>CallLog[[#This Row],[Date]]+CallLog[[#This Row],[Time]]</f>
        <v>44262.65</v>
      </c>
      <c r="F3788" s="1" t="str">
        <f>TEXT(CallLog[[#This Row],[Date]],"dddd")</f>
        <v>Sunday</v>
      </c>
      <c r="G3788" s="3">
        <f>HOUR(CallLog[[#This Row],[Time]])</f>
        <v>15</v>
      </c>
      <c r="H3788" t="s">
        <v>24</v>
      </c>
      <c r="I3788" t="s">
        <v>14</v>
      </c>
      <c r="J3788" t="s">
        <v>14</v>
      </c>
      <c r="K3788">
        <v>10</v>
      </c>
      <c r="L3788" t="str">
        <f>IF(AND(CallLog[[#This Row],[Answered (Y/N)]]="Y", CallLog[[#This Row],[Speed of answer in seconds]]&lt;=20),
    "Within",
    "Breach")</f>
        <v>Within</v>
      </c>
      <c r="M3788" s="1">
        <v>2.3842592592592591E-3</v>
      </c>
      <c r="N3788">
        <v>5</v>
      </c>
    </row>
    <row r="3789" spans="1:14" x14ac:dyDescent="0.3">
      <c r="A3789" t="s">
        <v>3878</v>
      </c>
      <c r="B3789" t="s">
        <v>38</v>
      </c>
      <c r="C3789" t="s">
        <v>3843</v>
      </c>
      <c r="D3789" s="1">
        <v>0.65</v>
      </c>
      <c r="E3789" s="2">
        <f>CallLog[[#This Row],[Date]]+CallLog[[#This Row],[Time]]</f>
        <v>44262.65</v>
      </c>
      <c r="F3789" s="1" t="str">
        <f>TEXT(CallLog[[#This Row],[Date]],"dddd")</f>
        <v>Sunday</v>
      </c>
      <c r="G3789" s="3">
        <f>HOUR(CallLog[[#This Row],[Time]])</f>
        <v>15</v>
      </c>
      <c r="H3789" t="s">
        <v>29</v>
      </c>
      <c r="I3789" t="s">
        <v>14</v>
      </c>
      <c r="J3789" t="s">
        <v>14</v>
      </c>
      <c r="K3789">
        <v>84</v>
      </c>
      <c r="L3789" t="str">
        <f>IF(AND(CallLog[[#This Row],[Answered (Y/N)]]="Y", CallLog[[#This Row],[Speed of answer in seconds]]&lt;=20),
    "Within",
    "Breach")</f>
        <v>Breach</v>
      </c>
      <c r="M3789" s="1">
        <v>1.1574074074074073E-3</v>
      </c>
      <c r="N3789">
        <v>2</v>
      </c>
    </row>
    <row r="3790" spans="1:14" x14ac:dyDescent="0.3">
      <c r="A3790" t="s">
        <v>3879</v>
      </c>
      <c r="B3790" t="s">
        <v>11</v>
      </c>
      <c r="C3790" t="s">
        <v>3843</v>
      </c>
      <c r="D3790" s="1">
        <v>0.66599537037037038</v>
      </c>
      <c r="E3790" s="2">
        <f>CallLog[[#This Row],[Date]]+CallLog[[#This Row],[Time]]</f>
        <v>44262.665995370371</v>
      </c>
      <c r="F3790" s="1" t="str">
        <f>TEXT(CallLog[[#This Row],[Date]],"dddd")</f>
        <v>Sunday</v>
      </c>
      <c r="G3790" s="3">
        <f>HOUR(CallLog[[#This Row],[Time]])</f>
        <v>15</v>
      </c>
      <c r="H3790" t="s">
        <v>13</v>
      </c>
      <c r="I3790" t="s">
        <v>18</v>
      </c>
      <c r="J3790" t="s">
        <v>18</v>
      </c>
      <c r="L3790" t="str">
        <f>IF(AND(CallLog[[#This Row],[Answered (Y/N)]]="Y", CallLog[[#This Row],[Speed of answer in seconds]]&lt;=20),
    "Within",
    "Breach")</f>
        <v>Breach</v>
      </c>
    </row>
    <row r="3791" spans="1:14" x14ac:dyDescent="0.3">
      <c r="A3791" t="s">
        <v>3880</v>
      </c>
      <c r="B3791" t="s">
        <v>31</v>
      </c>
      <c r="C3791" t="s">
        <v>3843</v>
      </c>
      <c r="D3791" s="1">
        <v>0.66599537037037038</v>
      </c>
      <c r="E3791" s="2">
        <f>CallLog[[#This Row],[Date]]+CallLog[[#This Row],[Time]]</f>
        <v>44262.665995370371</v>
      </c>
      <c r="F3791" s="1" t="str">
        <f>TEXT(CallLog[[#This Row],[Date]],"dddd")</f>
        <v>Sunday</v>
      </c>
      <c r="G3791" s="3">
        <f>HOUR(CallLog[[#This Row],[Time]])</f>
        <v>15</v>
      </c>
      <c r="H3791" t="s">
        <v>29</v>
      </c>
      <c r="I3791" t="s">
        <v>18</v>
      </c>
      <c r="J3791" t="s">
        <v>18</v>
      </c>
      <c r="L3791" t="str">
        <f>IF(AND(CallLog[[#This Row],[Answered (Y/N)]]="Y", CallLog[[#This Row],[Speed of answer in seconds]]&lt;=20),
    "Within",
    "Breach")</f>
        <v>Breach</v>
      </c>
    </row>
    <row r="3792" spans="1:14" x14ac:dyDescent="0.3">
      <c r="A3792" t="s">
        <v>3881</v>
      </c>
      <c r="B3792" t="s">
        <v>47</v>
      </c>
      <c r="C3792" t="s">
        <v>3843</v>
      </c>
      <c r="D3792" s="1">
        <v>0.6840046296296296</v>
      </c>
      <c r="E3792" s="2">
        <f>CallLog[[#This Row],[Date]]+CallLog[[#This Row],[Time]]</f>
        <v>44262.684004629627</v>
      </c>
      <c r="F3792" s="1" t="str">
        <f>TEXT(CallLog[[#This Row],[Date]],"dddd")</f>
        <v>Sunday</v>
      </c>
      <c r="G3792" s="3">
        <f>HOUR(CallLog[[#This Row],[Time]])</f>
        <v>16</v>
      </c>
      <c r="H3792" t="s">
        <v>29</v>
      </c>
      <c r="I3792" t="s">
        <v>18</v>
      </c>
      <c r="J3792" t="s">
        <v>18</v>
      </c>
      <c r="L3792" t="str">
        <f>IF(AND(CallLog[[#This Row],[Answered (Y/N)]]="Y", CallLog[[#This Row],[Speed of answer in seconds]]&lt;=20),
    "Within",
    "Breach")</f>
        <v>Breach</v>
      </c>
    </row>
    <row r="3793" spans="1:14" x14ac:dyDescent="0.3">
      <c r="A3793" t="s">
        <v>3882</v>
      </c>
      <c r="B3793" t="s">
        <v>22</v>
      </c>
      <c r="C3793" t="s">
        <v>3843</v>
      </c>
      <c r="D3793" s="1">
        <v>0.6840046296296296</v>
      </c>
      <c r="E3793" s="2">
        <f>CallLog[[#This Row],[Date]]+CallLog[[#This Row],[Time]]</f>
        <v>44262.684004629627</v>
      </c>
      <c r="F3793" s="1" t="str">
        <f>TEXT(CallLog[[#This Row],[Date]],"dddd")</f>
        <v>Sunday</v>
      </c>
      <c r="G3793" s="3">
        <f>HOUR(CallLog[[#This Row],[Time]])</f>
        <v>16</v>
      </c>
      <c r="H3793" t="s">
        <v>29</v>
      </c>
      <c r="I3793" t="s">
        <v>14</v>
      </c>
      <c r="J3793" t="s">
        <v>18</v>
      </c>
      <c r="K3793">
        <v>56</v>
      </c>
      <c r="L3793" t="str">
        <f>IF(AND(CallLog[[#This Row],[Answered (Y/N)]]="Y", CallLog[[#This Row],[Speed of answer in seconds]]&lt;=20),
    "Within",
    "Breach")</f>
        <v>Breach</v>
      </c>
      <c r="M3793" s="1">
        <v>7.7546296296296293E-4</v>
      </c>
      <c r="N3793">
        <v>5</v>
      </c>
    </row>
    <row r="3794" spans="1:14" x14ac:dyDescent="0.3">
      <c r="A3794" t="s">
        <v>3883</v>
      </c>
      <c r="B3794" t="s">
        <v>11</v>
      </c>
      <c r="C3794" t="s">
        <v>3843</v>
      </c>
      <c r="D3794" s="1">
        <v>0.69700231481481478</v>
      </c>
      <c r="E3794" s="2">
        <f>CallLog[[#This Row],[Date]]+CallLog[[#This Row],[Time]]</f>
        <v>44262.697002314817</v>
      </c>
      <c r="F3794" s="1" t="str">
        <f>TEXT(CallLog[[#This Row],[Date]],"dddd")</f>
        <v>Sunday</v>
      </c>
      <c r="G3794" s="3">
        <f>HOUR(CallLog[[#This Row],[Time]])</f>
        <v>16</v>
      </c>
      <c r="H3794" t="s">
        <v>17</v>
      </c>
      <c r="I3794" t="s">
        <v>18</v>
      </c>
      <c r="J3794" t="s">
        <v>18</v>
      </c>
      <c r="L3794" t="str">
        <f>IF(AND(CallLog[[#This Row],[Answered (Y/N)]]="Y", CallLog[[#This Row],[Speed of answer in seconds]]&lt;=20),
    "Within",
    "Breach")</f>
        <v>Breach</v>
      </c>
    </row>
    <row r="3795" spans="1:14" x14ac:dyDescent="0.3">
      <c r="A3795" t="s">
        <v>3884</v>
      </c>
      <c r="B3795" t="s">
        <v>31</v>
      </c>
      <c r="C3795" t="s">
        <v>3843</v>
      </c>
      <c r="D3795" s="1">
        <v>0.69700231481481478</v>
      </c>
      <c r="E3795" s="2">
        <f>CallLog[[#This Row],[Date]]+CallLog[[#This Row],[Time]]</f>
        <v>44262.697002314817</v>
      </c>
      <c r="F3795" s="1" t="str">
        <f>TEXT(CallLog[[#This Row],[Date]],"dddd")</f>
        <v>Sunday</v>
      </c>
      <c r="G3795" s="3">
        <f>HOUR(CallLog[[#This Row],[Time]])</f>
        <v>16</v>
      </c>
      <c r="H3795" t="s">
        <v>24</v>
      </c>
      <c r="I3795" t="s">
        <v>14</v>
      </c>
      <c r="J3795" t="s">
        <v>14</v>
      </c>
      <c r="K3795">
        <v>119</v>
      </c>
      <c r="L3795" t="str">
        <f>IF(AND(CallLog[[#This Row],[Answered (Y/N)]]="Y", CallLog[[#This Row],[Speed of answer in seconds]]&lt;=20),
    "Within",
    "Breach")</f>
        <v>Breach</v>
      </c>
      <c r="M3795" s="1">
        <v>4.5023148148148149E-3</v>
      </c>
      <c r="N3795">
        <v>4</v>
      </c>
    </row>
    <row r="3796" spans="1:14" x14ac:dyDescent="0.3">
      <c r="A3796" t="s">
        <v>3885</v>
      </c>
      <c r="B3796" t="s">
        <v>11</v>
      </c>
      <c r="C3796" t="s">
        <v>3843</v>
      </c>
      <c r="D3796" s="1">
        <v>0.69900462962962961</v>
      </c>
      <c r="E3796" s="2">
        <f>CallLog[[#This Row],[Date]]+CallLog[[#This Row],[Time]]</f>
        <v>44262.699004629627</v>
      </c>
      <c r="F3796" s="1" t="str">
        <f>TEXT(CallLog[[#This Row],[Date]],"dddd")</f>
        <v>Sunday</v>
      </c>
      <c r="G3796" s="3">
        <f>HOUR(CallLog[[#This Row],[Time]])</f>
        <v>16</v>
      </c>
      <c r="H3796" t="s">
        <v>32</v>
      </c>
      <c r="I3796" t="s">
        <v>14</v>
      </c>
      <c r="J3796" t="s">
        <v>14</v>
      </c>
      <c r="K3796">
        <v>19</v>
      </c>
      <c r="L3796" t="str">
        <f>IF(AND(CallLog[[#This Row],[Answered (Y/N)]]="Y", CallLog[[#This Row],[Speed of answer in seconds]]&lt;=20),
    "Within",
    "Breach")</f>
        <v>Within</v>
      </c>
      <c r="M3796" s="1">
        <v>1.6550925925925926E-3</v>
      </c>
      <c r="N3796">
        <v>3</v>
      </c>
    </row>
    <row r="3797" spans="1:14" x14ac:dyDescent="0.3">
      <c r="A3797" t="s">
        <v>3886</v>
      </c>
      <c r="B3797" t="s">
        <v>31</v>
      </c>
      <c r="C3797" t="s">
        <v>3843</v>
      </c>
      <c r="D3797" s="1">
        <v>0.69900462962962961</v>
      </c>
      <c r="E3797" s="2">
        <f>CallLog[[#This Row],[Date]]+CallLog[[#This Row],[Time]]</f>
        <v>44262.699004629627</v>
      </c>
      <c r="F3797" s="1" t="str">
        <f>TEXT(CallLog[[#This Row],[Date]],"dddd")</f>
        <v>Sunday</v>
      </c>
      <c r="G3797" s="3">
        <f>HOUR(CallLog[[#This Row],[Time]])</f>
        <v>16</v>
      </c>
      <c r="H3797" t="s">
        <v>13</v>
      </c>
      <c r="I3797" t="s">
        <v>14</v>
      </c>
      <c r="J3797" t="s">
        <v>14</v>
      </c>
      <c r="K3797">
        <v>96</v>
      </c>
      <c r="L3797" t="str">
        <f>IF(AND(CallLog[[#This Row],[Answered (Y/N)]]="Y", CallLog[[#This Row],[Speed of answer in seconds]]&lt;=20),
    "Within",
    "Breach")</f>
        <v>Breach</v>
      </c>
      <c r="M3797" s="1">
        <v>3.7152777777777778E-3</v>
      </c>
      <c r="N3797">
        <v>4</v>
      </c>
    </row>
    <row r="3798" spans="1:14" x14ac:dyDescent="0.3">
      <c r="A3798" t="s">
        <v>3887</v>
      </c>
      <c r="B3798" t="s">
        <v>34</v>
      </c>
      <c r="C3798" t="s">
        <v>3843</v>
      </c>
      <c r="D3798" s="1">
        <v>0.70700231481481479</v>
      </c>
      <c r="E3798" s="2">
        <f>CallLog[[#This Row],[Date]]+CallLog[[#This Row],[Time]]</f>
        <v>44262.707002314812</v>
      </c>
      <c r="F3798" s="1" t="str">
        <f>TEXT(CallLog[[#This Row],[Date]],"dddd")</f>
        <v>Sunday</v>
      </c>
      <c r="G3798" s="3">
        <f>HOUR(CallLog[[#This Row],[Time]])</f>
        <v>16</v>
      </c>
      <c r="H3798" t="s">
        <v>29</v>
      </c>
      <c r="I3798" t="s">
        <v>14</v>
      </c>
      <c r="J3798" t="s">
        <v>14</v>
      </c>
      <c r="K3798">
        <v>13</v>
      </c>
      <c r="L3798" t="str">
        <f>IF(AND(CallLog[[#This Row],[Answered (Y/N)]]="Y", CallLog[[#This Row],[Speed of answer in seconds]]&lt;=20),
    "Within",
    "Breach")</f>
        <v>Within</v>
      </c>
      <c r="M3798" s="1">
        <v>1.1226851851851851E-3</v>
      </c>
      <c r="N3798">
        <v>5</v>
      </c>
    </row>
    <row r="3799" spans="1:14" x14ac:dyDescent="0.3">
      <c r="A3799" t="s">
        <v>3888</v>
      </c>
      <c r="B3799" t="s">
        <v>16</v>
      </c>
      <c r="C3799" t="s">
        <v>3843</v>
      </c>
      <c r="D3799" s="1">
        <v>0.70700231481481479</v>
      </c>
      <c r="E3799" s="2">
        <f>CallLog[[#This Row],[Date]]+CallLog[[#This Row],[Time]]</f>
        <v>44262.707002314812</v>
      </c>
      <c r="F3799" s="1" t="str">
        <f>TEXT(CallLog[[#This Row],[Date]],"dddd")</f>
        <v>Sunday</v>
      </c>
      <c r="G3799" s="3">
        <f>HOUR(CallLog[[#This Row],[Time]])</f>
        <v>16</v>
      </c>
      <c r="H3799" t="s">
        <v>29</v>
      </c>
      <c r="I3799" t="s">
        <v>14</v>
      </c>
      <c r="J3799" t="s">
        <v>18</v>
      </c>
      <c r="K3799">
        <v>22</v>
      </c>
      <c r="L3799" t="str">
        <f>IF(AND(CallLog[[#This Row],[Answered (Y/N)]]="Y", CallLog[[#This Row],[Speed of answer in seconds]]&lt;=20),
    "Within",
    "Breach")</f>
        <v>Breach</v>
      </c>
      <c r="M3799" s="1">
        <v>4.0393518518518521E-3</v>
      </c>
      <c r="N3799">
        <v>5</v>
      </c>
    </row>
    <row r="3800" spans="1:14" x14ac:dyDescent="0.3">
      <c r="A3800" t="s">
        <v>3889</v>
      </c>
      <c r="B3800" t="s">
        <v>20</v>
      </c>
      <c r="C3800" t="s">
        <v>3843</v>
      </c>
      <c r="D3800" s="1">
        <v>0.71900462962962963</v>
      </c>
      <c r="E3800" s="2">
        <f>CallLog[[#This Row],[Date]]+CallLog[[#This Row],[Time]]</f>
        <v>44262.719004629631</v>
      </c>
      <c r="F3800" s="1" t="str">
        <f>TEXT(CallLog[[#This Row],[Date]],"dddd")</f>
        <v>Sunday</v>
      </c>
      <c r="G3800" s="3">
        <f>HOUR(CallLog[[#This Row],[Time]])</f>
        <v>17</v>
      </c>
      <c r="H3800" t="s">
        <v>32</v>
      </c>
      <c r="I3800" t="s">
        <v>18</v>
      </c>
      <c r="J3800" t="s">
        <v>18</v>
      </c>
      <c r="L3800" t="str">
        <f>IF(AND(CallLog[[#This Row],[Answered (Y/N)]]="Y", CallLog[[#This Row],[Speed of answer in seconds]]&lt;=20),
    "Within",
    "Breach")</f>
        <v>Breach</v>
      </c>
    </row>
    <row r="3801" spans="1:14" x14ac:dyDescent="0.3">
      <c r="A3801" t="s">
        <v>3890</v>
      </c>
      <c r="B3801" t="s">
        <v>47</v>
      </c>
      <c r="C3801" t="s">
        <v>3843</v>
      </c>
      <c r="D3801" s="1">
        <v>0.71900462962962963</v>
      </c>
      <c r="E3801" s="2">
        <f>CallLog[[#This Row],[Date]]+CallLog[[#This Row],[Time]]</f>
        <v>44262.719004629631</v>
      </c>
      <c r="F3801" s="1" t="str">
        <f>TEXT(CallLog[[#This Row],[Date]],"dddd")</f>
        <v>Sunday</v>
      </c>
      <c r="G3801" s="3">
        <f>HOUR(CallLog[[#This Row],[Time]])</f>
        <v>17</v>
      </c>
      <c r="H3801" t="s">
        <v>17</v>
      </c>
      <c r="I3801" t="s">
        <v>18</v>
      </c>
      <c r="J3801" t="s">
        <v>18</v>
      </c>
      <c r="L3801" t="str">
        <f>IF(AND(CallLog[[#This Row],[Answered (Y/N)]]="Y", CallLog[[#This Row],[Speed of answer in seconds]]&lt;=20),
    "Within",
    "Breach")</f>
        <v>Breach</v>
      </c>
    </row>
    <row r="3802" spans="1:14" x14ac:dyDescent="0.3">
      <c r="A3802" t="s">
        <v>3891</v>
      </c>
      <c r="B3802" t="s">
        <v>47</v>
      </c>
      <c r="C3802" t="s">
        <v>3892</v>
      </c>
      <c r="D3802" s="1">
        <v>0.38</v>
      </c>
      <c r="E3802" s="2">
        <f>CallLog[[#This Row],[Date]]+CallLog[[#This Row],[Time]]</f>
        <v>44263.38</v>
      </c>
      <c r="F3802" s="1" t="str">
        <f>TEXT(CallLog[[#This Row],[Date]],"dddd")</f>
        <v>Monday</v>
      </c>
      <c r="G3802" s="3">
        <f>HOUR(CallLog[[#This Row],[Time]])</f>
        <v>9</v>
      </c>
      <c r="H3802" t="s">
        <v>29</v>
      </c>
      <c r="I3802" t="s">
        <v>14</v>
      </c>
      <c r="J3802" t="s">
        <v>14</v>
      </c>
      <c r="K3802">
        <v>43</v>
      </c>
      <c r="L3802" t="str">
        <f>IF(AND(CallLog[[#This Row],[Answered (Y/N)]]="Y", CallLog[[#This Row],[Speed of answer in seconds]]&lt;=20),
    "Within",
    "Breach")</f>
        <v>Breach</v>
      </c>
      <c r="M3802" s="1">
        <v>2.3611111111111111E-3</v>
      </c>
      <c r="N3802">
        <v>3</v>
      </c>
    </row>
    <row r="3803" spans="1:14" x14ac:dyDescent="0.3">
      <c r="A3803" t="s">
        <v>3893</v>
      </c>
      <c r="B3803" t="s">
        <v>38</v>
      </c>
      <c r="C3803" t="s">
        <v>3892</v>
      </c>
      <c r="D3803" s="1">
        <v>0.38</v>
      </c>
      <c r="E3803" s="2">
        <f>CallLog[[#This Row],[Date]]+CallLog[[#This Row],[Time]]</f>
        <v>44263.38</v>
      </c>
      <c r="F3803" s="1" t="str">
        <f>TEXT(CallLog[[#This Row],[Date]],"dddd")</f>
        <v>Monday</v>
      </c>
      <c r="G3803" s="3">
        <f>HOUR(CallLog[[#This Row],[Time]])</f>
        <v>9</v>
      </c>
      <c r="H3803" t="s">
        <v>13</v>
      </c>
      <c r="I3803" t="s">
        <v>14</v>
      </c>
      <c r="J3803" t="s">
        <v>14</v>
      </c>
      <c r="K3803">
        <v>39</v>
      </c>
      <c r="L3803" t="str">
        <f>IF(AND(CallLog[[#This Row],[Answered (Y/N)]]="Y", CallLog[[#This Row],[Speed of answer in seconds]]&lt;=20),
    "Within",
    "Breach")</f>
        <v>Breach</v>
      </c>
      <c r="M3803" s="1">
        <v>2.7662037037037039E-3</v>
      </c>
      <c r="N3803">
        <v>2</v>
      </c>
    </row>
    <row r="3804" spans="1:14" x14ac:dyDescent="0.3">
      <c r="A3804" t="s">
        <v>3894</v>
      </c>
      <c r="B3804" t="s">
        <v>11</v>
      </c>
      <c r="C3804" t="s">
        <v>3892</v>
      </c>
      <c r="D3804" s="1">
        <v>0.41499999999999998</v>
      </c>
      <c r="E3804" s="2">
        <f>CallLog[[#This Row],[Date]]+CallLog[[#This Row],[Time]]</f>
        <v>44263.415000000001</v>
      </c>
      <c r="F3804" s="1" t="str">
        <f>TEXT(CallLog[[#This Row],[Date]],"dddd")</f>
        <v>Monday</v>
      </c>
      <c r="G3804" s="3">
        <f>HOUR(CallLog[[#This Row],[Time]])</f>
        <v>9</v>
      </c>
      <c r="H3804" t="s">
        <v>17</v>
      </c>
      <c r="I3804" t="s">
        <v>14</v>
      </c>
      <c r="J3804" t="s">
        <v>14</v>
      </c>
      <c r="K3804">
        <v>26</v>
      </c>
      <c r="L3804" t="str">
        <f>IF(AND(CallLog[[#This Row],[Answered (Y/N)]]="Y", CallLog[[#This Row],[Speed of answer in seconds]]&lt;=20),
    "Within",
    "Breach")</f>
        <v>Breach</v>
      </c>
      <c r="M3804" s="1">
        <v>1.1458333333333333E-3</v>
      </c>
      <c r="N3804">
        <v>5</v>
      </c>
    </row>
    <row r="3805" spans="1:14" x14ac:dyDescent="0.3">
      <c r="A3805" t="s">
        <v>3895</v>
      </c>
      <c r="B3805" t="s">
        <v>16</v>
      </c>
      <c r="C3805" t="s">
        <v>3892</v>
      </c>
      <c r="D3805" s="1">
        <v>0.41499999999999998</v>
      </c>
      <c r="E3805" s="2">
        <f>CallLog[[#This Row],[Date]]+CallLog[[#This Row],[Time]]</f>
        <v>44263.415000000001</v>
      </c>
      <c r="F3805" s="1" t="str">
        <f>TEXT(CallLog[[#This Row],[Date]],"dddd")</f>
        <v>Monday</v>
      </c>
      <c r="G3805" s="3">
        <f>HOUR(CallLog[[#This Row],[Time]])</f>
        <v>9</v>
      </c>
      <c r="H3805" t="s">
        <v>32</v>
      </c>
      <c r="I3805" t="s">
        <v>14</v>
      </c>
      <c r="J3805" t="s">
        <v>14</v>
      </c>
      <c r="K3805">
        <v>27</v>
      </c>
      <c r="L3805" t="str">
        <f>IF(AND(CallLog[[#This Row],[Answered (Y/N)]]="Y", CallLog[[#This Row],[Speed of answer in seconds]]&lt;=20),
    "Within",
    "Breach")</f>
        <v>Breach</v>
      </c>
      <c r="M3805" s="1">
        <v>2.9398148148148148E-3</v>
      </c>
      <c r="N3805">
        <v>2</v>
      </c>
    </row>
    <row r="3806" spans="1:14" x14ac:dyDescent="0.3">
      <c r="A3806" t="s">
        <v>3896</v>
      </c>
      <c r="B3806" t="s">
        <v>11</v>
      </c>
      <c r="C3806" t="s">
        <v>3892</v>
      </c>
      <c r="D3806" s="1">
        <v>0.43400462962962966</v>
      </c>
      <c r="E3806" s="2">
        <f>CallLog[[#This Row],[Date]]+CallLog[[#This Row],[Time]]</f>
        <v>44263.434004629627</v>
      </c>
      <c r="F3806" s="1" t="str">
        <f>TEXT(CallLog[[#This Row],[Date]],"dddd")</f>
        <v>Monday</v>
      </c>
      <c r="G3806" s="3">
        <f>HOUR(CallLog[[#This Row],[Time]])</f>
        <v>10</v>
      </c>
      <c r="H3806" t="s">
        <v>24</v>
      </c>
      <c r="I3806" t="s">
        <v>14</v>
      </c>
      <c r="J3806" t="s">
        <v>14</v>
      </c>
      <c r="K3806">
        <v>72</v>
      </c>
      <c r="L3806" t="str">
        <f>IF(AND(CallLog[[#This Row],[Answered (Y/N)]]="Y", CallLog[[#This Row],[Speed of answer in seconds]]&lt;=20),
    "Within",
    "Breach")</f>
        <v>Breach</v>
      </c>
      <c r="M3806" s="1">
        <v>4.8611111111111112E-3</v>
      </c>
      <c r="N3806">
        <v>5</v>
      </c>
    </row>
    <row r="3807" spans="1:14" x14ac:dyDescent="0.3">
      <c r="A3807" t="s">
        <v>3897</v>
      </c>
      <c r="B3807" t="s">
        <v>47</v>
      </c>
      <c r="C3807" t="s">
        <v>3892</v>
      </c>
      <c r="D3807" s="1">
        <v>0.43400462962962966</v>
      </c>
      <c r="E3807" s="2">
        <f>CallLog[[#This Row],[Date]]+CallLog[[#This Row],[Time]]</f>
        <v>44263.434004629627</v>
      </c>
      <c r="F3807" s="1" t="str">
        <f>TEXT(CallLog[[#This Row],[Date]],"dddd")</f>
        <v>Monday</v>
      </c>
      <c r="G3807" s="3">
        <f>HOUR(CallLog[[#This Row],[Time]])</f>
        <v>10</v>
      </c>
      <c r="H3807" t="s">
        <v>13</v>
      </c>
      <c r="I3807" t="s">
        <v>14</v>
      </c>
      <c r="J3807" t="s">
        <v>14</v>
      </c>
      <c r="K3807">
        <v>77</v>
      </c>
      <c r="L3807" t="str">
        <f>IF(AND(CallLog[[#This Row],[Answered (Y/N)]]="Y", CallLog[[#This Row],[Speed of answer in seconds]]&lt;=20),
    "Within",
    "Breach")</f>
        <v>Breach</v>
      </c>
      <c r="M3807" s="1">
        <v>3.5879629629629629E-4</v>
      </c>
      <c r="N3807">
        <v>4</v>
      </c>
    </row>
    <row r="3808" spans="1:14" x14ac:dyDescent="0.3">
      <c r="A3808" t="s">
        <v>3898</v>
      </c>
      <c r="B3808" t="s">
        <v>38</v>
      </c>
      <c r="C3808" t="s">
        <v>3892</v>
      </c>
      <c r="D3808" s="1">
        <v>0.43700231481481483</v>
      </c>
      <c r="E3808" s="2">
        <f>CallLog[[#This Row],[Date]]+CallLog[[#This Row],[Time]]</f>
        <v>44263.437002314815</v>
      </c>
      <c r="F3808" s="1" t="str">
        <f>TEXT(CallLog[[#This Row],[Date]],"dddd")</f>
        <v>Monday</v>
      </c>
      <c r="G3808" s="3">
        <f>HOUR(CallLog[[#This Row],[Time]])</f>
        <v>10</v>
      </c>
      <c r="H3808" t="s">
        <v>29</v>
      </c>
      <c r="I3808" t="s">
        <v>14</v>
      </c>
      <c r="J3808" t="s">
        <v>14</v>
      </c>
      <c r="K3808">
        <v>119</v>
      </c>
      <c r="L3808" t="str">
        <f>IF(AND(CallLog[[#This Row],[Answered (Y/N)]]="Y", CallLog[[#This Row],[Speed of answer in seconds]]&lt;=20),
    "Within",
    "Breach")</f>
        <v>Breach</v>
      </c>
      <c r="M3808" s="1">
        <v>5.9027777777777778E-4</v>
      </c>
      <c r="N3808">
        <v>3</v>
      </c>
    </row>
    <row r="3809" spans="1:14" x14ac:dyDescent="0.3">
      <c r="A3809" t="s">
        <v>3899</v>
      </c>
      <c r="B3809" t="s">
        <v>11</v>
      </c>
      <c r="C3809" t="s">
        <v>3892</v>
      </c>
      <c r="D3809" s="1">
        <v>0.43700231481481483</v>
      </c>
      <c r="E3809" s="2">
        <f>CallLog[[#This Row],[Date]]+CallLog[[#This Row],[Time]]</f>
        <v>44263.437002314815</v>
      </c>
      <c r="F3809" s="1" t="str">
        <f>TEXT(CallLog[[#This Row],[Date]],"dddd")</f>
        <v>Monday</v>
      </c>
      <c r="G3809" s="3">
        <f>HOUR(CallLog[[#This Row],[Time]])</f>
        <v>10</v>
      </c>
      <c r="H3809" t="s">
        <v>13</v>
      </c>
      <c r="I3809" t="s">
        <v>14</v>
      </c>
      <c r="J3809" t="s">
        <v>14</v>
      </c>
      <c r="K3809">
        <v>30</v>
      </c>
      <c r="L3809" t="str">
        <f>IF(AND(CallLog[[#This Row],[Answered (Y/N)]]="Y", CallLog[[#This Row],[Speed of answer in seconds]]&lt;=20),
    "Within",
    "Breach")</f>
        <v>Breach</v>
      </c>
      <c r="M3809" s="1">
        <v>1.3078703703703703E-3</v>
      </c>
      <c r="N3809">
        <v>4</v>
      </c>
    </row>
    <row r="3810" spans="1:14" x14ac:dyDescent="0.3">
      <c r="A3810" t="s">
        <v>3900</v>
      </c>
      <c r="B3810" t="s">
        <v>16</v>
      </c>
      <c r="C3810" t="s">
        <v>3892</v>
      </c>
      <c r="D3810" s="1">
        <v>0.44200231481481483</v>
      </c>
      <c r="E3810" s="2">
        <f>CallLog[[#This Row],[Date]]+CallLog[[#This Row],[Time]]</f>
        <v>44263.442002314812</v>
      </c>
      <c r="F3810" s="1" t="str">
        <f>TEXT(CallLog[[#This Row],[Date]],"dddd")</f>
        <v>Monday</v>
      </c>
      <c r="G3810" s="3">
        <f>HOUR(CallLog[[#This Row],[Time]])</f>
        <v>10</v>
      </c>
      <c r="H3810" t="s">
        <v>24</v>
      </c>
      <c r="I3810" t="s">
        <v>14</v>
      </c>
      <c r="J3810" t="s">
        <v>14</v>
      </c>
      <c r="K3810">
        <v>112</v>
      </c>
      <c r="L3810" t="str">
        <f>IF(AND(CallLog[[#This Row],[Answered (Y/N)]]="Y", CallLog[[#This Row],[Speed of answer in seconds]]&lt;=20),
    "Within",
    "Breach")</f>
        <v>Breach</v>
      </c>
      <c r="M3810" s="1">
        <v>2.6157407407407405E-3</v>
      </c>
      <c r="N3810">
        <v>4</v>
      </c>
    </row>
    <row r="3811" spans="1:14" x14ac:dyDescent="0.3">
      <c r="A3811" t="s">
        <v>3901</v>
      </c>
      <c r="B3811" t="s">
        <v>31</v>
      </c>
      <c r="C3811" t="s">
        <v>3892</v>
      </c>
      <c r="D3811" s="1">
        <v>0.44200231481481483</v>
      </c>
      <c r="E3811" s="2">
        <f>CallLog[[#This Row],[Date]]+CallLog[[#This Row],[Time]]</f>
        <v>44263.442002314812</v>
      </c>
      <c r="F3811" s="1" t="str">
        <f>TEXT(CallLog[[#This Row],[Date]],"dddd")</f>
        <v>Monday</v>
      </c>
      <c r="G3811" s="3">
        <f>HOUR(CallLog[[#This Row],[Time]])</f>
        <v>10</v>
      </c>
      <c r="H3811" t="s">
        <v>29</v>
      </c>
      <c r="I3811" t="s">
        <v>14</v>
      </c>
      <c r="J3811" t="s">
        <v>14</v>
      </c>
      <c r="K3811">
        <v>34</v>
      </c>
      <c r="L3811" t="str">
        <f>IF(AND(CallLog[[#This Row],[Answered (Y/N)]]="Y", CallLog[[#This Row],[Speed of answer in seconds]]&lt;=20),
    "Within",
    "Breach")</f>
        <v>Breach</v>
      </c>
      <c r="M3811" s="1">
        <v>3.6689814814814814E-3</v>
      </c>
      <c r="N3811">
        <v>2</v>
      </c>
    </row>
    <row r="3812" spans="1:14" x14ac:dyDescent="0.3">
      <c r="A3812" t="s">
        <v>3902</v>
      </c>
      <c r="B3812" t="s">
        <v>22</v>
      </c>
      <c r="C3812" t="s">
        <v>3892</v>
      </c>
      <c r="D3812" s="1">
        <v>0.47200231481481481</v>
      </c>
      <c r="E3812" s="2">
        <f>CallLog[[#This Row],[Date]]+CallLog[[#This Row],[Time]]</f>
        <v>44263.472002314818</v>
      </c>
      <c r="F3812" s="1" t="str">
        <f>TEXT(CallLog[[#This Row],[Date]],"dddd")</f>
        <v>Monday</v>
      </c>
      <c r="G3812" s="3">
        <f>HOUR(CallLog[[#This Row],[Time]])</f>
        <v>11</v>
      </c>
      <c r="H3812" t="s">
        <v>17</v>
      </c>
      <c r="I3812" t="s">
        <v>14</v>
      </c>
      <c r="J3812" t="s">
        <v>14</v>
      </c>
      <c r="K3812">
        <v>99</v>
      </c>
      <c r="L3812" t="str">
        <f>IF(AND(CallLog[[#This Row],[Answered (Y/N)]]="Y", CallLog[[#This Row],[Speed of answer in seconds]]&lt;=20),
    "Within",
    "Breach")</f>
        <v>Breach</v>
      </c>
      <c r="M3812" s="1">
        <v>9.837962962962962E-4</v>
      </c>
      <c r="N3812">
        <v>3</v>
      </c>
    </row>
    <row r="3813" spans="1:14" x14ac:dyDescent="0.3">
      <c r="A3813" t="s">
        <v>3903</v>
      </c>
      <c r="B3813" t="s">
        <v>22</v>
      </c>
      <c r="C3813" t="s">
        <v>3892</v>
      </c>
      <c r="D3813" s="1">
        <v>0.47200231481481481</v>
      </c>
      <c r="E3813" s="2">
        <f>CallLog[[#This Row],[Date]]+CallLog[[#This Row],[Time]]</f>
        <v>44263.472002314818</v>
      </c>
      <c r="F3813" s="1" t="str">
        <f>TEXT(CallLog[[#This Row],[Date]],"dddd")</f>
        <v>Monday</v>
      </c>
      <c r="G3813" s="3">
        <f>HOUR(CallLog[[#This Row],[Time]])</f>
        <v>11</v>
      </c>
      <c r="H3813" t="s">
        <v>29</v>
      </c>
      <c r="I3813" t="s">
        <v>18</v>
      </c>
      <c r="J3813" t="s">
        <v>18</v>
      </c>
      <c r="L3813" t="str">
        <f>IF(AND(CallLog[[#This Row],[Answered (Y/N)]]="Y", CallLog[[#This Row],[Speed of answer in seconds]]&lt;=20),
    "Within",
    "Breach")</f>
        <v>Breach</v>
      </c>
    </row>
    <row r="3814" spans="1:14" x14ac:dyDescent="0.3">
      <c r="A3814" t="s">
        <v>3904</v>
      </c>
      <c r="B3814" t="s">
        <v>31</v>
      </c>
      <c r="C3814" t="s">
        <v>3892</v>
      </c>
      <c r="D3814" s="1">
        <v>0.47400462962962964</v>
      </c>
      <c r="E3814" s="2">
        <f>CallLog[[#This Row],[Date]]+CallLog[[#This Row],[Time]]</f>
        <v>44263.474004629628</v>
      </c>
      <c r="F3814" s="1" t="str">
        <f>TEXT(CallLog[[#This Row],[Date]],"dddd")</f>
        <v>Monday</v>
      </c>
      <c r="G3814" s="3">
        <f>HOUR(CallLog[[#This Row],[Time]])</f>
        <v>11</v>
      </c>
      <c r="H3814" t="s">
        <v>29</v>
      </c>
      <c r="I3814" t="s">
        <v>14</v>
      </c>
      <c r="J3814" t="s">
        <v>14</v>
      </c>
      <c r="K3814">
        <v>40</v>
      </c>
      <c r="L3814" t="str">
        <f>IF(AND(CallLog[[#This Row],[Answered (Y/N)]]="Y", CallLog[[#This Row],[Speed of answer in seconds]]&lt;=20),
    "Within",
    "Breach")</f>
        <v>Breach</v>
      </c>
      <c r="M3814" s="1">
        <v>1.9444444444444444E-3</v>
      </c>
      <c r="N3814">
        <v>4</v>
      </c>
    </row>
    <row r="3815" spans="1:14" x14ac:dyDescent="0.3">
      <c r="A3815" t="s">
        <v>3905</v>
      </c>
      <c r="B3815" t="s">
        <v>38</v>
      </c>
      <c r="C3815" t="s">
        <v>3892</v>
      </c>
      <c r="D3815" s="1">
        <v>0.47400462962962964</v>
      </c>
      <c r="E3815" s="2">
        <f>CallLog[[#This Row],[Date]]+CallLog[[#This Row],[Time]]</f>
        <v>44263.474004629628</v>
      </c>
      <c r="F3815" s="1" t="str">
        <f>TEXT(CallLog[[#This Row],[Date]],"dddd")</f>
        <v>Monday</v>
      </c>
      <c r="G3815" s="3">
        <f>HOUR(CallLog[[#This Row],[Time]])</f>
        <v>11</v>
      </c>
      <c r="H3815" t="s">
        <v>32</v>
      </c>
      <c r="I3815" t="s">
        <v>14</v>
      </c>
      <c r="J3815" t="s">
        <v>14</v>
      </c>
      <c r="K3815">
        <v>55</v>
      </c>
      <c r="L3815" t="str">
        <f>IF(AND(CallLog[[#This Row],[Answered (Y/N)]]="Y", CallLog[[#This Row],[Speed of answer in seconds]]&lt;=20),
    "Within",
    "Breach")</f>
        <v>Breach</v>
      </c>
      <c r="M3815" s="1">
        <v>2.2916666666666667E-3</v>
      </c>
      <c r="N3815">
        <v>3</v>
      </c>
    </row>
    <row r="3816" spans="1:14" x14ac:dyDescent="0.3">
      <c r="A3816" t="s">
        <v>3906</v>
      </c>
      <c r="B3816" t="s">
        <v>22</v>
      </c>
      <c r="C3816" t="s">
        <v>3892</v>
      </c>
      <c r="D3816" s="1">
        <v>0.51599537037037035</v>
      </c>
      <c r="E3816" s="2">
        <f>CallLog[[#This Row],[Date]]+CallLog[[#This Row],[Time]]</f>
        <v>44263.51599537037</v>
      </c>
      <c r="F3816" s="1" t="str">
        <f>TEXT(CallLog[[#This Row],[Date]],"dddd")</f>
        <v>Monday</v>
      </c>
      <c r="G3816" s="3">
        <f>HOUR(CallLog[[#This Row],[Time]])</f>
        <v>12</v>
      </c>
      <c r="H3816" t="s">
        <v>29</v>
      </c>
      <c r="I3816" t="s">
        <v>14</v>
      </c>
      <c r="J3816" t="s">
        <v>14</v>
      </c>
      <c r="K3816">
        <v>79</v>
      </c>
      <c r="L3816" t="str">
        <f>IF(AND(CallLog[[#This Row],[Answered (Y/N)]]="Y", CallLog[[#This Row],[Speed of answer in seconds]]&lt;=20),
    "Within",
    "Breach")</f>
        <v>Breach</v>
      </c>
      <c r="M3816" s="1">
        <v>9.837962962962962E-4</v>
      </c>
      <c r="N3816">
        <v>3</v>
      </c>
    </row>
    <row r="3817" spans="1:14" x14ac:dyDescent="0.3">
      <c r="A3817" t="s">
        <v>3907</v>
      </c>
      <c r="B3817" t="s">
        <v>22</v>
      </c>
      <c r="C3817" t="s">
        <v>3892</v>
      </c>
      <c r="D3817" s="1">
        <v>0.51599537037037035</v>
      </c>
      <c r="E3817" s="2">
        <f>CallLog[[#This Row],[Date]]+CallLog[[#This Row],[Time]]</f>
        <v>44263.51599537037</v>
      </c>
      <c r="F3817" s="1" t="str">
        <f>TEXT(CallLog[[#This Row],[Date]],"dddd")</f>
        <v>Monday</v>
      </c>
      <c r="G3817" s="3">
        <f>HOUR(CallLog[[#This Row],[Time]])</f>
        <v>12</v>
      </c>
      <c r="H3817" t="s">
        <v>17</v>
      </c>
      <c r="I3817" t="s">
        <v>14</v>
      </c>
      <c r="J3817" t="s">
        <v>14</v>
      </c>
      <c r="K3817">
        <v>67</v>
      </c>
      <c r="L3817" t="str">
        <f>IF(AND(CallLog[[#This Row],[Answered (Y/N)]]="Y", CallLog[[#This Row],[Speed of answer in seconds]]&lt;=20),
    "Within",
    "Breach")</f>
        <v>Breach</v>
      </c>
      <c r="M3817" s="1">
        <v>2.673611111111111E-3</v>
      </c>
      <c r="N3817">
        <v>3</v>
      </c>
    </row>
    <row r="3818" spans="1:14" x14ac:dyDescent="0.3">
      <c r="A3818" t="s">
        <v>3908</v>
      </c>
      <c r="B3818" t="s">
        <v>20</v>
      </c>
      <c r="C3818" t="s">
        <v>3892</v>
      </c>
      <c r="D3818" s="1">
        <v>0.51799768518518519</v>
      </c>
      <c r="E3818" s="2">
        <f>CallLog[[#This Row],[Date]]+CallLog[[#This Row],[Time]]</f>
        <v>44263.517997685187</v>
      </c>
      <c r="F3818" s="1" t="str">
        <f>TEXT(CallLog[[#This Row],[Date]],"dddd")</f>
        <v>Monday</v>
      </c>
      <c r="G3818" s="3">
        <f>HOUR(CallLog[[#This Row],[Time]])</f>
        <v>12</v>
      </c>
      <c r="H3818" t="s">
        <v>29</v>
      </c>
      <c r="I3818" t="s">
        <v>14</v>
      </c>
      <c r="J3818" t="s">
        <v>14</v>
      </c>
      <c r="K3818">
        <v>68</v>
      </c>
      <c r="L3818" t="str">
        <f>IF(AND(CallLog[[#This Row],[Answered (Y/N)]]="Y", CallLog[[#This Row],[Speed of answer in seconds]]&lt;=20),
    "Within",
    "Breach")</f>
        <v>Breach</v>
      </c>
      <c r="M3818" s="1">
        <v>7.7546296296296293E-4</v>
      </c>
      <c r="N3818">
        <v>4</v>
      </c>
    </row>
    <row r="3819" spans="1:14" x14ac:dyDescent="0.3">
      <c r="A3819" t="s">
        <v>3909</v>
      </c>
      <c r="B3819" t="s">
        <v>34</v>
      </c>
      <c r="C3819" t="s">
        <v>3892</v>
      </c>
      <c r="D3819" s="1">
        <v>0.51799768518518519</v>
      </c>
      <c r="E3819" s="2">
        <f>CallLog[[#This Row],[Date]]+CallLog[[#This Row],[Time]]</f>
        <v>44263.517997685187</v>
      </c>
      <c r="F3819" s="1" t="str">
        <f>TEXT(CallLog[[#This Row],[Date]],"dddd")</f>
        <v>Monday</v>
      </c>
      <c r="G3819" s="3">
        <f>HOUR(CallLog[[#This Row],[Time]])</f>
        <v>12</v>
      </c>
      <c r="H3819" t="s">
        <v>32</v>
      </c>
      <c r="I3819" t="s">
        <v>14</v>
      </c>
      <c r="J3819" t="s">
        <v>18</v>
      </c>
      <c r="K3819">
        <v>69</v>
      </c>
      <c r="L3819" t="str">
        <f>IF(AND(CallLog[[#This Row],[Answered (Y/N)]]="Y", CallLog[[#This Row],[Speed of answer in seconds]]&lt;=20),
    "Within",
    "Breach")</f>
        <v>Breach</v>
      </c>
      <c r="M3819" s="1">
        <v>4.4907407407407405E-3</v>
      </c>
      <c r="N3819">
        <v>5</v>
      </c>
    </row>
    <row r="3820" spans="1:14" x14ac:dyDescent="0.3">
      <c r="A3820" t="s">
        <v>3910</v>
      </c>
      <c r="B3820" t="s">
        <v>47</v>
      </c>
      <c r="C3820" t="s">
        <v>3892</v>
      </c>
      <c r="D3820" s="1">
        <v>0.54700231481481476</v>
      </c>
      <c r="E3820" s="2">
        <f>CallLog[[#This Row],[Date]]+CallLog[[#This Row],[Time]]</f>
        <v>44263.547002314815</v>
      </c>
      <c r="F3820" s="1" t="str">
        <f>TEXT(CallLog[[#This Row],[Date]],"dddd")</f>
        <v>Monday</v>
      </c>
      <c r="G3820" s="3">
        <f>HOUR(CallLog[[#This Row],[Time]])</f>
        <v>13</v>
      </c>
      <c r="H3820" t="s">
        <v>17</v>
      </c>
      <c r="I3820" t="s">
        <v>18</v>
      </c>
      <c r="J3820" t="s">
        <v>18</v>
      </c>
      <c r="L3820" t="str">
        <f>IF(AND(CallLog[[#This Row],[Answered (Y/N)]]="Y", CallLog[[#This Row],[Speed of answer in seconds]]&lt;=20),
    "Within",
    "Breach")</f>
        <v>Breach</v>
      </c>
    </row>
    <row r="3821" spans="1:14" x14ac:dyDescent="0.3">
      <c r="A3821" t="s">
        <v>3911</v>
      </c>
      <c r="B3821" t="s">
        <v>47</v>
      </c>
      <c r="C3821" t="s">
        <v>3892</v>
      </c>
      <c r="D3821" s="1">
        <v>0.54700231481481476</v>
      </c>
      <c r="E3821" s="2">
        <f>CallLog[[#This Row],[Date]]+CallLog[[#This Row],[Time]]</f>
        <v>44263.547002314815</v>
      </c>
      <c r="F3821" s="1" t="str">
        <f>TEXT(CallLog[[#This Row],[Date]],"dddd")</f>
        <v>Monday</v>
      </c>
      <c r="G3821" s="3">
        <f>HOUR(CallLog[[#This Row],[Time]])</f>
        <v>13</v>
      </c>
      <c r="H3821" t="s">
        <v>24</v>
      </c>
      <c r="I3821" t="s">
        <v>14</v>
      </c>
      <c r="J3821" t="s">
        <v>14</v>
      </c>
      <c r="K3821">
        <v>29</v>
      </c>
      <c r="L3821" t="str">
        <f>IF(AND(CallLog[[#This Row],[Answered (Y/N)]]="Y", CallLog[[#This Row],[Speed of answer in seconds]]&lt;=20),
    "Within",
    "Breach")</f>
        <v>Breach</v>
      </c>
      <c r="M3821" s="1">
        <v>1.7939814814814815E-3</v>
      </c>
      <c r="N3821">
        <v>3</v>
      </c>
    </row>
    <row r="3822" spans="1:14" x14ac:dyDescent="0.3">
      <c r="A3822" t="s">
        <v>3912</v>
      </c>
      <c r="B3822" t="s">
        <v>47</v>
      </c>
      <c r="C3822" t="s">
        <v>3892</v>
      </c>
      <c r="D3822" s="1">
        <v>0.54900462962962959</v>
      </c>
      <c r="E3822" s="2">
        <f>CallLog[[#This Row],[Date]]+CallLog[[#This Row],[Time]]</f>
        <v>44263.549004629633</v>
      </c>
      <c r="F3822" s="1" t="str">
        <f>TEXT(CallLog[[#This Row],[Date]],"dddd")</f>
        <v>Monday</v>
      </c>
      <c r="G3822" s="3">
        <f>HOUR(CallLog[[#This Row],[Time]])</f>
        <v>13</v>
      </c>
      <c r="H3822" t="s">
        <v>17</v>
      </c>
      <c r="I3822" t="s">
        <v>14</v>
      </c>
      <c r="J3822" t="s">
        <v>18</v>
      </c>
      <c r="K3822">
        <v>62</v>
      </c>
      <c r="L3822" t="str">
        <f>IF(AND(CallLog[[#This Row],[Answered (Y/N)]]="Y", CallLog[[#This Row],[Speed of answer in seconds]]&lt;=20),
    "Within",
    "Breach")</f>
        <v>Breach</v>
      </c>
      <c r="M3822" s="1">
        <v>3.7268518518518519E-3</v>
      </c>
      <c r="N3822">
        <v>3</v>
      </c>
    </row>
    <row r="3823" spans="1:14" x14ac:dyDescent="0.3">
      <c r="A3823" t="s">
        <v>3913</v>
      </c>
      <c r="B3823" t="s">
        <v>20</v>
      </c>
      <c r="C3823" t="s">
        <v>3892</v>
      </c>
      <c r="D3823" s="1">
        <v>0.54900462962962959</v>
      </c>
      <c r="E3823" s="2">
        <f>CallLog[[#This Row],[Date]]+CallLog[[#This Row],[Time]]</f>
        <v>44263.549004629633</v>
      </c>
      <c r="F3823" s="1" t="str">
        <f>TEXT(CallLog[[#This Row],[Date]],"dddd")</f>
        <v>Monday</v>
      </c>
      <c r="G3823" s="3">
        <f>HOUR(CallLog[[#This Row],[Time]])</f>
        <v>13</v>
      </c>
      <c r="H3823" t="s">
        <v>24</v>
      </c>
      <c r="I3823" t="s">
        <v>14</v>
      </c>
      <c r="J3823" t="s">
        <v>14</v>
      </c>
      <c r="K3823">
        <v>109</v>
      </c>
      <c r="L3823" t="str">
        <f>IF(AND(CallLog[[#This Row],[Answered (Y/N)]]="Y", CallLog[[#This Row],[Speed of answer in seconds]]&lt;=20),
    "Within",
    "Breach")</f>
        <v>Breach</v>
      </c>
      <c r="M3823" s="1">
        <v>3.6921296296296298E-3</v>
      </c>
      <c r="N3823">
        <v>4</v>
      </c>
    </row>
    <row r="3824" spans="1:14" x14ac:dyDescent="0.3">
      <c r="A3824" t="s">
        <v>3914</v>
      </c>
      <c r="B3824" t="s">
        <v>38</v>
      </c>
      <c r="C3824" t="s">
        <v>3892</v>
      </c>
      <c r="D3824" s="1">
        <v>0.56499999999999995</v>
      </c>
      <c r="E3824" s="2">
        <f>CallLog[[#This Row],[Date]]+CallLog[[#This Row],[Time]]</f>
        <v>44263.565000000002</v>
      </c>
      <c r="F3824" s="1" t="str">
        <f>TEXT(CallLog[[#This Row],[Date]],"dddd")</f>
        <v>Monday</v>
      </c>
      <c r="G3824" s="3">
        <f>HOUR(CallLog[[#This Row],[Time]])</f>
        <v>13</v>
      </c>
      <c r="H3824" t="s">
        <v>24</v>
      </c>
      <c r="I3824" t="s">
        <v>14</v>
      </c>
      <c r="J3824" t="s">
        <v>14</v>
      </c>
      <c r="K3824">
        <v>59</v>
      </c>
      <c r="L3824" t="str">
        <f>IF(AND(CallLog[[#This Row],[Answered (Y/N)]]="Y", CallLog[[#This Row],[Speed of answer in seconds]]&lt;=20),
    "Within",
    "Breach")</f>
        <v>Breach</v>
      </c>
      <c r="M3824" s="1">
        <v>3.1250000000000002E-3</v>
      </c>
      <c r="N3824">
        <v>3</v>
      </c>
    </row>
    <row r="3825" spans="1:14" x14ac:dyDescent="0.3">
      <c r="A3825" t="s">
        <v>3915</v>
      </c>
      <c r="B3825" t="s">
        <v>34</v>
      </c>
      <c r="C3825" t="s">
        <v>3892</v>
      </c>
      <c r="D3825" s="1">
        <v>0.56499999999999995</v>
      </c>
      <c r="E3825" s="2">
        <f>CallLog[[#This Row],[Date]]+CallLog[[#This Row],[Time]]</f>
        <v>44263.565000000002</v>
      </c>
      <c r="F3825" s="1" t="str">
        <f>TEXT(CallLog[[#This Row],[Date]],"dddd")</f>
        <v>Monday</v>
      </c>
      <c r="G3825" s="3">
        <f>HOUR(CallLog[[#This Row],[Time]])</f>
        <v>13</v>
      </c>
      <c r="H3825" t="s">
        <v>17</v>
      </c>
      <c r="I3825" t="s">
        <v>14</v>
      </c>
      <c r="J3825" t="s">
        <v>14</v>
      </c>
      <c r="K3825">
        <v>51</v>
      </c>
      <c r="L3825" t="str">
        <f>IF(AND(CallLog[[#This Row],[Answered (Y/N)]]="Y", CallLog[[#This Row],[Speed of answer in seconds]]&lt;=20),
    "Within",
    "Breach")</f>
        <v>Breach</v>
      </c>
      <c r="M3825" s="1">
        <v>2.0949074074074073E-3</v>
      </c>
      <c r="N3825">
        <v>4</v>
      </c>
    </row>
    <row r="3826" spans="1:14" x14ac:dyDescent="0.3">
      <c r="A3826" t="s">
        <v>3916</v>
      </c>
      <c r="B3826" t="s">
        <v>22</v>
      </c>
      <c r="C3826" t="s">
        <v>3892</v>
      </c>
      <c r="D3826" s="1">
        <v>0.57400462962962961</v>
      </c>
      <c r="E3826" s="2">
        <f>CallLog[[#This Row],[Date]]+CallLog[[#This Row],[Time]]</f>
        <v>44263.574004629627</v>
      </c>
      <c r="F3826" s="1" t="str">
        <f>TEXT(CallLog[[#This Row],[Date]],"dddd")</f>
        <v>Monday</v>
      </c>
      <c r="G3826" s="3">
        <f>HOUR(CallLog[[#This Row],[Time]])</f>
        <v>13</v>
      </c>
      <c r="H3826" t="s">
        <v>32</v>
      </c>
      <c r="I3826" t="s">
        <v>14</v>
      </c>
      <c r="J3826" t="s">
        <v>14</v>
      </c>
      <c r="K3826">
        <v>11</v>
      </c>
      <c r="L3826" t="str">
        <f>IF(AND(CallLog[[#This Row],[Answered (Y/N)]]="Y", CallLog[[#This Row],[Speed of answer in seconds]]&lt;=20),
    "Within",
    "Breach")</f>
        <v>Within</v>
      </c>
      <c r="M3826" s="1">
        <v>3.7268518518518519E-3</v>
      </c>
      <c r="N3826">
        <v>4</v>
      </c>
    </row>
    <row r="3827" spans="1:14" x14ac:dyDescent="0.3">
      <c r="A3827" t="s">
        <v>3917</v>
      </c>
      <c r="B3827" t="s">
        <v>20</v>
      </c>
      <c r="C3827" t="s">
        <v>3892</v>
      </c>
      <c r="D3827" s="1">
        <v>0.57400462962962961</v>
      </c>
      <c r="E3827" s="2">
        <f>CallLog[[#This Row],[Date]]+CallLog[[#This Row],[Time]]</f>
        <v>44263.574004629627</v>
      </c>
      <c r="F3827" s="1" t="str">
        <f>TEXT(CallLog[[#This Row],[Date]],"dddd")</f>
        <v>Monday</v>
      </c>
      <c r="G3827" s="3">
        <f>HOUR(CallLog[[#This Row],[Time]])</f>
        <v>13</v>
      </c>
      <c r="H3827" t="s">
        <v>29</v>
      </c>
      <c r="I3827" t="s">
        <v>18</v>
      </c>
      <c r="J3827" t="s">
        <v>18</v>
      </c>
      <c r="L3827" t="str">
        <f>IF(AND(CallLog[[#This Row],[Answered (Y/N)]]="Y", CallLog[[#This Row],[Speed of answer in seconds]]&lt;=20),
    "Within",
    "Breach")</f>
        <v>Breach</v>
      </c>
    </row>
    <row r="3828" spans="1:14" x14ac:dyDescent="0.3">
      <c r="A3828" t="s">
        <v>3918</v>
      </c>
      <c r="B3828" t="s">
        <v>34</v>
      </c>
      <c r="C3828" t="s">
        <v>3892</v>
      </c>
      <c r="D3828" s="1">
        <v>0.57700231481481479</v>
      </c>
      <c r="E3828" s="2">
        <f>CallLog[[#This Row],[Date]]+CallLog[[#This Row],[Time]]</f>
        <v>44263.577002314814</v>
      </c>
      <c r="F3828" s="1" t="str">
        <f>TEXT(CallLog[[#This Row],[Date]],"dddd")</f>
        <v>Monday</v>
      </c>
      <c r="G3828" s="3">
        <f>HOUR(CallLog[[#This Row],[Time]])</f>
        <v>13</v>
      </c>
      <c r="H3828" t="s">
        <v>24</v>
      </c>
      <c r="I3828" t="s">
        <v>14</v>
      </c>
      <c r="J3828" t="s">
        <v>14</v>
      </c>
      <c r="K3828">
        <v>44</v>
      </c>
      <c r="L3828" t="str">
        <f>IF(AND(CallLog[[#This Row],[Answered (Y/N)]]="Y", CallLog[[#This Row],[Speed of answer in seconds]]&lt;=20),
    "Within",
    "Breach")</f>
        <v>Breach</v>
      </c>
      <c r="M3828" s="1">
        <v>2.3842592592592591E-3</v>
      </c>
      <c r="N3828">
        <v>4</v>
      </c>
    </row>
    <row r="3829" spans="1:14" x14ac:dyDescent="0.3">
      <c r="A3829" t="s">
        <v>3919</v>
      </c>
      <c r="B3829" t="s">
        <v>20</v>
      </c>
      <c r="C3829" t="s">
        <v>3892</v>
      </c>
      <c r="D3829" s="1">
        <v>0.57700231481481479</v>
      </c>
      <c r="E3829" s="2">
        <f>CallLog[[#This Row],[Date]]+CallLog[[#This Row],[Time]]</f>
        <v>44263.577002314814</v>
      </c>
      <c r="F3829" s="1" t="str">
        <f>TEXT(CallLog[[#This Row],[Date]],"dddd")</f>
        <v>Monday</v>
      </c>
      <c r="G3829" s="3">
        <f>HOUR(CallLog[[#This Row],[Time]])</f>
        <v>13</v>
      </c>
      <c r="H3829" t="s">
        <v>24</v>
      </c>
      <c r="I3829" t="s">
        <v>14</v>
      </c>
      <c r="J3829" t="s">
        <v>14</v>
      </c>
      <c r="K3829">
        <v>35</v>
      </c>
      <c r="L3829" t="str">
        <f>IF(AND(CallLog[[#This Row],[Answered (Y/N)]]="Y", CallLog[[#This Row],[Speed of answer in seconds]]&lt;=20),
    "Within",
    "Breach")</f>
        <v>Breach</v>
      </c>
      <c r="M3829" s="1">
        <v>2.7314814814814814E-3</v>
      </c>
      <c r="N3829">
        <v>2</v>
      </c>
    </row>
    <row r="3830" spans="1:14" x14ac:dyDescent="0.3">
      <c r="A3830" t="s">
        <v>3920</v>
      </c>
      <c r="B3830" t="s">
        <v>16</v>
      </c>
      <c r="C3830" t="s">
        <v>3892</v>
      </c>
      <c r="D3830" s="1">
        <v>0.57999999999999996</v>
      </c>
      <c r="E3830" s="2">
        <f>CallLog[[#This Row],[Date]]+CallLog[[#This Row],[Time]]</f>
        <v>44263.58</v>
      </c>
      <c r="F3830" s="1" t="str">
        <f>TEXT(CallLog[[#This Row],[Date]],"dddd")</f>
        <v>Monday</v>
      </c>
      <c r="G3830" s="3">
        <f>HOUR(CallLog[[#This Row],[Time]])</f>
        <v>13</v>
      </c>
      <c r="H3830" t="s">
        <v>32</v>
      </c>
      <c r="I3830" t="s">
        <v>14</v>
      </c>
      <c r="J3830" t="s">
        <v>14</v>
      </c>
      <c r="K3830">
        <v>17</v>
      </c>
      <c r="L3830" t="str">
        <f>IF(AND(CallLog[[#This Row],[Answered (Y/N)]]="Y", CallLog[[#This Row],[Speed of answer in seconds]]&lt;=20),
    "Within",
    "Breach")</f>
        <v>Within</v>
      </c>
      <c r="M3830" s="1">
        <v>2.5231481481481481E-3</v>
      </c>
      <c r="N3830">
        <v>1</v>
      </c>
    </row>
    <row r="3831" spans="1:14" x14ac:dyDescent="0.3">
      <c r="A3831" t="s">
        <v>3921</v>
      </c>
      <c r="B3831" t="s">
        <v>47</v>
      </c>
      <c r="C3831" t="s">
        <v>3892</v>
      </c>
      <c r="D3831" s="1">
        <v>0.57999999999999996</v>
      </c>
      <c r="E3831" s="2">
        <f>CallLog[[#This Row],[Date]]+CallLog[[#This Row],[Time]]</f>
        <v>44263.58</v>
      </c>
      <c r="F3831" s="1" t="str">
        <f>TEXT(CallLog[[#This Row],[Date]],"dddd")</f>
        <v>Monday</v>
      </c>
      <c r="G3831" s="3">
        <f>HOUR(CallLog[[#This Row],[Time]])</f>
        <v>13</v>
      </c>
      <c r="H3831" t="s">
        <v>32</v>
      </c>
      <c r="I3831" t="s">
        <v>14</v>
      </c>
      <c r="J3831" t="s">
        <v>14</v>
      </c>
      <c r="K3831">
        <v>105</v>
      </c>
      <c r="L3831" t="str">
        <f>IF(AND(CallLog[[#This Row],[Answered (Y/N)]]="Y", CallLog[[#This Row],[Speed of answer in seconds]]&lt;=20),
    "Within",
    "Breach")</f>
        <v>Breach</v>
      </c>
      <c r="M3831" s="1">
        <v>4.2592592592592595E-3</v>
      </c>
      <c r="N3831">
        <v>4</v>
      </c>
    </row>
    <row r="3832" spans="1:14" x14ac:dyDescent="0.3">
      <c r="A3832" t="s">
        <v>3922</v>
      </c>
      <c r="B3832" t="s">
        <v>11</v>
      </c>
      <c r="C3832" t="s">
        <v>3892</v>
      </c>
      <c r="D3832" s="1">
        <v>0.60799768518518515</v>
      </c>
      <c r="E3832" s="2">
        <f>CallLog[[#This Row],[Date]]+CallLog[[#This Row],[Time]]</f>
        <v>44263.607997685183</v>
      </c>
      <c r="F3832" s="1" t="str">
        <f>TEXT(CallLog[[#This Row],[Date]],"dddd")</f>
        <v>Monday</v>
      </c>
      <c r="G3832" s="3">
        <f>HOUR(CallLog[[#This Row],[Time]])</f>
        <v>14</v>
      </c>
      <c r="H3832" t="s">
        <v>32</v>
      </c>
      <c r="I3832" t="s">
        <v>18</v>
      </c>
      <c r="J3832" t="s">
        <v>18</v>
      </c>
      <c r="L3832" t="str">
        <f>IF(AND(CallLog[[#This Row],[Answered (Y/N)]]="Y", CallLog[[#This Row],[Speed of answer in seconds]]&lt;=20),
    "Within",
    "Breach")</f>
        <v>Breach</v>
      </c>
    </row>
    <row r="3833" spans="1:14" x14ac:dyDescent="0.3">
      <c r="A3833" t="s">
        <v>3923</v>
      </c>
      <c r="B3833" t="s">
        <v>22</v>
      </c>
      <c r="C3833" t="s">
        <v>3892</v>
      </c>
      <c r="D3833" s="1">
        <v>0.60799768518518515</v>
      </c>
      <c r="E3833" s="2">
        <f>CallLog[[#This Row],[Date]]+CallLog[[#This Row],[Time]]</f>
        <v>44263.607997685183</v>
      </c>
      <c r="F3833" s="1" t="str">
        <f>TEXT(CallLog[[#This Row],[Date]],"dddd")</f>
        <v>Monday</v>
      </c>
      <c r="G3833" s="3">
        <f>HOUR(CallLog[[#This Row],[Time]])</f>
        <v>14</v>
      </c>
      <c r="H3833" t="s">
        <v>17</v>
      </c>
      <c r="I3833" t="s">
        <v>18</v>
      </c>
      <c r="J3833" t="s">
        <v>18</v>
      </c>
      <c r="L3833" t="str">
        <f>IF(AND(CallLog[[#This Row],[Answered (Y/N)]]="Y", CallLog[[#This Row],[Speed of answer in seconds]]&lt;=20),
    "Within",
    "Breach")</f>
        <v>Breach</v>
      </c>
    </row>
    <row r="3834" spans="1:14" x14ac:dyDescent="0.3">
      <c r="A3834" t="s">
        <v>3924</v>
      </c>
      <c r="B3834" t="s">
        <v>11</v>
      </c>
      <c r="C3834" t="s">
        <v>3892</v>
      </c>
      <c r="D3834" s="1">
        <v>0.625</v>
      </c>
      <c r="E3834" s="2">
        <f>CallLog[[#This Row],[Date]]+CallLog[[#This Row],[Time]]</f>
        <v>44263.625</v>
      </c>
      <c r="F3834" s="1" t="str">
        <f>TEXT(CallLog[[#This Row],[Date]],"dddd")</f>
        <v>Monday</v>
      </c>
      <c r="G3834" s="3">
        <f>HOUR(CallLog[[#This Row],[Time]])</f>
        <v>15</v>
      </c>
      <c r="H3834" t="s">
        <v>29</v>
      </c>
      <c r="I3834" t="s">
        <v>14</v>
      </c>
      <c r="J3834" t="s">
        <v>14</v>
      </c>
      <c r="K3834">
        <v>10</v>
      </c>
      <c r="L3834" t="str">
        <f>IF(AND(CallLog[[#This Row],[Answered (Y/N)]]="Y", CallLog[[#This Row],[Speed of answer in seconds]]&lt;=20),
    "Within",
    "Breach")</f>
        <v>Within</v>
      </c>
      <c r="M3834" s="1">
        <v>3.9351851851851852E-4</v>
      </c>
      <c r="N3834">
        <v>5</v>
      </c>
    </row>
    <row r="3835" spans="1:14" x14ac:dyDescent="0.3">
      <c r="A3835" t="s">
        <v>3925</v>
      </c>
      <c r="B3835" t="s">
        <v>16</v>
      </c>
      <c r="C3835" t="s">
        <v>3892</v>
      </c>
      <c r="D3835" s="1">
        <v>0.625</v>
      </c>
      <c r="E3835" s="2">
        <f>CallLog[[#This Row],[Date]]+CallLog[[#This Row],[Time]]</f>
        <v>44263.625</v>
      </c>
      <c r="F3835" s="1" t="str">
        <f>TEXT(CallLog[[#This Row],[Date]],"dddd")</f>
        <v>Monday</v>
      </c>
      <c r="G3835" s="3">
        <f>HOUR(CallLog[[#This Row],[Time]])</f>
        <v>15</v>
      </c>
      <c r="H3835" t="s">
        <v>24</v>
      </c>
      <c r="I3835" t="s">
        <v>14</v>
      </c>
      <c r="J3835" t="s">
        <v>14</v>
      </c>
      <c r="K3835">
        <v>110</v>
      </c>
      <c r="L3835" t="str">
        <f>IF(AND(CallLog[[#This Row],[Answered (Y/N)]]="Y", CallLog[[#This Row],[Speed of answer in seconds]]&lt;=20),
    "Within",
    "Breach")</f>
        <v>Breach</v>
      </c>
      <c r="M3835" s="1">
        <v>1.3194444444444445E-3</v>
      </c>
      <c r="N3835">
        <v>3</v>
      </c>
    </row>
    <row r="3836" spans="1:14" x14ac:dyDescent="0.3">
      <c r="A3836" t="s">
        <v>3926</v>
      </c>
      <c r="B3836" t="s">
        <v>22</v>
      </c>
      <c r="C3836" t="s">
        <v>3892</v>
      </c>
      <c r="D3836" s="1">
        <v>0.62799768518518517</v>
      </c>
      <c r="E3836" s="2">
        <f>CallLog[[#This Row],[Date]]+CallLog[[#This Row],[Time]]</f>
        <v>44263.627997685187</v>
      </c>
      <c r="F3836" s="1" t="str">
        <f>TEXT(CallLog[[#This Row],[Date]],"dddd")</f>
        <v>Monday</v>
      </c>
      <c r="G3836" s="3">
        <f>HOUR(CallLog[[#This Row],[Time]])</f>
        <v>15</v>
      </c>
      <c r="H3836" t="s">
        <v>24</v>
      </c>
      <c r="I3836" t="s">
        <v>14</v>
      </c>
      <c r="J3836" t="s">
        <v>14</v>
      </c>
      <c r="K3836">
        <v>41</v>
      </c>
      <c r="L3836" t="str">
        <f>IF(AND(CallLog[[#This Row],[Answered (Y/N)]]="Y", CallLog[[#This Row],[Speed of answer in seconds]]&lt;=20),
    "Within",
    "Breach")</f>
        <v>Breach</v>
      </c>
      <c r="M3836" s="1">
        <v>8.4490740740740739E-4</v>
      </c>
      <c r="N3836">
        <v>5</v>
      </c>
    </row>
    <row r="3837" spans="1:14" x14ac:dyDescent="0.3">
      <c r="A3837" t="s">
        <v>3927</v>
      </c>
      <c r="B3837" t="s">
        <v>20</v>
      </c>
      <c r="C3837" t="s">
        <v>3892</v>
      </c>
      <c r="D3837" s="1">
        <v>0.62799768518518517</v>
      </c>
      <c r="E3837" s="2">
        <f>CallLog[[#This Row],[Date]]+CallLog[[#This Row],[Time]]</f>
        <v>44263.627997685187</v>
      </c>
      <c r="F3837" s="1" t="str">
        <f>TEXT(CallLog[[#This Row],[Date]],"dddd")</f>
        <v>Monday</v>
      </c>
      <c r="G3837" s="3">
        <f>HOUR(CallLog[[#This Row],[Time]])</f>
        <v>15</v>
      </c>
      <c r="H3837" t="s">
        <v>13</v>
      </c>
      <c r="I3837" t="s">
        <v>14</v>
      </c>
      <c r="J3837" t="s">
        <v>14</v>
      </c>
      <c r="K3837">
        <v>46</v>
      </c>
      <c r="L3837" t="str">
        <f>IF(AND(CallLog[[#This Row],[Answered (Y/N)]]="Y", CallLog[[#This Row],[Speed of answer in seconds]]&lt;=20),
    "Within",
    "Breach")</f>
        <v>Breach</v>
      </c>
      <c r="M3837" s="1">
        <v>1.736111111111111E-3</v>
      </c>
      <c r="N3837">
        <v>4</v>
      </c>
    </row>
    <row r="3838" spans="1:14" x14ac:dyDescent="0.3">
      <c r="A3838" t="s">
        <v>3928</v>
      </c>
      <c r="B3838" t="s">
        <v>38</v>
      </c>
      <c r="C3838" t="s">
        <v>3892</v>
      </c>
      <c r="D3838" s="1">
        <v>0.64299768518518519</v>
      </c>
      <c r="E3838" s="2">
        <f>CallLog[[#This Row],[Date]]+CallLog[[#This Row],[Time]]</f>
        <v>44263.642997685187</v>
      </c>
      <c r="F3838" s="1" t="str">
        <f>TEXT(CallLog[[#This Row],[Date]],"dddd")</f>
        <v>Monday</v>
      </c>
      <c r="G3838" s="3">
        <f>HOUR(CallLog[[#This Row],[Time]])</f>
        <v>15</v>
      </c>
      <c r="H3838" t="s">
        <v>29</v>
      </c>
      <c r="I3838" t="s">
        <v>14</v>
      </c>
      <c r="J3838" t="s">
        <v>14</v>
      </c>
      <c r="K3838">
        <v>109</v>
      </c>
      <c r="L3838" t="str">
        <f>IF(AND(CallLog[[#This Row],[Answered (Y/N)]]="Y", CallLog[[#This Row],[Speed of answer in seconds]]&lt;=20),
    "Within",
    "Breach")</f>
        <v>Breach</v>
      </c>
      <c r="M3838" s="1">
        <v>2.1064814814814813E-3</v>
      </c>
      <c r="N3838">
        <v>3</v>
      </c>
    </row>
    <row r="3839" spans="1:14" x14ac:dyDescent="0.3">
      <c r="A3839" t="s">
        <v>3929</v>
      </c>
      <c r="B3839" t="s">
        <v>16</v>
      </c>
      <c r="C3839" t="s">
        <v>3892</v>
      </c>
      <c r="D3839" s="1">
        <v>0.64299768518518519</v>
      </c>
      <c r="E3839" s="2">
        <f>CallLog[[#This Row],[Date]]+CallLog[[#This Row],[Time]]</f>
        <v>44263.642997685187</v>
      </c>
      <c r="F3839" s="1" t="str">
        <f>TEXT(CallLog[[#This Row],[Date]],"dddd")</f>
        <v>Monday</v>
      </c>
      <c r="G3839" s="3">
        <f>HOUR(CallLog[[#This Row],[Time]])</f>
        <v>15</v>
      </c>
      <c r="H3839" t="s">
        <v>17</v>
      </c>
      <c r="I3839" t="s">
        <v>14</v>
      </c>
      <c r="J3839" t="s">
        <v>14</v>
      </c>
      <c r="K3839">
        <v>18</v>
      </c>
      <c r="L3839" t="str">
        <f>IF(AND(CallLog[[#This Row],[Answered (Y/N)]]="Y", CallLog[[#This Row],[Speed of answer in seconds]]&lt;=20),
    "Within",
    "Breach")</f>
        <v>Within</v>
      </c>
      <c r="M3839" s="1">
        <v>2.0717592592592593E-3</v>
      </c>
      <c r="N3839">
        <v>5</v>
      </c>
    </row>
    <row r="3840" spans="1:14" x14ac:dyDescent="0.3">
      <c r="A3840" t="s">
        <v>3930</v>
      </c>
      <c r="B3840" t="s">
        <v>16</v>
      </c>
      <c r="C3840" t="s">
        <v>3892</v>
      </c>
      <c r="D3840" s="1">
        <v>0.65299768518518519</v>
      </c>
      <c r="E3840" s="2">
        <f>CallLog[[#This Row],[Date]]+CallLog[[#This Row],[Time]]</f>
        <v>44263.652997685182</v>
      </c>
      <c r="F3840" s="1" t="str">
        <f>TEXT(CallLog[[#This Row],[Date]],"dddd")</f>
        <v>Monday</v>
      </c>
      <c r="G3840" s="3">
        <f>HOUR(CallLog[[#This Row],[Time]])</f>
        <v>15</v>
      </c>
      <c r="H3840" t="s">
        <v>24</v>
      </c>
      <c r="I3840" t="s">
        <v>14</v>
      </c>
      <c r="J3840" t="s">
        <v>14</v>
      </c>
      <c r="K3840">
        <v>61</v>
      </c>
      <c r="L3840" t="str">
        <f>IF(AND(CallLog[[#This Row],[Answered (Y/N)]]="Y", CallLog[[#This Row],[Speed of answer in seconds]]&lt;=20),
    "Within",
    "Breach")</f>
        <v>Breach</v>
      </c>
      <c r="M3840" s="1">
        <v>1.6319444444444445E-3</v>
      </c>
      <c r="N3840">
        <v>4</v>
      </c>
    </row>
    <row r="3841" spans="1:14" x14ac:dyDescent="0.3">
      <c r="A3841" t="s">
        <v>3931</v>
      </c>
      <c r="B3841" t="s">
        <v>47</v>
      </c>
      <c r="C3841" t="s">
        <v>3892</v>
      </c>
      <c r="D3841" s="1">
        <v>0.65299768518518519</v>
      </c>
      <c r="E3841" s="2">
        <f>CallLog[[#This Row],[Date]]+CallLog[[#This Row],[Time]]</f>
        <v>44263.652997685182</v>
      </c>
      <c r="F3841" s="1" t="str">
        <f>TEXT(CallLog[[#This Row],[Date]],"dddd")</f>
        <v>Monday</v>
      </c>
      <c r="G3841" s="3">
        <f>HOUR(CallLog[[#This Row],[Time]])</f>
        <v>15</v>
      </c>
      <c r="H3841" t="s">
        <v>32</v>
      </c>
      <c r="I3841" t="s">
        <v>14</v>
      </c>
      <c r="J3841" t="s">
        <v>18</v>
      </c>
      <c r="K3841">
        <v>42</v>
      </c>
      <c r="L3841" t="str">
        <f>IF(AND(CallLog[[#This Row],[Answered (Y/N)]]="Y", CallLog[[#This Row],[Speed of answer in seconds]]&lt;=20),
    "Within",
    "Breach")</f>
        <v>Breach</v>
      </c>
      <c r="M3841" s="1">
        <v>2.8356481481481483E-3</v>
      </c>
      <c r="N3841">
        <v>3</v>
      </c>
    </row>
    <row r="3842" spans="1:14" x14ac:dyDescent="0.3">
      <c r="A3842" t="s">
        <v>3932</v>
      </c>
      <c r="B3842" t="s">
        <v>11</v>
      </c>
      <c r="C3842" t="s">
        <v>3892</v>
      </c>
      <c r="D3842" s="1">
        <v>0.69299768518518523</v>
      </c>
      <c r="E3842" s="2">
        <f>CallLog[[#This Row],[Date]]+CallLog[[#This Row],[Time]]</f>
        <v>44263.692997685182</v>
      </c>
      <c r="F3842" s="1" t="str">
        <f>TEXT(CallLog[[#This Row],[Date]],"dddd")</f>
        <v>Monday</v>
      </c>
      <c r="G3842" s="3">
        <f>HOUR(CallLog[[#This Row],[Time]])</f>
        <v>16</v>
      </c>
      <c r="H3842" t="s">
        <v>24</v>
      </c>
      <c r="I3842" t="s">
        <v>14</v>
      </c>
      <c r="J3842" t="s">
        <v>14</v>
      </c>
      <c r="K3842">
        <v>105</v>
      </c>
      <c r="L3842" t="str">
        <f>IF(AND(CallLog[[#This Row],[Answered (Y/N)]]="Y", CallLog[[#This Row],[Speed of answer in seconds]]&lt;=20),
    "Within",
    "Breach")</f>
        <v>Breach</v>
      </c>
      <c r="M3842" s="1">
        <v>3.6458333333333334E-3</v>
      </c>
      <c r="N3842">
        <v>3</v>
      </c>
    </row>
    <row r="3843" spans="1:14" x14ac:dyDescent="0.3">
      <c r="A3843" t="s">
        <v>3933</v>
      </c>
      <c r="B3843" t="s">
        <v>38</v>
      </c>
      <c r="C3843" t="s">
        <v>3892</v>
      </c>
      <c r="D3843" s="1">
        <v>0.69299768518518523</v>
      </c>
      <c r="E3843" s="2">
        <f>CallLog[[#This Row],[Date]]+CallLog[[#This Row],[Time]]</f>
        <v>44263.692997685182</v>
      </c>
      <c r="F3843" s="1" t="str">
        <f>TEXT(CallLog[[#This Row],[Date]],"dddd")</f>
        <v>Monday</v>
      </c>
      <c r="G3843" s="3">
        <f>HOUR(CallLog[[#This Row],[Time]])</f>
        <v>16</v>
      </c>
      <c r="H3843" t="s">
        <v>29</v>
      </c>
      <c r="I3843" t="s">
        <v>14</v>
      </c>
      <c r="J3843" t="s">
        <v>14</v>
      </c>
      <c r="K3843">
        <v>85</v>
      </c>
      <c r="L3843" t="str">
        <f>IF(AND(CallLog[[#This Row],[Answered (Y/N)]]="Y", CallLog[[#This Row],[Speed of answer in seconds]]&lt;=20),
    "Within",
    "Breach")</f>
        <v>Breach</v>
      </c>
      <c r="M3843" s="1">
        <v>3.9351851851851852E-4</v>
      </c>
      <c r="N3843">
        <v>3</v>
      </c>
    </row>
    <row r="3844" spans="1:14" x14ac:dyDescent="0.3">
      <c r="A3844" t="s">
        <v>3934</v>
      </c>
      <c r="B3844" t="s">
        <v>16</v>
      </c>
      <c r="C3844" t="s">
        <v>3892</v>
      </c>
      <c r="D3844" s="1">
        <v>0.70900462962962962</v>
      </c>
      <c r="E3844" s="2">
        <f>CallLog[[#This Row],[Date]]+CallLog[[#This Row],[Time]]</f>
        <v>44263.709004629629</v>
      </c>
      <c r="F3844" s="1" t="str">
        <f>TEXT(CallLog[[#This Row],[Date]],"dddd")</f>
        <v>Monday</v>
      </c>
      <c r="G3844" s="3">
        <f>HOUR(CallLog[[#This Row],[Time]])</f>
        <v>17</v>
      </c>
      <c r="H3844" t="s">
        <v>13</v>
      </c>
      <c r="I3844" t="s">
        <v>14</v>
      </c>
      <c r="J3844" t="s">
        <v>18</v>
      </c>
      <c r="K3844">
        <v>95</v>
      </c>
      <c r="L3844" t="str">
        <f>IF(AND(CallLog[[#This Row],[Answered (Y/N)]]="Y", CallLog[[#This Row],[Speed of answer in seconds]]&lt;=20),
    "Within",
    "Breach")</f>
        <v>Breach</v>
      </c>
      <c r="M3844" s="1">
        <v>3.5300925925925925E-3</v>
      </c>
      <c r="N3844">
        <v>3</v>
      </c>
    </row>
    <row r="3845" spans="1:14" x14ac:dyDescent="0.3">
      <c r="A3845" t="s">
        <v>3935</v>
      </c>
      <c r="B3845" t="s">
        <v>47</v>
      </c>
      <c r="C3845" t="s">
        <v>3892</v>
      </c>
      <c r="D3845" s="1">
        <v>0.70900462962962962</v>
      </c>
      <c r="E3845" s="2">
        <f>CallLog[[#This Row],[Date]]+CallLog[[#This Row],[Time]]</f>
        <v>44263.709004629629</v>
      </c>
      <c r="F3845" s="1" t="str">
        <f>TEXT(CallLog[[#This Row],[Date]],"dddd")</f>
        <v>Monday</v>
      </c>
      <c r="G3845" s="3">
        <f>HOUR(CallLog[[#This Row],[Time]])</f>
        <v>17</v>
      </c>
      <c r="H3845" t="s">
        <v>24</v>
      </c>
      <c r="I3845" t="s">
        <v>14</v>
      </c>
      <c r="J3845" t="s">
        <v>14</v>
      </c>
      <c r="K3845">
        <v>71</v>
      </c>
      <c r="L3845" t="str">
        <f>IF(AND(CallLog[[#This Row],[Answered (Y/N)]]="Y", CallLog[[#This Row],[Speed of answer in seconds]]&lt;=20),
    "Within",
    "Breach")</f>
        <v>Breach</v>
      </c>
      <c r="M3845" s="1">
        <v>6.9444444444444447E-4</v>
      </c>
      <c r="N3845">
        <v>5</v>
      </c>
    </row>
    <row r="3846" spans="1:14" x14ac:dyDescent="0.3">
      <c r="A3846" t="s">
        <v>3936</v>
      </c>
      <c r="B3846" t="s">
        <v>22</v>
      </c>
      <c r="C3846" t="s">
        <v>3892</v>
      </c>
      <c r="D3846" s="1">
        <v>0.73</v>
      </c>
      <c r="E3846" s="2">
        <f>CallLog[[#This Row],[Date]]+CallLog[[#This Row],[Time]]</f>
        <v>44263.73</v>
      </c>
      <c r="F3846" s="1" t="str">
        <f>TEXT(CallLog[[#This Row],[Date]],"dddd")</f>
        <v>Monday</v>
      </c>
      <c r="G3846" s="3">
        <f>HOUR(CallLog[[#This Row],[Time]])</f>
        <v>17</v>
      </c>
      <c r="H3846" t="s">
        <v>24</v>
      </c>
      <c r="I3846" t="s">
        <v>14</v>
      </c>
      <c r="J3846" t="s">
        <v>14</v>
      </c>
      <c r="K3846">
        <v>15</v>
      </c>
      <c r="L3846" t="str">
        <f>IF(AND(CallLog[[#This Row],[Answered (Y/N)]]="Y", CallLog[[#This Row],[Speed of answer in seconds]]&lt;=20),
    "Within",
    "Breach")</f>
        <v>Within</v>
      </c>
      <c r="M3846" s="1">
        <v>3.3796296296296296E-3</v>
      </c>
      <c r="N3846">
        <v>3</v>
      </c>
    </row>
    <row r="3847" spans="1:14" x14ac:dyDescent="0.3">
      <c r="A3847" t="s">
        <v>3937</v>
      </c>
      <c r="B3847" t="s">
        <v>16</v>
      </c>
      <c r="C3847" t="s">
        <v>3892</v>
      </c>
      <c r="D3847" s="1">
        <v>0.73</v>
      </c>
      <c r="E3847" s="2">
        <f>CallLog[[#This Row],[Date]]+CallLog[[#This Row],[Time]]</f>
        <v>44263.73</v>
      </c>
      <c r="F3847" s="1" t="str">
        <f>TEXT(CallLog[[#This Row],[Date]],"dddd")</f>
        <v>Monday</v>
      </c>
      <c r="G3847" s="3">
        <f>HOUR(CallLog[[#This Row],[Time]])</f>
        <v>17</v>
      </c>
      <c r="H3847" t="s">
        <v>29</v>
      </c>
      <c r="I3847" t="s">
        <v>14</v>
      </c>
      <c r="J3847" t="s">
        <v>14</v>
      </c>
      <c r="K3847">
        <v>21</v>
      </c>
      <c r="L3847" t="str">
        <f>IF(AND(CallLog[[#This Row],[Answered (Y/N)]]="Y", CallLog[[#This Row],[Speed of answer in seconds]]&lt;=20),
    "Within",
    "Breach")</f>
        <v>Breach</v>
      </c>
      <c r="M3847" s="1">
        <v>1.9791666666666668E-3</v>
      </c>
      <c r="N3847">
        <v>5</v>
      </c>
    </row>
    <row r="3848" spans="1:14" x14ac:dyDescent="0.3">
      <c r="A3848" t="s">
        <v>3938</v>
      </c>
      <c r="B3848" t="s">
        <v>11</v>
      </c>
      <c r="C3848" t="s">
        <v>3892</v>
      </c>
      <c r="D3848" s="1">
        <v>0.73499999999999999</v>
      </c>
      <c r="E3848" s="2">
        <f>CallLog[[#This Row],[Date]]+CallLog[[#This Row],[Time]]</f>
        <v>44263.735000000001</v>
      </c>
      <c r="F3848" s="1" t="str">
        <f>TEXT(CallLog[[#This Row],[Date]],"dddd")</f>
        <v>Monday</v>
      </c>
      <c r="G3848" s="3">
        <f>HOUR(CallLog[[#This Row],[Time]])</f>
        <v>17</v>
      </c>
      <c r="H3848" t="s">
        <v>32</v>
      </c>
      <c r="I3848" t="s">
        <v>14</v>
      </c>
      <c r="J3848" t="s">
        <v>18</v>
      </c>
      <c r="K3848">
        <v>123</v>
      </c>
      <c r="L3848" t="str">
        <f>IF(AND(CallLog[[#This Row],[Answered (Y/N)]]="Y", CallLog[[#This Row],[Speed of answer in seconds]]&lt;=20),
    "Within",
    "Breach")</f>
        <v>Breach</v>
      </c>
      <c r="M3848" s="1">
        <v>1.4236111111111112E-3</v>
      </c>
      <c r="N3848">
        <v>4</v>
      </c>
    </row>
    <row r="3849" spans="1:14" x14ac:dyDescent="0.3">
      <c r="A3849" t="s">
        <v>3939</v>
      </c>
      <c r="B3849" t="s">
        <v>31</v>
      </c>
      <c r="C3849" t="s">
        <v>3892</v>
      </c>
      <c r="D3849" s="1">
        <v>0.73499999999999999</v>
      </c>
      <c r="E3849" s="2">
        <f>CallLog[[#This Row],[Date]]+CallLog[[#This Row],[Time]]</f>
        <v>44263.735000000001</v>
      </c>
      <c r="F3849" s="1" t="str">
        <f>TEXT(CallLog[[#This Row],[Date]],"dddd")</f>
        <v>Monday</v>
      </c>
      <c r="G3849" s="3">
        <f>HOUR(CallLog[[#This Row],[Time]])</f>
        <v>17</v>
      </c>
      <c r="H3849" t="s">
        <v>29</v>
      </c>
      <c r="I3849" t="s">
        <v>14</v>
      </c>
      <c r="J3849" t="s">
        <v>14</v>
      </c>
      <c r="K3849">
        <v>107</v>
      </c>
      <c r="L3849" t="str">
        <f>IF(AND(CallLog[[#This Row],[Answered (Y/N)]]="Y", CallLog[[#This Row],[Speed of answer in seconds]]&lt;=20),
    "Within",
    "Breach")</f>
        <v>Breach</v>
      </c>
      <c r="M3849" s="1">
        <v>2.7662037037037039E-3</v>
      </c>
      <c r="N3849">
        <v>1</v>
      </c>
    </row>
    <row r="3850" spans="1:14" x14ac:dyDescent="0.3">
      <c r="A3850" t="s">
        <v>3940</v>
      </c>
      <c r="B3850" t="s">
        <v>34</v>
      </c>
      <c r="C3850" t="s">
        <v>3892</v>
      </c>
      <c r="D3850" s="1">
        <v>0.74200231481481482</v>
      </c>
      <c r="E3850" s="2">
        <f>CallLog[[#This Row],[Date]]+CallLog[[#This Row],[Time]]</f>
        <v>44263.742002314815</v>
      </c>
      <c r="F3850" s="1" t="str">
        <f>TEXT(CallLog[[#This Row],[Date]],"dddd")</f>
        <v>Monday</v>
      </c>
      <c r="G3850" s="3">
        <f>HOUR(CallLog[[#This Row],[Time]])</f>
        <v>17</v>
      </c>
      <c r="H3850" t="s">
        <v>32</v>
      </c>
      <c r="I3850" t="s">
        <v>14</v>
      </c>
      <c r="J3850" t="s">
        <v>14</v>
      </c>
      <c r="K3850">
        <v>93</v>
      </c>
      <c r="L3850" t="str">
        <f>IF(AND(CallLog[[#This Row],[Answered (Y/N)]]="Y", CallLog[[#This Row],[Speed of answer in seconds]]&lt;=20),
    "Within",
    "Breach")</f>
        <v>Breach</v>
      </c>
      <c r="M3850" s="1">
        <v>4.7453703703703703E-3</v>
      </c>
      <c r="N3850">
        <v>3</v>
      </c>
    </row>
    <row r="3851" spans="1:14" x14ac:dyDescent="0.3">
      <c r="A3851" t="s">
        <v>3941</v>
      </c>
      <c r="B3851" t="s">
        <v>47</v>
      </c>
      <c r="C3851" t="s">
        <v>3892</v>
      </c>
      <c r="D3851" s="1">
        <v>0.74200231481481482</v>
      </c>
      <c r="E3851" s="2">
        <f>CallLog[[#This Row],[Date]]+CallLog[[#This Row],[Time]]</f>
        <v>44263.742002314815</v>
      </c>
      <c r="F3851" s="1" t="str">
        <f>TEXT(CallLog[[#This Row],[Date]],"dddd")</f>
        <v>Monday</v>
      </c>
      <c r="G3851" s="3">
        <f>HOUR(CallLog[[#This Row],[Time]])</f>
        <v>17</v>
      </c>
      <c r="H3851" t="s">
        <v>24</v>
      </c>
      <c r="I3851" t="s">
        <v>14</v>
      </c>
      <c r="J3851" t="s">
        <v>14</v>
      </c>
      <c r="K3851">
        <v>110</v>
      </c>
      <c r="L3851" t="str">
        <f>IF(AND(CallLog[[#This Row],[Answered (Y/N)]]="Y", CallLog[[#This Row],[Speed of answer in seconds]]&lt;=20),
    "Within",
    "Breach")</f>
        <v>Breach</v>
      </c>
      <c r="M3851" s="1">
        <v>3.5879629629629629E-4</v>
      </c>
      <c r="N3851">
        <v>4</v>
      </c>
    </row>
    <row r="3852" spans="1:14" x14ac:dyDescent="0.3">
      <c r="A3852" t="s">
        <v>3942</v>
      </c>
      <c r="B3852" t="s">
        <v>11</v>
      </c>
      <c r="C3852" t="s">
        <v>3892</v>
      </c>
      <c r="D3852" s="1">
        <v>0.74200231481481482</v>
      </c>
      <c r="E3852" s="2">
        <f>CallLog[[#This Row],[Date]]+CallLog[[#This Row],[Time]]</f>
        <v>44263.742002314815</v>
      </c>
      <c r="F3852" s="1" t="str">
        <f>TEXT(CallLog[[#This Row],[Date]],"dddd")</f>
        <v>Monday</v>
      </c>
      <c r="G3852" s="3">
        <f>HOUR(CallLog[[#This Row],[Time]])</f>
        <v>17</v>
      </c>
      <c r="H3852" t="s">
        <v>32</v>
      </c>
      <c r="I3852" t="s">
        <v>14</v>
      </c>
      <c r="J3852" t="s">
        <v>14</v>
      </c>
      <c r="K3852">
        <v>18</v>
      </c>
      <c r="L3852" t="str">
        <f>IF(AND(CallLog[[#This Row],[Answered (Y/N)]]="Y", CallLog[[#This Row],[Speed of answer in seconds]]&lt;=20),
    "Within",
    "Breach")</f>
        <v>Within</v>
      </c>
      <c r="M3852" s="1">
        <v>1.4699074074074074E-3</v>
      </c>
      <c r="N3852">
        <v>5</v>
      </c>
    </row>
    <row r="3853" spans="1:14" x14ac:dyDescent="0.3">
      <c r="A3853" t="s">
        <v>3943</v>
      </c>
      <c r="B3853" t="s">
        <v>31</v>
      </c>
      <c r="C3853" t="s">
        <v>3892</v>
      </c>
      <c r="D3853" s="1">
        <v>0.74200231481481482</v>
      </c>
      <c r="E3853" s="2">
        <f>CallLog[[#This Row],[Date]]+CallLog[[#This Row],[Time]]</f>
        <v>44263.742002314815</v>
      </c>
      <c r="F3853" s="1" t="str">
        <f>TEXT(CallLog[[#This Row],[Date]],"dddd")</f>
        <v>Monday</v>
      </c>
      <c r="G3853" s="3">
        <f>HOUR(CallLog[[#This Row],[Time]])</f>
        <v>17</v>
      </c>
      <c r="H3853" t="s">
        <v>13</v>
      </c>
      <c r="I3853" t="s">
        <v>14</v>
      </c>
      <c r="J3853" t="s">
        <v>14</v>
      </c>
      <c r="K3853">
        <v>33</v>
      </c>
      <c r="L3853" t="str">
        <f>IF(AND(CallLog[[#This Row],[Answered (Y/N)]]="Y", CallLog[[#This Row],[Speed of answer in seconds]]&lt;=20),
    "Within",
    "Breach")</f>
        <v>Breach</v>
      </c>
      <c r="M3853" s="1">
        <v>3.2754629629629631E-3</v>
      </c>
      <c r="N3853">
        <v>3</v>
      </c>
    </row>
    <row r="3854" spans="1:14" x14ac:dyDescent="0.3">
      <c r="A3854" t="s">
        <v>3944</v>
      </c>
      <c r="B3854" t="s">
        <v>31</v>
      </c>
      <c r="C3854" t="s">
        <v>3892</v>
      </c>
      <c r="D3854" s="1">
        <v>0.74400462962962965</v>
      </c>
      <c r="E3854" s="2">
        <f>CallLog[[#This Row],[Date]]+CallLog[[#This Row],[Time]]</f>
        <v>44263.744004629632</v>
      </c>
      <c r="F3854" s="1" t="str">
        <f>TEXT(CallLog[[#This Row],[Date]],"dddd")</f>
        <v>Monday</v>
      </c>
      <c r="G3854" s="3">
        <f>HOUR(CallLog[[#This Row],[Time]])</f>
        <v>17</v>
      </c>
      <c r="H3854" t="s">
        <v>13</v>
      </c>
      <c r="I3854" t="s">
        <v>14</v>
      </c>
      <c r="J3854" t="s">
        <v>14</v>
      </c>
      <c r="K3854">
        <v>71</v>
      </c>
      <c r="L3854" t="str">
        <f>IF(AND(CallLog[[#This Row],[Answered (Y/N)]]="Y", CallLog[[#This Row],[Speed of answer in seconds]]&lt;=20),
    "Within",
    "Breach")</f>
        <v>Breach</v>
      </c>
      <c r="M3854" s="1">
        <v>3.1944444444444446E-3</v>
      </c>
      <c r="N3854">
        <v>4</v>
      </c>
    </row>
    <row r="3855" spans="1:14" x14ac:dyDescent="0.3">
      <c r="A3855" t="s">
        <v>3945</v>
      </c>
      <c r="B3855" t="s">
        <v>47</v>
      </c>
      <c r="C3855" t="s">
        <v>3892</v>
      </c>
      <c r="D3855" s="1">
        <v>0.74400462962962965</v>
      </c>
      <c r="E3855" s="2">
        <f>CallLog[[#This Row],[Date]]+CallLog[[#This Row],[Time]]</f>
        <v>44263.744004629632</v>
      </c>
      <c r="F3855" s="1" t="str">
        <f>TEXT(CallLog[[#This Row],[Date]],"dddd")</f>
        <v>Monday</v>
      </c>
      <c r="G3855" s="3">
        <f>HOUR(CallLog[[#This Row],[Time]])</f>
        <v>17</v>
      </c>
      <c r="H3855" t="s">
        <v>29</v>
      </c>
      <c r="I3855" t="s">
        <v>14</v>
      </c>
      <c r="J3855" t="s">
        <v>14</v>
      </c>
      <c r="K3855">
        <v>19</v>
      </c>
      <c r="L3855" t="str">
        <f>IF(AND(CallLog[[#This Row],[Answered (Y/N)]]="Y", CallLog[[#This Row],[Speed of answer in seconds]]&lt;=20),
    "Within",
    "Breach")</f>
        <v>Within</v>
      </c>
      <c r="M3855" s="1">
        <v>3.5532407407407409E-3</v>
      </c>
      <c r="N3855">
        <v>4</v>
      </c>
    </row>
    <row r="3856" spans="1:14" x14ac:dyDescent="0.3">
      <c r="A3856" t="s">
        <v>3946</v>
      </c>
      <c r="B3856" t="s">
        <v>47</v>
      </c>
      <c r="C3856" t="s">
        <v>3892</v>
      </c>
      <c r="D3856" s="1">
        <v>0.745</v>
      </c>
      <c r="E3856" s="2">
        <f>CallLog[[#This Row],[Date]]+CallLog[[#This Row],[Time]]</f>
        <v>44263.745000000003</v>
      </c>
      <c r="F3856" s="1" t="str">
        <f>TEXT(CallLog[[#This Row],[Date]],"dddd")</f>
        <v>Monday</v>
      </c>
      <c r="G3856" s="3">
        <f>HOUR(CallLog[[#This Row],[Time]])</f>
        <v>17</v>
      </c>
      <c r="H3856" t="s">
        <v>24</v>
      </c>
      <c r="I3856" t="s">
        <v>14</v>
      </c>
      <c r="J3856" t="s">
        <v>14</v>
      </c>
      <c r="K3856">
        <v>93</v>
      </c>
      <c r="L3856" t="str">
        <f>IF(AND(CallLog[[#This Row],[Answered (Y/N)]]="Y", CallLog[[#This Row],[Speed of answer in seconds]]&lt;=20),
    "Within",
    "Breach")</f>
        <v>Breach</v>
      </c>
      <c r="M3856" s="1">
        <v>4.6412037037037038E-3</v>
      </c>
      <c r="N3856">
        <v>4</v>
      </c>
    </row>
    <row r="3857" spans="1:14" x14ac:dyDescent="0.3">
      <c r="A3857" t="s">
        <v>3947</v>
      </c>
      <c r="B3857" t="s">
        <v>11</v>
      </c>
      <c r="C3857" t="s">
        <v>3892</v>
      </c>
      <c r="D3857" s="1">
        <v>0.745</v>
      </c>
      <c r="E3857" s="2">
        <f>CallLog[[#This Row],[Date]]+CallLog[[#This Row],[Time]]</f>
        <v>44263.745000000003</v>
      </c>
      <c r="F3857" s="1" t="str">
        <f>TEXT(CallLog[[#This Row],[Date]],"dddd")</f>
        <v>Monday</v>
      </c>
      <c r="G3857" s="3">
        <f>HOUR(CallLog[[#This Row],[Time]])</f>
        <v>17</v>
      </c>
      <c r="H3857" t="s">
        <v>17</v>
      </c>
      <c r="I3857" t="s">
        <v>14</v>
      </c>
      <c r="J3857" t="s">
        <v>14</v>
      </c>
      <c r="K3857">
        <v>43</v>
      </c>
      <c r="L3857" t="str">
        <f>IF(AND(CallLog[[#This Row],[Answered (Y/N)]]="Y", CallLog[[#This Row],[Speed of answer in seconds]]&lt;=20),
    "Within",
    "Breach")</f>
        <v>Breach</v>
      </c>
      <c r="M3857" s="1">
        <v>2.5347222222222221E-3</v>
      </c>
      <c r="N3857">
        <v>1</v>
      </c>
    </row>
    <row r="3858" spans="1:14" x14ac:dyDescent="0.3">
      <c r="A3858" t="s">
        <v>3948</v>
      </c>
      <c r="B3858" t="s">
        <v>11</v>
      </c>
      <c r="C3858" t="s">
        <v>3949</v>
      </c>
      <c r="D3858" s="1">
        <v>0.38799768518518518</v>
      </c>
      <c r="E3858" s="2">
        <f>CallLog[[#This Row],[Date]]+CallLog[[#This Row],[Time]]</f>
        <v>44264.387997685182</v>
      </c>
      <c r="F3858" s="1" t="str">
        <f>TEXT(CallLog[[#This Row],[Date]],"dddd")</f>
        <v>Tuesday</v>
      </c>
      <c r="G3858" s="3">
        <f>HOUR(CallLog[[#This Row],[Time]])</f>
        <v>9</v>
      </c>
      <c r="H3858" t="s">
        <v>17</v>
      </c>
      <c r="I3858" t="s">
        <v>14</v>
      </c>
      <c r="J3858" t="s">
        <v>18</v>
      </c>
      <c r="K3858">
        <v>92</v>
      </c>
      <c r="L3858" t="str">
        <f>IF(AND(CallLog[[#This Row],[Answered (Y/N)]]="Y", CallLog[[#This Row],[Speed of answer in seconds]]&lt;=20),
    "Within",
    "Breach")</f>
        <v>Breach</v>
      </c>
      <c r="M3858" s="1">
        <v>3.3912037037037036E-3</v>
      </c>
      <c r="N3858">
        <v>5</v>
      </c>
    </row>
    <row r="3859" spans="1:14" x14ac:dyDescent="0.3">
      <c r="A3859" t="s">
        <v>3950</v>
      </c>
      <c r="B3859" t="s">
        <v>38</v>
      </c>
      <c r="C3859" t="s">
        <v>3949</v>
      </c>
      <c r="D3859" s="1">
        <v>0.38799768518518518</v>
      </c>
      <c r="E3859" s="2">
        <f>CallLog[[#This Row],[Date]]+CallLog[[#This Row],[Time]]</f>
        <v>44264.387997685182</v>
      </c>
      <c r="F3859" s="1" t="str">
        <f>TEXT(CallLog[[#This Row],[Date]],"dddd")</f>
        <v>Tuesday</v>
      </c>
      <c r="G3859" s="3">
        <f>HOUR(CallLog[[#This Row],[Time]])</f>
        <v>9</v>
      </c>
      <c r="H3859" t="s">
        <v>13</v>
      </c>
      <c r="I3859" t="s">
        <v>14</v>
      </c>
      <c r="J3859" t="s">
        <v>14</v>
      </c>
      <c r="K3859">
        <v>19</v>
      </c>
      <c r="L3859" t="str">
        <f>IF(AND(CallLog[[#This Row],[Answered (Y/N)]]="Y", CallLog[[#This Row],[Speed of answer in seconds]]&lt;=20),
    "Within",
    "Breach")</f>
        <v>Within</v>
      </c>
      <c r="M3859" s="1">
        <v>3.6342592592592594E-3</v>
      </c>
      <c r="N3859">
        <v>3</v>
      </c>
    </row>
    <row r="3860" spans="1:14" x14ac:dyDescent="0.3">
      <c r="A3860" t="s">
        <v>3951</v>
      </c>
      <c r="B3860" t="s">
        <v>47</v>
      </c>
      <c r="C3860" t="s">
        <v>3949</v>
      </c>
      <c r="D3860" s="1">
        <v>0.40299768518518519</v>
      </c>
      <c r="E3860" s="2">
        <f>CallLog[[#This Row],[Date]]+CallLog[[#This Row],[Time]]</f>
        <v>44264.402997685182</v>
      </c>
      <c r="F3860" s="1" t="str">
        <f>TEXT(CallLog[[#This Row],[Date]],"dddd")</f>
        <v>Tuesday</v>
      </c>
      <c r="G3860" s="3">
        <f>HOUR(CallLog[[#This Row],[Time]])</f>
        <v>9</v>
      </c>
      <c r="H3860" t="s">
        <v>13</v>
      </c>
      <c r="I3860" t="s">
        <v>18</v>
      </c>
      <c r="J3860" t="s">
        <v>18</v>
      </c>
      <c r="L3860" t="str">
        <f>IF(AND(CallLog[[#This Row],[Answered (Y/N)]]="Y", CallLog[[#This Row],[Speed of answer in seconds]]&lt;=20),
    "Within",
    "Breach")</f>
        <v>Breach</v>
      </c>
    </row>
    <row r="3861" spans="1:14" x14ac:dyDescent="0.3">
      <c r="A3861" t="s">
        <v>3952</v>
      </c>
      <c r="B3861" t="s">
        <v>16</v>
      </c>
      <c r="C3861" t="s">
        <v>3949</v>
      </c>
      <c r="D3861" s="1">
        <v>0.40299768518518519</v>
      </c>
      <c r="E3861" s="2">
        <f>CallLog[[#This Row],[Date]]+CallLog[[#This Row],[Time]]</f>
        <v>44264.402997685182</v>
      </c>
      <c r="F3861" s="1" t="str">
        <f>TEXT(CallLog[[#This Row],[Date]],"dddd")</f>
        <v>Tuesday</v>
      </c>
      <c r="G3861" s="3">
        <f>HOUR(CallLog[[#This Row],[Time]])</f>
        <v>9</v>
      </c>
      <c r="H3861" t="s">
        <v>13</v>
      </c>
      <c r="I3861" t="s">
        <v>14</v>
      </c>
      <c r="J3861" t="s">
        <v>14</v>
      </c>
      <c r="K3861">
        <v>66</v>
      </c>
      <c r="L3861" t="str">
        <f>IF(AND(CallLog[[#This Row],[Answered (Y/N)]]="Y", CallLog[[#This Row],[Speed of answer in seconds]]&lt;=20),
    "Within",
    "Breach")</f>
        <v>Breach</v>
      </c>
      <c r="M3861" s="1">
        <v>1.5625000000000001E-3</v>
      </c>
      <c r="N3861">
        <v>1</v>
      </c>
    </row>
    <row r="3862" spans="1:14" x14ac:dyDescent="0.3">
      <c r="A3862" t="s">
        <v>3953</v>
      </c>
      <c r="B3862" t="s">
        <v>22</v>
      </c>
      <c r="C3862" t="s">
        <v>3949</v>
      </c>
      <c r="D3862" s="1">
        <v>0.42599537037037039</v>
      </c>
      <c r="E3862" s="2">
        <f>CallLog[[#This Row],[Date]]+CallLog[[#This Row],[Time]]</f>
        <v>44264.425995370373</v>
      </c>
      <c r="F3862" s="1" t="str">
        <f>TEXT(CallLog[[#This Row],[Date]],"dddd")</f>
        <v>Tuesday</v>
      </c>
      <c r="G3862" s="3">
        <f>HOUR(CallLog[[#This Row],[Time]])</f>
        <v>10</v>
      </c>
      <c r="H3862" t="s">
        <v>13</v>
      </c>
      <c r="I3862" t="s">
        <v>14</v>
      </c>
      <c r="J3862" t="s">
        <v>14</v>
      </c>
      <c r="K3862">
        <v>47</v>
      </c>
      <c r="L3862" t="str">
        <f>IF(AND(CallLog[[#This Row],[Answered (Y/N)]]="Y", CallLog[[#This Row],[Speed of answer in seconds]]&lt;=20),
    "Within",
    "Breach")</f>
        <v>Breach</v>
      </c>
      <c r="M3862" s="1">
        <v>1.5740740740740741E-3</v>
      </c>
      <c r="N3862">
        <v>4</v>
      </c>
    </row>
    <row r="3863" spans="1:14" x14ac:dyDescent="0.3">
      <c r="A3863" t="s">
        <v>3954</v>
      </c>
      <c r="B3863" t="s">
        <v>47</v>
      </c>
      <c r="C3863" t="s">
        <v>3949</v>
      </c>
      <c r="D3863" s="1">
        <v>0.42599537037037039</v>
      </c>
      <c r="E3863" s="2">
        <f>CallLog[[#This Row],[Date]]+CallLog[[#This Row],[Time]]</f>
        <v>44264.425995370373</v>
      </c>
      <c r="F3863" s="1" t="str">
        <f>TEXT(CallLog[[#This Row],[Date]],"dddd")</f>
        <v>Tuesday</v>
      </c>
      <c r="G3863" s="3">
        <f>HOUR(CallLog[[#This Row],[Time]])</f>
        <v>10</v>
      </c>
      <c r="H3863" t="s">
        <v>17</v>
      </c>
      <c r="I3863" t="s">
        <v>14</v>
      </c>
      <c r="J3863" t="s">
        <v>14</v>
      </c>
      <c r="K3863">
        <v>80</v>
      </c>
      <c r="L3863" t="str">
        <f>IF(AND(CallLog[[#This Row],[Answered (Y/N)]]="Y", CallLog[[#This Row],[Speed of answer in seconds]]&lt;=20),
    "Within",
    "Breach")</f>
        <v>Breach</v>
      </c>
      <c r="M3863" s="1">
        <v>3.7384259259259259E-3</v>
      </c>
      <c r="N3863">
        <v>3</v>
      </c>
    </row>
    <row r="3864" spans="1:14" x14ac:dyDescent="0.3">
      <c r="A3864" t="s">
        <v>3955</v>
      </c>
      <c r="B3864" t="s">
        <v>22</v>
      </c>
      <c r="C3864" t="s">
        <v>3949</v>
      </c>
      <c r="D3864" s="1">
        <v>0.43599537037037039</v>
      </c>
      <c r="E3864" s="2">
        <f>CallLog[[#This Row],[Date]]+CallLog[[#This Row],[Time]]</f>
        <v>44264.435995370368</v>
      </c>
      <c r="F3864" s="1" t="str">
        <f>TEXT(CallLog[[#This Row],[Date]],"dddd")</f>
        <v>Tuesday</v>
      </c>
      <c r="G3864" s="3">
        <f>HOUR(CallLog[[#This Row],[Time]])</f>
        <v>10</v>
      </c>
      <c r="H3864" t="s">
        <v>32</v>
      </c>
      <c r="I3864" t="s">
        <v>14</v>
      </c>
      <c r="J3864" t="s">
        <v>14</v>
      </c>
      <c r="K3864">
        <v>82</v>
      </c>
      <c r="L3864" t="str">
        <f>IF(AND(CallLog[[#This Row],[Answered (Y/N)]]="Y", CallLog[[#This Row],[Speed of answer in seconds]]&lt;=20),
    "Within",
    "Breach")</f>
        <v>Breach</v>
      </c>
      <c r="M3864" s="1">
        <v>2.5115740740740741E-3</v>
      </c>
      <c r="N3864">
        <v>2</v>
      </c>
    </row>
    <row r="3865" spans="1:14" x14ac:dyDescent="0.3">
      <c r="A3865" t="s">
        <v>3956</v>
      </c>
      <c r="B3865" t="s">
        <v>38</v>
      </c>
      <c r="C3865" t="s">
        <v>3949</v>
      </c>
      <c r="D3865" s="1">
        <v>0.43599537037037039</v>
      </c>
      <c r="E3865" s="2">
        <f>CallLog[[#This Row],[Date]]+CallLog[[#This Row],[Time]]</f>
        <v>44264.435995370368</v>
      </c>
      <c r="F3865" s="1" t="str">
        <f>TEXT(CallLog[[#This Row],[Date]],"dddd")</f>
        <v>Tuesday</v>
      </c>
      <c r="G3865" s="3">
        <f>HOUR(CallLog[[#This Row],[Time]])</f>
        <v>10</v>
      </c>
      <c r="H3865" t="s">
        <v>17</v>
      </c>
      <c r="I3865" t="s">
        <v>14</v>
      </c>
      <c r="J3865" t="s">
        <v>14</v>
      </c>
      <c r="K3865">
        <v>88</v>
      </c>
      <c r="L3865" t="str">
        <f>IF(AND(CallLog[[#This Row],[Answered (Y/N)]]="Y", CallLog[[#This Row],[Speed of answer in seconds]]&lt;=20),
    "Within",
    "Breach")</f>
        <v>Breach</v>
      </c>
      <c r="M3865" s="1">
        <v>1.9791666666666668E-3</v>
      </c>
      <c r="N3865">
        <v>1</v>
      </c>
    </row>
    <row r="3866" spans="1:14" x14ac:dyDescent="0.3">
      <c r="A3866" t="s">
        <v>3957</v>
      </c>
      <c r="B3866" t="s">
        <v>38</v>
      </c>
      <c r="C3866" t="s">
        <v>3949</v>
      </c>
      <c r="D3866" s="1">
        <v>0.43700231481481483</v>
      </c>
      <c r="E3866" s="2">
        <f>CallLog[[#This Row],[Date]]+CallLog[[#This Row],[Time]]</f>
        <v>44264.437002314815</v>
      </c>
      <c r="F3866" s="1" t="str">
        <f>TEXT(CallLog[[#This Row],[Date]],"dddd")</f>
        <v>Tuesday</v>
      </c>
      <c r="G3866" s="3">
        <f>HOUR(CallLog[[#This Row],[Time]])</f>
        <v>10</v>
      </c>
      <c r="H3866" t="s">
        <v>17</v>
      </c>
      <c r="I3866" t="s">
        <v>14</v>
      </c>
      <c r="J3866" t="s">
        <v>14</v>
      </c>
      <c r="K3866">
        <v>51</v>
      </c>
      <c r="L3866" t="str">
        <f>IF(AND(CallLog[[#This Row],[Answered (Y/N)]]="Y", CallLog[[#This Row],[Speed of answer in seconds]]&lt;=20),
    "Within",
    "Breach")</f>
        <v>Breach</v>
      </c>
      <c r="M3866" s="1">
        <v>9.9537037037037042E-4</v>
      </c>
      <c r="N3866">
        <v>4</v>
      </c>
    </row>
    <row r="3867" spans="1:14" x14ac:dyDescent="0.3">
      <c r="A3867" t="s">
        <v>3958</v>
      </c>
      <c r="B3867" t="s">
        <v>16</v>
      </c>
      <c r="C3867" t="s">
        <v>3949</v>
      </c>
      <c r="D3867" s="1">
        <v>0.43700231481481483</v>
      </c>
      <c r="E3867" s="2">
        <f>CallLog[[#This Row],[Date]]+CallLog[[#This Row],[Time]]</f>
        <v>44264.437002314815</v>
      </c>
      <c r="F3867" s="1" t="str">
        <f>TEXT(CallLog[[#This Row],[Date]],"dddd")</f>
        <v>Tuesday</v>
      </c>
      <c r="G3867" s="3">
        <f>HOUR(CallLog[[#This Row],[Time]])</f>
        <v>10</v>
      </c>
      <c r="H3867" t="s">
        <v>13</v>
      </c>
      <c r="I3867" t="s">
        <v>14</v>
      </c>
      <c r="J3867" t="s">
        <v>18</v>
      </c>
      <c r="K3867">
        <v>41</v>
      </c>
      <c r="L3867" t="str">
        <f>IF(AND(CallLog[[#This Row],[Answered (Y/N)]]="Y", CallLog[[#This Row],[Speed of answer in seconds]]&lt;=20),
    "Within",
    "Breach")</f>
        <v>Breach</v>
      </c>
      <c r="M3867" s="1">
        <v>3.7499999999999999E-3</v>
      </c>
      <c r="N3867">
        <v>3</v>
      </c>
    </row>
    <row r="3868" spans="1:14" x14ac:dyDescent="0.3">
      <c r="A3868" t="s">
        <v>3959</v>
      </c>
      <c r="B3868" t="s">
        <v>11</v>
      </c>
      <c r="C3868" t="s">
        <v>3949</v>
      </c>
      <c r="D3868" s="1">
        <v>0.43799768518518517</v>
      </c>
      <c r="E3868" s="2">
        <f>CallLog[[#This Row],[Date]]+CallLog[[#This Row],[Time]]</f>
        <v>44264.437997685185</v>
      </c>
      <c r="F3868" s="1" t="str">
        <f>TEXT(CallLog[[#This Row],[Date]],"dddd")</f>
        <v>Tuesday</v>
      </c>
      <c r="G3868" s="3">
        <f>HOUR(CallLog[[#This Row],[Time]])</f>
        <v>10</v>
      </c>
      <c r="H3868" t="s">
        <v>24</v>
      </c>
      <c r="I3868" t="s">
        <v>14</v>
      </c>
      <c r="J3868" t="s">
        <v>14</v>
      </c>
      <c r="K3868">
        <v>46</v>
      </c>
      <c r="L3868" t="str">
        <f>IF(AND(CallLog[[#This Row],[Answered (Y/N)]]="Y", CallLog[[#This Row],[Speed of answer in seconds]]&lt;=20),
    "Within",
    "Breach")</f>
        <v>Breach</v>
      </c>
      <c r="M3868" s="1">
        <v>2.0138888888888888E-3</v>
      </c>
      <c r="N3868">
        <v>1</v>
      </c>
    </row>
    <row r="3869" spans="1:14" x14ac:dyDescent="0.3">
      <c r="A3869" t="s">
        <v>3960</v>
      </c>
      <c r="B3869" t="s">
        <v>38</v>
      </c>
      <c r="C3869" t="s">
        <v>3949</v>
      </c>
      <c r="D3869" s="1">
        <v>0.43799768518518517</v>
      </c>
      <c r="E3869" s="2">
        <f>CallLog[[#This Row],[Date]]+CallLog[[#This Row],[Time]]</f>
        <v>44264.437997685185</v>
      </c>
      <c r="F3869" s="1" t="str">
        <f>TEXT(CallLog[[#This Row],[Date]],"dddd")</f>
        <v>Tuesday</v>
      </c>
      <c r="G3869" s="3">
        <f>HOUR(CallLog[[#This Row],[Time]])</f>
        <v>10</v>
      </c>
      <c r="H3869" t="s">
        <v>17</v>
      </c>
      <c r="I3869" t="s">
        <v>14</v>
      </c>
      <c r="J3869" t="s">
        <v>14</v>
      </c>
      <c r="K3869">
        <v>113</v>
      </c>
      <c r="L3869" t="str">
        <f>IF(AND(CallLog[[#This Row],[Answered (Y/N)]]="Y", CallLog[[#This Row],[Speed of answer in seconds]]&lt;=20),
    "Within",
    "Breach")</f>
        <v>Breach</v>
      </c>
      <c r="M3869" s="1">
        <v>4.6412037037037038E-3</v>
      </c>
      <c r="N3869">
        <v>4</v>
      </c>
    </row>
    <row r="3870" spans="1:14" x14ac:dyDescent="0.3">
      <c r="A3870" t="s">
        <v>3961</v>
      </c>
      <c r="B3870" t="s">
        <v>11</v>
      </c>
      <c r="C3870" t="s">
        <v>3949</v>
      </c>
      <c r="D3870" s="1">
        <v>0.46</v>
      </c>
      <c r="E3870" s="2">
        <f>CallLog[[#This Row],[Date]]+CallLog[[#This Row],[Time]]</f>
        <v>44264.46</v>
      </c>
      <c r="F3870" s="1" t="str">
        <f>TEXT(CallLog[[#This Row],[Date]],"dddd")</f>
        <v>Tuesday</v>
      </c>
      <c r="G3870" s="3">
        <f>HOUR(CallLog[[#This Row],[Time]])</f>
        <v>11</v>
      </c>
      <c r="H3870" t="s">
        <v>29</v>
      </c>
      <c r="I3870" t="s">
        <v>14</v>
      </c>
      <c r="J3870" t="s">
        <v>14</v>
      </c>
      <c r="K3870">
        <v>52</v>
      </c>
      <c r="L3870" t="str">
        <f>IF(AND(CallLog[[#This Row],[Answered (Y/N)]]="Y", CallLog[[#This Row],[Speed of answer in seconds]]&lt;=20),
    "Within",
    "Breach")</f>
        <v>Breach</v>
      </c>
      <c r="M3870" s="1">
        <v>2.0370370370370369E-3</v>
      </c>
      <c r="N3870">
        <v>4</v>
      </c>
    </row>
    <row r="3871" spans="1:14" x14ac:dyDescent="0.3">
      <c r="A3871" t="s">
        <v>3962</v>
      </c>
      <c r="B3871" t="s">
        <v>11</v>
      </c>
      <c r="C3871" t="s">
        <v>3949</v>
      </c>
      <c r="D3871" s="1">
        <v>0.46</v>
      </c>
      <c r="E3871" s="2">
        <f>CallLog[[#This Row],[Date]]+CallLog[[#This Row],[Time]]</f>
        <v>44264.46</v>
      </c>
      <c r="F3871" s="1" t="str">
        <f>TEXT(CallLog[[#This Row],[Date]],"dddd")</f>
        <v>Tuesday</v>
      </c>
      <c r="G3871" s="3">
        <f>HOUR(CallLog[[#This Row],[Time]])</f>
        <v>11</v>
      </c>
      <c r="H3871" t="s">
        <v>17</v>
      </c>
      <c r="I3871" t="s">
        <v>14</v>
      </c>
      <c r="J3871" t="s">
        <v>14</v>
      </c>
      <c r="K3871">
        <v>77</v>
      </c>
      <c r="L3871" t="str">
        <f>IF(AND(CallLog[[#This Row],[Answered (Y/N)]]="Y", CallLog[[#This Row],[Speed of answer in seconds]]&lt;=20),
    "Within",
    "Breach")</f>
        <v>Breach</v>
      </c>
      <c r="M3871" s="1">
        <v>3.4837962962962965E-3</v>
      </c>
      <c r="N3871">
        <v>3</v>
      </c>
    </row>
    <row r="3872" spans="1:14" x14ac:dyDescent="0.3">
      <c r="A3872" t="s">
        <v>3963</v>
      </c>
      <c r="B3872" t="s">
        <v>22</v>
      </c>
      <c r="C3872" t="s">
        <v>3949</v>
      </c>
      <c r="D3872" s="1">
        <v>0.46099537037037036</v>
      </c>
      <c r="E3872" s="2">
        <f>CallLog[[#This Row],[Date]]+CallLog[[#This Row],[Time]]</f>
        <v>44264.460995370369</v>
      </c>
      <c r="F3872" s="1" t="str">
        <f>TEXT(CallLog[[#This Row],[Date]],"dddd")</f>
        <v>Tuesday</v>
      </c>
      <c r="G3872" s="3">
        <f>HOUR(CallLog[[#This Row],[Time]])</f>
        <v>11</v>
      </c>
      <c r="H3872" t="s">
        <v>32</v>
      </c>
      <c r="I3872" t="s">
        <v>14</v>
      </c>
      <c r="J3872" t="s">
        <v>14</v>
      </c>
      <c r="K3872">
        <v>119</v>
      </c>
      <c r="L3872" t="str">
        <f>IF(AND(CallLog[[#This Row],[Answered (Y/N)]]="Y", CallLog[[#This Row],[Speed of answer in seconds]]&lt;=20),
    "Within",
    "Breach")</f>
        <v>Breach</v>
      </c>
      <c r="M3872" s="1">
        <v>1.3425925925925925E-3</v>
      </c>
      <c r="N3872">
        <v>1</v>
      </c>
    </row>
    <row r="3873" spans="1:14" x14ac:dyDescent="0.3">
      <c r="A3873" t="s">
        <v>3964</v>
      </c>
      <c r="B3873" t="s">
        <v>11</v>
      </c>
      <c r="C3873" t="s">
        <v>3949</v>
      </c>
      <c r="D3873" s="1">
        <v>0.46099537037037036</v>
      </c>
      <c r="E3873" s="2">
        <f>CallLog[[#This Row],[Date]]+CallLog[[#This Row],[Time]]</f>
        <v>44264.460995370369</v>
      </c>
      <c r="F3873" s="1" t="str">
        <f>TEXT(CallLog[[#This Row],[Date]],"dddd")</f>
        <v>Tuesday</v>
      </c>
      <c r="G3873" s="3">
        <f>HOUR(CallLog[[#This Row],[Time]])</f>
        <v>11</v>
      </c>
      <c r="H3873" t="s">
        <v>24</v>
      </c>
      <c r="I3873" t="s">
        <v>18</v>
      </c>
      <c r="J3873" t="s">
        <v>18</v>
      </c>
      <c r="L3873" t="str">
        <f>IF(AND(CallLog[[#This Row],[Answered (Y/N)]]="Y", CallLog[[#This Row],[Speed of answer in seconds]]&lt;=20),
    "Within",
    "Breach")</f>
        <v>Breach</v>
      </c>
    </row>
    <row r="3874" spans="1:14" x14ac:dyDescent="0.3">
      <c r="A3874" t="s">
        <v>3965</v>
      </c>
      <c r="B3874" t="s">
        <v>34</v>
      </c>
      <c r="C3874" t="s">
        <v>3949</v>
      </c>
      <c r="D3874" s="1">
        <v>0.47400462962962964</v>
      </c>
      <c r="E3874" s="2">
        <f>CallLog[[#This Row],[Date]]+CallLog[[#This Row],[Time]]</f>
        <v>44264.474004629628</v>
      </c>
      <c r="F3874" s="1" t="str">
        <f>TEXT(CallLog[[#This Row],[Date]],"dddd")</f>
        <v>Tuesday</v>
      </c>
      <c r="G3874" s="3">
        <f>HOUR(CallLog[[#This Row],[Time]])</f>
        <v>11</v>
      </c>
      <c r="H3874" t="s">
        <v>29</v>
      </c>
      <c r="I3874" t="s">
        <v>14</v>
      </c>
      <c r="J3874" t="s">
        <v>14</v>
      </c>
      <c r="K3874">
        <v>63</v>
      </c>
      <c r="L3874" t="str">
        <f>IF(AND(CallLog[[#This Row],[Answered (Y/N)]]="Y", CallLog[[#This Row],[Speed of answer in seconds]]&lt;=20),
    "Within",
    "Breach")</f>
        <v>Breach</v>
      </c>
      <c r="M3874" s="1">
        <v>5.7870370370370367E-4</v>
      </c>
      <c r="N3874">
        <v>3</v>
      </c>
    </row>
    <row r="3875" spans="1:14" x14ac:dyDescent="0.3">
      <c r="A3875" t="s">
        <v>3966</v>
      </c>
      <c r="B3875" t="s">
        <v>16</v>
      </c>
      <c r="C3875" t="s">
        <v>3949</v>
      </c>
      <c r="D3875" s="1">
        <v>0.47400462962962964</v>
      </c>
      <c r="E3875" s="2">
        <f>CallLog[[#This Row],[Date]]+CallLog[[#This Row],[Time]]</f>
        <v>44264.474004629628</v>
      </c>
      <c r="F3875" s="1" t="str">
        <f>TEXT(CallLog[[#This Row],[Date]],"dddd")</f>
        <v>Tuesday</v>
      </c>
      <c r="G3875" s="3">
        <f>HOUR(CallLog[[#This Row],[Time]])</f>
        <v>11</v>
      </c>
      <c r="H3875" t="s">
        <v>32</v>
      </c>
      <c r="I3875" t="s">
        <v>14</v>
      </c>
      <c r="J3875" t="s">
        <v>18</v>
      </c>
      <c r="K3875">
        <v>41</v>
      </c>
      <c r="L3875" t="str">
        <f>IF(AND(CallLog[[#This Row],[Answered (Y/N)]]="Y", CallLog[[#This Row],[Speed of answer in seconds]]&lt;=20),
    "Within",
    "Breach")</f>
        <v>Breach</v>
      </c>
      <c r="M3875" s="1">
        <v>4.409722222222222E-3</v>
      </c>
      <c r="N3875">
        <v>4</v>
      </c>
    </row>
    <row r="3876" spans="1:14" x14ac:dyDescent="0.3">
      <c r="A3876" t="s">
        <v>3967</v>
      </c>
      <c r="B3876" t="s">
        <v>11</v>
      </c>
      <c r="C3876" t="s">
        <v>3949</v>
      </c>
      <c r="D3876" s="1">
        <v>0.49200231481481482</v>
      </c>
      <c r="E3876" s="2">
        <f>CallLog[[#This Row],[Date]]+CallLog[[#This Row],[Time]]</f>
        <v>44264.492002314815</v>
      </c>
      <c r="F3876" s="1" t="str">
        <f>TEXT(CallLog[[#This Row],[Date]],"dddd")</f>
        <v>Tuesday</v>
      </c>
      <c r="G3876" s="3">
        <f>HOUR(CallLog[[#This Row],[Time]])</f>
        <v>11</v>
      </c>
      <c r="H3876" t="s">
        <v>13</v>
      </c>
      <c r="I3876" t="s">
        <v>14</v>
      </c>
      <c r="J3876" t="s">
        <v>14</v>
      </c>
      <c r="K3876">
        <v>93</v>
      </c>
      <c r="L3876" t="str">
        <f>IF(AND(CallLog[[#This Row],[Answered (Y/N)]]="Y", CallLog[[#This Row],[Speed of answer in seconds]]&lt;=20),
    "Within",
    "Breach")</f>
        <v>Breach</v>
      </c>
      <c r="M3876" s="1">
        <v>4.6296296296296294E-3</v>
      </c>
      <c r="N3876">
        <v>5</v>
      </c>
    </row>
    <row r="3877" spans="1:14" x14ac:dyDescent="0.3">
      <c r="A3877" t="s">
        <v>3968</v>
      </c>
      <c r="B3877" t="s">
        <v>16</v>
      </c>
      <c r="C3877" t="s">
        <v>3949</v>
      </c>
      <c r="D3877" s="1">
        <v>0.49200231481481482</v>
      </c>
      <c r="E3877" s="2">
        <f>CallLog[[#This Row],[Date]]+CallLog[[#This Row],[Time]]</f>
        <v>44264.492002314815</v>
      </c>
      <c r="F3877" s="1" t="str">
        <f>TEXT(CallLog[[#This Row],[Date]],"dddd")</f>
        <v>Tuesday</v>
      </c>
      <c r="G3877" s="3">
        <f>HOUR(CallLog[[#This Row],[Time]])</f>
        <v>11</v>
      </c>
      <c r="H3877" t="s">
        <v>32</v>
      </c>
      <c r="I3877" t="s">
        <v>14</v>
      </c>
      <c r="J3877" t="s">
        <v>18</v>
      </c>
      <c r="K3877">
        <v>63</v>
      </c>
      <c r="L3877" t="str">
        <f>IF(AND(CallLog[[#This Row],[Answered (Y/N)]]="Y", CallLog[[#This Row],[Speed of answer in seconds]]&lt;=20),
    "Within",
    "Breach")</f>
        <v>Breach</v>
      </c>
      <c r="M3877" s="1">
        <v>3.5416666666666665E-3</v>
      </c>
      <c r="N3877">
        <v>2</v>
      </c>
    </row>
    <row r="3878" spans="1:14" x14ac:dyDescent="0.3">
      <c r="A3878" t="s">
        <v>3969</v>
      </c>
      <c r="B3878" t="s">
        <v>11</v>
      </c>
      <c r="C3878" t="s">
        <v>3949</v>
      </c>
      <c r="D3878" s="1">
        <v>0.55700231481481477</v>
      </c>
      <c r="E3878" s="2">
        <f>CallLog[[#This Row],[Date]]+CallLog[[#This Row],[Time]]</f>
        <v>44264.557002314818</v>
      </c>
      <c r="F3878" s="1" t="str">
        <f>TEXT(CallLog[[#This Row],[Date]],"dddd")</f>
        <v>Tuesday</v>
      </c>
      <c r="G3878" s="3">
        <f>HOUR(CallLog[[#This Row],[Time]])</f>
        <v>13</v>
      </c>
      <c r="H3878" t="s">
        <v>13</v>
      </c>
      <c r="I3878" t="s">
        <v>18</v>
      </c>
      <c r="J3878" t="s">
        <v>18</v>
      </c>
      <c r="L3878" t="str">
        <f>IF(AND(CallLog[[#This Row],[Answered (Y/N)]]="Y", CallLog[[#This Row],[Speed of answer in seconds]]&lt;=20),
    "Within",
    "Breach")</f>
        <v>Breach</v>
      </c>
    </row>
    <row r="3879" spans="1:14" x14ac:dyDescent="0.3">
      <c r="A3879" t="s">
        <v>3970</v>
      </c>
      <c r="B3879" t="s">
        <v>38</v>
      </c>
      <c r="C3879" t="s">
        <v>3949</v>
      </c>
      <c r="D3879" s="1">
        <v>0.55700231481481477</v>
      </c>
      <c r="E3879" s="2">
        <f>CallLog[[#This Row],[Date]]+CallLog[[#This Row],[Time]]</f>
        <v>44264.557002314818</v>
      </c>
      <c r="F3879" s="1" t="str">
        <f>TEXT(CallLog[[#This Row],[Date]],"dddd")</f>
        <v>Tuesday</v>
      </c>
      <c r="G3879" s="3">
        <f>HOUR(CallLog[[#This Row],[Time]])</f>
        <v>13</v>
      </c>
      <c r="H3879" t="s">
        <v>32</v>
      </c>
      <c r="I3879" t="s">
        <v>14</v>
      </c>
      <c r="J3879" t="s">
        <v>18</v>
      </c>
      <c r="K3879">
        <v>43</v>
      </c>
      <c r="L3879" t="str">
        <f>IF(AND(CallLog[[#This Row],[Answered (Y/N)]]="Y", CallLog[[#This Row],[Speed of answer in seconds]]&lt;=20),
    "Within",
    "Breach")</f>
        <v>Breach</v>
      </c>
      <c r="M3879" s="1">
        <v>1.3541666666666667E-3</v>
      </c>
      <c r="N3879">
        <v>2</v>
      </c>
    </row>
    <row r="3880" spans="1:14" x14ac:dyDescent="0.3">
      <c r="A3880" t="s">
        <v>3971</v>
      </c>
      <c r="B3880" t="s">
        <v>31</v>
      </c>
      <c r="C3880" t="s">
        <v>3949</v>
      </c>
      <c r="D3880" s="1">
        <v>0.56000000000000005</v>
      </c>
      <c r="E3880" s="2">
        <f>CallLog[[#This Row],[Date]]+CallLog[[#This Row],[Time]]</f>
        <v>44264.56</v>
      </c>
      <c r="F3880" s="1" t="str">
        <f>TEXT(CallLog[[#This Row],[Date]],"dddd")</f>
        <v>Tuesday</v>
      </c>
      <c r="G3880" s="3">
        <f>HOUR(CallLog[[#This Row],[Time]])</f>
        <v>13</v>
      </c>
      <c r="H3880" t="s">
        <v>24</v>
      </c>
      <c r="I3880" t="s">
        <v>14</v>
      </c>
      <c r="J3880" t="s">
        <v>14</v>
      </c>
      <c r="K3880">
        <v>88</v>
      </c>
      <c r="L3880" t="str">
        <f>IF(AND(CallLog[[#This Row],[Answered (Y/N)]]="Y", CallLog[[#This Row],[Speed of answer in seconds]]&lt;=20),
    "Within",
    "Breach")</f>
        <v>Breach</v>
      </c>
      <c r="M3880" s="1">
        <v>1.8055555555555555E-3</v>
      </c>
      <c r="N3880">
        <v>4</v>
      </c>
    </row>
    <row r="3881" spans="1:14" x14ac:dyDescent="0.3">
      <c r="A3881" t="s">
        <v>3972</v>
      </c>
      <c r="B3881" t="s">
        <v>20</v>
      </c>
      <c r="C3881" t="s">
        <v>3949</v>
      </c>
      <c r="D3881" s="1">
        <v>0.56000000000000005</v>
      </c>
      <c r="E3881" s="2">
        <f>CallLog[[#This Row],[Date]]+CallLog[[#This Row],[Time]]</f>
        <v>44264.56</v>
      </c>
      <c r="F3881" s="1" t="str">
        <f>TEXT(CallLog[[#This Row],[Date]],"dddd")</f>
        <v>Tuesday</v>
      </c>
      <c r="G3881" s="3">
        <f>HOUR(CallLog[[#This Row],[Time]])</f>
        <v>13</v>
      </c>
      <c r="H3881" t="s">
        <v>13</v>
      </c>
      <c r="I3881" t="s">
        <v>14</v>
      </c>
      <c r="J3881" t="s">
        <v>14</v>
      </c>
      <c r="K3881">
        <v>100</v>
      </c>
      <c r="L3881" t="str">
        <f>IF(AND(CallLog[[#This Row],[Answered (Y/N)]]="Y", CallLog[[#This Row],[Speed of answer in seconds]]&lt;=20),
    "Within",
    "Breach")</f>
        <v>Breach</v>
      </c>
      <c r="M3881" s="1">
        <v>7.6388888888888893E-4</v>
      </c>
      <c r="N3881">
        <v>4</v>
      </c>
    </row>
    <row r="3882" spans="1:14" x14ac:dyDescent="0.3">
      <c r="A3882" t="s">
        <v>3973</v>
      </c>
      <c r="B3882" t="s">
        <v>11</v>
      </c>
      <c r="C3882" t="s">
        <v>3949</v>
      </c>
      <c r="D3882" s="1">
        <v>0.57299768518518523</v>
      </c>
      <c r="E3882" s="2">
        <f>CallLog[[#This Row],[Date]]+CallLog[[#This Row],[Time]]</f>
        <v>44264.572997685187</v>
      </c>
      <c r="F3882" s="1" t="str">
        <f>TEXT(CallLog[[#This Row],[Date]],"dddd")</f>
        <v>Tuesday</v>
      </c>
      <c r="G3882" s="3">
        <f>HOUR(CallLog[[#This Row],[Time]])</f>
        <v>13</v>
      </c>
      <c r="H3882" t="s">
        <v>29</v>
      </c>
      <c r="I3882" t="s">
        <v>18</v>
      </c>
      <c r="J3882" t="s">
        <v>18</v>
      </c>
      <c r="L3882" t="str">
        <f>IF(AND(CallLog[[#This Row],[Answered (Y/N)]]="Y", CallLog[[#This Row],[Speed of answer in seconds]]&lt;=20),
    "Within",
    "Breach")</f>
        <v>Breach</v>
      </c>
    </row>
    <row r="3883" spans="1:14" x14ac:dyDescent="0.3">
      <c r="A3883" t="s">
        <v>3974</v>
      </c>
      <c r="B3883" t="s">
        <v>20</v>
      </c>
      <c r="C3883" t="s">
        <v>3949</v>
      </c>
      <c r="D3883" s="1">
        <v>0.57299768518518523</v>
      </c>
      <c r="E3883" s="2">
        <f>CallLog[[#This Row],[Date]]+CallLog[[#This Row],[Time]]</f>
        <v>44264.572997685187</v>
      </c>
      <c r="F3883" s="1" t="str">
        <f>TEXT(CallLog[[#This Row],[Date]],"dddd")</f>
        <v>Tuesday</v>
      </c>
      <c r="G3883" s="3">
        <f>HOUR(CallLog[[#This Row],[Time]])</f>
        <v>13</v>
      </c>
      <c r="H3883" t="s">
        <v>29</v>
      </c>
      <c r="I3883" t="s">
        <v>14</v>
      </c>
      <c r="J3883" t="s">
        <v>14</v>
      </c>
      <c r="K3883">
        <v>108</v>
      </c>
      <c r="L3883" t="str">
        <f>IF(AND(CallLog[[#This Row],[Answered (Y/N)]]="Y", CallLog[[#This Row],[Speed of answer in seconds]]&lt;=20),
    "Within",
    "Breach")</f>
        <v>Breach</v>
      </c>
      <c r="M3883" s="1">
        <v>7.0601851851851847E-4</v>
      </c>
      <c r="N3883">
        <v>5</v>
      </c>
    </row>
    <row r="3884" spans="1:14" x14ac:dyDescent="0.3">
      <c r="A3884" t="s">
        <v>3975</v>
      </c>
      <c r="B3884" t="s">
        <v>22</v>
      </c>
      <c r="C3884" t="s">
        <v>3949</v>
      </c>
      <c r="D3884" s="1">
        <v>0.64</v>
      </c>
      <c r="E3884" s="2">
        <f>CallLog[[#This Row],[Date]]+CallLog[[#This Row],[Time]]</f>
        <v>44264.639999999999</v>
      </c>
      <c r="F3884" s="1" t="str">
        <f>TEXT(CallLog[[#This Row],[Date]],"dddd")</f>
        <v>Tuesday</v>
      </c>
      <c r="G3884" s="3">
        <f>HOUR(CallLog[[#This Row],[Time]])</f>
        <v>15</v>
      </c>
      <c r="H3884" t="s">
        <v>24</v>
      </c>
      <c r="I3884" t="s">
        <v>14</v>
      </c>
      <c r="J3884" t="s">
        <v>14</v>
      </c>
      <c r="K3884">
        <v>88</v>
      </c>
      <c r="L3884" t="str">
        <f>IF(AND(CallLog[[#This Row],[Answered (Y/N)]]="Y", CallLog[[#This Row],[Speed of answer in seconds]]&lt;=20),
    "Within",
    "Breach")</f>
        <v>Breach</v>
      </c>
      <c r="M3884" s="1">
        <v>2.7893518518518519E-3</v>
      </c>
      <c r="N3884">
        <v>3</v>
      </c>
    </row>
    <row r="3885" spans="1:14" x14ac:dyDescent="0.3">
      <c r="A3885" t="s">
        <v>3976</v>
      </c>
      <c r="B3885" t="s">
        <v>11</v>
      </c>
      <c r="C3885" t="s">
        <v>3949</v>
      </c>
      <c r="D3885" s="1">
        <v>0.64</v>
      </c>
      <c r="E3885" s="2">
        <f>CallLog[[#This Row],[Date]]+CallLog[[#This Row],[Time]]</f>
        <v>44264.639999999999</v>
      </c>
      <c r="F3885" s="1" t="str">
        <f>TEXT(CallLog[[#This Row],[Date]],"dddd")</f>
        <v>Tuesday</v>
      </c>
      <c r="G3885" s="3">
        <f>HOUR(CallLog[[#This Row],[Time]])</f>
        <v>15</v>
      </c>
      <c r="H3885" t="s">
        <v>24</v>
      </c>
      <c r="I3885" t="s">
        <v>18</v>
      </c>
      <c r="J3885" t="s">
        <v>18</v>
      </c>
      <c r="L3885" t="str">
        <f>IF(AND(CallLog[[#This Row],[Answered (Y/N)]]="Y", CallLog[[#This Row],[Speed of answer in seconds]]&lt;=20),
    "Within",
    "Breach")</f>
        <v>Breach</v>
      </c>
    </row>
    <row r="3886" spans="1:14" x14ac:dyDescent="0.3">
      <c r="A3886" t="s">
        <v>3977</v>
      </c>
      <c r="B3886" t="s">
        <v>16</v>
      </c>
      <c r="C3886" t="s">
        <v>3949</v>
      </c>
      <c r="D3886" s="1">
        <v>0.64099537037037035</v>
      </c>
      <c r="E3886" s="2">
        <f>CallLog[[#This Row],[Date]]+CallLog[[#This Row],[Time]]</f>
        <v>44264.64099537037</v>
      </c>
      <c r="F3886" s="1" t="str">
        <f>TEXT(CallLog[[#This Row],[Date]],"dddd")</f>
        <v>Tuesday</v>
      </c>
      <c r="G3886" s="3">
        <f>HOUR(CallLog[[#This Row],[Time]])</f>
        <v>15</v>
      </c>
      <c r="H3886" t="s">
        <v>13</v>
      </c>
      <c r="I3886" t="s">
        <v>14</v>
      </c>
      <c r="J3886" t="s">
        <v>14</v>
      </c>
      <c r="K3886">
        <v>72</v>
      </c>
      <c r="L3886" t="str">
        <f>IF(AND(CallLog[[#This Row],[Answered (Y/N)]]="Y", CallLog[[#This Row],[Speed of answer in seconds]]&lt;=20),
    "Within",
    "Breach")</f>
        <v>Breach</v>
      </c>
      <c r="M3886" s="1">
        <v>3.2754629629629631E-3</v>
      </c>
      <c r="N3886">
        <v>3</v>
      </c>
    </row>
    <row r="3887" spans="1:14" x14ac:dyDescent="0.3">
      <c r="A3887" t="s">
        <v>3978</v>
      </c>
      <c r="B3887" t="s">
        <v>34</v>
      </c>
      <c r="C3887" t="s">
        <v>3949</v>
      </c>
      <c r="D3887" s="1">
        <v>0.64099537037037035</v>
      </c>
      <c r="E3887" s="2">
        <f>CallLog[[#This Row],[Date]]+CallLog[[#This Row],[Time]]</f>
        <v>44264.64099537037</v>
      </c>
      <c r="F3887" s="1" t="str">
        <f>TEXT(CallLog[[#This Row],[Date]],"dddd")</f>
        <v>Tuesday</v>
      </c>
      <c r="G3887" s="3">
        <f>HOUR(CallLog[[#This Row],[Time]])</f>
        <v>15</v>
      </c>
      <c r="H3887" t="s">
        <v>32</v>
      </c>
      <c r="I3887" t="s">
        <v>14</v>
      </c>
      <c r="J3887" t="s">
        <v>14</v>
      </c>
      <c r="K3887">
        <v>52</v>
      </c>
      <c r="L3887" t="str">
        <f>IF(AND(CallLog[[#This Row],[Answered (Y/N)]]="Y", CallLog[[#This Row],[Speed of answer in seconds]]&lt;=20),
    "Within",
    "Breach")</f>
        <v>Breach</v>
      </c>
      <c r="M3887" s="1">
        <v>2.4421296296296296E-3</v>
      </c>
      <c r="N3887">
        <v>5</v>
      </c>
    </row>
    <row r="3888" spans="1:14" x14ac:dyDescent="0.3">
      <c r="A3888" t="s">
        <v>3979</v>
      </c>
      <c r="B3888" t="s">
        <v>20</v>
      </c>
      <c r="C3888" t="s">
        <v>3949</v>
      </c>
      <c r="D3888" s="1">
        <v>0.64400462962962968</v>
      </c>
      <c r="E3888" s="2">
        <f>CallLog[[#This Row],[Date]]+CallLog[[#This Row],[Time]]</f>
        <v>44264.644004629627</v>
      </c>
      <c r="F3888" s="1" t="str">
        <f>TEXT(CallLog[[#This Row],[Date]],"dddd")</f>
        <v>Tuesday</v>
      </c>
      <c r="G3888" s="3">
        <f>HOUR(CallLog[[#This Row],[Time]])</f>
        <v>15</v>
      </c>
      <c r="H3888" t="s">
        <v>17</v>
      </c>
      <c r="I3888" t="s">
        <v>14</v>
      </c>
      <c r="J3888" t="s">
        <v>14</v>
      </c>
      <c r="K3888">
        <v>15</v>
      </c>
      <c r="L3888" t="str">
        <f>IF(AND(CallLog[[#This Row],[Answered (Y/N)]]="Y", CallLog[[#This Row],[Speed of answer in seconds]]&lt;=20),
    "Within",
    "Breach")</f>
        <v>Within</v>
      </c>
      <c r="M3888" s="1">
        <v>3.2754629629629631E-3</v>
      </c>
      <c r="N3888">
        <v>5</v>
      </c>
    </row>
    <row r="3889" spans="1:14" x14ac:dyDescent="0.3">
      <c r="A3889" t="s">
        <v>3980</v>
      </c>
      <c r="B3889" t="s">
        <v>47</v>
      </c>
      <c r="C3889" t="s">
        <v>3949</v>
      </c>
      <c r="D3889" s="1">
        <v>0.64400462962962968</v>
      </c>
      <c r="E3889" s="2">
        <f>CallLog[[#This Row],[Date]]+CallLog[[#This Row],[Time]]</f>
        <v>44264.644004629627</v>
      </c>
      <c r="F3889" s="1" t="str">
        <f>TEXT(CallLog[[#This Row],[Date]],"dddd")</f>
        <v>Tuesday</v>
      </c>
      <c r="G3889" s="3">
        <f>HOUR(CallLog[[#This Row],[Time]])</f>
        <v>15</v>
      </c>
      <c r="H3889" t="s">
        <v>24</v>
      </c>
      <c r="I3889" t="s">
        <v>14</v>
      </c>
      <c r="J3889" t="s">
        <v>14</v>
      </c>
      <c r="K3889">
        <v>113</v>
      </c>
      <c r="L3889" t="str">
        <f>IF(AND(CallLog[[#This Row],[Answered (Y/N)]]="Y", CallLog[[#This Row],[Speed of answer in seconds]]&lt;=20),
    "Within",
    "Breach")</f>
        <v>Breach</v>
      </c>
      <c r="M3889" s="1">
        <v>3.3449074074074076E-3</v>
      </c>
      <c r="N3889">
        <v>3</v>
      </c>
    </row>
    <row r="3890" spans="1:14" x14ac:dyDescent="0.3">
      <c r="A3890" t="s">
        <v>3981</v>
      </c>
      <c r="B3890" t="s">
        <v>38</v>
      </c>
      <c r="C3890" t="s">
        <v>3949</v>
      </c>
      <c r="D3890" s="1">
        <v>0.65400462962962957</v>
      </c>
      <c r="E3890" s="2">
        <f>CallLog[[#This Row],[Date]]+CallLog[[#This Row],[Time]]</f>
        <v>44264.654004629629</v>
      </c>
      <c r="F3890" s="1" t="str">
        <f>TEXT(CallLog[[#This Row],[Date]],"dddd")</f>
        <v>Tuesday</v>
      </c>
      <c r="G3890" s="3">
        <f>HOUR(CallLog[[#This Row],[Time]])</f>
        <v>15</v>
      </c>
      <c r="H3890" t="s">
        <v>17</v>
      </c>
      <c r="I3890" t="s">
        <v>14</v>
      </c>
      <c r="J3890" t="s">
        <v>14</v>
      </c>
      <c r="K3890">
        <v>123</v>
      </c>
      <c r="L3890" t="str">
        <f>IF(AND(CallLog[[#This Row],[Answered (Y/N)]]="Y", CallLog[[#This Row],[Speed of answer in seconds]]&lt;=20),
    "Within",
    "Breach")</f>
        <v>Breach</v>
      </c>
      <c r="M3890" s="1">
        <v>3.4953703703703705E-3</v>
      </c>
      <c r="N3890">
        <v>1</v>
      </c>
    </row>
    <row r="3891" spans="1:14" x14ac:dyDescent="0.3">
      <c r="A3891" t="s">
        <v>3982</v>
      </c>
      <c r="B3891" t="s">
        <v>22</v>
      </c>
      <c r="C3891" t="s">
        <v>3949</v>
      </c>
      <c r="D3891" s="1">
        <v>0.65400462962962957</v>
      </c>
      <c r="E3891" s="2">
        <f>CallLog[[#This Row],[Date]]+CallLog[[#This Row],[Time]]</f>
        <v>44264.654004629629</v>
      </c>
      <c r="F3891" s="1" t="str">
        <f>TEXT(CallLog[[#This Row],[Date]],"dddd")</f>
        <v>Tuesday</v>
      </c>
      <c r="G3891" s="3">
        <f>HOUR(CallLog[[#This Row],[Time]])</f>
        <v>15</v>
      </c>
      <c r="H3891" t="s">
        <v>24</v>
      </c>
      <c r="I3891" t="s">
        <v>14</v>
      </c>
      <c r="J3891" t="s">
        <v>14</v>
      </c>
      <c r="K3891">
        <v>97</v>
      </c>
      <c r="L3891" t="str">
        <f>IF(AND(CallLog[[#This Row],[Answered (Y/N)]]="Y", CallLog[[#This Row],[Speed of answer in seconds]]&lt;=20),
    "Within",
    "Breach")</f>
        <v>Breach</v>
      </c>
      <c r="M3891" s="1">
        <v>1.4004629629629629E-3</v>
      </c>
      <c r="N3891">
        <v>4</v>
      </c>
    </row>
    <row r="3892" spans="1:14" x14ac:dyDescent="0.3">
      <c r="A3892" t="s">
        <v>3983</v>
      </c>
      <c r="B3892" t="s">
        <v>16</v>
      </c>
      <c r="C3892" t="s">
        <v>3949</v>
      </c>
      <c r="D3892" s="1">
        <v>0.65500000000000003</v>
      </c>
      <c r="E3892" s="2">
        <f>CallLog[[#This Row],[Date]]+CallLog[[#This Row],[Time]]</f>
        <v>44264.654999999999</v>
      </c>
      <c r="F3892" s="1" t="str">
        <f>TEXT(CallLog[[#This Row],[Date]],"dddd")</f>
        <v>Tuesday</v>
      </c>
      <c r="G3892" s="3">
        <f>HOUR(CallLog[[#This Row],[Time]])</f>
        <v>15</v>
      </c>
      <c r="H3892" t="s">
        <v>29</v>
      </c>
      <c r="I3892" t="s">
        <v>14</v>
      </c>
      <c r="J3892" t="s">
        <v>14</v>
      </c>
      <c r="K3892">
        <v>22</v>
      </c>
      <c r="L3892" t="str">
        <f>IF(AND(CallLog[[#This Row],[Answered (Y/N)]]="Y", CallLog[[#This Row],[Speed of answer in seconds]]&lt;=20),
    "Within",
    "Breach")</f>
        <v>Breach</v>
      </c>
      <c r="M3892" s="1">
        <v>3.2407407407407406E-3</v>
      </c>
      <c r="N3892">
        <v>3</v>
      </c>
    </row>
    <row r="3893" spans="1:14" x14ac:dyDescent="0.3">
      <c r="A3893" t="s">
        <v>3984</v>
      </c>
      <c r="B3893" t="s">
        <v>22</v>
      </c>
      <c r="C3893" t="s">
        <v>3949</v>
      </c>
      <c r="D3893" s="1">
        <v>0.65500000000000003</v>
      </c>
      <c r="E3893" s="2">
        <f>CallLog[[#This Row],[Date]]+CallLog[[#This Row],[Time]]</f>
        <v>44264.654999999999</v>
      </c>
      <c r="F3893" s="1" t="str">
        <f>TEXT(CallLog[[#This Row],[Date]],"dddd")</f>
        <v>Tuesday</v>
      </c>
      <c r="G3893" s="3">
        <f>HOUR(CallLog[[#This Row],[Time]])</f>
        <v>15</v>
      </c>
      <c r="H3893" t="s">
        <v>13</v>
      </c>
      <c r="I3893" t="s">
        <v>14</v>
      </c>
      <c r="J3893" t="s">
        <v>14</v>
      </c>
      <c r="K3893">
        <v>62</v>
      </c>
      <c r="L3893" t="str">
        <f>IF(AND(CallLog[[#This Row],[Answered (Y/N)]]="Y", CallLog[[#This Row],[Speed of answer in seconds]]&lt;=20),
    "Within",
    "Breach")</f>
        <v>Breach</v>
      </c>
      <c r="M3893" s="1">
        <v>4.5833333333333334E-3</v>
      </c>
      <c r="N3893">
        <v>5</v>
      </c>
    </row>
    <row r="3894" spans="1:14" x14ac:dyDescent="0.3">
      <c r="A3894" t="s">
        <v>3985</v>
      </c>
      <c r="B3894" t="s">
        <v>16</v>
      </c>
      <c r="C3894" t="s">
        <v>3949</v>
      </c>
      <c r="D3894" s="1">
        <v>0.65599537037037037</v>
      </c>
      <c r="E3894" s="2">
        <f>CallLog[[#This Row],[Date]]+CallLog[[#This Row],[Time]]</f>
        <v>44264.655995370369</v>
      </c>
      <c r="F3894" s="1" t="str">
        <f>TEXT(CallLog[[#This Row],[Date]],"dddd")</f>
        <v>Tuesday</v>
      </c>
      <c r="G3894" s="3">
        <f>HOUR(CallLog[[#This Row],[Time]])</f>
        <v>15</v>
      </c>
      <c r="H3894" t="s">
        <v>13</v>
      </c>
      <c r="I3894" t="s">
        <v>14</v>
      </c>
      <c r="J3894" t="s">
        <v>18</v>
      </c>
      <c r="K3894">
        <v>79</v>
      </c>
      <c r="L3894" t="str">
        <f>IF(AND(CallLog[[#This Row],[Answered (Y/N)]]="Y", CallLog[[#This Row],[Speed of answer in seconds]]&lt;=20),
    "Within",
    "Breach")</f>
        <v>Breach</v>
      </c>
      <c r="M3894" s="1">
        <v>4.1898148148148146E-3</v>
      </c>
      <c r="N3894">
        <v>1</v>
      </c>
    </row>
    <row r="3895" spans="1:14" x14ac:dyDescent="0.3">
      <c r="A3895" t="s">
        <v>3986</v>
      </c>
      <c r="B3895" t="s">
        <v>11</v>
      </c>
      <c r="C3895" t="s">
        <v>3949</v>
      </c>
      <c r="D3895" s="1">
        <v>0.65599537037037037</v>
      </c>
      <c r="E3895" s="2">
        <f>CallLog[[#This Row],[Date]]+CallLog[[#This Row],[Time]]</f>
        <v>44264.655995370369</v>
      </c>
      <c r="F3895" s="1" t="str">
        <f>TEXT(CallLog[[#This Row],[Date]],"dddd")</f>
        <v>Tuesday</v>
      </c>
      <c r="G3895" s="3">
        <f>HOUR(CallLog[[#This Row],[Time]])</f>
        <v>15</v>
      </c>
      <c r="H3895" t="s">
        <v>24</v>
      </c>
      <c r="I3895" t="s">
        <v>14</v>
      </c>
      <c r="J3895" t="s">
        <v>14</v>
      </c>
      <c r="K3895">
        <v>85</v>
      </c>
      <c r="L3895" t="str">
        <f>IF(AND(CallLog[[#This Row],[Answered (Y/N)]]="Y", CallLog[[#This Row],[Speed of answer in seconds]]&lt;=20),
    "Within",
    "Breach")</f>
        <v>Breach</v>
      </c>
      <c r="M3895" s="1">
        <v>2.1643518518518518E-3</v>
      </c>
      <c r="N3895">
        <v>4</v>
      </c>
    </row>
    <row r="3896" spans="1:14" x14ac:dyDescent="0.3">
      <c r="A3896" t="s">
        <v>3987</v>
      </c>
      <c r="B3896" t="s">
        <v>20</v>
      </c>
      <c r="C3896" t="s">
        <v>3949</v>
      </c>
      <c r="D3896" s="1">
        <v>0.66599537037037038</v>
      </c>
      <c r="E3896" s="2">
        <f>CallLog[[#This Row],[Date]]+CallLog[[#This Row],[Time]]</f>
        <v>44264.665995370371</v>
      </c>
      <c r="F3896" s="1" t="str">
        <f>TEXT(CallLog[[#This Row],[Date]],"dddd")</f>
        <v>Tuesday</v>
      </c>
      <c r="G3896" s="3">
        <f>HOUR(CallLog[[#This Row],[Time]])</f>
        <v>15</v>
      </c>
      <c r="H3896" t="s">
        <v>17</v>
      </c>
      <c r="I3896" t="s">
        <v>14</v>
      </c>
      <c r="J3896" t="s">
        <v>14</v>
      </c>
      <c r="K3896">
        <v>74</v>
      </c>
      <c r="L3896" t="str">
        <f>IF(AND(CallLog[[#This Row],[Answered (Y/N)]]="Y", CallLog[[#This Row],[Speed of answer in seconds]]&lt;=20),
    "Within",
    "Breach")</f>
        <v>Breach</v>
      </c>
      <c r="M3896" s="1">
        <v>5.4398148148148144E-4</v>
      </c>
      <c r="N3896">
        <v>5</v>
      </c>
    </row>
    <row r="3897" spans="1:14" x14ac:dyDescent="0.3">
      <c r="A3897" t="s">
        <v>3988</v>
      </c>
      <c r="B3897" t="s">
        <v>31</v>
      </c>
      <c r="C3897" t="s">
        <v>3949</v>
      </c>
      <c r="D3897" s="1">
        <v>0.66599537037037038</v>
      </c>
      <c r="E3897" s="2">
        <f>CallLog[[#This Row],[Date]]+CallLog[[#This Row],[Time]]</f>
        <v>44264.665995370371</v>
      </c>
      <c r="F3897" s="1" t="str">
        <f>TEXT(CallLog[[#This Row],[Date]],"dddd")</f>
        <v>Tuesday</v>
      </c>
      <c r="G3897" s="3">
        <f>HOUR(CallLog[[#This Row],[Time]])</f>
        <v>15</v>
      </c>
      <c r="H3897" t="s">
        <v>32</v>
      </c>
      <c r="I3897" t="s">
        <v>14</v>
      </c>
      <c r="J3897" t="s">
        <v>14</v>
      </c>
      <c r="K3897">
        <v>61</v>
      </c>
      <c r="L3897" t="str">
        <f>IF(AND(CallLog[[#This Row],[Answered (Y/N)]]="Y", CallLog[[#This Row],[Speed of answer in seconds]]&lt;=20),
    "Within",
    "Breach")</f>
        <v>Breach</v>
      </c>
      <c r="M3897" s="1">
        <v>3.472222222222222E-3</v>
      </c>
      <c r="N3897">
        <v>4</v>
      </c>
    </row>
    <row r="3898" spans="1:14" x14ac:dyDescent="0.3">
      <c r="A3898" t="s">
        <v>3989</v>
      </c>
      <c r="B3898" t="s">
        <v>11</v>
      </c>
      <c r="C3898" t="s">
        <v>3949</v>
      </c>
      <c r="D3898" s="1">
        <v>0.70299768518518524</v>
      </c>
      <c r="E3898" s="2">
        <f>CallLog[[#This Row],[Date]]+CallLog[[#This Row],[Time]]</f>
        <v>44264.702997685185</v>
      </c>
      <c r="F3898" s="1" t="str">
        <f>TEXT(CallLog[[#This Row],[Date]],"dddd")</f>
        <v>Tuesday</v>
      </c>
      <c r="G3898" s="3">
        <f>HOUR(CallLog[[#This Row],[Time]])</f>
        <v>16</v>
      </c>
      <c r="H3898" t="s">
        <v>24</v>
      </c>
      <c r="I3898" t="s">
        <v>14</v>
      </c>
      <c r="J3898" t="s">
        <v>14</v>
      </c>
      <c r="K3898">
        <v>81</v>
      </c>
      <c r="L3898" t="str">
        <f>IF(AND(CallLog[[#This Row],[Answered (Y/N)]]="Y", CallLog[[#This Row],[Speed of answer in seconds]]&lt;=20),
    "Within",
    "Breach")</f>
        <v>Breach</v>
      </c>
      <c r="M3898" s="1">
        <v>3.1828703703703702E-3</v>
      </c>
      <c r="N3898">
        <v>2</v>
      </c>
    </row>
    <row r="3899" spans="1:14" x14ac:dyDescent="0.3">
      <c r="A3899" t="s">
        <v>3990</v>
      </c>
      <c r="B3899" t="s">
        <v>34</v>
      </c>
      <c r="C3899" t="s">
        <v>3949</v>
      </c>
      <c r="D3899" s="1">
        <v>0.70299768518518524</v>
      </c>
      <c r="E3899" s="2">
        <f>CallLog[[#This Row],[Date]]+CallLog[[#This Row],[Time]]</f>
        <v>44264.702997685185</v>
      </c>
      <c r="F3899" s="1" t="str">
        <f>TEXT(CallLog[[#This Row],[Date]],"dddd")</f>
        <v>Tuesday</v>
      </c>
      <c r="G3899" s="3">
        <f>HOUR(CallLog[[#This Row],[Time]])</f>
        <v>16</v>
      </c>
      <c r="H3899" t="s">
        <v>29</v>
      </c>
      <c r="I3899" t="s">
        <v>18</v>
      </c>
      <c r="J3899" t="s">
        <v>18</v>
      </c>
      <c r="L3899" t="str">
        <f>IF(AND(CallLog[[#This Row],[Answered (Y/N)]]="Y", CallLog[[#This Row],[Speed of answer in seconds]]&lt;=20),
    "Within",
    "Breach")</f>
        <v>Breach</v>
      </c>
    </row>
    <row r="3900" spans="1:14" x14ac:dyDescent="0.3">
      <c r="A3900" t="s">
        <v>3991</v>
      </c>
      <c r="B3900" t="s">
        <v>34</v>
      </c>
      <c r="C3900" t="s">
        <v>3949</v>
      </c>
      <c r="D3900" s="1">
        <v>0.70799768518518513</v>
      </c>
      <c r="E3900" s="2">
        <f>CallLog[[#This Row],[Date]]+CallLog[[#This Row],[Time]]</f>
        <v>44264.707997685182</v>
      </c>
      <c r="F3900" s="1" t="str">
        <f>TEXT(CallLog[[#This Row],[Date]],"dddd")</f>
        <v>Tuesday</v>
      </c>
      <c r="G3900" s="3">
        <f>HOUR(CallLog[[#This Row],[Time]])</f>
        <v>16</v>
      </c>
      <c r="H3900" t="s">
        <v>13</v>
      </c>
      <c r="I3900" t="s">
        <v>14</v>
      </c>
      <c r="J3900" t="s">
        <v>14</v>
      </c>
      <c r="K3900">
        <v>74</v>
      </c>
      <c r="L3900" t="str">
        <f>IF(AND(CallLog[[#This Row],[Answered (Y/N)]]="Y", CallLog[[#This Row],[Speed of answer in seconds]]&lt;=20),
    "Within",
    "Breach")</f>
        <v>Breach</v>
      </c>
      <c r="M3900" s="1">
        <v>4.363425925925926E-3</v>
      </c>
      <c r="N3900">
        <v>5</v>
      </c>
    </row>
    <row r="3901" spans="1:14" x14ac:dyDescent="0.3">
      <c r="A3901" t="s">
        <v>3992</v>
      </c>
      <c r="B3901" t="s">
        <v>20</v>
      </c>
      <c r="C3901" t="s">
        <v>3949</v>
      </c>
      <c r="D3901" s="1">
        <v>0.70799768518518513</v>
      </c>
      <c r="E3901" s="2">
        <f>CallLog[[#This Row],[Date]]+CallLog[[#This Row],[Time]]</f>
        <v>44264.707997685182</v>
      </c>
      <c r="F3901" s="1" t="str">
        <f>TEXT(CallLog[[#This Row],[Date]],"dddd")</f>
        <v>Tuesday</v>
      </c>
      <c r="G3901" s="3">
        <f>HOUR(CallLog[[#This Row],[Time]])</f>
        <v>16</v>
      </c>
      <c r="H3901" t="s">
        <v>13</v>
      </c>
      <c r="I3901" t="s">
        <v>14</v>
      </c>
      <c r="J3901" t="s">
        <v>18</v>
      </c>
      <c r="K3901">
        <v>32</v>
      </c>
      <c r="L3901" t="str">
        <f>IF(AND(CallLog[[#This Row],[Answered (Y/N)]]="Y", CallLog[[#This Row],[Speed of answer in seconds]]&lt;=20),
    "Within",
    "Breach")</f>
        <v>Breach</v>
      </c>
      <c r="M3901" s="1">
        <v>2.9976851851851853E-3</v>
      </c>
      <c r="N3901">
        <v>4</v>
      </c>
    </row>
    <row r="3902" spans="1:14" x14ac:dyDescent="0.3">
      <c r="A3902" t="s">
        <v>3993</v>
      </c>
      <c r="B3902" t="s">
        <v>22</v>
      </c>
      <c r="C3902" t="s">
        <v>3949</v>
      </c>
      <c r="D3902" s="1">
        <v>0.71299768518518514</v>
      </c>
      <c r="E3902" s="2">
        <f>CallLog[[#This Row],[Date]]+CallLog[[#This Row],[Time]]</f>
        <v>44264.712997685187</v>
      </c>
      <c r="F3902" s="1" t="str">
        <f>TEXT(CallLog[[#This Row],[Date]],"dddd")</f>
        <v>Tuesday</v>
      </c>
      <c r="G3902" s="3">
        <f>HOUR(CallLog[[#This Row],[Time]])</f>
        <v>17</v>
      </c>
      <c r="H3902" t="s">
        <v>17</v>
      </c>
      <c r="I3902" t="s">
        <v>14</v>
      </c>
      <c r="J3902" t="s">
        <v>14</v>
      </c>
      <c r="K3902">
        <v>99</v>
      </c>
      <c r="L3902" t="str">
        <f>IF(AND(CallLog[[#This Row],[Answered (Y/N)]]="Y", CallLog[[#This Row],[Speed of answer in seconds]]&lt;=20),
    "Within",
    "Breach")</f>
        <v>Breach</v>
      </c>
      <c r="M3902" s="1">
        <v>3.0555555555555557E-3</v>
      </c>
      <c r="N3902">
        <v>3</v>
      </c>
    </row>
    <row r="3903" spans="1:14" x14ac:dyDescent="0.3">
      <c r="A3903" t="s">
        <v>3994</v>
      </c>
      <c r="B3903" t="s">
        <v>16</v>
      </c>
      <c r="C3903" t="s">
        <v>3949</v>
      </c>
      <c r="D3903" s="1">
        <v>0.71299768518518514</v>
      </c>
      <c r="E3903" s="2">
        <f>CallLog[[#This Row],[Date]]+CallLog[[#This Row],[Time]]</f>
        <v>44264.712997685187</v>
      </c>
      <c r="F3903" s="1" t="str">
        <f>TEXT(CallLog[[#This Row],[Date]],"dddd")</f>
        <v>Tuesday</v>
      </c>
      <c r="G3903" s="3">
        <f>HOUR(CallLog[[#This Row],[Time]])</f>
        <v>17</v>
      </c>
      <c r="H3903" t="s">
        <v>29</v>
      </c>
      <c r="I3903" t="s">
        <v>18</v>
      </c>
      <c r="J3903" t="s">
        <v>18</v>
      </c>
      <c r="L3903" t="str">
        <f>IF(AND(CallLog[[#This Row],[Answered (Y/N)]]="Y", CallLog[[#This Row],[Speed of answer in seconds]]&lt;=20),
    "Within",
    "Breach")</f>
        <v>Breach</v>
      </c>
    </row>
    <row r="3904" spans="1:14" x14ac:dyDescent="0.3">
      <c r="A3904" t="s">
        <v>3995</v>
      </c>
      <c r="B3904" t="s">
        <v>47</v>
      </c>
      <c r="C3904" t="s">
        <v>3996</v>
      </c>
      <c r="D3904" s="1">
        <v>0.38400462962962961</v>
      </c>
      <c r="E3904" s="2">
        <f>CallLog[[#This Row],[Date]]+CallLog[[#This Row],[Time]]</f>
        <v>44265.384004629632</v>
      </c>
      <c r="F3904" s="1" t="str">
        <f>TEXT(CallLog[[#This Row],[Date]],"dddd")</f>
        <v>Wednesday</v>
      </c>
      <c r="G3904" s="3">
        <f>HOUR(CallLog[[#This Row],[Time]])</f>
        <v>9</v>
      </c>
      <c r="H3904" t="s">
        <v>17</v>
      </c>
      <c r="I3904" t="s">
        <v>14</v>
      </c>
      <c r="J3904" t="s">
        <v>14</v>
      </c>
      <c r="K3904">
        <v>75</v>
      </c>
      <c r="L3904" t="str">
        <f>IF(AND(CallLog[[#This Row],[Answered (Y/N)]]="Y", CallLog[[#This Row],[Speed of answer in seconds]]&lt;=20),
    "Within",
    "Breach")</f>
        <v>Breach</v>
      </c>
      <c r="M3904" s="1">
        <v>1.9560185185185184E-3</v>
      </c>
      <c r="N3904">
        <v>5</v>
      </c>
    </row>
    <row r="3905" spans="1:14" x14ac:dyDescent="0.3">
      <c r="A3905" t="s">
        <v>3997</v>
      </c>
      <c r="B3905" t="s">
        <v>38</v>
      </c>
      <c r="C3905" t="s">
        <v>3996</v>
      </c>
      <c r="D3905" s="1">
        <v>0.38400462962962961</v>
      </c>
      <c r="E3905" s="2">
        <f>CallLog[[#This Row],[Date]]+CallLog[[#This Row],[Time]]</f>
        <v>44265.384004629632</v>
      </c>
      <c r="F3905" s="1" t="str">
        <f>TEXT(CallLog[[#This Row],[Date]],"dddd")</f>
        <v>Wednesday</v>
      </c>
      <c r="G3905" s="3">
        <f>HOUR(CallLog[[#This Row],[Time]])</f>
        <v>9</v>
      </c>
      <c r="H3905" t="s">
        <v>24</v>
      </c>
      <c r="I3905" t="s">
        <v>18</v>
      </c>
      <c r="J3905" t="s">
        <v>18</v>
      </c>
      <c r="L3905" t="str">
        <f>IF(AND(CallLog[[#This Row],[Answered (Y/N)]]="Y", CallLog[[#This Row],[Speed of answer in seconds]]&lt;=20),
    "Within",
    "Breach")</f>
        <v>Breach</v>
      </c>
    </row>
    <row r="3906" spans="1:14" x14ac:dyDescent="0.3">
      <c r="A3906" t="s">
        <v>3998</v>
      </c>
      <c r="B3906" t="s">
        <v>47</v>
      </c>
      <c r="C3906" t="s">
        <v>3996</v>
      </c>
      <c r="D3906" s="1">
        <v>0.38799768518518518</v>
      </c>
      <c r="E3906" s="2">
        <f>CallLog[[#This Row],[Date]]+CallLog[[#This Row],[Time]]</f>
        <v>44265.387997685182</v>
      </c>
      <c r="F3906" s="1" t="str">
        <f>TEXT(CallLog[[#This Row],[Date]],"dddd")</f>
        <v>Wednesday</v>
      </c>
      <c r="G3906" s="3">
        <f>HOUR(CallLog[[#This Row],[Time]])</f>
        <v>9</v>
      </c>
      <c r="H3906" t="s">
        <v>17</v>
      </c>
      <c r="I3906" t="s">
        <v>14</v>
      </c>
      <c r="J3906" t="s">
        <v>14</v>
      </c>
      <c r="K3906">
        <v>114</v>
      </c>
      <c r="L3906" t="str">
        <f>IF(AND(CallLog[[#This Row],[Answered (Y/N)]]="Y", CallLog[[#This Row],[Speed of answer in seconds]]&lt;=20),
    "Within",
    "Breach")</f>
        <v>Breach</v>
      </c>
      <c r="M3906" s="1">
        <v>3.1597222222222222E-3</v>
      </c>
      <c r="N3906">
        <v>5</v>
      </c>
    </row>
    <row r="3907" spans="1:14" x14ac:dyDescent="0.3">
      <c r="A3907" t="s">
        <v>3999</v>
      </c>
      <c r="B3907" t="s">
        <v>22</v>
      </c>
      <c r="C3907" t="s">
        <v>3996</v>
      </c>
      <c r="D3907" s="1">
        <v>0.38799768518518518</v>
      </c>
      <c r="E3907" s="2">
        <f>CallLog[[#This Row],[Date]]+CallLog[[#This Row],[Time]]</f>
        <v>44265.387997685182</v>
      </c>
      <c r="F3907" s="1" t="str">
        <f>TEXT(CallLog[[#This Row],[Date]],"dddd")</f>
        <v>Wednesday</v>
      </c>
      <c r="G3907" s="3">
        <f>HOUR(CallLog[[#This Row],[Time]])</f>
        <v>9</v>
      </c>
      <c r="H3907" t="s">
        <v>17</v>
      </c>
      <c r="I3907" t="s">
        <v>18</v>
      </c>
      <c r="J3907" t="s">
        <v>18</v>
      </c>
      <c r="L3907" t="str">
        <f>IF(AND(CallLog[[#This Row],[Answered (Y/N)]]="Y", CallLog[[#This Row],[Speed of answer in seconds]]&lt;=20),
    "Within",
    "Breach")</f>
        <v>Breach</v>
      </c>
    </row>
    <row r="3908" spans="1:14" x14ac:dyDescent="0.3">
      <c r="A3908" t="s">
        <v>4000</v>
      </c>
      <c r="B3908" t="s">
        <v>31</v>
      </c>
      <c r="C3908" t="s">
        <v>3996</v>
      </c>
      <c r="D3908" s="1">
        <v>0.41099537037037037</v>
      </c>
      <c r="E3908" s="2">
        <f>CallLog[[#This Row],[Date]]+CallLog[[#This Row],[Time]]</f>
        <v>44265.410995370374</v>
      </c>
      <c r="F3908" s="1" t="str">
        <f>TEXT(CallLog[[#This Row],[Date]],"dddd")</f>
        <v>Wednesday</v>
      </c>
      <c r="G3908" s="3">
        <f>HOUR(CallLog[[#This Row],[Time]])</f>
        <v>9</v>
      </c>
      <c r="H3908" t="s">
        <v>29</v>
      </c>
      <c r="I3908" t="s">
        <v>14</v>
      </c>
      <c r="J3908" t="s">
        <v>14</v>
      </c>
      <c r="K3908">
        <v>50</v>
      </c>
      <c r="L3908" t="str">
        <f>IF(AND(CallLog[[#This Row],[Answered (Y/N)]]="Y", CallLog[[#This Row],[Speed of answer in seconds]]&lt;=20),
    "Within",
    "Breach")</f>
        <v>Breach</v>
      </c>
      <c r="M3908" s="1">
        <v>4.31712962962963E-3</v>
      </c>
      <c r="N3908">
        <v>3</v>
      </c>
    </row>
    <row r="3909" spans="1:14" x14ac:dyDescent="0.3">
      <c r="A3909" t="s">
        <v>4001</v>
      </c>
      <c r="B3909" t="s">
        <v>31</v>
      </c>
      <c r="C3909" t="s">
        <v>3996</v>
      </c>
      <c r="D3909" s="1">
        <v>0.41099537037037037</v>
      </c>
      <c r="E3909" s="2">
        <f>CallLog[[#This Row],[Date]]+CallLog[[#This Row],[Time]]</f>
        <v>44265.410995370374</v>
      </c>
      <c r="F3909" s="1" t="str">
        <f>TEXT(CallLog[[#This Row],[Date]],"dddd")</f>
        <v>Wednesday</v>
      </c>
      <c r="G3909" s="3">
        <f>HOUR(CallLog[[#This Row],[Time]])</f>
        <v>9</v>
      </c>
      <c r="H3909" t="s">
        <v>17</v>
      </c>
      <c r="I3909" t="s">
        <v>18</v>
      </c>
      <c r="J3909" t="s">
        <v>18</v>
      </c>
      <c r="L3909" t="str">
        <f>IF(AND(CallLog[[#This Row],[Answered (Y/N)]]="Y", CallLog[[#This Row],[Speed of answer in seconds]]&lt;=20),
    "Within",
    "Breach")</f>
        <v>Breach</v>
      </c>
    </row>
    <row r="3910" spans="1:14" x14ac:dyDescent="0.3">
      <c r="A3910" t="s">
        <v>4002</v>
      </c>
      <c r="B3910" t="s">
        <v>31</v>
      </c>
      <c r="C3910" t="s">
        <v>3996</v>
      </c>
      <c r="D3910" s="1">
        <v>0.42099537037037038</v>
      </c>
      <c r="E3910" s="2">
        <f>CallLog[[#This Row],[Date]]+CallLog[[#This Row],[Time]]</f>
        <v>44265.420995370368</v>
      </c>
      <c r="F3910" s="1" t="str">
        <f>TEXT(CallLog[[#This Row],[Date]],"dddd")</f>
        <v>Wednesday</v>
      </c>
      <c r="G3910" s="3">
        <f>HOUR(CallLog[[#This Row],[Time]])</f>
        <v>10</v>
      </c>
      <c r="H3910" t="s">
        <v>29</v>
      </c>
      <c r="I3910" t="s">
        <v>14</v>
      </c>
      <c r="J3910" t="s">
        <v>18</v>
      </c>
      <c r="K3910">
        <v>115</v>
      </c>
      <c r="L3910" t="str">
        <f>IF(AND(CallLog[[#This Row],[Answered (Y/N)]]="Y", CallLog[[#This Row],[Speed of answer in seconds]]&lt;=20),
    "Within",
    "Breach")</f>
        <v>Breach</v>
      </c>
      <c r="M3910" s="1">
        <v>2.1990740740740742E-3</v>
      </c>
      <c r="N3910">
        <v>2</v>
      </c>
    </row>
    <row r="3911" spans="1:14" x14ac:dyDescent="0.3">
      <c r="A3911" t="s">
        <v>4003</v>
      </c>
      <c r="B3911" t="s">
        <v>16</v>
      </c>
      <c r="C3911" t="s">
        <v>3996</v>
      </c>
      <c r="D3911" s="1">
        <v>0.42099537037037038</v>
      </c>
      <c r="E3911" s="2">
        <f>CallLog[[#This Row],[Date]]+CallLog[[#This Row],[Time]]</f>
        <v>44265.420995370368</v>
      </c>
      <c r="F3911" s="1" t="str">
        <f>TEXT(CallLog[[#This Row],[Date]],"dddd")</f>
        <v>Wednesday</v>
      </c>
      <c r="G3911" s="3">
        <f>HOUR(CallLog[[#This Row],[Time]])</f>
        <v>10</v>
      </c>
      <c r="H3911" t="s">
        <v>29</v>
      </c>
      <c r="I3911" t="s">
        <v>14</v>
      </c>
      <c r="J3911" t="s">
        <v>14</v>
      </c>
      <c r="K3911">
        <v>48</v>
      </c>
      <c r="L3911" t="str">
        <f>IF(AND(CallLog[[#This Row],[Answered (Y/N)]]="Y", CallLog[[#This Row],[Speed of answer in seconds]]&lt;=20),
    "Within",
    "Breach")</f>
        <v>Breach</v>
      </c>
      <c r="M3911" s="1">
        <v>1.0532407407407407E-3</v>
      </c>
      <c r="N3911">
        <v>4</v>
      </c>
    </row>
    <row r="3912" spans="1:14" x14ac:dyDescent="0.3">
      <c r="A3912" t="s">
        <v>4004</v>
      </c>
      <c r="B3912" t="s">
        <v>34</v>
      </c>
      <c r="C3912" t="s">
        <v>3996</v>
      </c>
      <c r="D3912" s="1">
        <v>0.42200231481481482</v>
      </c>
      <c r="E3912" s="2">
        <f>CallLog[[#This Row],[Date]]+CallLog[[#This Row],[Time]]</f>
        <v>44265.422002314815</v>
      </c>
      <c r="F3912" s="1" t="str">
        <f>TEXT(CallLog[[#This Row],[Date]],"dddd")</f>
        <v>Wednesday</v>
      </c>
      <c r="G3912" s="3">
        <f>HOUR(CallLog[[#This Row],[Time]])</f>
        <v>10</v>
      </c>
      <c r="H3912" t="s">
        <v>24</v>
      </c>
      <c r="I3912" t="s">
        <v>14</v>
      </c>
      <c r="J3912" t="s">
        <v>14</v>
      </c>
      <c r="K3912">
        <v>16</v>
      </c>
      <c r="L3912" t="str">
        <f>IF(AND(CallLog[[#This Row],[Answered (Y/N)]]="Y", CallLog[[#This Row],[Speed of answer in seconds]]&lt;=20),
    "Within",
    "Breach")</f>
        <v>Within</v>
      </c>
      <c r="M3912" s="1">
        <v>1.3310185185185185E-3</v>
      </c>
      <c r="N3912">
        <v>1</v>
      </c>
    </row>
    <row r="3913" spans="1:14" x14ac:dyDescent="0.3">
      <c r="A3913" t="s">
        <v>4005</v>
      </c>
      <c r="B3913" t="s">
        <v>20</v>
      </c>
      <c r="C3913" t="s">
        <v>3996</v>
      </c>
      <c r="D3913" s="1">
        <v>0.42200231481481482</v>
      </c>
      <c r="E3913" s="2">
        <f>CallLog[[#This Row],[Date]]+CallLog[[#This Row],[Time]]</f>
        <v>44265.422002314815</v>
      </c>
      <c r="F3913" s="1" t="str">
        <f>TEXT(CallLog[[#This Row],[Date]],"dddd")</f>
        <v>Wednesday</v>
      </c>
      <c r="G3913" s="3">
        <f>HOUR(CallLog[[#This Row],[Time]])</f>
        <v>10</v>
      </c>
      <c r="H3913" t="s">
        <v>17</v>
      </c>
      <c r="I3913" t="s">
        <v>14</v>
      </c>
      <c r="J3913" t="s">
        <v>14</v>
      </c>
      <c r="K3913">
        <v>74</v>
      </c>
      <c r="L3913" t="str">
        <f>IF(AND(CallLog[[#This Row],[Answered (Y/N)]]="Y", CallLog[[#This Row],[Speed of answer in seconds]]&lt;=20),
    "Within",
    "Breach")</f>
        <v>Breach</v>
      </c>
      <c r="M3913" s="1">
        <v>4.5949074074074078E-3</v>
      </c>
      <c r="N3913">
        <v>5</v>
      </c>
    </row>
    <row r="3914" spans="1:14" x14ac:dyDescent="0.3">
      <c r="A3914" t="s">
        <v>4006</v>
      </c>
      <c r="B3914" t="s">
        <v>34</v>
      </c>
      <c r="C3914" t="s">
        <v>3996</v>
      </c>
      <c r="D3914" s="1">
        <v>0.43200231481481483</v>
      </c>
      <c r="E3914" s="2">
        <f>CallLog[[#This Row],[Date]]+CallLog[[#This Row],[Time]]</f>
        <v>44265.432002314818</v>
      </c>
      <c r="F3914" s="1" t="str">
        <f>TEXT(CallLog[[#This Row],[Date]],"dddd")</f>
        <v>Wednesday</v>
      </c>
      <c r="G3914" s="3">
        <f>HOUR(CallLog[[#This Row],[Time]])</f>
        <v>10</v>
      </c>
      <c r="H3914" t="s">
        <v>24</v>
      </c>
      <c r="I3914" t="s">
        <v>18</v>
      </c>
      <c r="J3914" t="s">
        <v>18</v>
      </c>
      <c r="L3914" t="str">
        <f>IF(AND(CallLog[[#This Row],[Answered (Y/N)]]="Y", CallLog[[#This Row],[Speed of answer in seconds]]&lt;=20),
    "Within",
    "Breach")</f>
        <v>Breach</v>
      </c>
    </row>
    <row r="3915" spans="1:14" x14ac:dyDescent="0.3">
      <c r="A3915" t="s">
        <v>4007</v>
      </c>
      <c r="B3915" t="s">
        <v>22</v>
      </c>
      <c r="C3915" t="s">
        <v>3996</v>
      </c>
      <c r="D3915" s="1">
        <v>0.43200231481481483</v>
      </c>
      <c r="E3915" s="2">
        <f>CallLog[[#This Row],[Date]]+CallLog[[#This Row],[Time]]</f>
        <v>44265.432002314818</v>
      </c>
      <c r="F3915" s="1" t="str">
        <f>TEXT(CallLog[[#This Row],[Date]],"dddd")</f>
        <v>Wednesday</v>
      </c>
      <c r="G3915" s="3">
        <f>HOUR(CallLog[[#This Row],[Time]])</f>
        <v>10</v>
      </c>
      <c r="H3915" t="s">
        <v>13</v>
      </c>
      <c r="I3915" t="s">
        <v>18</v>
      </c>
      <c r="J3915" t="s">
        <v>18</v>
      </c>
      <c r="L3915" t="str">
        <f>IF(AND(CallLog[[#This Row],[Answered (Y/N)]]="Y", CallLog[[#This Row],[Speed of answer in seconds]]&lt;=20),
    "Within",
    "Breach")</f>
        <v>Breach</v>
      </c>
    </row>
    <row r="3916" spans="1:14" x14ac:dyDescent="0.3">
      <c r="A3916" t="s">
        <v>4008</v>
      </c>
      <c r="B3916" t="s">
        <v>22</v>
      </c>
      <c r="C3916" t="s">
        <v>3996</v>
      </c>
      <c r="D3916" s="1">
        <v>0.435</v>
      </c>
      <c r="E3916" s="2">
        <f>CallLog[[#This Row],[Date]]+CallLog[[#This Row],[Time]]</f>
        <v>44265.434999999998</v>
      </c>
      <c r="F3916" s="1" t="str">
        <f>TEXT(CallLog[[#This Row],[Date]],"dddd")</f>
        <v>Wednesday</v>
      </c>
      <c r="G3916" s="3">
        <f>HOUR(CallLog[[#This Row],[Time]])</f>
        <v>10</v>
      </c>
      <c r="H3916" t="s">
        <v>32</v>
      </c>
      <c r="I3916" t="s">
        <v>18</v>
      </c>
      <c r="J3916" t="s">
        <v>18</v>
      </c>
      <c r="L3916" t="str">
        <f>IF(AND(CallLog[[#This Row],[Answered (Y/N)]]="Y", CallLog[[#This Row],[Speed of answer in seconds]]&lt;=20),
    "Within",
    "Breach")</f>
        <v>Breach</v>
      </c>
    </row>
    <row r="3917" spans="1:14" x14ac:dyDescent="0.3">
      <c r="A3917" t="s">
        <v>4009</v>
      </c>
      <c r="B3917" t="s">
        <v>20</v>
      </c>
      <c r="C3917" t="s">
        <v>3996</v>
      </c>
      <c r="D3917" s="1">
        <v>0.435</v>
      </c>
      <c r="E3917" s="2">
        <f>CallLog[[#This Row],[Date]]+CallLog[[#This Row],[Time]]</f>
        <v>44265.434999999998</v>
      </c>
      <c r="F3917" s="1" t="str">
        <f>TEXT(CallLog[[#This Row],[Date]],"dddd")</f>
        <v>Wednesday</v>
      </c>
      <c r="G3917" s="3">
        <f>HOUR(CallLog[[#This Row],[Time]])</f>
        <v>10</v>
      </c>
      <c r="H3917" t="s">
        <v>32</v>
      </c>
      <c r="I3917" t="s">
        <v>14</v>
      </c>
      <c r="J3917" t="s">
        <v>14</v>
      </c>
      <c r="K3917">
        <v>37</v>
      </c>
      <c r="L3917" t="str">
        <f>IF(AND(CallLog[[#This Row],[Answered (Y/N)]]="Y", CallLog[[#This Row],[Speed of answer in seconds]]&lt;=20),
    "Within",
    "Breach")</f>
        <v>Breach</v>
      </c>
      <c r="M3917" s="1">
        <v>3.5300925925925925E-3</v>
      </c>
      <c r="N3917">
        <v>5</v>
      </c>
    </row>
    <row r="3918" spans="1:14" x14ac:dyDescent="0.3">
      <c r="A3918" t="s">
        <v>4010</v>
      </c>
      <c r="B3918" t="s">
        <v>38</v>
      </c>
      <c r="C3918" t="s">
        <v>3996</v>
      </c>
      <c r="D3918" s="1">
        <v>0.50299768518518517</v>
      </c>
      <c r="E3918" s="2">
        <f>CallLog[[#This Row],[Date]]+CallLog[[#This Row],[Time]]</f>
        <v>44265.502997685187</v>
      </c>
      <c r="F3918" s="1" t="str">
        <f>TEXT(CallLog[[#This Row],[Date]],"dddd")</f>
        <v>Wednesday</v>
      </c>
      <c r="G3918" s="3">
        <f>HOUR(CallLog[[#This Row],[Time]])</f>
        <v>12</v>
      </c>
      <c r="H3918" t="s">
        <v>24</v>
      </c>
      <c r="I3918" t="s">
        <v>14</v>
      </c>
      <c r="J3918" t="s">
        <v>14</v>
      </c>
      <c r="K3918">
        <v>125</v>
      </c>
      <c r="L3918" t="str">
        <f>IF(AND(CallLog[[#This Row],[Answered (Y/N)]]="Y", CallLog[[#This Row],[Speed of answer in seconds]]&lt;=20),
    "Within",
    "Breach")</f>
        <v>Breach</v>
      </c>
      <c r="M3918" s="1">
        <v>1.4120370370370369E-3</v>
      </c>
      <c r="N3918">
        <v>3</v>
      </c>
    </row>
    <row r="3919" spans="1:14" x14ac:dyDescent="0.3">
      <c r="A3919" t="s">
        <v>4011</v>
      </c>
      <c r="B3919" t="s">
        <v>11</v>
      </c>
      <c r="C3919" t="s">
        <v>3996</v>
      </c>
      <c r="D3919" s="1">
        <v>0.50299768518518517</v>
      </c>
      <c r="E3919" s="2">
        <f>CallLog[[#This Row],[Date]]+CallLog[[#This Row],[Time]]</f>
        <v>44265.502997685187</v>
      </c>
      <c r="F3919" s="1" t="str">
        <f>TEXT(CallLog[[#This Row],[Date]],"dddd")</f>
        <v>Wednesday</v>
      </c>
      <c r="G3919" s="3">
        <f>HOUR(CallLog[[#This Row],[Time]])</f>
        <v>12</v>
      </c>
      <c r="H3919" t="s">
        <v>29</v>
      </c>
      <c r="I3919" t="s">
        <v>14</v>
      </c>
      <c r="J3919" t="s">
        <v>14</v>
      </c>
      <c r="K3919">
        <v>42</v>
      </c>
      <c r="L3919" t="str">
        <f>IF(AND(CallLog[[#This Row],[Answered (Y/N)]]="Y", CallLog[[#This Row],[Speed of answer in seconds]]&lt;=20),
    "Within",
    "Breach")</f>
        <v>Breach</v>
      </c>
      <c r="M3919" s="1">
        <v>2.7199074074074074E-3</v>
      </c>
      <c r="N3919">
        <v>3</v>
      </c>
    </row>
    <row r="3920" spans="1:14" x14ac:dyDescent="0.3">
      <c r="A3920" t="s">
        <v>4012</v>
      </c>
      <c r="B3920" t="s">
        <v>31</v>
      </c>
      <c r="C3920" t="s">
        <v>3996</v>
      </c>
      <c r="D3920" s="1">
        <v>0.53400462962962958</v>
      </c>
      <c r="E3920" s="2">
        <f>CallLog[[#This Row],[Date]]+CallLog[[#This Row],[Time]]</f>
        <v>44265.534004629626</v>
      </c>
      <c r="F3920" s="1" t="str">
        <f>TEXT(CallLog[[#This Row],[Date]],"dddd")</f>
        <v>Wednesday</v>
      </c>
      <c r="G3920" s="3">
        <f>HOUR(CallLog[[#This Row],[Time]])</f>
        <v>12</v>
      </c>
      <c r="H3920" t="s">
        <v>24</v>
      </c>
      <c r="I3920" t="s">
        <v>18</v>
      </c>
      <c r="J3920" t="s">
        <v>18</v>
      </c>
      <c r="L3920" t="str">
        <f>IF(AND(CallLog[[#This Row],[Answered (Y/N)]]="Y", CallLog[[#This Row],[Speed of answer in seconds]]&lt;=20),
    "Within",
    "Breach")</f>
        <v>Breach</v>
      </c>
    </row>
    <row r="3921" spans="1:14" x14ac:dyDescent="0.3">
      <c r="A3921" t="s">
        <v>4013</v>
      </c>
      <c r="B3921" t="s">
        <v>16</v>
      </c>
      <c r="C3921" t="s">
        <v>3996</v>
      </c>
      <c r="D3921" s="1">
        <v>0.53400462962962958</v>
      </c>
      <c r="E3921" s="2">
        <f>CallLog[[#This Row],[Date]]+CallLog[[#This Row],[Time]]</f>
        <v>44265.534004629626</v>
      </c>
      <c r="F3921" s="1" t="str">
        <f>TEXT(CallLog[[#This Row],[Date]],"dddd")</f>
        <v>Wednesday</v>
      </c>
      <c r="G3921" s="3">
        <f>HOUR(CallLog[[#This Row],[Time]])</f>
        <v>12</v>
      </c>
      <c r="H3921" t="s">
        <v>32</v>
      </c>
      <c r="I3921" t="s">
        <v>14</v>
      </c>
      <c r="J3921" t="s">
        <v>14</v>
      </c>
      <c r="K3921">
        <v>43</v>
      </c>
      <c r="L3921" t="str">
        <f>IF(AND(CallLog[[#This Row],[Answered (Y/N)]]="Y", CallLog[[#This Row],[Speed of answer in seconds]]&lt;=20),
    "Within",
    "Breach")</f>
        <v>Breach</v>
      </c>
      <c r="M3921" s="1">
        <v>4.1666666666666669E-4</v>
      </c>
      <c r="N3921">
        <v>3</v>
      </c>
    </row>
    <row r="3922" spans="1:14" x14ac:dyDescent="0.3">
      <c r="A3922" t="s">
        <v>4014</v>
      </c>
      <c r="B3922" t="s">
        <v>16</v>
      </c>
      <c r="C3922" t="s">
        <v>3996</v>
      </c>
      <c r="D3922" s="1">
        <v>0.56200231481481477</v>
      </c>
      <c r="E3922" s="2">
        <f>CallLog[[#This Row],[Date]]+CallLog[[#This Row],[Time]]</f>
        <v>44265.562002314815</v>
      </c>
      <c r="F3922" s="1" t="str">
        <f>TEXT(CallLog[[#This Row],[Date]],"dddd")</f>
        <v>Wednesday</v>
      </c>
      <c r="G3922" s="3">
        <f>HOUR(CallLog[[#This Row],[Time]])</f>
        <v>13</v>
      </c>
      <c r="H3922" t="s">
        <v>32</v>
      </c>
      <c r="I3922" t="s">
        <v>14</v>
      </c>
      <c r="J3922" t="s">
        <v>14</v>
      </c>
      <c r="K3922">
        <v>74</v>
      </c>
      <c r="L3922" t="str">
        <f>IF(AND(CallLog[[#This Row],[Answered (Y/N)]]="Y", CallLog[[#This Row],[Speed of answer in seconds]]&lt;=20),
    "Within",
    "Breach")</f>
        <v>Breach</v>
      </c>
      <c r="M3922" s="1">
        <v>1.8518518518518519E-3</v>
      </c>
      <c r="N3922">
        <v>4</v>
      </c>
    </row>
    <row r="3923" spans="1:14" x14ac:dyDescent="0.3">
      <c r="A3923" t="s">
        <v>4015</v>
      </c>
      <c r="B3923" t="s">
        <v>34</v>
      </c>
      <c r="C3923" t="s">
        <v>3996</v>
      </c>
      <c r="D3923" s="1">
        <v>0.56200231481481477</v>
      </c>
      <c r="E3923" s="2">
        <f>CallLog[[#This Row],[Date]]+CallLog[[#This Row],[Time]]</f>
        <v>44265.562002314815</v>
      </c>
      <c r="F3923" s="1" t="str">
        <f>TEXT(CallLog[[#This Row],[Date]],"dddd")</f>
        <v>Wednesday</v>
      </c>
      <c r="G3923" s="3">
        <f>HOUR(CallLog[[#This Row],[Time]])</f>
        <v>13</v>
      </c>
      <c r="H3923" t="s">
        <v>29</v>
      </c>
      <c r="I3923" t="s">
        <v>14</v>
      </c>
      <c r="J3923" t="s">
        <v>14</v>
      </c>
      <c r="K3923">
        <v>90</v>
      </c>
      <c r="L3923" t="str">
        <f>IF(AND(CallLog[[#This Row],[Answered (Y/N)]]="Y", CallLog[[#This Row],[Speed of answer in seconds]]&lt;=20),
    "Within",
    "Breach")</f>
        <v>Breach</v>
      </c>
      <c r="M3923" s="1">
        <v>3.4375E-3</v>
      </c>
      <c r="N3923">
        <v>3</v>
      </c>
    </row>
    <row r="3924" spans="1:14" x14ac:dyDescent="0.3">
      <c r="A3924" t="s">
        <v>4016</v>
      </c>
      <c r="B3924" t="s">
        <v>22</v>
      </c>
      <c r="C3924" t="s">
        <v>3996</v>
      </c>
      <c r="D3924" s="1">
        <v>0.56400462962962961</v>
      </c>
      <c r="E3924" s="2">
        <f>CallLog[[#This Row],[Date]]+CallLog[[#This Row],[Time]]</f>
        <v>44265.564004629632</v>
      </c>
      <c r="F3924" s="1" t="str">
        <f>TEXT(CallLog[[#This Row],[Date]],"dddd")</f>
        <v>Wednesday</v>
      </c>
      <c r="G3924" s="3">
        <f>HOUR(CallLog[[#This Row],[Time]])</f>
        <v>13</v>
      </c>
      <c r="H3924" t="s">
        <v>13</v>
      </c>
      <c r="I3924" t="s">
        <v>18</v>
      </c>
      <c r="J3924" t="s">
        <v>18</v>
      </c>
      <c r="L3924" t="str">
        <f>IF(AND(CallLog[[#This Row],[Answered (Y/N)]]="Y", CallLog[[#This Row],[Speed of answer in seconds]]&lt;=20),
    "Within",
    "Breach")</f>
        <v>Breach</v>
      </c>
    </row>
    <row r="3925" spans="1:14" x14ac:dyDescent="0.3">
      <c r="A3925" t="s">
        <v>4017</v>
      </c>
      <c r="B3925" t="s">
        <v>31</v>
      </c>
      <c r="C3925" t="s">
        <v>3996</v>
      </c>
      <c r="D3925" s="1">
        <v>0.56400462962962961</v>
      </c>
      <c r="E3925" s="2">
        <f>CallLog[[#This Row],[Date]]+CallLog[[#This Row],[Time]]</f>
        <v>44265.564004629632</v>
      </c>
      <c r="F3925" s="1" t="str">
        <f>TEXT(CallLog[[#This Row],[Date]],"dddd")</f>
        <v>Wednesday</v>
      </c>
      <c r="G3925" s="3">
        <f>HOUR(CallLog[[#This Row],[Time]])</f>
        <v>13</v>
      </c>
      <c r="H3925" t="s">
        <v>29</v>
      </c>
      <c r="I3925" t="s">
        <v>14</v>
      </c>
      <c r="J3925" t="s">
        <v>14</v>
      </c>
      <c r="K3925">
        <v>84</v>
      </c>
      <c r="L3925" t="str">
        <f>IF(AND(CallLog[[#This Row],[Answered (Y/N)]]="Y", CallLog[[#This Row],[Speed of answer in seconds]]&lt;=20),
    "Within",
    "Breach")</f>
        <v>Breach</v>
      </c>
      <c r="M3925" s="1">
        <v>4.4212962962962964E-3</v>
      </c>
      <c r="N3925">
        <v>5</v>
      </c>
    </row>
    <row r="3926" spans="1:14" x14ac:dyDescent="0.3">
      <c r="A3926" t="s">
        <v>4018</v>
      </c>
      <c r="B3926" t="s">
        <v>34</v>
      </c>
      <c r="C3926" t="s">
        <v>3996</v>
      </c>
      <c r="D3926" s="1">
        <v>0.5709953703703704</v>
      </c>
      <c r="E3926" s="2">
        <f>CallLog[[#This Row],[Date]]+CallLog[[#This Row],[Time]]</f>
        <v>44265.57099537037</v>
      </c>
      <c r="F3926" s="1" t="str">
        <f>TEXT(CallLog[[#This Row],[Date]],"dddd")</f>
        <v>Wednesday</v>
      </c>
      <c r="G3926" s="3">
        <f>HOUR(CallLog[[#This Row],[Time]])</f>
        <v>13</v>
      </c>
      <c r="H3926" t="s">
        <v>24</v>
      </c>
      <c r="I3926" t="s">
        <v>14</v>
      </c>
      <c r="J3926" t="s">
        <v>14</v>
      </c>
      <c r="K3926">
        <v>51</v>
      </c>
      <c r="L3926" t="str">
        <f>IF(AND(CallLog[[#This Row],[Answered (Y/N)]]="Y", CallLog[[#This Row],[Speed of answer in seconds]]&lt;=20),
    "Within",
    "Breach")</f>
        <v>Breach</v>
      </c>
      <c r="M3926" s="1">
        <v>4.6874999999999998E-3</v>
      </c>
      <c r="N3926">
        <v>3</v>
      </c>
    </row>
    <row r="3927" spans="1:14" x14ac:dyDescent="0.3">
      <c r="A3927" t="s">
        <v>4019</v>
      </c>
      <c r="B3927" t="s">
        <v>11</v>
      </c>
      <c r="C3927" t="s">
        <v>3996</v>
      </c>
      <c r="D3927" s="1">
        <v>0.5709953703703704</v>
      </c>
      <c r="E3927" s="2">
        <f>CallLog[[#This Row],[Date]]+CallLog[[#This Row],[Time]]</f>
        <v>44265.57099537037</v>
      </c>
      <c r="F3927" s="1" t="str">
        <f>TEXT(CallLog[[#This Row],[Date]],"dddd")</f>
        <v>Wednesday</v>
      </c>
      <c r="G3927" s="3">
        <f>HOUR(CallLog[[#This Row],[Time]])</f>
        <v>13</v>
      </c>
      <c r="H3927" t="s">
        <v>13</v>
      </c>
      <c r="I3927" t="s">
        <v>18</v>
      </c>
      <c r="J3927" t="s">
        <v>18</v>
      </c>
      <c r="L3927" t="str">
        <f>IF(AND(CallLog[[#This Row],[Answered (Y/N)]]="Y", CallLog[[#This Row],[Speed of answer in seconds]]&lt;=20),
    "Within",
    "Breach")</f>
        <v>Breach</v>
      </c>
    </row>
    <row r="3928" spans="1:14" x14ac:dyDescent="0.3">
      <c r="A3928" t="s">
        <v>4020</v>
      </c>
      <c r="B3928" t="s">
        <v>11</v>
      </c>
      <c r="C3928" t="s">
        <v>3996</v>
      </c>
      <c r="D3928" s="1">
        <v>0.57299768518518523</v>
      </c>
      <c r="E3928" s="2">
        <f>CallLog[[#This Row],[Date]]+CallLog[[#This Row],[Time]]</f>
        <v>44265.572997685187</v>
      </c>
      <c r="F3928" s="1" t="str">
        <f>TEXT(CallLog[[#This Row],[Date]],"dddd")</f>
        <v>Wednesday</v>
      </c>
      <c r="G3928" s="3">
        <f>HOUR(CallLog[[#This Row],[Time]])</f>
        <v>13</v>
      </c>
      <c r="H3928" t="s">
        <v>32</v>
      </c>
      <c r="I3928" t="s">
        <v>14</v>
      </c>
      <c r="J3928" t="s">
        <v>18</v>
      </c>
      <c r="K3928">
        <v>90</v>
      </c>
      <c r="L3928" t="str">
        <f>IF(AND(CallLog[[#This Row],[Answered (Y/N)]]="Y", CallLog[[#This Row],[Speed of answer in seconds]]&lt;=20),
    "Within",
    "Breach")</f>
        <v>Breach</v>
      </c>
      <c r="M3928" s="1">
        <v>3.0439814814814813E-3</v>
      </c>
      <c r="N3928">
        <v>3</v>
      </c>
    </row>
    <row r="3929" spans="1:14" x14ac:dyDescent="0.3">
      <c r="A3929" t="s">
        <v>4021</v>
      </c>
      <c r="B3929" t="s">
        <v>34</v>
      </c>
      <c r="C3929" t="s">
        <v>3996</v>
      </c>
      <c r="D3929" s="1">
        <v>0.57299768518518523</v>
      </c>
      <c r="E3929" s="2">
        <f>CallLog[[#This Row],[Date]]+CallLog[[#This Row],[Time]]</f>
        <v>44265.572997685187</v>
      </c>
      <c r="F3929" s="1" t="str">
        <f>TEXT(CallLog[[#This Row],[Date]],"dddd")</f>
        <v>Wednesday</v>
      </c>
      <c r="G3929" s="3">
        <f>HOUR(CallLog[[#This Row],[Time]])</f>
        <v>13</v>
      </c>
      <c r="H3929" t="s">
        <v>29</v>
      </c>
      <c r="I3929" t="s">
        <v>14</v>
      </c>
      <c r="J3929" t="s">
        <v>14</v>
      </c>
      <c r="K3929">
        <v>82</v>
      </c>
      <c r="L3929" t="str">
        <f>IF(AND(CallLog[[#This Row],[Answered (Y/N)]]="Y", CallLog[[#This Row],[Speed of answer in seconds]]&lt;=20),
    "Within",
    "Breach")</f>
        <v>Breach</v>
      </c>
      <c r="M3929" s="1">
        <v>5.6712962962962967E-4</v>
      </c>
      <c r="N3929">
        <v>3</v>
      </c>
    </row>
    <row r="3930" spans="1:14" x14ac:dyDescent="0.3">
      <c r="A3930" t="s">
        <v>4022</v>
      </c>
      <c r="B3930" t="s">
        <v>22</v>
      </c>
      <c r="C3930" t="s">
        <v>3996</v>
      </c>
      <c r="D3930" s="1">
        <v>0.57499999999999996</v>
      </c>
      <c r="E3930" s="2">
        <f>CallLog[[#This Row],[Date]]+CallLog[[#This Row],[Time]]</f>
        <v>44265.574999999997</v>
      </c>
      <c r="F3930" s="1" t="str">
        <f>TEXT(CallLog[[#This Row],[Date]],"dddd")</f>
        <v>Wednesday</v>
      </c>
      <c r="G3930" s="3">
        <f>HOUR(CallLog[[#This Row],[Time]])</f>
        <v>13</v>
      </c>
      <c r="H3930" t="s">
        <v>29</v>
      </c>
      <c r="I3930" t="s">
        <v>14</v>
      </c>
      <c r="J3930" t="s">
        <v>14</v>
      </c>
      <c r="K3930">
        <v>77</v>
      </c>
      <c r="L3930" t="str">
        <f>IF(AND(CallLog[[#This Row],[Answered (Y/N)]]="Y", CallLog[[#This Row],[Speed of answer in seconds]]&lt;=20),
    "Within",
    "Breach")</f>
        <v>Breach</v>
      </c>
      <c r="M3930" s="1">
        <v>2.8472222222222223E-3</v>
      </c>
      <c r="N3930">
        <v>3</v>
      </c>
    </row>
    <row r="3931" spans="1:14" x14ac:dyDescent="0.3">
      <c r="A3931" t="s">
        <v>4023</v>
      </c>
      <c r="B3931" t="s">
        <v>38</v>
      </c>
      <c r="C3931" t="s">
        <v>3996</v>
      </c>
      <c r="D3931" s="1">
        <v>0.57499999999999996</v>
      </c>
      <c r="E3931" s="2">
        <f>CallLog[[#This Row],[Date]]+CallLog[[#This Row],[Time]]</f>
        <v>44265.574999999997</v>
      </c>
      <c r="F3931" s="1" t="str">
        <f>TEXT(CallLog[[#This Row],[Date]],"dddd")</f>
        <v>Wednesday</v>
      </c>
      <c r="G3931" s="3">
        <f>HOUR(CallLog[[#This Row],[Time]])</f>
        <v>13</v>
      </c>
      <c r="H3931" t="s">
        <v>17</v>
      </c>
      <c r="I3931" t="s">
        <v>18</v>
      </c>
      <c r="J3931" t="s">
        <v>18</v>
      </c>
      <c r="L3931" t="str">
        <f>IF(AND(CallLog[[#This Row],[Answered (Y/N)]]="Y", CallLog[[#This Row],[Speed of answer in seconds]]&lt;=20),
    "Within",
    "Breach")</f>
        <v>Breach</v>
      </c>
    </row>
    <row r="3932" spans="1:14" x14ac:dyDescent="0.3">
      <c r="A3932" t="s">
        <v>4024</v>
      </c>
      <c r="B3932" t="s">
        <v>22</v>
      </c>
      <c r="C3932" t="s">
        <v>3996</v>
      </c>
      <c r="D3932" s="1">
        <v>0.58099537037037041</v>
      </c>
      <c r="E3932" s="2">
        <f>CallLog[[#This Row],[Date]]+CallLog[[#This Row],[Time]]</f>
        <v>44265.580995370372</v>
      </c>
      <c r="F3932" s="1" t="str">
        <f>TEXT(CallLog[[#This Row],[Date]],"dddd")</f>
        <v>Wednesday</v>
      </c>
      <c r="G3932" s="3">
        <f>HOUR(CallLog[[#This Row],[Time]])</f>
        <v>13</v>
      </c>
      <c r="H3932" t="s">
        <v>13</v>
      </c>
      <c r="I3932" t="s">
        <v>14</v>
      </c>
      <c r="J3932" t="s">
        <v>14</v>
      </c>
      <c r="K3932">
        <v>116</v>
      </c>
      <c r="L3932" t="str">
        <f>IF(AND(CallLog[[#This Row],[Answered (Y/N)]]="Y", CallLog[[#This Row],[Speed of answer in seconds]]&lt;=20),
    "Within",
    "Breach")</f>
        <v>Breach</v>
      </c>
      <c r="M3932" s="1">
        <v>3.5879629629629629E-4</v>
      </c>
      <c r="N3932">
        <v>3</v>
      </c>
    </row>
    <row r="3933" spans="1:14" x14ac:dyDescent="0.3">
      <c r="A3933" t="s">
        <v>4025</v>
      </c>
      <c r="B3933" t="s">
        <v>20</v>
      </c>
      <c r="C3933" t="s">
        <v>3996</v>
      </c>
      <c r="D3933" s="1">
        <v>0.58099537037037041</v>
      </c>
      <c r="E3933" s="2">
        <f>CallLog[[#This Row],[Date]]+CallLog[[#This Row],[Time]]</f>
        <v>44265.580995370372</v>
      </c>
      <c r="F3933" s="1" t="str">
        <f>TEXT(CallLog[[#This Row],[Date]],"dddd")</f>
        <v>Wednesday</v>
      </c>
      <c r="G3933" s="3">
        <f>HOUR(CallLog[[#This Row],[Time]])</f>
        <v>13</v>
      </c>
      <c r="H3933" t="s">
        <v>24</v>
      </c>
      <c r="I3933" t="s">
        <v>14</v>
      </c>
      <c r="J3933" t="s">
        <v>14</v>
      </c>
      <c r="K3933">
        <v>120</v>
      </c>
      <c r="L3933" t="str">
        <f>IF(AND(CallLog[[#This Row],[Answered (Y/N)]]="Y", CallLog[[#This Row],[Speed of answer in seconds]]&lt;=20),
    "Within",
    "Breach")</f>
        <v>Breach</v>
      </c>
      <c r="M3933" s="1">
        <v>9.7222222222222219E-4</v>
      </c>
      <c r="N3933">
        <v>3</v>
      </c>
    </row>
    <row r="3934" spans="1:14" x14ac:dyDescent="0.3">
      <c r="A3934" t="s">
        <v>4026</v>
      </c>
      <c r="B3934" t="s">
        <v>47</v>
      </c>
      <c r="C3934" t="s">
        <v>3996</v>
      </c>
      <c r="D3934" s="1">
        <v>0.58400462962962962</v>
      </c>
      <c r="E3934" s="2">
        <f>CallLog[[#This Row],[Date]]+CallLog[[#This Row],[Time]]</f>
        <v>44265.584004629629</v>
      </c>
      <c r="F3934" s="1" t="str">
        <f>TEXT(CallLog[[#This Row],[Date]],"dddd")</f>
        <v>Wednesday</v>
      </c>
      <c r="G3934" s="3">
        <f>HOUR(CallLog[[#This Row],[Time]])</f>
        <v>14</v>
      </c>
      <c r="H3934" t="s">
        <v>24</v>
      </c>
      <c r="I3934" t="s">
        <v>14</v>
      </c>
      <c r="J3934" t="s">
        <v>14</v>
      </c>
      <c r="K3934">
        <v>13</v>
      </c>
      <c r="L3934" t="str">
        <f>IF(AND(CallLog[[#This Row],[Answered (Y/N)]]="Y", CallLog[[#This Row],[Speed of answer in seconds]]&lt;=20),
    "Within",
    "Breach")</f>
        <v>Within</v>
      </c>
      <c r="M3934" s="1">
        <v>3.0787037037037037E-3</v>
      </c>
      <c r="N3934">
        <v>1</v>
      </c>
    </row>
    <row r="3935" spans="1:14" x14ac:dyDescent="0.3">
      <c r="A3935" t="s">
        <v>4027</v>
      </c>
      <c r="B3935" t="s">
        <v>47</v>
      </c>
      <c r="C3935" t="s">
        <v>3996</v>
      </c>
      <c r="D3935" s="1">
        <v>0.58400462962962962</v>
      </c>
      <c r="E3935" s="2">
        <f>CallLog[[#This Row],[Date]]+CallLog[[#This Row],[Time]]</f>
        <v>44265.584004629629</v>
      </c>
      <c r="F3935" s="1" t="str">
        <f>TEXT(CallLog[[#This Row],[Date]],"dddd")</f>
        <v>Wednesday</v>
      </c>
      <c r="G3935" s="3">
        <f>HOUR(CallLog[[#This Row],[Time]])</f>
        <v>14</v>
      </c>
      <c r="H3935" t="s">
        <v>32</v>
      </c>
      <c r="I3935" t="s">
        <v>14</v>
      </c>
      <c r="J3935" t="s">
        <v>14</v>
      </c>
      <c r="K3935">
        <v>26</v>
      </c>
      <c r="L3935" t="str">
        <f>IF(AND(CallLog[[#This Row],[Answered (Y/N)]]="Y", CallLog[[#This Row],[Speed of answer in seconds]]&lt;=20),
    "Within",
    "Breach")</f>
        <v>Breach</v>
      </c>
      <c r="M3935" s="1">
        <v>2.0949074074074073E-3</v>
      </c>
      <c r="N3935">
        <v>3</v>
      </c>
    </row>
    <row r="3936" spans="1:14" x14ac:dyDescent="0.3">
      <c r="A3936" t="s">
        <v>4028</v>
      </c>
      <c r="B3936" t="s">
        <v>20</v>
      </c>
      <c r="C3936" t="s">
        <v>3996</v>
      </c>
      <c r="D3936" s="1">
        <v>0.63700231481481484</v>
      </c>
      <c r="E3936" s="2">
        <f>CallLog[[#This Row],[Date]]+CallLog[[#This Row],[Time]]</f>
        <v>44265.637002314812</v>
      </c>
      <c r="F3936" s="1" t="str">
        <f>TEXT(CallLog[[#This Row],[Date]],"dddd")</f>
        <v>Wednesday</v>
      </c>
      <c r="G3936" s="3">
        <f>HOUR(CallLog[[#This Row],[Time]])</f>
        <v>15</v>
      </c>
      <c r="H3936" t="s">
        <v>13</v>
      </c>
      <c r="I3936" t="s">
        <v>14</v>
      </c>
      <c r="J3936" t="s">
        <v>14</v>
      </c>
      <c r="K3936">
        <v>93</v>
      </c>
      <c r="L3936" t="str">
        <f>IF(AND(CallLog[[#This Row],[Answered (Y/N)]]="Y", CallLog[[#This Row],[Speed of answer in seconds]]&lt;=20),
    "Within",
    "Breach")</f>
        <v>Breach</v>
      </c>
      <c r="M3936" s="1">
        <v>1.5972222222222223E-3</v>
      </c>
      <c r="N3936">
        <v>3</v>
      </c>
    </row>
    <row r="3937" spans="1:14" x14ac:dyDescent="0.3">
      <c r="A3937" t="s">
        <v>4029</v>
      </c>
      <c r="B3937" t="s">
        <v>47</v>
      </c>
      <c r="C3937" t="s">
        <v>3996</v>
      </c>
      <c r="D3937" s="1">
        <v>0.63700231481481484</v>
      </c>
      <c r="E3937" s="2">
        <f>CallLog[[#This Row],[Date]]+CallLog[[#This Row],[Time]]</f>
        <v>44265.637002314812</v>
      </c>
      <c r="F3937" s="1" t="str">
        <f>TEXT(CallLog[[#This Row],[Date]],"dddd")</f>
        <v>Wednesday</v>
      </c>
      <c r="G3937" s="3">
        <f>HOUR(CallLog[[#This Row],[Time]])</f>
        <v>15</v>
      </c>
      <c r="H3937" t="s">
        <v>13</v>
      </c>
      <c r="I3937" t="s">
        <v>14</v>
      </c>
      <c r="J3937" t="s">
        <v>14</v>
      </c>
      <c r="K3937">
        <v>20</v>
      </c>
      <c r="L3937" t="str">
        <f>IF(AND(CallLog[[#This Row],[Answered (Y/N)]]="Y", CallLog[[#This Row],[Speed of answer in seconds]]&lt;=20),
    "Within",
    "Breach")</f>
        <v>Within</v>
      </c>
      <c r="M3937" s="1">
        <v>3.8194444444444452E-4</v>
      </c>
      <c r="N3937">
        <v>3</v>
      </c>
    </row>
    <row r="3938" spans="1:14" x14ac:dyDescent="0.3">
      <c r="A3938" t="s">
        <v>4030</v>
      </c>
      <c r="B3938" t="s">
        <v>20</v>
      </c>
      <c r="C3938" t="s">
        <v>3996</v>
      </c>
      <c r="D3938" s="1">
        <v>0.64200231481481485</v>
      </c>
      <c r="E3938" s="2">
        <f>CallLog[[#This Row],[Date]]+CallLog[[#This Row],[Time]]</f>
        <v>44265.642002314817</v>
      </c>
      <c r="F3938" s="1" t="str">
        <f>TEXT(CallLog[[#This Row],[Date]],"dddd")</f>
        <v>Wednesday</v>
      </c>
      <c r="G3938" s="3">
        <f>HOUR(CallLog[[#This Row],[Time]])</f>
        <v>15</v>
      </c>
      <c r="H3938" t="s">
        <v>13</v>
      </c>
      <c r="I3938" t="s">
        <v>18</v>
      </c>
      <c r="J3938" t="s">
        <v>18</v>
      </c>
      <c r="L3938" t="str">
        <f>IF(AND(CallLog[[#This Row],[Answered (Y/N)]]="Y", CallLog[[#This Row],[Speed of answer in seconds]]&lt;=20),
    "Within",
    "Breach")</f>
        <v>Breach</v>
      </c>
    </row>
    <row r="3939" spans="1:14" x14ac:dyDescent="0.3">
      <c r="A3939" t="s">
        <v>4031</v>
      </c>
      <c r="B3939" t="s">
        <v>34</v>
      </c>
      <c r="C3939" t="s">
        <v>3996</v>
      </c>
      <c r="D3939" s="1">
        <v>0.64200231481481485</v>
      </c>
      <c r="E3939" s="2">
        <f>CallLog[[#This Row],[Date]]+CallLog[[#This Row],[Time]]</f>
        <v>44265.642002314817</v>
      </c>
      <c r="F3939" s="1" t="str">
        <f>TEXT(CallLog[[#This Row],[Date]],"dddd")</f>
        <v>Wednesday</v>
      </c>
      <c r="G3939" s="3">
        <f>HOUR(CallLog[[#This Row],[Time]])</f>
        <v>15</v>
      </c>
      <c r="H3939" t="s">
        <v>32</v>
      </c>
      <c r="I3939" t="s">
        <v>14</v>
      </c>
      <c r="J3939" t="s">
        <v>14</v>
      </c>
      <c r="K3939">
        <v>113</v>
      </c>
      <c r="L3939" t="str">
        <f>IF(AND(CallLog[[#This Row],[Answered (Y/N)]]="Y", CallLog[[#This Row],[Speed of answer in seconds]]&lt;=20),
    "Within",
    "Breach")</f>
        <v>Breach</v>
      </c>
      <c r="M3939" s="1">
        <v>9.0277777777777774E-4</v>
      </c>
      <c r="N3939">
        <v>1</v>
      </c>
    </row>
    <row r="3940" spans="1:14" x14ac:dyDescent="0.3">
      <c r="A3940" t="s">
        <v>4032</v>
      </c>
      <c r="B3940" t="s">
        <v>20</v>
      </c>
      <c r="C3940" t="s">
        <v>3996</v>
      </c>
      <c r="D3940" s="1">
        <v>0.66700231481481487</v>
      </c>
      <c r="E3940" s="2">
        <f>CallLog[[#This Row],[Date]]+CallLog[[#This Row],[Time]]</f>
        <v>44265.667002314818</v>
      </c>
      <c r="F3940" s="1" t="str">
        <f>TEXT(CallLog[[#This Row],[Date]],"dddd")</f>
        <v>Wednesday</v>
      </c>
      <c r="G3940" s="3">
        <f>HOUR(CallLog[[#This Row],[Time]])</f>
        <v>16</v>
      </c>
      <c r="H3940" t="s">
        <v>32</v>
      </c>
      <c r="I3940" t="s">
        <v>18</v>
      </c>
      <c r="J3940" t="s">
        <v>18</v>
      </c>
      <c r="L3940" t="str">
        <f>IF(AND(CallLog[[#This Row],[Answered (Y/N)]]="Y", CallLog[[#This Row],[Speed of answer in seconds]]&lt;=20),
    "Within",
    "Breach")</f>
        <v>Breach</v>
      </c>
    </row>
    <row r="3941" spans="1:14" x14ac:dyDescent="0.3">
      <c r="A3941" t="s">
        <v>4033</v>
      </c>
      <c r="B3941" t="s">
        <v>34</v>
      </c>
      <c r="C3941" t="s">
        <v>3996</v>
      </c>
      <c r="D3941" s="1">
        <v>0.66700231481481487</v>
      </c>
      <c r="E3941" s="2">
        <f>CallLog[[#This Row],[Date]]+CallLog[[#This Row],[Time]]</f>
        <v>44265.667002314818</v>
      </c>
      <c r="F3941" s="1" t="str">
        <f>TEXT(CallLog[[#This Row],[Date]],"dddd")</f>
        <v>Wednesday</v>
      </c>
      <c r="G3941" s="3">
        <f>HOUR(CallLog[[#This Row],[Time]])</f>
        <v>16</v>
      </c>
      <c r="H3941" t="s">
        <v>24</v>
      </c>
      <c r="I3941" t="s">
        <v>14</v>
      </c>
      <c r="J3941" t="s">
        <v>14</v>
      </c>
      <c r="K3941">
        <v>113</v>
      </c>
      <c r="L3941" t="str">
        <f>IF(AND(CallLog[[#This Row],[Answered (Y/N)]]="Y", CallLog[[#This Row],[Speed of answer in seconds]]&lt;=20),
    "Within",
    "Breach")</f>
        <v>Breach</v>
      </c>
      <c r="M3941" s="1">
        <v>4.340277777777778E-3</v>
      </c>
      <c r="N3941">
        <v>2</v>
      </c>
    </row>
    <row r="3942" spans="1:14" x14ac:dyDescent="0.3">
      <c r="A3942" t="s">
        <v>4034</v>
      </c>
      <c r="B3942" t="s">
        <v>22</v>
      </c>
      <c r="C3942" t="s">
        <v>3996</v>
      </c>
      <c r="D3942" s="1">
        <v>0.68799768518518523</v>
      </c>
      <c r="E3942" s="2">
        <f>CallLog[[#This Row],[Date]]+CallLog[[#This Row],[Time]]</f>
        <v>44265.687997685185</v>
      </c>
      <c r="F3942" s="1" t="str">
        <f>TEXT(CallLog[[#This Row],[Date]],"dddd")</f>
        <v>Wednesday</v>
      </c>
      <c r="G3942" s="3">
        <f>HOUR(CallLog[[#This Row],[Time]])</f>
        <v>16</v>
      </c>
      <c r="H3942" t="s">
        <v>32</v>
      </c>
      <c r="I3942" t="s">
        <v>14</v>
      </c>
      <c r="J3942" t="s">
        <v>14</v>
      </c>
      <c r="K3942">
        <v>44</v>
      </c>
      <c r="L3942" t="str">
        <f>IF(AND(CallLog[[#This Row],[Answered (Y/N)]]="Y", CallLog[[#This Row],[Speed of answer in seconds]]&lt;=20),
    "Within",
    "Breach")</f>
        <v>Breach</v>
      </c>
      <c r="M3942" s="1">
        <v>2.2800925925925927E-3</v>
      </c>
      <c r="N3942">
        <v>5</v>
      </c>
    </row>
    <row r="3943" spans="1:14" x14ac:dyDescent="0.3">
      <c r="A3943" t="s">
        <v>4035</v>
      </c>
      <c r="B3943" t="s">
        <v>16</v>
      </c>
      <c r="C3943" t="s">
        <v>3996</v>
      </c>
      <c r="D3943" s="1">
        <v>0.68799768518518523</v>
      </c>
      <c r="E3943" s="2">
        <f>CallLog[[#This Row],[Date]]+CallLog[[#This Row],[Time]]</f>
        <v>44265.687997685185</v>
      </c>
      <c r="F3943" s="1" t="str">
        <f>TEXT(CallLog[[#This Row],[Date]],"dddd")</f>
        <v>Wednesday</v>
      </c>
      <c r="G3943" s="3">
        <f>HOUR(CallLog[[#This Row],[Time]])</f>
        <v>16</v>
      </c>
      <c r="H3943" t="s">
        <v>24</v>
      </c>
      <c r="I3943" t="s">
        <v>14</v>
      </c>
      <c r="J3943" t="s">
        <v>14</v>
      </c>
      <c r="K3943">
        <v>103</v>
      </c>
      <c r="L3943" t="str">
        <f>IF(AND(CallLog[[#This Row],[Answered (Y/N)]]="Y", CallLog[[#This Row],[Speed of answer in seconds]]&lt;=20),
    "Within",
    "Breach")</f>
        <v>Breach</v>
      </c>
      <c r="M3943" s="1">
        <v>9.6064814814814819E-4</v>
      </c>
      <c r="N3943">
        <v>3</v>
      </c>
    </row>
    <row r="3944" spans="1:14" x14ac:dyDescent="0.3">
      <c r="A3944" t="s">
        <v>4036</v>
      </c>
      <c r="B3944" t="s">
        <v>22</v>
      </c>
      <c r="C3944" t="s">
        <v>3996</v>
      </c>
      <c r="D3944" s="1">
        <v>0.69900462962962961</v>
      </c>
      <c r="E3944" s="2">
        <f>CallLog[[#This Row],[Date]]+CallLog[[#This Row],[Time]]</f>
        <v>44265.699004629627</v>
      </c>
      <c r="F3944" s="1" t="str">
        <f>TEXT(CallLog[[#This Row],[Date]],"dddd")</f>
        <v>Wednesday</v>
      </c>
      <c r="G3944" s="3">
        <f>HOUR(CallLog[[#This Row],[Time]])</f>
        <v>16</v>
      </c>
      <c r="H3944" t="s">
        <v>32</v>
      </c>
      <c r="I3944" t="s">
        <v>14</v>
      </c>
      <c r="J3944" t="s">
        <v>14</v>
      </c>
      <c r="K3944">
        <v>92</v>
      </c>
      <c r="L3944" t="str">
        <f>IF(AND(CallLog[[#This Row],[Answered (Y/N)]]="Y", CallLog[[#This Row],[Speed of answer in seconds]]&lt;=20),
    "Within",
    "Breach")</f>
        <v>Breach</v>
      </c>
      <c r="M3944" s="1">
        <v>4.43287037037037E-3</v>
      </c>
      <c r="N3944">
        <v>2</v>
      </c>
    </row>
    <row r="3945" spans="1:14" x14ac:dyDescent="0.3">
      <c r="A3945" t="s">
        <v>4037</v>
      </c>
      <c r="B3945" t="s">
        <v>47</v>
      </c>
      <c r="C3945" t="s">
        <v>3996</v>
      </c>
      <c r="D3945" s="1">
        <v>0.69900462962962961</v>
      </c>
      <c r="E3945" s="2">
        <f>CallLog[[#This Row],[Date]]+CallLog[[#This Row],[Time]]</f>
        <v>44265.699004629627</v>
      </c>
      <c r="F3945" s="1" t="str">
        <f>TEXT(CallLog[[#This Row],[Date]],"dddd")</f>
        <v>Wednesday</v>
      </c>
      <c r="G3945" s="3">
        <f>HOUR(CallLog[[#This Row],[Time]])</f>
        <v>16</v>
      </c>
      <c r="H3945" t="s">
        <v>32</v>
      </c>
      <c r="I3945" t="s">
        <v>14</v>
      </c>
      <c r="J3945" t="s">
        <v>18</v>
      </c>
      <c r="K3945">
        <v>92</v>
      </c>
      <c r="L3945" t="str">
        <f>IF(AND(CallLog[[#This Row],[Answered (Y/N)]]="Y", CallLog[[#This Row],[Speed of answer in seconds]]&lt;=20),
    "Within",
    "Breach")</f>
        <v>Breach</v>
      </c>
      <c r="M3945" s="1">
        <v>3.0092592592592593E-3</v>
      </c>
      <c r="N3945">
        <v>3</v>
      </c>
    </row>
    <row r="3946" spans="1:14" x14ac:dyDescent="0.3">
      <c r="A3946" t="s">
        <v>4038</v>
      </c>
      <c r="B3946" t="s">
        <v>47</v>
      </c>
      <c r="C3946" t="s">
        <v>3996</v>
      </c>
      <c r="D3946" s="1">
        <v>0.7120023148148148</v>
      </c>
      <c r="E3946" s="2">
        <f>CallLog[[#This Row],[Date]]+CallLog[[#This Row],[Time]]</f>
        <v>44265.712002314816</v>
      </c>
      <c r="F3946" s="1" t="str">
        <f>TEXT(CallLog[[#This Row],[Date]],"dddd")</f>
        <v>Wednesday</v>
      </c>
      <c r="G3946" s="3">
        <f>HOUR(CallLog[[#This Row],[Time]])</f>
        <v>17</v>
      </c>
      <c r="H3946" t="s">
        <v>32</v>
      </c>
      <c r="I3946" t="s">
        <v>14</v>
      </c>
      <c r="J3946" t="s">
        <v>14</v>
      </c>
      <c r="K3946">
        <v>33</v>
      </c>
      <c r="L3946" t="str">
        <f>IF(AND(CallLog[[#This Row],[Answered (Y/N)]]="Y", CallLog[[#This Row],[Speed of answer in seconds]]&lt;=20),
    "Within",
    "Breach")</f>
        <v>Breach</v>
      </c>
      <c r="M3946" s="1">
        <v>3.6342592592592594E-3</v>
      </c>
      <c r="N3946">
        <v>5</v>
      </c>
    </row>
    <row r="3947" spans="1:14" x14ac:dyDescent="0.3">
      <c r="A3947" t="s">
        <v>4039</v>
      </c>
      <c r="B3947" t="s">
        <v>47</v>
      </c>
      <c r="C3947" t="s">
        <v>3996</v>
      </c>
      <c r="D3947" s="1">
        <v>0.7120023148148148</v>
      </c>
      <c r="E3947" s="2">
        <f>CallLog[[#This Row],[Date]]+CallLog[[#This Row],[Time]]</f>
        <v>44265.712002314816</v>
      </c>
      <c r="F3947" s="1" t="str">
        <f>TEXT(CallLog[[#This Row],[Date]],"dddd")</f>
        <v>Wednesday</v>
      </c>
      <c r="G3947" s="3">
        <f>HOUR(CallLog[[#This Row],[Time]])</f>
        <v>17</v>
      </c>
      <c r="H3947" t="s">
        <v>13</v>
      </c>
      <c r="I3947" t="s">
        <v>14</v>
      </c>
      <c r="J3947" t="s">
        <v>14</v>
      </c>
      <c r="K3947">
        <v>24</v>
      </c>
      <c r="L3947" t="str">
        <f>IF(AND(CallLog[[#This Row],[Answered (Y/N)]]="Y", CallLog[[#This Row],[Speed of answer in seconds]]&lt;=20),
    "Within",
    "Breach")</f>
        <v>Breach</v>
      </c>
      <c r="M3947" s="1">
        <v>3.2407407407407406E-3</v>
      </c>
      <c r="N3947">
        <v>5</v>
      </c>
    </row>
    <row r="3948" spans="1:14" x14ac:dyDescent="0.3">
      <c r="A3948" t="s">
        <v>4040</v>
      </c>
      <c r="B3948" t="s">
        <v>22</v>
      </c>
      <c r="C3948" t="s">
        <v>3996</v>
      </c>
      <c r="D3948" s="1">
        <v>0.73299768518518515</v>
      </c>
      <c r="E3948" s="2">
        <f>CallLog[[#This Row],[Date]]+CallLog[[#This Row],[Time]]</f>
        <v>44265.732997685183</v>
      </c>
      <c r="F3948" s="1" t="str">
        <f>TEXT(CallLog[[#This Row],[Date]],"dddd")</f>
        <v>Wednesday</v>
      </c>
      <c r="G3948" s="3">
        <f>HOUR(CallLog[[#This Row],[Time]])</f>
        <v>17</v>
      </c>
      <c r="H3948" t="s">
        <v>32</v>
      </c>
      <c r="I3948" t="s">
        <v>14</v>
      </c>
      <c r="J3948" t="s">
        <v>14</v>
      </c>
      <c r="K3948">
        <v>84</v>
      </c>
      <c r="L3948" t="str">
        <f>IF(AND(CallLog[[#This Row],[Answered (Y/N)]]="Y", CallLog[[#This Row],[Speed of answer in seconds]]&lt;=20),
    "Within",
    "Breach")</f>
        <v>Breach</v>
      </c>
      <c r="M3948" s="1">
        <v>1.4236111111111112E-3</v>
      </c>
      <c r="N3948">
        <v>3</v>
      </c>
    </row>
    <row r="3949" spans="1:14" x14ac:dyDescent="0.3">
      <c r="A3949" t="s">
        <v>4041</v>
      </c>
      <c r="B3949" t="s">
        <v>31</v>
      </c>
      <c r="C3949" t="s">
        <v>3996</v>
      </c>
      <c r="D3949" s="1">
        <v>0.73299768518518515</v>
      </c>
      <c r="E3949" s="2">
        <f>CallLog[[#This Row],[Date]]+CallLog[[#This Row],[Time]]</f>
        <v>44265.732997685183</v>
      </c>
      <c r="F3949" s="1" t="str">
        <f>TEXT(CallLog[[#This Row],[Date]],"dddd")</f>
        <v>Wednesday</v>
      </c>
      <c r="G3949" s="3">
        <f>HOUR(CallLog[[#This Row],[Time]])</f>
        <v>17</v>
      </c>
      <c r="H3949" t="s">
        <v>17</v>
      </c>
      <c r="I3949" t="s">
        <v>14</v>
      </c>
      <c r="J3949" t="s">
        <v>14</v>
      </c>
      <c r="K3949">
        <v>99</v>
      </c>
      <c r="L3949" t="str">
        <f>IF(AND(CallLog[[#This Row],[Answered (Y/N)]]="Y", CallLog[[#This Row],[Speed of answer in seconds]]&lt;=20),
    "Within",
    "Breach")</f>
        <v>Breach</v>
      </c>
      <c r="M3949" s="1">
        <v>1.9328703703703704E-3</v>
      </c>
      <c r="N3949">
        <v>3</v>
      </c>
    </row>
    <row r="3950" spans="1:14" x14ac:dyDescent="0.3">
      <c r="A3950" t="s">
        <v>4042</v>
      </c>
      <c r="B3950" t="s">
        <v>20</v>
      </c>
      <c r="C3950" t="s">
        <v>4043</v>
      </c>
      <c r="D3950" s="1">
        <v>0.38200231481481484</v>
      </c>
      <c r="E3950" s="2">
        <f>CallLog[[#This Row],[Date]]+CallLog[[#This Row],[Time]]</f>
        <v>44266.382002314815</v>
      </c>
      <c r="F3950" s="1" t="str">
        <f>TEXT(CallLog[[#This Row],[Date]],"dddd")</f>
        <v>Thursday</v>
      </c>
      <c r="G3950" s="3">
        <f>HOUR(CallLog[[#This Row],[Time]])</f>
        <v>9</v>
      </c>
      <c r="H3950" t="s">
        <v>17</v>
      </c>
      <c r="I3950" t="s">
        <v>18</v>
      </c>
      <c r="J3950" t="s">
        <v>18</v>
      </c>
      <c r="L3950" t="str">
        <f>IF(AND(CallLog[[#This Row],[Answered (Y/N)]]="Y", CallLog[[#This Row],[Speed of answer in seconds]]&lt;=20),
    "Within",
    "Breach")</f>
        <v>Breach</v>
      </c>
    </row>
    <row r="3951" spans="1:14" x14ac:dyDescent="0.3">
      <c r="A3951" t="s">
        <v>4044</v>
      </c>
      <c r="B3951" t="s">
        <v>11</v>
      </c>
      <c r="C3951" t="s">
        <v>4043</v>
      </c>
      <c r="D3951" s="1">
        <v>0.38200231481481484</v>
      </c>
      <c r="E3951" s="2">
        <f>CallLog[[#This Row],[Date]]+CallLog[[#This Row],[Time]]</f>
        <v>44266.382002314815</v>
      </c>
      <c r="F3951" s="1" t="str">
        <f>TEXT(CallLog[[#This Row],[Date]],"dddd")</f>
        <v>Thursday</v>
      </c>
      <c r="G3951" s="3">
        <f>HOUR(CallLog[[#This Row],[Time]])</f>
        <v>9</v>
      </c>
      <c r="H3951" t="s">
        <v>17</v>
      </c>
      <c r="I3951" t="s">
        <v>14</v>
      </c>
      <c r="J3951" t="s">
        <v>14</v>
      </c>
      <c r="K3951">
        <v>58</v>
      </c>
      <c r="L3951" t="str">
        <f>IF(AND(CallLog[[#This Row],[Answered (Y/N)]]="Y", CallLog[[#This Row],[Speed of answer in seconds]]&lt;=20),
    "Within",
    "Breach")</f>
        <v>Breach</v>
      </c>
      <c r="M3951" s="1">
        <v>1.5740740740740741E-3</v>
      </c>
      <c r="N3951">
        <v>5</v>
      </c>
    </row>
    <row r="3952" spans="1:14" x14ac:dyDescent="0.3">
      <c r="A3952" t="s">
        <v>4045</v>
      </c>
      <c r="B3952" t="s">
        <v>34</v>
      </c>
      <c r="C3952" t="s">
        <v>4043</v>
      </c>
      <c r="D3952" s="1">
        <v>0.4020023148148148</v>
      </c>
      <c r="E3952" s="2">
        <f>CallLog[[#This Row],[Date]]+CallLog[[#This Row],[Time]]</f>
        <v>44266.402002314811</v>
      </c>
      <c r="F3952" s="1" t="str">
        <f>TEXT(CallLog[[#This Row],[Date]],"dddd")</f>
        <v>Thursday</v>
      </c>
      <c r="G3952" s="3">
        <f>HOUR(CallLog[[#This Row],[Time]])</f>
        <v>9</v>
      </c>
      <c r="H3952" t="s">
        <v>32</v>
      </c>
      <c r="I3952" t="s">
        <v>18</v>
      </c>
      <c r="J3952" t="s">
        <v>18</v>
      </c>
      <c r="L3952" t="str">
        <f>IF(AND(CallLog[[#This Row],[Answered (Y/N)]]="Y", CallLog[[#This Row],[Speed of answer in seconds]]&lt;=20),
    "Within",
    "Breach")</f>
        <v>Breach</v>
      </c>
    </row>
    <row r="3953" spans="1:14" x14ac:dyDescent="0.3">
      <c r="A3953" t="s">
        <v>4046</v>
      </c>
      <c r="B3953" t="s">
        <v>22</v>
      </c>
      <c r="C3953" t="s">
        <v>4043</v>
      </c>
      <c r="D3953" s="1">
        <v>0.4020023148148148</v>
      </c>
      <c r="E3953" s="2">
        <f>CallLog[[#This Row],[Date]]+CallLog[[#This Row],[Time]]</f>
        <v>44266.402002314811</v>
      </c>
      <c r="F3953" s="1" t="str">
        <f>TEXT(CallLog[[#This Row],[Date]],"dddd")</f>
        <v>Thursday</v>
      </c>
      <c r="G3953" s="3">
        <f>HOUR(CallLog[[#This Row],[Time]])</f>
        <v>9</v>
      </c>
      <c r="H3953" t="s">
        <v>29</v>
      </c>
      <c r="I3953" t="s">
        <v>14</v>
      </c>
      <c r="J3953" t="s">
        <v>14</v>
      </c>
      <c r="K3953">
        <v>27</v>
      </c>
      <c r="L3953" t="str">
        <f>IF(AND(CallLog[[#This Row],[Answered (Y/N)]]="Y", CallLog[[#This Row],[Speed of answer in seconds]]&lt;=20),
    "Within",
    "Breach")</f>
        <v>Breach</v>
      </c>
      <c r="M3953" s="1">
        <v>1.0185185185185184E-3</v>
      </c>
      <c r="N3953">
        <v>1</v>
      </c>
    </row>
    <row r="3954" spans="1:14" x14ac:dyDescent="0.3">
      <c r="A3954" t="s">
        <v>4047</v>
      </c>
      <c r="B3954" t="s">
        <v>22</v>
      </c>
      <c r="C3954" t="s">
        <v>4043</v>
      </c>
      <c r="D3954" s="1">
        <v>0.40299768518518519</v>
      </c>
      <c r="E3954" s="2">
        <f>CallLog[[#This Row],[Date]]+CallLog[[#This Row],[Time]]</f>
        <v>44266.402997685182</v>
      </c>
      <c r="F3954" s="1" t="str">
        <f>TEXT(CallLog[[#This Row],[Date]],"dddd")</f>
        <v>Thursday</v>
      </c>
      <c r="G3954" s="3">
        <f>HOUR(CallLog[[#This Row],[Time]])</f>
        <v>9</v>
      </c>
      <c r="H3954" t="s">
        <v>24</v>
      </c>
      <c r="I3954" t="s">
        <v>14</v>
      </c>
      <c r="J3954" t="s">
        <v>14</v>
      </c>
      <c r="K3954">
        <v>48</v>
      </c>
      <c r="L3954" t="str">
        <f>IF(AND(CallLog[[#This Row],[Answered (Y/N)]]="Y", CallLog[[#This Row],[Speed of answer in seconds]]&lt;=20),
    "Within",
    "Breach")</f>
        <v>Breach</v>
      </c>
      <c r="M3954" s="1">
        <v>5.0925925925925921E-4</v>
      </c>
      <c r="N3954">
        <v>3</v>
      </c>
    </row>
    <row r="3955" spans="1:14" x14ac:dyDescent="0.3">
      <c r="A3955" t="s">
        <v>4048</v>
      </c>
      <c r="B3955" t="s">
        <v>31</v>
      </c>
      <c r="C3955" t="s">
        <v>4043</v>
      </c>
      <c r="D3955" s="1">
        <v>0.40299768518518519</v>
      </c>
      <c r="E3955" s="2">
        <f>CallLog[[#This Row],[Date]]+CallLog[[#This Row],[Time]]</f>
        <v>44266.402997685182</v>
      </c>
      <c r="F3955" s="1" t="str">
        <f>TEXT(CallLog[[#This Row],[Date]],"dddd")</f>
        <v>Thursday</v>
      </c>
      <c r="G3955" s="3">
        <f>HOUR(CallLog[[#This Row],[Time]])</f>
        <v>9</v>
      </c>
      <c r="H3955" t="s">
        <v>13</v>
      </c>
      <c r="I3955" t="s">
        <v>14</v>
      </c>
      <c r="J3955" t="s">
        <v>14</v>
      </c>
      <c r="K3955">
        <v>86</v>
      </c>
      <c r="L3955" t="str">
        <f>IF(AND(CallLog[[#This Row],[Answered (Y/N)]]="Y", CallLog[[#This Row],[Speed of answer in seconds]]&lt;=20),
    "Within",
    "Breach")</f>
        <v>Breach</v>
      </c>
      <c r="M3955" s="1">
        <v>4.5949074074074078E-3</v>
      </c>
      <c r="N3955">
        <v>5</v>
      </c>
    </row>
    <row r="3956" spans="1:14" x14ac:dyDescent="0.3">
      <c r="A3956" t="s">
        <v>4049</v>
      </c>
      <c r="B3956" t="s">
        <v>47</v>
      </c>
      <c r="C3956" t="s">
        <v>4043</v>
      </c>
      <c r="D3956" s="1">
        <v>0.41499999999999998</v>
      </c>
      <c r="E3956" s="2">
        <f>CallLog[[#This Row],[Date]]+CallLog[[#This Row],[Time]]</f>
        <v>44266.415000000001</v>
      </c>
      <c r="F3956" s="1" t="str">
        <f>TEXT(CallLog[[#This Row],[Date]],"dddd")</f>
        <v>Thursday</v>
      </c>
      <c r="G3956" s="3">
        <f>HOUR(CallLog[[#This Row],[Time]])</f>
        <v>9</v>
      </c>
      <c r="H3956" t="s">
        <v>32</v>
      </c>
      <c r="I3956" t="s">
        <v>18</v>
      </c>
      <c r="J3956" t="s">
        <v>18</v>
      </c>
      <c r="L3956" t="str">
        <f>IF(AND(CallLog[[#This Row],[Answered (Y/N)]]="Y", CallLog[[#This Row],[Speed of answer in seconds]]&lt;=20),
    "Within",
    "Breach")</f>
        <v>Breach</v>
      </c>
    </row>
    <row r="3957" spans="1:14" x14ac:dyDescent="0.3">
      <c r="A3957" t="s">
        <v>4050</v>
      </c>
      <c r="B3957" t="s">
        <v>22</v>
      </c>
      <c r="C3957" t="s">
        <v>4043</v>
      </c>
      <c r="D3957" s="1">
        <v>0.41499999999999998</v>
      </c>
      <c r="E3957" s="2">
        <f>CallLog[[#This Row],[Date]]+CallLog[[#This Row],[Time]]</f>
        <v>44266.415000000001</v>
      </c>
      <c r="F3957" s="1" t="str">
        <f>TEXT(CallLog[[#This Row],[Date]],"dddd")</f>
        <v>Thursday</v>
      </c>
      <c r="G3957" s="3">
        <f>HOUR(CallLog[[#This Row],[Time]])</f>
        <v>9</v>
      </c>
      <c r="H3957" t="s">
        <v>17</v>
      </c>
      <c r="I3957" t="s">
        <v>14</v>
      </c>
      <c r="J3957" t="s">
        <v>14</v>
      </c>
      <c r="K3957">
        <v>82</v>
      </c>
      <c r="L3957" t="str">
        <f>IF(AND(CallLog[[#This Row],[Answered (Y/N)]]="Y", CallLog[[#This Row],[Speed of answer in seconds]]&lt;=20),
    "Within",
    "Breach")</f>
        <v>Breach</v>
      </c>
      <c r="M3957" s="1">
        <v>3.6689814814814814E-3</v>
      </c>
      <c r="N3957">
        <v>3</v>
      </c>
    </row>
    <row r="3958" spans="1:14" x14ac:dyDescent="0.3">
      <c r="A3958" t="s">
        <v>4051</v>
      </c>
      <c r="B3958" t="s">
        <v>31</v>
      </c>
      <c r="C3958" t="s">
        <v>4043</v>
      </c>
      <c r="D3958" s="1">
        <v>0.41799768518518521</v>
      </c>
      <c r="E3958" s="2">
        <f>CallLog[[#This Row],[Date]]+CallLog[[#This Row],[Time]]</f>
        <v>44266.417997685188</v>
      </c>
      <c r="F3958" s="1" t="str">
        <f>TEXT(CallLog[[#This Row],[Date]],"dddd")</f>
        <v>Thursday</v>
      </c>
      <c r="G3958" s="3">
        <f>HOUR(CallLog[[#This Row],[Time]])</f>
        <v>10</v>
      </c>
      <c r="H3958" t="s">
        <v>17</v>
      </c>
      <c r="I3958" t="s">
        <v>14</v>
      </c>
      <c r="J3958" t="s">
        <v>14</v>
      </c>
      <c r="K3958">
        <v>54</v>
      </c>
      <c r="L3958" t="str">
        <f>IF(AND(CallLog[[#This Row],[Answered (Y/N)]]="Y", CallLog[[#This Row],[Speed of answer in seconds]]&lt;=20),
    "Within",
    "Breach")</f>
        <v>Breach</v>
      </c>
      <c r="M3958" s="1">
        <v>2.9166666666666668E-3</v>
      </c>
      <c r="N3958">
        <v>4</v>
      </c>
    </row>
    <row r="3959" spans="1:14" x14ac:dyDescent="0.3">
      <c r="A3959" t="s">
        <v>4052</v>
      </c>
      <c r="B3959" t="s">
        <v>47</v>
      </c>
      <c r="C3959" t="s">
        <v>4043</v>
      </c>
      <c r="D3959" s="1">
        <v>0.41799768518518521</v>
      </c>
      <c r="E3959" s="2">
        <f>CallLog[[#This Row],[Date]]+CallLog[[#This Row],[Time]]</f>
        <v>44266.417997685188</v>
      </c>
      <c r="F3959" s="1" t="str">
        <f>TEXT(CallLog[[#This Row],[Date]],"dddd")</f>
        <v>Thursday</v>
      </c>
      <c r="G3959" s="3">
        <f>HOUR(CallLog[[#This Row],[Time]])</f>
        <v>10</v>
      </c>
      <c r="H3959" t="s">
        <v>17</v>
      </c>
      <c r="I3959" t="s">
        <v>14</v>
      </c>
      <c r="J3959" t="s">
        <v>14</v>
      </c>
      <c r="K3959">
        <v>87</v>
      </c>
      <c r="L3959" t="str">
        <f>IF(AND(CallLog[[#This Row],[Answered (Y/N)]]="Y", CallLog[[#This Row],[Speed of answer in seconds]]&lt;=20),
    "Within",
    "Breach")</f>
        <v>Breach</v>
      </c>
      <c r="M3959" s="1">
        <v>4.409722222222222E-3</v>
      </c>
      <c r="N3959">
        <v>4</v>
      </c>
    </row>
    <row r="3960" spans="1:14" x14ac:dyDescent="0.3">
      <c r="A3960" t="s">
        <v>4053</v>
      </c>
      <c r="B3960" t="s">
        <v>11</v>
      </c>
      <c r="C3960" t="s">
        <v>4043</v>
      </c>
      <c r="D3960" s="1">
        <v>0.42299768518518521</v>
      </c>
      <c r="E3960" s="2">
        <f>CallLog[[#This Row],[Date]]+CallLog[[#This Row],[Time]]</f>
        <v>44266.422997685186</v>
      </c>
      <c r="F3960" s="1" t="str">
        <f>TEXT(CallLog[[#This Row],[Date]],"dddd")</f>
        <v>Thursday</v>
      </c>
      <c r="G3960" s="3">
        <f>HOUR(CallLog[[#This Row],[Time]])</f>
        <v>10</v>
      </c>
      <c r="H3960" t="s">
        <v>29</v>
      </c>
      <c r="I3960" t="s">
        <v>14</v>
      </c>
      <c r="J3960" t="s">
        <v>14</v>
      </c>
      <c r="K3960">
        <v>114</v>
      </c>
      <c r="L3960" t="str">
        <f>IF(AND(CallLog[[#This Row],[Answered (Y/N)]]="Y", CallLog[[#This Row],[Speed of answer in seconds]]&lt;=20),
    "Within",
    "Breach")</f>
        <v>Breach</v>
      </c>
      <c r="M3960" s="1">
        <v>4.340277777777778E-3</v>
      </c>
      <c r="N3960">
        <v>5</v>
      </c>
    </row>
    <row r="3961" spans="1:14" x14ac:dyDescent="0.3">
      <c r="A3961" t="s">
        <v>4054</v>
      </c>
      <c r="B3961" t="s">
        <v>31</v>
      </c>
      <c r="C3961" t="s">
        <v>4043</v>
      </c>
      <c r="D3961" s="1">
        <v>0.42299768518518521</v>
      </c>
      <c r="E3961" s="2">
        <f>CallLog[[#This Row],[Date]]+CallLog[[#This Row],[Time]]</f>
        <v>44266.422997685186</v>
      </c>
      <c r="F3961" s="1" t="str">
        <f>TEXT(CallLog[[#This Row],[Date]],"dddd")</f>
        <v>Thursday</v>
      </c>
      <c r="G3961" s="3">
        <f>HOUR(CallLog[[#This Row],[Time]])</f>
        <v>10</v>
      </c>
      <c r="H3961" t="s">
        <v>29</v>
      </c>
      <c r="I3961" t="s">
        <v>18</v>
      </c>
      <c r="J3961" t="s">
        <v>18</v>
      </c>
      <c r="L3961" t="str">
        <f>IF(AND(CallLog[[#This Row],[Answered (Y/N)]]="Y", CallLog[[#This Row],[Speed of answer in seconds]]&lt;=20),
    "Within",
    "Breach")</f>
        <v>Breach</v>
      </c>
    </row>
    <row r="3962" spans="1:14" x14ac:dyDescent="0.3">
      <c r="A3962" t="s">
        <v>4055</v>
      </c>
      <c r="B3962" t="s">
        <v>31</v>
      </c>
      <c r="C3962" t="s">
        <v>4043</v>
      </c>
      <c r="D3962" s="1">
        <v>0.43400462962962966</v>
      </c>
      <c r="E3962" s="2">
        <f>CallLog[[#This Row],[Date]]+CallLog[[#This Row],[Time]]</f>
        <v>44266.434004629627</v>
      </c>
      <c r="F3962" s="1" t="str">
        <f>TEXT(CallLog[[#This Row],[Date]],"dddd")</f>
        <v>Thursday</v>
      </c>
      <c r="G3962" s="3">
        <f>HOUR(CallLog[[#This Row],[Time]])</f>
        <v>10</v>
      </c>
      <c r="H3962" t="s">
        <v>29</v>
      </c>
      <c r="I3962" t="s">
        <v>14</v>
      </c>
      <c r="J3962" t="s">
        <v>14</v>
      </c>
      <c r="K3962">
        <v>104</v>
      </c>
      <c r="L3962" t="str">
        <f>IF(AND(CallLog[[#This Row],[Answered (Y/N)]]="Y", CallLog[[#This Row],[Speed of answer in seconds]]&lt;=20),
    "Within",
    "Breach")</f>
        <v>Breach</v>
      </c>
      <c r="M3962" s="1">
        <v>5.5555555555555556E-4</v>
      </c>
      <c r="N3962">
        <v>5</v>
      </c>
    </row>
    <row r="3963" spans="1:14" x14ac:dyDescent="0.3">
      <c r="A3963" t="s">
        <v>4056</v>
      </c>
      <c r="B3963" t="s">
        <v>20</v>
      </c>
      <c r="C3963" t="s">
        <v>4043</v>
      </c>
      <c r="D3963" s="1">
        <v>0.43400462962962966</v>
      </c>
      <c r="E3963" s="2">
        <f>CallLog[[#This Row],[Date]]+CallLog[[#This Row],[Time]]</f>
        <v>44266.434004629627</v>
      </c>
      <c r="F3963" s="1" t="str">
        <f>TEXT(CallLog[[#This Row],[Date]],"dddd")</f>
        <v>Thursday</v>
      </c>
      <c r="G3963" s="3">
        <f>HOUR(CallLog[[#This Row],[Time]])</f>
        <v>10</v>
      </c>
      <c r="H3963" t="s">
        <v>32</v>
      </c>
      <c r="I3963" t="s">
        <v>14</v>
      </c>
      <c r="J3963" t="s">
        <v>14</v>
      </c>
      <c r="K3963">
        <v>81</v>
      </c>
      <c r="L3963" t="str">
        <f>IF(AND(CallLog[[#This Row],[Answered (Y/N)]]="Y", CallLog[[#This Row],[Speed of answer in seconds]]&lt;=20),
    "Within",
    "Breach")</f>
        <v>Breach</v>
      </c>
      <c r="M3963" s="1">
        <v>1.9675925925925924E-3</v>
      </c>
      <c r="N3963">
        <v>5</v>
      </c>
    </row>
    <row r="3964" spans="1:14" x14ac:dyDescent="0.3">
      <c r="A3964" t="s">
        <v>4057</v>
      </c>
      <c r="B3964" t="s">
        <v>22</v>
      </c>
      <c r="C3964" t="s">
        <v>4043</v>
      </c>
      <c r="D3964" s="1">
        <v>0.43799768518518517</v>
      </c>
      <c r="E3964" s="2">
        <f>CallLog[[#This Row],[Date]]+CallLog[[#This Row],[Time]]</f>
        <v>44266.437997685185</v>
      </c>
      <c r="F3964" s="1" t="str">
        <f>TEXT(CallLog[[#This Row],[Date]],"dddd")</f>
        <v>Thursday</v>
      </c>
      <c r="G3964" s="3">
        <f>HOUR(CallLog[[#This Row],[Time]])</f>
        <v>10</v>
      </c>
      <c r="H3964" t="s">
        <v>24</v>
      </c>
      <c r="I3964" t="s">
        <v>14</v>
      </c>
      <c r="J3964" t="s">
        <v>14</v>
      </c>
      <c r="K3964">
        <v>120</v>
      </c>
      <c r="L3964" t="str">
        <f>IF(AND(CallLog[[#This Row],[Answered (Y/N)]]="Y", CallLog[[#This Row],[Speed of answer in seconds]]&lt;=20),
    "Within",
    "Breach")</f>
        <v>Breach</v>
      </c>
      <c r="M3964" s="1">
        <v>2.7430555555555554E-3</v>
      </c>
      <c r="N3964">
        <v>4</v>
      </c>
    </row>
    <row r="3965" spans="1:14" x14ac:dyDescent="0.3">
      <c r="A3965" t="s">
        <v>4058</v>
      </c>
      <c r="B3965" t="s">
        <v>22</v>
      </c>
      <c r="C3965" t="s">
        <v>4043</v>
      </c>
      <c r="D3965" s="1">
        <v>0.43799768518518517</v>
      </c>
      <c r="E3965" s="2">
        <f>CallLog[[#This Row],[Date]]+CallLog[[#This Row],[Time]]</f>
        <v>44266.437997685185</v>
      </c>
      <c r="F3965" s="1" t="str">
        <f>TEXT(CallLog[[#This Row],[Date]],"dddd")</f>
        <v>Thursday</v>
      </c>
      <c r="G3965" s="3">
        <f>HOUR(CallLog[[#This Row],[Time]])</f>
        <v>10</v>
      </c>
      <c r="H3965" t="s">
        <v>24</v>
      </c>
      <c r="I3965" t="s">
        <v>18</v>
      </c>
      <c r="J3965" t="s">
        <v>18</v>
      </c>
      <c r="L3965" t="str">
        <f>IF(AND(CallLog[[#This Row],[Answered (Y/N)]]="Y", CallLog[[#This Row],[Speed of answer in seconds]]&lt;=20),
    "Within",
    "Breach")</f>
        <v>Breach</v>
      </c>
    </row>
    <row r="3966" spans="1:14" x14ac:dyDescent="0.3">
      <c r="A3966" t="s">
        <v>4059</v>
      </c>
      <c r="B3966" t="s">
        <v>16</v>
      </c>
      <c r="C3966" t="s">
        <v>4043</v>
      </c>
      <c r="D3966" s="1">
        <v>0.45099537037037035</v>
      </c>
      <c r="E3966" s="2">
        <f>CallLog[[#This Row],[Date]]+CallLog[[#This Row],[Time]]</f>
        <v>44266.450995370367</v>
      </c>
      <c r="F3966" s="1" t="str">
        <f>TEXT(CallLog[[#This Row],[Date]],"dddd")</f>
        <v>Thursday</v>
      </c>
      <c r="G3966" s="3">
        <f>HOUR(CallLog[[#This Row],[Time]])</f>
        <v>10</v>
      </c>
      <c r="H3966" t="s">
        <v>13</v>
      </c>
      <c r="I3966" t="s">
        <v>14</v>
      </c>
      <c r="J3966" t="s">
        <v>14</v>
      </c>
      <c r="K3966">
        <v>72</v>
      </c>
      <c r="L3966" t="str">
        <f>IF(AND(CallLog[[#This Row],[Answered (Y/N)]]="Y", CallLog[[#This Row],[Speed of answer in seconds]]&lt;=20),
    "Within",
    "Breach")</f>
        <v>Breach</v>
      </c>
      <c r="M3966" s="1">
        <v>3.5995370370370369E-3</v>
      </c>
      <c r="N3966">
        <v>3</v>
      </c>
    </row>
    <row r="3967" spans="1:14" x14ac:dyDescent="0.3">
      <c r="A3967" t="s">
        <v>4060</v>
      </c>
      <c r="B3967" t="s">
        <v>20</v>
      </c>
      <c r="C3967" t="s">
        <v>4043</v>
      </c>
      <c r="D3967" s="1">
        <v>0.45099537037037035</v>
      </c>
      <c r="E3967" s="2">
        <f>CallLog[[#This Row],[Date]]+CallLog[[#This Row],[Time]]</f>
        <v>44266.450995370367</v>
      </c>
      <c r="F3967" s="1" t="str">
        <f>TEXT(CallLog[[#This Row],[Date]],"dddd")</f>
        <v>Thursday</v>
      </c>
      <c r="G3967" s="3">
        <f>HOUR(CallLog[[#This Row],[Time]])</f>
        <v>10</v>
      </c>
      <c r="H3967" t="s">
        <v>29</v>
      </c>
      <c r="I3967" t="s">
        <v>14</v>
      </c>
      <c r="J3967" t="s">
        <v>14</v>
      </c>
      <c r="K3967">
        <v>57</v>
      </c>
      <c r="L3967" t="str">
        <f>IF(AND(CallLog[[#This Row],[Answered (Y/N)]]="Y", CallLog[[#This Row],[Speed of answer in seconds]]&lt;=20),
    "Within",
    "Breach")</f>
        <v>Breach</v>
      </c>
      <c r="M3967" s="1">
        <v>2.0601851851851853E-3</v>
      </c>
      <c r="N3967">
        <v>3</v>
      </c>
    </row>
    <row r="3968" spans="1:14" x14ac:dyDescent="0.3">
      <c r="A3968" t="s">
        <v>4061</v>
      </c>
      <c r="B3968" t="s">
        <v>22</v>
      </c>
      <c r="C3968" t="s">
        <v>4043</v>
      </c>
      <c r="D3968" s="1">
        <v>0.45200231481481479</v>
      </c>
      <c r="E3968" s="2">
        <f>CallLog[[#This Row],[Date]]+CallLog[[#This Row],[Time]]</f>
        <v>44266.452002314814</v>
      </c>
      <c r="F3968" s="1" t="str">
        <f>TEXT(CallLog[[#This Row],[Date]],"dddd")</f>
        <v>Thursday</v>
      </c>
      <c r="G3968" s="3">
        <f>HOUR(CallLog[[#This Row],[Time]])</f>
        <v>10</v>
      </c>
      <c r="H3968" t="s">
        <v>29</v>
      </c>
      <c r="I3968" t="s">
        <v>14</v>
      </c>
      <c r="J3968" t="s">
        <v>14</v>
      </c>
      <c r="K3968">
        <v>74</v>
      </c>
      <c r="L3968" t="str">
        <f>IF(AND(CallLog[[#This Row],[Answered (Y/N)]]="Y", CallLog[[#This Row],[Speed of answer in seconds]]&lt;=20),
    "Within",
    "Breach")</f>
        <v>Breach</v>
      </c>
      <c r="M3968" s="1">
        <v>5.5555555555555556E-4</v>
      </c>
      <c r="N3968">
        <v>5</v>
      </c>
    </row>
    <row r="3969" spans="1:14" x14ac:dyDescent="0.3">
      <c r="A3969" t="s">
        <v>4062</v>
      </c>
      <c r="B3969" t="s">
        <v>34</v>
      </c>
      <c r="C3969" t="s">
        <v>4043</v>
      </c>
      <c r="D3969" s="1">
        <v>0.45200231481481479</v>
      </c>
      <c r="E3969" s="2">
        <f>CallLog[[#This Row],[Date]]+CallLog[[#This Row],[Time]]</f>
        <v>44266.452002314814</v>
      </c>
      <c r="F3969" s="1" t="str">
        <f>TEXT(CallLog[[#This Row],[Date]],"dddd")</f>
        <v>Thursday</v>
      </c>
      <c r="G3969" s="3">
        <f>HOUR(CallLog[[#This Row],[Time]])</f>
        <v>10</v>
      </c>
      <c r="H3969" t="s">
        <v>32</v>
      </c>
      <c r="I3969" t="s">
        <v>14</v>
      </c>
      <c r="J3969" t="s">
        <v>14</v>
      </c>
      <c r="K3969">
        <v>53</v>
      </c>
      <c r="L3969" t="str">
        <f>IF(AND(CallLog[[#This Row],[Answered (Y/N)]]="Y", CallLog[[#This Row],[Speed of answer in seconds]]&lt;=20),
    "Within",
    "Breach")</f>
        <v>Breach</v>
      </c>
      <c r="M3969" s="1">
        <v>3.9583333333333337E-3</v>
      </c>
      <c r="N3969">
        <v>3</v>
      </c>
    </row>
    <row r="3970" spans="1:14" x14ac:dyDescent="0.3">
      <c r="A3970" t="s">
        <v>4063</v>
      </c>
      <c r="B3970" t="s">
        <v>22</v>
      </c>
      <c r="C3970" t="s">
        <v>4043</v>
      </c>
      <c r="D3970" s="1">
        <v>0.45900462962962962</v>
      </c>
      <c r="E3970" s="2">
        <f>CallLog[[#This Row],[Date]]+CallLog[[#This Row],[Time]]</f>
        <v>44266.459004629629</v>
      </c>
      <c r="F3970" s="1" t="str">
        <f>TEXT(CallLog[[#This Row],[Date]],"dddd")</f>
        <v>Thursday</v>
      </c>
      <c r="G3970" s="3">
        <f>HOUR(CallLog[[#This Row],[Time]])</f>
        <v>11</v>
      </c>
      <c r="H3970" t="s">
        <v>24</v>
      </c>
      <c r="I3970" t="s">
        <v>14</v>
      </c>
      <c r="J3970" t="s">
        <v>14</v>
      </c>
      <c r="K3970">
        <v>79</v>
      </c>
      <c r="L3970" t="str">
        <f>IF(AND(CallLog[[#This Row],[Answered (Y/N)]]="Y", CallLog[[#This Row],[Speed of answer in seconds]]&lt;=20),
    "Within",
    "Breach")</f>
        <v>Breach</v>
      </c>
      <c r="M3970" s="1">
        <v>1.5856481481481481E-3</v>
      </c>
      <c r="N3970">
        <v>3</v>
      </c>
    </row>
    <row r="3971" spans="1:14" x14ac:dyDescent="0.3">
      <c r="A3971" t="s">
        <v>4064</v>
      </c>
      <c r="B3971" t="s">
        <v>38</v>
      </c>
      <c r="C3971" t="s">
        <v>4043</v>
      </c>
      <c r="D3971" s="1">
        <v>0.45900462962962962</v>
      </c>
      <c r="E3971" s="2">
        <f>CallLog[[#This Row],[Date]]+CallLog[[#This Row],[Time]]</f>
        <v>44266.459004629629</v>
      </c>
      <c r="F3971" s="1" t="str">
        <f>TEXT(CallLog[[#This Row],[Date]],"dddd")</f>
        <v>Thursday</v>
      </c>
      <c r="G3971" s="3">
        <f>HOUR(CallLog[[#This Row],[Time]])</f>
        <v>11</v>
      </c>
      <c r="H3971" t="s">
        <v>32</v>
      </c>
      <c r="I3971" t="s">
        <v>14</v>
      </c>
      <c r="J3971" t="s">
        <v>14</v>
      </c>
      <c r="K3971">
        <v>100</v>
      </c>
      <c r="L3971" t="str">
        <f>IF(AND(CallLog[[#This Row],[Answered (Y/N)]]="Y", CallLog[[#This Row],[Speed of answer in seconds]]&lt;=20),
    "Within",
    "Breach")</f>
        <v>Breach</v>
      </c>
      <c r="M3971" s="1">
        <v>4.1666666666666666E-3</v>
      </c>
      <c r="N3971">
        <v>3</v>
      </c>
    </row>
    <row r="3972" spans="1:14" x14ac:dyDescent="0.3">
      <c r="A3972" t="s">
        <v>4065</v>
      </c>
      <c r="B3972" t="s">
        <v>47</v>
      </c>
      <c r="C3972" t="s">
        <v>4043</v>
      </c>
      <c r="D3972" s="1">
        <v>0.47700231481481481</v>
      </c>
      <c r="E3972" s="2">
        <f>CallLog[[#This Row],[Date]]+CallLog[[#This Row],[Time]]</f>
        <v>44266.477002314816</v>
      </c>
      <c r="F3972" s="1" t="str">
        <f>TEXT(CallLog[[#This Row],[Date]],"dddd")</f>
        <v>Thursday</v>
      </c>
      <c r="G3972" s="3">
        <f>HOUR(CallLog[[#This Row],[Time]])</f>
        <v>11</v>
      </c>
      <c r="H3972" t="s">
        <v>32</v>
      </c>
      <c r="I3972" t="s">
        <v>14</v>
      </c>
      <c r="J3972" t="s">
        <v>14</v>
      </c>
      <c r="K3972">
        <v>116</v>
      </c>
      <c r="L3972" t="str">
        <f>IF(AND(CallLog[[#This Row],[Answered (Y/N)]]="Y", CallLog[[#This Row],[Speed of answer in seconds]]&lt;=20),
    "Within",
    "Breach")</f>
        <v>Breach</v>
      </c>
      <c r="M3972" s="1">
        <v>3.1365740740740742E-3</v>
      </c>
      <c r="N3972">
        <v>3</v>
      </c>
    </row>
    <row r="3973" spans="1:14" x14ac:dyDescent="0.3">
      <c r="A3973" t="s">
        <v>4066</v>
      </c>
      <c r="B3973" t="s">
        <v>11</v>
      </c>
      <c r="C3973" t="s">
        <v>4043</v>
      </c>
      <c r="D3973" s="1">
        <v>0.47700231481481481</v>
      </c>
      <c r="E3973" s="2">
        <f>CallLog[[#This Row],[Date]]+CallLog[[#This Row],[Time]]</f>
        <v>44266.477002314816</v>
      </c>
      <c r="F3973" s="1" t="str">
        <f>TEXT(CallLog[[#This Row],[Date]],"dddd")</f>
        <v>Thursday</v>
      </c>
      <c r="G3973" s="3">
        <f>HOUR(CallLog[[#This Row],[Time]])</f>
        <v>11</v>
      </c>
      <c r="H3973" t="s">
        <v>17</v>
      </c>
      <c r="I3973" t="s">
        <v>18</v>
      </c>
      <c r="J3973" t="s">
        <v>18</v>
      </c>
      <c r="L3973" t="str">
        <f>IF(AND(CallLog[[#This Row],[Answered (Y/N)]]="Y", CallLog[[#This Row],[Speed of answer in seconds]]&lt;=20),
    "Within",
    "Breach")</f>
        <v>Breach</v>
      </c>
    </row>
    <row r="3974" spans="1:14" x14ac:dyDescent="0.3">
      <c r="A3974" t="s">
        <v>4067</v>
      </c>
      <c r="B3974" t="s">
        <v>38</v>
      </c>
      <c r="C3974" t="s">
        <v>4043</v>
      </c>
      <c r="D3974" s="1">
        <v>0.48499999999999999</v>
      </c>
      <c r="E3974" s="2">
        <f>CallLog[[#This Row],[Date]]+CallLog[[#This Row],[Time]]</f>
        <v>44266.485000000001</v>
      </c>
      <c r="F3974" s="1" t="str">
        <f>TEXT(CallLog[[#This Row],[Date]],"dddd")</f>
        <v>Thursday</v>
      </c>
      <c r="G3974" s="3">
        <f>HOUR(CallLog[[#This Row],[Time]])</f>
        <v>11</v>
      </c>
      <c r="H3974" t="s">
        <v>32</v>
      </c>
      <c r="I3974" t="s">
        <v>14</v>
      </c>
      <c r="J3974" t="s">
        <v>14</v>
      </c>
      <c r="K3974">
        <v>14</v>
      </c>
      <c r="L3974" t="str">
        <f>IF(AND(CallLog[[#This Row],[Answered (Y/N)]]="Y", CallLog[[#This Row],[Speed of answer in seconds]]&lt;=20),
    "Within",
    "Breach")</f>
        <v>Within</v>
      </c>
      <c r="M3974" s="1">
        <v>1.2037037037037038E-3</v>
      </c>
      <c r="N3974">
        <v>5</v>
      </c>
    </row>
    <row r="3975" spans="1:14" x14ac:dyDescent="0.3">
      <c r="A3975" t="s">
        <v>4068</v>
      </c>
      <c r="B3975" t="s">
        <v>34</v>
      </c>
      <c r="C3975" t="s">
        <v>4043</v>
      </c>
      <c r="D3975" s="1">
        <v>0.48499999999999999</v>
      </c>
      <c r="E3975" s="2">
        <f>CallLog[[#This Row],[Date]]+CallLog[[#This Row],[Time]]</f>
        <v>44266.485000000001</v>
      </c>
      <c r="F3975" s="1" t="str">
        <f>TEXT(CallLog[[#This Row],[Date]],"dddd")</f>
        <v>Thursday</v>
      </c>
      <c r="G3975" s="3">
        <f>HOUR(CallLog[[#This Row],[Time]])</f>
        <v>11</v>
      </c>
      <c r="H3975" t="s">
        <v>32</v>
      </c>
      <c r="I3975" t="s">
        <v>14</v>
      </c>
      <c r="J3975" t="s">
        <v>14</v>
      </c>
      <c r="K3975">
        <v>92</v>
      </c>
      <c r="L3975" t="str">
        <f>IF(AND(CallLog[[#This Row],[Answered (Y/N)]]="Y", CallLog[[#This Row],[Speed of answer in seconds]]&lt;=20),
    "Within",
    "Breach")</f>
        <v>Breach</v>
      </c>
      <c r="M3975" s="1">
        <v>1.1689814814814816E-3</v>
      </c>
      <c r="N3975">
        <v>5</v>
      </c>
    </row>
    <row r="3976" spans="1:14" x14ac:dyDescent="0.3">
      <c r="A3976" t="s">
        <v>4069</v>
      </c>
      <c r="B3976" t="s">
        <v>31</v>
      </c>
      <c r="C3976" t="s">
        <v>4043</v>
      </c>
      <c r="D3976" s="1">
        <v>0.50200231481481483</v>
      </c>
      <c r="E3976" s="2">
        <f>CallLog[[#This Row],[Date]]+CallLog[[#This Row],[Time]]</f>
        <v>44266.502002314817</v>
      </c>
      <c r="F3976" s="1" t="str">
        <f>TEXT(CallLog[[#This Row],[Date]],"dddd")</f>
        <v>Thursday</v>
      </c>
      <c r="G3976" s="3">
        <f>HOUR(CallLog[[#This Row],[Time]])</f>
        <v>12</v>
      </c>
      <c r="H3976" t="s">
        <v>29</v>
      </c>
      <c r="I3976" t="s">
        <v>14</v>
      </c>
      <c r="J3976" t="s">
        <v>14</v>
      </c>
      <c r="K3976">
        <v>92</v>
      </c>
      <c r="L3976" t="str">
        <f>IF(AND(CallLog[[#This Row],[Answered (Y/N)]]="Y", CallLog[[#This Row],[Speed of answer in seconds]]&lt;=20),
    "Within",
    "Breach")</f>
        <v>Breach</v>
      </c>
      <c r="M3976" s="1">
        <v>1.736111111111111E-3</v>
      </c>
      <c r="N3976">
        <v>1</v>
      </c>
    </row>
    <row r="3977" spans="1:14" x14ac:dyDescent="0.3">
      <c r="A3977" t="s">
        <v>4070</v>
      </c>
      <c r="B3977" t="s">
        <v>34</v>
      </c>
      <c r="C3977" t="s">
        <v>4043</v>
      </c>
      <c r="D3977" s="1">
        <v>0.50200231481481483</v>
      </c>
      <c r="E3977" s="2">
        <f>CallLog[[#This Row],[Date]]+CallLog[[#This Row],[Time]]</f>
        <v>44266.502002314817</v>
      </c>
      <c r="F3977" s="1" t="str">
        <f>TEXT(CallLog[[#This Row],[Date]],"dddd")</f>
        <v>Thursday</v>
      </c>
      <c r="G3977" s="3">
        <f>HOUR(CallLog[[#This Row],[Time]])</f>
        <v>12</v>
      </c>
      <c r="H3977" t="s">
        <v>13</v>
      </c>
      <c r="I3977" t="s">
        <v>14</v>
      </c>
      <c r="J3977" t="s">
        <v>14</v>
      </c>
      <c r="K3977">
        <v>78</v>
      </c>
      <c r="L3977" t="str">
        <f>IF(AND(CallLog[[#This Row],[Answered (Y/N)]]="Y", CallLog[[#This Row],[Speed of answer in seconds]]&lt;=20),
    "Within",
    "Breach")</f>
        <v>Breach</v>
      </c>
      <c r="M3977" s="1">
        <v>4.4444444444444444E-3</v>
      </c>
      <c r="N3977">
        <v>4</v>
      </c>
    </row>
    <row r="3978" spans="1:14" x14ac:dyDescent="0.3">
      <c r="A3978" t="s">
        <v>4071</v>
      </c>
      <c r="B3978" t="s">
        <v>38</v>
      </c>
      <c r="C3978" t="s">
        <v>4043</v>
      </c>
      <c r="D3978" s="1">
        <v>0.51400462962962967</v>
      </c>
      <c r="E3978" s="2">
        <f>CallLog[[#This Row],[Date]]+CallLog[[#This Row],[Time]]</f>
        <v>44266.514004629629</v>
      </c>
      <c r="F3978" s="1" t="str">
        <f>TEXT(CallLog[[#This Row],[Date]],"dddd")</f>
        <v>Thursday</v>
      </c>
      <c r="G3978" s="3">
        <f>HOUR(CallLog[[#This Row],[Time]])</f>
        <v>12</v>
      </c>
      <c r="H3978" t="s">
        <v>17</v>
      </c>
      <c r="I3978" t="s">
        <v>14</v>
      </c>
      <c r="J3978" t="s">
        <v>14</v>
      </c>
      <c r="K3978">
        <v>36</v>
      </c>
      <c r="L3978" t="str">
        <f>IF(AND(CallLog[[#This Row],[Answered (Y/N)]]="Y", CallLog[[#This Row],[Speed of answer in seconds]]&lt;=20),
    "Within",
    "Breach")</f>
        <v>Breach</v>
      </c>
      <c r="M3978" s="1">
        <v>4.861111111111111E-4</v>
      </c>
      <c r="N3978">
        <v>3</v>
      </c>
    </row>
    <row r="3979" spans="1:14" x14ac:dyDescent="0.3">
      <c r="A3979" t="s">
        <v>4072</v>
      </c>
      <c r="B3979" t="s">
        <v>31</v>
      </c>
      <c r="C3979" t="s">
        <v>4043</v>
      </c>
      <c r="D3979" s="1">
        <v>0.51400462962962967</v>
      </c>
      <c r="E3979" s="2">
        <f>CallLog[[#This Row],[Date]]+CallLog[[#This Row],[Time]]</f>
        <v>44266.514004629629</v>
      </c>
      <c r="F3979" s="1" t="str">
        <f>TEXT(CallLog[[#This Row],[Date]],"dddd")</f>
        <v>Thursday</v>
      </c>
      <c r="G3979" s="3">
        <f>HOUR(CallLog[[#This Row],[Time]])</f>
        <v>12</v>
      </c>
      <c r="H3979" t="s">
        <v>32</v>
      </c>
      <c r="I3979" t="s">
        <v>18</v>
      </c>
      <c r="J3979" t="s">
        <v>18</v>
      </c>
      <c r="L3979" t="str">
        <f>IF(AND(CallLog[[#This Row],[Answered (Y/N)]]="Y", CallLog[[#This Row],[Speed of answer in seconds]]&lt;=20),
    "Within",
    "Breach")</f>
        <v>Breach</v>
      </c>
    </row>
    <row r="3980" spans="1:14" x14ac:dyDescent="0.3">
      <c r="A3980" t="s">
        <v>4073</v>
      </c>
      <c r="B3980" t="s">
        <v>22</v>
      </c>
      <c r="C3980" t="s">
        <v>4043</v>
      </c>
      <c r="D3980" s="1">
        <v>0.51400462962962967</v>
      </c>
      <c r="E3980" s="2">
        <f>CallLog[[#This Row],[Date]]+CallLog[[#This Row],[Time]]</f>
        <v>44266.514004629629</v>
      </c>
      <c r="F3980" s="1" t="str">
        <f>TEXT(CallLog[[#This Row],[Date]],"dddd")</f>
        <v>Thursday</v>
      </c>
      <c r="G3980" s="3">
        <f>HOUR(CallLog[[#This Row],[Time]])</f>
        <v>12</v>
      </c>
      <c r="H3980" t="s">
        <v>24</v>
      </c>
      <c r="I3980" t="s">
        <v>14</v>
      </c>
      <c r="J3980" t="s">
        <v>14</v>
      </c>
      <c r="K3980">
        <v>20</v>
      </c>
      <c r="L3980" t="str">
        <f>IF(AND(CallLog[[#This Row],[Answered (Y/N)]]="Y", CallLog[[#This Row],[Speed of answer in seconds]]&lt;=20),
    "Within",
    "Breach")</f>
        <v>Within</v>
      </c>
      <c r="M3980" s="1">
        <v>3.1481481481481482E-3</v>
      </c>
      <c r="N3980">
        <v>2</v>
      </c>
    </row>
    <row r="3981" spans="1:14" x14ac:dyDescent="0.3">
      <c r="A3981" t="s">
        <v>4074</v>
      </c>
      <c r="B3981" t="s">
        <v>47</v>
      </c>
      <c r="C3981" t="s">
        <v>4043</v>
      </c>
      <c r="D3981" s="1">
        <v>0.51400462962962967</v>
      </c>
      <c r="E3981" s="2">
        <f>CallLog[[#This Row],[Date]]+CallLog[[#This Row],[Time]]</f>
        <v>44266.514004629629</v>
      </c>
      <c r="F3981" s="1" t="str">
        <f>TEXT(CallLog[[#This Row],[Date]],"dddd")</f>
        <v>Thursday</v>
      </c>
      <c r="G3981" s="3">
        <f>HOUR(CallLog[[#This Row],[Time]])</f>
        <v>12</v>
      </c>
      <c r="H3981" t="s">
        <v>17</v>
      </c>
      <c r="I3981" t="s">
        <v>14</v>
      </c>
      <c r="J3981" t="s">
        <v>18</v>
      </c>
      <c r="K3981">
        <v>29</v>
      </c>
      <c r="L3981" t="str">
        <f>IF(AND(CallLog[[#This Row],[Answered (Y/N)]]="Y", CallLog[[#This Row],[Speed of answer in seconds]]&lt;=20),
    "Within",
    "Breach")</f>
        <v>Breach</v>
      </c>
      <c r="M3981" s="1">
        <v>3.5069444444444445E-3</v>
      </c>
      <c r="N3981">
        <v>5</v>
      </c>
    </row>
    <row r="3982" spans="1:14" x14ac:dyDescent="0.3">
      <c r="A3982" t="s">
        <v>4075</v>
      </c>
      <c r="B3982" t="s">
        <v>20</v>
      </c>
      <c r="C3982" t="s">
        <v>4043</v>
      </c>
      <c r="D3982" s="1">
        <v>0.52200231481481485</v>
      </c>
      <c r="E3982" s="2">
        <f>CallLog[[#This Row],[Date]]+CallLog[[#This Row],[Time]]</f>
        <v>44266.522002314814</v>
      </c>
      <c r="F3982" s="1" t="str">
        <f>TEXT(CallLog[[#This Row],[Date]],"dddd")</f>
        <v>Thursday</v>
      </c>
      <c r="G3982" s="3">
        <f>HOUR(CallLog[[#This Row],[Time]])</f>
        <v>12</v>
      </c>
      <c r="H3982" t="s">
        <v>24</v>
      </c>
      <c r="I3982" t="s">
        <v>14</v>
      </c>
      <c r="J3982" t="s">
        <v>14</v>
      </c>
      <c r="K3982">
        <v>119</v>
      </c>
      <c r="L3982" t="str">
        <f>IF(AND(CallLog[[#This Row],[Answered (Y/N)]]="Y", CallLog[[#This Row],[Speed of answer in seconds]]&lt;=20),
    "Within",
    "Breach")</f>
        <v>Breach</v>
      </c>
      <c r="M3982" s="1">
        <v>4.7569444444444447E-3</v>
      </c>
      <c r="N3982">
        <v>3</v>
      </c>
    </row>
    <row r="3983" spans="1:14" x14ac:dyDescent="0.3">
      <c r="A3983" t="s">
        <v>4076</v>
      </c>
      <c r="B3983" t="s">
        <v>38</v>
      </c>
      <c r="C3983" t="s">
        <v>4043</v>
      </c>
      <c r="D3983" s="1">
        <v>0.52200231481481485</v>
      </c>
      <c r="E3983" s="2">
        <f>CallLog[[#This Row],[Date]]+CallLog[[#This Row],[Time]]</f>
        <v>44266.522002314814</v>
      </c>
      <c r="F3983" s="1" t="str">
        <f>TEXT(CallLog[[#This Row],[Date]],"dddd")</f>
        <v>Thursday</v>
      </c>
      <c r="G3983" s="3">
        <f>HOUR(CallLog[[#This Row],[Time]])</f>
        <v>12</v>
      </c>
      <c r="H3983" t="s">
        <v>24</v>
      </c>
      <c r="I3983" t="s">
        <v>14</v>
      </c>
      <c r="J3983" t="s">
        <v>14</v>
      </c>
      <c r="K3983">
        <v>67</v>
      </c>
      <c r="L3983" t="str">
        <f>IF(AND(CallLog[[#This Row],[Answered (Y/N)]]="Y", CallLog[[#This Row],[Speed of answer in seconds]]&lt;=20),
    "Within",
    "Breach")</f>
        <v>Breach</v>
      </c>
      <c r="M3983" s="1">
        <v>3.5879629629629629E-3</v>
      </c>
      <c r="N3983">
        <v>5</v>
      </c>
    </row>
    <row r="3984" spans="1:14" x14ac:dyDescent="0.3">
      <c r="A3984" t="s">
        <v>4077</v>
      </c>
      <c r="B3984" t="s">
        <v>31</v>
      </c>
      <c r="C3984" t="s">
        <v>4043</v>
      </c>
      <c r="D3984" s="1">
        <v>0.52700231481481485</v>
      </c>
      <c r="E3984" s="2">
        <f>CallLog[[#This Row],[Date]]+CallLog[[#This Row],[Time]]</f>
        <v>44266.527002314811</v>
      </c>
      <c r="F3984" s="1" t="str">
        <f>TEXT(CallLog[[#This Row],[Date]],"dddd")</f>
        <v>Thursday</v>
      </c>
      <c r="G3984" s="3">
        <f>HOUR(CallLog[[#This Row],[Time]])</f>
        <v>12</v>
      </c>
      <c r="H3984" t="s">
        <v>32</v>
      </c>
      <c r="I3984" t="s">
        <v>18</v>
      </c>
      <c r="J3984" t="s">
        <v>18</v>
      </c>
      <c r="L3984" t="str">
        <f>IF(AND(CallLog[[#This Row],[Answered (Y/N)]]="Y", CallLog[[#This Row],[Speed of answer in seconds]]&lt;=20),
    "Within",
    "Breach")</f>
        <v>Breach</v>
      </c>
    </row>
    <row r="3985" spans="1:14" x14ac:dyDescent="0.3">
      <c r="A3985" t="s">
        <v>4078</v>
      </c>
      <c r="B3985" t="s">
        <v>38</v>
      </c>
      <c r="C3985" t="s">
        <v>4043</v>
      </c>
      <c r="D3985" s="1">
        <v>0.52700231481481485</v>
      </c>
      <c r="E3985" s="2">
        <f>CallLog[[#This Row],[Date]]+CallLog[[#This Row],[Time]]</f>
        <v>44266.527002314811</v>
      </c>
      <c r="F3985" s="1" t="str">
        <f>TEXT(CallLog[[#This Row],[Date]],"dddd")</f>
        <v>Thursday</v>
      </c>
      <c r="G3985" s="3">
        <f>HOUR(CallLog[[#This Row],[Time]])</f>
        <v>12</v>
      </c>
      <c r="H3985" t="s">
        <v>32</v>
      </c>
      <c r="I3985" t="s">
        <v>14</v>
      </c>
      <c r="J3985" t="s">
        <v>14</v>
      </c>
      <c r="K3985">
        <v>102</v>
      </c>
      <c r="L3985" t="str">
        <f>IF(AND(CallLog[[#This Row],[Answered (Y/N)]]="Y", CallLog[[#This Row],[Speed of answer in seconds]]&lt;=20),
    "Within",
    "Breach")</f>
        <v>Breach</v>
      </c>
      <c r="M3985" s="1">
        <v>8.564814814814815E-4</v>
      </c>
      <c r="N3985">
        <v>1</v>
      </c>
    </row>
    <row r="3986" spans="1:14" x14ac:dyDescent="0.3">
      <c r="A3986" t="s">
        <v>4079</v>
      </c>
      <c r="B3986" t="s">
        <v>38</v>
      </c>
      <c r="C3986" t="s">
        <v>4043</v>
      </c>
      <c r="D3986" s="1">
        <v>0.53900462962962958</v>
      </c>
      <c r="E3986" s="2">
        <f>CallLog[[#This Row],[Date]]+CallLog[[#This Row],[Time]]</f>
        <v>44266.539004629631</v>
      </c>
      <c r="F3986" s="1" t="str">
        <f>TEXT(CallLog[[#This Row],[Date]],"dddd")</f>
        <v>Thursday</v>
      </c>
      <c r="G3986" s="3">
        <f>HOUR(CallLog[[#This Row],[Time]])</f>
        <v>12</v>
      </c>
      <c r="H3986" t="s">
        <v>32</v>
      </c>
      <c r="I3986" t="s">
        <v>14</v>
      </c>
      <c r="J3986" t="s">
        <v>14</v>
      </c>
      <c r="K3986">
        <v>72</v>
      </c>
      <c r="L3986" t="str">
        <f>IF(AND(CallLog[[#This Row],[Answered (Y/N)]]="Y", CallLog[[#This Row],[Speed of answer in seconds]]&lt;=20),
    "Within",
    "Breach")</f>
        <v>Breach</v>
      </c>
      <c r="M3986" s="1">
        <v>3.7499999999999999E-3</v>
      </c>
      <c r="N3986">
        <v>4</v>
      </c>
    </row>
    <row r="3987" spans="1:14" x14ac:dyDescent="0.3">
      <c r="A3987" t="s">
        <v>4080</v>
      </c>
      <c r="B3987" t="s">
        <v>11</v>
      </c>
      <c r="C3987" t="s">
        <v>4043</v>
      </c>
      <c r="D3987" s="1">
        <v>0.53900462962962958</v>
      </c>
      <c r="E3987" s="2">
        <f>CallLog[[#This Row],[Date]]+CallLog[[#This Row],[Time]]</f>
        <v>44266.539004629631</v>
      </c>
      <c r="F3987" s="1" t="str">
        <f>TEXT(CallLog[[#This Row],[Date]],"dddd")</f>
        <v>Thursday</v>
      </c>
      <c r="G3987" s="3">
        <f>HOUR(CallLog[[#This Row],[Time]])</f>
        <v>12</v>
      </c>
      <c r="H3987" t="s">
        <v>29</v>
      </c>
      <c r="I3987" t="s">
        <v>14</v>
      </c>
      <c r="J3987" t="s">
        <v>14</v>
      </c>
      <c r="K3987">
        <v>107</v>
      </c>
      <c r="L3987" t="str">
        <f>IF(AND(CallLog[[#This Row],[Answered (Y/N)]]="Y", CallLog[[#This Row],[Speed of answer in seconds]]&lt;=20),
    "Within",
    "Breach")</f>
        <v>Breach</v>
      </c>
      <c r="M3987" s="1">
        <v>1.3657407407407407E-3</v>
      </c>
      <c r="N3987">
        <v>5</v>
      </c>
    </row>
    <row r="3988" spans="1:14" x14ac:dyDescent="0.3">
      <c r="A3988" t="s">
        <v>4081</v>
      </c>
      <c r="B3988" t="s">
        <v>22</v>
      </c>
      <c r="C3988" t="s">
        <v>4043</v>
      </c>
      <c r="D3988" s="1">
        <v>0.54</v>
      </c>
      <c r="E3988" s="2">
        <f>CallLog[[#This Row],[Date]]+CallLog[[#This Row],[Time]]</f>
        <v>44266.54</v>
      </c>
      <c r="F3988" s="1" t="str">
        <f>TEXT(CallLog[[#This Row],[Date]],"dddd")</f>
        <v>Thursday</v>
      </c>
      <c r="G3988" s="3">
        <f>HOUR(CallLog[[#This Row],[Time]])</f>
        <v>12</v>
      </c>
      <c r="H3988" t="s">
        <v>32</v>
      </c>
      <c r="I3988" t="s">
        <v>18</v>
      </c>
      <c r="J3988" t="s">
        <v>18</v>
      </c>
      <c r="L3988" t="str">
        <f>IF(AND(CallLog[[#This Row],[Answered (Y/N)]]="Y", CallLog[[#This Row],[Speed of answer in seconds]]&lt;=20),
    "Within",
    "Breach")</f>
        <v>Breach</v>
      </c>
    </row>
    <row r="3989" spans="1:14" x14ac:dyDescent="0.3">
      <c r="A3989" t="s">
        <v>4082</v>
      </c>
      <c r="B3989" t="s">
        <v>16</v>
      </c>
      <c r="C3989" t="s">
        <v>4043</v>
      </c>
      <c r="D3989" s="1">
        <v>0.54</v>
      </c>
      <c r="E3989" s="2">
        <f>CallLog[[#This Row],[Date]]+CallLog[[#This Row],[Time]]</f>
        <v>44266.54</v>
      </c>
      <c r="F3989" s="1" t="str">
        <f>TEXT(CallLog[[#This Row],[Date]],"dddd")</f>
        <v>Thursday</v>
      </c>
      <c r="G3989" s="3">
        <f>HOUR(CallLog[[#This Row],[Time]])</f>
        <v>12</v>
      </c>
      <c r="H3989" t="s">
        <v>29</v>
      </c>
      <c r="I3989" t="s">
        <v>18</v>
      </c>
      <c r="J3989" t="s">
        <v>18</v>
      </c>
      <c r="L3989" t="str">
        <f>IF(AND(CallLog[[#This Row],[Answered (Y/N)]]="Y", CallLog[[#This Row],[Speed of answer in seconds]]&lt;=20),
    "Within",
    "Breach")</f>
        <v>Breach</v>
      </c>
    </row>
    <row r="3990" spans="1:14" x14ac:dyDescent="0.3">
      <c r="A3990" t="s">
        <v>4083</v>
      </c>
      <c r="B3990" t="s">
        <v>34</v>
      </c>
      <c r="C3990" t="s">
        <v>4043</v>
      </c>
      <c r="D3990" s="1">
        <v>0.56400462962962961</v>
      </c>
      <c r="E3990" s="2">
        <f>CallLog[[#This Row],[Date]]+CallLog[[#This Row],[Time]]</f>
        <v>44266.564004629632</v>
      </c>
      <c r="F3990" s="1" t="str">
        <f>TEXT(CallLog[[#This Row],[Date]],"dddd")</f>
        <v>Thursday</v>
      </c>
      <c r="G3990" s="3">
        <f>HOUR(CallLog[[#This Row],[Time]])</f>
        <v>13</v>
      </c>
      <c r="H3990" t="s">
        <v>24</v>
      </c>
      <c r="I3990" t="s">
        <v>14</v>
      </c>
      <c r="J3990" t="s">
        <v>18</v>
      </c>
      <c r="K3990">
        <v>106</v>
      </c>
      <c r="L3990" t="str">
        <f>IF(AND(CallLog[[#This Row],[Answered (Y/N)]]="Y", CallLog[[#This Row],[Speed of answer in seconds]]&lt;=20),
    "Within",
    "Breach")</f>
        <v>Breach</v>
      </c>
      <c r="M3990" s="1">
        <v>1.0532407407407407E-3</v>
      </c>
      <c r="N3990">
        <v>4</v>
      </c>
    </row>
    <row r="3991" spans="1:14" x14ac:dyDescent="0.3">
      <c r="A3991" t="s">
        <v>4084</v>
      </c>
      <c r="B3991" t="s">
        <v>34</v>
      </c>
      <c r="C3991" t="s">
        <v>4043</v>
      </c>
      <c r="D3991" s="1">
        <v>0.56400462962962961</v>
      </c>
      <c r="E3991" s="2">
        <f>CallLog[[#This Row],[Date]]+CallLog[[#This Row],[Time]]</f>
        <v>44266.564004629632</v>
      </c>
      <c r="F3991" s="1" t="str">
        <f>TEXT(CallLog[[#This Row],[Date]],"dddd")</f>
        <v>Thursday</v>
      </c>
      <c r="G3991" s="3">
        <f>HOUR(CallLog[[#This Row],[Time]])</f>
        <v>13</v>
      </c>
      <c r="H3991" t="s">
        <v>29</v>
      </c>
      <c r="I3991" t="s">
        <v>14</v>
      </c>
      <c r="J3991" t="s">
        <v>14</v>
      </c>
      <c r="K3991">
        <v>68</v>
      </c>
      <c r="L3991" t="str">
        <f>IF(AND(CallLog[[#This Row],[Answered (Y/N)]]="Y", CallLog[[#This Row],[Speed of answer in seconds]]&lt;=20),
    "Within",
    "Breach")</f>
        <v>Breach</v>
      </c>
      <c r="M3991" s="1">
        <v>2.9629629629629628E-3</v>
      </c>
      <c r="N3991">
        <v>2</v>
      </c>
    </row>
    <row r="3992" spans="1:14" x14ac:dyDescent="0.3">
      <c r="A3992" t="s">
        <v>4085</v>
      </c>
      <c r="B3992" t="s">
        <v>47</v>
      </c>
      <c r="C3992" t="s">
        <v>4043</v>
      </c>
      <c r="D3992" s="1">
        <v>0.56999999999999995</v>
      </c>
      <c r="E3992" s="2">
        <f>CallLog[[#This Row],[Date]]+CallLog[[#This Row],[Time]]</f>
        <v>44266.57</v>
      </c>
      <c r="F3992" s="1" t="str">
        <f>TEXT(CallLog[[#This Row],[Date]],"dddd")</f>
        <v>Thursday</v>
      </c>
      <c r="G3992" s="3">
        <f>HOUR(CallLog[[#This Row],[Time]])</f>
        <v>13</v>
      </c>
      <c r="H3992" t="s">
        <v>17</v>
      </c>
      <c r="I3992" t="s">
        <v>14</v>
      </c>
      <c r="J3992" t="s">
        <v>14</v>
      </c>
      <c r="K3992">
        <v>44</v>
      </c>
      <c r="L3992" t="str">
        <f>IF(AND(CallLog[[#This Row],[Answered (Y/N)]]="Y", CallLog[[#This Row],[Speed of answer in seconds]]&lt;=20),
    "Within",
    "Breach")</f>
        <v>Breach</v>
      </c>
      <c r="M3992" s="1">
        <v>4.6064814814814814E-3</v>
      </c>
      <c r="N3992">
        <v>3</v>
      </c>
    </row>
    <row r="3993" spans="1:14" x14ac:dyDescent="0.3">
      <c r="A3993" t="s">
        <v>4086</v>
      </c>
      <c r="B3993" t="s">
        <v>16</v>
      </c>
      <c r="C3993" t="s">
        <v>4043</v>
      </c>
      <c r="D3993" s="1">
        <v>0.56999999999999995</v>
      </c>
      <c r="E3993" s="2">
        <f>CallLog[[#This Row],[Date]]+CallLog[[#This Row],[Time]]</f>
        <v>44266.57</v>
      </c>
      <c r="F3993" s="1" t="str">
        <f>TEXT(CallLog[[#This Row],[Date]],"dddd")</f>
        <v>Thursday</v>
      </c>
      <c r="G3993" s="3">
        <f>HOUR(CallLog[[#This Row],[Time]])</f>
        <v>13</v>
      </c>
      <c r="H3993" t="s">
        <v>29</v>
      </c>
      <c r="I3993" t="s">
        <v>14</v>
      </c>
      <c r="J3993" t="s">
        <v>14</v>
      </c>
      <c r="K3993">
        <v>96</v>
      </c>
      <c r="L3993" t="str">
        <f>IF(AND(CallLog[[#This Row],[Answered (Y/N)]]="Y", CallLog[[#This Row],[Speed of answer in seconds]]&lt;=20),
    "Within",
    "Breach")</f>
        <v>Breach</v>
      </c>
      <c r="M3993" s="1">
        <v>2.476851851851852E-3</v>
      </c>
      <c r="N3993">
        <v>1</v>
      </c>
    </row>
    <row r="3994" spans="1:14" x14ac:dyDescent="0.3">
      <c r="A3994" t="s">
        <v>4087</v>
      </c>
      <c r="B3994" t="s">
        <v>11</v>
      </c>
      <c r="C3994" t="s">
        <v>4043</v>
      </c>
      <c r="D3994" s="1">
        <v>0.57700231481481479</v>
      </c>
      <c r="E3994" s="2">
        <f>CallLog[[#This Row],[Date]]+CallLog[[#This Row],[Time]]</f>
        <v>44266.577002314814</v>
      </c>
      <c r="F3994" s="1" t="str">
        <f>TEXT(CallLog[[#This Row],[Date]],"dddd")</f>
        <v>Thursday</v>
      </c>
      <c r="G3994" s="3">
        <f>HOUR(CallLog[[#This Row],[Time]])</f>
        <v>13</v>
      </c>
      <c r="H3994" t="s">
        <v>24</v>
      </c>
      <c r="I3994" t="s">
        <v>18</v>
      </c>
      <c r="J3994" t="s">
        <v>18</v>
      </c>
      <c r="L3994" t="str">
        <f>IF(AND(CallLog[[#This Row],[Answered (Y/N)]]="Y", CallLog[[#This Row],[Speed of answer in seconds]]&lt;=20),
    "Within",
    "Breach")</f>
        <v>Breach</v>
      </c>
    </row>
    <row r="3995" spans="1:14" x14ac:dyDescent="0.3">
      <c r="A3995" t="s">
        <v>4088</v>
      </c>
      <c r="B3995" t="s">
        <v>20</v>
      </c>
      <c r="C3995" t="s">
        <v>4043</v>
      </c>
      <c r="D3995" s="1">
        <v>0.57700231481481479</v>
      </c>
      <c r="E3995" s="2">
        <f>CallLog[[#This Row],[Date]]+CallLog[[#This Row],[Time]]</f>
        <v>44266.577002314814</v>
      </c>
      <c r="F3995" s="1" t="str">
        <f>TEXT(CallLog[[#This Row],[Date]],"dddd")</f>
        <v>Thursday</v>
      </c>
      <c r="G3995" s="3">
        <f>HOUR(CallLog[[#This Row],[Time]])</f>
        <v>13</v>
      </c>
      <c r="H3995" t="s">
        <v>17</v>
      </c>
      <c r="I3995" t="s">
        <v>14</v>
      </c>
      <c r="J3995" t="s">
        <v>14</v>
      </c>
      <c r="K3995">
        <v>53</v>
      </c>
      <c r="L3995" t="str">
        <f>IF(AND(CallLog[[#This Row],[Answered (Y/N)]]="Y", CallLog[[#This Row],[Speed of answer in seconds]]&lt;=20),
    "Within",
    "Breach")</f>
        <v>Breach</v>
      </c>
      <c r="M3995" s="1">
        <v>3.9351851851851852E-4</v>
      </c>
      <c r="N3995">
        <v>4</v>
      </c>
    </row>
    <row r="3996" spans="1:14" x14ac:dyDescent="0.3">
      <c r="A3996" t="s">
        <v>4089</v>
      </c>
      <c r="B3996" t="s">
        <v>47</v>
      </c>
      <c r="C3996" t="s">
        <v>4043</v>
      </c>
      <c r="D3996" s="1">
        <v>0.58099537037037041</v>
      </c>
      <c r="E3996" s="2">
        <f>CallLog[[#This Row],[Date]]+CallLog[[#This Row],[Time]]</f>
        <v>44266.580995370372</v>
      </c>
      <c r="F3996" s="1" t="str">
        <f>TEXT(CallLog[[#This Row],[Date]],"dddd")</f>
        <v>Thursday</v>
      </c>
      <c r="G3996" s="3">
        <f>HOUR(CallLog[[#This Row],[Time]])</f>
        <v>13</v>
      </c>
      <c r="H3996" t="s">
        <v>32</v>
      </c>
      <c r="I3996" t="s">
        <v>14</v>
      </c>
      <c r="J3996" t="s">
        <v>14</v>
      </c>
      <c r="K3996">
        <v>100</v>
      </c>
      <c r="L3996" t="str">
        <f>IF(AND(CallLog[[#This Row],[Answered (Y/N)]]="Y", CallLog[[#This Row],[Speed of answer in seconds]]&lt;=20),
    "Within",
    "Breach")</f>
        <v>Breach</v>
      </c>
      <c r="M3996" s="1">
        <v>7.5231481481481482E-4</v>
      </c>
      <c r="N3996">
        <v>1</v>
      </c>
    </row>
    <row r="3997" spans="1:14" x14ac:dyDescent="0.3">
      <c r="A3997" t="s">
        <v>4090</v>
      </c>
      <c r="B3997" t="s">
        <v>16</v>
      </c>
      <c r="C3997" t="s">
        <v>4043</v>
      </c>
      <c r="D3997" s="1">
        <v>0.58099537037037041</v>
      </c>
      <c r="E3997" s="2">
        <f>CallLog[[#This Row],[Date]]+CallLog[[#This Row],[Time]]</f>
        <v>44266.580995370372</v>
      </c>
      <c r="F3997" s="1" t="str">
        <f>TEXT(CallLog[[#This Row],[Date]],"dddd")</f>
        <v>Thursday</v>
      </c>
      <c r="G3997" s="3">
        <f>HOUR(CallLog[[#This Row],[Time]])</f>
        <v>13</v>
      </c>
      <c r="H3997" t="s">
        <v>32</v>
      </c>
      <c r="I3997" t="s">
        <v>14</v>
      </c>
      <c r="J3997" t="s">
        <v>14</v>
      </c>
      <c r="K3997">
        <v>75</v>
      </c>
      <c r="L3997" t="str">
        <f>IF(AND(CallLog[[#This Row],[Answered (Y/N)]]="Y", CallLog[[#This Row],[Speed of answer in seconds]]&lt;=20),
    "Within",
    "Breach")</f>
        <v>Breach</v>
      </c>
      <c r="M3997" s="1">
        <v>1.3310185185185185E-3</v>
      </c>
      <c r="N3997">
        <v>2</v>
      </c>
    </row>
    <row r="3998" spans="1:14" x14ac:dyDescent="0.3">
      <c r="A3998" t="s">
        <v>4091</v>
      </c>
      <c r="B3998" t="s">
        <v>31</v>
      </c>
      <c r="C3998" t="s">
        <v>4043</v>
      </c>
      <c r="D3998" s="1">
        <v>0.58299768518518513</v>
      </c>
      <c r="E3998" s="2">
        <f>CallLog[[#This Row],[Date]]+CallLog[[#This Row],[Time]]</f>
        <v>44266.582997685182</v>
      </c>
      <c r="F3998" s="1" t="str">
        <f>TEXT(CallLog[[#This Row],[Date]],"dddd")</f>
        <v>Thursday</v>
      </c>
      <c r="G3998" s="3">
        <f>HOUR(CallLog[[#This Row],[Time]])</f>
        <v>13</v>
      </c>
      <c r="H3998" t="s">
        <v>24</v>
      </c>
      <c r="I3998" t="s">
        <v>14</v>
      </c>
      <c r="J3998" t="s">
        <v>14</v>
      </c>
      <c r="K3998">
        <v>109</v>
      </c>
      <c r="L3998" t="str">
        <f>IF(AND(CallLog[[#This Row],[Answered (Y/N)]]="Y", CallLog[[#This Row],[Speed of answer in seconds]]&lt;=20),
    "Within",
    "Breach")</f>
        <v>Breach</v>
      </c>
      <c r="M3998" s="1">
        <v>2.9976851851851853E-3</v>
      </c>
      <c r="N3998">
        <v>3</v>
      </c>
    </row>
    <row r="3999" spans="1:14" x14ac:dyDescent="0.3">
      <c r="A3999" t="s">
        <v>4092</v>
      </c>
      <c r="B3999" t="s">
        <v>34</v>
      </c>
      <c r="C3999" t="s">
        <v>4043</v>
      </c>
      <c r="D3999" s="1">
        <v>0.58299768518518513</v>
      </c>
      <c r="E3999" s="2">
        <f>CallLog[[#This Row],[Date]]+CallLog[[#This Row],[Time]]</f>
        <v>44266.582997685182</v>
      </c>
      <c r="F3999" s="1" t="str">
        <f>TEXT(CallLog[[#This Row],[Date]],"dddd")</f>
        <v>Thursday</v>
      </c>
      <c r="G3999" s="3">
        <f>HOUR(CallLog[[#This Row],[Time]])</f>
        <v>13</v>
      </c>
      <c r="H3999" t="s">
        <v>24</v>
      </c>
      <c r="I3999" t="s">
        <v>14</v>
      </c>
      <c r="J3999" t="s">
        <v>14</v>
      </c>
      <c r="K3999">
        <v>95</v>
      </c>
      <c r="L3999" t="str">
        <f>IF(AND(CallLog[[#This Row],[Answered (Y/N)]]="Y", CallLog[[#This Row],[Speed of answer in seconds]]&lt;=20),
    "Within",
    "Breach")</f>
        <v>Breach</v>
      </c>
      <c r="M3999" s="1">
        <v>1.5509259259259259E-3</v>
      </c>
      <c r="N3999">
        <v>4</v>
      </c>
    </row>
    <row r="4000" spans="1:14" x14ac:dyDescent="0.3">
      <c r="A4000" t="s">
        <v>4093</v>
      </c>
      <c r="B4000" t="s">
        <v>20</v>
      </c>
      <c r="C4000" t="s">
        <v>4043</v>
      </c>
      <c r="D4000" s="1">
        <v>0.59900462962962964</v>
      </c>
      <c r="E4000" s="2">
        <f>CallLog[[#This Row],[Date]]+CallLog[[#This Row],[Time]]</f>
        <v>44266.599004629628</v>
      </c>
      <c r="F4000" s="1" t="str">
        <f>TEXT(CallLog[[#This Row],[Date]],"dddd")</f>
        <v>Thursday</v>
      </c>
      <c r="G4000" s="3">
        <f>HOUR(CallLog[[#This Row],[Time]])</f>
        <v>14</v>
      </c>
      <c r="H4000" t="s">
        <v>13</v>
      </c>
      <c r="I4000" t="s">
        <v>14</v>
      </c>
      <c r="J4000" t="s">
        <v>14</v>
      </c>
      <c r="K4000">
        <v>69</v>
      </c>
      <c r="L4000" t="str">
        <f>IF(AND(CallLog[[#This Row],[Answered (Y/N)]]="Y", CallLog[[#This Row],[Speed of answer in seconds]]&lt;=20),
    "Within",
    "Breach")</f>
        <v>Breach</v>
      </c>
      <c r="M4000" s="1">
        <v>6.8287037037037036E-4</v>
      </c>
      <c r="N4000">
        <v>4</v>
      </c>
    </row>
    <row r="4001" spans="1:14" x14ac:dyDescent="0.3">
      <c r="A4001" t="s">
        <v>4094</v>
      </c>
      <c r="B4001" t="s">
        <v>16</v>
      </c>
      <c r="C4001" t="s">
        <v>4043</v>
      </c>
      <c r="D4001" s="1">
        <v>0.59900462962962964</v>
      </c>
      <c r="E4001" s="2">
        <f>CallLog[[#This Row],[Date]]+CallLog[[#This Row],[Time]]</f>
        <v>44266.599004629628</v>
      </c>
      <c r="F4001" s="1" t="str">
        <f>TEXT(CallLog[[#This Row],[Date]],"dddd")</f>
        <v>Thursday</v>
      </c>
      <c r="G4001" s="3">
        <f>HOUR(CallLog[[#This Row],[Time]])</f>
        <v>14</v>
      </c>
      <c r="H4001" t="s">
        <v>32</v>
      </c>
      <c r="I4001" t="s">
        <v>14</v>
      </c>
      <c r="J4001" t="s">
        <v>14</v>
      </c>
      <c r="K4001">
        <v>113</v>
      </c>
      <c r="L4001" t="str">
        <f>IF(AND(CallLog[[#This Row],[Answered (Y/N)]]="Y", CallLog[[#This Row],[Speed of answer in seconds]]&lt;=20),
    "Within",
    "Breach")</f>
        <v>Breach</v>
      </c>
      <c r="M4001" s="1">
        <v>2.0254629629629629E-3</v>
      </c>
      <c r="N4001">
        <v>5</v>
      </c>
    </row>
    <row r="4002" spans="1:14" x14ac:dyDescent="0.3">
      <c r="A4002" t="s">
        <v>4095</v>
      </c>
      <c r="B4002" t="s">
        <v>34</v>
      </c>
      <c r="C4002" t="s">
        <v>4043</v>
      </c>
      <c r="D4002" s="1">
        <v>0.60200231481481481</v>
      </c>
      <c r="E4002" s="2">
        <f>CallLog[[#This Row],[Date]]+CallLog[[#This Row],[Time]]</f>
        <v>44266.602002314816</v>
      </c>
      <c r="F4002" s="1" t="str">
        <f>TEXT(CallLog[[#This Row],[Date]],"dddd")</f>
        <v>Thursday</v>
      </c>
      <c r="G4002" s="3">
        <f>HOUR(CallLog[[#This Row],[Time]])</f>
        <v>14</v>
      </c>
      <c r="H4002" t="s">
        <v>29</v>
      </c>
      <c r="I4002" t="s">
        <v>14</v>
      </c>
      <c r="J4002" t="s">
        <v>14</v>
      </c>
      <c r="K4002">
        <v>108</v>
      </c>
      <c r="L4002" t="str">
        <f>IF(AND(CallLog[[#This Row],[Answered (Y/N)]]="Y", CallLog[[#This Row],[Speed of answer in seconds]]&lt;=20),
    "Within",
    "Breach")</f>
        <v>Breach</v>
      </c>
      <c r="M4002" s="1">
        <v>1.0648148148148149E-3</v>
      </c>
      <c r="N4002">
        <v>2</v>
      </c>
    </row>
    <row r="4003" spans="1:14" x14ac:dyDescent="0.3">
      <c r="A4003" t="s">
        <v>4096</v>
      </c>
      <c r="B4003" t="s">
        <v>34</v>
      </c>
      <c r="C4003" t="s">
        <v>4043</v>
      </c>
      <c r="D4003" s="1">
        <v>0.60200231481481481</v>
      </c>
      <c r="E4003" s="2">
        <f>CallLog[[#This Row],[Date]]+CallLog[[#This Row],[Time]]</f>
        <v>44266.602002314816</v>
      </c>
      <c r="F4003" s="1" t="str">
        <f>TEXT(CallLog[[#This Row],[Date]],"dddd")</f>
        <v>Thursday</v>
      </c>
      <c r="G4003" s="3">
        <f>HOUR(CallLog[[#This Row],[Time]])</f>
        <v>14</v>
      </c>
      <c r="H4003" t="s">
        <v>32</v>
      </c>
      <c r="I4003" t="s">
        <v>14</v>
      </c>
      <c r="J4003" t="s">
        <v>14</v>
      </c>
      <c r="K4003">
        <v>46</v>
      </c>
      <c r="L4003" t="str">
        <f>IF(AND(CallLog[[#This Row],[Answered (Y/N)]]="Y", CallLog[[#This Row],[Speed of answer in seconds]]&lt;=20),
    "Within",
    "Breach")</f>
        <v>Breach</v>
      </c>
      <c r="M4003" s="1">
        <v>3.7037037037037038E-3</v>
      </c>
      <c r="N4003">
        <v>2</v>
      </c>
    </row>
    <row r="4004" spans="1:14" x14ac:dyDescent="0.3">
      <c r="A4004" t="s">
        <v>4097</v>
      </c>
      <c r="B4004" t="s">
        <v>34</v>
      </c>
      <c r="C4004" t="s">
        <v>4043</v>
      </c>
      <c r="D4004" s="1">
        <v>0.60299768518518515</v>
      </c>
      <c r="E4004" s="2">
        <f>CallLog[[#This Row],[Date]]+CallLog[[#This Row],[Time]]</f>
        <v>44266.602997685186</v>
      </c>
      <c r="F4004" s="1" t="str">
        <f>TEXT(CallLog[[#This Row],[Date]],"dddd")</f>
        <v>Thursday</v>
      </c>
      <c r="G4004" s="3">
        <f>HOUR(CallLog[[#This Row],[Time]])</f>
        <v>14</v>
      </c>
      <c r="H4004" t="s">
        <v>24</v>
      </c>
      <c r="I4004" t="s">
        <v>14</v>
      </c>
      <c r="J4004" t="s">
        <v>14</v>
      </c>
      <c r="K4004">
        <v>71</v>
      </c>
      <c r="L4004" t="str">
        <f>IF(AND(CallLog[[#This Row],[Answered (Y/N)]]="Y", CallLog[[#This Row],[Speed of answer in seconds]]&lt;=20),
    "Within",
    "Breach")</f>
        <v>Breach</v>
      </c>
      <c r="M4004" s="1">
        <v>1.25E-3</v>
      </c>
      <c r="N4004">
        <v>1</v>
      </c>
    </row>
    <row r="4005" spans="1:14" x14ac:dyDescent="0.3">
      <c r="A4005" t="s">
        <v>4098</v>
      </c>
      <c r="B4005" t="s">
        <v>11</v>
      </c>
      <c r="C4005" t="s">
        <v>4043</v>
      </c>
      <c r="D4005" s="1">
        <v>0.60299768518518515</v>
      </c>
      <c r="E4005" s="2">
        <f>CallLog[[#This Row],[Date]]+CallLog[[#This Row],[Time]]</f>
        <v>44266.602997685186</v>
      </c>
      <c r="F4005" s="1" t="str">
        <f>TEXT(CallLog[[#This Row],[Date]],"dddd")</f>
        <v>Thursday</v>
      </c>
      <c r="G4005" s="3">
        <f>HOUR(CallLog[[#This Row],[Time]])</f>
        <v>14</v>
      </c>
      <c r="H4005" t="s">
        <v>29</v>
      </c>
      <c r="I4005" t="s">
        <v>14</v>
      </c>
      <c r="J4005" t="s">
        <v>14</v>
      </c>
      <c r="K4005">
        <v>124</v>
      </c>
      <c r="L4005" t="str">
        <f>IF(AND(CallLog[[#This Row],[Answered (Y/N)]]="Y", CallLog[[#This Row],[Speed of answer in seconds]]&lt;=20),
    "Within",
    "Breach")</f>
        <v>Breach</v>
      </c>
      <c r="M4005" s="1">
        <v>1.9907407407407408E-3</v>
      </c>
      <c r="N4005">
        <v>2</v>
      </c>
    </row>
    <row r="4006" spans="1:14" x14ac:dyDescent="0.3">
      <c r="A4006" t="s">
        <v>4099</v>
      </c>
      <c r="B4006" t="s">
        <v>38</v>
      </c>
      <c r="C4006" t="s">
        <v>4043</v>
      </c>
      <c r="D4006" s="1">
        <v>0.64</v>
      </c>
      <c r="E4006" s="2">
        <f>CallLog[[#This Row],[Date]]+CallLog[[#This Row],[Time]]</f>
        <v>44266.64</v>
      </c>
      <c r="F4006" s="1" t="str">
        <f>TEXT(CallLog[[#This Row],[Date]],"dddd")</f>
        <v>Thursday</v>
      </c>
      <c r="G4006" s="3">
        <f>HOUR(CallLog[[#This Row],[Time]])</f>
        <v>15</v>
      </c>
      <c r="H4006" t="s">
        <v>17</v>
      </c>
      <c r="I4006" t="s">
        <v>14</v>
      </c>
      <c r="J4006" t="s">
        <v>14</v>
      </c>
      <c r="K4006">
        <v>79</v>
      </c>
      <c r="L4006" t="str">
        <f>IF(AND(CallLog[[#This Row],[Answered (Y/N)]]="Y", CallLog[[#This Row],[Speed of answer in seconds]]&lt;=20),
    "Within",
    "Breach")</f>
        <v>Breach</v>
      </c>
      <c r="M4006" s="1">
        <v>7.0601851851851847E-4</v>
      </c>
      <c r="N4006">
        <v>4</v>
      </c>
    </row>
    <row r="4007" spans="1:14" x14ac:dyDescent="0.3">
      <c r="A4007" t="s">
        <v>4100</v>
      </c>
      <c r="B4007" t="s">
        <v>11</v>
      </c>
      <c r="C4007" t="s">
        <v>4043</v>
      </c>
      <c r="D4007" s="1">
        <v>0.64</v>
      </c>
      <c r="E4007" s="2">
        <f>CallLog[[#This Row],[Date]]+CallLog[[#This Row],[Time]]</f>
        <v>44266.64</v>
      </c>
      <c r="F4007" s="1" t="str">
        <f>TEXT(CallLog[[#This Row],[Date]],"dddd")</f>
        <v>Thursday</v>
      </c>
      <c r="G4007" s="3">
        <f>HOUR(CallLog[[#This Row],[Time]])</f>
        <v>15</v>
      </c>
      <c r="H4007" t="s">
        <v>24</v>
      </c>
      <c r="I4007" t="s">
        <v>14</v>
      </c>
      <c r="J4007" t="s">
        <v>18</v>
      </c>
      <c r="K4007">
        <v>111</v>
      </c>
      <c r="L4007" t="str">
        <f>IF(AND(CallLog[[#This Row],[Answered (Y/N)]]="Y", CallLog[[#This Row],[Speed of answer in seconds]]&lt;=20),
    "Within",
    "Breach")</f>
        <v>Breach</v>
      </c>
      <c r="M4007" s="1">
        <v>1.7824074074074075E-3</v>
      </c>
      <c r="N4007">
        <v>5</v>
      </c>
    </row>
    <row r="4008" spans="1:14" x14ac:dyDescent="0.3">
      <c r="A4008" t="s">
        <v>4101</v>
      </c>
      <c r="B4008" t="s">
        <v>47</v>
      </c>
      <c r="C4008" t="s">
        <v>4043</v>
      </c>
      <c r="D4008" s="1">
        <v>0.64200231481481485</v>
      </c>
      <c r="E4008" s="2">
        <f>CallLog[[#This Row],[Date]]+CallLog[[#This Row],[Time]]</f>
        <v>44266.642002314817</v>
      </c>
      <c r="F4008" s="1" t="str">
        <f>TEXT(CallLog[[#This Row],[Date]],"dddd")</f>
        <v>Thursday</v>
      </c>
      <c r="G4008" s="3">
        <f>HOUR(CallLog[[#This Row],[Time]])</f>
        <v>15</v>
      </c>
      <c r="H4008" t="s">
        <v>24</v>
      </c>
      <c r="I4008" t="s">
        <v>14</v>
      </c>
      <c r="J4008" t="s">
        <v>14</v>
      </c>
      <c r="K4008">
        <v>27</v>
      </c>
      <c r="L4008" t="str">
        <f>IF(AND(CallLog[[#This Row],[Answered (Y/N)]]="Y", CallLog[[#This Row],[Speed of answer in seconds]]&lt;=20),
    "Within",
    "Breach")</f>
        <v>Breach</v>
      </c>
      <c r="M4008" s="1">
        <v>4.9768518518518521E-4</v>
      </c>
      <c r="N4008">
        <v>4</v>
      </c>
    </row>
    <row r="4009" spans="1:14" x14ac:dyDescent="0.3">
      <c r="A4009" t="s">
        <v>4102</v>
      </c>
      <c r="B4009" t="s">
        <v>16</v>
      </c>
      <c r="C4009" t="s">
        <v>4043</v>
      </c>
      <c r="D4009" s="1">
        <v>0.64200231481481485</v>
      </c>
      <c r="E4009" s="2">
        <f>CallLog[[#This Row],[Date]]+CallLog[[#This Row],[Time]]</f>
        <v>44266.642002314817</v>
      </c>
      <c r="F4009" s="1" t="str">
        <f>TEXT(CallLog[[#This Row],[Date]],"dddd")</f>
        <v>Thursday</v>
      </c>
      <c r="G4009" s="3">
        <f>HOUR(CallLog[[#This Row],[Time]])</f>
        <v>15</v>
      </c>
      <c r="H4009" t="s">
        <v>32</v>
      </c>
      <c r="I4009" t="s">
        <v>14</v>
      </c>
      <c r="J4009" t="s">
        <v>14</v>
      </c>
      <c r="K4009">
        <v>69</v>
      </c>
      <c r="L4009" t="str">
        <f>IF(AND(CallLog[[#This Row],[Answered (Y/N)]]="Y", CallLog[[#This Row],[Speed of answer in seconds]]&lt;=20),
    "Within",
    "Breach")</f>
        <v>Breach</v>
      </c>
      <c r="M4009" s="1">
        <v>2.5694444444444445E-3</v>
      </c>
      <c r="N4009">
        <v>4</v>
      </c>
    </row>
    <row r="4010" spans="1:14" x14ac:dyDescent="0.3">
      <c r="A4010" t="s">
        <v>4103</v>
      </c>
      <c r="B4010" t="s">
        <v>34</v>
      </c>
      <c r="C4010" t="s">
        <v>4043</v>
      </c>
      <c r="D4010" s="1">
        <v>0.64900462962962968</v>
      </c>
      <c r="E4010" s="2">
        <f>CallLog[[#This Row],[Date]]+CallLog[[#This Row],[Time]]</f>
        <v>44266.649004629631</v>
      </c>
      <c r="F4010" s="1" t="str">
        <f>TEXT(CallLog[[#This Row],[Date]],"dddd")</f>
        <v>Thursday</v>
      </c>
      <c r="G4010" s="3">
        <f>HOUR(CallLog[[#This Row],[Time]])</f>
        <v>15</v>
      </c>
      <c r="H4010" t="s">
        <v>24</v>
      </c>
      <c r="I4010" t="s">
        <v>14</v>
      </c>
      <c r="J4010" t="s">
        <v>14</v>
      </c>
      <c r="K4010">
        <v>121</v>
      </c>
      <c r="L4010" t="str">
        <f>IF(AND(CallLog[[#This Row],[Answered (Y/N)]]="Y", CallLog[[#This Row],[Speed of answer in seconds]]&lt;=20),
    "Within",
    "Breach")</f>
        <v>Breach</v>
      </c>
      <c r="M4010" s="1">
        <v>3.6574074074074074E-3</v>
      </c>
      <c r="N4010">
        <v>1</v>
      </c>
    </row>
    <row r="4011" spans="1:14" x14ac:dyDescent="0.3">
      <c r="A4011" t="s">
        <v>4104</v>
      </c>
      <c r="B4011" t="s">
        <v>20</v>
      </c>
      <c r="C4011" t="s">
        <v>4043</v>
      </c>
      <c r="D4011" s="1">
        <v>0.64900462962962968</v>
      </c>
      <c r="E4011" s="2">
        <f>CallLog[[#This Row],[Date]]+CallLog[[#This Row],[Time]]</f>
        <v>44266.649004629631</v>
      </c>
      <c r="F4011" s="1" t="str">
        <f>TEXT(CallLog[[#This Row],[Date]],"dddd")</f>
        <v>Thursday</v>
      </c>
      <c r="G4011" s="3">
        <f>HOUR(CallLog[[#This Row],[Time]])</f>
        <v>15</v>
      </c>
      <c r="H4011" t="s">
        <v>32</v>
      </c>
      <c r="I4011" t="s">
        <v>14</v>
      </c>
      <c r="J4011" t="s">
        <v>14</v>
      </c>
      <c r="K4011">
        <v>16</v>
      </c>
      <c r="L4011" t="str">
        <f>IF(AND(CallLog[[#This Row],[Answered (Y/N)]]="Y", CallLog[[#This Row],[Speed of answer in seconds]]&lt;=20),
    "Within",
    "Breach")</f>
        <v>Within</v>
      </c>
      <c r="M4011" s="1">
        <v>4.340277777777778E-3</v>
      </c>
      <c r="N4011">
        <v>3</v>
      </c>
    </row>
    <row r="4012" spans="1:14" x14ac:dyDescent="0.3">
      <c r="A4012" t="s">
        <v>4105</v>
      </c>
      <c r="B4012" t="s">
        <v>20</v>
      </c>
      <c r="C4012" t="s">
        <v>4043</v>
      </c>
      <c r="D4012" s="1">
        <v>0.66599537037037038</v>
      </c>
      <c r="E4012" s="2">
        <f>CallLog[[#This Row],[Date]]+CallLog[[#This Row],[Time]]</f>
        <v>44266.665995370371</v>
      </c>
      <c r="F4012" s="1" t="str">
        <f>TEXT(CallLog[[#This Row],[Date]],"dddd")</f>
        <v>Thursday</v>
      </c>
      <c r="G4012" s="3">
        <f>HOUR(CallLog[[#This Row],[Time]])</f>
        <v>15</v>
      </c>
      <c r="H4012" t="s">
        <v>13</v>
      </c>
      <c r="I4012" t="s">
        <v>18</v>
      </c>
      <c r="J4012" t="s">
        <v>18</v>
      </c>
      <c r="L4012" t="str">
        <f>IF(AND(CallLog[[#This Row],[Answered (Y/N)]]="Y", CallLog[[#This Row],[Speed of answer in seconds]]&lt;=20),
    "Within",
    "Breach")</f>
        <v>Breach</v>
      </c>
    </row>
    <row r="4013" spans="1:14" x14ac:dyDescent="0.3">
      <c r="A4013" t="s">
        <v>4106</v>
      </c>
      <c r="B4013" t="s">
        <v>31</v>
      </c>
      <c r="C4013" t="s">
        <v>4043</v>
      </c>
      <c r="D4013" s="1">
        <v>0.66599537037037038</v>
      </c>
      <c r="E4013" s="2">
        <f>CallLog[[#This Row],[Date]]+CallLog[[#This Row],[Time]]</f>
        <v>44266.665995370371</v>
      </c>
      <c r="F4013" s="1" t="str">
        <f>TEXT(CallLog[[#This Row],[Date]],"dddd")</f>
        <v>Thursday</v>
      </c>
      <c r="G4013" s="3">
        <f>HOUR(CallLog[[#This Row],[Time]])</f>
        <v>15</v>
      </c>
      <c r="H4013" t="s">
        <v>32</v>
      </c>
      <c r="I4013" t="s">
        <v>14</v>
      </c>
      <c r="J4013" t="s">
        <v>18</v>
      </c>
      <c r="K4013">
        <v>35</v>
      </c>
      <c r="L4013" t="str">
        <f>IF(AND(CallLog[[#This Row],[Answered (Y/N)]]="Y", CallLog[[#This Row],[Speed of answer in seconds]]&lt;=20),
    "Within",
    "Breach")</f>
        <v>Breach</v>
      </c>
      <c r="M4013" s="1">
        <v>4.2592592592592595E-3</v>
      </c>
      <c r="N4013">
        <v>5</v>
      </c>
    </row>
    <row r="4014" spans="1:14" x14ac:dyDescent="0.3">
      <c r="A4014" t="s">
        <v>4107</v>
      </c>
      <c r="B4014" t="s">
        <v>16</v>
      </c>
      <c r="C4014" t="s">
        <v>4043</v>
      </c>
      <c r="D4014" s="1">
        <v>0.67400462962962959</v>
      </c>
      <c r="E4014" s="2">
        <f>CallLog[[#This Row],[Date]]+CallLog[[#This Row],[Time]]</f>
        <v>44266.674004629633</v>
      </c>
      <c r="F4014" s="1" t="str">
        <f>TEXT(CallLog[[#This Row],[Date]],"dddd")</f>
        <v>Thursday</v>
      </c>
      <c r="G4014" s="3">
        <f>HOUR(CallLog[[#This Row],[Time]])</f>
        <v>16</v>
      </c>
      <c r="H4014" t="s">
        <v>32</v>
      </c>
      <c r="I4014" t="s">
        <v>14</v>
      </c>
      <c r="J4014" t="s">
        <v>14</v>
      </c>
      <c r="K4014">
        <v>85</v>
      </c>
      <c r="L4014" t="str">
        <f>IF(AND(CallLog[[#This Row],[Answered (Y/N)]]="Y", CallLog[[#This Row],[Speed of answer in seconds]]&lt;=20),
    "Within",
    "Breach")</f>
        <v>Breach</v>
      </c>
      <c r="M4014" s="1">
        <v>2.5925925925925925E-3</v>
      </c>
      <c r="N4014">
        <v>3</v>
      </c>
    </row>
    <row r="4015" spans="1:14" x14ac:dyDescent="0.3">
      <c r="A4015" t="s">
        <v>4108</v>
      </c>
      <c r="B4015" t="s">
        <v>47</v>
      </c>
      <c r="C4015" t="s">
        <v>4043</v>
      </c>
      <c r="D4015" s="1">
        <v>0.67400462962962959</v>
      </c>
      <c r="E4015" s="2">
        <f>CallLog[[#This Row],[Date]]+CallLog[[#This Row],[Time]]</f>
        <v>44266.674004629633</v>
      </c>
      <c r="F4015" s="1" t="str">
        <f>TEXT(CallLog[[#This Row],[Date]],"dddd")</f>
        <v>Thursday</v>
      </c>
      <c r="G4015" s="3">
        <f>HOUR(CallLog[[#This Row],[Time]])</f>
        <v>16</v>
      </c>
      <c r="H4015" t="s">
        <v>29</v>
      </c>
      <c r="I4015" t="s">
        <v>14</v>
      </c>
      <c r="J4015" t="s">
        <v>14</v>
      </c>
      <c r="K4015">
        <v>73</v>
      </c>
      <c r="L4015" t="str">
        <f>IF(AND(CallLog[[#This Row],[Answered (Y/N)]]="Y", CallLog[[#This Row],[Speed of answer in seconds]]&lt;=20),
    "Within",
    "Breach")</f>
        <v>Breach</v>
      </c>
      <c r="M4015" s="1">
        <v>2.0486111111111113E-3</v>
      </c>
      <c r="N4015">
        <v>2</v>
      </c>
    </row>
    <row r="4016" spans="1:14" x14ac:dyDescent="0.3">
      <c r="A4016" t="s">
        <v>4109</v>
      </c>
      <c r="B4016" t="s">
        <v>38</v>
      </c>
      <c r="C4016" t="s">
        <v>4043</v>
      </c>
      <c r="D4016" s="1">
        <v>0.67599537037037039</v>
      </c>
      <c r="E4016" s="2">
        <f>CallLog[[#This Row],[Date]]+CallLog[[#This Row],[Time]]</f>
        <v>44266.675995370373</v>
      </c>
      <c r="F4016" s="1" t="str">
        <f>TEXT(CallLog[[#This Row],[Date]],"dddd")</f>
        <v>Thursday</v>
      </c>
      <c r="G4016" s="3">
        <f>HOUR(CallLog[[#This Row],[Time]])</f>
        <v>16</v>
      </c>
      <c r="H4016" t="s">
        <v>24</v>
      </c>
      <c r="I4016" t="s">
        <v>14</v>
      </c>
      <c r="J4016" t="s">
        <v>14</v>
      </c>
      <c r="K4016">
        <v>101</v>
      </c>
      <c r="L4016" t="str">
        <f>IF(AND(CallLog[[#This Row],[Answered (Y/N)]]="Y", CallLog[[#This Row],[Speed of answer in seconds]]&lt;=20),
    "Within",
    "Breach")</f>
        <v>Breach</v>
      </c>
      <c r="M4016" s="1">
        <v>3.4375E-3</v>
      </c>
      <c r="N4016">
        <v>3</v>
      </c>
    </row>
    <row r="4017" spans="1:14" x14ac:dyDescent="0.3">
      <c r="A4017" t="s">
        <v>4110</v>
      </c>
      <c r="B4017" t="s">
        <v>31</v>
      </c>
      <c r="C4017" t="s">
        <v>4043</v>
      </c>
      <c r="D4017" s="1">
        <v>0.67599537037037039</v>
      </c>
      <c r="E4017" s="2">
        <f>CallLog[[#This Row],[Date]]+CallLog[[#This Row],[Time]]</f>
        <v>44266.675995370373</v>
      </c>
      <c r="F4017" s="1" t="str">
        <f>TEXT(CallLog[[#This Row],[Date]],"dddd")</f>
        <v>Thursday</v>
      </c>
      <c r="G4017" s="3">
        <f>HOUR(CallLog[[#This Row],[Time]])</f>
        <v>16</v>
      </c>
      <c r="H4017" t="s">
        <v>29</v>
      </c>
      <c r="I4017" t="s">
        <v>14</v>
      </c>
      <c r="J4017" t="s">
        <v>14</v>
      </c>
      <c r="K4017">
        <v>89</v>
      </c>
      <c r="L4017" t="str">
        <f>IF(AND(CallLog[[#This Row],[Answered (Y/N)]]="Y", CallLog[[#This Row],[Speed of answer in seconds]]&lt;=20),
    "Within",
    "Breach")</f>
        <v>Breach</v>
      </c>
      <c r="M4017" s="1">
        <v>3.1018518518518517E-3</v>
      </c>
      <c r="N4017">
        <v>2</v>
      </c>
    </row>
    <row r="4018" spans="1:14" x14ac:dyDescent="0.3">
      <c r="A4018" t="s">
        <v>4111</v>
      </c>
      <c r="B4018" t="s">
        <v>11</v>
      </c>
      <c r="C4018" t="s">
        <v>4043</v>
      </c>
      <c r="D4018" s="1">
        <v>0.73200231481481481</v>
      </c>
      <c r="E4018" s="2">
        <f>CallLog[[#This Row],[Date]]+CallLog[[#This Row],[Time]]</f>
        <v>44266.732002314813</v>
      </c>
      <c r="F4018" s="1" t="str">
        <f>TEXT(CallLog[[#This Row],[Date]],"dddd")</f>
        <v>Thursday</v>
      </c>
      <c r="G4018" s="3">
        <f>HOUR(CallLog[[#This Row],[Time]])</f>
        <v>17</v>
      </c>
      <c r="H4018" t="s">
        <v>17</v>
      </c>
      <c r="I4018" t="s">
        <v>14</v>
      </c>
      <c r="J4018" t="s">
        <v>14</v>
      </c>
      <c r="K4018">
        <v>70</v>
      </c>
      <c r="L4018" t="str">
        <f>IF(AND(CallLog[[#This Row],[Answered (Y/N)]]="Y", CallLog[[#This Row],[Speed of answer in seconds]]&lt;=20),
    "Within",
    "Breach")</f>
        <v>Breach</v>
      </c>
      <c r="M4018" s="1">
        <v>3.4837962962962965E-3</v>
      </c>
      <c r="N4018">
        <v>5</v>
      </c>
    </row>
    <row r="4019" spans="1:14" x14ac:dyDescent="0.3">
      <c r="A4019" t="s">
        <v>4112</v>
      </c>
      <c r="B4019" t="s">
        <v>11</v>
      </c>
      <c r="C4019" t="s">
        <v>4043</v>
      </c>
      <c r="D4019" s="1">
        <v>0.73200231481481481</v>
      </c>
      <c r="E4019" s="2">
        <f>CallLog[[#This Row],[Date]]+CallLog[[#This Row],[Time]]</f>
        <v>44266.732002314813</v>
      </c>
      <c r="F4019" s="1" t="str">
        <f>TEXT(CallLog[[#This Row],[Date]],"dddd")</f>
        <v>Thursday</v>
      </c>
      <c r="G4019" s="3">
        <f>HOUR(CallLog[[#This Row],[Time]])</f>
        <v>17</v>
      </c>
      <c r="H4019" t="s">
        <v>13</v>
      </c>
      <c r="I4019" t="s">
        <v>14</v>
      </c>
      <c r="J4019" t="s">
        <v>14</v>
      </c>
      <c r="K4019">
        <v>52</v>
      </c>
      <c r="L4019" t="str">
        <f>IF(AND(CallLog[[#This Row],[Answered (Y/N)]]="Y", CallLog[[#This Row],[Speed of answer in seconds]]&lt;=20),
    "Within",
    "Breach")</f>
        <v>Breach</v>
      </c>
      <c r="M4019" s="1">
        <v>3.8425925925925928E-3</v>
      </c>
      <c r="N4019">
        <v>3</v>
      </c>
    </row>
    <row r="4020" spans="1:14" x14ac:dyDescent="0.3">
      <c r="A4020" t="s">
        <v>4113</v>
      </c>
      <c r="B4020" t="s">
        <v>31</v>
      </c>
      <c r="C4020" t="s">
        <v>4043</v>
      </c>
      <c r="D4020" s="1">
        <v>0.73599537037037033</v>
      </c>
      <c r="E4020" s="2">
        <f>CallLog[[#This Row],[Date]]+CallLog[[#This Row],[Time]]</f>
        <v>44266.735995370371</v>
      </c>
      <c r="F4020" s="1" t="str">
        <f>TEXT(CallLog[[#This Row],[Date]],"dddd")</f>
        <v>Thursday</v>
      </c>
      <c r="G4020" s="3">
        <f>HOUR(CallLog[[#This Row],[Time]])</f>
        <v>17</v>
      </c>
      <c r="H4020" t="s">
        <v>13</v>
      </c>
      <c r="I4020" t="s">
        <v>18</v>
      </c>
      <c r="J4020" t="s">
        <v>18</v>
      </c>
      <c r="L4020" t="str">
        <f>IF(AND(CallLog[[#This Row],[Answered (Y/N)]]="Y", CallLog[[#This Row],[Speed of answer in seconds]]&lt;=20),
    "Within",
    "Breach")</f>
        <v>Breach</v>
      </c>
    </row>
    <row r="4021" spans="1:14" x14ac:dyDescent="0.3">
      <c r="A4021" t="s">
        <v>4114</v>
      </c>
      <c r="B4021" t="s">
        <v>47</v>
      </c>
      <c r="C4021" t="s">
        <v>4043</v>
      </c>
      <c r="D4021" s="1">
        <v>0.73599537037037033</v>
      </c>
      <c r="E4021" s="2">
        <f>CallLog[[#This Row],[Date]]+CallLog[[#This Row],[Time]]</f>
        <v>44266.735995370371</v>
      </c>
      <c r="F4021" s="1" t="str">
        <f>TEXT(CallLog[[#This Row],[Date]],"dddd")</f>
        <v>Thursday</v>
      </c>
      <c r="G4021" s="3">
        <f>HOUR(CallLog[[#This Row],[Time]])</f>
        <v>17</v>
      </c>
      <c r="H4021" t="s">
        <v>32</v>
      </c>
      <c r="I4021" t="s">
        <v>14</v>
      </c>
      <c r="J4021" t="s">
        <v>14</v>
      </c>
      <c r="K4021">
        <v>91</v>
      </c>
      <c r="L4021" t="str">
        <f>IF(AND(CallLog[[#This Row],[Answered (Y/N)]]="Y", CallLog[[#This Row],[Speed of answer in seconds]]&lt;=20),
    "Within",
    "Breach")</f>
        <v>Breach</v>
      </c>
      <c r="M4021" s="1">
        <v>6.5972222222222224E-4</v>
      </c>
      <c r="N4021">
        <v>1</v>
      </c>
    </row>
    <row r="4022" spans="1:14" x14ac:dyDescent="0.3">
      <c r="A4022" t="s">
        <v>4115</v>
      </c>
      <c r="B4022" t="s">
        <v>34</v>
      </c>
      <c r="C4022" t="s">
        <v>4043</v>
      </c>
      <c r="D4022" s="1">
        <v>0.73599537037037033</v>
      </c>
      <c r="E4022" s="2">
        <f>CallLog[[#This Row],[Date]]+CallLog[[#This Row],[Time]]</f>
        <v>44266.735995370371</v>
      </c>
      <c r="F4022" s="1" t="str">
        <f>TEXT(CallLog[[#This Row],[Date]],"dddd")</f>
        <v>Thursday</v>
      </c>
      <c r="G4022" s="3">
        <f>HOUR(CallLog[[#This Row],[Time]])</f>
        <v>17</v>
      </c>
      <c r="H4022" t="s">
        <v>24</v>
      </c>
      <c r="I4022" t="s">
        <v>18</v>
      </c>
      <c r="J4022" t="s">
        <v>18</v>
      </c>
      <c r="L4022" t="str">
        <f>IF(AND(CallLog[[#This Row],[Answered (Y/N)]]="Y", CallLog[[#This Row],[Speed of answer in seconds]]&lt;=20),
    "Within",
    "Breach")</f>
        <v>Breach</v>
      </c>
    </row>
    <row r="4023" spans="1:14" x14ac:dyDescent="0.3">
      <c r="A4023" t="s">
        <v>4116</v>
      </c>
      <c r="B4023" t="s">
        <v>11</v>
      </c>
      <c r="C4023" t="s">
        <v>4043</v>
      </c>
      <c r="D4023" s="1">
        <v>0.73599537037037033</v>
      </c>
      <c r="E4023" s="2">
        <f>CallLog[[#This Row],[Date]]+CallLog[[#This Row],[Time]]</f>
        <v>44266.735995370371</v>
      </c>
      <c r="F4023" s="1" t="str">
        <f>TEXT(CallLog[[#This Row],[Date]],"dddd")</f>
        <v>Thursday</v>
      </c>
      <c r="G4023" s="3">
        <f>HOUR(CallLog[[#This Row],[Time]])</f>
        <v>17</v>
      </c>
      <c r="H4023" t="s">
        <v>17</v>
      </c>
      <c r="I4023" t="s">
        <v>14</v>
      </c>
      <c r="J4023" t="s">
        <v>14</v>
      </c>
      <c r="K4023">
        <v>18</v>
      </c>
      <c r="L4023" t="str">
        <f>IF(AND(CallLog[[#This Row],[Answered (Y/N)]]="Y", CallLog[[#This Row],[Speed of answer in seconds]]&lt;=20),
    "Within",
    "Breach")</f>
        <v>Within</v>
      </c>
      <c r="M4023" s="1">
        <v>3.9814814814814817E-3</v>
      </c>
      <c r="N4023">
        <v>5</v>
      </c>
    </row>
    <row r="4024" spans="1:14" x14ac:dyDescent="0.3">
      <c r="A4024" t="s">
        <v>4117</v>
      </c>
      <c r="B4024" t="s">
        <v>38</v>
      </c>
      <c r="C4024" t="s">
        <v>4118</v>
      </c>
      <c r="D4024" s="1">
        <v>0.38299768518518518</v>
      </c>
      <c r="E4024" s="2">
        <f>CallLog[[#This Row],[Date]]+CallLog[[#This Row],[Time]]</f>
        <v>44267.382997685185</v>
      </c>
      <c r="F4024" s="1" t="str">
        <f>TEXT(CallLog[[#This Row],[Date]],"dddd")</f>
        <v>Friday</v>
      </c>
      <c r="G4024" s="3">
        <f>HOUR(CallLog[[#This Row],[Time]])</f>
        <v>9</v>
      </c>
      <c r="H4024" t="s">
        <v>13</v>
      </c>
      <c r="I4024" t="s">
        <v>14</v>
      </c>
      <c r="J4024" t="s">
        <v>18</v>
      </c>
      <c r="K4024">
        <v>32</v>
      </c>
      <c r="L4024" t="str">
        <f>IF(AND(CallLog[[#This Row],[Answered (Y/N)]]="Y", CallLog[[#This Row],[Speed of answer in seconds]]&lt;=20),
    "Within",
    "Breach")</f>
        <v>Breach</v>
      </c>
      <c r="M4024" s="1">
        <v>3.1944444444444446E-3</v>
      </c>
      <c r="N4024">
        <v>1</v>
      </c>
    </row>
    <row r="4025" spans="1:14" x14ac:dyDescent="0.3">
      <c r="A4025" t="s">
        <v>4119</v>
      </c>
      <c r="B4025" t="s">
        <v>22</v>
      </c>
      <c r="C4025" t="s">
        <v>4118</v>
      </c>
      <c r="D4025" s="1">
        <v>0.38299768518518518</v>
      </c>
      <c r="E4025" s="2">
        <f>CallLog[[#This Row],[Date]]+CallLog[[#This Row],[Time]]</f>
        <v>44267.382997685185</v>
      </c>
      <c r="F4025" s="1" t="str">
        <f>TEXT(CallLog[[#This Row],[Date]],"dddd")</f>
        <v>Friday</v>
      </c>
      <c r="G4025" s="3">
        <f>HOUR(CallLog[[#This Row],[Time]])</f>
        <v>9</v>
      </c>
      <c r="H4025" t="s">
        <v>24</v>
      </c>
      <c r="I4025" t="s">
        <v>14</v>
      </c>
      <c r="J4025" t="s">
        <v>14</v>
      </c>
      <c r="K4025">
        <v>71</v>
      </c>
      <c r="L4025" t="str">
        <f>IF(AND(CallLog[[#This Row],[Answered (Y/N)]]="Y", CallLog[[#This Row],[Speed of answer in seconds]]&lt;=20),
    "Within",
    "Breach")</f>
        <v>Breach</v>
      </c>
      <c r="M4025" s="1">
        <v>3.472222222222222E-3</v>
      </c>
      <c r="N4025">
        <v>3</v>
      </c>
    </row>
    <row r="4026" spans="1:14" x14ac:dyDescent="0.3">
      <c r="A4026" t="s">
        <v>4120</v>
      </c>
      <c r="B4026" t="s">
        <v>20</v>
      </c>
      <c r="C4026" t="s">
        <v>4118</v>
      </c>
      <c r="D4026" s="1">
        <v>0.4</v>
      </c>
      <c r="E4026" s="2">
        <f>CallLog[[#This Row],[Date]]+CallLog[[#This Row],[Time]]</f>
        <v>44267.4</v>
      </c>
      <c r="F4026" s="1" t="str">
        <f>TEXT(CallLog[[#This Row],[Date]],"dddd")</f>
        <v>Friday</v>
      </c>
      <c r="G4026" s="3">
        <f>HOUR(CallLog[[#This Row],[Time]])</f>
        <v>9</v>
      </c>
      <c r="H4026" t="s">
        <v>17</v>
      </c>
      <c r="I4026" t="s">
        <v>14</v>
      </c>
      <c r="J4026" t="s">
        <v>14</v>
      </c>
      <c r="K4026">
        <v>54</v>
      </c>
      <c r="L4026" t="str">
        <f>IF(AND(CallLog[[#This Row],[Answered (Y/N)]]="Y", CallLog[[#This Row],[Speed of answer in seconds]]&lt;=20),
    "Within",
    "Breach")</f>
        <v>Breach</v>
      </c>
      <c r="M4026" s="1">
        <v>1.7939814814814815E-3</v>
      </c>
      <c r="N4026">
        <v>4</v>
      </c>
    </row>
    <row r="4027" spans="1:14" x14ac:dyDescent="0.3">
      <c r="A4027" t="s">
        <v>4121</v>
      </c>
      <c r="B4027" t="s">
        <v>47</v>
      </c>
      <c r="C4027" t="s">
        <v>4118</v>
      </c>
      <c r="D4027" s="1">
        <v>0.4</v>
      </c>
      <c r="E4027" s="2">
        <f>CallLog[[#This Row],[Date]]+CallLog[[#This Row],[Time]]</f>
        <v>44267.4</v>
      </c>
      <c r="F4027" s="1" t="str">
        <f>TEXT(CallLog[[#This Row],[Date]],"dddd")</f>
        <v>Friday</v>
      </c>
      <c r="G4027" s="3">
        <f>HOUR(CallLog[[#This Row],[Time]])</f>
        <v>9</v>
      </c>
      <c r="H4027" t="s">
        <v>13</v>
      </c>
      <c r="I4027" t="s">
        <v>14</v>
      </c>
      <c r="J4027" t="s">
        <v>14</v>
      </c>
      <c r="K4027">
        <v>121</v>
      </c>
      <c r="L4027" t="str">
        <f>IF(AND(CallLog[[#This Row],[Answered (Y/N)]]="Y", CallLog[[#This Row],[Speed of answer in seconds]]&lt;=20),
    "Within",
    "Breach")</f>
        <v>Breach</v>
      </c>
      <c r="M4027" s="1">
        <v>3.0555555555555557E-3</v>
      </c>
      <c r="N4027">
        <v>4</v>
      </c>
    </row>
    <row r="4028" spans="1:14" x14ac:dyDescent="0.3">
      <c r="A4028" t="s">
        <v>4122</v>
      </c>
      <c r="B4028" t="s">
        <v>47</v>
      </c>
      <c r="C4028" t="s">
        <v>4118</v>
      </c>
      <c r="D4028" s="1">
        <v>0.41499999999999998</v>
      </c>
      <c r="E4028" s="2">
        <f>CallLog[[#This Row],[Date]]+CallLog[[#This Row],[Time]]</f>
        <v>44267.415000000001</v>
      </c>
      <c r="F4028" s="1" t="str">
        <f>TEXT(CallLog[[#This Row],[Date]],"dddd")</f>
        <v>Friday</v>
      </c>
      <c r="G4028" s="3">
        <f>HOUR(CallLog[[#This Row],[Time]])</f>
        <v>9</v>
      </c>
      <c r="H4028" t="s">
        <v>17</v>
      </c>
      <c r="I4028" t="s">
        <v>14</v>
      </c>
      <c r="J4028" t="s">
        <v>14</v>
      </c>
      <c r="K4028">
        <v>59</v>
      </c>
      <c r="L4028" t="str">
        <f>IF(AND(CallLog[[#This Row],[Answered (Y/N)]]="Y", CallLog[[#This Row],[Speed of answer in seconds]]&lt;=20),
    "Within",
    "Breach")</f>
        <v>Breach</v>
      </c>
      <c r="M4028" s="1">
        <v>7.7546296296296293E-4</v>
      </c>
      <c r="N4028">
        <v>3</v>
      </c>
    </row>
    <row r="4029" spans="1:14" x14ac:dyDescent="0.3">
      <c r="A4029" t="s">
        <v>4123</v>
      </c>
      <c r="B4029" t="s">
        <v>31</v>
      </c>
      <c r="C4029" t="s">
        <v>4118</v>
      </c>
      <c r="D4029" s="1">
        <v>0.41499999999999998</v>
      </c>
      <c r="E4029" s="2">
        <f>CallLog[[#This Row],[Date]]+CallLog[[#This Row],[Time]]</f>
        <v>44267.415000000001</v>
      </c>
      <c r="F4029" s="1" t="str">
        <f>TEXT(CallLog[[#This Row],[Date]],"dddd")</f>
        <v>Friday</v>
      </c>
      <c r="G4029" s="3">
        <f>HOUR(CallLog[[#This Row],[Time]])</f>
        <v>9</v>
      </c>
      <c r="H4029" t="s">
        <v>13</v>
      </c>
      <c r="I4029" t="s">
        <v>14</v>
      </c>
      <c r="J4029" t="s">
        <v>14</v>
      </c>
      <c r="K4029">
        <v>59</v>
      </c>
      <c r="L4029" t="str">
        <f>IF(AND(CallLog[[#This Row],[Answered (Y/N)]]="Y", CallLog[[#This Row],[Speed of answer in seconds]]&lt;=20),
    "Within",
    "Breach")</f>
        <v>Breach</v>
      </c>
      <c r="M4029" s="1">
        <v>7.291666666666667E-4</v>
      </c>
      <c r="N4029">
        <v>2</v>
      </c>
    </row>
    <row r="4030" spans="1:14" x14ac:dyDescent="0.3">
      <c r="A4030" t="s">
        <v>4124</v>
      </c>
      <c r="B4030" t="s">
        <v>31</v>
      </c>
      <c r="C4030" t="s">
        <v>4118</v>
      </c>
      <c r="D4030" s="1">
        <v>0.41799768518518521</v>
      </c>
      <c r="E4030" s="2">
        <f>CallLog[[#This Row],[Date]]+CallLog[[#This Row],[Time]]</f>
        <v>44267.417997685188</v>
      </c>
      <c r="F4030" s="1" t="str">
        <f>TEXT(CallLog[[#This Row],[Date]],"dddd")</f>
        <v>Friday</v>
      </c>
      <c r="G4030" s="3">
        <f>HOUR(CallLog[[#This Row],[Time]])</f>
        <v>10</v>
      </c>
      <c r="H4030" t="s">
        <v>24</v>
      </c>
      <c r="I4030" t="s">
        <v>14</v>
      </c>
      <c r="J4030" t="s">
        <v>14</v>
      </c>
      <c r="K4030">
        <v>108</v>
      </c>
      <c r="L4030" t="str">
        <f>IF(AND(CallLog[[#This Row],[Answered (Y/N)]]="Y", CallLog[[#This Row],[Speed of answer in seconds]]&lt;=20),
    "Within",
    "Breach")</f>
        <v>Breach</v>
      </c>
      <c r="M4030" s="1">
        <v>2.3148148148148147E-3</v>
      </c>
      <c r="N4030">
        <v>5</v>
      </c>
    </row>
    <row r="4031" spans="1:14" x14ac:dyDescent="0.3">
      <c r="A4031" t="s">
        <v>4125</v>
      </c>
      <c r="B4031" t="s">
        <v>20</v>
      </c>
      <c r="C4031" t="s">
        <v>4118</v>
      </c>
      <c r="D4031" s="1">
        <v>0.41799768518518521</v>
      </c>
      <c r="E4031" s="2">
        <f>CallLog[[#This Row],[Date]]+CallLog[[#This Row],[Time]]</f>
        <v>44267.417997685188</v>
      </c>
      <c r="F4031" s="1" t="str">
        <f>TEXT(CallLog[[#This Row],[Date]],"dddd")</f>
        <v>Friday</v>
      </c>
      <c r="G4031" s="3">
        <f>HOUR(CallLog[[#This Row],[Time]])</f>
        <v>10</v>
      </c>
      <c r="H4031" t="s">
        <v>17</v>
      </c>
      <c r="I4031" t="s">
        <v>14</v>
      </c>
      <c r="J4031" t="s">
        <v>14</v>
      </c>
      <c r="K4031">
        <v>35</v>
      </c>
      <c r="L4031" t="str">
        <f>IF(AND(CallLog[[#This Row],[Answered (Y/N)]]="Y", CallLog[[#This Row],[Speed of answer in seconds]]&lt;=20),
    "Within",
    "Breach")</f>
        <v>Breach</v>
      </c>
      <c r="M4031" s="1">
        <v>1.5162037037037036E-3</v>
      </c>
      <c r="N4031">
        <v>4</v>
      </c>
    </row>
    <row r="4032" spans="1:14" x14ac:dyDescent="0.3">
      <c r="A4032" t="s">
        <v>4126</v>
      </c>
      <c r="B4032" t="s">
        <v>20</v>
      </c>
      <c r="C4032" t="s">
        <v>4118</v>
      </c>
      <c r="D4032" s="1">
        <v>0.41900462962962964</v>
      </c>
      <c r="E4032" s="2">
        <f>CallLog[[#This Row],[Date]]+CallLog[[#This Row],[Time]]</f>
        <v>44267.419004629628</v>
      </c>
      <c r="F4032" s="1" t="str">
        <f>TEXT(CallLog[[#This Row],[Date]],"dddd")</f>
        <v>Friday</v>
      </c>
      <c r="G4032" s="3">
        <f>HOUR(CallLog[[#This Row],[Time]])</f>
        <v>10</v>
      </c>
      <c r="H4032" t="s">
        <v>24</v>
      </c>
      <c r="I4032" t="s">
        <v>14</v>
      </c>
      <c r="J4032" t="s">
        <v>14</v>
      </c>
      <c r="K4032">
        <v>22</v>
      </c>
      <c r="L4032" t="str">
        <f>IF(AND(CallLog[[#This Row],[Answered (Y/N)]]="Y", CallLog[[#This Row],[Speed of answer in seconds]]&lt;=20),
    "Within",
    "Breach")</f>
        <v>Breach</v>
      </c>
      <c r="M4032" s="1">
        <v>3.8310185185185183E-3</v>
      </c>
      <c r="N4032">
        <v>5</v>
      </c>
    </row>
    <row r="4033" spans="1:14" x14ac:dyDescent="0.3">
      <c r="A4033" t="s">
        <v>4127</v>
      </c>
      <c r="B4033" t="s">
        <v>11</v>
      </c>
      <c r="C4033" t="s">
        <v>4118</v>
      </c>
      <c r="D4033" s="1">
        <v>0.41900462962962964</v>
      </c>
      <c r="E4033" s="2">
        <f>CallLog[[#This Row],[Date]]+CallLog[[#This Row],[Time]]</f>
        <v>44267.419004629628</v>
      </c>
      <c r="F4033" s="1" t="str">
        <f>TEXT(CallLog[[#This Row],[Date]],"dddd")</f>
        <v>Friday</v>
      </c>
      <c r="G4033" s="3">
        <f>HOUR(CallLog[[#This Row],[Time]])</f>
        <v>10</v>
      </c>
      <c r="H4033" t="s">
        <v>17</v>
      </c>
      <c r="I4033" t="s">
        <v>14</v>
      </c>
      <c r="J4033" t="s">
        <v>14</v>
      </c>
      <c r="K4033">
        <v>37</v>
      </c>
      <c r="L4033" t="str">
        <f>IF(AND(CallLog[[#This Row],[Answered (Y/N)]]="Y", CallLog[[#This Row],[Speed of answer in seconds]]&lt;=20),
    "Within",
    "Breach")</f>
        <v>Breach</v>
      </c>
      <c r="M4033" s="1">
        <v>3.1134259259259257E-3</v>
      </c>
      <c r="N4033">
        <v>5</v>
      </c>
    </row>
    <row r="4034" spans="1:14" x14ac:dyDescent="0.3">
      <c r="A4034" t="s">
        <v>4128</v>
      </c>
      <c r="B4034" t="s">
        <v>38</v>
      </c>
      <c r="C4034" t="s">
        <v>4118</v>
      </c>
      <c r="D4034" s="1">
        <v>0.42299768518518521</v>
      </c>
      <c r="E4034" s="2">
        <f>CallLog[[#This Row],[Date]]+CallLog[[#This Row],[Time]]</f>
        <v>44267.422997685186</v>
      </c>
      <c r="F4034" s="1" t="str">
        <f>TEXT(CallLog[[#This Row],[Date]],"dddd")</f>
        <v>Friday</v>
      </c>
      <c r="G4034" s="3">
        <f>HOUR(CallLog[[#This Row],[Time]])</f>
        <v>10</v>
      </c>
      <c r="H4034" t="s">
        <v>24</v>
      </c>
      <c r="I4034" t="s">
        <v>14</v>
      </c>
      <c r="J4034" t="s">
        <v>14</v>
      </c>
      <c r="K4034">
        <v>14</v>
      </c>
      <c r="L4034" t="str">
        <f>IF(AND(CallLog[[#This Row],[Answered (Y/N)]]="Y", CallLog[[#This Row],[Speed of answer in seconds]]&lt;=20),
    "Within",
    "Breach")</f>
        <v>Within</v>
      </c>
      <c r="M4034" s="1">
        <v>4.7685185185185183E-3</v>
      </c>
      <c r="N4034">
        <v>3</v>
      </c>
    </row>
    <row r="4035" spans="1:14" x14ac:dyDescent="0.3">
      <c r="A4035" t="s">
        <v>4129</v>
      </c>
      <c r="B4035" t="s">
        <v>22</v>
      </c>
      <c r="C4035" t="s">
        <v>4118</v>
      </c>
      <c r="D4035" s="1">
        <v>0.42299768518518521</v>
      </c>
      <c r="E4035" s="2">
        <f>CallLog[[#This Row],[Date]]+CallLog[[#This Row],[Time]]</f>
        <v>44267.422997685186</v>
      </c>
      <c r="F4035" s="1" t="str">
        <f>TEXT(CallLog[[#This Row],[Date]],"dddd")</f>
        <v>Friday</v>
      </c>
      <c r="G4035" s="3">
        <f>HOUR(CallLog[[#This Row],[Time]])</f>
        <v>10</v>
      </c>
      <c r="H4035" t="s">
        <v>24</v>
      </c>
      <c r="I4035" t="s">
        <v>18</v>
      </c>
      <c r="J4035" t="s">
        <v>18</v>
      </c>
      <c r="L4035" t="str">
        <f>IF(AND(CallLog[[#This Row],[Answered (Y/N)]]="Y", CallLog[[#This Row],[Speed of answer in seconds]]&lt;=20),
    "Within",
    "Breach")</f>
        <v>Breach</v>
      </c>
    </row>
    <row r="4036" spans="1:14" x14ac:dyDescent="0.3">
      <c r="A4036" t="s">
        <v>4130</v>
      </c>
      <c r="B4036" t="s">
        <v>38</v>
      </c>
      <c r="C4036" t="s">
        <v>4118</v>
      </c>
      <c r="D4036" s="1">
        <v>0.42499999999999999</v>
      </c>
      <c r="E4036" s="2">
        <f>CallLog[[#This Row],[Date]]+CallLog[[#This Row],[Time]]</f>
        <v>44267.425000000003</v>
      </c>
      <c r="F4036" s="1" t="str">
        <f>TEXT(CallLog[[#This Row],[Date]],"dddd")</f>
        <v>Friday</v>
      </c>
      <c r="G4036" s="3">
        <f>HOUR(CallLog[[#This Row],[Time]])</f>
        <v>10</v>
      </c>
      <c r="H4036" t="s">
        <v>24</v>
      </c>
      <c r="I4036" t="s">
        <v>14</v>
      </c>
      <c r="J4036" t="s">
        <v>14</v>
      </c>
      <c r="K4036">
        <v>73</v>
      </c>
      <c r="L4036" t="str">
        <f>IF(AND(CallLog[[#This Row],[Answered (Y/N)]]="Y", CallLog[[#This Row],[Speed of answer in seconds]]&lt;=20),
    "Within",
    "Breach")</f>
        <v>Breach</v>
      </c>
      <c r="M4036" s="1">
        <v>7.0601851851851847E-4</v>
      </c>
      <c r="N4036">
        <v>3</v>
      </c>
    </row>
    <row r="4037" spans="1:14" x14ac:dyDescent="0.3">
      <c r="A4037" t="s">
        <v>4131</v>
      </c>
      <c r="B4037" t="s">
        <v>34</v>
      </c>
      <c r="C4037" t="s">
        <v>4118</v>
      </c>
      <c r="D4037" s="1">
        <v>0.42499999999999999</v>
      </c>
      <c r="E4037" s="2">
        <f>CallLog[[#This Row],[Date]]+CallLog[[#This Row],[Time]]</f>
        <v>44267.425000000003</v>
      </c>
      <c r="F4037" s="1" t="str">
        <f>TEXT(CallLog[[#This Row],[Date]],"dddd")</f>
        <v>Friday</v>
      </c>
      <c r="G4037" s="3">
        <f>HOUR(CallLog[[#This Row],[Time]])</f>
        <v>10</v>
      </c>
      <c r="H4037" t="s">
        <v>32</v>
      </c>
      <c r="I4037" t="s">
        <v>18</v>
      </c>
      <c r="J4037" t="s">
        <v>18</v>
      </c>
      <c r="L4037" t="str">
        <f>IF(AND(CallLog[[#This Row],[Answered (Y/N)]]="Y", CallLog[[#This Row],[Speed of answer in seconds]]&lt;=20),
    "Within",
    "Breach")</f>
        <v>Breach</v>
      </c>
    </row>
    <row r="4038" spans="1:14" x14ac:dyDescent="0.3">
      <c r="A4038" t="s">
        <v>4132</v>
      </c>
      <c r="B4038" t="s">
        <v>11</v>
      </c>
      <c r="C4038" t="s">
        <v>4118</v>
      </c>
      <c r="D4038" s="1">
        <v>0.43200231481481483</v>
      </c>
      <c r="E4038" s="2">
        <f>CallLog[[#This Row],[Date]]+CallLog[[#This Row],[Time]]</f>
        <v>44267.432002314818</v>
      </c>
      <c r="F4038" s="1" t="str">
        <f>TEXT(CallLog[[#This Row],[Date]],"dddd")</f>
        <v>Friday</v>
      </c>
      <c r="G4038" s="3">
        <f>HOUR(CallLog[[#This Row],[Time]])</f>
        <v>10</v>
      </c>
      <c r="H4038" t="s">
        <v>29</v>
      </c>
      <c r="I4038" t="s">
        <v>18</v>
      </c>
      <c r="J4038" t="s">
        <v>18</v>
      </c>
      <c r="L4038" t="str">
        <f>IF(AND(CallLog[[#This Row],[Answered (Y/N)]]="Y", CallLog[[#This Row],[Speed of answer in seconds]]&lt;=20),
    "Within",
    "Breach")</f>
        <v>Breach</v>
      </c>
    </row>
    <row r="4039" spans="1:14" x14ac:dyDescent="0.3">
      <c r="A4039" t="s">
        <v>4133</v>
      </c>
      <c r="B4039" t="s">
        <v>31</v>
      </c>
      <c r="C4039" t="s">
        <v>4118</v>
      </c>
      <c r="D4039" s="1">
        <v>0.43200231481481483</v>
      </c>
      <c r="E4039" s="2">
        <f>CallLog[[#This Row],[Date]]+CallLog[[#This Row],[Time]]</f>
        <v>44267.432002314818</v>
      </c>
      <c r="F4039" s="1" t="str">
        <f>TEXT(CallLog[[#This Row],[Date]],"dddd")</f>
        <v>Friday</v>
      </c>
      <c r="G4039" s="3">
        <f>HOUR(CallLog[[#This Row],[Time]])</f>
        <v>10</v>
      </c>
      <c r="H4039" t="s">
        <v>17</v>
      </c>
      <c r="I4039" t="s">
        <v>14</v>
      </c>
      <c r="J4039" t="s">
        <v>14</v>
      </c>
      <c r="K4039">
        <v>63</v>
      </c>
      <c r="L4039" t="str">
        <f>IF(AND(CallLog[[#This Row],[Answered (Y/N)]]="Y", CallLog[[#This Row],[Speed of answer in seconds]]&lt;=20),
    "Within",
    "Breach")</f>
        <v>Breach</v>
      </c>
      <c r="M4039" s="1">
        <v>2.0254629629629629E-3</v>
      </c>
      <c r="N4039">
        <v>1</v>
      </c>
    </row>
    <row r="4040" spans="1:14" x14ac:dyDescent="0.3">
      <c r="A4040" t="s">
        <v>4134</v>
      </c>
      <c r="B4040" t="s">
        <v>31</v>
      </c>
      <c r="C4040" t="s">
        <v>4118</v>
      </c>
      <c r="D4040" s="1">
        <v>0.44599537037037035</v>
      </c>
      <c r="E4040" s="2">
        <f>CallLog[[#This Row],[Date]]+CallLog[[#This Row],[Time]]</f>
        <v>44267.44599537037</v>
      </c>
      <c r="F4040" s="1" t="str">
        <f>TEXT(CallLog[[#This Row],[Date]],"dddd")</f>
        <v>Friday</v>
      </c>
      <c r="G4040" s="3">
        <f>HOUR(CallLog[[#This Row],[Time]])</f>
        <v>10</v>
      </c>
      <c r="H4040" t="s">
        <v>17</v>
      </c>
      <c r="I4040" t="s">
        <v>14</v>
      </c>
      <c r="J4040" t="s">
        <v>14</v>
      </c>
      <c r="K4040">
        <v>64</v>
      </c>
      <c r="L4040" t="str">
        <f>IF(AND(CallLog[[#This Row],[Answered (Y/N)]]="Y", CallLog[[#This Row],[Speed of answer in seconds]]&lt;=20),
    "Within",
    "Breach")</f>
        <v>Breach</v>
      </c>
      <c r="M4040" s="1">
        <v>4.0509259259259257E-3</v>
      </c>
      <c r="N4040">
        <v>4</v>
      </c>
    </row>
    <row r="4041" spans="1:14" x14ac:dyDescent="0.3">
      <c r="A4041" t="s">
        <v>4135</v>
      </c>
      <c r="B4041" t="s">
        <v>34</v>
      </c>
      <c r="C4041" t="s">
        <v>4118</v>
      </c>
      <c r="D4041" s="1">
        <v>0.44599537037037035</v>
      </c>
      <c r="E4041" s="2">
        <f>CallLog[[#This Row],[Date]]+CallLog[[#This Row],[Time]]</f>
        <v>44267.44599537037</v>
      </c>
      <c r="F4041" s="1" t="str">
        <f>TEXT(CallLog[[#This Row],[Date]],"dddd")</f>
        <v>Friday</v>
      </c>
      <c r="G4041" s="3">
        <f>HOUR(CallLog[[#This Row],[Time]])</f>
        <v>10</v>
      </c>
      <c r="H4041" t="s">
        <v>17</v>
      </c>
      <c r="I4041" t="s">
        <v>14</v>
      </c>
      <c r="J4041" t="s">
        <v>14</v>
      </c>
      <c r="K4041">
        <v>17</v>
      </c>
      <c r="L4041" t="str">
        <f>IF(AND(CallLog[[#This Row],[Answered (Y/N)]]="Y", CallLog[[#This Row],[Speed of answer in seconds]]&lt;=20),
    "Within",
    "Breach")</f>
        <v>Within</v>
      </c>
      <c r="M4041" s="1">
        <v>3.9351851851851848E-3</v>
      </c>
      <c r="N4041">
        <v>3</v>
      </c>
    </row>
    <row r="4042" spans="1:14" x14ac:dyDescent="0.3">
      <c r="A4042" t="s">
        <v>4136</v>
      </c>
      <c r="B4042" t="s">
        <v>11</v>
      </c>
      <c r="C4042" t="s">
        <v>4118</v>
      </c>
      <c r="D4042" s="1">
        <v>0.4670023148148148</v>
      </c>
      <c r="E4042" s="2">
        <f>CallLog[[#This Row],[Date]]+CallLog[[#This Row],[Time]]</f>
        <v>44267.467002314814</v>
      </c>
      <c r="F4042" s="1" t="str">
        <f>TEXT(CallLog[[#This Row],[Date]],"dddd")</f>
        <v>Friday</v>
      </c>
      <c r="G4042" s="3">
        <f>HOUR(CallLog[[#This Row],[Time]])</f>
        <v>11</v>
      </c>
      <c r="H4042" t="s">
        <v>13</v>
      </c>
      <c r="I4042" t="s">
        <v>14</v>
      </c>
      <c r="J4042" t="s">
        <v>14</v>
      </c>
      <c r="K4042">
        <v>42</v>
      </c>
      <c r="L4042" t="str">
        <f>IF(AND(CallLog[[#This Row],[Answered (Y/N)]]="Y", CallLog[[#This Row],[Speed of answer in seconds]]&lt;=20),
    "Within",
    "Breach")</f>
        <v>Breach</v>
      </c>
      <c r="M4042" s="1">
        <v>1.8402777777777777E-3</v>
      </c>
      <c r="N4042">
        <v>4</v>
      </c>
    </row>
    <row r="4043" spans="1:14" x14ac:dyDescent="0.3">
      <c r="A4043" t="s">
        <v>4137</v>
      </c>
      <c r="B4043" t="s">
        <v>11</v>
      </c>
      <c r="C4043" t="s">
        <v>4118</v>
      </c>
      <c r="D4043" s="1">
        <v>0.4670023148148148</v>
      </c>
      <c r="E4043" s="2">
        <f>CallLog[[#This Row],[Date]]+CallLog[[#This Row],[Time]]</f>
        <v>44267.467002314814</v>
      </c>
      <c r="F4043" s="1" t="str">
        <f>TEXT(CallLog[[#This Row],[Date]],"dddd")</f>
        <v>Friday</v>
      </c>
      <c r="G4043" s="3">
        <f>HOUR(CallLog[[#This Row],[Time]])</f>
        <v>11</v>
      </c>
      <c r="H4043" t="s">
        <v>17</v>
      </c>
      <c r="I4043" t="s">
        <v>14</v>
      </c>
      <c r="J4043" t="s">
        <v>14</v>
      </c>
      <c r="K4043">
        <v>121</v>
      </c>
      <c r="L4043" t="str">
        <f>IF(AND(CallLog[[#This Row],[Answered (Y/N)]]="Y", CallLog[[#This Row],[Speed of answer in seconds]]&lt;=20),
    "Within",
    "Breach")</f>
        <v>Breach</v>
      </c>
      <c r="M4043" s="1">
        <v>2.8587962962962963E-3</v>
      </c>
      <c r="N4043">
        <v>1</v>
      </c>
    </row>
    <row r="4044" spans="1:14" x14ac:dyDescent="0.3">
      <c r="A4044" t="s">
        <v>4138</v>
      </c>
      <c r="B4044" t="s">
        <v>11</v>
      </c>
      <c r="C4044" t="s">
        <v>4118</v>
      </c>
      <c r="D4044" s="1">
        <v>0.4679976851851852</v>
      </c>
      <c r="E4044" s="2">
        <f>CallLog[[#This Row],[Date]]+CallLog[[#This Row],[Time]]</f>
        <v>44267.467997685184</v>
      </c>
      <c r="F4044" s="1" t="str">
        <f>TEXT(CallLog[[#This Row],[Date]],"dddd")</f>
        <v>Friday</v>
      </c>
      <c r="G4044" s="3">
        <f>HOUR(CallLog[[#This Row],[Time]])</f>
        <v>11</v>
      </c>
      <c r="H4044" t="s">
        <v>24</v>
      </c>
      <c r="I4044" t="s">
        <v>14</v>
      </c>
      <c r="J4044" t="s">
        <v>14</v>
      </c>
      <c r="K4044">
        <v>56</v>
      </c>
      <c r="L4044" t="str">
        <f>IF(AND(CallLog[[#This Row],[Answered (Y/N)]]="Y", CallLog[[#This Row],[Speed of answer in seconds]]&lt;=20),
    "Within",
    "Breach")</f>
        <v>Breach</v>
      </c>
      <c r="M4044" s="1">
        <v>2.4189814814814816E-3</v>
      </c>
      <c r="N4044">
        <v>4</v>
      </c>
    </row>
    <row r="4045" spans="1:14" x14ac:dyDescent="0.3">
      <c r="A4045" t="s">
        <v>4139</v>
      </c>
      <c r="B4045" t="s">
        <v>34</v>
      </c>
      <c r="C4045" t="s">
        <v>4118</v>
      </c>
      <c r="D4045" s="1">
        <v>0.4679976851851852</v>
      </c>
      <c r="E4045" s="2">
        <f>CallLog[[#This Row],[Date]]+CallLog[[#This Row],[Time]]</f>
        <v>44267.467997685184</v>
      </c>
      <c r="F4045" s="1" t="str">
        <f>TEXT(CallLog[[#This Row],[Date]],"dddd")</f>
        <v>Friday</v>
      </c>
      <c r="G4045" s="3">
        <f>HOUR(CallLog[[#This Row],[Time]])</f>
        <v>11</v>
      </c>
      <c r="H4045" t="s">
        <v>17</v>
      </c>
      <c r="I4045" t="s">
        <v>14</v>
      </c>
      <c r="J4045" t="s">
        <v>14</v>
      </c>
      <c r="K4045">
        <v>123</v>
      </c>
      <c r="L4045" t="str">
        <f>IF(AND(CallLog[[#This Row],[Answered (Y/N)]]="Y", CallLog[[#This Row],[Speed of answer in seconds]]&lt;=20),
    "Within",
    "Breach")</f>
        <v>Breach</v>
      </c>
      <c r="M4045" s="1">
        <v>3.6458333333333334E-3</v>
      </c>
      <c r="N4045">
        <v>4</v>
      </c>
    </row>
    <row r="4046" spans="1:14" x14ac:dyDescent="0.3">
      <c r="A4046" t="s">
        <v>4140</v>
      </c>
      <c r="B4046" t="s">
        <v>11</v>
      </c>
      <c r="C4046" t="s">
        <v>4118</v>
      </c>
      <c r="D4046" s="1">
        <v>0.47</v>
      </c>
      <c r="E4046" s="2">
        <f>CallLog[[#This Row],[Date]]+CallLog[[#This Row],[Time]]</f>
        <v>44267.47</v>
      </c>
      <c r="F4046" s="1" t="str">
        <f>TEXT(CallLog[[#This Row],[Date]],"dddd")</f>
        <v>Friday</v>
      </c>
      <c r="G4046" s="3">
        <f>HOUR(CallLog[[#This Row],[Time]])</f>
        <v>11</v>
      </c>
      <c r="H4046" t="s">
        <v>29</v>
      </c>
      <c r="I4046" t="s">
        <v>14</v>
      </c>
      <c r="J4046" t="s">
        <v>14</v>
      </c>
      <c r="K4046">
        <v>27</v>
      </c>
      <c r="L4046" t="str">
        <f>IF(AND(CallLog[[#This Row],[Answered (Y/N)]]="Y", CallLog[[#This Row],[Speed of answer in seconds]]&lt;=20),
    "Within",
    "Breach")</f>
        <v>Breach</v>
      </c>
      <c r="M4046" s="1">
        <v>5.6712962962962967E-4</v>
      </c>
      <c r="N4046">
        <v>5</v>
      </c>
    </row>
    <row r="4047" spans="1:14" x14ac:dyDescent="0.3">
      <c r="A4047" t="s">
        <v>4141</v>
      </c>
      <c r="B4047" t="s">
        <v>47</v>
      </c>
      <c r="C4047" t="s">
        <v>4118</v>
      </c>
      <c r="D4047" s="1">
        <v>0.47</v>
      </c>
      <c r="E4047" s="2">
        <f>CallLog[[#This Row],[Date]]+CallLog[[#This Row],[Time]]</f>
        <v>44267.47</v>
      </c>
      <c r="F4047" s="1" t="str">
        <f>TEXT(CallLog[[#This Row],[Date]],"dddd")</f>
        <v>Friday</v>
      </c>
      <c r="G4047" s="3">
        <f>HOUR(CallLog[[#This Row],[Time]])</f>
        <v>11</v>
      </c>
      <c r="H4047" t="s">
        <v>17</v>
      </c>
      <c r="I4047" t="s">
        <v>14</v>
      </c>
      <c r="J4047" t="s">
        <v>14</v>
      </c>
      <c r="K4047">
        <v>46</v>
      </c>
      <c r="L4047" t="str">
        <f>IF(AND(CallLog[[#This Row],[Answered (Y/N)]]="Y", CallLog[[#This Row],[Speed of answer in seconds]]&lt;=20),
    "Within",
    "Breach")</f>
        <v>Breach</v>
      </c>
      <c r="M4047" s="1">
        <v>2.650462962962963E-3</v>
      </c>
      <c r="N4047">
        <v>4</v>
      </c>
    </row>
    <row r="4048" spans="1:14" x14ac:dyDescent="0.3">
      <c r="A4048" t="s">
        <v>4142</v>
      </c>
      <c r="B4048" t="s">
        <v>11</v>
      </c>
      <c r="C4048" t="s">
        <v>4118</v>
      </c>
      <c r="D4048" s="1">
        <v>0.50099537037037034</v>
      </c>
      <c r="E4048" s="2">
        <f>CallLog[[#This Row],[Date]]+CallLog[[#This Row],[Time]]</f>
        <v>44267.50099537037</v>
      </c>
      <c r="F4048" s="1" t="str">
        <f>TEXT(CallLog[[#This Row],[Date]],"dddd")</f>
        <v>Friday</v>
      </c>
      <c r="G4048" s="3">
        <f>HOUR(CallLog[[#This Row],[Time]])</f>
        <v>12</v>
      </c>
      <c r="H4048" t="s">
        <v>17</v>
      </c>
      <c r="I4048" t="s">
        <v>14</v>
      </c>
      <c r="J4048" t="s">
        <v>14</v>
      </c>
      <c r="K4048">
        <v>117</v>
      </c>
      <c r="L4048" t="str">
        <f>IF(AND(CallLog[[#This Row],[Answered (Y/N)]]="Y", CallLog[[#This Row],[Speed of answer in seconds]]&lt;=20),
    "Within",
    "Breach")</f>
        <v>Breach</v>
      </c>
      <c r="M4048" s="1">
        <v>1.4699074074074074E-3</v>
      </c>
      <c r="N4048">
        <v>2</v>
      </c>
    </row>
    <row r="4049" spans="1:14" x14ac:dyDescent="0.3">
      <c r="A4049" t="s">
        <v>4143</v>
      </c>
      <c r="B4049" t="s">
        <v>16</v>
      </c>
      <c r="C4049" t="s">
        <v>4118</v>
      </c>
      <c r="D4049" s="1">
        <v>0.50099537037037034</v>
      </c>
      <c r="E4049" s="2">
        <f>CallLog[[#This Row],[Date]]+CallLog[[#This Row],[Time]]</f>
        <v>44267.50099537037</v>
      </c>
      <c r="F4049" s="1" t="str">
        <f>TEXT(CallLog[[#This Row],[Date]],"dddd")</f>
        <v>Friday</v>
      </c>
      <c r="G4049" s="3">
        <f>HOUR(CallLog[[#This Row],[Time]])</f>
        <v>12</v>
      </c>
      <c r="H4049" t="s">
        <v>24</v>
      </c>
      <c r="I4049" t="s">
        <v>18</v>
      </c>
      <c r="J4049" t="s">
        <v>18</v>
      </c>
      <c r="L4049" t="str">
        <f>IF(AND(CallLog[[#This Row],[Answered (Y/N)]]="Y", CallLog[[#This Row],[Speed of answer in seconds]]&lt;=20),
    "Within",
    "Breach")</f>
        <v>Breach</v>
      </c>
    </row>
    <row r="4050" spans="1:14" x14ac:dyDescent="0.3">
      <c r="A4050" t="s">
        <v>4144</v>
      </c>
      <c r="B4050" t="s">
        <v>22</v>
      </c>
      <c r="C4050" t="s">
        <v>4118</v>
      </c>
      <c r="D4050" s="1">
        <v>0.54</v>
      </c>
      <c r="E4050" s="2">
        <f>CallLog[[#This Row],[Date]]+CallLog[[#This Row],[Time]]</f>
        <v>44267.54</v>
      </c>
      <c r="F4050" s="1" t="str">
        <f>TEXT(CallLog[[#This Row],[Date]],"dddd")</f>
        <v>Friday</v>
      </c>
      <c r="G4050" s="3">
        <f>HOUR(CallLog[[#This Row],[Time]])</f>
        <v>12</v>
      </c>
      <c r="H4050" t="s">
        <v>13</v>
      </c>
      <c r="I4050" t="s">
        <v>14</v>
      </c>
      <c r="J4050" t="s">
        <v>14</v>
      </c>
      <c r="K4050">
        <v>64</v>
      </c>
      <c r="L4050" t="str">
        <f>IF(AND(CallLog[[#This Row],[Answered (Y/N)]]="Y", CallLog[[#This Row],[Speed of answer in seconds]]&lt;=20),
    "Within",
    "Breach")</f>
        <v>Breach</v>
      </c>
      <c r="M4050" s="1">
        <v>3.7152777777777778E-3</v>
      </c>
      <c r="N4050">
        <v>3</v>
      </c>
    </row>
    <row r="4051" spans="1:14" x14ac:dyDescent="0.3">
      <c r="A4051" t="s">
        <v>4145</v>
      </c>
      <c r="B4051" t="s">
        <v>31</v>
      </c>
      <c r="C4051" t="s">
        <v>4118</v>
      </c>
      <c r="D4051" s="1">
        <v>0.54</v>
      </c>
      <c r="E4051" s="2">
        <f>CallLog[[#This Row],[Date]]+CallLog[[#This Row],[Time]]</f>
        <v>44267.54</v>
      </c>
      <c r="F4051" s="1" t="str">
        <f>TEXT(CallLog[[#This Row],[Date]],"dddd")</f>
        <v>Friday</v>
      </c>
      <c r="G4051" s="3">
        <f>HOUR(CallLog[[#This Row],[Time]])</f>
        <v>12</v>
      </c>
      <c r="H4051" t="s">
        <v>13</v>
      </c>
      <c r="I4051" t="s">
        <v>14</v>
      </c>
      <c r="J4051" t="s">
        <v>14</v>
      </c>
      <c r="K4051">
        <v>20</v>
      </c>
      <c r="L4051" t="str">
        <f>IF(AND(CallLog[[#This Row],[Answered (Y/N)]]="Y", CallLog[[#This Row],[Speed of answer in seconds]]&lt;=20),
    "Within",
    "Breach")</f>
        <v>Within</v>
      </c>
      <c r="M4051" s="1">
        <v>1.9444444444444444E-3</v>
      </c>
      <c r="N4051">
        <v>4</v>
      </c>
    </row>
    <row r="4052" spans="1:14" x14ac:dyDescent="0.3">
      <c r="A4052" t="s">
        <v>4146</v>
      </c>
      <c r="B4052" t="s">
        <v>20</v>
      </c>
      <c r="C4052" t="s">
        <v>4118</v>
      </c>
      <c r="D4052" s="1">
        <v>0.56200231481481477</v>
      </c>
      <c r="E4052" s="2">
        <f>CallLog[[#This Row],[Date]]+CallLog[[#This Row],[Time]]</f>
        <v>44267.562002314815</v>
      </c>
      <c r="F4052" s="1" t="str">
        <f>TEXT(CallLog[[#This Row],[Date]],"dddd")</f>
        <v>Friday</v>
      </c>
      <c r="G4052" s="3">
        <f>HOUR(CallLog[[#This Row],[Time]])</f>
        <v>13</v>
      </c>
      <c r="H4052" t="s">
        <v>13</v>
      </c>
      <c r="I4052" t="s">
        <v>14</v>
      </c>
      <c r="J4052" t="s">
        <v>14</v>
      </c>
      <c r="K4052">
        <v>21</v>
      </c>
      <c r="L4052" t="str">
        <f>IF(AND(CallLog[[#This Row],[Answered (Y/N)]]="Y", CallLog[[#This Row],[Speed of answer in seconds]]&lt;=20),
    "Within",
    "Breach")</f>
        <v>Breach</v>
      </c>
      <c r="M4052" s="1">
        <v>4.5601851851851853E-3</v>
      </c>
      <c r="N4052">
        <v>5</v>
      </c>
    </row>
    <row r="4053" spans="1:14" x14ac:dyDescent="0.3">
      <c r="A4053" t="s">
        <v>4147</v>
      </c>
      <c r="B4053" t="s">
        <v>22</v>
      </c>
      <c r="C4053" t="s">
        <v>4118</v>
      </c>
      <c r="D4053" s="1">
        <v>0.56200231481481477</v>
      </c>
      <c r="E4053" s="2">
        <f>CallLog[[#This Row],[Date]]+CallLog[[#This Row],[Time]]</f>
        <v>44267.562002314815</v>
      </c>
      <c r="F4053" s="1" t="str">
        <f>TEXT(CallLog[[#This Row],[Date]],"dddd")</f>
        <v>Friday</v>
      </c>
      <c r="G4053" s="3">
        <f>HOUR(CallLog[[#This Row],[Time]])</f>
        <v>13</v>
      </c>
      <c r="H4053" t="s">
        <v>17</v>
      </c>
      <c r="I4053" t="s">
        <v>18</v>
      </c>
      <c r="J4053" t="s">
        <v>18</v>
      </c>
      <c r="L4053" t="str">
        <f>IF(AND(CallLog[[#This Row],[Answered (Y/N)]]="Y", CallLog[[#This Row],[Speed of answer in seconds]]&lt;=20),
    "Within",
    "Breach")</f>
        <v>Breach</v>
      </c>
    </row>
    <row r="4054" spans="1:14" x14ac:dyDescent="0.3">
      <c r="A4054" t="s">
        <v>4148</v>
      </c>
      <c r="B4054" t="s">
        <v>47</v>
      </c>
      <c r="C4054" t="s">
        <v>4118</v>
      </c>
      <c r="D4054" s="1">
        <v>0.58400462962962962</v>
      </c>
      <c r="E4054" s="2">
        <f>CallLog[[#This Row],[Date]]+CallLog[[#This Row],[Time]]</f>
        <v>44267.584004629629</v>
      </c>
      <c r="F4054" s="1" t="str">
        <f>TEXT(CallLog[[#This Row],[Date]],"dddd")</f>
        <v>Friday</v>
      </c>
      <c r="G4054" s="3">
        <f>HOUR(CallLog[[#This Row],[Time]])</f>
        <v>14</v>
      </c>
      <c r="H4054" t="s">
        <v>32</v>
      </c>
      <c r="I4054" t="s">
        <v>14</v>
      </c>
      <c r="J4054" t="s">
        <v>18</v>
      </c>
      <c r="K4054">
        <v>118</v>
      </c>
      <c r="L4054" t="str">
        <f>IF(AND(CallLog[[#This Row],[Answered (Y/N)]]="Y", CallLog[[#This Row],[Speed of answer in seconds]]&lt;=20),
    "Within",
    "Breach")</f>
        <v>Breach</v>
      </c>
      <c r="M4054" s="1">
        <v>1.8171296296296297E-3</v>
      </c>
      <c r="N4054">
        <v>3</v>
      </c>
    </row>
    <row r="4055" spans="1:14" x14ac:dyDescent="0.3">
      <c r="A4055" t="s">
        <v>4149</v>
      </c>
      <c r="B4055" t="s">
        <v>20</v>
      </c>
      <c r="C4055" t="s">
        <v>4118</v>
      </c>
      <c r="D4055" s="1">
        <v>0.58400462962962962</v>
      </c>
      <c r="E4055" s="2">
        <f>CallLog[[#This Row],[Date]]+CallLog[[#This Row],[Time]]</f>
        <v>44267.584004629629</v>
      </c>
      <c r="F4055" s="1" t="str">
        <f>TEXT(CallLog[[#This Row],[Date]],"dddd")</f>
        <v>Friday</v>
      </c>
      <c r="G4055" s="3">
        <f>HOUR(CallLog[[#This Row],[Time]])</f>
        <v>14</v>
      </c>
      <c r="H4055" t="s">
        <v>29</v>
      </c>
      <c r="I4055" t="s">
        <v>14</v>
      </c>
      <c r="J4055" t="s">
        <v>14</v>
      </c>
      <c r="K4055">
        <v>105</v>
      </c>
      <c r="L4055" t="str">
        <f>IF(AND(CallLog[[#This Row],[Answered (Y/N)]]="Y", CallLog[[#This Row],[Speed of answer in seconds]]&lt;=20),
    "Within",
    "Breach")</f>
        <v>Breach</v>
      </c>
      <c r="M4055" s="1">
        <v>3.7962962962962963E-3</v>
      </c>
      <c r="N4055">
        <v>2</v>
      </c>
    </row>
    <row r="4056" spans="1:14" x14ac:dyDescent="0.3">
      <c r="A4056" t="s">
        <v>4150</v>
      </c>
      <c r="B4056" t="s">
        <v>34</v>
      </c>
      <c r="C4056" t="s">
        <v>4118</v>
      </c>
      <c r="D4056" s="1">
        <v>0.59599537037037043</v>
      </c>
      <c r="E4056" s="2">
        <f>CallLog[[#This Row],[Date]]+CallLog[[#This Row],[Time]]</f>
        <v>44267.595995370371</v>
      </c>
      <c r="F4056" s="1" t="str">
        <f>TEXT(CallLog[[#This Row],[Date]],"dddd")</f>
        <v>Friday</v>
      </c>
      <c r="G4056" s="3">
        <f>HOUR(CallLog[[#This Row],[Time]])</f>
        <v>14</v>
      </c>
      <c r="H4056" t="s">
        <v>17</v>
      </c>
      <c r="I4056" t="s">
        <v>14</v>
      </c>
      <c r="J4056" t="s">
        <v>14</v>
      </c>
      <c r="K4056">
        <v>117</v>
      </c>
      <c r="L4056" t="str">
        <f>IF(AND(CallLog[[#This Row],[Answered (Y/N)]]="Y", CallLog[[#This Row],[Speed of answer in seconds]]&lt;=20),
    "Within",
    "Breach")</f>
        <v>Breach</v>
      </c>
      <c r="M4056" s="1">
        <v>5.3240740740740744E-4</v>
      </c>
      <c r="N4056">
        <v>4</v>
      </c>
    </row>
    <row r="4057" spans="1:14" x14ac:dyDescent="0.3">
      <c r="A4057" t="s">
        <v>4151</v>
      </c>
      <c r="B4057" t="s">
        <v>38</v>
      </c>
      <c r="C4057" t="s">
        <v>4118</v>
      </c>
      <c r="D4057" s="1">
        <v>0.59599537037037043</v>
      </c>
      <c r="E4057" s="2">
        <f>CallLog[[#This Row],[Date]]+CallLog[[#This Row],[Time]]</f>
        <v>44267.595995370371</v>
      </c>
      <c r="F4057" s="1" t="str">
        <f>TEXT(CallLog[[#This Row],[Date]],"dddd")</f>
        <v>Friday</v>
      </c>
      <c r="G4057" s="3">
        <f>HOUR(CallLog[[#This Row],[Time]])</f>
        <v>14</v>
      </c>
      <c r="H4057" t="s">
        <v>24</v>
      </c>
      <c r="I4057" t="s">
        <v>14</v>
      </c>
      <c r="J4057" t="s">
        <v>18</v>
      </c>
      <c r="K4057">
        <v>16</v>
      </c>
      <c r="L4057" t="str">
        <f>IF(AND(CallLog[[#This Row],[Answered (Y/N)]]="Y", CallLog[[#This Row],[Speed of answer in seconds]]&lt;=20),
    "Within",
    "Breach")</f>
        <v>Within</v>
      </c>
      <c r="M4057" s="1">
        <v>2.4652777777777776E-3</v>
      </c>
      <c r="N4057">
        <v>4</v>
      </c>
    </row>
    <row r="4058" spans="1:14" x14ac:dyDescent="0.3">
      <c r="A4058" t="s">
        <v>4152</v>
      </c>
      <c r="B4058" t="s">
        <v>34</v>
      </c>
      <c r="C4058" t="s">
        <v>4118</v>
      </c>
      <c r="D4058" s="1">
        <v>0.60499999999999998</v>
      </c>
      <c r="E4058" s="2">
        <f>CallLog[[#This Row],[Date]]+CallLog[[#This Row],[Time]]</f>
        <v>44267.605000000003</v>
      </c>
      <c r="F4058" s="1" t="str">
        <f>TEXT(CallLog[[#This Row],[Date]],"dddd")</f>
        <v>Friday</v>
      </c>
      <c r="G4058" s="3">
        <f>HOUR(CallLog[[#This Row],[Time]])</f>
        <v>14</v>
      </c>
      <c r="H4058" t="s">
        <v>29</v>
      </c>
      <c r="I4058" t="s">
        <v>14</v>
      </c>
      <c r="J4058" t="s">
        <v>14</v>
      </c>
      <c r="K4058">
        <v>110</v>
      </c>
      <c r="L4058" t="str">
        <f>IF(AND(CallLog[[#This Row],[Answered (Y/N)]]="Y", CallLog[[#This Row],[Speed of answer in seconds]]&lt;=20),
    "Within",
    "Breach")</f>
        <v>Breach</v>
      </c>
      <c r="M4058" s="1">
        <v>1.4004629629629629E-3</v>
      </c>
      <c r="N4058">
        <v>5</v>
      </c>
    </row>
    <row r="4059" spans="1:14" x14ac:dyDescent="0.3">
      <c r="A4059" t="s">
        <v>4153</v>
      </c>
      <c r="B4059" t="s">
        <v>11</v>
      </c>
      <c r="C4059" t="s">
        <v>4118</v>
      </c>
      <c r="D4059" s="1">
        <v>0.60499999999999998</v>
      </c>
      <c r="E4059" s="2">
        <f>CallLog[[#This Row],[Date]]+CallLog[[#This Row],[Time]]</f>
        <v>44267.605000000003</v>
      </c>
      <c r="F4059" s="1" t="str">
        <f>TEXT(CallLog[[#This Row],[Date]],"dddd")</f>
        <v>Friday</v>
      </c>
      <c r="G4059" s="3">
        <f>HOUR(CallLog[[#This Row],[Time]])</f>
        <v>14</v>
      </c>
      <c r="H4059" t="s">
        <v>29</v>
      </c>
      <c r="I4059" t="s">
        <v>18</v>
      </c>
      <c r="J4059" t="s">
        <v>18</v>
      </c>
      <c r="L4059" t="str">
        <f>IF(AND(CallLog[[#This Row],[Answered (Y/N)]]="Y", CallLog[[#This Row],[Speed of answer in seconds]]&lt;=20),
    "Within",
    "Breach")</f>
        <v>Breach</v>
      </c>
    </row>
    <row r="4060" spans="1:14" x14ac:dyDescent="0.3">
      <c r="A4060" t="s">
        <v>4154</v>
      </c>
      <c r="B4060" t="s">
        <v>20</v>
      </c>
      <c r="C4060" t="s">
        <v>4118</v>
      </c>
      <c r="D4060" s="1">
        <v>0.60599537037037032</v>
      </c>
      <c r="E4060" s="2">
        <f>CallLog[[#This Row],[Date]]+CallLog[[#This Row],[Time]]</f>
        <v>44267.605995370373</v>
      </c>
      <c r="F4060" s="1" t="str">
        <f>TEXT(CallLog[[#This Row],[Date]],"dddd")</f>
        <v>Friday</v>
      </c>
      <c r="G4060" s="3">
        <f>HOUR(CallLog[[#This Row],[Time]])</f>
        <v>14</v>
      </c>
      <c r="H4060" t="s">
        <v>29</v>
      </c>
      <c r="I4060" t="s">
        <v>14</v>
      </c>
      <c r="J4060" t="s">
        <v>14</v>
      </c>
      <c r="K4060">
        <v>57</v>
      </c>
      <c r="L4060" t="str">
        <f>IF(AND(CallLog[[#This Row],[Answered (Y/N)]]="Y", CallLog[[#This Row],[Speed of answer in seconds]]&lt;=20),
    "Within",
    "Breach")</f>
        <v>Breach</v>
      </c>
      <c r="M4060" s="1">
        <v>1.4467592592592592E-3</v>
      </c>
      <c r="N4060">
        <v>5</v>
      </c>
    </row>
    <row r="4061" spans="1:14" x14ac:dyDescent="0.3">
      <c r="A4061" t="s">
        <v>4155</v>
      </c>
      <c r="B4061" t="s">
        <v>34</v>
      </c>
      <c r="C4061" t="s">
        <v>4118</v>
      </c>
      <c r="D4061" s="1">
        <v>0.60599537037037032</v>
      </c>
      <c r="E4061" s="2">
        <f>CallLog[[#This Row],[Date]]+CallLog[[#This Row],[Time]]</f>
        <v>44267.605995370373</v>
      </c>
      <c r="F4061" s="1" t="str">
        <f>TEXT(CallLog[[#This Row],[Date]],"dddd")</f>
        <v>Friday</v>
      </c>
      <c r="G4061" s="3">
        <f>HOUR(CallLog[[#This Row],[Time]])</f>
        <v>14</v>
      </c>
      <c r="H4061" t="s">
        <v>17</v>
      </c>
      <c r="I4061" t="s">
        <v>14</v>
      </c>
      <c r="J4061" t="s">
        <v>14</v>
      </c>
      <c r="K4061">
        <v>105</v>
      </c>
      <c r="L4061" t="str">
        <f>IF(AND(CallLog[[#This Row],[Answered (Y/N)]]="Y", CallLog[[#This Row],[Speed of answer in seconds]]&lt;=20),
    "Within",
    "Breach")</f>
        <v>Breach</v>
      </c>
      <c r="M4061" s="1">
        <v>4.7453703703703703E-3</v>
      </c>
      <c r="N4061">
        <v>3</v>
      </c>
    </row>
    <row r="4062" spans="1:14" x14ac:dyDescent="0.3">
      <c r="A4062" t="s">
        <v>4156</v>
      </c>
      <c r="B4062" t="s">
        <v>22</v>
      </c>
      <c r="C4062" t="s">
        <v>4118</v>
      </c>
      <c r="D4062" s="1">
        <v>0.62299768518518517</v>
      </c>
      <c r="E4062" s="2">
        <f>CallLog[[#This Row],[Date]]+CallLog[[#This Row],[Time]]</f>
        <v>44267.622997685183</v>
      </c>
      <c r="F4062" s="1" t="str">
        <f>TEXT(CallLog[[#This Row],[Date]],"dddd")</f>
        <v>Friday</v>
      </c>
      <c r="G4062" s="3">
        <f>HOUR(CallLog[[#This Row],[Time]])</f>
        <v>14</v>
      </c>
      <c r="H4062" t="s">
        <v>29</v>
      </c>
      <c r="I4062" t="s">
        <v>14</v>
      </c>
      <c r="J4062" t="s">
        <v>14</v>
      </c>
      <c r="K4062">
        <v>95</v>
      </c>
      <c r="L4062" t="str">
        <f>IF(AND(CallLog[[#This Row],[Answered (Y/N)]]="Y", CallLog[[#This Row],[Speed of answer in seconds]]&lt;=20),
    "Within",
    "Breach")</f>
        <v>Breach</v>
      </c>
      <c r="M4062" s="1">
        <v>4.3055555555555555E-3</v>
      </c>
      <c r="N4062">
        <v>5</v>
      </c>
    </row>
    <row r="4063" spans="1:14" x14ac:dyDescent="0.3">
      <c r="A4063" t="s">
        <v>4157</v>
      </c>
      <c r="B4063" t="s">
        <v>31</v>
      </c>
      <c r="C4063" t="s">
        <v>4118</v>
      </c>
      <c r="D4063" s="1">
        <v>0.62299768518518517</v>
      </c>
      <c r="E4063" s="2">
        <f>CallLog[[#This Row],[Date]]+CallLog[[#This Row],[Time]]</f>
        <v>44267.622997685183</v>
      </c>
      <c r="F4063" s="1" t="str">
        <f>TEXT(CallLog[[#This Row],[Date]],"dddd")</f>
        <v>Friday</v>
      </c>
      <c r="G4063" s="3">
        <f>HOUR(CallLog[[#This Row],[Time]])</f>
        <v>14</v>
      </c>
      <c r="H4063" t="s">
        <v>17</v>
      </c>
      <c r="I4063" t="s">
        <v>14</v>
      </c>
      <c r="J4063" t="s">
        <v>14</v>
      </c>
      <c r="K4063">
        <v>19</v>
      </c>
      <c r="L4063" t="str">
        <f>IF(AND(CallLog[[#This Row],[Answered (Y/N)]]="Y", CallLog[[#This Row],[Speed of answer in seconds]]&lt;=20),
    "Within",
    "Breach")</f>
        <v>Within</v>
      </c>
      <c r="M4063" s="1">
        <v>4.0162037037037041E-3</v>
      </c>
      <c r="N4063">
        <v>2</v>
      </c>
    </row>
    <row r="4064" spans="1:14" x14ac:dyDescent="0.3">
      <c r="A4064" t="s">
        <v>4158</v>
      </c>
      <c r="B4064" t="s">
        <v>16</v>
      </c>
      <c r="C4064" t="s">
        <v>4118</v>
      </c>
      <c r="D4064" s="1">
        <v>0.67099537037037038</v>
      </c>
      <c r="E4064" s="2">
        <f>CallLog[[#This Row],[Date]]+CallLog[[#This Row],[Time]]</f>
        <v>44267.670995370368</v>
      </c>
      <c r="F4064" s="1" t="str">
        <f>TEXT(CallLog[[#This Row],[Date]],"dddd")</f>
        <v>Friday</v>
      </c>
      <c r="G4064" s="3">
        <f>HOUR(CallLog[[#This Row],[Time]])</f>
        <v>16</v>
      </c>
      <c r="H4064" t="s">
        <v>17</v>
      </c>
      <c r="I4064" t="s">
        <v>14</v>
      </c>
      <c r="J4064" t="s">
        <v>14</v>
      </c>
      <c r="K4064">
        <v>25</v>
      </c>
      <c r="L4064" t="str">
        <f>IF(AND(CallLog[[#This Row],[Answered (Y/N)]]="Y", CallLog[[#This Row],[Speed of answer in seconds]]&lt;=20),
    "Within",
    "Breach")</f>
        <v>Breach</v>
      </c>
      <c r="M4064" s="1">
        <v>3.5879629629629629E-3</v>
      </c>
      <c r="N4064">
        <v>3</v>
      </c>
    </row>
    <row r="4065" spans="1:14" x14ac:dyDescent="0.3">
      <c r="A4065" t="s">
        <v>4159</v>
      </c>
      <c r="B4065" t="s">
        <v>16</v>
      </c>
      <c r="C4065" t="s">
        <v>4118</v>
      </c>
      <c r="D4065" s="1">
        <v>0.67099537037037038</v>
      </c>
      <c r="E4065" s="2">
        <f>CallLog[[#This Row],[Date]]+CallLog[[#This Row],[Time]]</f>
        <v>44267.670995370368</v>
      </c>
      <c r="F4065" s="1" t="str">
        <f>TEXT(CallLog[[#This Row],[Date]],"dddd")</f>
        <v>Friday</v>
      </c>
      <c r="G4065" s="3">
        <f>HOUR(CallLog[[#This Row],[Time]])</f>
        <v>16</v>
      </c>
      <c r="H4065" t="s">
        <v>32</v>
      </c>
      <c r="I4065" t="s">
        <v>14</v>
      </c>
      <c r="J4065" t="s">
        <v>18</v>
      </c>
      <c r="K4065">
        <v>65</v>
      </c>
      <c r="L4065" t="str">
        <f>IF(AND(CallLog[[#This Row],[Answered (Y/N)]]="Y", CallLog[[#This Row],[Speed of answer in seconds]]&lt;=20),
    "Within",
    "Breach")</f>
        <v>Breach</v>
      </c>
      <c r="M4065" s="1">
        <v>1.4699074074074074E-3</v>
      </c>
      <c r="N4065">
        <v>2</v>
      </c>
    </row>
    <row r="4066" spans="1:14" x14ac:dyDescent="0.3">
      <c r="A4066" t="s">
        <v>4160</v>
      </c>
      <c r="B4066" t="s">
        <v>31</v>
      </c>
      <c r="C4066" t="s">
        <v>4118</v>
      </c>
      <c r="D4066" s="1">
        <v>0.68299768518518522</v>
      </c>
      <c r="E4066" s="2">
        <f>CallLog[[#This Row],[Date]]+CallLog[[#This Row],[Time]]</f>
        <v>44267.682997685188</v>
      </c>
      <c r="F4066" s="1" t="str">
        <f>TEXT(CallLog[[#This Row],[Date]],"dddd")</f>
        <v>Friday</v>
      </c>
      <c r="G4066" s="3">
        <f>HOUR(CallLog[[#This Row],[Time]])</f>
        <v>16</v>
      </c>
      <c r="H4066" t="s">
        <v>17</v>
      </c>
      <c r="I4066" t="s">
        <v>14</v>
      </c>
      <c r="J4066" t="s">
        <v>14</v>
      </c>
      <c r="K4066">
        <v>27</v>
      </c>
      <c r="L4066" t="str">
        <f>IF(AND(CallLog[[#This Row],[Answered (Y/N)]]="Y", CallLog[[#This Row],[Speed of answer in seconds]]&lt;=20),
    "Within",
    "Breach")</f>
        <v>Breach</v>
      </c>
      <c r="M4066" s="1">
        <v>1.9444444444444444E-3</v>
      </c>
      <c r="N4066">
        <v>1</v>
      </c>
    </row>
    <row r="4067" spans="1:14" x14ac:dyDescent="0.3">
      <c r="A4067" t="s">
        <v>4161</v>
      </c>
      <c r="B4067" t="s">
        <v>31</v>
      </c>
      <c r="C4067" t="s">
        <v>4118</v>
      </c>
      <c r="D4067" s="1">
        <v>0.68299768518518522</v>
      </c>
      <c r="E4067" s="2">
        <f>CallLog[[#This Row],[Date]]+CallLog[[#This Row],[Time]]</f>
        <v>44267.682997685188</v>
      </c>
      <c r="F4067" s="1" t="str">
        <f>TEXT(CallLog[[#This Row],[Date]],"dddd")</f>
        <v>Friday</v>
      </c>
      <c r="G4067" s="3">
        <f>HOUR(CallLog[[#This Row],[Time]])</f>
        <v>16</v>
      </c>
      <c r="H4067" t="s">
        <v>13</v>
      </c>
      <c r="I4067" t="s">
        <v>14</v>
      </c>
      <c r="J4067" t="s">
        <v>14</v>
      </c>
      <c r="K4067">
        <v>107</v>
      </c>
      <c r="L4067" t="str">
        <f>IF(AND(CallLog[[#This Row],[Answered (Y/N)]]="Y", CallLog[[#This Row],[Speed of answer in seconds]]&lt;=20),
    "Within",
    "Breach")</f>
        <v>Breach</v>
      </c>
      <c r="M4067" s="1">
        <v>1.6550925925925926E-3</v>
      </c>
      <c r="N4067">
        <v>1</v>
      </c>
    </row>
    <row r="4068" spans="1:14" x14ac:dyDescent="0.3">
      <c r="A4068" t="s">
        <v>4162</v>
      </c>
      <c r="B4068" t="s">
        <v>16</v>
      </c>
      <c r="C4068" t="s">
        <v>4118</v>
      </c>
      <c r="D4068" s="1">
        <v>0.70900462962962962</v>
      </c>
      <c r="E4068" s="2">
        <f>CallLog[[#This Row],[Date]]+CallLog[[#This Row],[Time]]</f>
        <v>44267.709004629629</v>
      </c>
      <c r="F4068" s="1" t="str">
        <f>TEXT(CallLog[[#This Row],[Date]],"dddd")</f>
        <v>Friday</v>
      </c>
      <c r="G4068" s="3">
        <f>HOUR(CallLog[[#This Row],[Time]])</f>
        <v>17</v>
      </c>
      <c r="H4068" t="s">
        <v>29</v>
      </c>
      <c r="I4068" t="s">
        <v>14</v>
      </c>
      <c r="J4068" t="s">
        <v>14</v>
      </c>
      <c r="K4068">
        <v>90</v>
      </c>
      <c r="L4068" t="str">
        <f>IF(AND(CallLog[[#This Row],[Answered (Y/N)]]="Y", CallLog[[#This Row],[Speed of answer in seconds]]&lt;=20),
    "Within",
    "Breach")</f>
        <v>Breach</v>
      </c>
      <c r="M4068" s="1">
        <v>2.5347222222222221E-3</v>
      </c>
      <c r="N4068">
        <v>3</v>
      </c>
    </row>
    <row r="4069" spans="1:14" x14ac:dyDescent="0.3">
      <c r="A4069" t="s">
        <v>4163</v>
      </c>
      <c r="B4069" t="s">
        <v>16</v>
      </c>
      <c r="C4069" t="s">
        <v>4118</v>
      </c>
      <c r="D4069" s="1">
        <v>0.70900462962962962</v>
      </c>
      <c r="E4069" s="2">
        <f>CallLog[[#This Row],[Date]]+CallLog[[#This Row],[Time]]</f>
        <v>44267.709004629629</v>
      </c>
      <c r="F4069" s="1" t="str">
        <f>TEXT(CallLog[[#This Row],[Date]],"dddd")</f>
        <v>Friday</v>
      </c>
      <c r="G4069" s="3">
        <f>HOUR(CallLog[[#This Row],[Time]])</f>
        <v>17</v>
      </c>
      <c r="H4069" t="s">
        <v>24</v>
      </c>
      <c r="I4069" t="s">
        <v>14</v>
      </c>
      <c r="J4069" t="s">
        <v>14</v>
      </c>
      <c r="K4069">
        <v>45</v>
      </c>
      <c r="L4069" t="str">
        <f>IF(AND(CallLog[[#This Row],[Answered (Y/N)]]="Y", CallLog[[#This Row],[Speed of answer in seconds]]&lt;=20),
    "Within",
    "Breach")</f>
        <v>Breach</v>
      </c>
      <c r="M4069" s="1">
        <v>1.0532407407407407E-3</v>
      </c>
      <c r="N4069">
        <v>3</v>
      </c>
    </row>
    <row r="4070" spans="1:14" x14ac:dyDescent="0.3">
      <c r="A4070" t="s">
        <v>4164</v>
      </c>
      <c r="B4070" t="s">
        <v>47</v>
      </c>
      <c r="C4070" t="s">
        <v>4118</v>
      </c>
      <c r="D4070" s="1">
        <v>0.71599537037037042</v>
      </c>
      <c r="E4070" s="2">
        <f>CallLog[[#This Row],[Date]]+CallLog[[#This Row],[Time]]</f>
        <v>44267.715995370374</v>
      </c>
      <c r="F4070" s="1" t="str">
        <f>TEXT(CallLog[[#This Row],[Date]],"dddd")</f>
        <v>Friday</v>
      </c>
      <c r="G4070" s="3">
        <f>HOUR(CallLog[[#This Row],[Time]])</f>
        <v>17</v>
      </c>
      <c r="H4070" t="s">
        <v>24</v>
      </c>
      <c r="I4070" t="s">
        <v>14</v>
      </c>
      <c r="J4070" t="s">
        <v>14</v>
      </c>
      <c r="K4070">
        <v>39</v>
      </c>
      <c r="L4070" t="str">
        <f>IF(AND(CallLog[[#This Row],[Answered (Y/N)]]="Y", CallLog[[#This Row],[Speed of answer in seconds]]&lt;=20),
    "Within",
    "Breach")</f>
        <v>Breach</v>
      </c>
      <c r="M4070" s="1">
        <v>3.9699074074074072E-3</v>
      </c>
      <c r="N4070">
        <v>4</v>
      </c>
    </row>
    <row r="4071" spans="1:14" x14ac:dyDescent="0.3">
      <c r="A4071" t="s">
        <v>4165</v>
      </c>
      <c r="B4071" t="s">
        <v>34</v>
      </c>
      <c r="C4071" t="s">
        <v>4118</v>
      </c>
      <c r="D4071" s="1">
        <v>0.71599537037037042</v>
      </c>
      <c r="E4071" s="2">
        <f>CallLog[[#This Row],[Date]]+CallLog[[#This Row],[Time]]</f>
        <v>44267.715995370374</v>
      </c>
      <c r="F4071" s="1" t="str">
        <f>TEXT(CallLog[[#This Row],[Date]],"dddd")</f>
        <v>Friday</v>
      </c>
      <c r="G4071" s="3">
        <f>HOUR(CallLog[[#This Row],[Time]])</f>
        <v>17</v>
      </c>
      <c r="H4071" t="s">
        <v>32</v>
      </c>
      <c r="I4071" t="s">
        <v>14</v>
      </c>
      <c r="J4071" t="s">
        <v>14</v>
      </c>
      <c r="K4071">
        <v>63</v>
      </c>
      <c r="L4071" t="str">
        <f>IF(AND(CallLog[[#This Row],[Answered (Y/N)]]="Y", CallLog[[#This Row],[Speed of answer in seconds]]&lt;=20),
    "Within",
    "Breach")</f>
        <v>Breach</v>
      </c>
      <c r="M4071" s="1">
        <v>3.2754629629629631E-3</v>
      </c>
      <c r="N4071">
        <v>5</v>
      </c>
    </row>
    <row r="4072" spans="1:14" x14ac:dyDescent="0.3">
      <c r="A4072" t="s">
        <v>4166</v>
      </c>
      <c r="B4072" t="s">
        <v>22</v>
      </c>
      <c r="C4072" t="s">
        <v>4118</v>
      </c>
      <c r="D4072" s="1">
        <v>0.745</v>
      </c>
      <c r="E4072" s="2">
        <f>CallLog[[#This Row],[Date]]+CallLog[[#This Row],[Time]]</f>
        <v>44267.745000000003</v>
      </c>
      <c r="F4072" s="1" t="str">
        <f>TEXT(CallLog[[#This Row],[Date]],"dddd")</f>
        <v>Friday</v>
      </c>
      <c r="G4072" s="3">
        <f>HOUR(CallLog[[#This Row],[Time]])</f>
        <v>17</v>
      </c>
      <c r="H4072" t="s">
        <v>29</v>
      </c>
      <c r="I4072" t="s">
        <v>14</v>
      </c>
      <c r="J4072" t="s">
        <v>18</v>
      </c>
      <c r="K4072">
        <v>95</v>
      </c>
      <c r="L4072" t="str">
        <f>IF(AND(CallLog[[#This Row],[Answered (Y/N)]]="Y", CallLog[[#This Row],[Speed of answer in seconds]]&lt;=20),
    "Within",
    "Breach")</f>
        <v>Breach</v>
      </c>
      <c r="M4072" s="1">
        <v>4.3981481481481481E-4</v>
      </c>
      <c r="N4072">
        <v>1</v>
      </c>
    </row>
    <row r="4073" spans="1:14" x14ac:dyDescent="0.3">
      <c r="A4073" t="s">
        <v>4167</v>
      </c>
      <c r="B4073" t="s">
        <v>34</v>
      </c>
      <c r="C4073" t="s">
        <v>4118</v>
      </c>
      <c r="D4073" s="1">
        <v>0.745</v>
      </c>
      <c r="E4073" s="2">
        <f>CallLog[[#This Row],[Date]]+CallLog[[#This Row],[Time]]</f>
        <v>44267.745000000003</v>
      </c>
      <c r="F4073" s="1" t="str">
        <f>TEXT(CallLog[[#This Row],[Date]],"dddd")</f>
        <v>Friday</v>
      </c>
      <c r="G4073" s="3">
        <f>HOUR(CallLog[[#This Row],[Time]])</f>
        <v>17</v>
      </c>
      <c r="H4073" t="s">
        <v>29</v>
      </c>
      <c r="I4073" t="s">
        <v>14</v>
      </c>
      <c r="J4073" t="s">
        <v>14</v>
      </c>
      <c r="K4073">
        <v>39</v>
      </c>
      <c r="L4073" t="str">
        <f>IF(AND(CallLog[[#This Row],[Answered (Y/N)]]="Y", CallLog[[#This Row],[Speed of answer in seconds]]&lt;=20),
    "Within",
    "Breach")</f>
        <v>Breach</v>
      </c>
      <c r="M4073" s="1">
        <v>3.7499999999999999E-3</v>
      </c>
      <c r="N4073">
        <v>4</v>
      </c>
    </row>
    <row r="4074" spans="1:14" x14ac:dyDescent="0.3">
      <c r="A4074" t="s">
        <v>4168</v>
      </c>
      <c r="B4074" t="s">
        <v>11</v>
      </c>
      <c r="C4074" t="s">
        <v>4169</v>
      </c>
      <c r="D4074" s="1">
        <v>0.37700231481481483</v>
      </c>
      <c r="E4074" s="2">
        <f>CallLog[[#This Row],[Date]]+CallLog[[#This Row],[Time]]</f>
        <v>44268.377002314817</v>
      </c>
      <c r="F4074" s="1" t="str">
        <f>TEXT(CallLog[[#This Row],[Date]],"dddd")</f>
        <v>Saturday</v>
      </c>
      <c r="G4074" s="3">
        <f>HOUR(CallLog[[#This Row],[Time]])</f>
        <v>9</v>
      </c>
      <c r="H4074" t="s">
        <v>29</v>
      </c>
      <c r="I4074" t="s">
        <v>18</v>
      </c>
      <c r="J4074" t="s">
        <v>18</v>
      </c>
      <c r="L4074" t="str">
        <f>IF(AND(CallLog[[#This Row],[Answered (Y/N)]]="Y", CallLog[[#This Row],[Speed of answer in seconds]]&lt;=20),
    "Within",
    "Breach")</f>
        <v>Breach</v>
      </c>
    </row>
    <row r="4075" spans="1:14" x14ac:dyDescent="0.3">
      <c r="A4075" t="s">
        <v>4170</v>
      </c>
      <c r="B4075" t="s">
        <v>38</v>
      </c>
      <c r="C4075" t="s">
        <v>4169</v>
      </c>
      <c r="D4075" s="1">
        <v>0.37700231481481483</v>
      </c>
      <c r="E4075" s="2">
        <f>CallLog[[#This Row],[Date]]+CallLog[[#This Row],[Time]]</f>
        <v>44268.377002314817</v>
      </c>
      <c r="F4075" s="1" t="str">
        <f>TEXT(CallLog[[#This Row],[Date]],"dddd")</f>
        <v>Saturday</v>
      </c>
      <c r="G4075" s="3">
        <f>HOUR(CallLog[[#This Row],[Time]])</f>
        <v>9</v>
      </c>
      <c r="H4075" t="s">
        <v>29</v>
      </c>
      <c r="I4075" t="s">
        <v>18</v>
      </c>
      <c r="J4075" t="s">
        <v>18</v>
      </c>
      <c r="L4075" t="str">
        <f>IF(AND(CallLog[[#This Row],[Answered (Y/N)]]="Y", CallLog[[#This Row],[Speed of answer in seconds]]&lt;=20),
    "Within",
    "Breach")</f>
        <v>Breach</v>
      </c>
    </row>
    <row r="4076" spans="1:14" x14ac:dyDescent="0.3">
      <c r="A4076" t="s">
        <v>4171</v>
      </c>
      <c r="B4076" t="s">
        <v>38</v>
      </c>
      <c r="C4076" t="s">
        <v>4169</v>
      </c>
      <c r="D4076" s="1">
        <v>0.37700231481481483</v>
      </c>
      <c r="E4076" s="2">
        <f>CallLog[[#This Row],[Date]]+CallLog[[#This Row],[Time]]</f>
        <v>44268.377002314817</v>
      </c>
      <c r="F4076" s="1" t="str">
        <f>TEXT(CallLog[[#This Row],[Date]],"dddd")</f>
        <v>Saturday</v>
      </c>
      <c r="G4076" s="3">
        <f>HOUR(CallLog[[#This Row],[Time]])</f>
        <v>9</v>
      </c>
      <c r="H4076" t="s">
        <v>29</v>
      </c>
      <c r="I4076" t="s">
        <v>14</v>
      </c>
      <c r="J4076" t="s">
        <v>14</v>
      </c>
      <c r="K4076">
        <v>125</v>
      </c>
      <c r="L4076" t="str">
        <f>IF(AND(CallLog[[#This Row],[Answered (Y/N)]]="Y", CallLog[[#This Row],[Speed of answer in seconds]]&lt;=20),
    "Within",
    "Breach")</f>
        <v>Breach</v>
      </c>
      <c r="M4076" s="1">
        <v>6.9444444444444447E-4</v>
      </c>
      <c r="N4076">
        <v>3</v>
      </c>
    </row>
    <row r="4077" spans="1:14" x14ac:dyDescent="0.3">
      <c r="A4077" t="s">
        <v>4172</v>
      </c>
      <c r="B4077" t="s">
        <v>38</v>
      </c>
      <c r="C4077" t="s">
        <v>4169</v>
      </c>
      <c r="D4077" s="1">
        <v>0.37700231481481483</v>
      </c>
      <c r="E4077" s="2">
        <f>CallLog[[#This Row],[Date]]+CallLog[[#This Row],[Time]]</f>
        <v>44268.377002314817</v>
      </c>
      <c r="F4077" s="1" t="str">
        <f>TEXT(CallLog[[#This Row],[Date]],"dddd")</f>
        <v>Saturday</v>
      </c>
      <c r="G4077" s="3">
        <f>HOUR(CallLog[[#This Row],[Time]])</f>
        <v>9</v>
      </c>
      <c r="H4077" t="s">
        <v>17</v>
      </c>
      <c r="I4077" t="s">
        <v>14</v>
      </c>
      <c r="J4077" t="s">
        <v>14</v>
      </c>
      <c r="K4077">
        <v>73</v>
      </c>
      <c r="L4077" t="str">
        <f>IF(AND(CallLog[[#This Row],[Answered (Y/N)]]="Y", CallLog[[#This Row],[Speed of answer in seconds]]&lt;=20),
    "Within",
    "Breach")</f>
        <v>Breach</v>
      </c>
      <c r="M4077" s="1">
        <v>1.0416666666666667E-3</v>
      </c>
      <c r="N4077">
        <v>4</v>
      </c>
    </row>
    <row r="4078" spans="1:14" x14ac:dyDescent="0.3">
      <c r="A4078" t="s">
        <v>4173</v>
      </c>
      <c r="B4078" t="s">
        <v>22</v>
      </c>
      <c r="C4078" t="s">
        <v>4169</v>
      </c>
      <c r="D4078" s="1">
        <v>0.4020023148148148</v>
      </c>
      <c r="E4078" s="2">
        <f>CallLog[[#This Row],[Date]]+CallLog[[#This Row],[Time]]</f>
        <v>44268.402002314811</v>
      </c>
      <c r="F4078" s="1" t="str">
        <f>TEXT(CallLog[[#This Row],[Date]],"dddd")</f>
        <v>Saturday</v>
      </c>
      <c r="G4078" s="3">
        <f>HOUR(CallLog[[#This Row],[Time]])</f>
        <v>9</v>
      </c>
      <c r="H4078" t="s">
        <v>29</v>
      </c>
      <c r="I4078" t="s">
        <v>14</v>
      </c>
      <c r="J4078" t="s">
        <v>14</v>
      </c>
      <c r="K4078">
        <v>116</v>
      </c>
      <c r="L4078" t="str">
        <f>IF(AND(CallLog[[#This Row],[Answered (Y/N)]]="Y", CallLog[[#This Row],[Speed of answer in seconds]]&lt;=20),
    "Within",
    "Breach")</f>
        <v>Breach</v>
      </c>
      <c r="M4078" s="1">
        <v>6.4814814814814813E-4</v>
      </c>
      <c r="N4078">
        <v>4</v>
      </c>
    </row>
    <row r="4079" spans="1:14" x14ac:dyDescent="0.3">
      <c r="A4079" t="s">
        <v>4174</v>
      </c>
      <c r="B4079" t="s">
        <v>34</v>
      </c>
      <c r="C4079" t="s">
        <v>4169</v>
      </c>
      <c r="D4079" s="1">
        <v>0.4020023148148148</v>
      </c>
      <c r="E4079" s="2">
        <f>CallLog[[#This Row],[Date]]+CallLog[[#This Row],[Time]]</f>
        <v>44268.402002314811</v>
      </c>
      <c r="F4079" s="1" t="str">
        <f>TEXT(CallLog[[#This Row],[Date]],"dddd")</f>
        <v>Saturday</v>
      </c>
      <c r="G4079" s="3">
        <f>HOUR(CallLog[[#This Row],[Time]])</f>
        <v>9</v>
      </c>
      <c r="H4079" t="s">
        <v>17</v>
      </c>
      <c r="I4079" t="s">
        <v>14</v>
      </c>
      <c r="J4079" t="s">
        <v>14</v>
      </c>
      <c r="K4079">
        <v>115</v>
      </c>
      <c r="L4079" t="str">
        <f>IF(AND(CallLog[[#This Row],[Answered (Y/N)]]="Y", CallLog[[#This Row],[Speed of answer in seconds]]&lt;=20),
    "Within",
    "Breach")</f>
        <v>Breach</v>
      </c>
      <c r="M4079" s="1">
        <v>1.6319444444444445E-3</v>
      </c>
      <c r="N4079">
        <v>2</v>
      </c>
    </row>
    <row r="4080" spans="1:14" x14ac:dyDescent="0.3">
      <c r="A4080" t="s">
        <v>4175</v>
      </c>
      <c r="B4080" t="s">
        <v>34</v>
      </c>
      <c r="C4080" t="s">
        <v>4169</v>
      </c>
      <c r="D4080" s="1">
        <v>0.45099537037037035</v>
      </c>
      <c r="E4080" s="2">
        <f>CallLog[[#This Row],[Date]]+CallLog[[#This Row],[Time]]</f>
        <v>44268.450995370367</v>
      </c>
      <c r="F4080" s="1" t="str">
        <f>TEXT(CallLog[[#This Row],[Date]],"dddd")</f>
        <v>Saturday</v>
      </c>
      <c r="G4080" s="3">
        <f>HOUR(CallLog[[#This Row],[Time]])</f>
        <v>10</v>
      </c>
      <c r="H4080" t="s">
        <v>29</v>
      </c>
      <c r="I4080" t="s">
        <v>18</v>
      </c>
      <c r="J4080" t="s">
        <v>18</v>
      </c>
      <c r="L4080" t="str">
        <f>IF(AND(CallLog[[#This Row],[Answered (Y/N)]]="Y", CallLog[[#This Row],[Speed of answer in seconds]]&lt;=20),
    "Within",
    "Breach")</f>
        <v>Breach</v>
      </c>
    </row>
    <row r="4081" spans="1:14" x14ac:dyDescent="0.3">
      <c r="A4081" t="s">
        <v>4176</v>
      </c>
      <c r="B4081" t="s">
        <v>20</v>
      </c>
      <c r="C4081" t="s">
        <v>4169</v>
      </c>
      <c r="D4081" s="1">
        <v>0.45099537037037035</v>
      </c>
      <c r="E4081" s="2">
        <f>CallLog[[#This Row],[Date]]+CallLog[[#This Row],[Time]]</f>
        <v>44268.450995370367</v>
      </c>
      <c r="F4081" s="1" t="str">
        <f>TEXT(CallLog[[#This Row],[Date]],"dddd")</f>
        <v>Saturday</v>
      </c>
      <c r="G4081" s="3">
        <f>HOUR(CallLog[[#This Row],[Time]])</f>
        <v>10</v>
      </c>
      <c r="H4081" t="s">
        <v>24</v>
      </c>
      <c r="I4081" t="s">
        <v>14</v>
      </c>
      <c r="J4081" t="s">
        <v>14</v>
      </c>
      <c r="K4081">
        <v>56</v>
      </c>
      <c r="L4081" t="str">
        <f>IF(AND(CallLog[[#This Row],[Answered (Y/N)]]="Y", CallLog[[#This Row],[Speed of answer in seconds]]&lt;=20),
    "Within",
    "Breach")</f>
        <v>Breach</v>
      </c>
      <c r="M4081" s="1">
        <v>4.2476851851851851E-3</v>
      </c>
      <c r="N4081">
        <v>2</v>
      </c>
    </row>
    <row r="4082" spans="1:14" x14ac:dyDescent="0.3">
      <c r="A4082" t="s">
        <v>4177</v>
      </c>
      <c r="B4082" t="s">
        <v>47</v>
      </c>
      <c r="C4082" t="s">
        <v>4169</v>
      </c>
      <c r="D4082" s="1">
        <v>0.46900462962962963</v>
      </c>
      <c r="E4082" s="2">
        <f>CallLog[[#This Row],[Date]]+CallLog[[#This Row],[Time]]</f>
        <v>44268.469004629631</v>
      </c>
      <c r="F4082" s="1" t="str">
        <f>TEXT(CallLog[[#This Row],[Date]],"dddd")</f>
        <v>Saturday</v>
      </c>
      <c r="G4082" s="3">
        <f>HOUR(CallLog[[#This Row],[Time]])</f>
        <v>11</v>
      </c>
      <c r="H4082" t="s">
        <v>17</v>
      </c>
      <c r="I4082" t="s">
        <v>14</v>
      </c>
      <c r="J4082" t="s">
        <v>14</v>
      </c>
      <c r="K4082">
        <v>123</v>
      </c>
      <c r="L4082" t="str">
        <f>IF(AND(CallLog[[#This Row],[Answered (Y/N)]]="Y", CallLog[[#This Row],[Speed of answer in seconds]]&lt;=20),
    "Within",
    "Breach")</f>
        <v>Breach</v>
      </c>
      <c r="M4082" s="1">
        <v>1.8402777777777777E-3</v>
      </c>
      <c r="N4082">
        <v>2</v>
      </c>
    </row>
    <row r="4083" spans="1:14" x14ac:dyDescent="0.3">
      <c r="A4083" t="s">
        <v>4178</v>
      </c>
      <c r="B4083" t="s">
        <v>16</v>
      </c>
      <c r="C4083" t="s">
        <v>4169</v>
      </c>
      <c r="D4083" s="1">
        <v>0.46900462962962963</v>
      </c>
      <c r="E4083" s="2">
        <f>CallLog[[#This Row],[Date]]+CallLog[[#This Row],[Time]]</f>
        <v>44268.469004629631</v>
      </c>
      <c r="F4083" s="1" t="str">
        <f>TEXT(CallLog[[#This Row],[Date]],"dddd")</f>
        <v>Saturday</v>
      </c>
      <c r="G4083" s="3">
        <f>HOUR(CallLog[[#This Row],[Time]])</f>
        <v>11</v>
      </c>
      <c r="H4083" t="s">
        <v>29</v>
      </c>
      <c r="I4083" t="s">
        <v>14</v>
      </c>
      <c r="J4083" t="s">
        <v>14</v>
      </c>
      <c r="K4083">
        <v>36</v>
      </c>
      <c r="L4083" t="str">
        <f>IF(AND(CallLog[[#This Row],[Answered (Y/N)]]="Y", CallLog[[#This Row],[Speed of answer in seconds]]&lt;=20),
    "Within",
    "Breach")</f>
        <v>Breach</v>
      </c>
      <c r="M4083" s="1">
        <v>5.7870370370370367E-4</v>
      </c>
      <c r="N4083">
        <v>1</v>
      </c>
    </row>
    <row r="4084" spans="1:14" x14ac:dyDescent="0.3">
      <c r="A4084" t="s">
        <v>4179</v>
      </c>
      <c r="B4084" t="s">
        <v>22</v>
      </c>
      <c r="C4084" t="s">
        <v>4169</v>
      </c>
      <c r="D4084" s="1">
        <v>0.47799768518518521</v>
      </c>
      <c r="E4084" s="2">
        <f>CallLog[[#This Row],[Date]]+CallLog[[#This Row],[Time]]</f>
        <v>44268.477997685186</v>
      </c>
      <c r="F4084" s="1" t="str">
        <f>TEXT(CallLog[[#This Row],[Date]],"dddd")</f>
        <v>Saturday</v>
      </c>
      <c r="G4084" s="3">
        <f>HOUR(CallLog[[#This Row],[Time]])</f>
        <v>11</v>
      </c>
      <c r="H4084" t="s">
        <v>17</v>
      </c>
      <c r="I4084" t="s">
        <v>14</v>
      </c>
      <c r="J4084" t="s">
        <v>14</v>
      </c>
      <c r="K4084">
        <v>84</v>
      </c>
      <c r="L4084" t="str">
        <f>IF(AND(CallLog[[#This Row],[Answered (Y/N)]]="Y", CallLog[[#This Row],[Speed of answer in seconds]]&lt;=20),
    "Within",
    "Breach")</f>
        <v>Breach</v>
      </c>
      <c r="M4084" s="1">
        <v>1.0763888888888889E-3</v>
      </c>
      <c r="N4084">
        <v>5</v>
      </c>
    </row>
    <row r="4085" spans="1:14" x14ac:dyDescent="0.3">
      <c r="A4085" t="s">
        <v>4180</v>
      </c>
      <c r="B4085" t="s">
        <v>38</v>
      </c>
      <c r="C4085" t="s">
        <v>4169</v>
      </c>
      <c r="D4085" s="1">
        <v>0.47799768518518521</v>
      </c>
      <c r="E4085" s="2">
        <f>CallLog[[#This Row],[Date]]+CallLog[[#This Row],[Time]]</f>
        <v>44268.477997685186</v>
      </c>
      <c r="F4085" s="1" t="str">
        <f>TEXT(CallLog[[#This Row],[Date]],"dddd")</f>
        <v>Saturday</v>
      </c>
      <c r="G4085" s="3">
        <f>HOUR(CallLog[[#This Row],[Time]])</f>
        <v>11</v>
      </c>
      <c r="H4085" t="s">
        <v>32</v>
      </c>
      <c r="I4085" t="s">
        <v>14</v>
      </c>
      <c r="J4085" t="s">
        <v>14</v>
      </c>
      <c r="K4085">
        <v>74</v>
      </c>
      <c r="L4085" t="str">
        <f>IF(AND(CallLog[[#This Row],[Answered (Y/N)]]="Y", CallLog[[#This Row],[Speed of answer in seconds]]&lt;=20),
    "Within",
    "Breach")</f>
        <v>Breach</v>
      </c>
      <c r="M4085" s="1">
        <v>2.0949074074074073E-3</v>
      </c>
      <c r="N4085">
        <v>3</v>
      </c>
    </row>
    <row r="4086" spans="1:14" x14ac:dyDescent="0.3">
      <c r="A4086" t="s">
        <v>4181</v>
      </c>
      <c r="B4086" t="s">
        <v>31</v>
      </c>
      <c r="C4086" t="s">
        <v>4169</v>
      </c>
      <c r="D4086" s="1">
        <v>0.48499999999999999</v>
      </c>
      <c r="E4086" s="2">
        <f>CallLog[[#This Row],[Date]]+CallLog[[#This Row],[Time]]</f>
        <v>44268.485000000001</v>
      </c>
      <c r="F4086" s="1" t="str">
        <f>TEXT(CallLog[[#This Row],[Date]],"dddd")</f>
        <v>Saturday</v>
      </c>
      <c r="G4086" s="3">
        <f>HOUR(CallLog[[#This Row],[Time]])</f>
        <v>11</v>
      </c>
      <c r="H4086" t="s">
        <v>32</v>
      </c>
      <c r="I4086" t="s">
        <v>14</v>
      </c>
      <c r="J4086" t="s">
        <v>14</v>
      </c>
      <c r="K4086">
        <v>20</v>
      </c>
      <c r="L4086" t="str">
        <f>IF(AND(CallLog[[#This Row],[Answered (Y/N)]]="Y", CallLog[[#This Row],[Speed of answer in seconds]]&lt;=20),
    "Within",
    "Breach")</f>
        <v>Within</v>
      </c>
      <c r="M4086" s="1">
        <v>2.9629629629629628E-3</v>
      </c>
      <c r="N4086">
        <v>5</v>
      </c>
    </row>
    <row r="4087" spans="1:14" x14ac:dyDescent="0.3">
      <c r="A4087" t="s">
        <v>4182</v>
      </c>
      <c r="B4087" t="s">
        <v>38</v>
      </c>
      <c r="C4087" t="s">
        <v>4169</v>
      </c>
      <c r="D4087" s="1">
        <v>0.48499999999999999</v>
      </c>
      <c r="E4087" s="2">
        <f>CallLog[[#This Row],[Date]]+CallLog[[#This Row],[Time]]</f>
        <v>44268.485000000001</v>
      </c>
      <c r="F4087" s="1" t="str">
        <f>TEXT(CallLog[[#This Row],[Date]],"dddd")</f>
        <v>Saturday</v>
      </c>
      <c r="G4087" s="3">
        <f>HOUR(CallLog[[#This Row],[Time]])</f>
        <v>11</v>
      </c>
      <c r="H4087" t="s">
        <v>32</v>
      </c>
      <c r="I4087" t="s">
        <v>18</v>
      </c>
      <c r="J4087" t="s">
        <v>18</v>
      </c>
      <c r="L4087" t="str">
        <f>IF(AND(CallLog[[#This Row],[Answered (Y/N)]]="Y", CallLog[[#This Row],[Speed of answer in seconds]]&lt;=20),
    "Within",
    "Breach")</f>
        <v>Breach</v>
      </c>
    </row>
    <row r="4088" spans="1:14" x14ac:dyDescent="0.3">
      <c r="A4088" t="s">
        <v>4183</v>
      </c>
      <c r="B4088" t="s">
        <v>11</v>
      </c>
      <c r="C4088" t="s">
        <v>4169</v>
      </c>
      <c r="D4088" s="1">
        <v>0.48799768518518516</v>
      </c>
      <c r="E4088" s="2">
        <f>CallLog[[#This Row],[Date]]+CallLog[[#This Row],[Time]]</f>
        <v>44268.487997685188</v>
      </c>
      <c r="F4088" s="1" t="str">
        <f>TEXT(CallLog[[#This Row],[Date]],"dddd")</f>
        <v>Saturday</v>
      </c>
      <c r="G4088" s="3">
        <f>HOUR(CallLog[[#This Row],[Time]])</f>
        <v>11</v>
      </c>
      <c r="H4088" t="s">
        <v>24</v>
      </c>
      <c r="I4088" t="s">
        <v>14</v>
      </c>
      <c r="J4088" t="s">
        <v>14</v>
      </c>
      <c r="K4088">
        <v>13</v>
      </c>
      <c r="L4088" t="str">
        <f>IF(AND(CallLog[[#This Row],[Answered (Y/N)]]="Y", CallLog[[#This Row],[Speed of answer in seconds]]&lt;=20),
    "Within",
    "Breach")</f>
        <v>Within</v>
      </c>
      <c r="M4088" s="1">
        <v>3.1597222222222222E-3</v>
      </c>
      <c r="N4088">
        <v>3</v>
      </c>
    </row>
    <row r="4089" spans="1:14" x14ac:dyDescent="0.3">
      <c r="A4089" t="s">
        <v>4184</v>
      </c>
      <c r="B4089" t="s">
        <v>22</v>
      </c>
      <c r="C4089" t="s">
        <v>4169</v>
      </c>
      <c r="D4089" s="1">
        <v>0.48799768518518516</v>
      </c>
      <c r="E4089" s="2">
        <f>CallLog[[#This Row],[Date]]+CallLog[[#This Row],[Time]]</f>
        <v>44268.487997685188</v>
      </c>
      <c r="F4089" s="1" t="str">
        <f>TEXT(CallLog[[#This Row],[Date]],"dddd")</f>
        <v>Saturday</v>
      </c>
      <c r="G4089" s="3">
        <f>HOUR(CallLog[[#This Row],[Time]])</f>
        <v>11</v>
      </c>
      <c r="H4089" t="s">
        <v>13</v>
      </c>
      <c r="I4089" t="s">
        <v>14</v>
      </c>
      <c r="J4089" t="s">
        <v>18</v>
      </c>
      <c r="K4089">
        <v>28</v>
      </c>
      <c r="L4089" t="str">
        <f>IF(AND(CallLog[[#This Row],[Answered (Y/N)]]="Y", CallLog[[#This Row],[Speed of answer in seconds]]&lt;=20),
    "Within",
    "Breach")</f>
        <v>Breach</v>
      </c>
      <c r="M4089" s="1">
        <v>6.8287037037037036E-4</v>
      </c>
      <c r="N4089">
        <v>3</v>
      </c>
    </row>
    <row r="4090" spans="1:14" x14ac:dyDescent="0.3">
      <c r="A4090" t="s">
        <v>4185</v>
      </c>
      <c r="B4090" t="s">
        <v>47</v>
      </c>
      <c r="C4090" t="s">
        <v>4169</v>
      </c>
      <c r="D4090" s="1">
        <v>0.5709953703703704</v>
      </c>
      <c r="E4090" s="2">
        <f>CallLog[[#This Row],[Date]]+CallLog[[#This Row],[Time]]</f>
        <v>44268.57099537037</v>
      </c>
      <c r="F4090" s="1" t="str">
        <f>TEXT(CallLog[[#This Row],[Date]],"dddd")</f>
        <v>Saturday</v>
      </c>
      <c r="G4090" s="3">
        <f>HOUR(CallLog[[#This Row],[Time]])</f>
        <v>13</v>
      </c>
      <c r="H4090" t="s">
        <v>13</v>
      </c>
      <c r="I4090" t="s">
        <v>14</v>
      </c>
      <c r="J4090" t="s">
        <v>14</v>
      </c>
      <c r="K4090">
        <v>13</v>
      </c>
      <c r="L4090" t="str">
        <f>IF(AND(CallLog[[#This Row],[Answered (Y/N)]]="Y", CallLog[[#This Row],[Speed of answer in seconds]]&lt;=20),
    "Within",
    "Breach")</f>
        <v>Within</v>
      </c>
      <c r="M4090" s="1">
        <v>1.3310185185185185E-3</v>
      </c>
      <c r="N4090">
        <v>4</v>
      </c>
    </row>
    <row r="4091" spans="1:14" x14ac:dyDescent="0.3">
      <c r="A4091" t="s">
        <v>4186</v>
      </c>
      <c r="B4091" t="s">
        <v>38</v>
      </c>
      <c r="C4091" t="s">
        <v>4169</v>
      </c>
      <c r="D4091" s="1">
        <v>0.5709953703703704</v>
      </c>
      <c r="E4091" s="2">
        <f>CallLog[[#This Row],[Date]]+CallLog[[#This Row],[Time]]</f>
        <v>44268.57099537037</v>
      </c>
      <c r="F4091" s="1" t="str">
        <f>TEXT(CallLog[[#This Row],[Date]],"dddd")</f>
        <v>Saturday</v>
      </c>
      <c r="G4091" s="3">
        <f>HOUR(CallLog[[#This Row],[Time]])</f>
        <v>13</v>
      </c>
      <c r="H4091" t="s">
        <v>32</v>
      </c>
      <c r="I4091" t="s">
        <v>14</v>
      </c>
      <c r="J4091" t="s">
        <v>14</v>
      </c>
      <c r="K4091">
        <v>100</v>
      </c>
      <c r="L4091" t="str">
        <f>IF(AND(CallLog[[#This Row],[Answered (Y/N)]]="Y", CallLog[[#This Row],[Speed of answer in seconds]]&lt;=20),
    "Within",
    "Breach")</f>
        <v>Breach</v>
      </c>
      <c r="M4091" s="1">
        <v>8.4490740740740739E-4</v>
      </c>
      <c r="N4091">
        <v>3</v>
      </c>
    </row>
    <row r="4092" spans="1:14" x14ac:dyDescent="0.3">
      <c r="A4092" t="s">
        <v>4187</v>
      </c>
      <c r="B4092" t="s">
        <v>31</v>
      </c>
      <c r="C4092" t="s">
        <v>4169</v>
      </c>
      <c r="D4092" s="1">
        <v>0.59299768518518514</v>
      </c>
      <c r="E4092" s="2">
        <f>CallLog[[#This Row],[Date]]+CallLog[[#This Row],[Time]]</f>
        <v>44268.592997685184</v>
      </c>
      <c r="F4092" s="1" t="str">
        <f>TEXT(CallLog[[#This Row],[Date]],"dddd")</f>
        <v>Saturday</v>
      </c>
      <c r="G4092" s="3">
        <f>HOUR(CallLog[[#This Row],[Time]])</f>
        <v>14</v>
      </c>
      <c r="H4092" t="s">
        <v>13</v>
      </c>
      <c r="I4092" t="s">
        <v>14</v>
      </c>
      <c r="J4092" t="s">
        <v>14</v>
      </c>
      <c r="K4092">
        <v>119</v>
      </c>
      <c r="L4092" t="str">
        <f>IF(AND(CallLog[[#This Row],[Answered (Y/N)]]="Y", CallLog[[#This Row],[Speed of answer in seconds]]&lt;=20),
    "Within",
    "Breach")</f>
        <v>Breach</v>
      </c>
      <c r="M4092" s="1">
        <v>2.0254629629629629E-3</v>
      </c>
      <c r="N4092">
        <v>3</v>
      </c>
    </row>
    <row r="4093" spans="1:14" x14ac:dyDescent="0.3">
      <c r="A4093" t="s">
        <v>4188</v>
      </c>
      <c r="B4093" t="s">
        <v>20</v>
      </c>
      <c r="C4093" t="s">
        <v>4169</v>
      </c>
      <c r="D4093" s="1">
        <v>0.59299768518518514</v>
      </c>
      <c r="E4093" s="2">
        <f>CallLog[[#This Row],[Date]]+CallLog[[#This Row],[Time]]</f>
        <v>44268.592997685184</v>
      </c>
      <c r="F4093" s="1" t="str">
        <f>TEXT(CallLog[[#This Row],[Date]],"dddd")</f>
        <v>Saturday</v>
      </c>
      <c r="G4093" s="3">
        <f>HOUR(CallLog[[#This Row],[Time]])</f>
        <v>14</v>
      </c>
      <c r="H4093" t="s">
        <v>17</v>
      </c>
      <c r="I4093" t="s">
        <v>18</v>
      </c>
      <c r="J4093" t="s">
        <v>18</v>
      </c>
      <c r="L4093" t="str">
        <f>IF(AND(CallLog[[#This Row],[Answered (Y/N)]]="Y", CallLog[[#This Row],[Speed of answer in seconds]]&lt;=20),
    "Within",
    "Breach")</f>
        <v>Breach</v>
      </c>
    </row>
    <row r="4094" spans="1:14" x14ac:dyDescent="0.3">
      <c r="A4094" t="s">
        <v>4189</v>
      </c>
      <c r="B4094" t="s">
        <v>38</v>
      </c>
      <c r="C4094" t="s">
        <v>4169</v>
      </c>
      <c r="D4094" s="1">
        <v>0.59599537037037043</v>
      </c>
      <c r="E4094" s="2">
        <f>CallLog[[#This Row],[Date]]+CallLog[[#This Row],[Time]]</f>
        <v>44268.595995370371</v>
      </c>
      <c r="F4094" s="1" t="str">
        <f>TEXT(CallLog[[#This Row],[Date]],"dddd")</f>
        <v>Saturday</v>
      </c>
      <c r="G4094" s="3">
        <f>HOUR(CallLog[[#This Row],[Time]])</f>
        <v>14</v>
      </c>
      <c r="H4094" t="s">
        <v>17</v>
      </c>
      <c r="I4094" t="s">
        <v>14</v>
      </c>
      <c r="J4094" t="s">
        <v>14</v>
      </c>
      <c r="K4094">
        <v>125</v>
      </c>
      <c r="L4094" t="str">
        <f>IF(AND(CallLog[[#This Row],[Answered (Y/N)]]="Y", CallLog[[#This Row],[Speed of answer in seconds]]&lt;=20),
    "Within",
    "Breach")</f>
        <v>Breach</v>
      </c>
      <c r="M4094" s="1">
        <v>3.9699074074074072E-3</v>
      </c>
      <c r="N4094">
        <v>5</v>
      </c>
    </row>
    <row r="4095" spans="1:14" x14ac:dyDescent="0.3">
      <c r="A4095" t="s">
        <v>4190</v>
      </c>
      <c r="B4095" t="s">
        <v>34</v>
      </c>
      <c r="C4095" t="s">
        <v>4169</v>
      </c>
      <c r="D4095" s="1">
        <v>0.59599537037037043</v>
      </c>
      <c r="E4095" s="2">
        <f>CallLog[[#This Row],[Date]]+CallLog[[#This Row],[Time]]</f>
        <v>44268.595995370371</v>
      </c>
      <c r="F4095" s="1" t="str">
        <f>TEXT(CallLog[[#This Row],[Date]],"dddd")</f>
        <v>Saturday</v>
      </c>
      <c r="G4095" s="3">
        <f>HOUR(CallLog[[#This Row],[Time]])</f>
        <v>14</v>
      </c>
      <c r="H4095" t="s">
        <v>32</v>
      </c>
      <c r="I4095" t="s">
        <v>18</v>
      </c>
      <c r="J4095" t="s">
        <v>18</v>
      </c>
      <c r="L4095" t="str">
        <f>IF(AND(CallLog[[#This Row],[Answered (Y/N)]]="Y", CallLog[[#This Row],[Speed of answer in seconds]]&lt;=20),
    "Within",
    "Breach")</f>
        <v>Breach</v>
      </c>
    </row>
    <row r="4096" spans="1:14" x14ac:dyDescent="0.3">
      <c r="A4096" t="s">
        <v>4191</v>
      </c>
      <c r="B4096" t="s">
        <v>31</v>
      </c>
      <c r="C4096" t="s">
        <v>4169</v>
      </c>
      <c r="D4096" s="1">
        <v>0.61</v>
      </c>
      <c r="E4096" s="2">
        <f>CallLog[[#This Row],[Date]]+CallLog[[#This Row],[Time]]</f>
        <v>44268.61</v>
      </c>
      <c r="F4096" s="1" t="str">
        <f>TEXT(CallLog[[#This Row],[Date]],"dddd")</f>
        <v>Saturday</v>
      </c>
      <c r="G4096" s="3">
        <f>HOUR(CallLog[[#This Row],[Time]])</f>
        <v>14</v>
      </c>
      <c r="H4096" t="s">
        <v>17</v>
      </c>
      <c r="I4096" t="s">
        <v>14</v>
      </c>
      <c r="J4096" t="s">
        <v>18</v>
      </c>
      <c r="K4096">
        <v>88</v>
      </c>
      <c r="L4096" t="str">
        <f>IF(AND(CallLog[[#This Row],[Answered (Y/N)]]="Y", CallLog[[#This Row],[Speed of answer in seconds]]&lt;=20),
    "Within",
    "Breach")</f>
        <v>Breach</v>
      </c>
      <c r="M4096" s="1">
        <v>1.238425925925926E-3</v>
      </c>
      <c r="N4096">
        <v>4</v>
      </c>
    </row>
    <row r="4097" spans="1:14" x14ac:dyDescent="0.3">
      <c r="A4097" t="s">
        <v>4192</v>
      </c>
      <c r="B4097" t="s">
        <v>16</v>
      </c>
      <c r="C4097" t="s">
        <v>4169</v>
      </c>
      <c r="D4097" s="1">
        <v>0.61</v>
      </c>
      <c r="E4097" s="2">
        <f>CallLog[[#This Row],[Date]]+CallLog[[#This Row],[Time]]</f>
        <v>44268.61</v>
      </c>
      <c r="F4097" s="1" t="str">
        <f>TEXT(CallLog[[#This Row],[Date]],"dddd")</f>
        <v>Saturday</v>
      </c>
      <c r="G4097" s="3">
        <f>HOUR(CallLog[[#This Row],[Time]])</f>
        <v>14</v>
      </c>
      <c r="H4097" t="s">
        <v>17</v>
      </c>
      <c r="I4097" t="s">
        <v>14</v>
      </c>
      <c r="J4097" t="s">
        <v>14</v>
      </c>
      <c r="K4097">
        <v>71</v>
      </c>
      <c r="L4097" t="str">
        <f>IF(AND(CallLog[[#This Row],[Answered (Y/N)]]="Y", CallLog[[#This Row],[Speed of answer in seconds]]&lt;=20),
    "Within",
    "Breach")</f>
        <v>Breach</v>
      </c>
      <c r="M4097" s="1">
        <v>3.9351851851851852E-4</v>
      </c>
      <c r="N4097">
        <v>4</v>
      </c>
    </row>
    <row r="4098" spans="1:14" x14ac:dyDescent="0.3">
      <c r="A4098" t="s">
        <v>4193</v>
      </c>
      <c r="B4098" t="s">
        <v>47</v>
      </c>
      <c r="C4098" t="s">
        <v>4169</v>
      </c>
      <c r="D4098" s="1">
        <v>0.61200231481481482</v>
      </c>
      <c r="E4098" s="2">
        <f>CallLog[[#This Row],[Date]]+CallLog[[#This Row],[Time]]</f>
        <v>44268.612002314818</v>
      </c>
      <c r="F4098" s="1" t="str">
        <f>TEXT(CallLog[[#This Row],[Date]],"dddd")</f>
        <v>Saturday</v>
      </c>
      <c r="G4098" s="3">
        <f>HOUR(CallLog[[#This Row],[Time]])</f>
        <v>14</v>
      </c>
      <c r="H4098" t="s">
        <v>13</v>
      </c>
      <c r="I4098" t="s">
        <v>14</v>
      </c>
      <c r="J4098" t="s">
        <v>14</v>
      </c>
      <c r="K4098">
        <v>99</v>
      </c>
      <c r="L4098" t="str">
        <f>IF(AND(CallLog[[#This Row],[Answered (Y/N)]]="Y", CallLog[[#This Row],[Speed of answer in seconds]]&lt;=20),
    "Within",
    "Breach")</f>
        <v>Breach</v>
      </c>
      <c r="M4098" s="1">
        <v>3.9351851851851852E-4</v>
      </c>
      <c r="N4098">
        <v>4</v>
      </c>
    </row>
    <row r="4099" spans="1:14" x14ac:dyDescent="0.3">
      <c r="A4099" t="s">
        <v>4194</v>
      </c>
      <c r="B4099" t="s">
        <v>47</v>
      </c>
      <c r="C4099" t="s">
        <v>4169</v>
      </c>
      <c r="D4099" s="1">
        <v>0.61200231481481482</v>
      </c>
      <c r="E4099" s="2">
        <f>CallLog[[#This Row],[Date]]+CallLog[[#This Row],[Time]]</f>
        <v>44268.612002314818</v>
      </c>
      <c r="F4099" s="1" t="str">
        <f>TEXT(CallLog[[#This Row],[Date]],"dddd")</f>
        <v>Saturday</v>
      </c>
      <c r="G4099" s="3">
        <f>HOUR(CallLog[[#This Row],[Time]])</f>
        <v>14</v>
      </c>
      <c r="H4099" t="s">
        <v>29</v>
      </c>
      <c r="I4099" t="s">
        <v>14</v>
      </c>
      <c r="J4099" t="s">
        <v>14</v>
      </c>
      <c r="K4099">
        <v>94</v>
      </c>
      <c r="L4099" t="str">
        <f>IF(AND(CallLog[[#This Row],[Answered (Y/N)]]="Y", CallLog[[#This Row],[Speed of answer in seconds]]&lt;=20),
    "Within",
    "Breach")</f>
        <v>Breach</v>
      </c>
      <c r="M4099" s="1">
        <v>4.0740740740740737E-3</v>
      </c>
      <c r="N4099">
        <v>1</v>
      </c>
    </row>
    <row r="4100" spans="1:14" x14ac:dyDescent="0.3">
      <c r="A4100" t="s">
        <v>4195</v>
      </c>
      <c r="B4100" t="s">
        <v>16</v>
      </c>
      <c r="C4100" t="s">
        <v>4169</v>
      </c>
      <c r="D4100" s="1">
        <v>0.625</v>
      </c>
      <c r="E4100" s="2">
        <f>CallLog[[#This Row],[Date]]+CallLog[[#This Row],[Time]]</f>
        <v>44268.625</v>
      </c>
      <c r="F4100" s="1" t="str">
        <f>TEXT(CallLog[[#This Row],[Date]],"dddd")</f>
        <v>Saturday</v>
      </c>
      <c r="G4100" s="3">
        <f>HOUR(CallLog[[#This Row],[Time]])</f>
        <v>15</v>
      </c>
      <c r="H4100" t="s">
        <v>29</v>
      </c>
      <c r="I4100" t="s">
        <v>14</v>
      </c>
      <c r="J4100" t="s">
        <v>14</v>
      </c>
      <c r="K4100">
        <v>115</v>
      </c>
      <c r="L4100" t="str">
        <f>IF(AND(CallLog[[#This Row],[Answered (Y/N)]]="Y", CallLog[[#This Row],[Speed of answer in seconds]]&lt;=20),
    "Within",
    "Breach")</f>
        <v>Breach</v>
      </c>
      <c r="M4100" s="1">
        <v>3.6111111111111109E-3</v>
      </c>
      <c r="N4100">
        <v>1</v>
      </c>
    </row>
    <row r="4101" spans="1:14" x14ac:dyDescent="0.3">
      <c r="A4101" t="s">
        <v>4196</v>
      </c>
      <c r="B4101" t="s">
        <v>16</v>
      </c>
      <c r="C4101" t="s">
        <v>4169</v>
      </c>
      <c r="D4101" s="1">
        <v>0.625</v>
      </c>
      <c r="E4101" s="2">
        <f>CallLog[[#This Row],[Date]]+CallLog[[#This Row],[Time]]</f>
        <v>44268.625</v>
      </c>
      <c r="F4101" s="1" t="str">
        <f>TEXT(CallLog[[#This Row],[Date]],"dddd")</f>
        <v>Saturday</v>
      </c>
      <c r="G4101" s="3">
        <f>HOUR(CallLog[[#This Row],[Time]])</f>
        <v>15</v>
      </c>
      <c r="H4101" t="s">
        <v>13</v>
      </c>
      <c r="I4101" t="s">
        <v>14</v>
      </c>
      <c r="J4101" t="s">
        <v>14</v>
      </c>
      <c r="K4101">
        <v>36</v>
      </c>
      <c r="L4101" t="str">
        <f>IF(AND(CallLog[[#This Row],[Answered (Y/N)]]="Y", CallLog[[#This Row],[Speed of answer in seconds]]&lt;=20),
    "Within",
    "Breach")</f>
        <v>Breach</v>
      </c>
      <c r="M4101" s="1">
        <v>3.5995370370370369E-3</v>
      </c>
      <c r="N4101">
        <v>5</v>
      </c>
    </row>
    <row r="4102" spans="1:14" x14ac:dyDescent="0.3">
      <c r="A4102" t="s">
        <v>4197</v>
      </c>
      <c r="B4102" t="s">
        <v>20</v>
      </c>
      <c r="C4102" t="s">
        <v>4169</v>
      </c>
      <c r="D4102" s="1">
        <v>0.62700231481481483</v>
      </c>
      <c r="E4102" s="2">
        <f>CallLog[[#This Row],[Date]]+CallLog[[#This Row],[Time]]</f>
        <v>44268.627002314817</v>
      </c>
      <c r="F4102" s="1" t="str">
        <f>TEXT(CallLog[[#This Row],[Date]],"dddd")</f>
        <v>Saturday</v>
      </c>
      <c r="G4102" s="3">
        <f>HOUR(CallLog[[#This Row],[Time]])</f>
        <v>15</v>
      </c>
      <c r="H4102" t="s">
        <v>24</v>
      </c>
      <c r="I4102" t="s">
        <v>14</v>
      </c>
      <c r="J4102" t="s">
        <v>14</v>
      </c>
      <c r="K4102">
        <v>72</v>
      </c>
      <c r="L4102" t="str">
        <f>IF(AND(CallLog[[#This Row],[Answered (Y/N)]]="Y", CallLog[[#This Row],[Speed of answer in seconds]]&lt;=20),
    "Within",
    "Breach")</f>
        <v>Breach</v>
      </c>
      <c r="M4102" s="1">
        <v>2.685185185185185E-3</v>
      </c>
      <c r="N4102">
        <v>3</v>
      </c>
    </row>
    <row r="4103" spans="1:14" x14ac:dyDescent="0.3">
      <c r="A4103" t="s">
        <v>4198</v>
      </c>
      <c r="B4103" t="s">
        <v>16</v>
      </c>
      <c r="C4103" t="s">
        <v>4169</v>
      </c>
      <c r="D4103" s="1">
        <v>0.62700231481481483</v>
      </c>
      <c r="E4103" s="2">
        <f>CallLog[[#This Row],[Date]]+CallLog[[#This Row],[Time]]</f>
        <v>44268.627002314817</v>
      </c>
      <c r="F4103" s="1" t="str">
        <f>TEXT(CallLog[[#This Row],[Date]],"dddd")</f>
        <v>Saturday</v>
      </c>
      <c r="G4103" s="3">
        <f>HOUR(CallLog[[#This Row],[Time]])</f>
        <v>15</v>
      </c>
      <c r="H4103" t="s">
        <v>13</v>
      </c>
      <c r="I4103" t="s">
        <v>14</v>
      </c>
      <c r="J4103" t="s">
        <v>14</v>
      </c>
      <c r="K4103">
        <v>51</v>
      </c>
      <c r="L4103" t="str">
        <f>IF(AND(CallLog[[#This Row],[Answered (Y/N)]]="Y", CallLog[[#This Row],[Speed of answer in seconds]]&lt;=20),
    "Within",
    "Breach")</f>
        <v>Breach</v>
      </c>
      <c r="M4103" s="1">
        <v>7.291666666666667E-4</v>
      </c>
      <c r="N4103">
        <v>3</v>
      </c>
    </row>
    <row r="4104" spans="1:14" x14ac:dyDescent="0.3">
      <c r="A4104" t="s">
        <v>4199</v>
      </c>
      <c r="B4104" t="s">
        <v>11</v>
      </c>
      <c r="C4104" t="s">
        <v>4169</v>
      </c>
      <c r="D4104" s="1">
        <v>0.65</v>
      </c>
      <c r="E4104" s="2">
        <f>CallLog[[#This Row],[Date]]+CallLog[[#This Row],[Time]]</f>
        <v>44268.65</v>
      </c>
      <c r="F4104" s="1" t="str">
        <f>TEXT(CallLog[[#This Row],[Date]],"dddd")</f>
        <v>Saturday</v>
      </c>
      <c r="G4104" s="3">
        <f>HOUR(CallLog[[#This Row],[Time]])</f>
        <v>15</v>
      </c>
      <c r="H4104" t="s">
        <v>29</v>
      </c>
      <c r="I4104" t="s">
        <v>14</v>
      </c>
      <c r="J4104" t="s">
        <v>14</v>
      </c>
      <c r="K4104">
        <v>11</v>
      </c>
      <c r="L4104" t="str">
        <f>IF(AND(CallLog[[#This Row],[Answered (Y/N)]]="Y", CallLog[[#This Row],[Speed of answer in seconds]]&lt;=20),
    "Within",
    "Breach")</f>
        <v>Within</v>
      </c>
      <c r="M4104" s="1">
        <v>3.1597222222222222E-3</v>
      </c>
      <c r="N4104">
        <v>2</v>
      </c>
    </row>
    <row r="4105" spans="1:14" x14ac:dyDescent="0.3">
      <c r="A4105" t="s">
        <v>4200</v>
      </c>
      <c r="B4105" t="s">
        <v>20</v>
      </c>
      <c r="C4105" t="s">
        <v>4169</v>
      </c>
      <c r="D4105" s="1">
        <v>0.65</v>
      </c>
      <c r="E4105" s="2">
        <f>CallLog[[#This Row],[Date]]+CallLog[[#This Row],[Time]]</f>
        <v>44268.65</v>
      </c>
      <c r="F4105" s="1" t="str">
        <f>TEXT(CallLog[[#This Row],[Date]],"dddd")</f>
        <v>Saturday</v>
      </c>
      <c r="G4105" s="3">
        <f>HOUR(CallLog[[#This Row],[Time]])</f>
        <v>15</v>
      </c>
      <c r="H4105" t="s">
        <v>29</v>
      </c>
      <c r="I4105" t="s">
        <v>14</v>
      </c>
      <c r="J4105" t="s">
        <v>18</v>
      </c>
      <c r="K4105">
        <v>101</v>
      </c>
      <c r="L4105" t="str">
        <f>IF(AND(CallLog[[#This Row],[Answered (Y/N)]]="Y", CallLog[[#This Row],[Speed of answer in seconds]]&lt;=20),
    "Within",
    "Breach")</f>
        <v>Breach</v>
      </c>
      <c r="M4105" s="1">
        <v>4.0046296296296297E-3</v>
      </c>
      <c r="N4105">
        <v>5</v>
      </c>
    </row>
    <row r="4106" spans="1:14" x14ac:dyDescent="0.3">
      <c r="A4106" t="s">
        <v>4201</v>
      </c>
      <c r="B4106" t="s">
        <v>20</v>
      </c>
      <c r="C4106" t="s">
        <v>4169</v>
      </c>
      <c r="D4106" s="1">
        <v>0.65200231481481485</v>
      </c>
      <c r="E4106" s="2">
        <f>CallLog[[#This Row],[Date]]+CallLog[[#This Row],[Time]]</f>
        <v>44268.652002314811</v>
      </c>
      <c r="F4106" s="1" t="str">
        <f>TEXT(CallLog[[#This Row],[Date]],"dddd")</f>
        <v>Saturday</v>
      </c>
      <c r="G4106" s="3">
        <f>HOUR(CallLog[[#This Row],[Time]])</f>
        <v>15</v>
      </c>
      <c r="H4106" t="s">
        <v>29</v>
      </c>
      <c r="I4106" t="s">
        <v>14</v>
      </c>
      <c r="J4106" t="s">
        <v>14</v>
      </c>
      <c r="K4106">
        <v>119</v>
      </c>
      <c r="L4106" t="str">
        <f>IF(AND(CallLog[[#This Row],[Answered (Y/N)]]="Y", CallLog[[#This Row],[Speed of answer in seconds]]&lt;=20),
    "Within",
    "Breach")</f>
        <v>Breach</v>
      </c>
      <c r="M4106" s="1">
        <v>3.9004629629629628E-3</v>
      </c>
      <c r="N4106">
        <v>3</v>
      </c>
    </row>
    <row r="4107" spans="1:14" x14ac:dyDescent="0.3">
      <c r="A4107" t="s">
        <v>4202</v>
      </c>
      <c r="B4107" t="s">
        <v>11</v>
      </c>
      <c r="C4107" t="s">
        <v>4169</v>
      </c>
      <c r="D4107" s="1">
        <v>0.65200231481481485</v>
      </c>
      <c r="E4107" s="2">
        <f>CallLog[[#This Row],[Date]]+CallLog[[#This Row],[Time]]</f>
        <v>44268.652002314811</v>
      </c>
      <c r="F4107" s="1" t="str">
        <f>TEXT(CallLog[[#This Row],[Date]],"dddd")</f>
        <v>Saturday</v>
      </c>
      <c r="G4107" s="3">
        <f>HOUR(CallLog[[#This Row],[Time]])</f>
        <v>15</v>
      </c>
      <c r="H4107" t="s">
        <v>17</v>
      </c>
      <c r="I4107" t="s">
        <v>14</v>
      </c>
      <c r="J4107" t="s">
        <v>14</v>
      </c>
      <c r="K4107">
        <v>64</v>
      </c>
      <c r="L4107" t="str">
        <f>IF(AND(CallLog[[#This Row],[Answered (Y/N)]]="Y", CallLog[[#This Row],[Speed of answer in seconds]]&lt;=20),
    "Within",
    "Breach")</f>
        <v>Breach</v>
      </c>
      <c r="M4107" s="1">
        <v>1.8171296296296297E-3</v>
      </c>
      <c r="N4107">
        <v>3</v>
      </c>
    </row>
    <row r="4108" spans="1:14" x14ac:dyDescent="0.3">
      <c r="A4108" t="s">
        <v>4203</v>
      </c>
      <c r="B4108" t="s">
        <v>38</v>
      </c>
      <c r="C4108" t="s">
        <v>4169</v>
      </c>
      <c r="D4108" s="1">
        <v>0.65599537037037037</v>
      </c>
      <c r="E4108" s="2">
        <f>CallLog[[#This Row],[Date]]+CallLog[[#This Row],[Time]]</f>
        <v>44268.655995370369</v>
      </c>
      <c r="F4108" s="1" t="str">
        <f>TEXT(CallLog[[#This Row],[Date]],"dddd")</f>
        <v>Saturday</v>
      </c>
      <c r="G4108" s="3">
        <f>HOUR(CallLog[[#This Row],[Time]])</f>
        <v>15</v>
      </c>
      <c r="H4108" t="s">
        <v>17</v>
      </c>
      <c r="I4108" t="s">
        <v>14</v>
      </c>
      <c r="J4108" t="s">
        <v>14</v>
      </c>
      <c r="K4108">
        <v>12</v>
      </c>
      <c r="L4108" t="str">
        <f>IF(AND(CallLog[[#This Row],[Answered (Y/N)]]="Y", CallLog[[#This Row],[Speed of answer in seconds]]&lt;=20),
    "Within",
    "Breach")</f>
        <v>Within</v>
      </c>
      <c r="M4108" s="1">
        <v>2.8935185185185184E-3</v>
      </c>
      <c r="N4108">
        <v>3</v>
      </c>
    </row>
    <row r="4109" spans="1:14" x14ac:dyDescent="0.3">
      <c r="A4109" t="s">
        <v>4204</v>
      </c>
      <c r="B4109" t="s">
        <v>22</v>
      </c>
      <c r="C4109" t="s">
        <v>4169</v>
      </c>
      <c r="D4109" s="1">
        <v>0.65599537037037037</v>
      </c>
      <c r="E4109" s="2">
        <f>CallLog[[#This Row],[Date]]+CallLog[[#This Row],[Time]]</f>
        <v>44268.655995370369</v>
      </c>
      <c r="F4109" s="1" t="str">
        <f>TEXT(CallLog[[#This Row],[Date]],"dddd")</f>
        <v>Saturday</v>
      </c>
      <c r="G4109" s="3">
        <f>HOUR(CallLog[[#This Row],[Time]])</f>
        <v>15</v>
      </c>
      <c r="H4109" t="s">
        <v>32</v>
      </c>
      <c r="I4109" t="s">
        <v>14</v>
      </c>
      <c r="J4109" t="s">
        <v>14</v>
      </c>
      <c r="K4109">
        <v>118</v>
      </c>
      <c r="L4109" t="str">
        <f>IF(AND(CallLog[[#This Row],[Answered (Y/N)]]="Y", CallLog[[#This Row],[Speed of answer in seconds]]&lt;=20),
    "Within",
    "Breach")</f>
        <v>Breach</v>
      </c>
      <c r="M4109" s="1">
        <v>3.5995370370370369E-3</v>
      </c>
      <c r="N4109">
        <v>3</v>
      </c>
    </row>
    <row r="4110" spans="1:14" x14ac:dyDescent="0.3">
      <c r="A4110" t="s">
        <v>4205</v>
      </c>
      <c r="B4110" t="s">
        <v>22</v>
      </c>
      <c r="C4110" t="s">
        <v>4169</v>
      </c>
      <c r="D4110" s="1">
        <v>0.66599537037037038</v>
      </c>
      <c r="E4110" s="2">
        <f>CallLog[[#This Row],[Date]]+CallLog[[#This Row],[Time]]</f>
        <v>44268.665995370371</v>
      </c>
      <c r="F4110" s="1" t="str">
        <f>TEXT(CallLog[[#This Row],[Date]],"dddd")</f>
        <v>Saturday</v>
      </c>
      <c r="G4110" s="3">
        <f>HOUR(CallLog[[#This Row],[Time]])</f>
        <v>15</v>
      </c>
      <c r="H4110" t="s">
        <v>24</v>
      </c>
      <c r="I4110" t="s">
        <v>14</v>
      </c>
      <c r="J4110" t="s">
        <v>14</v>
      </c>
      <c r="K4110">
        <v>107</v>
      </c>
      <c r="L4110" t="str">
        <f>IF(AND(CallLog[[#This Row],[Answered (Y/N)]]="Y", CallLog[[#This Row],[Speed of answer in seconds]]&lt;=20),
    "Within",
    "Breach")</f>
        <v>Breach</v>
      </c>
      <c r="M4110" s="1">
        <v>1.7476851851851852E-3</v>
      </c>
      <c r="N4110">
        <v>2</v>
      </c>
    </row>
    <row r="4111" spans="1:14" x14ac:dyDescent="0.3">
      <c r="A4111" t="s">
        <v>4206</v>
      </c>
      <c r="B4111" t="s">
        <v>38</v>
      </c>
      <c r="C4111" t="s">
        <v>4169</v>
      </c>
      <c r="D4111" s="1">
        <v>0.66599537037037038</v>
      </c>
      <c r="E4111" s="2">
        <f>CallLog[[#This Row],[Date]]+CallLog[[#This Row],[Time]]</f>
        <v>44268.665995370371</v>
      </c>
      <c r="F4111" s="1" t="str">
        <f>TEXT(CallLog[[#This Row],[Date]],"dddd")</f>
        <v>Saturday</v>
      </c>
      <c r="G4111" s="3">
        <f>HOUR(CallLog[[#This Row],[Time]])</f>
        <v>15</v>
      </c>
      <c r="H4111" t="s">
        <v>24</v>
      </c>
      <c r="I4111" t="s">
        <v>14</v>
      </c>
      <c r="J4111" t="s">
        <v>14</v>
      </c>
      <c r="K4111">
        <v>122</v>
      </c>
      <c r="L4111" t="str">
        <f>IF(AND(CallLog[[#This Row],[Answered (Y/N)]]="Y", CallLog[[#This Row],[Speed of answer in seconds]]&lt;=20),
    "Within",
    "Breach")</f>
        <v>Breach</v>
      </c>
      <c r="M4111" s="1">
        <v>3.5069444444444445E-3</v>
      </c>
      <c r="N4111">
        <v>3</v>
      </c>
    </row>
    <row r="4112" spans="1:14" x14ac:dyDescent="0.3">
      <c r="A4112" t="s">
        <v>4207</v>
      </c>
      <c r="B4112" t="s">
        <v>16</v>
      </c>
      <c r="C4112" t="s">
        <v>4169</v>
      </c>
      <c r="D4112" s="1">
        <v>0.6790046296296296</v>
      </c>
      <c r="E4112" s="2">
        <f>CallLog[[#This Row],[Date]]+CallLog[[#This Row],[Time]]</f>
        <v>44268.67900462963</v>
      </c>
      <c r="F4112" s="1" t="str">
        <f>TEXT(CallLog[[#This Row],[Date]],"dddd")</f>
        <v>Saturday</v>
      </c>
      <c r="G4112" s="3">
        <f>HOUR(CallLog[[#This Row],[Time]])</f>
        <v>16</v>
      </c>
      <c r="H4112" t="s">
        <v>24</v>
      </c>
      <c r="I4112" t="s">
        <v>14</v>
      </c>
      <c r="J4112" t="s">
        <v>14</v>
      </c>
      <c r="K4112">
        <v>41</v>
      </c>
      <c r="L4112" t="str">
        <f>IF(AND(CallLog[[#This Row],[Answered (Y/N)]]="Y", CallLog[[#This Row],[Speed of answer in seconds]]&lt;=20),
    "Within",
    "Breach")</f>
        <v>Breach</v>
      </c>
      <c r="M4112" s="1">
        <v>2.5578703703703705E-3</v>
      </c>
      <c r="N4112">
        <v>4</v>
      </c>
    </row>
    <row r="4113" spans="1:14" x14ac:dyDescent="0.3">
      <c r="A4113" t="s">
        <v>4208</v>
      </c>
      <c r="B4113" t="s">
        <v>16</v>
      </c>
      <c r="C4113" t="s">
        <v>4169</v>
      </c>
      <c r="D4113" s="1">
        <v>0.6790046296296296</v>
      </c>
      <c r="E4113" s="2">
        <f>CallLog[[#This Row],[Date]]+CallLog[[#This Row],[Time]]</f>
        <v>44268.67900462963</v>
      </c>
      <c r="F4113" s="1" t="str">
        <f>TEXT(CallLog[[#This Row],[Date]],"dddd")</f>
        <v>Saturday</v>
      </c>
      <c r="G4113" s="3">
        <f>HOUR(CallLog[[#This Row],[Time]])</f>
        <v>16</v>
      </c>
      <c r="H4113" t="s">
        <v>32</v>
      </c>
      <c r="I4113" t="s">
        <v>14</v>
      </c>
      <c r="J4113" t="s">
        <v>14</v>
      </c>
      <c r="K4113">
        <v>22</v>
      </c>
      <c r="L4113" t="str">
        <f>IF(AND(CallLog[[#This Row],[Answered (Y/N)]]="Y", CallLog[[#This Row],[Speed of answer in seconds]]&lt;=20),
    "Within",
    "Breach")</f>
        <v>Breach</v>
      </c>
      <c r="M4113" s="1">
        <v>4.9768518518518521E-4</v>
      </c>
      <c r="N4113">
        <v>1</v>
      </c>
    </row>
    <row r="4114" spans="1:14" x14ac:dyDescent="0.3">
      <c r="A4114" t="s">
        <v>4209</v>
      </c>
      <c r="B4114" t="s">
        <v>38</v>
      </c>
      <c r="C4114" t="s">
        <v>4169</v>
      </c>
      <c r="D4114" s="1">
        <v>0.70400462962962962</v>
      </c>
      <c r="E4114" s="2">
        <f>CallLog[[#This Row],[Date]]+CallLog[[#This Row],[Time]]</f>
        <v>44268.704004629632</v>
      </c>
      <c r="F4114" s="1" t="str">
        <f>TEXT(CallLog[[#This Row],[Date]],"dddd")</f>
        <v>Saturday</v>
      </c>
      <c r="G4114" s="3">
        <f>HOUR(CallLog[[#This Row],[Time]])</f>
        <v>16</v>
      </c>
      <c r="H4114" t="s">
        <v>17</v>
      </c>
      <c r="I4114" t="s">
        <v>18</v>
      </c>
      <c r="J4114" t="s">
        <v>18</v>
      </c>
      <c r="L4114" t="str">
        <f>IF(AND(CallLog[[#This Row],[Answered (Y/N)]]="Y", CallLog[[#This Row],[Speed of answer in seconds]]&lt;=20),
    "Within",
    "Breach")</f>
        <v>Breach</v>
      </c>
    </row>
    <row r="4115" spans="1:14" x14ac:dyDescent="0.3">
      <c r="A4115" t="s">
        <v>4210</v>
      </c>
      <c r="B4115" t="s">
        <v>38</v>
      </c>
      <c r="C4115" t="s">
        <v>4169</v>
      </c>
      <c r="D4115" s="1">
        <v>0.70400462962962962</v>
      </c>
      <c r="E4115" s="2">
        <f>CallLog[[#This Row],[Date]]+CallLog[[#This Row],[Time]]</f>
        <v>44268.704004629632</v>
      </c>
      <c r="F4115" s="1" t="str">
        <f>TEXT(CallLog[[#This Row],[Date]],"dddd")</f>
        <v>Saturday</v>
      </c>
      <c r="G4115" s="3">
        <f>HOUR(CallLog[[#This Row],[Time]])</f>
        <v>16</v>
      </c>
      <c r="H4115" t="s">
        <v>13</v>
      </c>
      <c r="I4115" t="s">
        <v>14</v>
      </c>
      <c r="J4115" t="s">
        <v>14</v>
      </c>
      <c r="K4115">
        <v>93</v>
      </c>
      <c r="L4115" t="str">
        <f>IF(AND(CallLog[[#This Row],[Answered (Y/N)]]="Y", CallLog[[#This Row],[Speed of answer in seconds]]&lt;=20),
    "Within",
    "Breach")</f>
        <v>Breach</v>
      </c>
      <c r="M4115" s="1">
        <v>2.5347222222222221E-3</v>
      </c>
      <c r="N4115">
        <v>3</v>
      </c>
    </row>
    <row r="4116" spans="1:14" x14ac:dyDescent="0.3">
      <c r="A4116" t="s">
        <v>4211</v>
      </c>
      <c r="B4116" t="s">
        <v>31</v>
      </c>
      <c r="C4116" t="s">
        <v>4169</v>
      </c>
      <c r="D4116" s="1">
        <v>0.71</v>
      </c>
      <c r="E4116" s="2">
        <f>CallLog[[#This Row],[Date]]+CallLog[[#This Row],[Time]]</f>
        <v>44268.71</v>
      </c>
      <c r="F4116" s="1" t="str">
        <f>TEXT(CallLog[[#This Row],[Date]],"dddd")</f>
        <v>Saturday</v>
      </c>
      <c r="G4116" s="3">
        <f>HOUR(CallLog[[#This Row],[Time]])</f>
        <v>17</v>
      </c>
      <c r="H4116" t="s">
        <v>29</v>
      </c>
      <c r="I4116" t="s">
        <v>14</v>
      </c>
      <c r="J4116" t="s">
        <v>14</v>
      </c>
      <c r="K4116">
        <v>20</v>
      </c>
      <c r="L4116" t="str">
        <f>IF(AND(CallLog[[#This Row],[Answered (Y/N)]]="Y", CallLog[[#This Row],[Speed of answer in seconds]]&lt;=20),
    "Within",
    "Breach")</f>
        <v>Within</v>
      </c>
      <c r="M4116" s="1">
        <v>3.0092592592592593E-3</v>
      </c>
      <c r="N4116">
        <v>5</v>
      </c>
    </row>
    <row r="4117" spans="1:14" x14ac:dyDescent="0.3">
      <c r="A4117" t="s">
        <v>4212</v>
      </c>
      <c r="B4117" t="s">
        <v>47</v>
      </c>
      <c r="C4117" t="s">
        <v>4169</v>
      </c>
      <c r="D4117" s="1">
        <v>0.71</v>
      </c>
      <c r="E4117" s="2">
        <f>CallLog[[#This Row],[Date]]+CallLog[[#This Row],[Time]]</f>
        <v>44268.71</v>
      </c>
      <c r="F4117" s="1" t="str">
        <f>TEXT(CallLog[[#This Row],[Date]],"dddd")</f>
        <v>Saturday</v>
      </c>
      <c r="G4117" s="3">
        <f>HOUR(CallLog[[#This Row],[Time]])</f>
        <v>17</v>
      </c>
      <c r="H4117" t="s">
        <v>13</v>
      </c>
      <c r="I4117" t="s">
        <v>14</v>
      </c>
      <c r="J4117" t="s">
        <v>14</v>
      </c>
      <c r="K4117">
        <v>90</v>
      </c>
      <c r="L4117" t="str">
        <f>IF(AND(CallLog[[#This Row],[Answered (Y/N)]]="Y", CallLog[[#This Row],[Speed of answer in seconds]]&lt;=20),
    "Within",
    "Breach")</f>
        <v>Breach</v>
      </c>
      <c r="M4117" s="1">
        <v>2.8356481481481483E-3</v>
      </c>
      <c r="N4117">
        <v>4</v>
      </c>
    </row>
    <row r="4118" spans="1:14" x14ac:dyDescent="0.3">
      <c r="A4118" t="s">
        <v>4213</v>
      </c>
      <c r="B4118" t="s">
        <v>16</v>
      </c>
      <c r="C4118" t="s">
        <v>4169</v>
      </c>
      <c r="D4118" s="1">
        <v>0.72499999999999998</v>
      </c>
      <c r="E4118" s="2">
        <f>CallLog[[#This Row],[Date]]+CallLog[[#This Row],[Time]]</f>
        <v>44268.724999999999</v>
      </c>
      <c r="F4118" s="1" t="str">
        <f>TEXT(CallLog[[#This Row],[Date]],"dddd")</f>
        <v>Saturday</v>
      </c>
      <c r="G4118" s="3">
        <f>HOUR(CallLog[[#This Row],[Time]])</f>
        <v>17</v>
      </c>
      <c r="H4118" t="s">
        <v>17</v>
      </c>
      <c r="I4118" t="s">
        <v>14</v>
      </c>
      <c r="J4118" t="s">
        <v>14</v>
      </c>
      <c r="K4118">
        <v>107</v>
      </c>
      <c r="L4118" t="str">
        <f>IF(AND(CallLog[[#This Row],[Answered (Y/N)]]="Y", CallLog[[#This Row],[Speed of answer in seconds]]&lt;=20),
    "Within",
    "Breach")</f>
        <v>Breach</v>
      </c>
      <c r="M4118" s="1">
        <v>4.5486111111111109E-3</v>
      </c>
      <c r="N4118">
        <v>3</v>
      </c>
    </row>
    <row r="4119" spans="1:14" x14ac:dyDescent="0.3">
      <c r="A4119" t="s">
        <v>4214</v>
      </c>
      <c r="B4119" t="s">
        <v>31</v>
      </c>
      <c r="C4119" t="s">
        <v>4169</v>
      </c>
      <c r="D4119" s="1">
        <v>0.72499999999999998</v>
      </c>
      <c r="E4119" s="2">
        <f>CallLog[[#This Row],[Date]]+CallLog[[#This Row],[Time]]</f>
        <v>44268.724999999999</v>
      </c>
      <c r="F4119" s="1" t="str">
        <f>TEXT(CallLog[[#This Row],[Date]],"dddd")</f>
        <v>Saturday</v>
      </c>
      <c r="G4119" s="3">
        <f>HOUR(CallLog[[#This Row],[Time]])</f>
        <v>17</v>
      </c>
      <c r="H4119" t="s">
        <v>17</v>
      </c>
      <c r="I4119" t="s">
        <v>18</v>
      </c>
      <c r="J4119" t="s">
        <v>18</v>
      </c>
      <c r="L4119" t="str">
        <f>IF(AND(CallLog[[#This Row],[Answered (Y/N)]]="Y", CallLog[[#This Row],[Speed of answer in seconds]]&lt;=20),
    "Within",
    "Breach")</f>
        <v>Breach</v>
      </c>
    </row>
    <row r="4120" spans="1:14" x14ac:dyDescent="0.3">
      <c r="A4120" t="s">
        <v>4215</v>
      </c>
      <c r="B4120" t="s">
        <v>47</v>
      </c>
      <c r="C4120" t="s">
        <v>4169</v>
      </c>
      <c r="D4120" s="1">
        <v>0.73900462962962965</v>
      </c>
      <c r="E4120" s="2">
        <f>CallLog[[#This Row],[Date]]+CallLog[[#This Row],[Time]]</f>
        <v>44268.739004629628</v>
      </c>
      <c r="F4120" s="1" t="str">
        <f>TEXT(CallLog[[#This Row],[Date]],"dddd")</f>
        <v>Saturday</v>
      </c>
      <c r="G4120" s="3">
        <f>HOUR(CallLog[[#This Row],[Time]])</f>
        <v>17</v>
      </c>
      <c r="H4120" t="s">
        <v>13</v>
      </c>
      <c r="I4120" t="s">
        <v>14</v>
      </c>
      <c r="J4120" t="s">
        <v>14</v>
      </c>
      <c r="K4120">
        <v>38</v>
      </c>
      <c r="L4120" t="str">
        <f>IF(AND(CallLog[[#This Row],[Answered (Y/N)]]="Y", CallLog[[#This Row],[Speed of answer in seconds]]&lt;=20),
    "Within",
    "Breach")</f>
        <v>Breach</v>
      </c>
      <c r="M4120" s="1">
        <v>3.9699074074074072E-3</v>
      </c>
      <c r="N4120">
        <v>3</v>
      </c>
    </row>
    <row r="4121" spans="1:14" x14ac:dyDescent="0.3">
      <c r="A4121" t="s">
        <v>4216</v>
      </c>
      <c r="B4121" t="s">
        <v>34</v>
      </c>
      <c r="C4121" t="s">
        <v>4169</v>
      </c>
      <c r="D4121" s="1">
        <v>0.73900462962962965</v>
      </c>
      <c r="E4121" s="2">
        <f>CallLog[[#This Row],[Date]]+CallLog[[#This Row],[Time]]</f>
        <v>44268.739004629628</v>
      </c>
      <c r="F4121" s="1" t="str">
        <f>TEXT(CallLog[[#This Row],[Date]],"dddd")</f>
        <v>Saturday</v>
      </c>
      <c r="G4121" s="3">
        <f>HOUR(CallLog[[#This Row],[Time]])</f>
        <v>17</v>
      </c>
      <c r="H4121" t="s">
        <v>13</v>
      </c>
      <c r="I4121" t="s">
        <v>18</v>
      </c>
      <c r="J4121" t="s">
        <v>18</v>
      </c>
      <c r="L4121" t="str">
        <f>IF(AND(CallLog[[#This Row],[Answered (Y/N)]]="Y", CallLog[[#This Row],[Speed of answer in seconds]]&lt;=20),
    "Within",
    "Breach")</f>
        <v>Breach</v>
      </c>
    </row>
    <row r="4122" spans="1:14" x14ac:dyDescent="0.3">
      <c r="A4122" t="s">
        <v>4217</v>
      </c>
      <c r="B4122" t="s">
        <v>16</v>
      </c>
      <c r="C4122" t="s">
        <v>4218</v>
      </c>
      <c r="D4122" s="1">
        <v>0.375</v>
      </c>
      <c r="E4122" s="2">
        <f>CallLog[[#This Row],[Date]]+CallLog[[#This Row],[Time]]</f>
        <v>44269.375</v>
      </c>
      <c r="F4122" s="1" t="str">
        <f>TEXT(CallLog[[#This Row],[Date]],"dddd")</f>
        <v>Sunday</v>
      </c>
      <c r="G4122" s="3">
        <f>HOUR(CallLog[[#This Row],[Time]])</f>
        <v>9</v>
      </c>
      <c r="H4122" t="s">
        <v>32</v>
      </c>
      <c r="I4122" t="s">
        <v>14</v>
      </c>
      <c r="J4122" t="s">
        <v>14</v>
      </c>
      <c r="K4122">
        <v>50</v>
      </c>
      <c r="L4122" t="str">
        <f>IF(AND(CallLog[[#This Row],[Answered (Y/N)]]="Y", CallLog[[#This Row],[Speed of answer in seconds]]&lt;=20),
    "Within",
    "Breach")</f>
        <v>Breach</v>
      </c>
      <c r="M4122" s="1">
        <v>1.3541666666666667E-3</v>
      </c>
      <c r="N4122">
        <v>4</v>
      </c>
    </row>
    <row r="4123" spans="1:14" x14ac:dyDescent="0.3">
      <c r="A4123" t="s">
        <v>4219</v>
      </c>
      <c r="B4123" t="s">
        <v>22</v>
      </c>
      <c r="C4123" t="s">
        <v>4218</v>
      </c>
      <c r="D4123" s="1">
        <v>0.375</v>
      </c>
      <c r="E4123" s="2">
        <f>CallLog[[#This Row],[Date]]+CallLog[[#This Row],[Time]]</f>
        <v>44269.375</v>
      </c>
      <c r="F4123" s="1" t="str">
        <f>TEXT(CallLog[[#This Row],[Date]],"dddd")</f>
        <v>Sunday</v>
      </c>
      <c r="G4123" s="3">
        <f>HOUR(CallLog[[#This Row],[Time]])</f>
        <v>9</v>
      </c>
      <c r="H4123" t="s">
        <v>29</v>
      </c>
      <c r="I4123" t="s">
        <v>14</v>
      </c>
      <c r="J4123" t="s">
        <v>14</v>
      </c>
      <c r="K4123">
        <v>90</v>
      </c>
      <c r="L4123" t="str">
        <f>IF(AND(CallLog[[#This Row],[Answered (Y/N)]]="Y", CallLog[[#This Row],[Speed of answer in seconds]]&lt;=20),
    "Within",
    "Breach")</f>
        <v>Breach</v>
      </c>
      <c r="M4123" s="1">
        <v>3.5416666666666665E-3</v>
      </c>
      <c r="N4123">
        <v>4</v>
      </c>
    </row>
    <row r="4124" spans="1:14" x14ac:dyDescent="0.3">
      <c r="A4124" t="s">
        <v>4220</v>
      </c>
      <c r="B4124" t="s">
        <v>16</v>
      </c>
      <c r="C4124" t="s">
        <v>4218</v>
      </c>
      <c r="D4124" s="1">
        <v>0.38900462962962962</v>
      </c>
      <c r="E4124" s="2">
        <f>CallLog[[#This Row],[Date]]+CallLog[[#This Row],[Time]]</f>
        <v>44269.389004629629</v>
      </c>
      <c r="F4124" s="1" t="str">
        <f>TEXT(CallLog[[#This Row],[Date]],"dddd")</f>
        <v>Sunday</v>
      </c>
      <c r="G4124" s="3">
        <f>HOUR(CallLog[[#This Row],[Time]])</f>
        <v>9</v>
      </c>
      <c r="H4124" t="s">
        <v>29</v>
      </c>
      <c r="I4124" t="s">
        <v>14</v>
      </c>
      <c r="J4124" t="s">
        <v>14</v>
      </c>
      <c r="K4124">
        <v>22</v>
      </c>
      <c r="L4124" t="str">
        <f>IF(AND(CallLog[[#This Row],[Answered (Y/N)]]="Y", CallLog[[#This Row],[Speed of answer in seconds]]&lt;=20),
    "Within",
    "Breach")</f>
        <v>Breach</v>
      </c>
      <c r="M4124" s="1">
        <v>3.0208333333333333E-3</v>
      </c>
      <c r="N4124">
        <v>4</v>
      </c>
    </row>
    <row r="4125" spans="1:14" x14ac:dyDescent="0.3">
      <c r="A4125" t="s">
        <v>4221</v>
      </c>
      <c r="B4125" t="s">
        <v>34</v>
      </c>
      <c r="C4125" t="s">
        <v>4218</v>
      </c>
      <c r="D4125" s="1">
        <v>0.38900462962962962</v>
      </c>
      <c r="E4125" s="2">
        <f>CallLog[[#This Row],[Date]]+CallLog[[#This Row],[Time]]</f>
        <v>44269.389004629629</v>
      </c>
      <c r="F4125" s="1" t="str">
        <f>TEXT(CallLog[[#This Row],[Date]],"dddd")</f>
        <v>Sunday</v>
      </c>
      <c r="G4125" s="3">
        <f>HOUR(CallLog[[#This Row],[Time]])</f>
        <v>9</v>
      </c>
      <c r="H4125" t="s">
        <v>29</v>
      </c>
      <c r="I4125" t="s">
        <v>18</v>
      </c>
      <c r="J4125" t="s">
        <v>18</v>
      </c>
      <c r="L4125" t="str">
        <f>IF(AND(CallLog[[#This Row],[Answered (Y/N)]]="Y", CallLog[[#This Row],[Speed of answer in seconds]]&lt;=20),
    "Within",
    "Breach")</f>
        <v>Breach</v>
      </c>
    </row>
    <row r="4126" spans="1:14" x14ac:dyDescent="0.3">
      <c r="A4126" t="s">
        <v>4222</v>
      </c>
      <c r="B4126" t="s">
        <v>38</v>
      </c>
      <c r="C4126" t="s">
        <v>4218</v>
      </c>
      <c r="D4126" s="1">
        <v>0.41499999999999998</v>
      </c>
      <c r="E4126" s="2">
        <f>CallLog[[#This Row],[Date]]+CallLog[[#This Row],[Time]]</f>
        <v>44269.415000000001</v>
      </c>
      <c r="F4126" s="1" t="str">
        <f>TEXT(CallLog[[#This Row],[Date]],"dddd")</f>
        <v>Sunday</v>
      </c>
      <c r="G4126" s="3">
        <f>HOUR(CallLog[[#This Row],[Time]])</f>
        <v>9</v>
      </c>
      <c r="H4126" t="s">
        <v>32</v>
      </c>
      <c r="I4126" t="s">
        <v>14</v>
      </c>
      <c r="J4126" t="s">
        <v>14</v>
      </c>
      <c r="K4126">
        <v>67</v>
      </c>
      <c r="L4126" t="str">
        <f>IF(AND(CallLog[[#This Row],[Answered (Y/N)]]="Y", CallLog[[#This Row],[Speed of answer in seconds]]&lt;=20),
    "Within",
    "Breach")</f>
        <v>Breach</v>
      </c>
      <c r="M4126" s="1">
        <v>3.5300925925925925E-3</v>
      </c>
      <c r="N4126">
        <v>4</v>
      </c>
    </row>
    <row r="4127" spans="1:14" x14ac:dyDescent="0.3">
      <c r="A4127" t="s">
        <v>4223</v>
      </c>
      <c r="B4127" t="s">
        <v>47</v>
      </c>
      <c r="C4127" t="s">
        <v>4218</v>
      </c>
      <c r="D4127" s="1">
        <v>0.41499999999999998</v>
      </c>
      <c r="E4127" s="2">
        <f>CallLog[[#This Row],[Date]]+CallLog[[#This Row],[Time]]</f>
        <v>44269.415000000001</v>
      </c>
      <c r="F4127" s="1" t="str">
        <f>TEXT(CallLog[[#This Row],[Date]],"dddd")</f>
        <v>Sunday</v>
      </c>
      <c r="G4127" s="3">
        <f>HOUR(CallLog[[#This Row],[Time]])</f>
        <v>9</v>
      </c>
      <c r="H4127" t="s">
        <v>13</v>
      </c>
      <c r="I4127" t="s">
        <v>14</v>
      </c>
      <c r="J4127" t="s">
        <v>14</v>
      </c>
      <c r="K4127">
        <v>89</v>
      </c>
      <c r="L4127" t="str">
        <f>IF(AND(CallLog[[#This Row],[Answered (Y/N)]]="Y", CallLog[[#This Row],[Speed of answer in seconds]]&lt;=20),
    "Within",
    "Breach")</f>
        <v>Breach</v>
      </c>
      <c r="M4127" s="1">
        <v>4.3981481481481484E-3</v>
      </c>
      <c r="N4127">
        <v>3</v>
      </c>
    </row>
    <row r="4128" spans="1:14" x14ac:dyDescent="0.3">
      <c r="A4128" t="s">
        <v>4224</v>
      </c>
      <c r="B4128" t="s">
        <v>16</v>
      </c>
      <c r="C4128" t="s">
        <v>4218</v>
      </c>
      <c r="D4128" s="1">
        <v>0.42200231481481482</v>
      </c>
      <c r="E4128" s="2">
        <f>CallLog[[#This Row],[Date]]+CallLog[[#This Row],[Time]]</f>
        <v>44269.422002314815</v>
      </c>
      <c r="F4128" s="1" t="str">
        <f>TEXT(CallLog[[#This Row],[Date]],"dddd")</f>
        <v>Sunday</v>
      </c>
      <c r="G4128" s="3">
        <f>HOUR(CallLog[[#This Row],[Time]])</f>
        <v>10</v>
      </c>
      <c r="H4128" t="s">
        <v>24</v>
      </c>
      <c r="I4128" t="s">
        <v>14</v>
      </c>
      <c r="J4128" t="s">
        <v>14</v>
      </c>
      <c r="K4128">
        <v>21</v>
      </c>
      <c r="L4128" t="str">
        <f>IF(AND(CallLog[[#This Row],[Answered (Y/N)]]="Y", CallLog[[#This Row],[Speed of answer in seconds]]&lt;=20),
    "Within",
    "Breach")</f>
        <v>Breach</v>
      </c>
      <c r="M4128" s="1">
        <v>4.0046296296296297E-3</v>
      </c>
      <c r="N4128">
        <v>3</v>
      </c>
    </row>
    <row r="4129" spans="1:14" x14ac:dyDescent="0.3">
      <c r="A4129" t="s">
        <v>4225</v>
      </c>
      <c r="B4129" t="s">
        <v>11</v>
      </c>
      <c r="C4129" t="s">
        <v>4218</v>
      </c>
      <c r="D4129" s="1">
        <v>0.42200231481481482</v>
      </c>
      <c r="E4129" s="2">
        <f>CallLog[[#This Row],[Date]]+CallLog[[#This Row],[Time]]</f>
        <v>44269.422002314815</v>
      </c>
      <c r="F4129" s="1" t="str">
        <f>TEXT(CallLog[[#This Row],[Date]],"dddd")</f>
        <v>Sunday</v>
      </c>
      <c r="G4129" s="3">
        <f>HOUR(CallLog[[#This Row],[Time]])</f>
        <v>10</v>
      </c>
      <c r="H4129" t="s">
        <v>13</v>
      </c>
      <c r="I4129" t="s">
        <v>14</v>
      </c>
      <c r="J4129" t="s">
        <v>14</v>
      </c>
      <c r="K4129">
        <v>34</v>
      </c>
      <c r="L4129" t="str">
        <f>IF(AND(CallLog[[#This Row],[Answered (Y/N)]]="Y", CallLog[[#This Row],[Speed of answer in seconds]]&lt;=20),
    "Within",
    "Breach")</f>
        <v>Breach</v>
      </c>
      <c r="M4129" s="1">
        <v>7.407407407407407E-4</v>
      </c>
      <c r="N4129">
        <v>4</v>
      </c>
    </row>
    <row r="4130" spans="1:14" x14ac:dyDescent="0.3">
      <c r="A4130" t="s">
        <v>4226</v>
      </c>
      <c r="B4130" t="s">
        <v>11</v>
      </c>
      <c r="C4130" t="s">
        <v>4218</v>
      </c>
      <c r="D4130" s="1">
        <v>0.42299768518518521</v>
      </c>
      <c r="E4130" s="2">
        <f>CallLog[[#This Row],[Date]]+CallLog[[#This Row],[Time]]</f>
        <v>44269.422997685186</v>
      </c>
      <c r="F4130" s="1" t="str">
        <f>TEXT(CallLog[[#This Row],[Date]],"dddd")</f>
        <v>Sunday</v>
      </c>
      <c r="G4130" s="3">
        <f>HOUR(CallLog[[#This Row],[Time]])</f>
        <v>10</v>
      </c>
      <c r="H4130" t="s">
        <v>13</v>
      </c>
      <c r="I4130" t="s">
        <v>14</v>
      </c>
      <c r="J4130" t="s">
        <v>14</v>
      </c>
      <c r="K4130">
        <v>77</v>
      </c>
      <c r="L4130" t="str">
        <f>IF(AND(CallLog[[#This Row],[Answered (Y/N)]]="Y", CallLog[[#This Row],[Speed of answer in seconds]]&lt;=20),
    "Within",
    "Breach")</f>
        <v>Breach</v>
      </c>
      <c r="M4130" s="1">
        <v>5.5555555555555556E-4</v>
      </c>
      <c r="N4130">
        <v>2</v>
      </c>
    </row>
    <row r="4131" spans="1:14" x14ac:dyDescent="0.3">
      <c r="A4131" t="s">
        <v>4227</v>
      </c>
      <c r="B4131" t="s">
        <v>11</v>
      </c>
      <c r="C4131" t="s">
        <v>4218</v>
      </c>
      <c r="D4131" s="1">
        <v>0.42299768518518521</v>
      </c>
      <c r="E4131" s="2">
        <f>CallLog[[#This Row],[Date]]+CallLog[[#This Row],[Time]]</f>
        <v>44269.422997685186</v>
      </c>
      <c r="F4131" s="1" t="str">
        <f>TEXT(CallLog[[#This Row],[Date]],"dddd")</f>
        <v>Sunday</v>
      </c>
      <c r="G4131" s="3">
        <f>HOUR(CallLog[[#This Row],[Time]])</f>
        <v>10</v>
      </c>
      <c r="H4131" t="s">
        <v>29</v>
      </c>
      <c r="I4131" t="s">
        <v>14</v>
      </c>
      <c r="J4131" t="s">
        <v>14</v>
      </c>
      <c r="K4131">
        <v>72</v>
      </c>
      <c r="L4131" t="str">
        <f>IF(AND(CallLog[[#This Row],[Answered (Y/N)]]="Y", CallLog[[#This Row],[Speed of answer in seconds]]&lt;=20),
    "Within",
    "Breach")</f>
        <v>Breach</v>
      </c>
      <c r="M4131" s="1">
        <v>1.9097222222222222E-3</v>
      </c>
      <c r="N4131">
        <v>1</v>
      </c>
    </row>
    <row r="4132" spans="1:14" x14ac:dyDescent="0.3">
      <c r="A4132" t="s">
        <v>4228</v>
      </c>
      <c r="B4132" t="s">
        <v>34</v>
      </c>
      <c r="C4132" t="s">
        <v>4218</v>
      </c>
      <c r="D4132" s="1">
        <v>0.43900462962962961</v>
      </c>
      <c r="E4132" s="2">
        <f>CallLog[[#This Row],[Date]]+CallLog[[#This Row],[Time]]</f>
        <v>44269.439004629632</v>
      </c>
      <c r="F4132" s="1" t="str">
        <f>TEXT(CallLog[[#This Row],[Date]],"dddd")</f>
        <v>Sunday</v>
      </c>
      <c r="G4132" s="3">
        <f>HOUR(CallLog[[#This Row],[Time]])</f>
        <v>10</v>
      </c>
      <c r="H4132" t="s">
        <v>32</v>
      </c>
      <c r="I4132" t="s">
        <v>14</v>
      </c>
      <c r="J4132" t="s">
        <v>14</v>
      </c>
      <c r="K4132">
        <v>83</v>
      </c>
      <c r="L4132" t="str">
        <f>IF(AND(CallLog[[#This Row],[Answered (Y/N)]]="Y", CallLog[[#This Row],[Speed of answer in seconds]]&lt;=20),
    "Within",
    "Breach")</f>
        <v>Breach</v>
      </c>
      <c r="M4132" s="1">
        <v>1.4004629629629629E-3</v>
      </c>
      <c r="N4132">
        <v>3</v>
      </c>
    </row>
    <row r="4133" spans="1:14" x14ac:dyDescent="0.3">
      <c r="A4133" t="s">
        <v>4229</v>
      </c>
      <c r="B4133" t="s">
        <v>31</v>
      </c>
      <c r="C4133" t="s">
        <v>4218</v>
      </c>
      <c r="D4133" s="1">
        <v>0.43900462962962961</v>
      </c>
      <c r="E4133" s="2">
        <f>CallLog[[#This Row],[Date]]+CallLog[[#This Row],[Time]]</f>
        <v>44269.439004629632</v>
      </c>
      <c r="F4133" s="1" t="str">
        <f>TEXT(CallLog[[#This Row],[Date]],"dddd")</f>
        <v>Sunday</v>
      </c>
      <c r="G4133" s="3">
        <f>HOUR(CallLog[[#This Row],[Time]])</f>
        <v>10</v>
      </c>
      <c r="H4133" t="s">
        <v>32</v>
      </c>
      <c r="I4133" t="s">
        <v>14</v>
      </c>
      <c r="J4133" t="s">
        <v>14</v>
      </c>
      <c r="K4133">
        <v>120</v>
      </c>
      <c r="L4133" t="str">
        <f>IF(AND(CallLog[[#This Row],[Answered (Y/N)]]="Y", CallLog[[#This Row],[Speed of answer in seconds]]&lt;=20),
    "Within",
    "Breach")</f>
        <v>Breach</v>
      </c>
      <c r="M4133" s="1">
        <v>1.2268518518518518E-3</v>
      </c>
      <c r="N4133">
        <v>3</v>
      </c>
    </row>
    <row r="4134" spans="1:14" x14ac:dyDescent="0.3">
      <c r="A4134" t="s">
        <v>4230</v>
      </c>
      <c r="B4134" t="s">
        <v>11</v>
      </c>
      <c r="C4134" t="s">
        <v>4218</v>
      </c>
      <c r="D4134" s="1">
        <v>0.46500000000000002</v>
      </c>
      <c r="E4134" s="2">
        <f>CallLog[[#This Row],[Date]]+CallLog[[#This Row],[Time]]</f>
        <v>44269.464999999997</v>
      </c>
      <c r="F4134" s="1" t="str">
        <f>TEXT(CallLog[[#This Row],[Date]],"dddd")</f>
        <v>Sunday</v>
      </c>
      <c r="G4134" s="3">
        <f>HOUR(CallLog[[#This Row],[Time]])</f>
        <v>11</v>
      </c>
      <c r="H4134" t="s">
        <v>13</v>
      </c>
      <c r="I4134" t="s">
        <v>14</v>
      </c>
      <c r="J4134" t="s">
        <v>14</v>
      </c>
      <c r="K4134">
        <v>82</v>
      </c>
      <c r="L4134" t="str">
        <f>IF(AND(CallLog[[#This Row],[Answered (Y/N)]]="Y", CallLog[[#This Row],[Speed of answer in seconds]]&lt;=20),
    "Within",
    "Breach")</f>
        <v>Breach</v>
      </c>
      <c r="M4134" s="1">
        <v>2.9629629629629628E-3</v>
      </c>
      <c r="N4134">
        <v>5</v>
      </c>
    </row>
    <row r="4135" spans="1:14" x14ac:dyDescent="0.3">
      <c r="A4135" t="s">
        <v>4231</v>
      </c>
      <c r="B4135" t="s">
        <v>38</v>
      </c>
      <c r="C4135" t="s">
        <v>4218</v>
      </c>
      <c r="D4135" s="1">
        <v>0.46500000000000002</v>
      </c>
      <c r="E4135" s="2">
        <f>CallLog[[#This Row],[Date]]+CallLog[[#This Row],[Time]]</f>
        <v>44269.464999999997</v>
      </c>
      <c r="F4135" s="1" t="str">
        <f>TEXT(CallLog[[#This Row],[Date]],"dddd")</f>
        <v>Sunday</v>
      </c>
      <c r="G4135" s="3">
        <f>HOUR(CallLog[[#This Row],[Time]])</f>
        <v>11</v>
      </c>
      <c r="H4135" t="s">
        <v>32</v>
      </c>
      <c r="I4135" t="s">
        <v>14</v>
      </c>
      <c r="J4135" t="s">
        <v>14</v>
      </c>
      <c r="K4135">
        <v>61</v>
      </c>
      <c r="L4135" t="str">
        <f>IF(AND(CallLog[[#This Row],[Answered (Y/N)]]="Y", CallLog[[#This Row],[Speed of answer in seconds]]&lt;=20),
    "Within",
    "Breach")</f>
        <v>Breach</v>
      </c>
      <c r="M4135" s="1">
        <v>4.6180555555555558E-3</v>
      </c>
      <c r="N4135">
        <v>5</v>
      </c>
    </row>
    <row r="4136" spans="1:14" x14ac:dyDescent="0.3">
      <c r="A4136" t="s">
        <v>4232</v>
      </c>
      <c r="B4136" t="s">
        <v>31</v>
      </c>
      <c r="C4136" t="s">
        <v>4218</v>
      </c>
      <c r="D4136" s="1">
        <v>0.47599537037037037</v>
      </c>
      <c r="E4136" s="2">
        <f>CallLog[[#This Row],[Date]]+CallLog[[#This Row],[Time]]</f>
        <v>44269.475995370369</v>
      </c>
      <c r="F4136" s="1" t="str">
        <f>TEXT(CallLog[[#This Row],[Date]],"dddd")</f>
        <v>Sunday</v>
      </c>
      <c r="G4136" s="3">
        <f>HOUR(CallLog[[#This Row],[Time]])</f>
        <v>11</v>
      </c>
      <c r="H4136" t="s">
        <v>13</v>
      </c>
      <c r="I4136" t="s">
        <v>14</v>
      </c>
      <c r="J4136" t="s">
        <v>14</v>
      </c>
      <c r="K4136">
        <v>69</v>
      </c>
      <c r="L4136" t="str">
        <f>IF(AND(CallLog[[#This Row],[Answered (Y/N)]]="Y", CallLog[[#This Row],[Speed of answer in seconds]]&lt;=20),
    "Within",
    "Breach")</f>
        <v>Breach</v>
      </c>
      <c r="M4136" s="1">
        <v>1.8402777777777777E-3</v>
      </c>
      <c r="N4136">
        <v>2</v>
      </c>
    </row>
    <row r="4137" spans="1:14" x14ac:dyDescent="0.3">
      <c r="A4137" t="s">
        <v>4233</v>
      </c>
      <c r="B4137" t="s">
        <v>31</v>
      </c>
      <c r="C4137" t="s">
        <v>4218</v>
      </c>
      <c r="D4137" s="1">
        <v>0.47599537037037037</v>
      </c>
      <c r="E4137" s="2">
        <f>CallLog[[#This Row],[Date]]+CallLog[[#This Row],[Time]]</f>
        <v>44269.475995370369</v>
      </c>
      <c r="F4137" s="1" t="str">
        <f>TEXT(CallLog[[#This Row],[Date]],"dddd")</f>
        <v>Sunday</v>
      </c>
      <c r="G4137" s="3">
        <f>HOUR(CallLog[[#This Row],[Time]])</f>
        <v>11</v>
      </c>
      <c r="H4137" t="s">
        <v>17</v>
      </c>
      <c r="I4137" t="s">
        <v>14</v>
      </c>
      <c r="J4137" t="s">
        <v>18</v>
      </c>
      <c r="K4137">
        <v>19</v>
      </c>
      <c r="L4137" t="str">
        <f>IF(AND(CallLog[[#This Row],[Answered (Y/N)]]="Y", CallLog[[#This Row],[Speed of answer in seconds]]&lt;=20),
    "Within",
    "Breach")</f>
        <v>Within</v>
      </c>
      <c r="M4137" s="1">
        <v>2.9745370370370373E-3</v>
      </c>
      <c r="N4137">
        <v>4</v>
      </c>
    </row>
    <row r="4138" spans="1:14" x14ac:dyDescent="0.3">
      <c r="A4138" t="s">
        <v>4234</v>
      </c>
      <c r="B4138" t="s">
        <v>11</v>
      </c>
      <c r="C4138" t="s">
        <v>4218</v>
      </c>
      <c r="D4138" s="1">
        <v>0.48400462962962965</v>
      </c>
      <c r="E4138" s="2">
        <f>CallLog[[#This Row],[Date]]+CallLog[[#This Row],[Time]]</f>
        <v>44269.48400462963</v>
      </c>
      <c r="F4138" s="1" t="str">
        <f>TEXT(CallLog[[#This Row],[Date]],"dddd")</f>
        <v>Sunday</v>
      </c>
      <c r="G4138" s="3">
        <f>HOUR(CallLog[[#This Row],[Time]])</f>
        <v>11</v>
      </c>
      <c r="H4138" t="s">
        <v>17</v>
      </c>
      <c r="I4138" t="s">
        <v>14</v>
      </c>
      <c r="J4138" t="s">
        <v>14</v>
      </c>
      <c r="K4138">
        <v>35</v>
      </c>
      <c r="L4138" t="str">
        <f>IF(AND(CallLog[[#This Row],[Answered (Y/N)]]="Y", CallLog[[#This Row],[Speed of answer in seconds]]&lt;=20),
    "Within",
    "Breach")</f>
        <v>Breach</v>
      </c>
      <c r="M4138" s="1">
        <v>2.9513888888888888E-3</v>
      </c>
      <c r="N4138">
        <v>2</v>
      </c>
    </row>
    <row r="4139" spans="1:14" x14ac:dyDescent="0.3">
      <c r="A4139" t="s">
        <v>4235</v>
      </c>
      <c r="B4139" t="s">
        <v>31</v>
      </c>
      <c r="C4139" t="s">
        <v>4218</v>
      </c>
      <c r="D4139" s="1">
        <v>0.48400462962962965</v>
      </c>
      <c r="E4139" s="2">
        <f>CallLog[[#This Row],[Date]]+CallLog[[#This Row],[Time]]</f>
        <v>44269.48400462963</v>
      </c>
      <c r="F4139" s="1" t="str">
        <f>TEXT(CallLog[[#This Row],[Date]],"dddd")</f>
        <v>Sunday</v>
      </c>
      <c r="G4139" s="3">
        <f>HOUR(CallLog[[#This Row],[Time]])</f>
        <v>11</v>
      </c>
      <c r="H4139" t="s">
        <v>24</v>
      </c>
      <c r="I4139" t="s">
        <v>18</v>
      </c>
      <c r="J4139" t="s">
        <v>18</v>
      </c>
      <c r="L4139" t="str">
        <f>IF(AND(CallLog[[#This Row],[Answered (Y/N)]]="Y", CallLog[[#This Row],[Speed of answer in seconds]]&lt;=20),
    "Within",
    "Breach")</f>
        <v>Breach</v>
      </c>
    </row>
    <row r="4140" spans="1:14" x14ac:dyDescent="0.3">
      <c r="A4140" t="s">
        <v>4236</v>
      </c>
      <c r="B4140" t="s">
        <v>31</v>
      </c>
      <c r="C4140" t="s">
        <v>4218</v>
      </c>
      <c r="D4140" s="1">
        <v>0.495</v>
      </c>
      <c r="E4140" s="2">
        <f>CallLog[[#This Row],[Date]]+CallLog[[#This Row],[Time]]</f>
        <v>44269.495000000003</v>
      </c>
      <c r="F4140" s="1" t="str">
        <f>TEXT(CallLog[[#This Row],[Date]],"dddd")</f>
        <v>Sunday</v>
      </c>
      <c r="G4140" s="3">
        <f>HOUR(CallLog[[#This Row],[Time]])</f>
        <v>11</v>
      </c>
      <c r="H4140" t="s">
        <v>13</v>
      </c>
      <c r="I4140" t="s">
        <v>14</v>
      </c>
      <c r="J4140" t="s">
        <v>14</v>
      </c>
      <c r="K4140">
        <v>11</v>
      </c>
      <c r="L4140" t="str">
        <f>IF(AND(CallLog[[#This Row],[Answered (Y/N)]]="Y", CallLog[[#This Row],[Speed of answer in seconds]]&lt;=20),
    "Within",
    "Breach")</f>
        <v>Within</v>
      </c>
      <c r="M4140" s="1">
        <v>4.4907407407407405E-3</v>
      </c>
      <c r="N4140">
        <v>3</v>
      </c>
    </row>
    <row r="4141" spans="1:14" x14ac:dyDescent="0.3">
      <c r="A4141" t="s">
        <v>4237</v>
      </c>
      <c r="B4141" t="s">
        <v>31</v>
      </c>
      <c r="C4141" t="s">
        <v>4218</v>
      </c>
      <c r="D4141" s="1">
        <v>0.495</v>
      </c>
      <c r="E4141" s="2">
        <f>CallLog[[#This Row],[Date]]+CallLog[[#This Row],[Time]]</f>
        <v>44269.495000000003</v>
      </c>
      <c r="F4141" s="1" t="str">
        <f>TEXT(CallLog[[#This Row],[Date]],"dddd")</f>
        <v>Sunday</v>
      </c>
      <c r="G4141" s="3">
        <f>HOUR(CallLog[[#This Row],[Time]])</f>
        <v>11</v>
      </c>
      <c r="H4141" t="s">
        <v>29</v>
      </c>
      <c r="I4141" t="s">
        <v>14</v>
      </c>
      <c r="J4141" t="s">
        <v>14</v>
      </c>
      <c r="K4141">
        <v>110</v>
      </c>
      <c r="L4141" t="str">
        <f>IF(AND(CallLog[[#This Row],[Answered (Y/N)]]="Y", CallLog[[#This Row],[Speed of answer in seconds]]&lt;=20),
    "Within",
    "Breach")</f>
        <v>Breach</v>
      </c>
      <c r="M4141" s="1">
        <v>5.6712962962962967E-4</v>
      </c>
      <c r="N4141">
        <v>3</v>
      </c>
    </row>
    <row r="4142" spans="1:14" x14ac:dyDescent="0.3">
      <c r="A4142" t="s">
        <v>4238</v>
      </c>
      <c r="B4142" t="s">
        <v>47</v>
      </c>
      <c r="C4142" t="s">
        <v>4218</v>
      </c>
      <c r="D4142" s="1">
        <v>0.54200231481481487</v>
      </c>
      <c r="E4142" s="2">
        <f>CallLog[[#This Row],[Date]]+CallLog[[#This Row],[Time]]</f>
        <v>44269.542002314818</v>
      </c>
      <c r="F4142" s="1" t="str">
        <f>TEXT(CallLog[[#This Row],[Date]],"dddd")</f>
        <v>Sunday</v>
      </c>
      <c r="G4142" s="3">
        <f>HOUR(CallLog[[#This Row],[Time]])</f>
        <v>13</v>
      </c>
      <c r="H4142" t="s">
        <v>24</v>
      </c>
      <c r="I4142" t="s">
        <v>14</v>
      </c>
      <c r="J4142" t="s">
        <v>14</v>
      </c>
      <c r="K4142">
        <v>119</v>
      </c>
      <c r="L4142" t="str">
        <f>IF(AND(CallLog[[#This Row],[Answered (Y/N)]]="Y", CallLog[[#This Row],[Speed of answer in seconds]]&lt;=20),
    "Within",
    "Breach")</f>
        <v>Breach</v>
      </c>
      <c r="M4142" s="1">
        <v>1.5856481481481481E-3</v>
      </c>
      <c r="N4142">
        <v>1</v>
      </c>
    </row>
    <row r="4143" spans="1:14" x14ac:dyDescent="0.3">
      <c r="A4143" t="s">
        <v>4239</v>
      </c>
      <c r="B4143" t="s">
        <v>31</v>
      </c>
      <c r="C4143" t="s">
        <v>4218</v>
      </c>
      <c r="D4143" s="1">
        <v>0.54200231481481487</v>
      </c>
      <c r="E4143" s="2">
        <f>CallLog[[#This Row],[Date]]+CallLog[[#This Row],[Time]]</f>
        <v>44269.542002314818</v>
      </c>
      <c r="F4143" s="1" t="str">
        <f>TEXT(CallLog[[#This Row],[Date]],"dddd")</f>
        <v>Sunday</v>
      </c>
      <c r="G4143" s="3">
        <f>HOUR(CallLog[[#This Row],[Time]])</f>
        <v>13</v>
      </c>
      <c r="H4143" t="s">
        <v>13</v>
      </c>
      <c r="I4143" t="s">
        <v>14</v>
      </c>
      <c r="J4143" t="s">
        <v>14</v>
      </c>
      <c r="K4143">
        <v>38</v>
      </c>
      <c r="L4143" t="str">
        <f>IF(AND(CallLog[[#This Row],[Answered (Y/N)]]="Y", CallLog[[#This Row],[Speed of answer in seconds]]&lt;=20),
    "Within",
    "Breach")</f>
        <v>Breach</v>
      </c>
      <c r="M4143" s="1">
        <v>1.0069444444444444E-3</v>
      </c>
      <c r="N4143">
        <v>4</v>
      </c>
    </row>
    <row r="4144" spans="1:14" x14ac:dyDescent="0.3">
      <c r="A4144" t="s">
        <v>4240</v>
      </c>
      <c r="B4144" t="s">
        <v>34</v>
      </c>
      <c r="C4144" t="s">
        <v>4218</v>
      </c>
      <c r="D4144" s="1">
        <v>0.54799768518518521</v>
      </c>
      <c r="E4144" s="2">
        <f>CallLog[[#This Row],[Date]]+CallLog[[#This Row],[Time]]</f>
        <v>44269.547997685186</v>
      </c>
      <c r="F4144" s="1" t="str">
        <f>TEXT(CallLog[[#This Row],[Date]],"dddd")</f>
        <v>Sunday</v>
      </c>
      <c r="G4144" s="3">
        <f>HOUR(CallLog[[#This Row],[Time]])</f>
        <v>13</v>
      </c>
      <c r="H4144" t="s">
        <v>24</v>
      </c>
      <c r="I4144" t="s">
        <v>14</v>
      </c>
      <c r="J4144" t="s">
        <v>14</v>
      </c>
      <c r="K4144">
        <v>40</v>
      </c>
      <c r="L4144" t="str">
        <f>IF(AND(CallLog[[#This Row],[Answered (Y/N)]]="Y", CallLog[[#This Row],[Speed of answer in seconds]]&lt;=20),
    "Within",
    "Breach")</f>
        <v>Breach</v>
      </c>
      <c r="M4144" s="1">
        <v>3.5648148148148149E-3</v>
      </c>
      <c r="N4144">
        <v>4</v>
      </c>
    </row>
    <row r="4145" spans="1:14" x14ac:dyDescent="0.3">
      <c r="A4145" t="s">
        <v>4241</v>
      </c>
      <c r="B4145" t="s">
        <v>47</v>
      </c>
      <c r="C4145" t="s">
        <v>4218</v>
      </c>
      <c r="D4145" s="1">
        <v>0.54799768518518521</v>
      </c>
      <c r="E4145" s="2">
        <f>CallLog[[#This Row],[Date]]+CallLog[[#This Row],[Time]]</f>
        <v>44269.547997685186</v>
      </c>
      <c r="F4145" s="1" t="str">
        <f>TEXT(CallLog[[#This Row],[Date]],"dddd")</f>
        <v>Sunday</v>
      </c>
      <c r="G4145" s="3">
        <f>HOUR(CallLog[[#This Row],[Time]])</f>
        <v>13</v>
      </c>
      <c r="H4145" t="s">
        <v>32</v>
      </c>
      <c r="I4145" t="s">
        <v>14</v>
      </c>
      <c r="J4145" t="s">
        <v>14</v>
      </c>
      <c r="K4145">
        <v>19</v>
      </c>
      <c r="L4145" t="str">
        <f>IF(AND(CallLog[[#This Row],[Answered (Y/N)]]="Y", CallLog[[#This Row],[Speed of answer in seconds]]&lt;=20),
    "Within",
    "Breach")</f>
        <v>Within</v>
      </c>
      <c r="M4145" s="1">
        <v>3.0787037037037037E-3</v>
      </c>
      <c r="N4145">
        <v>5</v>
      </c>
    </row>
    <row r="4146" spans="1:14" x14ac:dyDescent="0.3">
      <c r="A4146" t="s">
        <v>4242</v>
      </c>
      <c r="B4146" t="s">
        <v>47</v>
      </c>
      <c r="C4146" t="s">
        <v>4218</v>
      </c>
      <c r="D4146" s="1">
        <v>0.55299768518518522</v>
      </c>
      <c r="E4146" s="2">
        <f>CallLog[[#This Row],[Date]]+CallLog[[#This Row],[Time]]</f>
        <v>44269.552997685183</v>
      </c>
      <c r="F4146" s="1" t="str">
        <f>TEXT(CallLog[[#This Row],[Date]],"dddd")</f>
        <v>Sunday</v>
      </c>
      <c r="G4146" s="3">
        <f>HOUR(CallLog[[#This Row],[Time]])</f>
        <v>13</v>
      </c>
      <c r="H4146" t="s">
        <v>17</v>
      </c>
      <c r="I4146" t="s">
        <v>18</v>
      </c>
      <c r="J4146" t="s">
        <v>18</v>
      </c>
      <c r="L4146" t="str">
        <f>IF(AND(CallLog[[#This Row],[Answered (Y/N)]]="Y", CallLog[[#This Row],[Speed of answer in seconds]]&lt;=20),
    "Within",
    "Breach")</f>
        <v>Breach</v>
      </c>
    </row>
    <row r="4147" spans="1:14" x14ac:dyDescent="0.3">
      <c r="A4147" t="s">
        <v>4243</v>
      </c>
      <c r="B4147" t="s">
        <v>38</v>
      </c>
      <c r="C4147" t="s">
        <v>4218</v>
      </c>
      <c r="D4147" s="1">
        <v>0.55299768518518522</v>
      </c>
      <c r="E4147" s="2">
        <f>CallLog[[#This Row],[Date]]+CallLog[[#This Row],[Time]]</f>
        <v>44269.552997685183</v>
      </c>
      <c r="F4147" s="1" t="str">
        <f>TEXT(CallLog[[#This Row],[Date]],"dddd")</f>
        <v>Sunday</v>
      </c>
      <c r="G4147" s="3">
        <f>HOUR(CallLog[[#This Row],[Time]])</f>
        <v>13</v>
      </c>
      <c r="H4147" t="s">
        <v>24</v>
      </c>
      <c r="I4147" t="s">
        <v>14</v>
      </c>
      <c r="J4147" t="s">
        <v>14</v>
      </c>
      <c r="K4147">
        <v>63</v>
      </c>
      <c r="L4147" t="str">
        <f>IF(AND(CallLog[[#This Row],[Answered (Y/N)]]="Y", CallLog[[#This Row],[Speed of answer in seconds]]&lt;=20),
    "Within",
    "Breach")</f>
        <v>Breach</v>
      </c>
      <c r="M4147" s="1">
        <v>3.9930555555555552E-3</v>
      </c>
      <c r="N4147">
        <v>3</v>
      </c>
    </row>
    <row r="4148" spans="1:14" x14ac:dyDescent="0.3">
      <c r="A4148" t="s">
        <v>4244</v>
      </c>
      <c r="B4148" t="s">
        <v>31</v>
      </c>
      <c r="C4148" t="s">
        <v>4218</v>
      </c>
      <c r="D4148" s="1">
        <v>0.5590046296296296</v>
      </c>
      <c r="E4148" s="2">
        <f>CallLog[[#This Row],[Date]]+CallLog[[#This Row],[Time]]</f>
        <v>44269.559004629627</v>
      </c>
      <c r="F4148" s="1" t="str">
        <f>TEXT(CallLog[[#This Row],[Date]],"dddd")</f>
        <v>Sunday</v>
      </c>
      <c r="G4148" s="3">
        <f>HOUR(CallLog[[#This Row],[Time]])</f>
        <v>13</v>
      </c>
      <c r="H4148" t="s">
        <v>17</v>
      </c>
      <c r="I4148" t="s">
        <v>14</v>
      </c>
      <c r="J4148" t="s">
        <v>14</v>
      </c>
      <c r="K4148">
        <v>33</v>
      </c>
      <c r="L4148" t="str">
        <f>IF(AND(CallLog[[#This Row],[Answered (Y/N)]]="Y", CallLog[[#This Row],[Speed of answer in seconds]]&lt;=20),
    "Within",
    "Breach")</f>
        <v>Breach</v>
      </c>
      <c r="M4148" s="1">
        <v>2.1990740740740742E-3</v>
      </c>
      <c r="N4148">
        <v>5</v>
      </c>
    </row>
    <row r="4149" spans="1:14" x14ac:dyDescent="0.3">
      <c r="A4149" t="s">
        <v>4245</v>
      </c>
      <c r="B4149" t="s">
        <v>16</v>
      </c>
      <c r="C4149" t="s">
        <v>4218</v>
      </c>
      <c r="D4149" s="1">
        <v>0.5590046296296296</v>
      </c>
      <c r="E4149" s="2">
        <f>CallLog[[#This Row],[Date]]+CallLog[[#This Row],[Time]]</f>
        <v>44269.559004629627</v>
      </c>
      <c r="F4149" s="1" t="str">
        <f>TEXT(CallLog[[#This Row],[Date]],"dddd")</f>
        <v>Sunday</v>
      </c>
      <c r="G4149" s="3">
        <f>HOUR(CallLog[[#This Row],[Time]])</f>
        <v>13</v>
      </c>
      <c r="H4149" t="s">
        <v>17</v>
      </c>
      <c r="I4149" t="s">
        <v>18</v>
      </c>
      <c r="J4149" t="s">
        <v>18</v>
      </c>
      <c r="L4149" t="str">
        <f>IF(AND(CallLog[[#This Row],[Answered (Y/N)]]="Y", CallLog[[#This Row],[Speed of answer in seconds]]&lt;=20),
    "Within",
    "Breach")</f>
        <v>Breach</v>
      </c>
    </row>
    <row r="4150" spans="1:14" x14ac:dyDescent="0.3">
      <c r="A4150" t="s">
        <v>4246</v>
      </c>
      <c r="B4150" t="s">
        <v>31</v>
      </c>
      <c r="C4150" t="s">
        <v>4218</v>
      </c>
      <c r="D4150" s="1">
        <v>0.56999999999999995</v>
      </c>
      <c r="E4150" s="2">
        <f>CallLog[[#This Row],[Date]]+CallLog[[#This Row],[Time]]</f>
        <v>44269.57</v>
      </c>
      <c r="F4150" s="1" t="str">
        <f>TEXT(CallLog[[#This Row],[Date]],"dddd")</f>
        <v>Sunday</v>
      </c>
      <c r="G4150" s="3">
        <f>HOUR(CallLog[[#This Row],[Time]])</f>
        <v>13</v>
      </c>
      <c r="H4150" t="s">
        <v>29</v>
      </c>
      <c r="I4150" t="s">
        <v>14</v>
      </c>
      <c r="J4150" t="s">
        <v>18</v>
      </c>
      <c r="K4150">
        <v>26</v>
      </c>
      <c r="L4150" t="str">
        <f>IF(AND(CallLog[[#This Row],[Answered (Y/N)]]="Y", CallLog[[#This Row],[Speed of answer in seconds]]&lt;=20),
    "Within",
    "Breach")</f>
        <v>Breach</v>
      </c>
      <c r="M4150" s="1">
        <v>3.5648148148148149E-3</v>
      </c>
      <c r="N4150">
        <v>5</v>
      </c>
    </row>
    <row r="4151" spans="1:14" x14ac:dyDescent="0.3">
      <c r="A4151" t="s">
        <v>4247</v>
      </c>
      <c r="B4151" t="s">
        <v>31</v>
      </c>
      <c r="C4151" t="s">
        <v>4218</v>
      </c>
      <c r="D4151" s="1">
        <v>0.56999999999999995</v>
      </c>
      <c r="E4151" s="2">
        <f>CallLog[[#This Row],[Date]]+CallLog[[#This Row],[Time]]</f>
        <v>44269.57</v>
      </c>
      <c r="F4151" s="1" t="str">
        <f>TEXT(CallLog[[#This Row],[Date]],"dddd")</f>
        <v>Sunday</v>
      </c>
      <c r="G4151" s="3">
        <f>HOUR(CallLog[[#This Row],[Time]])</f>
        <v>13</v>
      </c>
      <c r="H4151" t="s">
        <v>32</v>
      </c>
      <c r="I4151" t="s">
        <v>18</v>
      </c>
      <c r="J4151" t="s">
        <v>18</v>
      </c>
      <c r="L4151" t="str">
        <f>IF(AND(CallLog[[#This Row],[Answered (Y/N)]]="Y", CallLog[[#This Row],[Speed of answer in seconds]]&lt;=20),
    "Within",
    "Breach")</f>
        <v>Breach</v>
      </c>
    </row>
    <row r="4152" spans="1:14" x14ac:dyDescent="0.3">
      <c r="A4152" t="s">
        <v>4248</v>
      </c>
      <c r="B4152" t="s">
        <v>11</v>
      </c>
      <c r="C4152" t="s">
        <v>4218</v>
      </c>
      <c r="D4152" s="1">
        <v>0.57400462962962961</v>
      </c>
      <c r="E4152" s="2">
        <f>CallLog[[#This Row],[Date]]+CallLog[[#This Row],[Time]]</f>
        <v>44269.574004629627</v>
      </c>
      <c r="F4152" s="1" t="str">
        <f>TEXT(CallLog[[#This Row],[Date]],"dddd")</f>
        <v>Sunday</v>
      </c>
      <c r="G4152" s="3">
        <f>HOUR(CallLog[[#This Row],[Time]])</f>
        <v>13</v>
      </c>
      <c r="H4152" t="s">
        <v>13</v>
      </c>
      <c r="I4152" t="s">
        <v>18</v>
      </c>
      <c r="J4152" t="s">
        <v>18</v>
      </c>
      <c r="L4152" t="str">
        <f>IF(AND(CallLog[[#This Row],[Answered (Y/N)]]="Y", CallLog[[#This Row],[Speed of answer in seconds]]&lt;=20),
    "Within",
    "Breach")</f>
        <v>Breach</v>
      </c>
    </row>
    <row r="4153" spans="1:14" x14ac:dyDescent="0.3">
      <c r="A4153" t="s">
        <v>4249</v>
      </c>
      <c r="B4153" t="s">
        <v>31</v>
      </c>
      <c r="C4153" t="s">
        <v>4218</v>
      </c>
      <c r="D4153" s="1">
        <v>0.57400462962962961</v>
      </c>
      <c r="E4153" s="2">
        <f>CallLog[[#This Row],[Date]]+CallLog[[#This Row],[Time]]</f>
        <v>44269.574004629627</v>
      </c>
      <c r="F4153" s="1" t="str">
        <f>TEXT(CallLog[[#This Row],[Date]],"dddd")</f>
        <v>Sunday</v>
      </c>
      <c r="G4153" s="3">
        <f>HOUR(CallLog[[#This Row],[Time]])</f>
        <v>13</v>
      </c>
      <c r="H4153" t="s">
        <v>29</v>
      </c>
      <c r="I4153" t="s">
        <v>14</v>
      </c>
      <c r="J4153" t="s">
        <v>14</v>
      </c>
      <c r="K4153">
        <v>81</v>
      </c>
      <c r="L4153" t="str">
        <f>IF(AND(CallLog[[#This Row],[Answered (Y/N)]]="Y", CallLog[[#This Row],[Speed of answer in seconds]]&lt;=20),
    "Within",
    "Breach")</f>
        <v>Breach</v>
      </c>
      <c r="M4153" s="1">
        <v>2.4421296296296296E-3</v>
      </c>
      <c r="N4153">
        <v>5</v>
      </c>
    </row>
    <row r="4154" spans="1:14" x14ac:dyDescent="0.3">
      <c r="A4154" t="s">
        <v>4250</v>
      </c>
      <c r="B4154" t="s">
        <v>38</v>
      </c>
      <c r="C4154" t="s">
        <v>4218</v>
      </c>
      <c r="D4154" s="1">
        <v>0.58599537037037042</v>
      </c>
      <c r="E4154" s="2">
        <f>CallLog[[#This Row],[Date]]+CallLog[[#This Row],[Time]]</f>
        <v>44269.585995370369</v>
      </c>
      <c r="F4154" s="1" t="str">
        <f>TEXT(CallLog[[#This Row],[Date]],"dddd")</f>
        <v>Sunday</v>
      </c>
      <c r="G4154" s="3">
        <f>HOUR(CallLog[[#This Row],[Time]])</f>
        <v>14</v>
      </c>
      <c r="H4154" t="s">
        <v>17</v>
      </c>
      <c r="I4154" t="s">
        <v>14</v>
      </c>
      <c r="J4154" t="s">
        <v>14</v>
      </c>
      <c r="K4154">
        <v>65</v>
      </c>
      <c r="L4154" t="str">
        <f>IF(AND(CallLog[[#This Row],[Answered (Y/N)]]="Y", CallLog[[#This Row],[Speed of answer in seconds]]&lt;=20),
    "Within",
    "Breach")</f>
        <v>Breach</v>
      </c>
      <c r="M4154" s="1">
        <v>4.4907407407407405E-3</v>
      </c>
      <c r="N4154">
        <v>3</v>
      </c>
    </row>
    <row r="4155" spans="1:14" x14ac:dyDescent="0.3">
      <c r="A4155" t="s">
        <v>4251</v>
      </c>
      <c r="B4155" t="s">
        <v>31</v>
      </c>
      <c r="C4155" t="s">
        <v>4218</v>
      </c>
      <c r="D4155" s="1">
        <v>0.58599537037037042</v>
      </c>
      <c r="E4155" s="2">
        <f>CallLog[[#This Row],[Date]]+CallLog[[#This Row],[Time]]</f>
        <v>44269.585995370369</v>
      </c>
      <c r="F4155" s="1" t="str">
        <f>TEXT(CallLog[[#This Row],[Date]],"dddd")</f>
        <v>Sunday</v>
      </c>
      <c r="G4155" s="3">
        <f>HOUR(CallLog[[#This Row],[Time]])</f>
        <v>14</v>
      </c>
      <c r="H4155" t="s">
        <v>29</v>
      </c>
      <c r="I4155" t="s">
        <v>14</v>
      </c>
      <c r="J4155" t="s">
        <v>14</v>
      </c>
      <c r="K4155">
        <v>84</v>
      </c>
      <c r="L4155" t="str">
        <f>IF(AND(CallLog[[#This Row],[Answered (Y/N)]]="Y", CallLog[[#This Row],[Speed of answer in seconds]]&lt;=20),
    "Within",
    "Breach")</f>
        <v>Breach</v>
      </c>
      <c r="M4155" s="1">
        <v>2.9398148148148148E-3</v>
      </c>
      <c r="N4155">
        <v>3</v>
      </c>
    </row>
    <row r="4156" spans="1:14" x14ac:dyDescent="0.3">
      <c r="A4156" t="s">
        <v>4252</v>
      </c>
      <c r="B4156" t="s">
        <v>31</v>
      </c>
      <c r="C4156" t="s">
        <v>4218</v>
      </c>
      <c r="D4156" s="1">
        <v>0.60099537037037032</v>
      </c>
      <c r="E4156" s="2">
        <f>CallLog[[#This Row],[Date]]+CallLog[[#This Row],[Time]]</f>
        <v>44269.600995370369</v>
      </c>
      <c r="F4156" s="1" t="str">
        <f>TEXT(CallLog[[#This Row],[Date]],"dddd")</f>
        <v>Sunday</v>
      </c>
      <c r="G4156" s="3">
        <f>HOUR(CallLog[[#This Row],[Time]])</f>
        <v>14</v>
      </c>
      <c r="H4156" t="s">
        <v>29</v>
      </c>
      <c r="I4156" t="s">
        <v>14</v>
      </c>
      <c r="J4156" t="s">
        <v>14</v>
      </c>
      <c r="K4156">
        <v>42</v>
      </c>
      <c r="L4156" t="str">
        <f>IF(AND(CallLog[[#This Row],[Answered (Y/N)]]="Y", CallLog[[#This Row],[Speed of answer in seconds]]&lt;=20),
    "Within",
    "Breach")</f>
        <v>Breach</v>
      </c>
      <c r="M4156" s="1">
        <v>3.3796296296296296E-3</v>
      </c>
      <c r="N4156">
        <v>1</v>
      </c>
    </row>
    <row r="4157" spans="1:14" x14ac:dyDescent="0.3">
      <c r="A4157" t="s">
        <v>4253</v>
      </c>
      <c r="B4157" t="s">
        <v>47</v>
      </c>
      <c r="C4157" t="s">
        <v>4218</v>
      </c>
      <c r="D4157" s="1">
        <v>0.60099537037037032</v>
      </c>
      <c r="E4157" s="2">
        <f>CallLog[[#This Row],[Date]]+CallLog[[#This Row],[Time]]</f>
        <v>44269.600995370369</v>
      </c>
      <c r="F4157" s="1" t="str">
        <f>TEXT(CallLog[[#This Row],[Date]],"dddd")</f>
        <v>Sunday</v>
      </c>
      <c r="G4157" s="3">
        <f>HOUR(CallLog[[#This Row],[Time]])</f>
        <v>14</v>
      </c>
      <c r="H4157" t="s">
        <v>29</v>
      </c>
      <c r="I4157" t="s">
        <v>18</v>
      </c>
      <c r="J4157" t="s">
        <v>18</v>
      </c>
      <c r="L4157" t="str">
        <f>IF(AND(CallLog[[#This Row],[Answered (Y/N)]]="Y", CallLog[[#This Row],[Speed of answer in seconds]]&lt;=20),
    "Within",
    "Breach")</f>
        <v>Breach</v>
      </c>
    </row>
    <row r="4158" spans="1:14" x14ac:dyDescent="0.3">
      <c r="A4158" t="s">
        <v>4254</v>
      </c>
      <c r="B4158" t="s">
        <v>16</v>
      </c>
      <c r="C4158" t="s">
        <v>4218</v>
      </c>
      <c r="D4158" s="1">
        <v>0.61099537037037033</v>
      </c>
      <c r="E4158" s="2">
        <f>CallLog[[#This Row],[Date]]+CallLog[[#This Row],[Time]]</f>
        <v>44269.610995370371</v>
      </c>
      <c r="F4158" s="1" t="str">
        <f>TEXT(CallLog[[#This Row],[Date]],"dddd")</f>
        <v>Sunday</v>
      </c>
      <c r="G4158" s="3">
        <f>HOUR(CallLog[[#This Row],[Time]])</f>
        <v>14</v>
      </c>
      <c r="H4158" t="s">
        <v>29</v>
      </c>
      <c r="I4158" t="s">
        <v>18</v>
      </c>
      <c r="J4158" t="s">
        <v>18</v>
      </c>
      <c r="L4158" t="str">
        <f>IF(AND(CallLog[[#This Row],[Answered (Y/N)]]="Y", CallLog[[#This Row],[Speed of answer in seconds]]&lt;=20),
    "Within",
    "Breach")</f>
        <v>Breach</v>
      </c>
    </row>
    <row r="4159" spans="1:14" x14ac:dyDescent="0.3">
      <c r="A4159" t="s">
        <v>4255</v>
      </c>
      <c r="B4159" t="s">
        <v>38</v>
      </c>
      <c r="C4159" t="s">
        <v>4218</v>
      </c>
      <c r="D4159" s="1">
        <v>0.61099537037037033</v>
      </c>
      <c r="E4159" s="2">
        <f>CallLog[[#This Row],[Date]]+CallLog[[#This Row],[Time]]</f>
        <v>44269.610995370371</v>
      </c>
      <c r="F4159" s="1" t="str">
        <f>TEXT(CallLog[[#This Row],[Date]],"dddd")</f>
        <v>Sunday</v>
      </c>
      <c r="G4159" s="3">
        <f>HOUR(CallLog[[#This Row],[Time]])</f>
        <v>14</v>
      </c>
      <c r="H4159" t="s">
        <v>32</v>
      </c>
      <c r="I4159" t="s">
        <v>14</v>
      </c>
      <c r="J4159" t="s">
        <v>14</v>
      </c>
      <c r="K4159">
        <v>123</v>
      </c>
      <c r="L4159" t="str">
        <f>IF(AND(CallLog[[#This Row],[Answered (Y/N)]]="Y", CallLog[[#This Row],[Speed of answer in seconds]]&lt;=20),
    "Within",
    "Breach")</f>
        <v>Breach</v>
      </c>
      <c r="M4159" s="1">
        <v>2.5231481481481481E-3</v>
      </c>
      <c r="N4159">
        <v>2</v>
      </c>
    </row>
    <row r="4160" spans="1:14" x14ac:dyDescent="0.3">
      <c r="A4160" t="s">
        <v>4256</v>
      </c>
      <c r="B4160" t="s">
        <v>22</v>
      </c>
      <c r="C4160" t="s">
        <v>4218</v>
      </c>
      <c r="D4160" s="1">
        <v>0.63700231481481484</v>
      </c>
      <c r="E4160" s="2">
        <f>CallLog[[#This Row],[Date]]+CallLog[[#This Row],[Time]]</f>
        <v>44269.637002314812</v>
      </c>
      <c r="F4160" s="1" t="str">
        <f>TEXT(CallLog[[#This Row],[Date]],"dddd")</f>
        <v>Sunday</v>
      </c>
      <c r="G4160" s="3">
        <f>HOUR(CallLog[[#This Row],[Time]])</f>
        <v>15</v>
      </c>
      <c r="H4160" t="s">
        <v>13</v>
      </c>
      <c r="I4160" t="s">
        <v>14</v>
      </c>
      <c r="J4160" t="s">
        <v>14</v>
      </c>
      <c r="K4160">
        <v>65</v>
      </c>
      <c r="L4160" t="str">
        <f>IF(AND(CallLog[[#This Row],[Answered (Y/N)]]="Y", CallLog[[#This Row],[Speed of answer in seconds]]&lt;=20),
    "Within",
    "Breach")</f>
        <v>Breach</v>
      </c>
      <c r="M4160" s="1">
        <v>4.5949074074074078E-3</v>
      </c>
      <c r="N4160">
        <v>4</v>
      </c>
    </row>
    <row r="4161" spans="1:14" x14ac:dyDescent="0.3">
      <c r="A4161" t="s">
        <v>4257</v>
      </c>
      <c r="B4161" t="s">
        <v>11</v>
      </c>
      <c r="C4161" t="s">
        <v>4218</v>
      </c>
      <c r="D4161" s="1">
        <v>0.63700231481481484</v>
      </c>
      <c r="E4161" s="2">
        <f>CallLog[[#This Row],[Date]]+CallLog[[#This Row],[Time]]</f>
        <v>44269.637002314812</v>
      </c>
      <c r="F4161" s="1" t="str">
        <f>TEXT(CallLog[[#This Row],[Date]],"dddd")</f>
        <v>Sunday</v>
      </c>
      <c r="G4161" s="3">
        <f>HOUR(CallLog[[#This Row],[Time]])</f>
        <v>15</v>
      </c>
      <c r="H4161" t="s">
        <v>13</v>
      </c>
      <c r="I4161" t="s">
        <v>14</v>
      </c>
      <c r="J4161" t="s">
        <v>14</v>
      </c>
      <c r="K4161">
        <v>33</v>
      </c>
      <c r="L4161" t="str">
        <f>IF(AND(CallLog[[#This Row],[Answered (Y/N)]]="Y", CallLog[[#This Row],[Speed of answer in seconds]]&lt;=20),
    "Within",
    "Breach")</f>
        <v>Breach</v>
      </c>
      <c r="M4161" s="1">
        <v>3.9699074074074072E-3</v>
      </c>
      <c r="N4161">
        <v>5</v>
      </c>
    </row>
    <row r="4162" spans="1:14" x14ac:dyDescent="0.3">
      <c r="A4162" t="s">
        <v>4258</v>
      </c>
      <c r="B4162" t="s">
        <v>11</v>
      </c>
      <c r="C4162" t="s">
        <v>4218</v>
      </c>
      <c r="D4162" s="1">
        <v>0.64400462962962968</v>
      </c>
      <c r="E4162" s="2">
        <f>CallLog[[#This Row],[Date]]+CallLog[[#This Row],[Time]]</f>
        <v>44269.644004629627</v>
      </c>
      <c r="F4162" s="1" t="str">
        <f>TEXT(CallLog[[#This Row],[Date]],"dddd")</f>
        <v>Sunday</v>
      </c>
      <c r="G4162" s="3">
        <f>HOUR(CallLog[[#This Row],[Time]])</f>
        <v>15</v>
      </c>
      <c r="H4162" t="s">
        <v>24</v>
      </c>
      <c r="I4162" t="s">
        <v>14</v>
      </c>
      <c r="J4162" t="s">
        <v>14</v>
      </c>
      <c r="K4162">
        <v>117</v>
      </c>
      <c r="L4162" t="str">
        <f>IF(AND(CallLog[[#This Row],[Answered (Y/N)]]="Y", CallLog[[#This Row],[Speed of answer in seconds]]&lt;=20),
    "Within",
    "Breach")</f>
        <v>Breach</v>
      </c>
      <c r="M4162" s="1">
        <v>2.8240740740740739E-3</v>
      </c>
      <c r="N4162">
        <v>3</v>
      </c>
    </row>
    <row r="4163" spans="1:14" x14ac:dyDescent="0.3">
      <c r="A4163" t="s">
        <v>4259</v>
      </c>
      <c r="B4163" t="s">
        <v>11</v>
      </c>
      <c r="C4163" t="s">
        <v>4218</v>
      </c>
      <c r="D4163" s="1">
        <v>0.64400462962962968</v>
      </c>
      <c r="E4163" s="2">
        <f>CallLog[[#This Row],[Date]]+CallLog[[#This Row],[Time]]</f>
        <v>44269.644004629627</v>
      </c>
      <c r="F4163" s="1" t="str">
        <f>TEXT(CallLog[[#This Row],[Date]],"dddd")</f>
        <v>Sunday</v>
      </c>
      <c r="G4163" s="3">
        <f>HOUR(CallLog[[#This Row],[Time]])</f>
        <v>15</v>
      </c>
      <c r="H4163" t="s">
        <v>32</v>
      </c>
      <c r="I4163" t="s">
        <v>14</v>
      </c>
      <c r="J4163" t="s">
        <v>14</v>
      </c>
      <c r="K4163">
        <v>122</v>
      </c>
      <c r="L4163" t="str">
        <f>IF(AND(CallLog[[#This Row],[Answered (Y/N)]]="Y", CallLog[[#This Row],[Speed of answer in seconds]]&lt;=20),
    "Within",
    "Breach")</f>
        <v>Breach</v>
      </c>
      <c r="M4163" s="1">
        <v>1.1111111111111111E-3</v>
      </c>
      <c r="N4163">
        <v>3</v>
      </c>
    </row>
    <row r="4164" spans="1:14" x14ac:dyDescent="0.3">
      <c r="A4164" t="s">
        <v>4260</v>
      </c>
      <c r="B4164" t="s">
        <v>31</v>
      </c>
      <c r="C4164" t="s">
        <v>4218</v>
      </c>
      <c r="D4164" s="1">
        <v>0.65500000000000003</v>
      </c>
      <c r="E4164" s="2">
        <f>CallLog[[#This Row],[Date]]+CallLog[[#This Row],[Time]]</f>
        <v>44269.654999999999</v>
      </c>
      <c r="F4164" s="1" t="str">
        <f>TEXT(CallLog[[#This Row],[Date]],"dddd")</f>
        <v>Sunday</v>
      </c>
      <c r="G4164" s="3">
        <f>HOUR(CallLog[[#This Row],[Time]])</f>
        <v>15</v>
      </c>
      <c r="H4164" t="s">
        <v>17</v>
      </c>
      <c r="I4164" t="s">
        <v>14</v>
      </c>
      <c r="J4164" t="s">
        <v>14</v>
      </c>
      <c r="K4164">
        <v>21</v>
      </c>
      <c r="L4164" t="str">
        <f>IF(AND(CallLog[[#This Row],[Answered (Y/N)]]="Y", CallLog[[#This Row],[Speed of answer in seconds]]&lt;=20),
    "Within",
    "Breach")</f>
        <v>Breach</v>
      </c>
      <c r="M4164" s="1">
        <v>3.7615740740740739E-3</v>
      </c>
      <c r="N4164">
        <v>4</v>
      </c>
    </row>
    <row r="4165" spans="1:14" x14ac:dyDescent="0.3">
      <c r="A4165" t="s">
        <v>4261</v>
      </c>
      <c r="B4165" t="s">
        <v>47</v>
      </c>
      <c r="C4165" t="s">
        <v>4218</v>
      </c>
      <c r="D4165" s="1">
        <v>0.65500000000000003</v>
      </c>
      <c r="E4165" s="2">
        <f>CallLog[[#This Row],[Date]]+CallLog[[#This Row],[Time]]</f>
        <v>44269.654999999999</v>
      </c>
      <c r="F4165" s="1" t="str">
        <f>TEXT(CallLog[[#This Row],[Date]],"dddd")</f>
        <v>Sunday</v>
      </c>
      <c r="G4165" s="3">
        <f>HOUR(CallLog[[#This Row],[Time]])</f>
        <v>15</v>
      </c>
      <c r="H4165" t="s">
        <v>32</v>
      </c>
      <c r="I4165" t="s">
        <v>14</v>
      </c>
      <c r="J4165" t="s">
        <v>18</v>
      </c>
      <c r="K4165">
        <v>48</v>
      </c>
      <c r="L4165" t="str">
        <f>IF(AND(CallLog[[#This Row],[Answered (Y/N)]]="Y", CallLog[[#This Row],[Speed of answer in seconds]]&lt;=20),
    "Within",
    "Breach")</f>
        <v>Breach</v>
      </c>
      <c r="M4165" s="1">
        <v>2.9629629629629628E-3</v>
      </c>
      <c r="N4165">
        <v>4</v>
      </c>
    </row>
    <row r="4166" spans="1:14" x14ac:dyDescent="0.3">
      <c r="A4166" t="s">
        <v>4262</v>
      </c>
      <c r="B4166" t="s">
        <v>22</v>
      </c>
      <c r="C4166" t="s">
        <v>4218</v>
      </c>
      <c r="D4166" s="1">
        <v>0.69200231481481478</v>
      </c>
      <c r="E4166" s="2">
        <f>CallLog[[#This Row],[Date]]+CallLog[[#This Row],[Time]]</f>
        <v>44269.692002314812</v>
      </c>
      <c r="F4166" s="1" t="str">
        <f>TEXT(CallLog[[#This Row],[Date]],"dddd")</f>
        <v>Sunday</v>
      </c>
      <c r="G4166" s="3">
        <f>HOUR(CallLog[[#This Row],[Time]])</f>
        <v>16</v>
      </c>
      <c r="H4166" t="s">
        <v>13</v>
      </c>
      <c r="I4166" t="s">
        <v>18</v>
      </c>
      <c r="J4166" t="s">
        <v>18</v>
      </c>
      <c r="L4166" t="str">
        <f>IF(AND(CallLog[[#This Row],[Answered (Y/N)]]="Y", CallLog[[#This Row],[Speed of answer in seconds]]&lt;=20),
    "Within",
    "Breach")</f>
        <v>Breach</v>
      </c>
    </row>
    <row r="4167" spans="1:14" x14ac:dyDescent="0.3">
      <c r="A4167" t="s">
        <v>4263</v>
      </c>
      <c r="B4167" t="s">
        <v>11</v>
      </c>
      <c r="C4167" t="s">
        <v>4218</v>
      </c>
      <c r="D4167" s="1">
        <v>0.69200231481481478</v>
      </c>
      <c r="E4167" s="2">
        <f>CallLog[[#This Row],[Date]]+CallLog[[#This Row],[Time]]</f>
        <v>44269.692002314812</v>
      </c>
      <c r="F4167" s="1" t="str">
        <f>TEXT(CallLog[[#This Row],[Date]],"dddd")</f>
        <v>Sunday</v>
      </c>
      <c r="G4167" s="3">
        <f>HOUR(CallLog[[#This Row],[Time]])</f>
        <v>16</v>
      </c>
      <c r="H4167" t="s">
        <v>17</v>
      </c>
      <c r="I4167" t="s">
        <v>14</v>
      </c>
      <c r="J4167" t="s">
        <v>14</v>
      </c>
      <c r="K4167">
        <v>98</v>
      </c>
      <c r="L4167" t="str">
        <f>IF(AND(CallLog[[#This Row],[Answered (Y/N)]]="Y", CallLog[[#This Row],[Speed of answer in seconds]]&lt;=20),
    "Within",
    "Breach")</f>
        <v>Breach</v>
      </c>
      <c r="M4167" s="1">
        <v>2.0486111111111113E-3</v>
      </c>
      <c r="N4167">
        <v>1</v>
      </c>
    </row>
    <row r="4168" spans="1:14" x14ac:dyDescent="0.3">
      <c r="A4168" t="s">
        <v>4264</v>
      </c>
      <c r="B4168" t="s">
        <v>47</v>
      </c>
      <c r="C4168" t="s">
        <v>4218</v>
      </c>
      <c r="D4168" s="1">
        <v>0.69200231481481478</v>
      </c>
      <c r="E4168" s="2">
        <f>CallLog[[#This Row],[Date]]+CallLog[[#This Row],[Time]]</f>
        <v>44269.692002314812</v>
      </c>
      <c r="F4168" s="1" t="str">
        <f>TEXT(CallLog[[#This Row],[Date]],"dddd")</f>
        <v>Sunday</v>
      </c>
      <c r="G4168" s="3">
        <f>HOUR(CallLog[[#This Row],[Time]])</f>
        <v>16</v>
      </c>
      <c r="H4168" t="s">
        <v>32</v>
      </c>
      <c r="I4168" t="s">
        <v>14</v>
      </c>
      <c r="J4168" t="s">
        <v>14</v>
      </c>
      <c r="K4168">
        <v>95</v>
      </c>
      <c r="L4168" t="str">
        <f>IF(AND(CallLog[[#This Row],[Answered (Y/N)]]="Y", CallLog[[#This Row],[Speed of answer in seconds]]&lt;=20),
    "Within",
    "Breach")</f>
        <v>Breach</v>
      </c>
      <c r="M4168" s="1">
        <v>1.7476851851851852E-3</v>
      </c>
      <c r="N4168">
        <v>4</v>
      </c>
    </row>
    <row r="4169" spans="1:14" x14ac:dyDescent="0.3">
      <c r="A4169" t="s">
        <v>4265</v>
      </c>
      <c r="B4169" t="s">
        <v>47</v>
      </c>
      <c r="C4169" t="s">
        <v>4218</v>
      </c>
      <c r="D4169" s="1">
        <v>0.69200231481481478</v>
      </c>
      <c r="E4169" s="2">
        <f>CallLog[[#This Row],[Date]]+CallLog[[#This Row],[Time]]</f>
        <v>44269.692002314812</v>
      </c>
      <c r="F4169" s="1" t="str">
        <f>TEXT(CallLog[[#This Row],[Date]],"dddd")</f>
        <v>Sunday</v>
      </c>
      <c r="G4169" s="3">
        <f>HOUR(CallLog[[#This Row],[Time]])</f>
        <v>16</v>
      </c>
      <c r="H4169" t="s">
        <v>13</v>
      </c>
      <c r="I4169" t="s">
        <v>14</v>
      </c>
      <c r="J4169" t="s">
        <v>14</v>
      </c>
      <c r="K4169">
        <v>28</v>
      </c>
      <c r="L4169" t="str">
        <f>IF(AND(CallLog[[#This Row],[Answered (Y/N)]]="Y", CallLog[[#This Row],[Speed of answer in seconds]]&lt;=20),
    "Within",
    "Breach")</f>
        <v>Breach</v>
      </c>
      <c r="M4169" s="1">
        <v>4.7222222222222223E-3</v>
      </c>
      <c r="N4169">
        <v>3</v>
      </c>
    </row>
    <row r="4170" spans="1:14" x14ac:dyDescent="0.3">
      <c r="A4170" t="s">
        <v>4266</v>
      </c>
      <c r="B4170" t="s">
        <v>34</v>
      </c>
      <c r="C4170" t="s">
        <v>4218</v>
      </c>
      <c r="D4170" s="1">
        <v>0.74799768518518517</v>
      </c>
      <c r="E4170" s="2">
        <f>CallLog[[#This Row],[Date]]+CallLog[[#This Row],[Time]]</f>
        <v>44269.747997685183</v>
      </c>
      <c r="F4170" s="1" t="str">
        <f>TEXT(CallLog[[#This Row],[Date]],"dddd")</f>
        <v>Sunday</v>
      </c>
      <c r="G4170" s="3">
        <f>HOUR(CallLog[[#This Row],[Time]])</f>
        <v>17</v>
      </c>
      <c r="H4170" t="s">
        <v>29</v>
      </c>
      <c r="I4170" t="s">
        <v>18</v>
      </c>
      <c r="J4170" t="s">
        <v>18</v>
      </c>
      <c r="L4170" t="str">
        <f>IF(AND(CallLog[[#This Row],[Answered (Y/N)]]="Y", CallLog[[#This Row],[Speed of answer in seconds]]&lt;=20),
    "Within",
    "Breach")</f>
        <v>Breach</v>
      </c>
    </row>
    <row r="4171" spans="1:14" x14ac:dyDescent="0.3">
      <c r="A4171" t="s">
        <v>4267</v>
      </c>
      <c r="B4171" t="s">
        <v>47</v>
      </c>
      <c r="C4171" t="s">
        <v>4218</v>
      </c>
      <c r="D4171" s="1">
        <v>0.74799768518518517</v>
      </c>
      <c r="E4171" s="2">
        <f>CallLog[[#This Row],[Date]]+CallLog[[#This Row],[Time]]</f>
        <v>44269.747997685183</v>
      </c>
      <c r="F4171" s="1" t="str">
        <f>TEXT(CallLog[[#This Row],[Date]],"dddd")</f>
        <v>Sunday</v>
      </c>
      <c r="G4171" s="3">
        <f>HOUR(CallLog[[#This Row],[Time]])</f>
        <v>17</v>
      </c>
      <c r="H4171" t="s">
        <v>32</v>
      </c>
      <c r="I4171" t="s">
        <v>18</v>
      </c>
      <c r="J4171" t="s">
        <v>18</v>
      </c>
      <c r="L4171" t="str">
        <f>IF(AND(CallLog[[#This Row],[Answered (Y/N)]]="Y", CallLog[[#This Row],[Speed of answer in seconds]]&lt;=20),
    "Within",
    "Breach")</f>
        <v>Breach</v>
      </c>
    </row>
    <row r="4172" spans="1:14" x14ac:dyDescent="0.3">
      <c r="A4172" t="s">
        <v>4268</v>
      </c>
      <c r="B4172" t="s">
        <v>47</v>
      </c>
      <c r="C4172" t="s">
        <v>4269</v>
      </c>
      <c r="D4172" s="1">
        <v>0.38099537037037035</v>
      </c>
      <c r="E4172" s="2">
        <f>CallLog[[#This Row],[Date]]+CallLog[[#This Row],[Time]]</f>
        <v>44270.380995370368</v>
      </c>
      <c r="F4172" s="1" t="str">
        <f>TEXT(CallLog[[#This Row],[Date]],"dddd")</f>
        <v>Monday</v>
      </c>
      <c r="G4172" s="3">
        <f>HOUR(CallLog[[#This Row],[Time]])</f>
        <v>9</v>
      </c>
      <c r="H4172" t="s">
        <v>29</v>
      </c>
      <c r="I4172" t="s">
        <v>18</v>
      </c>
      <c r="J4172" t="s">
        <v>18</v>
      </c>
      <c r="L4172" t="str">
        <f>IF(AND(CallLog[[#This Row],[Answered (Y/N)]]="Y", CallLog[[#This Row],[Speed of answer in seconds]]&lt;=20),
    "Within",
    "Breach")</f>
        <v>Breach</v>
      </c>
    </row>
    <row r="4173" spans="1:14" x14ac:dyDescent="0.3">
      <c r="A4173" t="s">
        <v>4270</v>
      </c>
      <c r="B4173" t="s">
        <v>22</v>
      </c>
      <c r="C4173" t="s">
        <v>4269</v>
      </c>
      <c r="D4173" s="1">
        <v>0.38099537037037035</v>
      </c>
      <c r="E4173" s="2">
        <f>CallLog[[#This Row],[Date]]+CallLog[[#This Row],[Time]]</f>
        <v>44270.380995370368</v>
      </c>
      <c r="F4173" s="1" t="str">
        <f>TEXT(CallLog[[#This Row],[Date]],"dddd")</f>
        <v>Monday</v>
      </c>
      <c r="G4173" s="3">
        <f>HOUR(CallLog[[#This Row],[Time]])</f>
        <v>9</v>
      </c>
      <c r="H4173" t="s">
        <v>32</v>
      </c>
      <c r="I4173" t="s">
        <v>14</v>
      </c>
      <c r="J4173" t="s">
        <v>14</v>
      </c>
      <c r="K4173">
        <v>40</v>
      </c>
      <c r="L4173" t="str">
        <f>IF(AND(CallLog[[#This Row],[Answered (Y/N)]]="Y", CallLog[[#This Row],[Speed of answer in seconds]]&lt;=20),
    "Within",
    "Breach")</f>
        <v>Breach</v>
      </c>
      <c r="M4173" s="1">
        <v>3.3796296296296296E-3</v>
      </c>
      <c r="N4173">
        <v>3</v>
      </c>
    </row>
    <row r="4174" spans="1:14" x14ac:dyDescent="0.3">
      <c r="A4174" t="s">
        <v>4271</v>
      </c>
      <c r="B4174" t="s">
        <v>38</v>
      </c>
      <c r="C4174" t="s">
        <v>4269</v>
      </c>
      <c r="D4174" s="1">
        <v>0.39599537037037036</v>
      </c>
      <c r="E4174" s="2">
        <f>CallLog[[#This Row],[Date]]+CallLog[[#This Row],[Time]]</f>
        <v>44270.395995370367</v>
      </c>
      <c r="F4174" s="1" t="str">
        <f>TEXT(CallLog[[#This Row],[Date]],"dddd")</f>
        <v>Monday</v>
      </c>
      <c r="G4174" s="3">
        <f>HOUR(CallLog[[#This Row],[Time]])</f>
        <v>9</v>
      </c>
      <c r="H4174" t="s">
        <v>32</v>
      </c>
      <c r="I4174" t="s">
        <v>14</v>
      </c>
      <c r="J4174" t="s">
        <v>14</v>
      </c>
      <c r="K4174">
        <v>13</v>
      </c>
      <c r="L4174" t="str">
        <f>IF(AND(CallLog[[#This Row],[Answered (Y/N)]]="Y", CallLog[[#This Row],[Speed of answer in seconds]]&lt;=20),
    "Within",
    "Breach")</f>
        <v>Within</v>
      </c>
      <c r="M4174" s="1">
        <v>2.5810185185185185E-3</v>
      </c>
      <c r="N4174">
        <v>2</v>
      </c>
    </row>
    <row r="4175" spans="1:14" x14ac:dyDescent="0.3">
      <c r="A4175" t="s">
        <v>4272</v>
      </c>
      <c r="B4175" t="s">
        <v>16</v>
      </c>
      <c r="C4175" t="s">
        <v>4269</v>
      </c>
      <c r="D4175" s="1">
        <v>0.39599537037037036</v>
      </c>
      <c r="E4175" s="2">
        <f>CallLog[[#This Row],[Date]]+CallLog[[#This Row],[Time]]</f>
        <v>44270.395995370367</v>
      </c>
      <c r="F4175" s="1" t="str">
        <f>TEXT(CallLog[[#This Row],[Date]],"dddd")</f>
        <v>Monday</v>
      </c>
      <c r="G4175" s="3">
        <f>HOUR(CallLog[[#This Row],[Time]])</f>
        <v>9</v>
      </c>
      <c r="H4175" t="s">
        <v>32</v>
      </c>
      <c r="I4175" t="s">
        <v>14</v>
      </c>
      <c r="J4175" t="s">
        <v>14</v>
      </c>
      <c r="K4175">
        <v>71</v>
      </c>
      <c r="L4175" t="str">
        <f>IF(AND(CallLog[[#This Row],[Answered (Y/N)]]="Y", CallLog[[#This Row],[Speed of answer in seconds]]&lt;=20),
    "Within",
    "Breach")</f>
        <v>Breach</v>
      </c>
      <c r="M4175" s="1">
        <v>9.1435185185185185E-4</v>
      </c>
      <c r="N4175">
        <v>5</v>
      </c>
    </row>
    <row r="4176" spans="1:14" x14ac:dyDescent="0.3">
      <c r="A4176" t="s">
        <v>4273</v>
      </c>
      <c r="B4176" t="s">
        <v>38</v>
      </c>
      <c r="C4176" t="s">
        <v>4269</v>
      </c>
      <c r="D4176" s="1">
        <v>0.40599537037037037</v>
      </c>
      <c r="E4176" s="2">
        <f>CallLog[[#This Row],[Date]]+CallLog[[#This Row],[Time]]</f>
        <v>44270.405995370369</v>
      </c>
      <c r="F4176" s="1" t="str">
        <f>TEXT(CallLog[[#This Row],[Date]],"dddd")</f>
        <v>Monday</v>
      </c>
      <c r="G4176" s="3">
        <f>HOUR(CallLog[[#This Row],[Time]])</f>
        <v>9</v>
      </c>
      <c r="H4176" t="s">
        <v>17</v>
      </c>
      <c r="I4176" t="s">
        <v>14</v>
      </c>
      <c r="J4176" t="s">
        <v>14</v>
      </c>
      <c r="K4176">
        <v>106</v>
      </c>
      <c r="L4176" t="str">
        <f>IF(AND(CallLog[[#This Row],[Answered (Y/N)]]="Y", CallLog[[#This Row],[Speed of answer in seconds]]&lt;=20),
    "Within",
    "Breach")</f>
        <v>Breach</v>
      </c>
      <c r="M4176" s="1">
        <v>5.3240740740740744E-4</v>
      </c>
      <c r="N4176">
        <v>4</v>
      </c>
    </row>
    <row r="4177" spans="1:14" x14ac:dyDescent="0.3">
      <c r="A4177" t="s">
        <v>4274</v>
      </c>
      <c r="B4177" t="s">
        <v>47</v>
      </c>
      <c r="C4177" t="s">
        <v>4269</v>
      </c>
      <c r="D4177" s="1">
        <v>0.40599537037037037</v>
      </c>
      <c r="E4177" s="2">
        <f>CallLog[[#This Row],[Date]]+CallLog[[#This Row],[Time]]</f>
        <v>44270.405995370369</v>
      </c>
      <c r="F4177" s="1" t="str">
        <f>TEXT(CallLog[[#This Row],[Date]],"dddd")</f>
        <v>Monday</v>
      </c>
      <c r="G4177" s="3">
        <f>HOUR(CallLog[[#This Row],[Time]])</f>
        <v>9</v>
      </c>
      <c r="H4177" t="s">
        <v>32</v>
      </c>
      <c r="I4177" t="s">
        <v>14</v>
      </c>
      <c r="J4177" t="s">
        <v>18</v>
      </c>
      <c r="K4177">
        <v>94</v>
      </c>
      <c r="L4177" t="str">
        <f>IF(AND(CallLog[[#This Row],[Answered (Y/N)]]="Y", CallLog[[#This Row],[Speed of answer in seconds]]&lt;=20),
    "Within",
    "Breach")</f>
        <v>Breach</v>
      </c>
      <c r="M4177" s="1">
        <v>2.4421296296296296E-3</v>
      </c>
      <c r="N4177">
        <v>4</v>
      </c>
    </row>
    <row r="4178" spans="1:14" x14ac:dyDescent="0.3">
      <c r="A4178" t="s">
        <v>4275</v>
      </c>
      <c r="B4178" t="s">
        <v>22</v>
      </c>
      <c r="C4178" t="s">
        <v>4269</v>
      </c>
      <c r="D4178" s="1">
        <v>0.41700231481481481</v>
      </c>
      <c r="E4178" s="2">
        <f>CallLog[[#This Row],[Date]]+CallLog[[#This Row],[Time]]</f>
        <v>44270.417002314818</v>
      </c>
      <c r="F4178" s="1" t="str">
        <f>TEXT(CallLog[[#This Row],[Date]],"dddd")</f>
        <v>Monday</v>
      </c>
      <c r="G4178" s="3">
        <f>HOUR(CallLog[[#This Row],[Time]])</f>
        <v>10</v>
      </c>
      <c r="H4178" t="s">
        <v>24</v>
      </c>
      <c r="I4178" t="s">
        <v>14</v>
      </c>
      <c r="J4178" t="s">
        <v>14</v>
      </c>
      <c r="K4178">
        <v>74</v>
      </c>
      <c r="L4178" t="str">
        <f>IF(AND(CallLog[[#This Row],[Answered (Y/N)]]="Y", CallLog[[#This Row],[Speed of answer in seconds]]&lt;=20),
    "Within",
    "Breach")</f>
        <v>Breach</v>
      </c>
      <c r="M4178" s="1">
        <v>2.7662037037037039E-3</v>
      </c>
      <c r="N4178">
        <v>5</v>
      </c>
    </row>
    <row r="4179" spans="1:14" x14ac:dyDescent="0.3">
      <c r="A4179" t="s">
        <v>4276</v>
      </c>
      <c r="B4179" t="s">
        <v>47</v>
      </c>
      <c r="C4179" t="s">
        <v>4269</v>
      </c>
      <c r="D4179" s="1">
        <v>0.41700231481481481</v>
      </c>
      <c r="E4179" s="2">
        <f>CallLog[[#This Row],[Date]]+CallLog[[#This Row],[Time]]</f>
        <v>44270.417002314818</v>
      </c>
      <c r="F4179" s="1" t="str">
        <f>TEXT(CallLog[[#This Row],[Date]],"dddd")</f>
        <v>Monday</v>
      </c>
      <c r="G4179" s="3">
        <f>HOUR(CallLog[[#This Row],[Time]])</f>
        <v>10</v>
      </c>
      <c r="H4179" t="s">
        <v>13</v>
      </c>
      <c r="I4179" t="s">
        <v>14</v>
      </c>
      <c r="J4179" t="s">
        <v>14</v>
      </c>
      <c r="K4179">
        <v>34</v>
      </c>
      <c r="L4179" t="str">
        <f>IF(AND(CallLog[[#This Row],[Answered (Y/N)]]="Y", CallLog[[#This Row],[Speed of answer in seconds]]&lt;=20),
    "Within",
    "Breach")</f>
        <v>Breach</v>
      </c>
      <c r="M4179" s="1">
        <v>4.3981481481481481E-4</v>
      </c>
      <c r="N4179">
        <v>4</v>
      </c>
    </row>
    <row r="4180" spans="1:14" x14ac:dyDescent="0.3">
      <c r="A4180" t="s">
        <v>4277</v>
      </c>
      <c r="B4180" t="s">
        <v>31</v>
      </c>
      <c r="C4180" t="s">
        <v>4269</v>
      </c>
      <c r="D4180" s="1">
        <v>0.42299768518518521</v>
      </c>
      <c r="E4180" s="2">
        <f>CallLog[[#This Row],[Date]]+CallLog[[#This Row],[Time]]</f>
        <v>44270.422997685186</v>
      </c>
      <c r="F4180" s="1" t="str">
        <f>TEXT(CallLog[[#This Row],[Date]],"dddd")</f>
        <v>Monday</v>
      </c>
      <c r="G4180" s="3">
        <f>HOUR(CallLog[[#This Row],[Time]])</f>
        <v>10</v>
      </c>
      <c r="H4180" t="s">
        <v>29</v>
      </c>
      <c r="I4180" t="s">
        <v>14</v>
      </c>
      <c r="J4180" t="s">
        <v>14</v>
      </c>
      <c r="K4180">
        <v>38</v>
      </c>
      <c r="L4180" t="str">
        <f>IF(AND(CallLog[[#This Row],[Answered (Y/N)]]="Y", CallLog[[#This Row],[Speed of answer in seconds]]&lt;=20),
    "Within",
    "Breach")</f>
        <v>Breach</v>
      </c>
      <c r="M4180" s="1">
        <v>1.4583333333333334E-3</v>
      </c>
      <c r="N4180">
        <v>2</v>
      </c>
    </row>
    <row r="4181" spans="1:14" x14ac:dyDescent="0.3">
      <c r="A4181" t="s">
        <v>4278</v>
      </c>
      <c r="B4181" t="s">
        <v>31</v>
      </c>
      <c r="C4181" t="s">
        <v>4269</v>
      </c>
      <c r="D4181" s="1">
        <v>0.42299768518518521</v>
      </c>
      <c r="E4181" s="2">
        <f>CallLog[[#This Row],[Date]]+CallLog[[#This Row],[Time]]</f>
        <v>44270.422997685186</v>
      </c>
      <c r="F4181" s="1" t="str">
        <f>TEXT(CallLog[[#This Row],[Date]],"dddd")</f>
        <v>Monday</v>
      </c>
      <c r="G4181" s="3">
        <f>HOUR(CallLog[[#This Row],[Time]])</f>
        <v>10</v>
      </c>
      <c r="H4181" t="s">
        <v>17</v>
      </c>
      <c r="I4181" t="s">
        <v>14</v>
      </c>
      <c r="J4181" t="s">
        <v>14</v>
      </c>
      <c r="K4181">
        <v>31</v>
      </c>
      <c r="L4181" t="str">
        <f>IF(AND(CallLog[[#This Row],[Answered (Y/N)]]="Y", CallLog[[#This Row],[Speed of answer in seconds]]&lt;=20),
    "Within",
    "Breach")</f>
        <v>Breach</v>
      </c>
      <c r="M4181" s="1">
        <v>2.0023148148148148E-3</v>
      </c>
      <c r="N4181">
        <v>4</v>
      </c>
    </row>
    <row r="4182" spans="1:14" x14ac:dyDescent="0.3">
      <c r="A4182" t="s">
        <v>4279</v>
      </c>
      <c r="B4182" t="s">
        <v>38</v>
      </c>
      <c r="C4182" t="s">
        <v>4269</v>
      </c>
      <c r="D4182" s="1">
        <v>0.42599537037037039</v>
      </c>
      <c r="E4182" s="2">
        <f>CallLog[[#This Row],[Date]]+CallLog[[#This Row],[Time]]</f>
        <v>44270.425995370373</v>
      </c>
      <c r="F4182" s="1" t="str">
        <f>TEXT(CallLog[[#This Row],[Date]],"dddd")</f>
        <v>Monday</v>
      </c>
      <c r="G4182" s="3">
        <f>HOUR(CallLog[[#This Row],[Time]])</f>
        <v>10</v>
      </c>
      <c r="H4182" t="s">
        <v>13</v>
      </c>
      <c r="I4182" t="s">
        <v>14</v>
      </c>
      <c r="J4182" t="s">
        <v>14</v>
      </c>
      <c r="K4182">
        <v>13</v>
      </c>
      <c r="L4182" t="str">
        <f>IF(AND(CallLog[[#This Row],[Answered (Y/N)]]="Y", CallLog[[#This Row],[Speed of answer in seconds]]&lt;=20),
    "Within",
    "Breach")</f>
        <v>Within</v>
      </c>
      <c r="M4182" s="1">
        <v>2.1412037037037038E-3</v>
      </c>
      <c r="N4182">
        <v>3</v>
      </c>
    </row>
    <row r="4183" spans="1:14" x14ac:dyDescent="0.3">
      <c r="A4183" t="s">
        <v>4280</v>
      </c>
      <c r="B4183" t="s">
        <v>20</v>
      </c>
      <c r="C4183" t="s">
        <v>4269</v>
      </c>
      <c r="D4183" s="1">
        <v>0.42599537037037039</v>
      </c>
      <c r="E4183" s="2">
        <f>CallLog[[#This Row],[Date]]+CallLog[[#This Row],[Time]]</f>
        <v>44270.425995370373</v>
      </c>
      <c r="F4183" s="1" t="str">
        <f>TEXT(CallLog[[#This Row],[Date]],"dddd")</f>
        <v>Monday</v>
      </c>
      <c r="G4183" s="3">
        <f>HOUR(CallLog[[#This Row],[Time]])</f>
        <v>10</v>
      </c>
      <c r="H4183" t="s">
        <v>17</v>
      </c>
      <c r="I4183" t="s">
        <v>14</v>
      </c>
      <c r="J4183" t="s">
        <v>14</v>
      </c>
      <c r="K4183">
        <v>79</v>
      </c>
      <c r="L4183" t="str">
        <f>IF(AND(CallLog[[#This Row],[Answered (Y/N)]]="Y", CallLog[[#This Row],[Speed of answer in seconds]]&lt;=20),
    "Within",
    "Breach")</f>
        <v>Breach</v>
      </c>
      <c r="M4183" s="1">
        <v>1.25E-3</v>
      </c>
      <c r="N4183">
        <v>3</v>
      </c>
    </row>
    <row r="4184" spans="1:14" x14ac:dyDescent="0.3">
      <c r="A4184" t="s">
        <v>4281</v>
      </c>
      <c r="B4184" t="s">
        <v>20</v>
      </c>
      <c r="C4184" t="s">
        <v>4269</v>
      </c>
      <c r="D4184" s="1">
        <v>0.46299768518518519</v>
      </c>
      <c r="E4184" s="2">
        <f>CallLog[[#This Row],[Date]]+CallLog[[#This Row],[Time]]</f>
        <v>44270.462997685187</v>
      </c>
      <c r="F4184" s="1" t="str">
        <f>TEXT(CallLog[[#This Row],[Date]],"dddd")</f>
        <v>Monday</v>
      </c>
      <c r="G4184" s="3">
        <f>HOUR(CallLog[[#This Row],[Time]])</f>
        <v>11</v>
      </c>
      <c r="H4184" t="s">
        <v>13</v>
      </c>
      <c r="I4184" t="s">
        <v>14</v>
      </c>
      <c r="J4184" t="s">
        <v>14</v>
      </c>
      <c r="K4184">
        <v>49</v>
      </c>
      <c r="L4184" t="str">
        <f>IF(AND(CallLog[[#This Row],[Answered (Y/N)]]="Y", CallLog[[#This Row],[Speed of answer in seconds]]&lt;=20),
    "Within",
    "Breach")</f>
        <v>Breach</v>
      </c>
      <c r="M4184" s="1">
        <v>3.472222222222222E-3</v>
      </c>
      <c r="N4184">
        <v>2</v>
      </c>
    </row>
    <row r="4185" spans="1:14" x14ac:dyDescent="0.3">
      <c r="A4185" t="s">
        <v>4282</v>
      </c>
      <c r="B4185" t="s">
        <v>20</v>
      </c>
      <c r="C4185" t="s">
        <v>4269</v>
      </c>
      <c r="D4185" s="1">
        <v>0.46299768518518519</v>
      </c>
      <c r="E4185" s="2">
        <f>CallLog[[#This Row],[Date]]+CallLog[[#This Row],[Time]]</f>
        <v>44270.462997685187</v>
      </c>
      <c r="F4185" s="1" t="str">
        <f>TEXT(CallLog[[#This Row],[Date]],"dddd")</f>
        <v>Monday</v>
      </c>
      <c r="G4185" s="3">
        <f>HOUR(CallLog[[#This Row],[Time]])</f>
        <v>11</v>
      </c>
      <c r="H4185" t="s">
        <v>17</v>
      </c>
      <c r="I4185" t="s">
        <v>14</v>
      </c>
      <c r="J4185" t="s">
        <v>14</v>
      </c>
      <c r="K4185">
        <v>89</v>
      </c>
      <c r="L4185" t="str">
        <f>IF(AND(CallLog[[#This Row],[Answered (Y/N)]]="Y", CallLog[[#This Row],[Speed of answer in seconds]]&lt;=20),
    "Within",
    "Breach")</f>
        <v>Breach</v>
      </c>
      <c r="M4185" s="1">
        <v>2.7662037037037039E-3</v>
      </c>
      <c r="N4185">
        <v>1</v>
      </c>
    </row>
    <row r="4186" spans="1:14" x14ac:dyDescent="0.3">
      <c r="A4186" t="s">
        <v>4283</v>
      </c>
      <c r="B4186" t="s">
        <v>31</v>
      </c>
      <c r="C4186" t="s">
        <v>4269</v>
      </c>
      <c r="D4186" s="1">
        <v>0.46500000000000002</v>
      </c>
      <c r="E4186" s="2">
        <f>CallLog[[#This Row],[Date]]+CallLog[[#This Row],[Time]]</f>
        <v>44270.464999999997</v>
      </c>
      <c r="F4186" s="1" t="str">
        <f>TEXT(CallLog[[#This Row],[Date]],"dddd")</f>
        <v>Monday</v>
      </c>
      <c r="G4186" s="3">
        <f>HOUR(CallLog[[#This Row],[Time]])</f>
        <v>11</v>
      </c>
      <c r="H4186" t="s">
        <v>32</v>
      </c>
      <c r="I4186" t="s">
        <v>14</v>
      </c>
      <c r="J4186" t="s">
        <v>14</v>
      </c>
      <c r="K4186">
        <v>37</v>
      </c>
      <c r="L4186" t="str">
        <f>IF(AND(CallLog[[#This Row],[Answered (Y/N)]]="Y", CallLog[[#This Row],[Speed of answer in seconds]]&lt;=20),
    "Within",
    "Breach")</f>
        <v>Breach</v>
      </c>
      <c r="M4186" s="1">
        <v>3.4375E-3</v>
      </c>
      <c r="N4186">
        <v>5</v>
      </c>
    </row>
    <row r="4187" spans="1:14" x14ac:dyDescent="0.3">
      <c r="A4187" t="s">
        <v>4284</v>
      </c>
      <c r="B4187" t="s">
        <v>16</v>
      </c>
      <c r="C4187" t="s">
        <v>4269</v>
      </c>
      <c r="D4187" s="1">
        <v>0.46500000000000002</v>
      </c>
      <c r="E4187" s="2">
        <f>CallLog[[#This Row],[Date]]+CallLog[[#This Row],[Time]]</f>
        <v>44270.464999999997</v>
      </c>
      <c r="F4187" s="1" t="str">
        <f>TEXT(CallLog[[#This Row],[Date]],"dddd")</f>
        <v>Monday</v>
      </c>
      <c r="G4187" s="3">
        <f>HOUR(CallLog[[#This Row],[Time]])</f>
        <v>11</v>
      </c>
      <c r="H4187" t="s">
        <v>32</v>
      </c>
      <c r="I4187" t="s">
        <v>18</v>
      </c>
      <c r="J4187" t="s">
        <v>18</v>
      </c>
      <c r="L4187" t="str">
        <f>IF(AND(CallLog[[#This Row],[Answered (Y/N)]]="Y", CallLog[[#This Row],[Speed of answer in seconds]]&lt;=20),
    "Within",
    "Breach")</f>
        <v>Breach</v>
      </c>
    </row>
    <row r="4188" spans="1:14" x14ac:dyDescent="0.3">
      <c r="A4188" t="s">
        <v>4285</v>
      </c>
      <c r="B4188" t="s">
        <v>31</v>
      </c>
      <c r="C4188" t="s">
        <v>4269</v>
      </c>
      <c r="D4188" s="1">
        <v>0.4990046296296296</v>
      </c>
      <c r="E4188" s="2">
        <f>CallLog[[#This Row],[Date]]+CallLog[[#This Row],[Time]]</f>
        <v>44270.49900462963</v>
      </c>
      <c r="F4188" s="1" t="str">
        <f>TEXT(CallLog[[#This Row],[Date]],"dddd")</f>
        <v>Monday</v>
      </c>
      <c r="G4188" s="3">
        <f>HOUR(CallLog[[#This Row],[Time]])</f>
        <v>11</v>
      </c>
      <c r="H4188" t="s">
        <v>13</v>
      </c>
      <c r="I4188" t="s">
        <v>18</v>
      </c>
      <c r="J4188" t="s">
        <v>18</v>
      </c>
      <c r="L4188" t="str">
        <f>IF(AND(CallLog[[#This Row],[Answered (Y/N)]]="Y", CallLog[[#This Row],[Speed of answer in seconds]]&lt;=20),
    "Within",
    "Breach")</f>
        <v>Breach</v>
      </c>
    </row>
    <row r="4189" spans="1:14" x14ac:dyDescent="0.3">
      <c r="A4189" t="s">
        <v>4286</v>
      </c>
      <c r="B4189" t="s">
        <v>11</v>
      </c>
      <c r="C4189" t="s">
        <v>4269</v>
      </c>
      <c r="D4189" s="1">
        <v>0.4990046296296296</v>
      </c>
      <c r="E4189" s="2">
        <f>CallLog[[#This Row],[Date]]+CallLog[[#This Row],[Time]]</f>
        <v>44270.49900462963</v>
      </c>
      <c r="F4189" s="1" t="str">
        <f>TEXT(CallLog[[#This Row],[Date]],"dddd")</f>
        <v>Monday</v>
      </c>
      <c r="G4189" s="3">
        <f>HOUR(CallLog[[#This Row],[Time]])</f>
        <v>11</v>
      </c>
      <c r="H4189" t="s">
        <v>29</v>
      </c>
      <c r="I4189" t="s">
        <v>14</v>
      </c>
      <c r="J4189" t="s">
        <v>14</v>
      </c>
      <c r="K4189">
        <v>51</v>
      </c>
      <c r="L4189" t="str">
        <f>IF(AND(CallLog[[#This Row],[Answered (Y/N)]]="Y", CallLog[[#This Row],[Speed of answer in seconds]]&lt;=20),
    "Within",
    "Breach")</f>
        <v>Breach</v>
      </c>
      <c r="M4189" s="1">
        <v>1.6435185185185185E-3</v>
      </c>
      <c r="N4189">
        <v>3</v>
      </c>
    </row>
    <row r="4190" spans="1:14" x14ac:dyDescent="0.3">
      <c r="A4190" t="s">
        <v>4287</v>
      </c>
      <c r="B4190" t="s">
        <v>22</v>
      </c>
      <c r="C4190" t="s">
        <v>4269</v>
      </c>
      <c r="D4190" s="1">
        <v>0.50700231481481484</v>
      </c>
      <c r="E4190" s="2">
        <f>CallLog[[#This Row],[Date]]+CallLog[[#This Row],[Time]]</f>
        <v>44270.507002314815</v>
      </c>
      <c r="F4190" s="1" t="str">
        <f>TEXT(CallLog[[#This Row],[Date]],"dddd")</f>
        <v>Monday</v>
      </c>
      <c r="G4190" s="3">
        <f>HOUR(CallLog[[#This Row],[Time]])</f>
        <v>12</v>
      </c>
      <c r="H4190" t="s">
        <v>24</v>
      </c>
      <c r="I4190" t="s">
        <v>14</v>
      </c>
      <c r="J4190" t="s">
        <v>14</v>
      </c>
      <c r="K4190">
        <v>49</v>
      </c>
      <c r="L4190" t="str">
        <f>IF(AND(CallLog[[#This Row],[Answered (Y/N)]]="Y", CallLog[[#This Row],[Speed of answer in seconds]]&lt;=20),
    "Within",
    "Breach")</f>
        <v>Breach</v>
      </c>
      <c r="M4190" s="1">
        <v>1.5162037037037036E-3</v>
      </c>
      <c r="N4190">
        <v>1</v>
      </c>
    </row>
    <row r="4191" spans="1:14" x14ac:dyDescent="0.3">
      <c r="A4191" t="s">
        <v>4288</v>
      </c>
      <c r="B4191" t="s">
        <v>31</v>
      </c>
      <c r="C4191" t="s">
        <v>4269</v>
      </c>
      <c r="D4191" s="1">
        <v>0.50700231481481484</v>
      </c>
      <c r="E4191" s="2">
        <f>CallLog[[#This Row],[Date]]+CallLog[[#This Row],[Time]]</f>
        <v>44270.507002314815</v>
      </c>
      <c r="F4191" s="1" t="str">
        <f>TEXT(CallLog[[#This Row],[Date]],"dddd")</f>
        <v>Monday</v>
      </c>
      <c r="G4191" s="3">
        <f>HOUR(CallLog[[#This Row],[Time]])</f>
        <v>12</v>
      </c>
      <c r="H4191" t="s">
        <v>24</v>
      </c>
      <c r="I4191" t="s">
        <v>18</v>
      </c>
      <c r="J4191" t="s">
        <v>18</v>
      </c>
      <c r="L4191" t="str">
        <f>IF(AND(CallLog[[#This Row],[Answered (Y/N)]]="Y", CallLog[[#This Row],[Speed of answer in seconds]]&lt;=20),
    "Within",
    "Breach")</f>
        <v>Breach</v>
      </c>
    </row>
    <row r="4192" spans="1:14" x14ac:dyDescent="0.3">
      <c r="A4192" t="s">
        <v>4289</v>
      </c>
      <c r="B4192" t="s">
        <v>16</v>
      </c>
      <c r="C4192" t="s">
        <v>4269</v>
      </c>
      <c r="D4192" s="1">
        <v>0.52</v>
      </c>
      <c r="E4192" s="2">
        <f>CallLog[[#This Row],[Date]]+CallLog[[#This Row],[Time]]</f>
        <v>44270.52</v>
      </c>
      <c r="F4192" s="1" t="str">
        <f>TEXT(CallLog[[#This Row],[Date]],"dddd")</f>
        <v>Monday</v>
      </c>
      <c r="G4192" s="3">
        <f>HOUR(CallLog[[#This Row],[Time]])</f>
        <v>12</v>
      </c>
      <c r="H4192" t="s">
        <v>29</v>
      </c>
      <c r="I4192" t="s">
        <v>14</v>
      </c>
      <c r="J4192" t="s">
        <v>14</v>
      </c>
      <c r="K4192">
        <v>14</v>
      </c>
      <c r="L4192" t="str">
        <f>IF(AND(CallLog[[#This Row],[Answered (Y/N)]]="Y", CallLog[[#This Row],[Speed of answer in seconds]]&lt;=20),
    "Within",
    "Breach")</f>
        <v>Within</v>
      </c>
      <c r="M4192" s="1">
        <v>3.9814814814814817E-3</v>
      </c>
      <c r="N4192">
        <v>4</v>
      </c>
    </row>
    <row r="4193" spans="1:14" x14ac:dyDescent="0.3">
      <c r="A4193" t="s">
        <v>4290</v>
      </c>
      <c r="B4193" t="s">
        <v>34</v>
      </c>
      <c r="C4193" t="s">
        <v>4269</v>
      </c>
      <c r="D4193" s="1">
        <v>0.52</v>
      </c>
      <c r="E4193" s="2">
        <f>CallLog[[#This Row],[Date]]+CallLog[[#This Row],[Time]]</f>
        <v>44270.52</v>
      </c>
      <c r="F4193" s="1" t="str">
        <f>TEXT(CallLog[[#This Row],[Date]],"dddd")</f>
        <v>Monday</v>
      </c>
      <c r="G4193" s="3">
        <f>HOUR(CallLog[[#This Row],[Time]])</f>
        <v>12</v>
      </c>
      <c r="H4193" t="s">
        <v>24</v>
      </c>
      <c r="I4193" t="s">
        <v>14</v>
      </c>
      <c r="J4193" t="s">
        <v>14</v>
      </c>
      <c r="K4193">
        <v>91</v>
      </c>
      <c r="L4193" t="str">
        <f>IF(AND(CallLog[[#This Row],[Answered (Y/N)]]="Y", CallLog[[#This Row],[Speed of answer in seconds]]&lt;=20),
    "Within",
    "Breach")</f>
        <v>Breach</v>
      </c>
      <c r="M4193" s="1">
        <v>3.3217592592592591E-3</v>
      </c>
      <c r="N4193">
        <v>3</v>
      </c>
    </row>
    <row r="4194" spans="1:14" x14ac:dyDescent="0.3">
      <c r="A4194" t="s">
        <v>4291</v>
      </c>
      <c r="B4194" t="s">
        <v>16</v>
      </c>
      <c r="C4194" t="s">
        <v>4269</v>
      </c>
      <c r="D4194" s="1">
        <v>0.54700231481481476</v>
      </c>
      <c r="E4194" s="2">
        <f>CallLog[[#This Row],[Date]]+CallLog[[#This Row],[Time]]</f>
        <v>44270.547002314815</v>
      </c>
      <c r="F4194" s="1" t="str">
        <f>TEXT(CallLog[[#This Row],[Date]],"dddd")</f>
        <v>Monday</v>
      </c>
      <c r="G4194" s="3">
        <f>HOUR(CallLog[[#This Row],[Time]])</f>
        <v>13</v>
      </c>
      <c r="H4194" t="s">
        <v>13</v>
      </c>
      <c r="I4194" t="s">
        <v>18</v>
      </c>
      <c r="J4194" t="s">
        <v>18</v>
      </c>
      <c r="L4194" t="str">
        <f>IF(AND(CallLog[[#This Row],[Answered (Y/N)]]="Y", CallLog[[#This Row],[Speed of answer in seconds]]&lt;=20),
    "Within",
    "Breach")</f>
        <v>Breach</v>
      </c>
    </row>
    <row r="4195" spans="1:14" x14ac:dyDescent="0.3">
      <c r="A4195" t="s">
        <v>4292</v>
      </c>
      <c r="B4195" t="s">
        <v>22</v>
      </c>
      <c r="C4195" t="s">
        <v>4269</v>
      </c>
      <c r="D4195" s="1">
        <v>0.54700231481481476</v>
      </c>
      <c r="E4195" s="2">
        <f>CallLog[[#This Row],[Date]]+CallLog[[#This Row],[Time]]</f>
        <v>44270.547002314815</v>
      </c>
      <c r="F4195" s="1" t="str">
        <f>TEXT(CallLog[[#This Row],[Date]],"dddd")</f>
        <v>Monday</v>
      </c>
      <c r="G4195" s="3">
        <f>HOUR(CallLog[[#This Row],[Time]])</f>
        <v>13</v>
      </c>
      <c r="H4195" t="s">
        <v>29</v>
      </c>
      <c r="I4195" t="s">
        <v>14</v>
      </c>
      <c r="J4195" t="s">
        <v>14</v>
      </c>
      <c r="K4195">
        <v>111</v>
      </c>
      <c r="L4195" t="str">
        <f>IF(AND(CallLog[[#This Row],[Answered (Y/N)]]="Y", CallLog[[#This Row],[Speed of answer in seconds]]&lt;=20),
    "Within",
    "Breach")</f>
        <v>Breach</v>
      </c>
      <c r="M4195" s="1">
        <v>2.1759259259259258E-3</v>
      </c>
      <c r="N4195">
        <v>3</v>
      </c>
    </row>
    <row r="4196" spans="1:14" x14ac:dyDescent="0.3">
      <c r="A4196" t="s">
        <v>4293</v>
      </c>
      <c r="B4196" t="s">
        <v>38</v>
      </c>
      <c r="C4196" t="s">
        <v>4269</v>
      </c>
      <c r="D4196" s="1">
        <v>0.56499999999999995</v>
      </c>
      <c r="E4196" s="2">
        <f>CallLog[[#This Row],[Date]]+CallLog[[#This Row],[Time]]</f>
        <v>44270.565000000002</v>
      </c>
      <c r="F4196" s="1" t="str">
        <f>TEXT(CallLog[[#This Row],[Date]],"dddd")</f>
        <v>Monday</v>
      </c>
      <c r="G4196" s="3">
        <f>HOUR(CallLog[[#This Row],[Time]])</f>
        <v>13</v>
      </c>
      <c r="H4196" t="s">
        <v>13</v>
      </c>
      <c r="I4196" t="s">
        <v>14</v>
      </c>
      <c r="J4196" t="s">
        <v>14</v>
      </c>
      <c r="K4196">
        <v>80</v>
      </c>
      <c r="L4196" t="str">
        <f>IF(AND(CallLog[[#This Row],[Answered (Y/N)]]="Y", CallLog[[#This Row],[Speed of answer in seconds]]&lt;=20),
    "Within",
    "Breach")</f>
        <v>Breach</v>
      </c>
      <c r="M4196" s="1">
        <v>3.3101851851851851E-3</v>
      </c>
      <c r="N4196">
        <v>5</v>
      </c>
    </row>
    <row r="4197" spans="1:14" x14ac:dyDescent="0.3">
      <c r="A4197" t="s">
        <v>4294</v>
      </c>
      <c r="B4197" t="s">
        <v>47</v>
      </c>
      <c r="C4197" t="s">
        <v>4269</v>
      </c>
      <c r="D4197" s="1">
        <v>0.56499999999999995</v>
      </c>
      <c r="E4197" s="2">
        <f>CallLog[[#This Row],[Date]]+CallLog[[#This Row],[Time]]</f>
        <v>44270.565000000002</v>
      </c>
      <c r="F4197" s="1" t="str">
        <f>TEXT(CallLog[[#This Row],[Date]],"dddd")</f>
        <v>Monday</v>
      </c>
      <c r="G4197" s="3">
        <f>HOUR(CallLog[[#This Row],[Time]])</f>
        <v>13</v>
      </c>
      <c r="H4197" t="s">
        <v>29</v>
      </c>
      <c r="I4197" t="s">
        <v>14</v>
      </c>
      <c r="J4197" t="s">
        <v>14</v>
      </c>
      <c r="K4197">
        <v>119</v>
      </c>
      <c r="L4197" t="str">
        <f>IF(AND(CallLog[[#This Row],[Answered (Y/N)]]="Y", CallLog[[#This Row],[Speed of answer in seconds]]&lt;=20),
    "Within",
    "Breach")</f>
        <v>Breach</v>
      </c>
      <c r="M4197" s="1">
        <v>1.3194444444444445E-3</v>
      </c>
      <c r="N4197">
        <v>3</v>
      </c>
    </row>
    <row r="4198" spans="1:14" x14ac:dyDescent="0.3">
      <c r="A4198" t="s">
        <v>4295</v>
      </c>
      <c r="B4198" t="s">
        <v>31</v>
      </c>
      <c r="C4198" t="s">
        <v>4269</v>
      </c>
      <c r="D4198" s="1">
        <v>0.57799768518518524</v>
      </c>
      <c r="E4198" s="2">
        <f>CallLog[[#This Row],[Date]]+CallLog[[#This Row],[Time]]</f>
        <v>44270.577997685185</v>
      </c>
      <c r="F4198" s="1" t="str">
        <f>TEXT(CallLog[[#This Row],[Date]],"dddd")</f>
        <v>Monday</v>
      </c>
      <c r="G4198" s="3">
        <f>HOUR(CallLog[[#This Row],[Time]])</f>
        <v>13</v>
      </c>
      <c r="H4198" t="s">
        <v>13</v>
      </c>
      <c r="I4198" t="s">
        <v>14</v>
      </c>
      <c r="J4198" t="s">
        <v>14</v>
      </c>
      <c r="K4198">
        <v>68</v>
      </c>
      <c r="L4198" t="str">
        <f>IF(AND(CallLog[[#This Row],[Answered (Y/N)]]="Y", CallLog[[#This Row],[Speed of answer in seconds]]&lt;=20),
    "Within",
    "Breach")</f>
        <v>Breach</v>
      </c>
      <c r="M4198" s="1">
        <v>2.2800925925925927E-3</v>
      </c>
      <c r="N4198">
        <v>3</v>
      </c>
    </row>
    <row r="4199" spans="1:14" x14ac:dyDescent="0.3">
      <c r="A4199" t="s">
        <v>4296</v>
      </c>
      <c r="B4199" t="s">
        <v>20</v>
      </c>
      <c r="C4199" t="s">
        <v>4269</v>
      </c>
      <c r="D4199" s="1">
        <v>0.57799768518518524</v>
      </c>
      <c r="E4199" s="2">
        <f>CallLog[[#This Row],[Date]]+CallLog[[#This Row],[Time]]</f>
        <v>44270.577997685185</v>
      </c>
      <c r="F4199" s="1" t="str">
        <f>TEXT(CallLog[[#This Row],[Date]],"dddd")</f>
        <v>Monday</v>
      </c>
      <c r="G4199" s="3">
        <f>HOUR(CallLog[[#This Row],[Time]])</f>
        <v>13</v>
      </c>
      <c r="H4199" t="s">
        <v>24</v>
      </c>
      <c r="I4199" t="s">
        <v>18</v>
      </c>
      <c r="J4199" t="s">
        <v>18</v>
      </c>
      <c r="L4199" t="str">
        <f>IF(AND(CallLog[[#This Row],[Answered (Y/N)]]="Y", CallLog[[#This Row],[Speed of answer in seconds]]&lt;=20),
    "Within",
    "Breach")</f>
        <v>Breach</v>
      </c>
    </row>
    <row r="4200" spans="1:14" x14ac:dyDescent="0.3">
      <c r="A4200" t="s">
        <v>4297</v>
      </c>
      <c r="B4200" t="s">
        <v>31</v>
      </c>
      <c r="C4200" t="s">
        <v>4269</v>
      </c>
      <c r="D4200" s="1">
        <v>0.59</v>
      </c>
      <c r="E4200" s="2">
        <f>CallLog[[#This Row],[Date]]+CallLog[[#This Row],[Time]]</f>
        <v>44270.59</v>
      </c>
      <c r="F4200" s="1" t="str">
        <f>TEXT(CallLog[[#This Row],[Date]],"dddd")</f>
        <v>Monday</v>
      </c>
      <c r="G4200" s="3">
        <f>HOUR(CallLog[[#This Row],[Time]])</f>
        <v>14</v>
      </c>
      <c r="H4200" t="s">
        <v>13</v>
      </c>
      <c r="I4200" t="s">
        <v>14</v>
      </c>
      <c r="J4200" t="s">
        <v>14</v>
      </c>
      <c r="K4200">
        <v>109</v>
      </c>
      <c r="L4200" t="str">
        <f>IF(AND(CallLog[[#This Row],[Answered (Y/N)]]="Y", CallLog[[#This Row],[Speed of answer in seconds]]&lt;=20),
    "Within",
    "Breach")</f>
        <v>Breach</v>
      </c>
      <c r="M4200" s="1">
        <v>1.6782407407407408E-3</v>
      </c>
      <c r="N4200">
        <v>3</v>
      </c>
    </row>
    <row r="4201" spans="1:14" x14ac:dyDescent="0.3">
      <c r="A4201" t="s">
        <v>4298</v>
      </c>
      <c r="B4201" t="s">
        <v>20</v>
      </c>
      <c r="C4201" t="s">
        <v>4269</v>
      </c>
      <c r="D4201" s="1">
        <v>0.59</v>
      </c>
      <c r="E4201" s="2">
        <f>CallLog[[#This Row],[Date]]+CallLog[[#This Row],[Time]]</f>
        <v>44270.59</v>
      </c>
      <c r="F4201" s="1" t="str">
        <f>TEXT(CallLog[[#This Row],[Date]],"dddd")</f>
        <v>Monday</v>
      </c>
      <c r="G4201" s="3">
        <f>HOUR(CallLog[[#This Row],[Time]])</f>
        <v>14</v>
      </c>
      <c r="H4201" t="s">
        <v>32</v>
      </c>
      <c r="I4201" t="s">
        <v>14</v>
      </c>
      <c r="J4201" t="s">
        <v>14</v>
      </c>
      <c r="K4201">
        <v>24</v>
      </c>
      <c r="L4201" t="str">
        <f>IF(AND(CallLog[[#This Row],[Answered (Y/N)]]="Y", CallLog[[#This Row],[Speed of answer in seconds]]&lt;=20),
    "Within",
    "Breach")</f>
        <v>Breach</v>
      </c>
      <c r="M4201" s="1">
        <v>4.8148148148148152E-3</v>
      </c>
      <c r="N4201">
        <v>4</v>
      </c>
    </row>
    <row r="4202" spans="1:14" x14ac:dyDescent="0.3">
      <c r="A4202" t="s">
        <v>4299</v>
      </c>
      <c r="B4202" t="s">
        <v>11</v>
      </c>
      <c r="C4202" t="s">
        <v>4269</v>
      </c>
      <c r="D4202" s="1">
        <v>0.60200231481481481</v>
      </c>
      <c r="E4202" s="2">
        <f>CallLog[[#This Row],[Date]]+CallLog[[#This Row],[Time]]</f>
        <v>44270.602002314816</v>
      </c>
      <c r="F4202" s="1" t="str">
        <f>TEXT(CallLog[[#This Row],[Date]],"dddd")</f>
        <v>Monday</v>
      </c>
      <c r="G4202" s="3">
        <f>HOUR(CallLog[[#This Row],[Time]])</f>
        <v>14</v>
      </c>
      <c r="H4202" t="s">
        <v>17</v>
      </c>
      <c r="I4202" t="s">
        <v>14</v>
      </c>
      <c r="J4202" t="s">
        <v>14</v>
      </c>
      <c r="K4202">
        <v>55</v>
      </c>
      <c r="L4202" t="str">
        <f>IF(AND(CallLog[[#This Row],[Answered (Y/N)]]="Y", CallLog[[#This Row],[Speed of answer in seconds]]&lt;=20),
    "Within",
    "Breach")</f>
        <v>Breach</v>
      </c>
      <c r="M4202" s="1">
        <v>1.6782407407407408E-3</v>
      </c>
      <c r="N4202">
        <v>5</v>
      </c>
    </row>
    <row r="4203" spans="1:14" x14ac:dyDescent="0.3">
      <c r="A4203" t="s">
        <v>4300</v>
      </c>
      <c r="B4203" t="s">
        <v>47</v>
      </c>
      <c r="C4203" t="s">
        <v>4269</v>
      </c>
      <c r="D4203" s="1">
        <v>0.60200231481481481</v>
      </c>
      <c r="E4203" s="2">
        <f>CallLog[[#This Row],[Date]]+CallLog[[#This Row],[Time]]</f>
        <v>44270.602002314816</v>
      </c>
      <c r="F4203" s="1" t="str">
        <f>TEXT(CallLog[[#This Row],[Date]],"dddd")</f>
        <v>Monday</v>
      </c>
      <c r="G4203" s="3">
        <f>HOUR(CallLog[[#This Row],[Time]])</f>
        <v>14</v>
      </c>
      <c r="H4203" t="s">
        <v>29</v>
      </c>
      <c r="I4203" t="s">
        <v>14</v>
      </c>
      <c r="J4203" t="s">
        <v>14</v>
      </c>
      <c r="K4203">
        <v>92</v>
      </c>
      <c r="L4203" t="str">
        <f>IF(AND(CallLog[[#This Row],[Answered (Y/N)]]="Y", CallLog[[#This Row],[Speed of answer in seconds]]&lt;=20),
    "Within",
    "Breach")</f>
        <v>Breach</v>
      </c>
      <c r="M4203" s="1">
        <v>2.9398148148148148E-3</v>
      </c>
      <c r="N4203">
        <v>5</v>
      </c>
    </row>
    <row r="4204" spans="1:14" x14ac:dyDescent="0.3">
      <c r="A4204" t="s">
        <v>4301</v>
      </c>
      <c r="B4204" t="s">
        <v>38</v>
      </c>
      <c r="C4204" t="s">
        <v>4269</v>
      </c>
      <c r="D4204" s="1">
        <v>0.66099537037037037</v>
      </c>
      <c r="E4204" s="2">
        <f>CallLog[[#This Row],[Date]]+CallLog[[#This Row],[Time]]</f>
        <v>44270.660995370374</v>
      </c>
      <c r="F4204" s="1" t="str">
        <f>TEXT(CallLog[[#This Row],[Date]],"dddd")</f>
        <v>Monday</v>
      </c>
      <c r="G4204" s="3">
        <f>HOUR(CallLog[[#This Row],[Time]])</f>
        <v>15</v>
      </c>
      <c r="H4204" t="s">
        <v>17</v>
      </c>
      <c r="I4204" t="s">
        <v>14</v>
      </c>
      <c r="J4204" t="s">
        <v>14</v>
      </c>
      <c r="K4204">
        <v>106</v>
      </c>
      <c r="L4204" t="str">
        <f>IF(AND(CallLog[[#This Row],[Answered (Y/N)]]="Y", CallLog[[#This Row],[Speed of answer in seconds]]&lt;=20),
    "Within",
    "Breach")</f>
        <v>Breach</v>
      </c>
      <c r="M4204" s="1">
        <v>2.3379629629629631E-3</v>
      </c>
      <c r="N4204">
        <v>3</v>
      </c>
    </row>
    <row r="4205" spans="1:14" x14ac:dyDescent="0.3">
      <c r="A4205" t="s">
        <v>4302</v>
      </c>
      <c r="B4205" t="s">
        <v>11</v>
      </c>
      <c r="C4205" t="s">
        <v>4269</v>
      </c>
      <c r="D4205" s="1">
        <v>0.66099537037037037</v>
      </c>
      <c r="E4205" s="2">
        <f>CallLog[[#This Row],[Date]]+CallLog[[#This Row],[Time]]</f>
        <v>44270.660995370374</v>
      </c>
      <c r="F4205" s="1" t="str">
        <f>TEXT(CallLog[[#This Row],[Date]],"dddd")</f>
        <v>Monday</v>
      </c>
      <c r="G4205" s="3">
        <f>HOUR(CallLog[[#This Row],[Time]])</f>
        <v>15</v>
      </c>
      <c r="H4205" t="s">
        <v>29</v>
      </c>
      <c r="I4205" t="s">
        <v>14</v>
      </c>
      <c r="J4205" t="s">
        <v>14</v>
      </c>
      <c r="K4205">
        <v>28</v>
      </c>
      <c r="L4205" t="str">
        <f>IF(AND(CallLog[[#This Row],[Answered (Y/N)]]="Y", CallLog[[#This Row],[Speed of answer in seconds]]&lt;=20),
    "Within",
    "Breach")</f>
        <v>Breach</v>
      </c>
      <c r="M4205" s="1">
        <v>9.837962962962962E-4</v>
      </c>
      <c r="N4205">
        <v>3</v>
      </c>
    </row>
    <row r="4206" spans="1:14" x14ac:dyDescent="0.3">
      <c r="A4206" t="s">
        <v>4303</v>
      </c>
      <c r="B4206" t="s">
        <v>16</v>
      </c>
      <c r="C4206" t="s">
        <v>4269</v>
      </c>
      <c r="D4206" s="1">
        <v>0.67</v>
      </c>
      <c r="E4206" s="2">
        <f>CallLog[[#This Row],[Date]]+CallLog[[#This Row],[Time]]</f>
        <v>44270.67</v>
      </c>
      <c r="F4206" s="1" t="str">
        <f>TEXT(CallLog[[#This Row],[Date]],"dddd")</f>
        <v>Monday</v>
      </c>
      <c r="G4206" s="3">
        <f>HOUR(CallLog[[#This Row],[Time]])</f>
        <v>16</v>
      </c>
      <c r="H4206" t="s">
        <v>24</v>
      </c>
      <c r="I4206" t="s">
        <v>14</v>
      </c>
      <c r="J4206" t="s">
        <v>14</v>
      </c>
      <c r="K4206">
        <v>28</v>
      </c>
      <c r="L4206" t="str">
        <f>IF(AND(CallLog[[#This Row],[Answered (Y/N)]]="Y", CallLog[[#This Row],[Speed of answer in seconds]]&lt;=20),
    "Within",
    "Breach")</f>
        <v>Breach</v>
      </c>
      <c r="M4206" s="1">
        <v>1.7592592592592592E-3</v>
      </c>
      <c r="N4206">
        <v>5</v>
      </c>
    </row>
    <row r="4207" spans="1:14" x14ac:dyDescent="0.3">
      <c r="A4207" t="s">
        <v>4304</v>
      </c>
      <c r="B4207" t="s">
        <v>47</v>
      </c>
      <c r="C4207" t="s">
        <v>4269</v>
      </c>
      <c r="D4207" s="1">
        <v>0.67</v>
      </c>
      <c r="E4207" s="2">
        <f>CallLog[[#This Row],[Date]]+CallLog[[#This Row],[Time]]</f>
        <v>44270.67</v>
      </c>
      <c r="F4207" s="1" t="str">
        <f>TEXT(CallLog[[#This Row],[Date]],"dddd")</f>
        <v>Monday</v>
      </c>
      <c r="G4207" s="3">
        <f>HOUR(CallLog[[#This Row],[Time]])</f>
        <v>16</v>
      </c>
      <c r="H4207" t="s">
        <v>13</v>
      </c>
      <c r="I4207" t="s">
        <v>14</v>
      </c>
      <c r="J4207" t="s">
        <v>18</v>
      </c>
      <c r="K4207">
        <v>40</v>
      </c>
      <c r="L4207" t="str">
        <f>IF(AND(CallLog[[#This Row],[Answered (Y/N)]]="Y", CallLog[[#This Row],[Speed of answer in seconds]]&lt;=20),
    "Within",
    "Breach")</f>
        <v>Breach</v>
      </c>
      <c r="M4207" s="1">
        <v>4.1319444444444442E-3</v>
      </c>
      <c r="N4207">
        <v>2</v>
      </c>
    </row>
    <row r="4208" spans="1:14" x14ac:dyDescent="0.3">
      <c r="A4208" t="s">
        <v>4305</v>
      </c>
      <c r="B4208" t="s">
        <v>22</v>
      </c>
      <c r="C4208" t="s">
        <v>4269</v>
      </c>
      <c r="D4208" s="1">
        <v>0.68599537037037039</v>
      </c>
      <c r="E4208" s="2">
        <f>CallLog[[#This Row],[Date]]+CallLog[[#This Row],[Time]]</f>
        <v>44270.685995370368</v>
      </c>
      <c r="F4208" s="1" t="str">
        <f>TEXT(CallLog[[#This Row],[Date]],"dddd")</f>
        <v>Monday</v>
      </c>
      <c r="G4208" s="3">
        <f>HOUR(CallLog[[#This Row],[Time]])</f>
        <v>16</v>
      </c>
      <c r="H4208" t="s">
        <v>17</v>
      </c>
      <c r="I4208" t="s">
        <v>14</v>
      </c>
      <c r="J4208" t="s">
        <v>14</v>
      </c>
      <c r="K4208">
        <v>12</v>
      </c>
      <c r="L4208" t="str">
        <f>IF(AND(CallLog[[#This Row],[Answered (Y/N)]]="Y", CallLog[[#This Row],[Speed of answer in seconds]]&lt;=20),
    "Within",
    "Breach")</f>
        <v>Within</v>
      </c>
      <c r="M4208" s="1">
        <v>4.6874999999999998E-3</v>
      </c>
      <c r="N4208">
        <v>5</v>
      </c>
    </row>
    <row r="4209" spans="1:14" x14ac:dyDescent="0.3">
      <c r="A4209" t="s">
        <v>4306</v>
      </c>
      <c r="B4209" t="s">
        <v>34</v>
      </c>
      <c r="C4209" t="s">
        <v>4269</v>
      </c>
      <c r="D4209" s="1">
        <v>0.68599537037037039</v>
      </c>
      <c r="E4209" s="2">
        <f>CallLog[[#This Row],[Date]]+CallLog[[#This Row],[Time]]</f>
        <v>44270.685995370368</v>
      </c>
      <c r="F4209" s="1" t="str">
        <f>TEXT(CallLog[[#This Row],[Date]],"dddd")</f>
        <v>Monday</v>
      </c>
      <c r="G4209" s="3">
        <f>HOUR(CallLog[[#This Row],[Time]])</f>
        <v>16</v>
      </c>
      <c r="H4209" t="s">
        <v>32</v>
      </c>
      <c r="I4209" t="s">
        <v>14</v>
      </c>
      <c r="J4209" t="s">
        <v>14</v>
      </c>
      <c r="K4209">
        <v>61</v>
      </c>
      <c r="L4209" t="str">
        <f>IF(AND(CallLog[[#This Row],[Answered (Y/N)]]="Y", CallLog[[#This Row],[Speed of answer in seconds]]&lt;=20),
    "Within",
    "Breach")</f>
        <v>Breach</v>
      </c>
      <c r="M4209" s="1">
        <v>1.724537037037037E-3</v>
      </c>
      <c r="N4209">
        <v>5</v>
      </c>
    </row>
    <row r="4210" spans="1:14" x14ac:dyDescent="0.3">
      <c r="A4210" t="s">
        <v>4307</v>
      </c>
      <c r="B4210" t="s">
        <v>16</v>
      </c>
      <c r="C4210" t="s">
        <v>4269</v>
      </c>
      <c r="D4210" s="1">
        <v>0.7120023148148148</v>
      </c>
      <c r="E4210" s="2">
        <f>CallLog[[#This Row],[Date]]+CallLog[[#This Row],[Time]]</f>
        <v>44270.712002314816</v>
      </c>
      <c r="F4210" s="1" t="str">
        <f>TEXT(CallLog[[#This Row],[Date]],"dddd")</f>
        <v>Monday</v>
      </c>
      <c r="G4210" s="3">
        <f>HOUR(CallLog[[#This Row],[Time]])</f>
        <v>17</v>
      </c>
      <c r="H4210" t="s">
        <v>32</v>
      </c>
      <c r="I4210" t="s">
        <v>14</v>
      </c>
      <c r="J4210" t="s">
        <v>14</v>
      </c>
      <c r="K4210">
        <v>92</v>
      </c>
      <c r="L4210" t="str">
        <f>IF(AND(CallLog[[#This Row],[Answered (Y/N)]]="Y", CallLog[[#This Row],[Speed of answer in seconds]]&lt;=20),
    "Within",
    "Breach")</f>
        <v>Breach</v>
      </c>
      <c r="M4210" s="1">
        <v>9.7222222222222219E-4</v>
      </c>
      <c r="N4210">
        <v>1</v>
      </c>
    </row>
    <row r="4211" spans="1:14" x14ac:dyDescent="0.3">
      <c r="A4211" t="s">
        <v>4308</v>
      </c>
      <c r="B4211" t="s">
        <v>31</v>
      </c>
      <c r="C4211" t="s">
        <v>4269</v>
      </c>
      <c r="D4211" s="1">
        <v>0.7120023148148148</v>
      </c>
      <c r="E4211" s="2">
        <f>CallLog[[#This Row],[Date]]+CallLog[[#This Row],[Time]]</f>
        <v>44270.712002314816</v>
      </c>
      <c r="F4211" s="1" t="str">
        <f>TEXT(CallLog[[#This Row],[Date]],"dddd")</f>
        <v>Monday</v>
      </c>
      <c r="G4211" s="3">
        <f>HOUR(CallLog[[#This Row],[Time]])</f>
        <v>17</v>
      </c>
      <c r="H4211" t="s">
        <v>17</v>
      </c>
      <c r="I4211" t="s">
        <v>18</v>
      </c>
      <c r="J4211" t="s">
        <v>18</v>
      </c>
      <c r="L4211" t="str">
        <f>IF(AND(CallLog[[#This Row],[Answered (Y/N)]]="Y", CallLog[[#This Row],[Speed of answer in seconds]]&lt;=20),
    "Within",
    "Breach")</f>
        <v>Breach</v>
      </c>
    </row>
    <row r="4212" spans="1:14" x14ac:dyDescent="0.3">
      <c r="A4212" t="s">
        <v>4309</v>
      </c>
      <c r="B4212" t="s">
        <v>22</v>
      </c>
      <c r="C4212" t="s">
        <v>4269</v>
      </c>
      <c r="D4212" s="1">
        <v>0.71599537037037042</v>
      </c>
      <c r="E4212" s="2">
        <f>CallLog[[#This Row],[Date]]+CallLog[[#This Row],[Time]]</f>
        <v>44270.715995370374</v>
      </c>
      <c r="F4212" s="1" t="str">
        <f>TEXT(CallLog[[#This Row],[Date]],"dddd")</f>
        <v>Monday</v>
      </c>
      <c r="G4212" s="3">
        <f>HOUR(CallLog[[#This Row],[Time]])</f>
        <v>17</v>
      </c>
      <c r="H4212" t="s">
        <v>24</v>
      </c>
      <c r="I4212" t="s">
        <v>18</v>
      </c>
      <c r="J4212" t="s">
        <v>18</v>
      </c>
      <c r="L4212" t="str">
        <f>IF(AND(CallLog[[#This Row],[Answered (Y/N)]]="Y", CallLog[[#This Row],[Speed of answer in seconds]]&lt;=20),
    "Within",
    "Breach")</f>
        <v>Breach</v>
      </c>
    </row>
    <row r="4213" spans="1:14" x14ac:dyDescent="0.3">
      <c r="A4213" t="s">
        <v>4310</v>
      </c>
      <c r="B4213" t="s">
        <v>22</v>
      </c>
      <c r="C4213" t="s">
        <v>4269</v>
      </c>
      <c r="D4213" s="1">
        <v>0.71599537037037042</v>
      </c>
      <c r="E4213" s="2">
        <f>CallLog[[#This Row],[Date]]+CallLog[[#This Row],[Time]]</f>
        <v>44270.715995370374</v>
      </c>
      <c r="F4213" s="1" t="str">
        <f>TEXT(CallLog[[#This Row],[Date]],"dddd")</f>
        <v>Monday</v>
      </c>
      <c r="G4213" s="3">
        <f>HOUR(CallLog[[#This Row],[Time]])</f>
        <v>17</v>
      </c>
      <c r="H4213" t="s">
        <v>29</v>
      </c>
      <c r="I4213" t="s">
        <v>14</v>
      </c>
      <c r="J4213" t="s">
        <v>14</v>
      </c>
      <c r="K4213">
        <v>43</v>
      </c>
      <c r="L4213" t="str">
        <f>IF(AND(CallLog[[#This Row],[Answered (Y/N)]]="Y", CallLog[[#This Row],[Speed of answer in seconds]]&lt;=20),
    "Within",
    "Breach")</f>
        <v>Breach</v>
      </c>
      <c r="M4213" s="1">
        <v>4.1666666666666669E-4</v>
      </c>
      <c r="N4213">
        <v>3</v>
      </c>
    </row>
    <row r="4214" spans="1:14" x14ac:dyDescent="0.3">
      <c r="A4214" t="s">
        <v>4311</v>
      </c>
      <c r="B4214" t="s">
        <v>34</v>
      </c>
      <c r="C4214" t="s">
        <v>4269</v>
      </c>
      <c r="D4214" s="1">
        <v>0.72099537037037043</v>
      </c>
      <c r="E4214" s="2">
        <f>CallLog[[#This Row],[Date]]+CallLog[[#This Row],[Time]]</f>
        <v>44270.720995370371</v>
      </c>
      <c r="F4214" s="1" t="str">
        <f>TEXT(CallLog[[#This Row],[Date]],"dddd")</f>
        <v>Monday</v>
      </c>
      <c r="G4214" s="3">
        <f>HOUR(CallLog[[#This Row],[Time]])</f>
        <v>17</v>
      </c>
      <c r="H4214" t="s">
        <v>29</v>
      </c>
      <c r="I4214" t="s">
        <v>14</v>
      </c>
      <c r="J4214" t="s">
        <v>14</v>
      </c>
      <c r="K4214">
        <v>46</v>
      </c>
      <c r="L4214" t="str">
        <f>IF(AND(CallLog[[#This Row],[Answered (Y/N)]]="Y", CallLog[[#This Row],[Speed of answer in seconds]]&lt;=20),
    "Within",
    "Breach")</f>
        <v>Breach</v>
      </c>
      <c r="M4214" s="1">
        <v>2.6967592592592594E-3</v>
      </c>
      <c r="N4214">
        <v>5</v>
      </c>
    </row>
    <row r="4215" spans="1:14" x14ac:dyDescent="0.3">
      <c r="A4215" t="s">
        <v>4312</v>
      </c>
      <c r="B4215" t="s">
        <v>47</v>
      </c>
      <c r="C4215" t="s">
        <v>4269</v>
      </c>
      <c r="D4215" s="1">
        <v>0.72099537037037043</v>
      </c>
      <c r="E4215" s="2">
        <f>CallLog[[#This Row],[Date]]+CallLog[[#This Row],[Time]]</f>
        <v>44270.720995370371</v>
      </c>
      <c r="F4215" s="1" t="str">
        <f>TEXT(CallLog[[#This Row],[Date]],"dddd")</f>
        <v>Monday</v>
      </c>
      <c r="G4215" s="3">
        <f>HOUR(CallLog[[#This Row],[Time]])</f>
        <v>17</v>
      </c>
      <c r="H4215" t="s">
        <v>17</v>
      </c>
      <c r="I4215" t="s">
        <v>14</v>
      </c>
      <c r="J4215" t="s">
        <v>14</v>
      </c>
      <c r="K4215">
        <v>51</v>
      </c>
      <c r="L4215" t="str">
        <f>IF(AND(CallLog[[#This Row],[Answered (Y/N)]]="Y", CallLog[[#This Row],[Speed of answer in seconds]]&lt;=20),
    "Within",
    "Breach")</f>
        <v>Breach</v>
      </c>
      <c r="M4215" s="1">
        <v>4.1898148148148146E-3</v>
      </c>
      <c r="N4215">
        <v>4</v>
      </c>
    </row>
    <row r="4216" spans="1:14" x14ac:dyDescent="0.3">
      <c r="A4216" t="s">
        <v>4313</v>
      </c>
      <c r="B4216" t="s">
        <v>11</v>
      </c>
      <c r="C4216" t="s">
        <v>4269</v>
      </c>
      <c r="D4216" s="1">
        <v>0.72799768518518515</v>
      </c>
      <c r="E4216" s="2">
        <f>CallLog[[#This Row],[Date]]+CallLog[[#This Row],[Time]]</f>
        <v>44270.727997685186</v>
      </c>
      <c r="F4216" s="1" t="str">
        <f>TEXT(CallLog[[#This Row],[Date]],"dddd")</f>
        <v>Monday</v>
      </c>
      <c r="G4216" s="3">
        <f>HOUR(CallLog[[#This Row],[Time]])</f>
        <v>17</v>
      </c>
      <c r="H4216" t="s">
        <v>13</v>
      </c>
      <c r="I4216" t="s">
        <v>14</v>
      </c>
      <c r="J4216" t="s">
        <v>14</v>
      </c>
      <c r="K4216">
        <v>13</v>
      </c>
      <c r="L4216" t="str">
        <f>IF(AND(CallLog[[#This Row],[Answered (Y/N)]]="Y", CallLog[[#This Row],[Speed of answer in seconds]]&lt;=20),
    "Within",
    "Breach")</f>
        <v>Within</v>
      </c>
      <c r="M4216" s="1">
        <v>8.564814814814815E-4</v>
      </c>
      <c r="N4216">
        <v>3</v>
      </c>
    </row>
    <row r="4217" spans="1:14" x14ac:dyDescent="0.3">
      <c r="A4217" t="s">
        <v>4314</v>
      </c>
      <c r="B4217" t="s">
        <v>11</v>
      </c>
      <c r="C4217" t="s">
        <v>4269</v>
      </c>
      <c r="D4217" s="1">
        <v>0.72799768518518515</v>
      </c>
      <c r="E4217" s="2">
        <f>CallLog[[#This Row],[Date]]+CallLog[[#This Row],[Time]]</f>
        <v>44270.727997685186</v>
      </c>
      <c r="F4217" s="1" t="str">
        <f>TEXT(CallLog[[#This Row],[Date]],"dddd")</f>
        <v>Monday</v>
      </c>
      <c r="G4217" s="3">
        <f>HOUR(CallLog[[#This Row],[Time]])</f>
        <v>17</v>
      </c>
      <c r="H4217" t="s">
        <v>24</v>
      </c>
      <c r="I4217" t="s">
        <v>14</v>
      </c>
      <c r="J4217" t="s">
        <v>18</v>
      </c>
      <c r="K4217">
        <v>19</v>
      </c>
      <c r="L4217" t="str">
        <f>IF(AND(CallLog[[#This Row],[Answered (Y/N)]]="Y", CallLog[[#This Row],[Speed of answer in seconds]]&lt;=20),
    "Within",
    "Breach")</f>
        <v>Within</v>
      </c>
      <c r="M4217" s="1">
        <v>1.2037037037037038E-3</v>
      </c>
      <c r="N4217">
        <v>5</v>
      </c>
    </row>
    <row r="4218" spans="1:14" x14ac:dyDescent="0.3">
      <c r="A4218" t="s">
        <v>4315</v>
      </c>
      <c r="B4218" t="s">
        <v>16</v>
      </c>
      <c r="C4218" t="s">
        <v>4269</v>
      </c>
      <c r="D4218" s="1">
        <v>0.73099537037037032</v>
      </c>
      <c r="E4218" s="2">
        <f>CallLog[[#This Row],[Date]]+CallLog[[#This Row],[Time]]</f>
        <v>44270.730995370373</v>
      </c>
      <c r="F4218" s="1" t="str">
        <f>TEXT(CallLog[[#This Row],[Date]],"dddd")</f>
        <v>Monday</v>
      </c>
      <c r="G4218" s="3">
        <f>HOUR(CallLog[[#This Row],[Time]])</f>
        <v>17</v>
      </c>
      <c r="H4218" t="s">
        <v>29</v>
      </c>
      <c r="I4218" t="s">
        <v>14</v>
      </c>
      <c r="J4218" t="s">
        <v>14</v>
      </c>
      <c r="K4218">
        <v>30</v>
      </c>
      <c r="L4218" t="str">
        <f>IF(AND(CallLog[[#This Row],[Answered (Y/N)]]="Y", CallLog[[#This Row],[Speed of answer in seconds]]&lt;=20),
    "Within",
    "Breach")</f>
        <v>Breach</v>
      </c>
      <c r="M4218" s="1">
        <v>2.4189814814814816E-3</v>
      </c>
      <c r="N4218">
        <v>3</v>
      </c>
    </row>
    <row r="4219" spans="1:14" x14ac:dyDescent="0.3">
      <c r="A4219" t="s">
        <v>4316</v>
      </c>
      <c r="B4219" t="s">
        <v>47</v>
      </c>
      <c r="C4219" t="s">
        <v>4269</v>
      </c>
      <c r="D4219" s="1">
        <v>0.73099537037037032</v>
      </c>
      <c r="E4219" s="2">
        <f>CallLog[[#This Row],[Date]]+CallLog[[#This Row],[Time]]</f>
        <v>44270.730995370373</v>
      </c>
      <c r="F4219" s="1" t="str">
        <f>TEXT(CallLog[[#This Row],[Date]],"dddd")</f>
        <v>Monday</v>
      </c>
      <c r="G4219" s="3">
        <f>HOUR(CallLog[[#This Row],[Time]])</f>
        <v>17</v>
      </c>
      <c r="H4219" t="s">
        <v>17</v>
      </c>
      <c r="I4219" t="s">
        <v>14</v>
      </c>
      <c r="J4219" t="s">
        <v>14</v>
      </c>
      <c r="K4219">
        <v>122</v>
      </c>
      <c r="L4219" t="str">
        <f>IF(AND(CallLog[[#This Row],[Answered (Y/N)]]="Y", CallLog[[#This Row],[Speed of answer in seconds]]&lt;=20),
    "Within",
    "Breach")</f>
        <v>Breach</v>
      </c>
      <c r="M4219" s="1">
        <v>4.5601851851851853E-3</v>
      </c>
      <c r="N4219">
        <v>3</v>
      </c>
    </row>
    <row r="4220" spans="1:14" x14ac:dyDescent="0.3">
      <c r="A4220" t="s">
        <v>4317</v>
      </c>
      <c r="B4220" t="s">
        <v>22</v>
      </c>
      <c r="C4220" t="s">
        <v>4269</v>
      </c>
      <c r="D4220" s="1">
        <v>0.74099537037037033</v>
      </c>
      <c r="E4220" s="2">
        <f>CallLog[[#This Row],[Date]]+CallLog[[#This Row],[Time]]</f>
        <v>44270.740995370368</v>
      </c>
      <c r="F4220" s="1" t="str">
        <f>TEXT(CallLog[[#This Row],[Date]],"dddd")</f>
        <v>Monday</v>
      </c>
      <c r="G4220" s="3">
        <f>HOUR(CallLog[[#This Row],[Time]])</f>
        <v>17</v>
      </c>
      <c r="H4220" t="s">
        <v>29</v>
      </c>
      <c r="I4220" t="s">
        <v>14</v>
      </c>
      <c r="J4220" t="s">
        <v>14</v>
      </c>
      <c r="K4220">
        <v>83</v>
      </c>
      <c r="L4220" t="str">
        <f>IF(AND(CallLog[[#This Row],[Answered (Y/N)]]="Y", CallLog[[#This Row],[Speed of answer in seconds]]&lt;=20),
    "Within",
    "Breach")</f>
        <v>Breach</v>
      </c>
      <c r="M4220" s="1">
        <v>2.5578703703703705E-3</v>
      </c>
      <c r="N4220">
        <v>2</v>
      </c>
    </row>
    <row r="4221" spans="1:14" x14ac:dyDescent="0.3">
      <c r="A4221" t="s">
        <v>4318</v>
      </c>
      <c r="B4221" t="s">
        <v>31</v>
      </c>
      <c r="C4221" t="s">
        <v>4269</v>
      </c>
      <c r="D4221" s="1">
        <v>0.74099537037037033</v>
      </c>
      <c r="E4221" s="2">
        <f>CallLog[[#This Row],[Date]]+CallLog[[#This Row],[Time]]</f>
        <v>44270.740995370368</v>
      </c>
      <c r="F4221" s="1" t="str">
        <f>TEXT(CallLog[[#This Row],[Date]],"dddd")</f>
        <v>Monday</v>
      </c>
      <c r="G4221" s="3">
        <f>HOUR(CallLog[[#This Row],[Time]])</f>
        <v>17</v>
      </c>
      <c r="H4221" t="s">
        <v>17</v>
      </c>
      <c r="I4221" t="s">
        <v>18</v>
      </c>
      <c r="J4221" t="s">
        <v>18</v>
      </c>
      <c r="L4221" t="str">
        <f>IF(AND(CallLog[[#This Row],[Answered (Y/N)]]="Y", CallLog[[#This Row],[Speed of answer in seconds]]&lt;=20),
    "Within",
    "Breach")</f>
        <v>Breach</v>
      </c>
    </row>
    <row r="4222" spans="1:14" x14ac:dyDescent="0.3">
      <c r="A4222" t="s">
        <v>4319</v>
      </c>
      <c r="B4222" t="s">
        <v>34</v>
      </c>
      <c r="C4222" t="s">
        <v>4320</v>
      </c>
      <c r="D4222" s="1">
        <v>0.38299768518518518</v>
      </c>
      <c r="E4222" s="2">
        <f>CallLog[[#This Row],[Date]]+CallLog[[#This Row],[Time]]</f>
        <v>44271.382997685185</v>
      </c>
      <c r="F4222" s="1" t="str">
        <f>TEXT(CallLog[[#This Row],[Date]],"dddd")</f>
        <v>Tuesday</v>
      </c>
      <c r="G4222" s="3">
        <f>HOUR(CallLog[[#This Row],[Time]])</f>
        <v>9</v>
      </c>
      <c r="H4222" t="s">
        <v>17</v>
      </c>
      <c r="I4222" t="s">
        <v>14</v>
      </c>
      <c r="J4222" t="s">
        <v>14</v>
      </c>
      <c r="K4222">
        <v>125</v>
      </c>
      <c r="L4222" t="str">
        <f>IF(AND(CallLog[[#This Row],[Answered (Y/N)]]="Y", CallLog[[#This Row],[Speed of answer in seconds]]&lt;=20),
    "Within",
    "Breach")</f>
        <v>Breach</v>
      </c>
      <c r="M4222" s="1">
        <v>8.6805555555555551E-4</v>
      </c>
      <c r="N4222">
        <v>4</v>
      </c>
    </row>
    <row r="4223" spans="1:14" x14ac:dyDescent="0.3">
      <c r="A4223" t="s">
        <v>4321</v>
      </c>
      <c r="B4223" t="s">
        <v>34</v>
      </c>
      <c r="C4223" t="s">
        <v>4320</v>
      </c>
      <c r="D4223" s="1">
        <v>0.38299768518518518</v>
      </c>
      <c r="E4223" s="2">
        <f>CallLog[[#This Row],[Date]]+CallLog[[#This Row],[Time]]</f>
        <v>44271.382997685185</v>
      </c>
      <c r="F4223" s="1" t="str">
        <f>TEXT(CallLog[[#This Row],[Date]],"dddd")</f>
        <v>Tuesday</v>
      </c>
      <c r="G4223" s="3">
        <f>HOUR(CallLog[[#This Row],[Time]])</f>
        <v>9</v>
      </c>
      <c r="H4223" t="s">
        <v>29</v>
      </c>
      <c r="I4223" t="s">
        <v>14</v>
      </c>
      <c r="J4223" t="s">
        <v>14</v>
      </c>
      <c r="K4223">
        <v>80</v>
      </c>
      <c r="L4223" t="str">
        <f>IF(AND(CallLog[[#This Row],[Answered (Y/N)]]="Y", CallLog[[#This Row],[Speed of answer in seconds]]&lt;=20),
    "Within",
    "Breach")</f>
        <v>Breach</v>
      </c>
      <c r="M4223" s="1">
        <v>7.9861111111111116E-4</v>
      </c>
      <c r="N4223">
        <v>2</v>
      </c>
    </row>
    <row r="4224" spans="1:14" x14ac:dyDescent="0.3">
      <c r="A4224" t="s">
        <v>4322</v>
      </c>
      <c r="B4224" t="s">
        <v>20</v>
      </c>
      <c r="C4224" t="s">
        <v>4320</v>
      </c>
      <c r="D4224" s="1">
        <v>0.4070023148148148</v>
      </c>
      <c r="E4224" s="2">
        <f>CallLog[[#This Row],[Date]]+CallLog[[#This Row],[Time]]</f>
        <v>44271.407002314816</v>
      </c>
      <c r="F4224" s="1" t="str">
        <f>TEXT(CallLog[[#This Row],[Date]],"dddd")</f>
        <v>Tuesday</v>
      </c>
      <c r="G4224" s="3">
        <f>HOUR(CallLog[[#This Row],[Time]])</f>
        <v>9</v>
      </c>
      <c r="H4224" t="s">
        <v>32</v>
      </c>
      <c r="I4224" t="s">
        <v>14</v>
      </c>
      <c r="J4224" t="s">
        <v>14</v>
      </c>
      <c r="K4224">
        <v>112</v>
      </c>
      <c r="L4224" t="str">
        <f>IF(AND(CallLog[[#This Row],[Answered (Y/N)]]="Y", CallLog[[#This Row],[Speed of answer in seconds]]&lt;=20),
    "Within",
    "Breach")</f>
        <v>Breach</v>
      </c>
      <c r="M4224" s="1">
        <v>4.0162037037037041E-3</v>
      </c>
      <c r="N4224">
        <v>2</v>
      </c>
    </row>
    <row r="4225" spans="1:14" x14ac:dyDescent="0.3">
      <c r="A4225" t="s">
        <v>4323</v>
      </c>
      <c r="B4225" t="s">
        <v>22</v>
      </c>
      <c r="C4225" t="s">
        <v>4320</v>
      </c>
      <c r="D4225" s="1">
        <v>0.4070023148148148</v>
      </c>
      <c r="E4225" s="2">
        <f>CallLog[[#This Row],[Date]]+CallLog[[#This Row],[Time]]</f>
        <v>44271.407002314816</v>
      </c>
      <c r="F4225" s="1" t="str">
        <f>TEXT(CallLog[[#This Row],[Date]],"dddd")</f>
        <v>Tuesday</v>
      </c>
      <c r="G4225" s="3">
        <f>HOUR(CallLog[[#This Row],[Time]])</f>
        <v>9</v>
      </c>
      <c r="H4225" t="s">
        <v>32</v>
      </c>
      <c r="I4225" t="s">
        <v>14</v>
      </c>
      <c r="J4225" t="s">
        <v>14</v>
      </c>
      <c r="K4225">
        <v>113</v>
      </c>
      <c r="L4225" t="str">
        <f>IF(AND(CallLog[[#This Row],[Answered (Y/N)]]="Y", CallLog[[#This Row],[Speed of answer in seconds]]&lt;=20),
    "Within",
    "Breach")</f>
        <v>Breach</v>
      </c>
      <c r="M4225" s="1">
        <v>2.3842592592592591E-3</v>
      </c>
      <c r="N4225">
        <v>5</v>
      </c>
    </row>
    <row r="4226" spans="1:14" x14ac:dyDescent="0.3">
      <c r="A4226" t="s">
        <v>4324</v>
      </c>
      <c r="B4226" t="s">
        <v>47</v>
      </c>
      <c r="C4226" t="s">
        <v>4320</v>
      </c>
      <c r="D4226" s="1">
        <v>0.42299768518518521</v>
      </c>
      <c r="E4226" s="2">
        <f>CallLog[[#This Row],[Date]]+CallLog[[#This Row],[Time]]</f>
        <v>44271.422997685186</v>
      </c>
      <c r="F4226" s="1" t="str">
        <f>TEXT(CallLog[[#This Row],[Date]],"dddd")</f>
        <v>Tuesday</v>
      </c>
      <c r="G4226" s="3">
        <f>HOUR(CallLog[[#This Row],[Time]])</f>
        <v>10</v>
      </c>
      <c r="H4226" t="s">
        <v>29</v>
      </c>
      <c r="I4226" t="s">
        <v>14</v>
      </c>
      <c r="J4226" t="s">
        <v>14</v>
      </c>
      <c r="K4226">
        <v>95</v>
      </c>
      <c r="L4226" t="str">
        <f>IF(AND(CallLog[[#This Row],[Answered (Y/N)]]="Y", CallLog[[#This Row],[Speed of answer in seconds]]&lt;=20),
    "Within",
    "Breach")</f>
        <v>Breach</v>
      </c>
      <c r="M4226" s="1">
        <v>2.7777777777777779E-3</v>
      </c>
      <c r="N4226">
        <v>4</v>
      </c>
    </row>
    <row r="4227" spans="1:14" x14ac:dyDescent="0.3">
      <c r="A4227" t="s">
        <v>4325</v>
      </c>
      <c r="B4227" t="s">
        <v>34</v>
      </c>
      <c r="C4227" t="s">
        <v>4320</v>
      </c>
      <c r="D4227" s="1">
        <v>0.42299768518518521</v>
      </c>
      <c r="E4227" s="2">
        <f>CallLog[[#This Row],[Date]]+CallLog[[#This Row],[Time]]</f>
        <v>44271.422997685186</v>
      </c>
      <c r="F4227" s="1" t="str">
        <f>TEXT(CallLog[[#This Row],[Date]],"dddd")</f>
        <v>Tuesday</v>
      </c>
      <c r="G4227" s="3">
        <f>HOUR(CallLog[[#This Row],[Time]])</f>
        <v>10</v>
      </c>
      <c r="H4227" t="s">
        <v>32</v>
      </c>
      <c r="I4227" t="s">
        <v>14</v>
      </c>
      <c r="J4227" t="s">
        <v>14</v>
      </c>
      <c r="K4227">
        <v>40</v>
      </c>
      <c r="L4227" t="str">
        <f>IF(AND(CallLog[[#This Row],[Answered (Y/N)]]="Y", CallLog[[#This Row],[Speed of answer in seconds]]&lt;=20),
    "Within",
    "Breach")</f>
        <v>Breach</v>
      </c>
      <c r="M4227" s="1">
        <v>2.2569444444444442E-3</v>
      </c>
      <c r="N4227">
        <v>3</v>
      </c>
    </row>
    <row r="4228" spans="1:14" x14ac:dyDescent="0.3">
      <c r="A4228" t="s">
        <v>4326</v>
      </c>
      <c r="B4228" t="s">
        <v>47</v>
      </c>
      <c r="C4228" t="s">
        <v>4320</v>
      </c>
      <c r="D4228" s="1">
        <v>0.42400462962962965</v>
      </c>
      <c r="E4228" s="2">
        <f>CallLog[[#This Row],[Date]]+CallLog[[#This Row],[Time]]</f>
        <v>44271.424004629633</v>
      </c>
      <c r="F4228" s="1" t="str">
        <f>TEXT(CallLog[[#This Row],[Date]],"dddd")</f>
        <v>Tuesday</v>
      </c>
      <c r="G4228" s="3">
        <f>HOUR(CallLog[[#This Row],[Time]])</f>
        <v>10</v>
      </c>
      <c r="H4228" t="s">
        <v>32</v>
      </c>
      <c r="I4228" t="s">
        <v>14</v>
      </c>
      <c r="J4228" t="s">
        <v>14</v>
      </c>
      <c r="K4228">
        <v>106</v>
      </c>
      <c r="L4228" t="str">
        <f>IF(AND(CallLog[[#This Row],[Answered (Y/N)]]="Y", CallLog[[#This Row],[Speed of answer in seconds]]&lt;=20),
    "Within",
    "Breach")</f>
        <v>Breach</v>
      </c>
      <c r="M4228" s="1">
        <v>4.7685185185185183E-3</v>
      </c>
      <c r="N4228">
        <v>3</v>
      </c>
    </row>
    <row r="4229" spans="1:14" x14ac:dyDescent="0.3">
      <c r="A4229" t="s">
        <v>4327</v>
      </c>
      <c r="B4229" t="s">
        <v>22</v>
      </c>
      <c r="C4229" t="s">
        <v>4320</v>
      </c>
      <c r="D4229" s="1">
        <v>0.42400462962962965</v>
      </c>
      <c r="E4229" s="2">
        <f>CallLog[[#This Row],[Date]]+CallLog[[#This Row],[Time]]</f>
        <v>44271.424004629633</v>
      </c>
      <c r="F4229" s="1" t="str">
        <f>TEXT(CallLog[[#This Row],[Date]],"dddd")</f>
        <v>Tuesday</v>
      </c>
      <c r="G4229" s="3">
        <f>HOUR(CallLog[[#This Row],[Time]])</f>
        <v>10</v>
      </c>
      <c r="H4229" t="s">
        <v>24</v>
      </c>
      <c r="I4229" t="s">
        <v>14</v>
      </c>
      <c r="J4229" t="s">
        <v>14</v>
      </c>
      <c r="K4229">
        <v>38</v>
      </c>
      <c r="L4229" t="str">
        <f>IF(AND(CallLog[[#This Row],[Answered (Y/N)]]="Y", CallLog[[#This Row],[Speed of answer in seconds]]&lt;=20),
    "Within",
    "Breach")</f>
        <v>Breach</v>
      </c>
      <c r="M4229" s="1">
        <v>2.4652777777777776E-3</v>
      </c>
      <c r="N4229">
        <v>3</v>
      </c>
    </row>
    <row r="4230" spans="1:14" x14ac:dyDescent="0.3">
      <c r="A4230" t="s">
        <v>4328</v>
      </c>
      <c r="B4230" t="s">
        <v>38</v>
      </c>
      <c r="C4230" t="s">
        <v>4320</v>
      </c>
      <c r="D4230" s="1">
        <v>0.43299768518518517</v>
      </c>
      <c r="E4230" s="2">
        <f>CallLog[[#This Row],[Date]]+CallLog[[#This Row],[Time]]</f>
        <v>44271.432997685188</v>
      </c>
      <c r="F4230" s="1" t="str">
        <f>TEXT(CallLog[[#This Row],[Date]],"dddd")</f>
        <v>Tuesday</v>
      </c>
      <c r="G4230" s="3">
        <f>HOUR(CallLog[[#This Row],[Time]])</f>
        <v>10</v>
      </c>
      <c r="H4230" t="s">
        <v>13</v>
      </c>
      <c r="I4230" t="s">
        <v>18</v>
      </c>
      <c r="J4230" t="s">
        <v>18</v>
      </c>
      <c r="L4230" t="str">
        <f>IF(AND(CallLog[[#This Row],[Answered (Y/N)]]="Y", CallLog[[#This Row],[Speed of answer in seconds]]&lt;=20),
    "Within",
    "Breach")</f>
        <v>Breach</v>
      </c>
    </row>
    <row r="4231" spans="1:14" x14ac:dyDescent="0.3">
      <c r="A4231" t="s">
        <v>4329</v>
      </c>
      <c r="B4231" t="s">
        <v>22</v>
      </c>
      <c r="C4231" t="s">
        <v>4320</v>
      </c>
      <c r="D4231" s="1">
        <v>0.43299768518518517</v>
      </c>
      <c r="E4231" s="2">
        <f>CallLog[[#This Row],[Date]]+CallLog[[#This Row],[Time]]</f>
        <v>44271.432997685188</v>
      </c>
      <c r="F4231" s="1" t="str">
        <f>TEXT(CallLog[[#This Row],[Date]],"dddd")</f>
        <v>Tuesday</v>
      </c>
      <c r="G4231" s="3">
        <f>HOUR(CallLog[[#This Row],[Time]])</f>
        <v>10</v>
      </c>
      <c r="H4231" t="s">
        <v>32</v>
      </c>
      <c r="I4231" t="s">
        <v>14</v>
      </c>
      <c r="J4231" t="s">
        <v>14</v>
      </c>
      <c r="K4231">
        <v>61</v>
      </c>
      <c r="L4231" t="str">
        <f>IF(AND(CallLog[[#This Row],[Answered (Y/N)]]="Y", CallLog[[#This Row],[Speed of answer in seconds]]&lt;=20),
    "Within",
    "Breach")</f>
        <v>Breach</v>
      </c>
      <c r="M4231" s="1">
        <v>2.7777777777777779E-3</v>
      </c>
      <c r="N4231">
        <v>3</v>
      </c>
    </row>
    <row r="4232" spans="1:14" x14ac:dyDescent="0.3">
      <c r="A4232" t="s">
        <v>4330</v>
      </c>
      <c r="B4232" t="s">
        <v>47</v>
      </c>
      <c r="C4232" t="s">
        <v>4320</v>
      </c>
      <c r="D4232" s="1">
        <v>0.43299768518518517</v>
      </c>
      <c r="E4232" s="2">
        <f>CallLog[[#This Row],[Date]]+CallLog[[#This Row],[Time]]</f>
        <v>44271.432997685188</v>
      </c>
      <c r="F4232" s="1" t="str">
        <f>TEXT(CallLog[[#This Row],[Date]],"dddd")</f>
        <v>Tuesday</v>
      </c>
      <c r="G4232" s="3">
        <f>HOUR(CallLog[[#This Row],[Time]])</f>
        <v>10</v>
      </c>
      <c r="H4232" t="s">
        <v>29</v>
      </c>
      <c r="I4232" t="s">
        <v>18</v>
      </c>
      <c r="J4232" t="s">
        <v>18</v>
      </c>
      <c r="L4232" t="str">
        <f>IF(AND(CallLog[[#This Row],[Answered (Y/N)]]="Y", CallLog[[#This Row],[Speed of answer in seconds]]&lt;=20),
    "Within",
    "Breach")</f>
        <v>Breach</v>
      </c>
    </row>
    <row r="4233" spans="1:14" x14ac:dyDescent="0.3">
      <c r="A4233" t="s">
        <v>4331</v>
      </c>
      <c r="B4233" t="s">
        <v>34</v>
      </c>
      <c r="C4233" t="s">
        <v>4320</v>
      </c>
      <c r="D4233" s="1">
        <v>0.43299768518518517</v>
      </c>
      <c r="E4233" s="2">
        <f>CallLog[[#This Row],[Date]]+CallLog[[#This Row],[Time]]</f>
        <v>44271.432997685188</v>
      </c>
      <c r="F4233" s="1" t="str">
        <f>TEXT(CallLog[[#This Row],[Date]],"dddd")</f>
        <v>Tuesday</v>
      </c>
      <c r="G4233" s="3">
        <f>HOUR(CallLog[[#This Row],[Time]])</f>
        <v>10</v>
      </c>
      <c r="H4233" t="s">
        <v>32</v>
      </c>
      <c r="I4233" t="s">
        <v>18</v>
      </c>
      <c r="J4233" t="s">
        <v>18</v>
      </c>
      <c r="L4233" t="str">
        <f>IF(AND(CallLog[[#This Row],[Answered (Y/N)]]="Y", CallLog[[#This Row],[Speed of answer in seconds]]&lt;=20),
    "Within",
    "Breach")</f>
        <v>Breach</v>
      </c>
    </row>
    <row r="4234" spans="1:14" x14ac:dyDescent="0.3">
      <c r="A4234" t="s">
        <v>4332</v>
      </c>
      <c r="B4234" t="s">
        <v>38</v>
      </c>
      <c r="C4234" t="s">
        <v>4320</v>
      </c>
      <c r="D4234" s="1">
        <v>0.44099537037037034</v>
      </c>
      <c r="E4234" s="2">
        <f>CallLog[[#This Row],[Date]]+CallLog[[#This Row],[Time]]</f>
        <v>44271.440995370373</v>
      </c>
      <c r="F4234" s="1" t="str">
        <f>TEXT(CallLog[[#This Row],[Date]],"dddd")</f>
        <v>Tuesday</v>
      </c>
      <c r="G4234" s="3">
        <f>HOUR(CallLog[[#This Row],[Time]])</f>
        <v>10</v>
      </c>
      <c r="H4234" t="s">
        <v>32</v>
      </c>
      <c r="I4234" t="s">
        <v>18</v>
      </c>
      <c r="J4234" t="s">
        <v>18</v>
      </c>
      <c r="L4234" t="str">
        <f>IF(AND(CallLog[[#This Row],[Answered (Y/N)]]="Y", CallLog[[#This Row],[Speed of answer in seconds]]&lt;=20),
    "Within",
    "Breach")</f>
        <v>Breach</v>
      </c>
    </row>
    <row r="4235" spans="1:14" x14ac:dyDescent="0.3">
      <c r="A4235" t="s">
        <v>4333</v>
      </c>
      <c r="B4235" t="s">
        <v>31</v>
      </c>
      <c r="C4235" t="s">
        <v>4320</v>
      </c>
      <c r="D4235" s="1">
        <v>0.44099537037037034</v>
      </c>
      <c r="E4235" s="2">
        <f>CallLog[[#This Row],[Date]]+CallLog[[#This Row],[Time]]</f>
        <v>44271.440995370373</v>
      </c>
      <c r="F4235" s="1" t="str">
        <f>TEXT(CallLog[[#This Row],[Date]],"dddd")</f>
        <v>Tuesday</v>
      </c>
      <c r="G4235" s="3">
        <f>HOUR(CallLog[[#This Row],[Time]])</f>
        <v>10</v>
      </c>
      <c r="H4235" t="s">
        <v>29</v>
      </c>
      <c r="I4235" t="s">
        <v>14</v>
      </c>
      <c r="J4235" t="s">
        <v>14</v>
      </c>
      <c r="K4235">
        <v>70</v>
      </c>
      <c r="L4235" t="str">
        <f>IF(AND(CallLog[[#This Row],[Answered (Y/N)]]="Y", CallLog[[#This Row],[Speed of answer in seconds]]&lt;=20),
    "Within",
    "Breach")</f>
        <v>Breach</v>
      </c>
      <c r="M4235" s="1">
        <v>2.9050925925925928E-3</v>
      </c>
      <c r="N4235">
        <v>1</v>
      </c>
    </row>
    <row r="4236" spans="1:14" x14ac:dyDescent="0.3">
      <c r="A4236" t="s">
        <v>4334</v>
      </c>
      <c r="B4236" t="s">
        <v>16</v>
      </c>
      <c r="C4236" t="s">
        <v>4320</v>
      </c>
      <c r="D4236" s="1">
        <v>0.4670023148148148</v>
      </c>
      <c r="E4236" s="2">
        <f>CallLog[[#This Row],[Date]]+CallLog[[#This Row],[Time]]</f>
        <v>44271.467002314814</v>
      </c>
      <c r="F4236" s="1" t="str">
        <f>TEXT(CallLog[[#This Row],[Date]],"dddd")</f>
        <v>Tuesday</v>
      </c>
      <c r="G4236" s="3">
        <f>HOUR(CallLog[[#This Row],[Time]])</f>
        <v>11</v>
      </c>
      <c r="H4236" t="s">
        <v>17</v>
      </c>
      <c r="I4236" t="s">
        <v>18</v>
      </c>
      <c r="J4236" t="s">
        <v>18</v>
      </c>
      <c r="L4236" t="str">
        <f>IF(AND(CallLog[[#This Row],[Answered (Y/N)]]="Y", CallLog[[#This Row],[Speed of answer in seconds]]&lt;=20),
    "Within",
    "Breach")</f>
        <v>Breach</v>
      </c>
    </row>
    <row r="4237" spans="1:14" x14ac:dyDescent="0.3">
      <c r="A4237" t="s">
        <v>4335</v>
      </c>
      <c r="B4237" t="s">
        <v>47</v>
      </c>
      <c r="C4237" t="s">
        <v>4320</v>
      </c>
      <c r="D4237" s="1">
        <v>0.4670023148148148</v>
      </c>
      <c r="E4237" s="2">
        <f>CallLog[[#This Row],[Date]]+CallLog[[#This Row],[Time]]</f>
        <v>44271.467002314814</v>
      </c>
      <c r="F4237" s="1" t="str">
        <f>TEXT(CallLog[[#This Row],[Date]],"dddd")</f>
        <v>Tuesday</v>
      </c>
      <c r="G4237" s="3">
        <f>HOUR(CallLog[[#This Row],[Time]])</f>
        <v>11</v>
      </c>
      <c r="H4237" t="s">
        <v>32</v>
      </c>
      <c r="I4237" t="s">
        <v>18</v>
      </c>
      <c r="J4237" t="s">
        <v>18</v>
      </c>
      <c r="L4237" t="str">
        <f>IF(AND(CallLog[[#This Row],[Answered (Y/N)]]="Y", CallLog[[#This Row],[Speed of answer in seconds]]&lt;=20),
    "Within",
    "Breach")</f>
        <v>Breach</v>
      </c>
    </row>
    <row r="4238" spans="1:14" x14ac:dyDescent="0.3">
      <c r="A4238" t="s">
        <v>4336</v>
      </c>
      <c r="B4238" t="s">
        <v>20</v>
      </c>
      <c r="C4238" t="s">
        <v>4320</v>
      </c>
      <c r="D4238" s="1">
        <v>0.48900462962962965</v>
      </c>
      <c r="E4238" s="2">
        <f>CallLog[[#This Row],[Date]]+CallLog[[#This Row],[Time]]</f>
        <v>44271.489004629628</v>
      </c>
      <c r="F4238" s="1" t="str">
        <f>TEXT(CallLog[[#This Row],[Date]],"dddd")</f>
        <v>Tuesday</v>
      </c>
      <c r="G4238" s="3">
        <f>HOUR(CallLog[[#This Row],[Time]])</f>
        <v>11</v>
      </c>
      <c r="H4238" t="s">
        <v>17</v>
      </c>
      <c r="I4238" t="s">
        <v>14</v>
      </c>
      <c r="J4238" t="s">
        <v>14</v>
      </c>
      <c r="K4238">
        <v>56</v>
      </c>
      <c r="L4238" t="str">
        <f>IF(AND(CallLog[[#This Row],[Answered (Y/N)]]="Y", CallLog[[#This Row],[Speed of answer in seconds]]&lt;=20),
    "Within",
    "Breach")</f>
        <v>Breach</v>
      </c>
      <c r="M4238" s="1">
        <v>3.8888888888888888E-3</v>
      </c>
      <c r="N4238">
        <v>4</v>
      </c>
    </row>
    <row r="4239" spans="1:14" x14ac:dyDescent="0.3">
      <c r="A4239" t="s">
        <v>4337</v>
      </c>
      <c r="B4239" t="s">
        <v>20</v>
      </c>
      <c r="C4239" t="s">
        <v>4320</v>
      </c>
      <c r="D4239" s="1">
        <v>0.48900462962962965</v>
      </c>
      <c r="E4239" s="2">
        <f>CallLog[[#This Row],[Date]]+CallLog[[#This Row],[Time]]</f>
        <v>44271.489004629628</v>
      </c>
      <c r="F4239" s="1" t="str">
        <f>TEXT(CallLog[[#This Row],[Date]],"dddd")</f>
        <v>Tuesday</v>
      </c>
      <c r="G4239" s="3">
        <f>HOUR(CallLog[[#This Row],[Time]])</f>
        <v>11</v>
      </c>
      <c r="H4239" t="s">
        <v>32</v>
      </c>
      <c r="I4239" t="s">
        <v>14</v>
      </c>
      <c r="J4239" t="s">
        <v>14</v>
      </c>
      <c r="K4239">
        <v>26</v>
      </c>
      <c r="L4239" t="str">
        <f>IF(AND(CallLog[[#This Row],[Answered (Y/N)]]="Y", CallLog[[#This Row],[Speed of answer in seconds]]&lt;=20),
    "Within",
    "Breach")</f>
        <v>Breach</v>
      </c>
      <c r="M4239" s="1">
        <v>4.2939814814814811E-3</v>
      </c>
      <c r="N4239">
        <v>4</v>
      </c>
    </row>
    <row r="4240" spans="1:14" x14ac:dyDescent="0.3">
      <c r="A4240" t="s">
        <v>4338</v>
      </c>
      <c r="B4240" t="s">
        <v>11</v>
      </c>
      <c r="C4240" t="s">
        <v>4320</v>
      </c>
      <c r="D4240" s="1">
        <v>0.51500000000000001</v>
      </c>
      <c r="E4240" s="2">
        <f>CallLog[[#This Row],[Date]]+CallLog[[#This Row],[Time]]</f>
        <v>44271.514999999999</v>
      </c>
      <c r="F4240" s="1" t="str">
        <f>TEXT(CallLog[[#This Row],[Date]],"dddd")</f>
        <v>Tuesday</v>
      </c>
      <c r="G4240" s="3">
        <f>HOUR(CallLog[[#This Row],[Time]])</f>
        <v>12</v>
      </c>
      <c r="H4240" t="s">
        <v>17</v>
      </c>
      <c r="I4240" t="s">
        <v>14</v>
      </c>
      <c r="J4240" t="s">
        <v>14</v>
      </c>
      <c r="K4240">
        <v>11</v>
      </c>
      <c r="L4240" t="str">
        <f>IF(AND(CallLog[[#This Row],[Answered (Y/N)]]="Y", CallLog[[#This Row],[Speed of answer in seconds]]&lt;=20),
    "Within",
    "Breach")</f>
        <v>Within</v>
      </c>
      <c r="M4240" s="1">
        <v>2.1527777777777778E-3</v>
      </c>
      <c r="N4240">
        <v>4</v>
      </c>
    </row>
    <row r="4241" spans="1:14" x14ac:dyDescent="0.3">
      <c r="A4241" t="s">
        <v>4339</v>
      </c>
      <c r="B4241" t="s">
        <v>22</v>
      </c>
      <c r="C4241" t="s">
        <v>4320</v>
      </c>
      <c r="D4241" s="1">
        <v>0.51500000000000001</v>
      </c>
      <c r="E4241" s="2">
        <f>CallLog[[#This Row],[Date]]+CallLog[[#This Row],[Time]]</f>
        <v>44271.514999999999</v>
      </c>
      <c r="F4241" s="1" t="str">
        <f>TEXT(CallLog[[#This Row],[Date]],"dddd")</f>
        <v>Tuesday</v>
      </c>
      <c r="G4241" s="3">
        <f>HOUR(CallLog[[#This Row],[Time]])</f>
        <v>12</v>
      </c>
      <c r="H4241" t="s">
        <v>24</v>
      </c>
      <c r="I4241" t="s">
        <v>14</v>
      </c>
      <c r="J4241" t="s">
        <v>14</v>
      </c>
      <c r="K4241">
        <v>22</v>
      </c>
      <c r="L4241" t="str">
        <f>IF(AND(CallLog[[#This Row],[Answered (Y/N)]]="Y", CallLog[[#This Row],[Speed of answer in seconds]]&lt;=20),
    "Within",
    "Breach")</f>
        <v>Breach</v>
      </c>
      <c r="M4241" s="1">
        <v>4.5254629629629629E-3</v>
      </c>
      <c r="N4241">
        <v>1</v>
      </c>
    </row>
    <row r="4242" spans="1:14" x14ac:dyDescent="0.3">
      <c r="A4242" t="s">
        <v>4340</v>
      </c>
      <c r="B4242" t="s">
        <v>31</v>
      </c>
      <c r="C4242" t="s">
        <v>4320</v>
      </c>
      <c r="D4242" s="1">
        <v>0.53</v>
      </c>
      <c r="E4242" s="2">
        <f>CallLog[[#This Row],[Date]]+CallLog[[#This Row],[Time]]</f>
        <v>44271.53</v>
      </c>
      <c r="F4242" s="1" t="str">
        <f>TEXT(CallLog[[#This Row],[Date]],"dddd")</f>
        <v>Tuesday</v>
      </c>
      <c r="G4242" s="3">
        <f>HOUR(CallLog[[#This Row],[Time]])</f>
        <v>12</v>
      </c>
      <c r="H4242" t="s">
        <v>32</v>
      </c>
      <c r="I4242" t="s">
        <v>14</v>
      </c>
      <c r="J4242" t="s">
        <v>14</v>
      </c>
      <c r="K4242">
        <v>33</v>
      </c>
      <c r="L4242" t="str">
        <f>IF(AND(CallLog[[#This Row],[Answered (Y/N)]]="Y", CallLog[[#This Row],[Speed of answer in seconds]]&lt;=20),
    "Within",
    "Breach")</f>
        <v>Breach</v>
      </c>
      <c r="M4242" s="1">
        <v>4.6296296296296294E-3</v>
      </c>
      <c r="N4242">
        <v>3</v>
      </c>
    </row>
    <row r="4243" spans="1:14" x14ac:dyDescent="0.3">
      <c r="A4243" t="s">
        <v>4341</v>
      </c>
      <c r="B4243" t="s">
        <v>20</v>
      </c>
      <c r="C4243" t="s">
        <v>4320</v>
      </c>
      <c r="D4243" s="1">
        <v>0.53</v>
      </c>
      <c r="E4243" s="2">
        <f>CallLog[[#This Row],[Date]]+CallLog[[#This Row],[Time]]</f>
        <v>44271.53</v>
      </c>
      <c r="F4243" s="1" t="str">
        <f>TEXT(CallLog[[#This Row],[Date]],"dddd")</f>
        <v>Tuesday</v>
      </c>
      <c r="G4243" s="3">
        <f>HOUR(CallLog[[#This Row],[Time]])</f>
        <v>12</v>
      </c>
      <c r="H4243" t="s">
        <v>32</v>
      </c>
      <c r="I4243" t="s">
        <v>14</v>
      </c>
      <c r="J4243" t="s">
        <v>14</v>
      </c>
      <c r="K4243">
        <v>58</v>
      </c>
      <c r="L4243" t="str">
        <f>IF(AND(CallLog[[#This Row],[Answered (Y/N)]]="Y", CallLog[[#This Row],[Speed of answer in seconds]]&lt;=20),
    "Within",
    "Breach")</f>
        <v>Breach</v>
      </c>
      <c r="M4243" s="1">
        <v>7.6388888888888893E-4</v>
      </c>
      <c r="N4243">
        <v>4</v>
      </c>
    </row>
    <row r="4244" spans="1:14" x14ac:dyDescent="0.3">
      <c r="A4244" t="s">
        <v>4342</v>
      </c>
      <c r="B4244" t="s">
        <v>22</v>
      </c>
      <c r="C4244" t="s">
        <v>4320</v>
      </c>
      <c r="D4244" s="1">
        <v>0.53400462962962958</v>
      </c>
      <c r="E4244" s="2">
        <f>CallLog[[#This Row],[Date]]+CallLog[[#This Row],[Time]]</f>
        <v>44271.534004629626</v>
      </c>
      <c r="F4244" s="1" t="str">
        <f>TEXT(CallLog[[#This Row],[Date]],"dddd")</f>
        <v>Tuesday</v>
      </c>
      <c r="G4244" s="3">
        <f>HOUR(CallLog[[#This Row],[Time]])</f>
        <v>12</v>
      </c>
      <c r="H4244" t="s">
        <v>13</v>
      </c>
      <c r="I4244" t="s">
        <v>14</v>
      </c>
      <c r="J4244" t="s">
        <v>14</v>
      </c>
      <c r="K4244">
        <v>72</v>
      </c>
      <c r="L4244" t="str">
        <f>IF(AND(CallLog[[#This Row],[Answered (Y/N)]]="Y", CallLog[[#This Row],[Speed of answer in seconds]]&lt;=20),
    "Within",
    "Breach")</f>
        <v>Breach</v>
      </c>
      <c r="M4244" s="1">
        <v>4.0162037037037041E-3</v>
      </c>
      <c r="N4244">
        <v>3</v>
      </c>
    </row>
    <row r="4245" spans="1:14" x14ac:dyDescent="0.3">
      <c r="A4245" t="s">
        <v>4343</v>
      </c>
      <c r="B4245" t="s">
        <v>22</v>
      </c>
      <c r="C4245" t="s">
        <v>4320</v>
      </c>
      <c r="D4245" s="1">
        <v>0.53400462962962958</v>
      </c>
      <c r="E4245" s="2">
        <f>CallLog[[#This Row],[Date]]+CallLog[[#This Row],[Time]]</f>
        <v>44271.534004629626</v>
      </c>
      <c r="F4245" s="1" t="str">
        <f>TEXT(CallLog[[#This Row],[Date]],"dddd")</f>
        <v>Tuesday</v>
      </c>
      <c r="G4245" s="3">
        <f>HOUR(CallLog[[#This Row],[Time]])</f>
        <v>12</v>
      </c>
      <c r="H4245" t="s">
        <v>24</v>
      </c>
      <c r="I4245" t="s">
        <v>14</v>
      </c>
      <c r="J4245" t="s">
        <v>14</v>
      </c>
      <c r="K4245">
        <v>63</v>
      </c>
      <c r="L4245" t="str">
        <f>IF(AND(CallLog[[#This Row],[Answered (Y/N)]]="Y", CallLog[[#This Row],[Speed of answer in seconds]]&lt;=20),
    "Within",
    "Breach")</f>
        <v>Breach</v>
      </c>
      <c r="M4245" s="1">
        <v>3.7847222222222223E-3</v>
      </c>
      <c r="N4245">
        <v>5</v>
      </c>
    </row>
    <row r="4246" spans="1:14" x14ac:dyDescent="0.3">
      <c r="A4246" t="s">
        <v>4344</v>
      </c>
      <c r="B4246" t="s">
        <v>11</v>
      </c>
      <c r="C4246" t="s">
        <v>4320</v>
      </c>
      <c r="D4246" s="1">
        <v>0.54500000000000004</v>
      </c>
      <c r="E4246" s="2">
        <f>CallLog[[#This Row],[Date]]+CallLog[[#This Row],[Time]]</f>
        <v>44271.544999999998</v>
      </c>
      <c r="F4246" s="1" t="str">
        <f>TEXT(CallLog[[#This Row],[Date]],"dddd")</f>
        <v>Tuesday</v>
      </c>
      <c r="G4246" s="3">
        <f>HOUR(CallLog[[#This Row],[Time]])</f>
        <v>13</v>
      </c>
      <c r="H4246" t="s">
        <v>32</v>
      </c>
      <c r="I4246" t="s">
        <v>14</v>
      </c>
      <c r="J4246" t="s">
        <v>14</v>
      </c>
      <c r="K4246">
        <v>52</v>
      </c>
      <c r="L4246" t="str">
        <f>IF(AND(CallLog[[#This Row],[Answered (Y/N)]]="Y", CallLog[[#This Row],[Speed of answer in seconds]]&lt;=20),
    "Within",
    "Breach")</f>
        <v>Breach</v>
      </c>
      <c r="M4246" s="1">
        <v>2.4537037037037036E-3</v>
      </c>
      <c r="N4246">
        <v>4</v>
      </c>
    </row>
    <row r="4247" spans="1:14" x14ac:dyDescent="0.3">
      <c r="A4247" t="s">
        <v>4345</v>
      </c>
      <c r="B4247" t="s">
        <v>34</v>
      </c>
      <c r="C4247" t="s">
        <v>4320</v>
      </c>
      <c r="D4247" s="1">
        <v>0.54500000000000004</v>
      </c>
      <c r="E4247" s="2">
        <f>CallLog[[#This Row],[Date]]+CallLog[[#This Row],[Time]]</f>
        <v>44271.544999999998</v>
      </c>
      <c r="F4247" s="1" t="str">
        <f>TEXT(CallLog[[#This Row],[Date]],"dddd")</f>
        <v>Tuesday</v>
      </c>
      <c r="G4247" s="3">
        <f>HOUR(CallLog[[#This Row],[Time]])</f>
        <v>13</v>
      </c>
      <c r="H4247" t="s">
        <v>32</v>
      </c>
      <c r="I4247" t="s">
        <v>18</v>
      </c>
      <c r="J4247" t="s">
        <v>18</v>
      </c>
      <c r="L4247" t="str">
        <f>IF(AND(CallLog[[#This Row],[Answered (Y/N)]]="Y", CallLog[[#This Row],[Speed of answer in seconds]]&lt;=20),
    "Within",
    "Breach")</f>
        <v>Breach</v>
      </c>
    </row>
    <row r="4248" spans="1:14" x14ac:dyDescent="0.3">
      <c r="A4248" t="s">
        <v>4346</v>
      </c>
      <c r="B4248" t="s">
        <v>20</v>
      </c>
      <c r="C4248" t="s">
        <v>4320</v>
      </c>
      <c r="D4248" s="1">
        <v>0.55299768518518522</v>
      </c>
      <c r="E4248" s="2">
        <f>CallLog[[#This Row],[Date]]+CallLog[[#This Row],[Time]]</f>
        <v>44271.552997685183</v>
      </c>
      <c r="F4248" s="1" t="str">
        <f>TEXT(CallLog[[#This Row],[Date]],"dddd")</f>
        <v>Tuesday</v>
      </c>
      <c r="G4248" s="3">
        <f>HOUR(CallLog[[#This Row],[Time]])</f>
        <v>13</v>
      </c>
      <c r="H4248" t="s">
        <v>17</v>
      </c>
      <c r="I4248" t="s">
        <v>14</v>
      </c>
      <c r="J4248" t="s">
        <v>14</v>
      </c>
      <c r="K4248">
        <v>106</v>
      </c>
      <c r="L4248" t="str">
        <f>IF(AND(CallLog[[#This Row],[Answered (Y/N)]]="Y", CallLog[[#This Row],[Speed of answer in seconds]]&lt;=20),
    "Within",
    "Breach")</f>
        <v>Breach</v>
      </c>
      <c r="M4248" s="1">
        <v>3.8310185185185183E-3</v>
      </c>
      <c r="N4248">
        <v>5</v>
      </c>
    </row>
    <row r="4249" spans="1:14" x14ac:dyDescent="0.3">
      <c r="A4249" t="s">
        <v>4347</v>
      </c>
      <c r="B4249" t="s">
        <v>11</v>
      </c>
      <c r="C4249" t="s">
        <v>4320</v>
      </c>
      <c r="D4249" s="1">
        <v>0.55299768518518522</v>
      </c>
      <c r="E4249" s="2">
        <f>CallLog[[#This Row],[Date]]+CallLog[[#This Row],[Time]]</f>
        <v>44271.552997685183</v>
      </c>
      <c r="F4249" s="1" t="str">
        <f>TEXT(CallLog[[#This Row],[Date]],"dddd")</f>
        <v>Tuesday</v>
      </c>
      <c r="G4249" s="3">
        <f>HOUR(CallLog[[#This Row],[Time]])</f>
        <v>13</v>
      </c>
      <c r="H4249" t="s">
        <v>29</v>
      </c>
      <c r="I4249" t="s">
        <v>14</v>
      </c>
      <c r="J4249" t="s">
        <v>14</v>
      </c>
      <c r="K4249">
        <v>26</v>
      </c>
      <c r="L4249" t="str">
        <f>IF(AND(CallLog[[#This Row],[Answered (Y/N)]]="Y", CallLog[[#This Row],[Speed of answer in seconds]]&lt;=20),
    "Within",
    "Breach")</f>
        <v>Breach</v>
      </c>
      <c r="M4249" s="1">
        <v>4.5601851851851853E-3</v>
      </c>
      <c r="N4249">
        <v>3</v>
      </c>
    </row>
    <row r="4250" spans="1:14" x14ac:dyDescent="0.3">
      <c r="A4250" t="s">
        <v>4348</v>
      </c>
      <c r="B4250" t="s">
        <v>11</v>
      </c>
      <c r="C4250" t="s">
        <v>4320</v>
      </c>
      <c r="D4250" s="1">
        <v>0.56200231481481477</v>
      </c>
      <c r="E4250" s="2">
        <f>CallLog[[#This Row],[Date]]+CallLog[[#This Row],[Time]]</f>
        <v>44271.562002314815</v>
      </c>
      <c r="F4250" s="1" t="str">
        <f>TEXT(CallLog[[#This Row],[Date]],"dddd")</f>
        <v>Tuesday</v>
      </c>
      <c r="G4250" s="3">
        <f>HOUR(CallLog[[#This Row],[Time]])</f>
        <v>13</v>
      </c>
      <c r="H4250" t="s">
        <v>24</v>
      </c>
      <c r="I4250" t="s">
        <v>14</v>
      </c>
      <c r="J4250" t="s">
        <v>14</v>
      </c>
      <c r="K4250">
        <v>76</v>
      </c>
      <c r="L4250" t="str">
        <f>IF(AND(CallLog[[#This Row],[Answered (Y/N)]]="Y", CallLog[[#This Row],[Speed of answer in seconds]]&lt;=20),
    "Within",
    "Breach")</f>
        <v>Breach</v>
      </c>
      <c r="M4250" s="1">
        <v>2.4189814814814816E-3</v>
      </c>
      <c r="N4250">
        <v>5</v>
      </c>
    </row>
    <row r="4251" spans="1:14" x14ac:dyDescent="0.3">
      <c r="A4251" t="s">
        <v>4349</v>
      </c>
      <c r="B4251" t="s">
        <v>20</v>
      </c>
      <c r="C4251" t="s">
        <v>4320</v>
      </c>
      <c r="D4251" s="1">
        <v>0.56200231481481477</v>
      </c>
      <c r="E4251" s="2">
        <f>CallLog[[#This Row],[Date]]+CallLog[[#This Row],[Time]]</f>
        <v>44271.562002314815</v>
      </c>
      <c r="F4251" s="1" t="str">
        <f>TEXT(CallLog[[#This Row],[Date]],"dddd")</f>
        <v>Tuesday</v>
      </c>
      <c r="G4251" s="3">
        <f>HOUR(CallLog[[#This Row],[Time]])</f>
        <v>13</v>
      </c>
      <c r="H4251" t="s">
        <v>17</v>
      </c>
      <c r="I4251" t="s">
        <v>14</v>
      </c>
      <c r="J4251" t="s">
        <v>14</v>
      </c>
      <c r="K4251">
        <v>45</v>
      </c>
      <c r="L4251" t="str">
        <f>IF(AND(CallLog[[#This Row],[Answered (Y/N)]]="Y", CallLog[[#This Row],[Speed of answer in seconds]]&lt;=20),
    "Within",
    "Breach")</f>
        <v>Breach</v>
      </c>
      <c r="M4251" s="1">
        <v>4.5023148148148149E-3</v>
      </c>
      <c r="N4251">
        <v>5</v>
      </c>
    </row>
    <row r="4252" spans="1:14" x14ac:dyDescent="0.3">
      <c r="A4252" t="s">
        <v>4350</v>
      </c>
      <c r="B4252" t="s">
        <v>38</v>
      </c>
      <c r="C4252" t="s">
        <v>4320</v>
      </c>
      <c r="D4252" s="1">
        <v>0.56400462962962961</v>
      </c>
      <c r="E4252" s="2">
        <f>CallLog[[#This Row],[Date]]+CallLog[[#This Row],[Time]]</f>
        <v>44271.564004629632</v>
      </c>
      <c r="F4252" s="1" t="str">
        <f>TEXT(CallLog[[#This Row],[Date]],"dddd")</f>
        <v>Tuesday</v>
      </c>
      <c r="G4252" s="3">
        <f>HOUR(CallLog[[#This Row],[Time]])</f>
        <v>13</v>
      </c>
      <c r="H4252" t="s">
        <v>13</v>
      </c>
      <c r="I4252" t="s">
        <v>18</v>
      </c>
      <c r="J4252" t="s">
        <v>18</v>
      </c>
      <c r="L4252" t="str">
        <f>IF(AND(CallLog[[#This Row],[Answered (Y/N)]]="Y", CallLog[[#This Row],[Speed of answer in seconds]]&lt;=20),
    "Within",
    "Breach")</f>
        <v>Breach</v>
      </c>
    </row>
    <row r="4253" spans="1:14" x14ac:dyDescent="0.3">
      <c r="A4253" t="s">
        <v>4351</v>
      </c>
      <c r="B4253" t="s">
        <v>47</v>
      </c>
      <c r="C4253" t="s">
        <v>4320</v>
      </c>
      <c r="D4253" s="1">
        <v>0.56400462962962961</v>
      </c>
      <c r="E4253" s="2">
        <f>CallLog[[#This Row],[Date]]+CallLog[[#This Row],[Time]]</f>
        <v>44271.564004629632</v>
      </c>
      <c r="F4253" s="1" t="str">
        <f>TEXT(CallLog[[#This Row],[Date]],"dddd")</f>
        <v>Tuesday</v>
      </c>
      <c r="G4253" s="3">
        <f>HOUR(CallLog[[#This Row],[Time]])</f>
        <v>13</v>
      </c>
      <c r="H4253" t="s">
        <v>24</v>
      </c>
      <c r="I4253" t="s">
        <v>14</v>
      </c>
      <c r="J4253" t="s">
        <v>14</v>
      </c>
      <c r="K4253">
        <v>61</v>
      </c>
      <c r="L4253" t="str">
        <f>IF(AND(CallLog[[#This Row],[Answered (Y/N)]]="Y", CallLog[[#This Row],[Speed of answer in seconds]]&lt;=20),
    "Within",
    "Breach")</f>
        <v>Breach</v>
      </c>
      <c r="M4253" s="1">
        <v>1.0416666666666667E-3</v>
      </c>
      <c r="N4253">
        <v>3</v>
      </c>
    </row>
    <row r="4254" spans="1:14" x14ac:dyDescent="0.3">
      <c r="A4254" t="s">
        <v>4352</v>
      </c>
      <c r="B4254" t="s">
        <v>22</v>
      </c>
      <c r="C4254" t="s">
        <v>4320</v>
      </c>
      <c r="D4254" s="1">
        <v>0.58099537037037041</v>
      </c>
      <c r="E4254" s="2">
        <f>CallLog[[#This Row],[Date]]+CallLog[[#This Row],[Time]]</f>
        <v>44271.580995370372</v>
      </c>
      <c r="F4254" s="1" t="str">
        <f>TEXT(CallLog[[#This Row],[Date]],"dddd")</f>
        <v>Tuesday</v>
      </c>
      <c r="G4254" s="3">
        <f>HOUR(CallLog[[#This Row],[Time]])</f>
        <v>13</v>
      </c>
      <c r="H4254" t="s">
        <v>17</v>
      </c>
      <c r="I4254" t="s">
        <v>18</v>
      </c>
      <c r="J4254" t="s">
        <v>18</v>
      </c>
      <c r="L4254" t="str">
        <f>IF(AND(CallLog[[#This Row],[Answered (Y/N)]]="Y", CallLog[[#This Row],[Speed of answer in seconds]]&lt;=20),
    "Within",
    "Breach")</f>
        <v>Breach</v>
      </c>
    </row>
    <row r="4255" spans="1:14" x14ac:dyDescent="0.3">
      <c r="A4255" t="s">
        <v>4353</v>
      </c>
      <c r="B4255" t="s">
        <v>47</v>
      </c>
      <c r="C4255" t="s">
        <v>4320</v>
      </c>
      <c r="D4255" s="1">
        <v>0.58099537037037041</v>
      </c>
      <c r="E4255" s="2">
        <f>CallLog[[#This Row],[Date]]+CallLog[[#This Row],[Time]]</f>
        <v>44271.580995370372</v>
      </c>
      <c r="F4255" s="1" t="str">
        <f>TEXT(CallLog[[#This Row],[Date]],"dddd")</f>
        <v>Tuesday</v>
      </c>
      <c r="G4255" s="3">
        <f>HOUR(CallLog[[#This Row],[Time]])</f>
        <v>13</v>
      </c>
      <c r="H4255" t="s">
        <v>13</v>
      </c>
      <c r="I4255" t="s">
        <v>14</v>
      </c>
      <c r="J4255" t="s">
        <v>18</v>
      </c>
      <c r="K4255">
        <v>38</v>
      </c>
      <c r="L4255" t="str">
        <f>IF(AND(CallLog[[#This Row],[Answered (Y/N)]]="Y", CallLog[[#This Row],[Speed of answer in seconds]]&lt;=20),
    "Within",
    "Breach")</f>
        <v>Breach</v>
      </c>
      <c r="M4255" s="1">
        <v>3.414351851851852E-3</v>
      </c>
      <c r="N4255">
        <v>2</v>
      </c>
    </row>
    <row r="4256" spans="1:14" x14ac:dyDescent="0.3">
      <c r="A4256" t="s">
        <v>4354</v>
      </c>
      <c r="B4256" t="s">
        <v>31</v>
      </c>
      <c r="C4256" t="s">
        <v>4320</v>
      </c>
      <c r="D4256" s="1">
        <v>0.59</v>
      </c>
      <c r="E4256" s="2">
        <f>CallLog[[#This Row],[Date]]+CallLog[[#This Row],[Time]]</f>
        <v>44271.59</v>
      </c>
      <c r="F4256" s="1" t="str">
        <f>TEXT(CallLog[[#This Row],[Date]],"dddd")</f>
        <v>Tuesday</v>
      </c>
      <c r="G4256" s="3">
        <f>HOUR(CallLog[[#This Row],[Time]])</f>
        <v>14</v>
      </c>
      <c r="H4256" t="s">
        <v>13</v>
      </c>
      <c r="I4256" t="s">
        <v>14</v>
      </c>
      <c r="J4256" t="s">
        <v>14</v>
      </c>
      <c r="K4256">
        <v>19</v>
      </c>
      <c r="L4256" t="str">
        <f>IF(AND(CallLog[[#This Row],[Answered (Y/N)]]="Y", CallLog[[#This Row],[Speed of answer in seconds]]&lt;=20),
    "Within",
    "Breach")</f>
        <v>Within</v>
      </c>
      <c r="M4256" s="1">
        <v>1.5393518518518519E-3</v>
      </c>
      <c r="N4256">
        <v>4</v>
      </c>
    </row>
    <row r="4257" spans="1:14" x14ac:dyDescent="0.3">
      <c r="A4257" t="s">
        <v>4355</v>
      </c>
      <c r="B4257" t="s">
        <v>34</v>
      </c>
      <c r="C4257" t="s">
        <v>4320</v>
      </c>
      <c r="D4257" s="1">
        <v>0.59</v>
      </c>
      <c r="E4257" s="2">
        <f>CallLog[[#This Row],[Date]]+CallLog[[#This Row],[Time]]</f>
        <v>44271.59</v>
      </c>
      <c r="F4257" s="1" t="str">
        <f>TEXT(CallLog[[#This Row],[Date]],"dddd")</f>
        <v>Tuesday</v>
      </c>
      <c r="G4257" s="3">
        <f>HOUR(CallLog[[#This Row],[Time]])</f>
        <v>14</v>
      </c>
      <c r="H4257" t="s">
        <v>32</v>
      </c>
      <c r="I4257" t="s">
        <v>14</v>
      </c>
      <c r="J4257" t="s">
        <v>14</v>
      </c>
      <c r="K4257">
        <v>15</v>
      </c>
      <c r="L4257" t="str">
        <f>IF(AND(CallLog[[#This Row],[Answered (Y/N)]]="Y", CallLog[[#This Row],[Speed of answer in seconds]]&lt;=20),
    "Within",
    "Breach")</f>
        <v>Within</v>
      </c>
      <c r="M4257" s="1">
        <v>2.1180555555555558E-3</v>
      </c>
      <c r="N4257">
        <v>4</v>
      </c>
    </row>
    <row r="4258" spans="1:14" x14ac:dyDescent="0.3">
      <c r="A4258" t="s">
        <v>4356</v>
      </c>
      <c r="B4258" t="s">
        <v>16</v>
      </c>
      <c r="C4258" t="s">
        <v>4320</v>
      </c>
      <c r="D4258" s="1">
        <v>0.59299768518518514</v>
      </c>
      <c r="E4258" s="2">
        <f>CallLog[[#This Row],[Date]]+CallLog[[#This Row],[Time]]</f>
        <v>44271.592997685184</v>
      </c>
      <c r="F4258" s="1" t="str">
        <f>TEXT(CallLog[[#This Row],[Date]],"dddd")</f>
        <v>Tuesday</v>
      </c>
      <c r="G4258" s="3">
        <f>HOUR(CallLog[[#This Row],[Time]])</f>
        <v>14</v>
      </c>
      <c r="H4258" t="s">
        <v>32</v>
      </c>
      <c r="I4258" t="s">
        <v>14</v>
      </c>
      <c r="J4258" t="s">
        <v>14</v>
      </c>
      <c r="K4258">
        <v>90</v>
      </c>
      <c r="L4258" t="str">
        <f>IF(AND(CallLog[[#This Row],[Answered (Y/N)]]="Y", CallLog[[#This Row],[Speed of answer in seconds]]&lt;=20),
    "Within",
    "Breach")</f>
        <v>Breach</v>
      </c>
      <c r="M4258" s="1">
        <v>3.414351851851852E-3</v>
      </c>
      <c r="N4258">
        <v>3</v>
      </c>
    </row>
    <row r="4259" spans="1:14" x14ac:dyDescent="0.3">
      <c r="A4259" t="s">
        <v>4357</v>
      </c>
      <c r="B4259" t="s">
        <v>20</v>
      </c>
      <c r="C4259" t="s">
        <v>4320</v>
      </c>
      <c r="D4259" s="1">
        <v>0.59299768518518514</v>
      </c>
      <c r="E4259" s="2">
        <f>CallLog[[#This Row],[Date]]+CallLog[[#This Row],[Time]]</f>
        <v>44271.592997685184</v>
      </c>
      <c r="F4259" s="1" t="str">
        <f>TEXT(CallLog[[#This Row],[Date]],"dddd")</f>
        <v>Tuesday</v>
      </c>
      <c r="G4259" s="3">
        <f>HOUR(CallLog[[#This Row],[Time]])</f>
        <v>14</v>
      </c>
      <c r="H4259" t="s">
        <v>29</v>
      </c>
      <c r="I4259" t="s">
        <v>14</v>
      </c>
      <c r="J4259" t="s">
        <v>14</v>
      </c>
      <c r="K4259">
        <v>99</v>
      </c>
      <c r="L4259" t="str">
        <f>IF(AND(CallLog[[#This Row],[Answered (Y/N)]]="Y", CallLog[[#This Row],[Speed of answer in seconds]]&lt;=20),
    "Within",
    "Breach")</f>
        <v>Breach</v>
      </c>
      <c r="M4259" s="1">
        <v>7.407407407407407E-4</v>
      </c>
      <c r="N4259">
        <v>3</v>
      </c>
    </row>
    <row r="4260" spans="1:14" x14ac:dyDescent="0.3">
      <c r="A4260" t="s">
        <v>4358</v>
      </c>
      <c r="B4260" t="s">
        <v>16</v>
      </c>
      <c r="C4260" t="s">
        <v>4320</v>
      </c>
      <c r="D4260" s="1">
        <v>0.59299768518518514</v>
      </c>
      <c r="E4260" s="2">
        <f>CallLog[[#This Row],[Date]]+CallLog[[#This Row],[Time]]</f>
        <v>44271.592997685184</v>
      </c>
      <c r="F4260" s="1" t="str">
        <f>TEXT(CallLog[[#This Row],[Date]],"dddd")</f>
        <v>Tuesday</v>
      </c>
      <c r="G4260" s="3">
        <f>HOUR(CallLog[[#This Row],[Time]])</f>
        <v>14</v>
      </c>
      <c r="H4260" t="s">
        <v>13</v>
      </c>
      <c r="I4260" t="s">
        <v>14</v>
      </c>
      <c r="J4260" t="s">
        <v>14</v>
      </c>
      <c r="K4260">
        <v>18</v>
      </c>
      <c r="L4260" t="str">
        <f>IF(AND(CallLog[[#This Row],[Answered (Y/N)]]="Y", CallLog[[#This Row],[Speed of answer in seconds]]&lt;=20),
    "Within",
    "Breach")</f>
        <v>Within</v>
      </c>
      <c r="M4260" s="1">
        <v>1.3425925925925925E-3</v>
      </c>
      <c r="N4260">
        <v>5</v>
      </c>
    </row>
    <row r="4261" spans="1:14" x14ac:dyDescent="0.3">
      <c r="A4261" t="s">
        <v>4359</v>
      </c>
      <c r="B4261" t="s">
        <v>31</v>
      </c>
      <c r="C4261" t="s">
        <v>4320</v>
      </c>
      <c r="D4261" s="1">
        <v>0.59299768518518514</v>
      </c>
      <c r="E4261" s="2">
        <f>CallLog[[#This Row],[Date]]+CallLog[[#This Row],[Time]]</f>
        <v>44271.592997685184</v>
      </c>
      <c r="F4261" s="1" t="str">
        <f>TEXT(CallLog[[#This Row],[Date]],"dddd")</f>
        <v>Tuesday</v>
      </c>
      <c r="G4261" s="3">
        <f>HOUR(CallLog[[#This Row],[Time]])</f>
        <v>14</v>
      </c>
      <c r="H4261" t="s">
        <v>24</v>
      </c>
      <c r="I4261" t="s">
        <v>14</v>
      </c>
      <c r="J4261" t="s">
        <v>14</v>
      </c>
      <c r="K4261">
        <v>65</v>
      </c>
      <c r="L4261" t="str">
        <f>IF(AND(CallLog[[#This Row],[Answered (Y/N)]]="Y", CallLog[[#This Row],[Speed of answer in seconds]]&lt;=20),
    "Within",
    "Breach")</f>
        <v>Breach</v>
      </c>
      <c r="M4261" s="1">
        <v>1.7939814814814815E-3</v>
      </c>
      <c r="N4261">
        <v>4</v>
      </c>
    </row>
    <row r="4262" spans="1:14" x14ac:dyDescent="0.3">
      <c r="A4262" t="s">
        <v>4360</v>
      </c>
      <c r="B4262" t="s">
        <v>38</v>
      </c>
      <c r="C4262" t="s">
        <v>4320</v>
      </c>
      <c r="D4262" s="1">
        <v>0.60099537037037032</v>
      </c>
      <c r="E4262" s="2">
        <f>CallLog[[#This Row],[Date]]+CallLog[[#This Row],[Time]]</f>
        <v>44271.600995370369</v>
      </c>
      <c r="F4262" s="1" t="str">
        <f>TEXT(CallLog[[#This Row],[Date]],"dddd")</f>
        <v>Tuesday</v>
      </c>
      <c r="G4262" s="3">
        <f>HOUR(CallLog[[#This Row],[Time]])</f>
        <v>14</v>
      </c>
      <c r="H4262" t="s">
        <v>29</v>
      </c>
      <c r="I4262" t="s">
        <v>14</v>
      </c>
      <c r="J4262" t="s">
        <v>14</v>
      </c>
      <c r="K4262">
        <v>91</v>
      </c>
      <c r="L4262" t="str">
        <f>IF(AND(CallLog[[#This Row],[Answered (Y/N)]]="Y", CallLog[[#This Row],[Speed of answer in seconds]]&lt;=20),
    "Within",
    "Breach")</f>
        <v>Breach</v>
      </c>
      <c r="M4262" s="1">
        <v>3.9004629629629628E-3</v>
      </c>
      <c r="N4262">
        <v>4</v>
      </c>
    </row>
    <row r="4263" spans="1:14" x14ac:dyDescent="0.3">
      <c r="A4263" t="s">
        <v>4361</v>
      </c>
      <c r="B4263" t="s">
        <v>31</v>
      </c>
      <c r="C4263" t="s">
        <v>4320</v>
      </c>
      <c r="D4263" s="1">
        <v>0.60099537037037032</v>
      </c>
      <c r="E4263" s="2">
        <f>CallLog[[#This Row],[Date]]+CallLog[[#This Row],[Time]]</f>
        <v>44271.600995370369</v>
      </c>
      <c r="F4263" s="1" t="str">
        <f>TEXT(CallLog[[#This Row],[Date]],"dddd")</f>
        <v>Tuesday</v>
      </c>
      <c r="G4263" s="3">
        <f>HOUR(CallLog[[#This Row],[Time]])</f>
        <v>14</v>
      </c>
      <c r="H4263" t="s">
        <v>32</v>
      </c>
      <c r="I4263" t="s">
        <v>14</v>
      </c>
      <c r="J4263" t="s">
        <v>14</v>
      </c>
      <c r="K4263">
        <v>95</v>
      </c>
      <c r="L4263" t="str">
        <f>IF(AND(CallLog[[#This Row],[Answered (Y/N)]]="Y", CallLog[[#This Row],[Speed of answer in seconds]]&lt;=20),
    "Within",
    "Breach")</f>
        <v>Breach</v>
      </c>
      <c r="M4263" s="1">
        <v>1.4351851851851852E-3</v>
      </c>
      <c r="N4263">
        <v>4</v>
      </c>
    </row>
    <row r="4264" spans="1:14" x14ac:dyDescent="0.3">
      <c r="A4264" t="s">
        <v>4362</v>
      </c>
      <c r="B4264" t="s">
        <v>31</v>
      </c>
      <c r="C4264" t="s">
        <v>4320</v>
      </c>
      <c r="D4264" s="1">
        <v>0.60700231481481481</v>
      </c>
      <c r="E4264" s="2">
        <f>CallLog[[#This Row],[Date]]+CallLog[[#This Row],[Time]]</f>
        <v>44271.607002314813</v>
      </c>
      <c r="F4264" s="1" t="str">
        <f>TEXT(CallLog[[#This Row],[Date]],"dddd")</f>
        <v>Tuesday</v>
      </c>
      <c r="G4264" s="3">
        <f>HOUR(CallLog[[#This Row],[Time]])</f>
        <v>14</v>
      </c>
      <c r="H4264" t="s">
        <v>32</v>
      </c>
      <c r="I4264" t="s">
        <v>14</v>
      </c>
      <c r="J4264" t="s">
        <v>14</v>
      </c>
      <c r="K4264">
        <v>87</v>
      </c>
      <c r="L4264" t="str">
        <f>IF(AND(CallLog[[#This Row],[Answered (Y/N)]]="Y", CallLog[[#This Row],[Speed of answer in seconds]]&lt;=20),
    "Within",
    "Breach")</f>
        <v>Breach</v>
      </c>
      <c r="M4264" s="1">
        <v>3.2870370370370371E-3</v>
      </c>
      <c r="N4264">
        <v>4</v>
      </c>
    </row>
    <row r="4265" spans="1:14" x14ac:dyDescent="0.3">
      <c r="A4265" t="s">
        <v>4363</v>
      </c>
      <c r="B4265" t="s">
        <v>47</v>
      </c>
      <c r="C4265" t="s">
        <v>4320</v>
      </c>
      <c r="D4265" s="1">
        <v>0.60700231481481481</v>
      </c>
      <c r="E4265" s="2">
        <f>CallLog[[#This Row],[Date]]+CallLog[[#This Row],[Time]]</f>
        <v>44271.607002314813</v>
      </c>
      <c r="F4265" s="1" t="str">
        <f>TEXT(CallLog[[#This Row],[Date]],"dddd")</f>
        <v>Tuesday</v>
      </c>
      <c r="G4265" s="3">
        <f>HOUR(CallLog[[#This Row],[Time]])</f>
        <v>14</v>
      </c>
      <c r="H4265" t="s">
        <v>24</v>
      </c>
      <c r="I4265" t="s">
        <v>14</v>
      </c>
      <c r="J4265" t="s">
        <v>14</v>
      </c>
      <c r="K4265">
        <v>71</v>
      </c>
      <c r="L4265" t="str">
        <f>IF(AND(CallLog[[#This Row],[Answered (Y/N)]]="Y", CallLog[[#This Row],[Speed of answer in seconds]]&lt;=20),
    "Within",
    "Breach")</f>
        <v>Breach</v>
      </c>
      <c r="M4265" s="1">
        <v>4.178240740740741E-3</v>
      </c>
      <c r="N4265">
        <v>3</v>
      </c>
    </row>
    <row r="4266" spans="1:14" x14ac:dyDescent="0.3">
      <c r="A4266" t="s">
        <v>4364</v>
      </c>
      <c r="B4266" t="s">
        <v>31</v>
      </c>
      <c r="C4266" t="s">
        <v>4320</v>
      </c>
      <c r="D4266" s="1">
        <v>0.64</v>
      </c>
      <c r="E4266" s="2">
        <f>CallLog[[#This Row],[Date]]+CallLog[[#This Row],[Time]]</f>
        <v>44271.64</v>
      </c>
      <c r="F4266" s="1" t="str">
        <f>TEXT(CallLog[[#This Row],[Date]],"dddd")</f>
        <v>Tuesday</v>
      </c>
      <c r="G4266" s="3">
        <f>HOUR(CallLog[[#This Row],[Time]])</f>
        <v>15</v>
      </c>
      <c r="H4266" t="s">
        <v>29</v>
      </c>
      <c r="I4266" t="s">
        <v>14</v>
      </c>
      <c r="J4266" t="s">
        <v>14</v>
      </c>
      <c r="K4266">
        <v>74</v>
      </c>
      <c r="L4266" t="str">
        <f>IF(AND(CallLog[[#This Row],[Answered (Y/N)]]="Y", CallLog[[#This Row],[Speed of answer in seconds]]&lt;=20),
    "Within",
    "Breach")</f>
        <v>Breach</v>
      </c>
      <c r="M4266" s="1">
        <v>2.1296296296296298E-3</v>
      </c>
      <c r="N4266">
        <v>5</v>
      </c>
    </row>
    <row r="4267" spans="1:14" x14ac:dyDescent="0.3">
      <c r="A4267" t="s">
        <v>4365</v>
      </c>
      <c r="B4267" t="s">
        <v>31</v>
      </c>
      <c r="C4267" t="s">
        <v>4320</v>
      </c>
      <c r="D4267" s="1">
        <v>0.64</v>
      </c>
      <c r="E4267" s="2">
        <f>CallLog[[#This Row],[Date]]+CallLog[[#This Row],[Time]]</f>
        <v>44271.64</v>
      </c>
      <c r="F4267" s="1" t="str">
        <f>TEXT(CallLog[[#This Row],[Date]],"dddd")</f>
        <v>Tuesday</v>
      </c>
      <c r="G4267" s="3">
        <f>HOUR(CallLog[[#This Row],[Time]])</f>
        <v>15</v>
      </c>
      <c r="H4267" t="s">
        <v>17</v>
      </c>
      <c r="I4267" t="s">
        <v>14</v>
      </c>
      <c r="J4267" t="s">
        <v>14</v>
      </c>
      <c r="K4267">
        <v>28</v>
      </c>
      <c r="L4267" t="str">
        <f>IF(AND(CallLog[[#This Row],[Answered (Y/N)]]="Y", CallLog[[#This Row],[Speed of answer in seconds]]&lt;=20),
    "Within",
    "Breach")</f>
        <v>Breach</v>
      </c>
      <c r="M4267" s="1">
        <v>3.5300925925925925E-3</v>
      </c>
      <c r="N4267">
        <v>4</v>
      </c>
    </row>
    <row r="4268" spans="1:14" x14ac:dyDescent="0.3">
      <c r="A4268" t="s">
        <v>4366</v>
      </c>
      <c r="B4268" t="s">
        <v>34</v>
      </c>
      <c r="C4268" t="s">
        <v>4320</v>
      </c>
      <c r="D4268" s="1">
        <v>0.65299768518518519</v>
      </c>
      <c r="E4268" s="2">
        <f>CallLog[[#This Row],[Date]]+CallLog[[#This Row],[Time]]</f>
        <v>44271.652997685182</v>
      </c>
      <c r="F4268" s="1" t="str">
        <f>TEXT(CallLog[[#This Row],[Date]],"dddd")</f>
        <v>Tuesday</v>
      </c>
      <c r="G4268" s="3">
        <f>HOUR(CallLog[[#This Row],[Time]])</f>
        <v>15</v>
      </c>
      <c r="H4268" t="s">
        <v>13</v>
      </c>
      <c r="I4268" t="s">
        <v>14</v>
      </c>
      <c r="J4268" t="s">
        <v>14</v>
      </c>
      <c r="K4268">
        <v>101</v>
      </c>
      <c r="L4268" t="str">
        <f>IF(AND(CallLog[[#This Row],[Answered (Y/N)]]="Y", CallLog[[#This Row],[Speed of answer in seconds]]&lt;=20),
    "Within",
    "Breach")</f>
        <v>Breach</v>
      </c>
      <c r="M4268" s="1">
        <v>2.0023148148148148E-3</v>
      </c>
      <c r="N4268">
        <v>3</v>
      </c>
    </row>
    <row r="4269" spans="1:14" x14ac:dyDescent="0.3">
      <c r="A4269" t="s">
        <v>4367</v>
      </c>
      <c r="B4269" t="s">
        <v>38</v>
      </c>
      <c r="C4269" t="s">
        <v>4320</v>
      </c>
      <c r="D4269" s="1">
        <v>0.65299768518518519</v>
      </c>
      <c r="E4269" s="2">
        <f>CallLog[[#This Row],[Date]]+CallLog[[#This Row],[Time]]</f>
        <v>44271.652997685182</v>
      </c>
      <c r="F4269" s="1" t="str">
        <f>TEXT(CallLog[[#This Row],[Date]],"dddd")</f>
        <v>Tuesday</v>
      </c>
      <c r="G4269" s="3">
        <f>HOUR(CallLog[[#This Row],[Time]])</f>
        <v>15</v>
      </c>
      <c r="H4269" t="s">
        <v>13</v>
      </c>
      <c r="I4269" t="s">
        <v>18</v>
      </c>
      <c r="J4269" t="s">
        <v>18</v>
      </c>
      <c r="L4269" t="str">
        <f>IF(AND(CallLog[[#This Row],[Answered (Y/N)]]="Y", CallLog[[#This Row],[Speed of answer in seconds]]&lt;=20),
    "Within",
    "Breach")</f>
        <v>Breach</v>
      </c>
    </row>
    <row r="4270" spans="1:14" x14ac:dyDescent="0.3">
      <c r="A4270" t="s">
        <v>4368</v>
      </c>
      <c r="B4270" t="s">
        <v>38</v>
      </c>
      <c r="C4270" t="s">
        <v>4320</v>
      </c>
      <c r="D4270" s="1">
        <v>0.65500000000000003</v>
      </c>
      <c r="E4270" s="2">
        <f>CallLog[[#This Row],[Date]]+CallLog[[#This Row],[Time]]</f>
        <v>44271.654999999999</v>
      </c>
      <c r="F4270" s="1" t="str">
        <f>TEXT(CallLog[[#This Row],[Date]],"dddd")</f>
        <v>Tuesday</v>
      </c>
      <c r="G4270" s="3">
        <f>HOUR(CallLog[[#This Row],[Time]])</f>
        <v>15</v>
      </c>
      <c r="H4270" t="s">
        <v>24</v>
      </c>
      <c r="I4270" t="s">
        <v>14</v>
      </c>
      <c r="J4270" t="s">
        <v>14</v>
      </c>
      <c r="K4270">
        <v>90</v>
      </c>
      <c r="L4270" t="str">
        <f>IF(AND(CallLog[[#This Row],[Answered (Y/N)]]="Y", CallLog[[#This Row],[Speed of answer in seconds]]&lt;=20),
    "Within",
    "Breach")</f>
        <v>Breach</v>
      </c>
      <c r="M4270" s="1">
        <v>3.3333333333333335E-3</v>
      </c>
      <c r="N4270">
        <v>3</v>
      </c>
    </row>
    <row r="4271" spans="1:14" x14ac:dyDescent="0.3">
      <c r="A4271" t="s">
        <v>4369</v>
      </c>
      <c r="B4271" t="s">
        <v>34</v>
      </c>
      <c r="C4271" t="s">
        <v>4320</v>
      </c>
      <c r="D4271" s="1">
        <v>0.65500000000000003</v>
      </c>
      <c r="E4271" s="2">
        <f>CallLog[[#This Row],[Date]]+CallLog[[#This Row],[Time]]</f>
        <v>44271.654999999999</v>
      </c>
      <c r="F4271" s="1" t="str">
        <f>TEXT(CallLog[[#This Row],[Date]],"dddd")</f>
        <v>Tuesday</v>
      </c>
      <c r="G4271" s="3">
        <f>HOUR(CallLog[[#This Row],[Time]])</f>
        <v>15</v>
      </c>
      <c r="H4271" t="s">
        <v>13</v>
      </c>
      <c r="I4271" t="s">
        <v>14</v>
      </c>
      <c r="J4271" t="s">
        <v>14</v>
      </c>
      <c r="K4271">
        <v>76</v>
      </c>
      <c r="L4271" t="str">
        <f>IF(AND(CallLog[[#This Row],[Answered (Y/N)]]="Y", CallLog[[#This Row],[Speed of answer in seconds]]&lt;=20),
    "Within",
    "Breach")</f>
        <v>Breach</v>
      </c>
      <c r="M4271" s="1">
        <v>3.425925925925926E-3</v>
      </c>
      <c r="N4271">
        <v>5</v>
      </c>
    </row>
    <row r="4272" spans="1:14" x14ac:dyDescent="0.3">
      <c r="A4272" t="s">
        <v>4370</v>
      </c>
      <c r="B4272" t="s">
        <v>11</v>
      </c>
      <c r="C4272" t="s">
        <v>4320</v>
      </c>
      <c r="D4272" s="1">
        <v>0.66700231481481487</v>
      </c>
      <c r="E4272" s="2">
        <f>CallLog[[#This Row],[Date]]+CallLog[[#This Row],[Time]]</f>
        <v>44271.667002314818</v>
      </c>
      <c r="F4272" s="1" t="str">
        <f>TEXT(CallLog[[#This Row],[Date]],"dddd")</f>
        <v>Tuesday</v>
      </c>
      <c r="G4272" s="3">
        <f>HOUR(CallLog[[#This Row],[Time]])</f>
        <v>16</v>
      </c>
      <c r="H4272" t="s">
        <v>24</v>
      </c>
      <c r="I4272" t="s">
        <v>18</v>
      </c>
      <c r="J4272" t="s">
        <v>18</v>
      </c>
      <c r="L4272" t="str">
        <f>IF(AND(CallLog[[#This Row],[Answered (Y/N)]]="Y", CallLog[[#This Row],[Speed of answer in seconds]]&lt;=20),
    "Within",
    "Breach")</f>
        <v>Breach</v>
      </c>
    </row>
    <row r="4273" spans="1:14" x14ac:dyDescent="0.3">
      <c r="A4273" t="s">
        <v>4371</v>
      </c>
      <c r="B4273" t="s">
        <v>34</v>
      </c>
      <c r="C4273" t="s">
        <v>4320</v>
      </c>
      <c r="D4273" s="1">
        <v>0.66700231481481487</v>
      </c>
      <c r="E4273" s="2">
        <f>CallLog[[#This Row],[Date]]+CallLog[[#This Row],[Time]]</f>
        <v>44271.667002314818</v>
      </c>
      <c r="F4273" s="1" t="str">
        <f>TEXT(CallLog[[#This Row],[Date]],"dddd")</f>
        <v>Tuesday</v>
      </c>
      <c r="G4273" s="3">
        <f>HOUR(CallLog[[#This Row],[Time]])</f>
        <v>16</v>
      </c>
      <c r="H4273" t="s">
        <v>13</v>
      </c>
      <c r="I4273" t="s">
        <v>14</v>
      </c>
      <c r="J4273" t="s">
        <v>18</v>
      </c>
      <c r="K4273">
        <v>20</v>
      </c>
      <c r="L4273" t="str">
        <f>IF(AND(CallLog[[#This Row],[Answered (Y/N)]]="Y", CallLog[[#This Row],[Speed of answer in seconds]]&lt;=20),
    "Within",
    "Breach")</f>
        <v>Within</v>
      </c>
      <c r="M4273" s="1">
        <v>9.1435185185185185E-4</v>
      </c>
      <c r="N4273">
        <v>5</v>
      </c>
    </row>
    <row r="4274" spans="1:14" x14ac:dyDescent="0.3">
      <c r="A4274" t="s">
        <v>4372</v>
      </c>
      <c r="B4274" t="s">
        <v>16</v>
      </c>
      <c r="C4274" t="s">
        <v>4320</v>
      </c>
      <c r="D4274" s="1">
        <v>0.67599537037037039</v>
      </c>
      <c r="E4274" s="2">
        <f>CallLog[[#This Row],[Date]]+CallLog[[#This Row],[Time]]</f>
        <v>44271.675995370373</v>
      </c>
      <c r="F4274" s="1" t="str">
        <f>TEXT(CallLog[[#This Row],[Date]],"dddd")</f>
        <v>Tuesday</v>
      </c>
      <c r="G4274" s="3">
        <f>HOUR(CallLog[[#This Row],[Time]])</f>
        <v>16</v>
      </c>
      <c r="H4274" t="s">
        <v>13</v>
      </c>
      <c r="I4274" t="s">
        <v>14</v>
      </c>
      <c r="J4274" t="s">
        <v>18</v>
      </c>
      <c r="K4274">
        <v>26</v>
      </c>
      <c r="L4274" t="str">
        <f>IF(AND(CallLog[[#This Row],[Answered (Y/N)]]="Y", CallLog[[#This Row],[Speed of answer in seconds]]&lt;=20),
    "Within",
    "Breach")</f>
        <v>Breach</v>
      </c>
      <c r="M4274" s="1">
        <v>4.386574074074074E-3</v>
      </c>
      <c r="N4274">
        <v>3</v>
      </c>
    </row>
    <row r="4275" spans="1:14" x14ac:dyDescent="0.3">
      <c r="A4275" t="s">
        <v>4373</v>
      </c>
      <c r="B4275" t="s">
        <v>20</v>
      </c>
      <c r="C4275" t="s">
        <v>4320</v>
      </c>
      <c r="D4275" s="1">
        <v>0.67599537037037039</v>
      </c>
      <c r="E4275" s="2">
        <f>CallLog[[#This Row],[Date]]+CallLog[[#This Row],[Time]]</f>
        <v>44271.675995370373</v>
      </c>
      <c r="F4275" s="1" t="str">
        <f>TEXT(CallLog[[#This Row],[Date]],"dddd")</f>
        <v>Tuesday</v>
      </c>
      <c r="G4275" s="3">
        <f>HOUR(CallLog[[#This Row],[Time]])</f>
        <v>16</v>
      </c>
      <c r="H4275" t="s">
        <v>13</v>
      </c>
      <c r="I4275" t="s">
        <v>14</v>
      </c>
      <c r="J4275" t="s">
        <v>14</v>
      </c>
      <c r="K4275">
        <v>53</v>
      </c>
      <c r="L4275" t="str">
        <f>IF(AND(CallLog[[#This Row],[Answered (Y/N)]]="Y", CallLog[[#This Row],[Speed of answer in seconds]]&lt;=20),
    "Within",
    "Breach")</f>
        <v>Breach</v>
      </c>
      <c r="M4275" s="1">
        <v>8.3333333333333339E-4</v>
      </c>
      <c r="N4275">
        <v>3</v>
      </c>
    </row>
    <row r="4276" spans="1:14" x14ac:dyDescent="0.3">
      <c r="A4276" t="s">
        <v>4374</v>
      </c>
      <c r="B4276" t="s">
        <v>22</v>
      </c>
      <c r="C4276" t="s">
        <v>4320</v>
      </c>
      <c r="D4276" s="1">
        <v>0.69200231481481478</v>
      </c>
      <c r="E4276" s="2">
        <f>CallLog[[#This Row],[Date]]+CallLog[[#This Row],[Time]]</f>
        <v>44271.692002314812</v>
      </c>
      <c r="F4276" s="1" t="str">
        <f>TEXT(CallLog[[#This Row],[Date]],"dddd")</f>
        <v>Tuesday</v>
      </c>
      <c r="G4276" s="3">
        <f>HOUR(CallLog[[#This Row],[Time]])</f>
        <v>16</v>
      </c>
      <c r="H4276" t="s">
        <v>13</v>
      </c>
      <c r="I4276" t="s">
        <v>14</v>
      </c>
      <c r="J4276" t="s">
        <v>14</v>
      </c>
      <c r="K4276">
        <v>26</v>
      </c>
      <c r="L4276" t="str">
        <f>IF(AND(CallLog[[#This Row],[Answered (Y/N)]]="Y", CallLog[[#This Row],[Speed of answer in seconds]]&lt;=20),
    "Within",
    "Breach")</f>
        <v>Breach</v>
      </c>
      <c r="M4276" s="1">
        <v>2.0486111111111113E-3</v>
      </c>
      <c r="N4276">
        <v>4</v>
      </c>
    </row>
    <row r="4277" spans="1:14" x14ac:dyDescent="0.3">
      <c r="A4277" t="s">
        <v>4375</v>
      </c>
      <c r="B4277" t="s">
        <v>34</v>
      </c>
      <c r="C4277" t="s">
        <v>4320</v>
      </c>
      <c r="D4277" s="1">
        <v>0.69200231481481478</v>
      </c>
      <c r="E4277" s="2">
        <f>CallLog[[#This Row],[Date]]+CallLog[[#This Row],[Time]]</f>
        <v>44271.692002314812</v>
      </c>
      <c r="F4277" s="1" t="str">
        <f>TEXT(CallLog[[#This Row],[Date]],"dddd")</f>
        <v>Tuesday</v>
      </c>
      <c r="G4277" s="3">
        <f>HOUR(CallLog[[#This Row],[Time]])</f>
        <v>16</v>
      </c>
      <c r="H4277" t="s">
        <v>24</v>
      </c>
      <c r="I4277" t="s">
        <v>14</v>
      </c>
      <c r="J4277" t="s">
        <v>14</v>
      </c>
      <c r="K4277">
        <v>66</v>
      </c>
      <c r="L4277" t="str">
        <f>IF(AND(CallLog[[#This Row],[Answered (Y/N)]]="Y", CallLog[[#This Row],[Speed of answer in seconds]]&lt;=20),
    "Within",
    "Breach")</f>
        <v>Breach</v>
      </c>
      <c r="M4277" s="1">
        <v>2.5694444444444445E-3</v>
      </c>
      <c r="N4277">
        <v>3</v>
      </c>
    </row>
    <row r="4278" spans="1:14" x14ac:dyDescent="0.3">
      <c r="A4278" t="s">
        <v>4376</v>
      </c>
      <c r="B4278" t="s">
        <v>47</v>
      </c>
      <c r="C4278" t="s">
        <v>4320</v>
      </c>
      <c r="D4278" s="1">
        <v>0.71499999999999997</v>
      </c>
      <c r="E4278" s="2">
        <f>CallLog[[#This Row],[Date]]+CallLog[[#This Row],[Time]]</f>
        <v>44271.714999999997</v>
      </c>
      <c r="F4278" s="1" t="str">
        <f>TEXT(CallLog[[#This Row],[Date]],"dddd")</f>
        <v>Tuesday</v>
      </c>
      <c r="G4278" s="3">
        <f>HOUR(CallLog[[#This Row],[Time]])</f>
        <v>17</v>
      </c>
      <c r="H4278" t="s">
        <v>24</v>
      </c>
      <c r="I4278" t="s">
        <v>14</v>
      </c>
      <c r="J4278" t="s">
        <v>18</v>
      </c>
      <c r="K4278">
        <v>105</v>
      </c>
      <c r="L4278" t="str">
        <f>IF(AND(CallLog[[#This Row],[Answered (Y/N)]]="Y", CallLog[[#This Row],[Speed of answer in seconds]]&lt;=20),
    "Within",
    "Breach")</f>
        <v>Breach</v>
      </c>
      <c r="M4278" s="1">
        <v>3.8425925925925928E-3</v>
      </c>
      <c r="N4278">
        <v>4</v>
      </c>
    </row>
    <row r="4279" spans="1:14" x14ac:dyDescent="0.3">
      <c r="A4279" t="s">
        <v>4377</v>
      </c>
      <c r="B4279" t="s">
        <v>11</v>
      </c>
      <c r="C4279" t="s">
        <v>4320</v>
      </c>
      <c r="D4279" s="1">
        <v>0.71499999999999997</v>
      </c>
      <c r="E4279" s="2">
        <f>CallLog[[#This Row],[Date]]+CallLog[[#This Row],[Time]]</f>
        <v>44271.714999999997</v>
      </c>
      <c r="F4279" s="1" t="str">
        <f>TEXT(CallLog[[#This Row],[Date]],"dddd")</f>
        <v>Tuesday</v>
      </c>
      <c r="G4279" s="3">
        <f>HOUR(CallLog[[#This Row],[Time]])</f>
        <v>17</v>
      </c>
      <c r="H4279" t="s">
        <v>29</v>
      </c>
      <c r="I4279" t="s">
        <v>14</v>
      </c>
      <c r="J4279" t="s">
        <v>14</v>
      </c>
      <c r="K4279">
        <v>111</v>
      </c>
      <c r="L4279" t="str">
        <f>IF(AND(CallLog[[#This Row],[Answered (Y/N)]]="Y", CallLog[[#This Row],[Speed of answer in seconds]]&lt;=20),
    "Within",
    "Breach")</f>
        <v>Breach</v>
      </c>
      <c r="M4279" s="1">
        <v>8.4490740740740739E-4</v>
      </c>
      <c r="N4279">
        <v>3</v>
      </c>
    </row>
    <row r="4280" spans="1:14" x14ac:dyDescent="0.3">
      <c r="A4280" t="s">
        <v>4378</v>
      </c>
      <c r="B4280" t="s">
        <v>38</v>
      </c>
      <c r="C4280" t="s">
        <v>4320</v>
      </c>
      <c r="D4280" s="1">
        <v>0.74299768518518516</v>
      </c>
      <c r="E4280" s="2">
        <f>CallLog[[#This Row],[Date]]+CallLog[[#This Row],[Time]]</f>
        <v>44271.742997685185</v>
      </c>
      <c r="F4280" s="1" t="str">
        <f>TEXT(CallLog[[#This Row],[Date]],"dddd")</f>
        <v>Tuesday</v>
      </c>
      <c r="G4280" s="3">
        <f>HOUR(CallLog[[#This Row],[Time]])</f>
        <v>17</v>
      </c>
      <c r="H4280" t="s">
        <v>13</v>
      </c>
      <c r="I4280" t="s">
        <v>14</v>
      </c>
      <c r="J4280" t="s">
        <v>14</v>
      </c>
      <c r="K4280">
        <v>26</v>
      </c>
      <c r="L4280" t="str">
        <f>IF(AND(CallLog[[#This Row],[Answered (Y/N)]]="Y", CallLog[[#This Row],[Speed of answer in seconds]]&lt;=20),
    "Within",
    "Breach")</f>
        <v>Breach</v>
      </c>
      <c r="M4280" s="1">
        <v>4.5138888888888885E-3</v>
      </c>
      <c r="N4280">
        <v>1</v>
      </c>
    </row>
    <row r="4281" spans="1:14" x14ac:dyDescent="0.3">
      <c r="A4281" t="s">
        <v>4379</v>
      </c>
      <c r="B4281" t="s">
        <v>31</v>
      </c>
      <c r="C4281" t="s">
        <v>4320</v>
      </c>
      <c r="D4281" s="1">
        <v>0.74299768518518516</v>
      </c>
      <c r="E4281" s="2">
        <f>CallLog[[#This Row],[Date]]+CallLog[[#This Row],[Time]]</f>
        <v>44271.742997685185</v>
      </c>
      <c r="F4281" s="1" t="str">
        <f>TEXT(CallLog[[#This Row],[Date]],"dddd")</f>
        <v>Tuesday</v>
      </c>
      <c r="G4281" s="3">
        <f>HOUR(CallLog[[#This Row],[Time]])</f>
        <v>17</v>
      </c>
      <c r="H4281" t="s">
        <v>13</v>
      </c>
      <c r="I4281" t="s">
        <v>18</v>
      </c>
      <c r="J4281" t="s">
        <v>18</v>
      </c>
      <c r="L4281" t="str">
        <f>IF(AND(CallLog[[#This Row],[Answered (Y/N)]]="Y", CallLog[[#This Row],[Speed of answer in seconds]]&lt;=20),
    "Within",
    "Breach")</f>
        <v>Breach</v>
      </c>
    </row>
    <row r="4282" spans="1:14" x14ac:dyDescent="0.3">
      <c r="A4282" t="s">
        <v>4380</v>
      </c>
      <c r="B4282" t="s">
        <v>20</v>
      </c>
      <c r="C4282" t="s">
        <v>4381</v>
      </c>
      <c r="D4282" s="1">
        <v>0.37900462962962961</v>
      </c>
      <c r="E4282" s="2">
        <f>CallLog[[#This Row],[Date]]+CallLog[[#This Row],[Time]]</f>
        <v>44272.379004629627</v>
      </c>
      <c r="F4282" s="1" t="str">
        <f>TEXT(CallLog[[#This Row],[Date]],"dddd")</f>
        <v>Wednesday</v>
      </c>
      <c r="G4282" s="3">
        <f>HOUR(CallLog[[#This Row],[Time]])</f>
        <v>9</v>
      </c>
      <c r="H4282" t="s">
        <v>24</v>
      </c>
      <c r="I4282" t="s">
        <v>14</v>
      </c>
      <c r="J4282" t="s">
        <v>18</v>
      </c>
      <c r="K4282">
        <v>50</v>
      </c>
      <c r="L4282" t="str">
        <f>IF(AND(CallLog[[#This Row],[Answered (Y/N)]]="Y", CallLog[[#This Row],[Speed of answer in seconds]]&lt;=20),
    "Within",
    "Breach")</f>
        <v>Breach</v>
      </c>
      <c r="M4282" s="1">
        <v>1.9907407407407408E-3</v>
      </c>
      <c r="N4282">
        <v>4</v>
      </c>
    </row>
    <row r="4283" spans="1:14" x14ac:dyDescent="0.3">
      <c r="A4283" t="s">
        <v>4382</v>
      </c>
      <c r="B4283" t="s">
        <v>47</v>
      </c>
      <c r="C4283" t="s">
        <v>4381</v>
      </c>
      <c r="D4283" s="1">
        <v>0.37900462962962961</v>
      </c>
      <c r="E4283" s="2">
        <f>CallLog[[#This Row],[Date]]+CallLog[[#This Row],[Time]]</f>
        <v>44272.379004629627</v>
      </c>
      <c r="F4283" s="1" t="str">
        <f>TEXT(CallLog[[#This Row],[Date]],"dddd")</f>
        <v>Wednesday</v>
      </c>
      <c r="G4283" s="3">
        <f>HOUR(CallLog[[#This Row],[Time]])</f>
        <v>9</v>
      </c>
      <c r="H4283" t="s">
        <v>32</v>
      </c>
      <c r="I4283" t="s">
        <v>14</v>
      </c>
      <c r="J4283" t="s">
        <v>14</v>
      </c>
      <c r="K4283">
        <v>57</v>
      </c>
      <c r="L4283" t="str">
        <f>IF(AND(CallLog[[#This Row],[Answered (Y/N)]]="Y", CallLog[[#This Row],[Speed of answer in seconds]]&lt;=20),
    "Within",
    "Breach")</f>
        <v>Breach</v>
      </c>
      <c r="M4283" s="1">
        <v>4.2361111111111115E-3</v>
      </c>
      <c r="N4283">
        <v>5</v>
      </c>
    </row>
    <row r="4284" spans="1:14" x14ac:dyDescent="0.3">
      <c r="A4284" t="s">
        <v>4383</v>
      </c>
      <c r="B4284" t="s">
        <v>31</v>
      </c>
      <c r="C4284" t="s">
        <v>4381</v>
      </c>
      <c r="D4284" s="1">
        <v>0.40500000000000003</v>
      </c>
      <c r="E4284" s="2">
        <f>CallLog[[#This Row],[Date]]+CallLog[[#This Row],[Time]]</f>
        <v>44272.404999999999</v>
      </c>
      <c r="F4284" s="1" t="str">
        <f>TEXT(CallLog[[#This Row],[Date]],"dddd")</f>
        <v>Wednesday</v>
      </c>
      <c r="G4284" s="3">
        <f>HOUR(CallLog[[#This Row],[Time]])</f>
        <v>9</v>
      </c>
      <c r="H4284" t="s">
        <v>17</v>
      </c>
      <c r="I4284" t="s">
        <v>14</v>
      </c>
      <c r="J4284" t="s">
        <v>14</v>
      </c>
      <c r="K4284">
        <v>26</v>
      </c>
      <c r="L4284" t="str">
        <f>IF(AND(CallLog[[#This Row],[Answered (Y/N)]]="Y", CallLog[[#This Row],[Speed of answer in seconds]]&lt;=20),
    "Within",
    "Breach")</f>
        <v>Breach</v>
      </c>
      <c r="M4284" s="1">
        <v>9.1435185185185185E-4</v>
      </c>
      <c r="N4284">
        <v>5</v>
      </c>
    </row>
    <row r="4285" spans="1:14" x14ac:dyDescent="0.3">
      <c r="A4285" t="s">
        <v>4384</v>
      </c>
      <c r="B4285" t="s">
        <v>22</v>
      </c>
      <c r="C4285" t="s">
        <v>4381</v>
      </c>
      <c r="D4285" s="1">
        <v>0.40500000000000003</v>
      </c>
      <c r="E4285" s="2">
        <f>CallLog[[#This Row],[Date]]+CallLog[[#This Row],[Time]]</f>
        <v>44272.404999999999</v>
      </c>
      <c r="F4285" s="1" t="str">
        <f>TEXT(CallLog[[#This Row],[Date]],"dddd")</f>
        <v>Wednesday</v>
      </c>
      <c r="G4285" s="3">
        <f>HOUR(CallLog[[#This Row],[Time]])</f>
        <v>9</v>
      </c>
      <c r="H4285" t="s">
        <v>29</v>
      </c>
      <c r="I4285" t="s">
        <v>14</v>
      </c>
      <c r="J4285" t="s">
        <v>14</v>
      </c>
      <c r="K4285">
        <v>104</v>
      </c>
      <c r="L4285" t="str">
        <f>IF(AND(CallLog[[#This Row],[Answered (Y/N)]]="Y", CallLog[[#This Row],[Speed of answer in seconds]]&lt;=20),
    "Within",
    "Breach")</f>
        <v>Breach</v>
      </c>
      <c r="M4285" s="1">
        <v>4.8379629629629632E-3</v>
      </c>
      <c r="N4285">
        <v>1</v>
      </c>
    </row>
    <row r="4286" spans="1:14" x14ac:dyDescent="0.3">
      <c r="A4286" t="s">
        <v>4385</v>
      </c>
      <c r="B4286" t="s">
        <v>16</v>
      </c>
      <c r="C4286" t="s">
        <v>4381</v>
      </c>
      <c r="D4286" s="1">
        <v>0.45799768518518519</v>
      </c>
      <c r="E4286" s="2">
        <f>CallLog[[#This Row],[Date]]+CallLog[[#This Row],[Time]]</f>
        <v>44272.457997685182</v>
      </c>
      <c r="F4286" s="1" t="str">
        <f>TEXT(CallLog[[#This Row],[Date]],"dddd")</f>
        <v>Wednesday</v>
      </c>
      <c r="G4286" s="3">
        <f>HOUR(CallLog[[#This Row],[Time]])</f>
        <v>10</v>
      </c>
      <c r="H4286" t="s">
        <v>17</v>
      </c>
      <c r="I4286" t="s">
        <v>14</v>
      </c>
      <c r="J4286" t="s">
        <v>14</v>
      </c>
      <c r="K4286">
        <v>93</v>
      </c>
      <c r="L4286" t="str">
        <f>IF(AND(CallLog[[#This Row],[Answered (Y/N)]]="Y", CallLog[[#This Row],[Speed of answer in seconds]]&lt;=20),
    "Within",
    "Breach")</f>
        <v>Breach</v>
      </c>
      <c r="M4286" s="1">
        <v>3.7152777777777778E-3</v>
      </c>
      <c r="N4286">
        <v>1</v>
      </c>
    </row>
    <row r="4287" spans="1:14" x14ac:dyDescent="0.3">
      <c r="A4287" t="s">
        <v>4386</v>
      </c>
      <c r="B4287" t="s">
        <v>31</v>
      </c>
      <c r="C4287" t="s">
        <v>4381</v>
      </c>
      <c r="D4287" s="1">
        <v>0.45799768518518519</v>
      </c>
      <c r="E4287" s="2">
        <f>CallLog[[#This Row],[Date]]+CallLog[[#This Row],[Time]]</f>
        <v>44272.457997685182</v>
      </c>
      <c r="F4287" s="1" t="str">
        <f>TEXT(CallLog[[#This Row],[Date]],"dddd")</f>
        <v>Wednesday</v>
      </c>
      <c r="G4287" s="3">
        <f>HOUR(CallLog[[#This Row],[Time]])</f>
        <v>10</v>
      </c>
      <c r="H4287" t="s">
        <v>17</v>
      </c>
      <c r="I4287" t="s">
        <v>14</v>
      </c>
      <c r="J4287" t="s">
        <v>14</v>
      </c>
      <c r="K4287">
        <v>108</v>
      </c>
      <c r="L4287" t="str">
        <f>IF(AND(CallLog[[#This Row],[Answered (Y/N)]]="Y", CallLog[[#This Row],[Speed of answer in seconds]]&lt;=20),
    "Within",
    "Breach")</f>
        <v>Breach</v>
      </c>
      <c r="M4287" s="1">
        <v>1.4467592592592592E-3</v>
      </c>
      <c r="N4287">
        <v>3</v>
      </c>
    </row>
    <row r="4288" spans="1:14" x14ac:dyDescent="0.3">
      <c r="A4288" t="s">
        <v>4387</v>
      </c>
      <c r="B4288" t="s">
        <v>38</v>
      </c>
      <c r="C4288" t="s">
        <v>4381</v>
      </c>
      <c r="D4288" s="1">
        <v>0.47599537037037037</v>
      </c>
      <c r="E4288" s="2">
        <f>CallLog[[#This Row],[Date]]+CallLog[[#This Row],[Time]]</f>
        <v>44272.475995370369</v>
      </c>
      <c r="F4288" s="1" t="str">
        <f>TEXT(CallLog[[#This Row],[Date]],"dddd")</f>
        <v>Wednesday</v>
      </c>
      <c r="G4288" s="3">
        <f>HOUR(CallLog[[#This Row],[Time]])</f>
        <v>11</v>
      </c>
      <c r="H4288" t="s">
        <v>32</v>
      </c>
      <c r="I4288" t="s">
        <v>14</v>
      </c>
      <c r="J4288" t="s">
        <v>14</v>
      </c>
      <c r="K4288">
        <v>42</v>
      </c>
      <c r="L4288" t="str">
        <f>IF(AND(CallLog[[#This Row],[Answered (Y/N)]]="Y", CallLog[[#This Row],[Speed of answer in seconds]]&lt;=20),
    "Within",
    "Breach")</f>
        <v>Breach</v>
      </c>
      <c r="M4288" s="1">
        <v>1.6435185185185185E-3</v>
      </c>
      <c r="N4288">
        <v>5</v>
      </c>
    </row>
    <row r="4289" spans="1:14" x14ac:dyDescent="0.3">
      <c r="A4289" t="s">
        <v>4388</v>
      </c>
      <c r="B4289" t="s">
        <v>38</v>
      </c>
      <c r="C4289" t="s">
        <v>4381</v>
      </c>
      <c r="D4289" s="1">
        <v>0.47599537037037037</v>
      </c>
      <c r="E4289" s="2">
        <f>CallLog[[#This Row],[Date]]+CallLog[[#This Row],[Time]]</f>
        <v>44272.475995370369</v>
      </c>
      <c r="F4289" s="1" t="str">
        <f>TEXT(CallLog[[#This Row],[Date]],"dddd")</f>
        <v>Wednesday</v>
      </c>
      <c r="G4289" s="3">
        <f>HOUR(CallLog[[#This Row],[Time]])</f>
        <v>11</v>
      </c>
      <c r="H4289" t="s">
        <v>17</v>
      </c>
      <c r="I4289" t="s">
        <v>18</v>
      </c>
      <c r="J4289" t="s">
        <v>18</v>
      </c>
      <c r="L4289" t="str">
        <f>IF(AND(CallLog[[#This Row],[Answered (Y/N)]]="Y", CallLog[[#This Row],[Speed of answer in seconds]]&lt;=20),
    "Within",
    "Breach")</f>
        <v>Breach</v>
      </c>
    </row>
    <row r="4290" spans="1:14" x14ac:dyDescent="0.3">
      <c r="A4290" t="s">
        <v>4389</v>
      </c>
      <c r="B4290" t="s">
        <v>31</v>
      </c>
      <c r="C4290" t="s">
        <v>4381</v>
      </c>
      <c r="D4290" s="1">
        <v>0.48900462962962965</v>
      </c>
      <c r="E4290" s="2">
        <f>CallLog[[#This Row],[Date]]+CallLog[[#This Row],[Time]]</f>
        <v>44272.489004629628</v>
      </c>
      <c r="F4290" s="1" t="str">
        <f>TEXT(CallLog[[#This Row],[Date]],"dddd")</f>
        <v>Wednesday</v>
      </c>
      <c r="G4290" s="3">
        <f>HOUR(CallLog[[#This Row],[Time]])</f>
        <v>11</v>
      </c>
      <c r="H4290" t="s">
        <v>29</v>
      </c>
      <c r="I4290" t="s">
        <v>14</v>
      </c>
      <c r="J4290" t="s">
        <v>14</v>
      </c>
      <c r="K4290">
        <v>94</v>
      </c>
      <c r="L4290" t="str">
        <f>IF(AND(CallLog[[#This Row],[Answered (Y/N)]]="Y", CallLog[[#This Row],[Speed of answer in seconds]]&lt;=20),
    "Within",
    "Breach")</f>
        <v>Breach</v>
      </c>
      <c r="M4290" s="1">
        <v>3.6689814814814814E-3</v>
      </c>
      <c r="N4290">
        <v>5</v>
      </c>
    </row>
    <row r="4291" spans="1:14" x14ac:dyDescent="0.3">
      <c r="A4291" t="s">
        <v>4390</v>
      </c>
      <c r="B4291" t="s">
        <v>47</v>
      </c>
      <c r="C4291" t="s">
        <v>4381</v>
      </c>
      <c r="D4291" s="1">
        <v>0.48900462962962965</v>
      </c>
      <c r="E4291" s="2">
        <f>CallLog[[#This Row],[Date]]+CallLog[[#This Row],[Time]]</f>
        <v>44272.489004629628</v>
      </c>
      <c r="F4291" s="1" t="str">
        <f>TEXT(CallLog[[#This Row],[Date]],"dddd")</f>
        <v>Wednesday</v>
      </c>
      <c r="G4291" s="3">
        <f>HOUR(CallLog[[#This Row],[Time]])</f>
        <v>11</v>
      </c>
      <c r="H4291" t="s">
        <v>13</v>
      </c>
      <c r="I4291" t="s">
        <v>14</v>
      </c>
      <c r="J4291" t="s">
        <v>14</v>
      </c>
      <c r="K4291">
        <v>74</v>
      </c>
      <c r="L4291" t="str">
        <f>IF(AND(CallLog[[#This Row],[Answered (Y/N)]]="Y", CallLog[[#This Row],[Speed of answer in seconds]]&lt;=20),
    "Within",
    "Breach")</f>
        <v>Breach</v>
      </c>
      <c r="M4291" s="1">
        <v>2.1412037037037038E-3</v>
      </c>
      <c r="N4291">
        <v>3</v>
      </c>
    </row>
    <row r="4292" spans="1:14" x14ac:dyDescent="0.3">
      <c r="A4292" t="s">
        <v>4391</v>
      </c>
      <c r="B4292" t="s">
        <v>11</v>
      </c>
      <c r="C4292" t="s">
        <v>4381</v>
      </c>
      <c r="D4292" s="1">
        <v>0.53</v>
      </c>
      <c r="E4292" s="2">
        <f>CallLog[[#This Row],[Date]]+CallLog[[#This Row],[Time]]</f>
        <v>44272.53</v>
      </c>
      <c r="F4292" s="1" t="str">
        <f>TEXT(CallLog[[#This Row],[Date]],"dddd")</f>
        <v>Wednesday</v>
      </c>
      <c r="G4292" s="3">
        <f>HOUR(CallLog[[#This Row],[Time]])</f>
        <v>12</v>
      </c>
      <c r="H4292" t="s">
        <v>13</v>
      </c>
      <c r="I4292" t="s">
        <v>14</v>
      </c>
      <c r="J4292" t="s">
        <v>14</v>
      </c>
      <c r="K4292">
        <v>117</v>
      </c>
      <c r="L4292" t="str">
        <f>IF(AND(CallLog[[#This Row],[Answered (Y/N)]]="Y", CallLog[[#This Row],[Speed of answer in seconds]]&lt;=20),
    "Within",
    "Breach")</f>
        <v>Breach</v>
      </c>
      <c r="M4292" s="1">
        <v>1.6319444444444445E-3</v>
      </c>
      <c r="N4292">
        <v>5</v>
      </c>
    </row>
    <row r="4293" spans="1:14" x14ac:dyDescent="0.3">
      <c r="A4293" t="s">
        <v>4392</v>
      </c>
      <c r="B4293" t="s">
        <v>47</v>
      </c>
      <c r="C4293" t="s">
        <v>4381</v>
      </c>
      <c r="D4293" s="1">
        <v>0.53</v>
      </c>
      <c r="E4293" s="2">
        <f>CallLog[[#This Row],[Date]]+CallLog[[#This Row],[Time]]</f>
        <v>44272.53</v>
      </c>
      <c r="F4293" s="1" t="str">
        <f>TEXT(CallLog[[#This Row],[Date]],"dddd")</f>
        <v>Wednesday</v>
      </c>
      <c r="G4293" s="3">
        <f>HOUR(CallLog[[#This Row],[Time]])</f>
        <v>12</v>
      </c>
      <c r="H4293" t="s">
        <v>29</v>
      </c>
      <c r="I4293" t="s">
        <v>18</v>
      </c>
      <c r="J4293" t="s">
        <v>18</v>
      </c>
      <c r="L4293" t="str">
        <f>IF(AND(CallLog[[#This Row],[Answered (Y/N)]]="Y", CallLog[[#This Row],[Speed of answer in seconds]]&lt;=20),
    "Within",
    "Breach")</f>
        <v>Breach</v>
      </c>
    </row>
    <row r="4294" spans="1:14" x14ac:dyDescent="0.3">
      <c r="A4294" t="s">
        <v>4393</v>
      </c>
      <c r="B4294" t="s">
        <v>38</v>
      </c>
      <c r="C4294" t="s">
        <v>4381</v>
      </c>
      <c r="D4294" s="1">
        <v>0.54299768518518521</v>
      </c>
      <c r="E4294" s="2">
        <f>CallLog[[#This Row],[Date]]+CallLog[[#This Row],[Time]]</f>
        <v>44272.542997685188</v>
      </c>
      <c r="F4294" s="1" t="str">
        <f>TEXT(CallLog[[#This Row],[Date]],"dddd")</f>
        <v>Wednesday</v>
      </c>
      <c r="G4294" s="3">
        <f>HOUR(CallLog[[#This Row],[Time]])</f>
        <v>13</v>
      </c>
      <c r="H4294" t="s">
        <v>24</v>
      </c>
      <c r="I4294" t="s">
        <v>14</v>
      </c>
      <c r="J4294" t="s">
        <v>14</v>
      </c>
      <c r="K4294">
        <v>49</v>
      </c>
      <c r="L4294" t="str">
        <f>IF(AND(CallLog[[#This Row],[Answered (Y/N)]]="Y", CallLog[[#This Row],[Speed of answer in seconds]]&lt;=20),
    "Within",
    "Breach")</f>
        <v>Breach</v>
      </c>
      <c r="M4294" s="1">
        <v>6.2500000000000001E-4</v>
      </c>
      <c r="N4294">
        <v>1</v>
      </c>
    </row>
    <row r="4295" spans="1:14" x14ac:dyDescent="0.3">
      <c r="A4295" t="s">
        <v>4394</v>
      </c>
      <c r="B4295" t="s">
        <v>11</v>
      </c>
      <c r="C4295" t="s">
        <v>4381</v>
      </c>
      <c r="D4295" s="1">
        <v>0.54299768518518521</v>
      </c>
      <c r="E4295" s="2">
        <f>CallLog[[#This Row],[Date]]+CallLog[[#This Row],[Time]]</f>
        <v>44272.542997685188</v>
      </c>
      <c r="F4295" s="1" t="str">
        <f>TEXT(CallLog[[#This Row],[Date]],"dddd")</f>
        <v>Wednesday</v>
      </c>
      <c r="G4295" s="3">
        <f>HOUR(CallLog[[#This Row],[Time]])</f>
        <v>13</v>
      </c>
      <c r="H4295" t="s">
        <v>32</v>
      </c>
      <c r="I4295" t="s">
        <v>14</v>
      </c>
      <c r="J4295" t="s">
        <v>14</v>
      </c>
      <c r="K4295">
        <v>23</v>
      </c>
      <c r="L4295" t="str">
        <f>IF(AND(CallLog[[#This Row],[Answered (Y/N)]]="Y", CallLog[[#This Row],[Speed of answer in seconds]]&lt;=20),
    "Within",
    "Breach")</f>
        <v>Breach</v>
      </c>
      <c r="M4295" s="1">
        <v>3.2407407407407406E-3</v>
      </c>
      <c r="N4295">
        <v>3</v>
      </c>
    </row>
    <row r="4296" spans="1:14" x14ac:dyDescent="0.3">
      <c r="A4296" t="s">
        <v>4395</v>
      </c>
      <c r="B4296" t="s">
        <v>34</v>
      </c>
      <c r="C4296" t="s">
        <v>4381</v>
      </c>
      <c r="D4296" s="1">
        <v>0.5590046296296296</v>
      </c>
      <c r="E4296" s="2">
        <f>CallLog[[#This Row],[Date]]+CallLog[[#This Row],[Time]]</f>
        <v>44272.559004629627</v>
      </c>
      <c r="F4296" s="1" t="str">
        <f>TEXT(CallLog[[#This Row],[Date]],"dddd")</f>
        <v>Wednesday</v>
      </c>
      <c r="G4296" s="3">
        <f>HOUR(CallLog[[#This Row],[Time]])</f>
        <v>13</v>
      </c>
      <c r="H4296" t="s">
        <v>32</v>
      </c>
      <c r="I4296" t="s">
        <v>18</v>
      </c>
      <c r="J4296" t="s">
        <v>18</v>
      </c>
      <c r="L4296" t="str">
        <f>IF(AND(CallLog[[#This Row],[Answered (Y/N)]]="Y", CallLog[[#This Row],[Speed of answer in seconds]]&lt;=20),
    "Within",
    "Breach")</f>
        <v>Breach</v>
      </c>
    </row>
    <row r="4297" spans="1:14" x14ac:dyDescent="0.3">
      <c r="A4297" t="s">
        <v>4396</v>
      </c>
      <c r="B4297" t="s">
        <v>38</v>
      </c>
      <c r="C4297" t="s">
        <v>4381</v>
      </c>
      <c r="D4297" s="1">
        <v>0.5590046296296296</v>
      </c>
      <c r="E4297" s="2">
        <f>CallLog[[#This Row],[Date]]+CallLog[[#This Row],[Time]]</f>
        <v>44272.559004629627</v>
      </c>
      <c r="F4297" s="1" t="str">
        <f>TEXT(CallLog[[#This Row],[Date]],"dddd")</f>
        <v>Wednesday</v>
      </c>
      <c r="G4297" s="3">
        <f>HOUR(CallLog[[#This Row],[Time]])</f>
        <v>13</v>
      </c>
      <c r="H4297" t="s">
        <v>32</v>
      </c>
      <c r="I4297" t="s">
        <v>14</v>
      </c>
      <c r="J4297" t="s">
        <v>14</v>
      </c>
      <c r="K4297">
        <v>84</v>
      </c>
      <c r="L4297" t="str">
        <f>IF(AND(CallLog[[#This Row],[Answered (Y/N)]]="Y", CallLog[[#This Row],[Speed of answer in seconds]]&lt;=20),
    "Within",
    "Breach")</f>
        <v>Breach</v>
      </c>
      <c r="M4297" s="1">
        <v>1.5740740740740741E-3</v>
      </c>
      <c r="N4297">
        <v>5</v>
      </c>
    </row>
    <row r="4298" spans="1:14" x14ac:dyDescent="0.3">
      <c r="A4298" t="s">
        <v>4397</v>
      </c>
      <c r="B4298" t="s">
        <v>38</v>
      </c>
      <c r="C4298" t="s">
        <v>4381</v>
      </c>
      <c r="D4298" s="1">
        <v>0.58200231481481479</v>
      </c>
      <c r="E4298" s="2">
        <f>CallLog[[#This Row],[Date]]+CallLog[[#This Row],[Time]]</f>
        <v>44272.582002314812</v>
      </c>
      <c r="F4298" s="1" t="str">
        <f>TEXT(CallLog[[#This Row],[Date]],"dddd")</f>
        <v>Wednesday</v>
      </c>
      <c r="G4298" s="3">
        <f>HOUR(CallLog[[#This Row],[Time]])</f>
        <v>13</v>
      </c>
      <c r="H4298" t="s">
        <v>24</v>
      </c>
      <c r="I4298" t="s">
        <v>14</v>
      </c>
      <c r="J4298" t="s">
        <v>14</v>
      </c>
      <c r="K4298">
        <v>69</v>
      </c>
      <c r="L4298" t="str">
        <f>IF(AND(CallLog[[#This Row],[Answered (Y/N)]]="Y", CallLog[[#This Row],[Speed of answer in seconds]]&lt;=20),
    "Within",
    "Breach")</f>
        <v>Breach</v>
      </c>
      <c r="M4298" s="1">
        <v>9.1435185185185185E-4</v>
      </c>
      <c r="N4298">
        <v>1</v>
      </c>
    </row>
    <row r="4299" spans="1:14" x14ac:dyDescent="0.3">
      <c r="A4299" t="s">
        <v>4398</v>
      </c>
      <c r="B4299" t="s">
        <v>11</v>
      </c>
      <c r="C4299" t="s">
        <v>4381</v>
      </c>
      <c r="D4299" s="1">
        <v>0.58200231481481479</v>
      </c>
      <c r="E4299" s="2">
        <f>CallLog[[#This Row],[Date]]+CallLog[[#This Row],[Time]]</f>
        <v>44272.582002314812</v>
      </c>
      <c r="F4299" s="1" t="str">
        <f>TEXT(CallLog[[#This Row],[Date]],"dddd")</f>
        <v>Wednesday</v>
      </c>
      <c r="G4299" s="3">
        <f>HOUR(CallLog[[#This Row],[Time]])</f>
        <v>13</v>
      </c>
      <c r="H4299" t="s">
        <v>17</v>
      </c>
      <c r="I4299" t="s">
        <v>14</v>
      </c>
      <c r="J4299" t="s">
        <v>14</v>
      </c>
      <c r="K4299">
        <v>25</v>
      </c>
      <c r="L4299" t="str">
        <f>IF(AND(CallLog[[#This Row],[Answered (Y/N)]]="Y", CallLog[[#This Row],[Speed of answer in seconds]]&lt;=20),
    "Within",
    "Breach")</f>
        <v>Breach</v>
      </c>
      <c r="M4299" s="1">
        <v>3.2870370370370371E-3</v>
      </c>
      <c r="N4299">
        <v>3</v>
      </c>
    </row>
    <row r="4300" spans="1:14" x14ac:dyDescent="0.3">
      <c r="A4300" t="s">
        <v>4399</v>
      </c>
      <c r="B4300" t="s">
        <v>16</v>
      </c>
      <c r="C4300" t="s">
        <v>4381</v>
      </c>
      <c r="D4300" s="1">
        <v>0.58400462962962962</v>
      </c>
      <c r="E4300" s="2">
        <f>CallLog[[#This Row],[Date]]+CallLog[[#This Row],[Time]]</f>
        <v>44272.584004629629</v>
      </c>
      <c r="F4300" s="1" t="str">
        <f>TEXT(CallLog[[#This Row],[Date]],"dddd")</f>
        <v>Wednesday</v>
      </c>
      <c r="G4300" s="3">
        <f>HOUR(CallLog[[#This Row],[Time]])</f>
        <v>14</v>
      </c>
      <c r="H4300" t="s">
        <v>24</v>
      </c>
      <c r="I4300" t="s">
        <v>18</v>
      </c>
      <c r="J4300" t="s">
        <v>18</v>
      </c>
      <c r="L4300" t="str">
        <f>IF(AND(CallLog[[#This Row],[Answered (Y/N)]]="Y", CallLog[[#This Row],[Speed of answer in seconds]]&lt;=20),
    "Within",
    "Breach")</f>
        <v>Breach</v>
      </c>
    </row>
    <row r="4301" spans="1:14" x14ac:dyDescent="0.3">
      <c r="A4301" t="s">
        <v>4400</v>
      </c>
      <c r="B4301" t="s">
        <v>38</v>
      </c>
      <c r="C4301" t="s">
        <v>4381</v>
      </c>
      <c r="D4301" s="1">
        <v>0.58400462962962962</v>
      </c>
      <c r="E4301" s="2">
        <f>CallLog[[#This Row],[Date]]+CallLog[[#This Row],[Time]]</f>
        <v>44272.584004629629</v>
      </c>
      <c r="F4301" s="1" t="str">
        <f>TEXT(CallLog[[#This Row],[Date]],"dddd")</f>
        <v>Wednesday</v>
      </c>
      <c r="G4301" s="3">
        <f>HOUR(CallLog[[#This Row],[Time]])</f>
        <v>14</v>
      </c>
      <c r="H4301" t="s">
        <v>17</v>
      </c>
      <c r="I4301" t="s">
        <v>18</v>
      </c>
      <c r="J4301" t="s">
        <v>18</v>
      </c>
      <c r="L4301" t="str">
        <f>IF(AND(CallLog[[#This Row],[Answered (Y/N)]]="Y", CallLog[[#This Row],[Speed of answer in seconds]]&lt;=20),
    "Within",
    "Breach")</f>
        <v>Breach</v>
      </c>
    </row>
    <row r="4302" spans="1:14" x14ac:dyDescent="0.3">
      <c r="A4302" t="s">
        <v>4401</v>
      </c>
      <c r="B4302" t="s">
        <v>22</v>
      </c>
      <c r="C4302" t="s">
        <v>4381</v>
      </c>
      <c r="D4302" s="1">
        <v>0.59700231481481481</v>
      </c>
      <c r="E4302" s="2">
        <f>CallLog[[#This Row],[Date]]+CallLog[[#This Row],[Time]]</f>
        <v>44272.597002314818</v>
      </c>
      <c r="F4302" s="1" t="str">
        <f>TEXT(CallLog[[#This Row],[Date]],"dddd")</f>
        <v>Wednesday</v>
      </c>
      <c r="G4302" s="3">
        <f>HOUR(CallLog[[#This Row],[Time]])</f>
        <v>14</v>
      </c>
      <c r="H4302" t="s">
        <v>24</v>
      </c>
      <c r="I4302" t="s">
        <v>14</v>
      </c>
      <c r="J4302" t="s">
        <v>14</v>
      </c>
      <c r="K4302">
        <v>34</v>
      </c>
      <c r="L4302" t="str">
        <f>IF(AND(CallLog[[#This Row],[Answered (Y/N)]]="Y", CallLog[[#This Row],[Speed of answer in seconds]]&lt;=20),
    "Within",
    "Breach")</f>
        <v>Breach</v>
      </c>
      <c r="M4302" s="1">
        <v>3.1597222222222222E-3</v>
      </c>
      <c r="N4302">
        <v>4</v>
      </c>
    </row>
    <row r="4303" spans="1:14" x14ac:dyDescent="0.3">
      <c r="A4303" t="s">
        <v>4402</v>
      </c>
      <c r="B4303" t="s">
        <v>34</v>
      </c>
      <c r="C4303" t="s">
        <v>4381</v>
      </c>
      <c r="D4303" s="1">
        <v>0.59700231481481481</v>
      </c>
      <c r="E4303" s="2">
        <f>CallLog[[#This Row],[Date]]+CallLog[[#This Row],[Time]]</f>
        <v>44272.597002314818</v>
      </c>
      <c r="F4303" s="1" t="str">
        <f>TEXT(CallLog[[#This Row],[Date]],"dddd")</f>
        <v>Wednesday</v>
      </c>
      <c r="G4303" s="3">
        <f>HOUR(CallLog[[#This Row],[Time]])</f>
        <v>14</v>
      </c>
      <c r="H4303" t="s">
        <v>32</v>
      </c>
      <c r="I4303" t="s">
        <v>14</v>
      </c>
      <c r="J4303" t="s">
        <v>18</v>
      </c>
      <c r="K4303">
        <v>45</v>
      </c>
      <c r="L4303" t="str">
        <f>IF(AND(CallLog[[#This Row],[Answered (Y/N)]]="Y", CallLog[[#This Row],[Speed of answer in seconds]]&lt;=20),
    "Within",
    "Breach")</f>
        <v>Breach</v>
      </c>
      <c r="M4303" s="1">
        <v>2.6041666666666665E-3</v>
      </c>
      <c r="N4303">
        <v>1</v>
      </c>
    </row>
    <row r="4304" spans="1:14" x14ac:dyDescent="0.3">
      <c r="A4304" t="s">
        <v>4403</v>
      </c>
      <c r="B4304" t="s">
        <v>38</v>
      </c>
      <c r="C4304" t="s">
        <v>4381</v>
      </c>
      <c r="D4304" s="1">
        <v>0.59799768518518515</v>
      </c>
      <c r="E4304" s="2">
        <f>CallLog[[#This Row],[Date]]+CallLog[[#This Row],[Time]]</f>
        <v>44272.597997685189</v>
      </c>
      <c r="F4304" s="1" t="str">
        <f>TEXT(CallLog[[#This Row],[Date]],"dddd")</f>
        <v>Wednesday</v>
      </c>
      <c r="G4304" s="3">
        <f>HOUR(CallLog[[#This Row],[Time]])</f>
        <v>14</v>
      </c>
      <c r="H4304" t="s">
        <v>32</v>
      </c>
      <c r="I4304" t="s">
        <v>18</v>
      </c>
      <c r="J4304" t="s">
        <v>18</v>
      </c>
      <c r="L4304" t="str">
        <f>IF(AND(CallLog[[#This Row],[Answered (Y/N)]]="Y", CallLog[[#This Row],[Speed of answer in seconds]]&lt;=20),
    "Within",
    "Breach")</f>
        <v>Breach</v>
      </c>
    </row>
    <row r="4305" spans="1:14" x14ac:dyDescent="0.3">
      <c r="A4305" t="s">
        <v>4404</v>
      </c>
      <c r="B4305" t="s">
        <v>47</v>
      </c>
      <c r="C4305" t="s">
        <v>4381</v>
      </c>
      <c r="D4305" s="1">
        <v>0.59799768518518515</v>
      </c>
      <c r="E4305" s="2">
        <f>CallLog[[#This Row],[Date]]+CallLog[[#This Row],[Time]]</f>
        <v>44272.597997685189</v>
      </c>
      <c r="F4305" s="1" t="str">
        <f>TEXT(CallLog[[#This Row],[Date]],"dddd")</f>
        <v>Wednesday</v>
      </c>
      <c r="G4305" s="3">
        <f>HOUR(CallLog[[#This Row],[Time]])</f>
        <v>14</v>
      </c>
      <c r="H4305" t="s">
        <v>24</v>
      </c>
      <c r="I4305" t="s">
        <v>14</v>
      </c>
      <c r="J4305" t="s">
        <v>14</v>
      </c>
      <c r="K4305">
        <v>29</v>
      </c>
      <c r="L4305" t="str">
        <f>IF(AND(CallLog[[#This Row],[Answered (Y/N)]]="Y", CallLog[[#This Row],[Speed of answer in seconds]]&lt;=20),
    "Within",
    "Breach")</f>
        <v>Breach</v>
      </c>
      <c r="M4305" s="1">
        <v>1.2731481481481483E-3</v>
      </c>
      <c r="N4305">
        <v>5</v>
      </c>
    </row>
    <row r="4306" spans="1:14" x14ac:dyDescent="0.3">
      <c r="A4306" t="s">
        <v>4405</v>
      </c>
      <c r="B4306" t="s">
        <v>31</v>
      </c>
      <c r="C4306" t="s">
        <v>4381</v>
      </c>
      <c r="D4306" s="1">
        <v>0.63700231481481484</v>
      </c>
      <c r="E4306" s="2">
        <f>CallLog[[#This Row],[Date]]+CallLog[[#This Row],[Time]]</f>
        <v>44272.637002314812</v>
      </c>
      <c r="F4306" s="1" t="str">
        <f>TEXT(CallLog[[#This Row],[Date]],"dddd")</f>
        <v>Wednesday</v>
      </c>
      <c r="G4306" s="3">
        <f>HOUR(CallLog[[#This Row],[Time]])</f>
        <v>15</v>
      </c>
      <c r="H4306" t="s">
        <v>17</v>
      </c>
      <c r="I4306" t="s">
        <v>14</v>
      </c>
      <c r="J4306" t="s">
        <v>14</v>
      </c>
      <c r="K4306">
        <v>26</v>
      </c>
      <c r="L4306" t="str">
        <f>IF(AND(CallLog[[#This Row],[Answered (Y/N)]]="Y", CallLog[[#This Row],[Speed of answer in seconds]]&lt;=20),
    "Within",
    "Breach")</f>
        <v>Breach</v>
      </c>
      <c r="M4306" s="1">
        <v>2.2569444444444442E-3</v>
      </c>
      <c r="N4306">
        <v>4</v>
      </c>
    </row>
    <row r="4307" spans="1:14" x14ac:dyDescent="0.3">
      <c r="A4307" t="s">
        <v>4406</v>
      </c>
      <c r="B4307" t="s">
        <v>11</v>
      </c>
      <c r="C4307" t="s">
        <v>4381</v>
      </c>
      <c r="D4307" s="1">
        <v>0.63700231481481484</v>
      </c>
      <c r="E4307" s="2">
        <f>CallLog[[#This Row],[Date]]+CallLog[[#This Row],[Time]]</f>
        <v>44272.637002314812</v>
      </c>
      <c r="F4307" s="1" t="str">
        <f>TEXT(CallLog[[#This Row],[Date]],"dddd")</f>
        <v>Wednesday</v>
      </c>
      <c r="G4307" s="3">
        <f>HOUR(CallLog[[#This Row],[Time]])</f>
        <v>15</v>
      </c>
      <c r="H4307" t="s">
        <v>32</v>
      </c>
      <c r="I4307" t="s">
        <v>14</v>
      </c>
      <c r="J4307" t="s">
        <v>14</v>
      </c>
      <c r="K4307">
        <v>115</v>
      </c>
      <c r="L4307" t="str">
        <f>IF(AND(CallLog[[#This Row],[Answered (Y/N)]]="Y", CallLog[[#This Row],[Speed of answer in seconds]]&lt;=20),
    "Within",
    "Breach")</f>
        <v>Breach</v>
      </c>
      <c r="M4307" s="1">
        <v>3.1018518518518517E-3</v>
      </c>
      <c r="N4307">
        <v>4</v>
      </c>
    </row>
    <row r="4308" spans="1:14" x14ac:dyDescent="0.3">
      <c r="A4308" t="s">
        <v>4407</v>
      </c>
      <c r="B4308" t="s">
        <v>38</v>
      </c>
      <c r="C4308" t="s">
        <v>4381</v>
      </c>
      <c r="D4308" s="1">
        <v>0.6579976851851852</v>
      </c>
      <c r="E4308" s="2">
        <f>CallLog[[#This Row],[Date]]+CallLog[[#This Row],[Time]]</f>
        <v>44272.657997685186</v>
      </c>
      <c r="F4308" s="1" t="str">
        <f>TEXT(CallLog[[#This Row],[Date]],"dddd")</f>
        <v>Wednesday</v>
      </c>
      <c r="G4308" s="3">
        <f>HOUR(CallLog[[#This Row],[Time]])</f>
        <v>15</v>
      </c>
      <c r="H4308" t="s">
        <v>24</v>
      </c>
      <c r="I4308" t="s">
        <v>14</v>
      </c>
      <c r="J4308" t="s">
        <v>14</v>
      </c>
      <c r="K4308">
        <v>78</v>
      </c>
      <c r="L4308" t="str">
        <f>IF(AND(CallLog[[#This Row],[Answered (Y/N)]]="Y", CallLog[[#This Row],[Speed of answer in seconds]]&lt;=20),
    "Within",
    "Breach")</f>
        <v>Breach</v>
      </c>
      <c r="M4308" s="1">
        <v>2.8703703703703703E-3</v>
      </c>
      <c r="N4308">
        <v>3</v>
      </c>
    </row>
    <row r="4309" spans="1:14" x14ac:dyDescent="0.3">
      <c r="A4309" t="s">
        <v>4408</v>
      </c>
      <c r="B4309" t="s">
        <v>31</v>
      </c>
      <c r="C4309" t="s">
        <v>4381</v>
      </c>
      <c r="D4309" s="1">
        <v>0.6579976851851852</v>
      </c>
      <c r="E4309" s="2">
        <f>CallLog[[#This Row],[Date]]+CallLog[[#This Row],[Time]]</f>
        <v>44272.657997685186</v>
      </c>
      <c r="F4309" s="1" t="str">
        <f>TEXT(CallLog[[#This Row],[Date]],"dddd")</f>
        <v>Wednesday</v>
      </c>
      <c r="G4309" s="3">
        <f>HOUR(CallLog[[#This Row],[Time]])</f>
        <v>15</v>
      </c>
      <c r="H4309" t="s">
        <v>32</v>
      </c>
      <c r="I4309" t="s">
        <v>14</v>
      </c>
      <c r="J4309" t="s">
        <v>18</v>
      </c>
      <c r="K4309">
        <v>41</v>
      </c>
      <c r="L4309" t="str">
        <f>IF(AND(CallLog[[#This Row],[Answered (Y/N)]]="Y", CallLog[[#This Row],[Speed of answer in seconds]]&lt;=20),
    "Within",
    "Breach")</f>
        <v>Breach</v>
      </c>
      <c r="M4309" s="1">
        <v>2.9050925925925928E-3</v>
      </c>
      <c r="N4309">
        <v>3</v>
      </c>
    </row>
    <row r="4310" spans="1:14" x14ac:dyDescent="0.3">
      <c r="A4310" t="s">
        <v>4409</v>
      </c>
      <c r="B4310" t="s">
        <v>11</v>
      </c>
      <c r="C4310" t="s">
        <v>4381</v>
      </c>
      <c r="D4310" s="1">
        <v>0.68099537037037039</v>
      </c>
      <c r="E4310" s="2">
        <f>CallLog[[#This Row],[Date]]+CallLog[[#This Row],[Time]]</f>
        <v>44272.680995370371</v>
      </c>
      <c r="F4310" s="1" t="str">
        <f>TEXT(CallLog[[#This Row],[Date]],"dddd")</f>
        <v>Wednesday</v>
      </c>
      <c r="G4310" s="3">
        <f>HOUR(CallLog[[#This Row],[Time]])</f>
        <v>16</v>
      </c>
      <c r="H4310" t="s">
        <v>13</v>
      </c>
      <c r="I4310" t="s">
        <v>14</v>
      </c>
      <c r="J4310" t="s">
        <v>14</v>
      </c>
      <c r="K4310">
        <v>21</v>
      </c>
      <c r="L4310" t="str">
        <f>IF(AND(CallLog[[#This Row],[Answered (Y/N)]]="Y", CallLog[[#This Row],[Speed of answer in seconds]]&lt;=20),
    "Within",
    "Breach")</f>
        <v>Breach</v>
      </c>
      <c r="M4310" s="1">
        <v>1.6898148148148148E-3</v>
      </c>
      <c r="N4310">
        <v>5</v>
      </c>
    </row>
    <row r="4311" spans="1:14" x14ac:dyDescent="0.3">
      <c r="A4311" t="s">
        <v>4410</v>
      </c>
      <c r="B4311" t="s">
        <v>47</v>
      </c>
      <c r="C4311" t="s">
        <v>4381</v>
      </c>
      <c r="D4311" s="1">
        <v>0.68099537037037039</v>
      </c>
      <c r="E4311" s="2">
        <f>CallLog[[#This Row],[Date]]+CallLog[[#This Row],[Time]]</f>
        <v>44272.680995370371</v>
      </c>
      <c r="F4311" s="1" t="str">
        <f>TEXT(CallLog[[#This Row],[Date]],"dddd")</f>
        <v>Wednesday</v>
      </c>
      <c r="G4311" s="3">
        <f>HOUR(CallLog[[#This Row],[Time]])</f>
        <v>16</v>
      </c>
      <c r="H4311" t="s">
        <v>32</v>
      </c>
      <c r="I4311" t="s">
        <v>18</v>
      </c>
      <c r="J4311" t="s">
        <v>18</v>
      </c>
      <c r="L4311" t="str">
        <f>IF(AND(CallLog[[#This Row],[Answered (Y/N)]]="Y", CallLog[[#This Row],[Speed of answer in seconds]]&lt;=20),
    "Within",
    "Breach")</f>
        <v>Breach</v>
      </c>
    </row>
    <row r="4312" spans="1:14" x14ac:dyDescent="0.3">
      <c r="A4312" t="s">
        <v>4411</v>
      </c>
      <c r="B4312" t="s">
        <v>38</v>
      </c>
      <c r="C4312" t="s">
        <v>4381</v>
      </c>
      <c r="D4312" s="1">
        <v>0.68200231481481477</v>
      </c>
      <c r="E4312" s="2">
        <f>CallLog[[#This Row],[Date]]+CallLog[[#This Row],[Time]]</f>
        <v>44272.682002314818</v>
      </c>
      <c r="F4312" s="1" t="str">
        <f>TEXT(CallLog[[#This Row],[Date]],"dddd")</f>
        <v>Wednesday</v>
      </c>
      <c r="G4312" s="3">
        <f>HOUR(CallLog[[#This Row],[Time]])</f>
        <v>16</v>
      </c>
      <c r="H4312" t="s">
        <v>32</v>
      </c>
      <c r="I4312" t="s">
        <v>14</v>
      </c>
      <c r="J4312" t="s">
        <v>14</v>
      </c>
      <c r="K4312">
        <v>47</v>
      </c>
      <c r="L4312" t="str">
        <f>IF(AND(CallLog[[#This Row],[Answered (Y/N)]]="Y", CallLog[[#This Row],[Speed of answer in seconds]]&lt;=20),
    "Within",
    "Breach")</f>
        <v>Breach</v>
      </c>
      <c r="M4312" s="1">
        <v>3.1250000000000002E-3</v>
      </c>
      <c r="N4312">
        <v>5</v>
      </c>
    </row>
    <row r="4313" spans="1:14" x14ac:dyDescent="0.3">
      <c r="A4313" t="s">
        <v>4412</v>
      </c>
      <c r="B4313" t="s">
        <v>31</v>
      </c>
      <c r="C4313" t="s">
        <v>4381</v>
      </c>
      <c r="D4313" s="1">
        <v>0.68200231481481477</v>
      </c>
      <c r="E4313" s="2">
        <f>CallLog[[#This Row],[Date]]+CallLog[[#This Row],[Time]]</f>
        <v>44272.682002314818</v>
      </c>
      <c r="F4313" s="1" t="str">
        <f>TEXT(CallLog[[#This Row],[Date]],"dddd")</f>
        <v>Wednesday</v>
      </c>
      <c r="G4313" s="3">
        <f>HOUR(CallLog[[#This Row],[Time]])</f>
        <v>16</v>
      </c>
      <c r="H4313" t="s">
        <v>24</v>
      </c>
      <c r="I4313" t="s">
        <v>14</v>
      </c>
      <c r="J4313" t="s">
        <v>18</v>
      </c>
      <c r="K4313">
        <v>98</v>
      </c>
      <c r="L4313" t="str">
        <f>IF(AND(CallLog[[#This Row],[Answered (Y/N)]]="Y", CallLog[[#This Row],[Speed of answer in seconds]]&lt;=20),
    "Within",
    "Breach")</f>
        <v>Breach</v>
      </c>
      <c r="M4313" s="1">
        <v>4.1550925925925922E-3</v>
      </c>
      <c r="N4313">
        <v>2</v>
      </c>
    </row>
    <row r="4314" spans="1:14" x14ac:dyDescent="0.3">
      <c r="A4314" t="s">
        <v>4413</v>
      </c>
      <c r="B4314" t="s">
        <v>34</v>
      </c>
      <c r="C4314" t="s">
        <v>4381</v>
      </c>
      <c r="D4314" s="1">
        <v>0.6959953703703704</v>
      </c>
      <c r="E4314" s="2">
        <f>CallLog[[#This Row],[Date]]+CallLog[[#This Row],[Time]]</f>
        <v>44272.69599537037</v>
      </c>
      <c r="F4314" s="1" t="str">
        <f>TEXT(CallLog[[#This Row],[Date]],"dddd")</f>
        <v>Wednesday</v>
      </c>
      <c r="G4314" s="3">
        <f>HOUR(CallLog[[#This Row],[Time]])</f>
        <v>16</v>
      </c>
      <c r="H4314" t="s">
        <v>13</v>
      </c>
      <c r="I4314" t="s">
        <v>18</v>
      </c>
      <c r="J4314" t="s">
        <v>18</v>
      </c>
      <c r="L4314" t="str">
        <f>IF(AND(CallLog[[#This Row],[Answered (Y/N)]]="Y", CallLog[[#This Row],[Speed of answer in seconds]]&lt;=20),
    "Within",
    "Breach")</f>
        <v>Breach</v>
      </c>
    </row>
    <row r="4315" spans="1:14" x14ac:dyDescent="0.3">
      <c r="A4315" t="s">
        <v>4414</v>
      </c>
      <c r="B4315" t="s">
        <v>38</v>
      </c>
      <c r="C4315" t="s">
        <v>4381</v>
      </c>
      <c r="D4315" s="1">
        <v>0.6959953703703704</v>
      </c>
      <c r="E4315" s="2">
        <f>CallLog[[#This Row],[Date]]+CallLog[[#This Row],[Time]]</f>
        <v>44272.69599537037</v>
      </c>
      <c r="F4315" s="1" t="str">
        <f>TEXT(CallLog[[#This Row],[Date]],"dddd")</f>
        <v>Wednesday</v>
      </c>
      <c r="G4315" s="3">
        <f>HOUR(CallLog[[#This Row],[Time]])</f>
        <v>16</v>
      </c>
      <c r="H4315" t="s">
        <v>24</v>
      </c>
      <c r="I4315" t="s">
        <v>14</v>
      </c>
      <c r="J4315" t="s">
        <v>14</v>
      </c>
      <c r="K4315">
        <v>51</v>
      </c>
      <c r="L4315" t="str">
        <f>IF(AND(CallLog[[#This Row],[Answered (Y/N)]]="Y", CallLog[[#This Row],[Speed of answer in seconds]]&lt;=20),
    "Within",
    "Breach")</f>
        <v>Breach</v>
      </c>
      <c r="M4315" s="1">
        <v>3.1712962962962962E-3</v>
      </c>
      <c r="N4315">
        <v>4</v>
      </c>
    </row>
    <row r="4316" spans="1:14" x14ac:dyDescent="0.3">
      <c r="A4316" t="s">
        <v>4415</v>
      </c>
      <c r="B4316" t="s">
        <v>16</v>
      </c>
      <c r="C4316" t="s">
        <v>4381</v>
      </c>
      <c r="D4316" s="1">
        <v>0.69900462962962961</v>
      </c>
      <c r="E4316" s="2">
        <f>CallLog[[#This Row],[Date]]+CallLog[[#This Row],[Time]]</f>
        <v>44272.699004629627</v>
      </c>
      <c r="F4316" s="1" t="str">
        <f>TEXT(CallLog[[#This Row],[Date]],"dddd")</f>
        <v>Wednesday</v>
      </c>
      <c r="G4316" s="3">
        <f>HOUR(CallLog[[#This Row],[Time]])</f>
        <v>16</v>
      </c>
      <c r="H4316" t="s">
        <v>32</v>
      </c>
      <c r="I4316" t="s">
        <v>14</v>
      </c>
      <c r="J4316" t="s">
        <v>14</v>
      </c>
      <c r="K4316">
        <v>70</v>
      </c>
      <c r="L4316" t="str">
        <f>IF(AND(CallLog[[#This Row],[Answered (Y/N)]]="Y", CallLog[[#This Row],[Speed of answer in seconds]]&lt;=20),
    "Within",
    "Breach")</f>
        <v>Breach</v>
      </c>
      <c r="M4316" s="1">
        <v>3.8773148148148148E-3</v>
      </c>
      <c r="N4316">
        <v>4</v>
      </c>
    </row>
    <row r="4317" spans="1:14" x14ac:dyDescent="0.3">
      <c r="A4317" t="s">
        <v>4416</v>
      </c>
      <c r="B4317" t="s">
        <v>11</v>
      </c>
      <c r="C4317" t="s">
        <v>4381</v>
      </c>
      <c r="D4317" s="1">
        <v>0.69900462962962961</v>
      </c>
      <c r="E4317" s="2">
        <f>CallLog[[#This Row],[Date]]+CallLog[[#This Row],[Time]]</f>
        <v>44272.699004629627</v>
      </c>
      <c r="F4317" s="1" t="str">
        <f>TEXT(CallLog[[#This Row],[Date]],"dddd")</f>
        <v>Wednesday</v>
      </c>
      <c r="G4317" s="3">
        <f>HOUR(CallLog[[#This Row],[Time]])</f>
        <v>16</v>
      </c>
      <c r="H4317" t="s">
        <v>13</v>
      </c>
      <c r="I4317" t="s">
        <v>14</v>
      </c>
      <c r="J4317" t="s">
        <v>14</v>
      </c>
      <c r="K4317">
        <v>58</v>
      </c>
      <c r="L4317" t="str">
        <f>IF(AND(CallLog[[#This Row],[Answered (Y/N)]]="Y", CallLog[[#This Row],[Speed of answer in seconds]]&lt;=20),
    "Within",
    "Breach")</f>
        <v>Breach</v>
      </c>
      <c r="M4317" s="1">
        <v>4.3981481481481484E-3</v>
      </c>
      <c r="N4317">
        <v>2</v>
      </c>
    </row>
    <row r="4318" spans="1:14" x14ac:dyDescent="0.3">
      <c r="A4318" t="s">
        <v>4417</v>
      </c>
      <c r="B4318" t="s">
        <v>31</v>
      </c>
      <c r="C4318" t="s">
        <v>4381</v>
      </c>
      <c r="D4318" s="1">
        <v>0.70299768518518524</v>
      </c>
      <c r="E4318" s="2">
        <f>CallLog[[#This Row],[Date]]+CallLog[[#This Row],[Time]]</f>
        <v>44272.702997685185</v>
      </c>
      <c r="F4318" s="1" t="str">
        <f>TEXT(CallLog[[#This Row],[Date]],"dddd")</f>
        <v>Wednesday</v>
      </c>
      <c r="G4318" s="3">
        <f>HOUR(CallLog[[#This Row],[Time]])</f>
        <v>16</v>
      </c>
      <c r="H4318" t="s">
        <v>17</v>
      </c>
      <c r="I4318" t="s">
        <v>18</v>
      </c>
      <c r="J4318" t="s">
        <v>18</v>
      </c>
      <c r="L4318" t="str">
        <f>IF(AND(CallLog[[#This Row],[Answered (Y/N)]]="Y", CallLog[[#This Row],[Speed of answer in seconds]]&lt;=20),
    "Within",
    "Breach")</f>
        <v>Breach</v>
      </c>
    </row>
    <row r="4319" spans="1:14" x14ac:dyDescent="0.3">
      <c r="A4319" t="s">
        <v>4418</v>
      </c>
      <c r="B4319" t="s">
        <v>22</v>
      </c>
      <c r="C4319" t="s">
        <v>4381</v>
      </c>
      <c r="D4319" s="1">
        <v>0.70299768518518524</v>
      </c>
      <c r="E4319" s="2">
        <f>CallLog[[#This Row],[Date]]+CallLog[[#This Row],[Time]]</f>
        <v>44272.702997685185</v>
      </c>
      <c r="F4319" s="1" t="str">
        <f>TEXT(CallLog[[#This Row],[Date]],"dddd")</f>
        <v>Wednesday</v>
      </c>
      <c r="G4319" s="3">
        <f>HOUR(CallLog[[#This Row],[Time]])</f>
        <v>16</v>
      </c>
      <c r="H4319" t="s">
        <v>29</v>
      </c>
      <c r="I4319" t="s">
        <v>18</v>
      </c>
      <c r="J4319" t="s">
        <v>18</v>
      </c>
      <c r="L4319" t="str">
        <f>IF(AND(CallLog[[#This Row],[Answered (Y/N)]]="Y", CallLog[[#This Row],[Speed of answer in seconds]]&lt;=20),
    "Within",
    "Breach")</f>
        <v>Breach</v>
      </c>
    </row>
    <row r="4320" spans="1:14" x14ac:dyDescent="0.3">
      <c r="A4320" t="s">
        <v>4419</v>
      </c>
      <c r="B4320" t="s">
        <v>22</v>
      </c>
      <c r="C4320" t="s">
        <v>4381</v>
      </c>
      <c r="D4320" s="1">
        <v>0.7170023148148148</v>
      </c>
      <c r="E4320" s="2">
        <f>CallLog[[#This Row],[Date]]+CallLog[[#This Row],[Time]]</f>
        <v>44272.717002314814</v>
      </c>
      <c r="F4320" s="1" t="str">
        <f>TEXT(CallLog[[#This Row],[Date]],"dddd")</f>
        <v>Wednesday</v>
      </c>
      <c r="G4320" s="3">
        <f>HOUR(CallLog[[#This Row],[Time]])</f>
        <v>17</v>
      </c>
      <c r="H4320" t="s">
        <v>32</v>
      </c>
      <c r="I4320" t="s">
        <v>14</v>
      </c>
      <c r="J4320" t="s">
        <v>14</v>
      </c>
      <c r="K4320">
        <v>39</v>
      </c>
      <c r="L4320" t="str">
        <f>IF(AND(CallLog[[#This Row],[Answered (Y/N)]]="Y", CallLog[[#This Row],[Speed of answer in seconds]]&lt;=20),
    "Within",
    "Breach")</f>
        <v>Breach</v>
      </c>
      <c r="M4320" s="1">
        <v>2.7083333333333334E-3</v>
      </c>
      <c r="N4320">
        <v>5</v>
      </c>
    </row>
    <row r="4321" spans="1:14" x14ac:dyDescent="0.3">
      <c r="A4321" t="s">
        <v>4420</v>
      </c>
      <c r="B4321" t="s">
        <v>34</v>
      </c>
      <c r="C4321" t="s">
        <v>4381</v>
      </c>
      <c r="D4321" s="1">
        <v>0.7170023148148148</v>
      </c>
      <c r="E4321" s="2">
        <f>CallLog[[#This Row],[Date]]+CallLog[[#This Row],[Time]]</f>
        <v>44272.717002314814</v>
      </c>
      <c r="F4321" s="1" t="str">
        <f>TEXT(CallLog[[#This Row],[Date]],"dddd")</f>
        <v>Wednesday</v>
      </c>
      <c r="G4321" s="3">
        <f>HOUR(CallLog[[#This Row],[Time]])</f>
        <v>17</v>
      </c>
      <c r="H4321" t="s">
        <v>24</v>
      </c>
      <c r="I4321" t="s">
        <v>14</v>
      </c>
      <c r="J4321" t="s">
        <v>14</v>
      </c>
      <c r="K4321">
        <v>55</v>
      </c>
      <c r="L4321" t="str">
        <f>IF(AND(CallLog[[#This Row],[Answered (Y/N)]]="Y", CallLog[[#This Row],[Speed of answer in seconds]]&lt;=20),
    "Within",
    "Breach")</f>
        <v>Breach</v>
      </c>
      <c r="M4321" s="1">
        <v>2.3726851851851851E-3</v>
      </c>
      <c r="N4321">
        <v>1</v>
      </c>
    </row>
    <row r="4322" spans="1:14" x14ac:dyDescent="0.3">
      <c r="A4322" t="s">
        <v>4421</v>
      </c>
      <c r="B4322" t="s">
        <v>11</v>
      </c>
      <c r="C4322" t="s">
        <v>4381</v>
      </c>
      <c r="D4322" s="1">
        <v>0.71799768518518514</v>
      </c>
      <c r="E4322" s="2">
        <f>CallLog[[#This Row],[Date]]+CallLog[[#This Row],[Time]]</f>
        <v>44272.717997685184</v>
      </c>
      <c r="F4322" s="1" t="str">
        <f>TEXT(CallLog[[#This Row],[Date]],"dddd")</f>
        <v>Wednesday</v>
      </c>
      <c r="G4322" s="3">
        <f>HOUR(CallLog[[#This Row],[Time]])</f>
        <v>17</v>
      </c>
      <c r="H4322" t="s">
        <v>13</v>
      </c>
      <c r="I4322" t="s">
        <v>14</v>
      </c>
      <c r="J4322" t="s">
        <v>14</v>
      </c>
      <c r="K4322">
        <v>80</v>
      </c>
      <c r="L4322" t="str">
        <f>IF(AND(CallLog[[#This Row],[Answered (Y/N)]]="Y", CallLog[[#This Row],[Speed of answer in seconds]]&lt;=20),
    "Within",
    "Breach")</f>
        <v>Breach</v>
      </c>
      <c r="M4322" s="1">
        <v>2.1412037037037038E-3</v>
      </c>
      <c r="N4322">
        <v>3</v>
      </c>
    </row>
    <row r="4323" spans="1:14" x14ac:dyDescent="0.3">
      <c r="A4323" t="s">
        <v>4422</v>
      </c>
      <c r="B4323" t="s">
        <v>47</v>
      </c>
      <c r="C4323" t="s">
        <v>4381</v>
      </c>
      <c r="D4323" s="1">
        <v>0.71799768518518514</v>
      </c>
      <c r="E4323" s="2">
        <f>CallLog[[#This Row],[Date]]+CallLog[[#This Row],[Time]]</f>
        <v>44272.717997685184</v>
      </c>
      <c r="F4323" s="1" t="str">
        <f>TEXT(CallLog[[#This Row],[Date]],"dddd")</f>
        <v>Wednesday</v>
      </c>
      <c r="G4323" s="3">
        <f>HOUR(CallLog[[#This Row],[Time]])</f>
        <v>17</v>
      </c>
      <c r="H4323" t="s">
        <v>24</v>
      </c>
      <c r="I4323" t="s">
        <v>14</v>
      </c>
      <c r="J4323" t="s">
        <v>14</v>
      </c>
      <c r="K4323">
        <v>68</v>
      </c>
      <c r="L4323" t="str">
        <f>IF(AND(CallLog[[#This Row],[Answered (Y/N)]]="Y", CallLog[[#This Row],[Speed of answer in seconds]]&lt;=20),
    "Within",
    "Breach")</f>
        <v>Breach</v>
      </c>
      <c r="M4323" s="1">
        <v>2.4189814814814816E-3</v>
      </c>
      <c r="N4323">
        <v>4</v>
      </c>
    </row>
    <row r="4324" spans="1:14" x14ac:dyDescent="0.3">
      <c r="A4324" t="s">
        <v>4423</v>
      </c>
      <c r="B4324" t="s">
        <v>11</v>
      </c>
      <c r="C4324" t="s">
        <v>4381</v>
      </c>
      <c r="D4324" s="1">
        <v>0.72499999999999998</v>
      </c>
      <c r="E4324" s="2">
        <f>CallLog[[#This Row],[Date]]+CallLog[[#This Row],[Time]]</f>
        <v>44272.724999999999</v>
      </c>
      <c r="F4324" s="1" t="str">
        <f>TEXT(CallLog[[#This Row],[Date]],"dddd")</f>
        <v>Wednesday</v>
      </c>
      <c r="G4324" s="3">
        <f>HOUR(CallLog[[#This Row],[Time]])</f>
        <v>17</v>
      </c>
      <c r="H4324" t="s">
        <v>17</v>
      </c>
      <c r="I4324" t="s">
        <v>14</v>
      </c>
      <c r="J4324" t="s">
        <v>14</v>
      </c>
      <c r="K4324">
        <v>96</v>
      </c>
      <c r="L4324" t="str">
        <f>IF(AND(CallLog[[#This Row],[Answered (Y/N)]]="Y", CallLog[[#This Row],[Speed of answer in seconds]]&lt;=20),
    "Within",
    "Breach")</f>
        <v>Breach</v>
      </c>
      <c r="M4324" s="1">
        <v>1.5509259259259259E-3</v>
      </c>
      <c r="N4324">
        <v>3</v>
      </c>
    </row>
    <row r="4325" spans="1:14" x14ac:dyDescent="0.3">
      <c r="A4325" t="s">
        <v>4424</v>
      </c>
      <c r="B4325" t="s">
        <v>22</v>
      </c>
      <c r="C4325" t="s">
        <v>4381</v>
      </c>
      <c r="D4325" s="1">
        <v>0.72499999999999998</v>
      </c>
      <c r="E4325" s="2">
        <f>CallLog[[#This Row],[Date]]+CallLog[[#This Row],[Time]]</f>
        <v>44272.724999999999</v>
      </c>
      <c r="F4325" s="1" t="str">
        <f>TEXT(CallLog[[#This Row],[Date]],"dddd")</f>
        <v>Wednesday</v>
      </c>
      <c r="G4325" s="3">
        <f>HOUR(CallLog[[#This Row],[Time]])</f>
        <v>17</v>
      </c>
      <c r="H4325" t="s">
        <v>24</v>
      </c>
      <c r="I4325" t="s">
        <v>14</v>
      </c>
      <c r="J4325" t="s">
        <v>14</v>
      </c>
      <c r="K4325">
        <v>32</v>
      </c>
      <c r="L4325" t="str">
        <f>IF(AND(CallLog[[#This Row],[Answered (Y/N)]]="Y", CallLog[[#This Row],[Speed of answer in seconds]]&lt;=20),
    "Within",
    "Breach")</f>
        <v>Breach</v>
      </c>
      <c r="M4325" s="1">
        <v>2.638888888888889E-3</v>
      </c>
      <c r="N4325">
        <v>3</v>
      </c>
    </row>
    <row r="4326" spans="1:14" x14ac:dyDescent="0.3">
      <c r="A4326" t="s">
        <v>4425</v>
      </c>
      <c r="B4326" t="s">
        <v>20</v>
      </c>
      <c r="C4326" t="s">
        <v>4381</v>
      </c>
      <c r="D4326" s="1">
        <v>0.72700231481481481</v>
      </c>
      <c r="E4326" s="2">
        <f>CallLog[[#This Row],[Date]]+CallLog[[#This Row],[Time]]</f>
        <v>44272.727002314816</v>
      </c>
      <c r="F4326" s="1" t="str">
        <f>TEXT(CallLog[[#This Row],[Date]],"dddd")</f>
        <v>Wednesday</v>
      </c>
      <c r="G4326" s="3">
        <f>HOUR(CallLog[[#This Row],[Time]])</f>
        <v>17</v>
      </c>
      <c r="H4326" t="s">
        <v>29</v>
      </c>
      <c r="I4326" t="s">
        <v>18</v>
      </c>
      <c r="J4326" t="s">
        <v>18</v>
      </c>
      <c r="L4326" t="str">
        <f>IF(AND(CallLog[[#This Row],[Answered (Y/N)]]="Y", CallLog[[#This Row],[Speed of answer in seconds]]&lt;=20),
    "Within",
    "Breach")</f>
        <v>Breach</v>
      </c>
    </row>
    <row r="4327" spans="1:14" x14ac:dyDescent="0.3">
      <c r="A4327" t="s">
        <v>4426</v>
      </c>
      <c r="B4327" t="s">
        <v>11</v>
      </c>
      <c r="C4327" t="s">
        <v>4381</v>
      </c>
      <c r="D4327" s="1">
        <v>0.72700231481481481</v>
      </c>
      <c r="E4327" s="2">
        <f>CallLog[[#This Row],[Date]]+CallLog[[#This Row],[Time]]</f>
        <v>44272.727002314816</v>
      </c>
      <c r="F4327" s="1" t="str">
        <f>TEXT(CallLog[[#This Row],[Date]],"dddd")</f>
        <v>Wednesday</v>
      </c>
      <c r="G4327" s="3">
        <f>HOUR(CallLog[[#This Row],[Time]])</f>
        <v>17</v>
      </c>
      <c r="H4327" t="s">
        <v>32</v>
      </c>
      <c r="I4327" t="s">
        <v>14</v>
      </c>
      <c r="J4327" t="s">
        <v>14</v>
      </c>
      <c r="K4327">
        <v>90</v>
      </c>
      <c r="L4327" t="str">
        <f>IF(AND(CallLog[[#This Row],[Answered (Y/N)]]="Y", CallLog[[#This Row],[Speed of answer in seconds]]&lt;=20),
    "Within",
    "Breach")</f>
        <v>Breach</v>
      </c>
      <c r="M4327" s="1">
        <v>1.3078703703703703E-3</v>
      </c>
      <c r="N4327">
        <v>3</v>
      </c>
    </row>
    <row r="4328" spans="1:14" x14ac:dyDescent="0.3">
      <c r="A4328" t="s">
        <v>4427</v>
      </c>
      <c r="B4328" t="s">
        <v>47</v>
      </c>
      <c r="C4328" t="s">
        <v>4381</v>
      </c>
      <c r="D4328" s="1">
        <v>0.74200231481481482</v>
      </c>
      <c r="E4328" s="2">
        <f>CallLog[[#This Row],[Date]]+CallLog[[#This Row],[Time]]</f>
        <v>44272.742002314815</v>
      </c>
      <c r="F4328" s="1" t="str">
        <f>TEXT(CallLog[[#This Row],[Date]],"dddd")</f>
        <v>Wednesday</v>
      </c>
      <c r="G4328" s="3">
        <f>HOUR(CallLog[[#This Row],[Time]])</f>
        <v>17</v>
      </c>
      <c r="H4328" t="s">
        <v>32</v>
      </c>
      <c r="I4328" t="s">
        <v>14</v>
      </c>
      <c r="J4328" t="s">
        <v>14</v>
      </c>
      <c r="K4328">
        <v>108</v>
      </c>
      <c r="L4328" t="str">
        <f>IF(AND(CallLog[[#This Row],[Answered (Y/N)]]="Y", CallLog[[#This Row],[Speed of answer in seconds]]&lt;=20),
    "Within",
    "Breach")</f>
        <v>Breach</v>
      </c>
      <c r="M4328" s="1">
        <v>2.2569444444444442E-3</v>
      </c>
      <c r="N4328">
        <v>4</v>
      </c>
    </row>
    <row r="4329" spans="1:14" x14ac:dyDescent="0.3">
      <c r="A4329" t="s">
        <v>4428</v>
      </c>
      <c r="B4329" t="s">
        <v>20</v>
      </c>
      <c r="C4329" t="s">
        <v>4381</v>
      </c>
      <c r="D4329" s="1">
        <v>0.74200231481481482</v>
      </c>
      <c r="E4329" s="2">
        <f>CallLog[[#This Row],[Date]]+CallLog[[#This Row],[Time]]</f>
        <v>44272.742002314815</v>
      </c>
      <c r="F4329" s="1" t="str">
        <f>TEXT(CallLog[[#This Row],[Date]],"dddd")</f>
        <v>Wednesday</v>
      </c>
      <c r="G4329" s="3">
        <f>HOUR(CallLog[[#This Row],[Time]])</f>
        <v>17</v>
      </c>
      <c r="H4329" t="s">
        <v>17</v>
      </c>
      <c r="I4329" t="s">
        <v>14</v>
      </c>
      <c r="J4329" t="s">
        <v>18</v>
      </c>
      <c r="K4329">
        <v>120</v>
      </c>
      <c r="L4329" t="str">
        <f>IF(AND(CallLog[[#This Row],[Answered (Y/N)]]="Y", CallLog[[#This Row],[Speed of answer in seconds]]&lt;=20),
    "Within",
    "Breach")</f>
        <v>Breach</v>
      </c>
      <c r="M4329" s="1">
        <v>3.8657407407407408E-3</v>
      </c>
      <c r="N4329">
        <v>4</v>
      </c>
    </row>
    <row r="4330" spans="1:14" x14ac:dyDescent="0.3">
      <c r="A4330" t="s">
        <v>4429</v>
      </c>
      <c r="B4330" t="s">
        <v>47</v>
      </c>
      <c r="C4330" t="s">
        <v>4381</v>
      </c>
      <c r="D4330" s="1">
        <v>0.75</v>
      </c>
      <c r="E4330" s="2">
        <f>CallLog[[#This Row],[Date]]+CallLog[[#This Row],[Time]]</f>
        <v>44272.75</v>
      </c>
      <c r="F4330" s="1" t="str">
        <f>TEXT(CallLog[[#This Row],[Date]],"dddd")</f>
        <v>Wednesday</v>
      </c>
      <c r="G4330" s="3">
        <f>HOUR(CallLog[[#This Row],[Time]])</f>
        <v>18</v>
      </c>
      <c r="H4330" t="s">
        <v>13</v>
      </c>
      <c r="I4330" t="s">
        <v>14</v>
      </c>
      <c r="J4330" t="s">
        <v>14</v>
      </c>
      <c r="K4330">
        <v>21</v>
      </c>
      <c r="L4330" t="str">
        <f>IF(AND(CallLog[[#This Row],[Answered (Y/N)]]="Y", CallLog[[#This Row],[Speed of answer in seconds]]&lt;=20),
    "Within",
    "Breach")</f>
        <v>Breach</v>
      </c>
      <c r="M4330" s="1">
        <v>3.2291666666666666E-3</v>
      </c>
      <c r="N4330">
        <v>5</v>
      </c>
    </row>
    <row r="4331" spans="1:14" x14ac:dyDescent="0.3">
      <c r="A4331" t="s">
        <v>4430</v>
      </c>
      <c r="B4331" t="s">
        <v>22</v>
      </c>
      <c r="C4331" t="s">
        <v>4381</v>
      </c>
      <c r="D4331" s="1">
        <v>0.75</v>
      </c>
      <c r="E4331" s="2">
        <f>CallLog[[#This Row],[Date]]+CallLog[[#This Row],[Time]]</f>
        <v>44272.75</v>
      </c>
      <c r="F4331" s="1" t="str">
        <f>TEXT(CallLog[[#This Row],[Date]],"dddd")</f>
        <v>Wednesday</v>
      </c>
      <c r="G4331" s="3">
        <f>HOUR(CallLog[[#This Row],[Time]])</f>
        <v>18</v>
      </c>
      <c r="H4331" t="s">
        <v>13</v>
      </c>
      <c r="I4331" t="s">
        <v>18</v>
      </c>
      <c r="J4331" t="s">
        <v>18</v>
      </c>
      <c r="L4331" t="str">
        <f>IF(AND(CallLog[[#This Row],[Answered (Y/N)]]="Y", CallLog[[#This Row],[Speed of answer in seconds]]&lt;=20),
    "Within",
    "Breach")</f>
        <v>Breach</v>
      </c>
    </row>
    <row r="4332" spans="1:14" x14ac:dyDescent="0.3">
      <c r="A4332" t="s">
        <v>4431</v>
      </c>
      <c r="B4332" t="s">
        <v>38</v>
      </c>
      <c r="C4332" t="s">
        <v>4432</v>
      </c>
      <c r="D4332" s="1">
        <v>0.38500000000000001</v>
      </c>
      <c r="E4332" s="2">
        <f>CallLog[[#This Row],[Date]]+CallLog[[#This Row],[Time]]</f>
        <v>44273.385000000002</v>
      </c>
      <c r="F4332" s="1" t="str">
        <f>TEXT(CallLog[[#This Row],[Date]],"dddd")</f>
        <v>Thursday</v>
      </c>
      <c r="G4332" s="3">
        <f>HOUR(CallLog[[#This Row],[Time]])</f>
        <v>9</v>
      </c>
      <c r="H4332" t="s">
        <v>24</v>
      </c>
      <c r="I4332" t="s">
        <v>14</v>
      </c>
      <c r="J4332" t="s">
        <v>18</v>
      </c>
      <c r="K4332">
        <v>59</v>
      </c>
      <c r="L4332" t="str">
        <f>IF(AND(CallLog[[#This Row],[Answered (Y/N)]]="Y", CallLog[[#This Row],[Speed of answer in seconds]]&lt;=20),
    "Within",
    "Breach")</f>
        <v>Breach</v>
      </c>
      <c r="M4332" s="1">
        <v>1.9328703703703704E-3</v>
      </c>
      <c r="N4332">
        <v>4</v>
      </c>
    </row>
    <row r="4333" spans="1:14" x14ac:dyDescent="0.3">
      <c r="A4333" t="s">
        <v>4433</v>
      </c>
      <c r="B4333" t="s">
        <v>20</v>
      </c>
      <c r="C4333" t="s">
        <v>4432</v>
      </c>
      <c r="D4333" s="1">
        <v>0.38500000000000001</v>
      </c>
      <c r="E4333" s="2">
        <f>CallLog[[#This Row],[Date]]+CallLog[[#This Row],[Time]]</f>
        <v>44273.385000000002</v>
      </c>
      <c r="F4333" s="1" t="str">
        <f>TEXT(CallLog[[#This Row],[Date]],"dddd")</f>
        <v>Thursday</v>
      </c>
      <c r="G4333" s="3">
        <f>HOUR(CallLog[[#This Row],[Time]])</f>
        <v>9</v>
      </c>
      <c r="H4333" t="s">
        <v>29</v>
      </c>
      <c r="I4333" t="s">
        <v>14</v>
      </c>
      <c r="J4333" t="s">
        <v>14</v>
      </c>
      <c r="K4333">
        <v>14</v>
      </c>
      <c r="L4333" t="str">
        <f>IF(AND(CallLog[[#This Row],[Answered (Y/N)]]="Y", CallLog[[#This Row],[Speed of answer in seconds]]&lt;=20),
    "Within",
    "Breach")</f>
        <v>Within</v>
      </c>
      <c r="M4333" s="1">
        <v>3.7268518518518519E-3</v>
      </c>
      <c r="N4333">
        <v>3</v>
      </c>
    </row>
    <row r="4334" spans="1:14" x14ac:dyDescent="0.3">
      <c r="A4334" t="s">
        <v>4434</v>
      </c>
      <c r="B4334" t="s">
        <v>34</v>
      </c>
      <c r="C4334" t="s">
        <v>4432</v>
      </c>
      <c r="D4334" s="1">
        <v>0.39</v>
      </c>
      <c r="E4334" s="2">
        <f>CallLog[[#This Row],[Date]]+CallLog[[#This Row],[Time]]</f>
        <v>44273.39</v>
      </c>
      <c r="F4334" s="1" t="str">
        <f>TEXT(CallLog[[#This Row],[Date]],"dddd")</f>
        <v>Thursday</v>
      </c>
      <c r="G4334" s="3">
        <f>HOUR(CallLog[[#This Row],[Time]])</f>
        <v>9</v>
      </c>
      <c r="H4334" t="s">
        <v>13</v>
      </c>
      <c r="I4334" t="s">
        <v>18</v>
      </c>
      <c r="J4334" t="s">
        <v>18</v>
      </c>
      <c r="L4334" t="str">
        <f>IF(AND(CallLog[[#This Row],[Answered (Y/N)]]="Y", CallLog[[#This Row],[Speed of answer in seconds]]&lt;=20),
    "Within",
    "Breach")</f>
        <v>Breach</v>
      </c>
    </row>
    <row r="4335" spans="1:14" x14ac:dyDescent="0.3">
      <c r="A4335" t="s">
        <v>4435</v>
      </c>
      <c r="B4335" t="s">
        <v>20</v>
      </c>
      <c r="C4335" t="s">
        <v>4432</v>
      </c>
      <c r="D4335" s="1">
        <v>0.39</v>
      </c>
      <c r="E4335" s="2">
        <f>CallLog[[#This Row],[Date]]+CallLog[[#This Row],[Time]]</f>
        <v>44273.39</v>
      </c>
      <c r="F4335" s="1" t="str">
        <f>TEXT(CallLog[[#This Row],[Date]],"dddd")</f>
        <v>Thursday</v>
      </c>
      <c r="G4335" s="3">
        <f>HOUR(CallLog[[#This Row],[Time]])</f>
        <v>9</v>
      </c>
      <c r="H4335" t="s">
        <v>32</v>
      </c>
      <c r="I4335" t="s">
        <v>14</v>
      </c>
      <c r="J4335" t="s">
        <v>14</v>
      </c>
      <c r="K4335">
        <v>57</v>
      </c>
      <c r="L4335" t="str">
        <f>IF(AND(CallLog[[#This Row],[Answered (Y/N)]]="Y", CallLog[[#This Row],[Speed of answer in seconds]]&lt;=20),
    "Within",
    "Breach")</f>
        <v>Breach</v>
      </c>
      <c r="M4335" s="1">
        <v>5.0925925925925921E-4</v>
      </c>
      <c r="N4335">
        <v>3</v>
      </c>
    </row>
    <row r="4336" spans="1:14" x14ac:dyDescent="0.3">
      <c r="A4336" t="s">
        <v>4436</v>
      </c>
      <c r="B4336" t="s">
        <v>47</v>
      </c>
      <c r="C4336" t="s">
        <v>4432</v>
      </c>
      <c r="D4336" s="1">
        <v>0.43900462962962961</v>
      </c>
      <c r="E4336" s="2">
        <f>CallLog[[#This Row],[Date]]+CallLog[[#This Row],[Time]]</f>
        <v>44273.439004629632</v>
      </c>
      <c r="F4336" s="1" t="str">
        <f>TEXT(CallLog[[#This Row],[Date]],"dddd")</f>
        <v>Thursday</v>
      </c>
      <c r="G4336" s="3">
        <f>HOUR(CallLog[[#This Row],[Time]])</f>
        <v>10</v>
      </c>
      <c r="H4336" t="s">
        <v>32</v>
      </c>
      <c r="I4336" t="s">
        <v>14</v>
      </c>
      <c r="J4336" t="s">
        <v>14</v>
      </c>
      <c r="K4336">
        <v>123</v>
      </c>
      <c r="L4336" t="str">
        <f>IF(AND(CallLog[[#This Row],[Answered (Y/N)]]="Y", CallLog[[#This Row],[Speed of answer in seconds]]&lt;=20),
    "Within",
    "Breach")</f>
        <v>Breach</v>
      </c>
      <c r="M4336" s="1">
        <v>2.8240740740740739E-3</v>
      </c>
      <c r="N4336">
        <v>3</v>
      </c>
    </row>
    <row r="4337" spans="1:14" x14ac:dyDescent="0.3">
      <c r="A4337" t="s">
        <v>4437</v>
      </c>
      <c r="B4337" t="s">
        <v>47</v>
      </c>
      <c r="C4337" t="s">
        <v>4432</v>
      </c>
      <c r="D4337" s="1">
        <v>0.43900462962962961</v>
      </c>
      <c r="E4337" s="2">
        <f>CallLog[[#This Row],[Date]]+CallLog[[#This Row],[Time]]</f>
        <v>44273.439004629632</v>
      </c>
      <c r="F4337" s="1" t="str">
        <f>TEXT(CallLog[[#This Row],[Date]],"dddd")</f>
        <v>Thursday</v>
      </c>
      <c r="G4337" s="3">
        <f>HOUR(CallLog[[#This Row],[Time]])</f>
        <v>10</v>
      </c>
      <c r="H4337" t="s">
        <v>32</v>
      </c>
      <c r="I4337" t="s">
        <v>14</v>
      </c>
      <c r="J4337" t="s">
        <v>14</v>
      </c>
      <c r="K4337">
        <v>71</v>
      </c>
      <c r="L4337" t="str">
        <f>IF(AND(CallLog[[#This Row],[Answered (Y/N)]]="Y", CallLog[[#This Row],[Speed of answer in seconds]]&lt;=20),
    "Within",
    "Breach")</f>
        <v>Breach</v>
      </c>
      <c r="M4337" s="1">
        <v>3.9467592592592592E-3</v>
      </c>
      <c r="N4337">
        <v>3</v>
      </c>
    </row>
    <row r="4338" spans="1:14" x14ac:dyDescent="0.3">
      <c r="A4338" t="s">
        <v>4438</v>
      </c>
      <c r="B4338" t="s">
        <v>20</v>
      </c>
      <c r="C4338" t="s">
        <v>4432</v>
      </c>
      <c r="D4338" s="1">
        <v>0.45599537037037036</v>
      </c>
      <c r="E4338" s="2">
        <f>CallLog[[#This Row],[Date]]+CallLog[[#This Row],[Time]]</f>
        <v>44273.455995370372</v>
      </c>
      <c r="F4338" s="1" t="str">
        <f>TEXT(CallLog[[#This Row],[Date]],"dddd")</f>
        <v>Thursday</v>
      </c>
      <c r="G4338" s="3">
        <f>HOUR(CallLog[[#This Row],[Time]])</f>
        <v>10</v>
      </c>
      <c r="H4338" t="s">
        <v>13</v>
      </c>
      <c r="I4338" t="s">
        <v>14</v>
      </c>
      <c r="J4338" t="s">
        <v>18</v>
      </c>
      <c r="K4338">
        <v>71</v>
      </c>
      <c r="L4338" t="str">
        <f>IF(AND(CallLog[[#This Row],[Answered (Y/N)]]="Y", CallLog[[#This Row],[Speed of answer in seconds]]&lt;=20),
    "Within",
    "Breach")</f>
        <v>Breach</v>
      </c>
      <c r="M4338" s="1">
        <v>2.9629629629629628E-3</v>
      </c>
      <c r="N4338">
        <v>3</v>
      </c>
    </row>
    <row r="4339" spans="1:14" x14ac:dyDescent="0.3">
      <c r="A4339" t="s">
        <v>4439</v>
      </c>
      <c r="B4339" t="s">
        <v>38</v>
      </c>
      <c r="C4339" t="s">
        <v>4432</v>
      </c>
      <c r="D4339" s="1">
        <v>0.45599537037037036</v>
      </c>
      <c r="E4339" s="2">
        <f>CallLog[[#This Row],[Date]]+CallLog[[#This Row],[Time]]</f>
        <v>44273.455995370372</v>
      </c>
      <c r="F4339" s="1" t="str">
        <f>TEXT(CallLog[[#This Row],[Date]],"dddd")</f>
        <v>Thursday</v>
      </c>
      <c r="G4339" s="3">
        <f>HOUR(CallLog[[#This Row],[Time]])</f>
        <v>10</v>
      </c>
      <c r="H4339" t="s">
        <v>17</v>
      </c>
      <c r="I4339" t="s">
        <v>14</v>
      </c>
      <c r="J4339" t="s">
        <v>14</v>
      </c>
      <c r="K4339">
        <v>41</v>
      </c>
      <c r="L4339" t="str">
        <f>IF(AND(CallLog[[#This Row],[Answered (Y/N)]]="Y", CallLog[[#This Row],[Speed of answer in seconds]]&lt;=20),
    "Within",
    "Breach")</f>
        <v>Breach</v>
      </c>
      <c r="M4339" s="1">
        <v>4.4212962962962964E-3</v>
      </c>
      <c r="N4339">
        <v>3</v>
      </c>
    </row>
    <row r="4340" spans="1:14" x14ac:dyDescent="0.3">
      <c r="A4340" t="s">
        <v>4440</v>
      </c>
      <c r="B4340" t="s">
        <v>47</v>
      </c>
      <c r="C4340" t="s">
        <v>4432</v>
      </c>
      <c r="D4340" s="1">
        <v>0.48499999999999999</v>
      </c>
      <c r="E4340" s="2">
        <f>CallLog[[#This Row],[Date]]+CallLog[[#This Row],[Time]]</f>
        <v>44273.485000000001</v>
      </c>
      <c r="F4340" s="1" t="str">
        <f>TEXT(CallLog[[#This Row],[Date]],"dddd")</f>
        <v>Thursday</v>
      </c>
      <c r="G4340" s="3">
        <f>HOUR(CallLog[[#This Row],[Time]])</f>
        <v>11</v>
      </c>
      <c r="H4340" t="s">
        <v>13</v>
      </c>
      <c r="I4340" t="s">
        <v>18</v>
      </c>
      <c r="J4340" t="s">
        <v>18</v>
      </c>
      <c r="L4340" t="str">
        <f>IF(AND(CallLog[[#This Row],[Answered (Y/N)]]="Y", CallLog[[#This Row],[Speed of answer in seconds]]&lt;=20),
    "Within",
    "Breach")</f>
        <v>Breach</v>
      </c>
    </row>
    <row r="4341" spans="1:14" x14ac:dyDescent="0.3">
      <c r="A4341" t="s">
        <v>4441</v>
      </c>
      <c r="B4341" t="s">
        <v>38</v>
      </c>
      <c r="C4341" t="s">
        <v>4432</v>
      </c>
      <c r="D4341" s="1">
        <v>0.48499999999999999</v>
      </c>
      <c r="E4341" s="2">
        <f>CallLog[[#This Row],[Date]]+CallLog[[#This Row],[Time]]</f>
        <v>44273.485000000001</v>
      </c>
      <c r="F4341" s="1" t="str">
        <f>TEXT(CallLog[[#This Row],[Date]],"dddd")</f>
        <v>Thursday</v>
      </c>
      <c r="G4341" s="3">
        <f>HOUR(CallLog[[#This Row],[Time]])</f>
        <v>11</v>
      </c>
      <c r="H4341" t="s">
        <v>17</v>
      </c>
      <c r="I4341" t="s">
        <v>14</v>
      </c>
      <c r="J4341" t="s">
        <v>14</v>
      </c>
      <c r="K4341">
        <v>80</v>
      </c>
      <c r="L4341" t="str">
        <f>IF(AND(CallLog[[#This Row],[Answered (Y/N)]]="Y", CallLog[[#This Row],[Speed of answer in seconds]]&lt;=20),
    "Within",
    "Breach")</f>
        <v>Breach</v>
      </c>
      <c r="M4341" s="1">
        <v>3.9699074074074072E-3</v>
      </c>
      <c r="N4341">
        <v>4</v>
      </c>
    </row>
    <row r="4342" spans="1:14" x14ac:dyDescent="0.3">
      <c r="A4342" t="s">
        <v>4442</v>
      </c>
      <c r="B4342" t="s">
        <v>20</v>
      </c>
      <c r="C4342" t="s">
        <v>4432</v>
      </c>
      <c r="D4342" s="1">
        <v>0.50200231481481483</v>
      </c>
      <c r="E4342" s="2">
        <f>CallLog[[#This Row],[Date]]+CallLog[[#This Row],[Time]]</f>
        <v>44273.502002314817</v>
      </c>
      <c r="F4342" s="1" t="str">
        <f>TEXT(CallLog[[#This Row],[Date]],"dddd")</f>
        <v>Thursday</v>
      </c>
      <c r="G4342" s="3">
        <f>HOUR(CallLog[[#This Row],[Time]])</f>
        <v>12</v>
      </c>
      <c r="H4342" t="s">
        <v>24</v>
      </c>
      <c r="I4342" t="s">
        <v>18</v>
      </c>
      <c r="J4342" t="s">
        <v>18</v>
      </c>
      <c r="L4342" t="str">
        <f>IF(AND(CallLog[[#This Row],[Answered (Y/N)]]="Y", CallLog[[#This Row],[Speed of answer in seconds]]&lt;=20),
    "Within",
    "Breach")</f>
        <v>Breach</v>
      </c>
    </row>
    <row r="4343" spans="1:14" x14ac:dyDescent="0.3">
      <c r="A4343" t="s">
        <v>4443</v>
      </c>
      <c r="B4343" t="s">
        <v>22</v>
      </c>
      <c r="C4343" t="s">
        <v>4432</v>
      </c>
      <c r="D4343" s="1">
        <v>0.50200231481481483</v>
      </c>
      <c r="E4343" s="2">
        <f>CallLog[[#This Row],[Date]]+CallLog[[#This Row],[Time]]</f>
        <v>44273.502002314817</v>
      </c>
      <c r="F4343" s="1" t="str">
        <f>TEXT(CallLog[[#This Row],[Date]],"dddd")</f>
        <v>Thursday</v>
      </c>
      <c r="G4343" s="3">
        <f>HOUR(CallLog[[#This Row],[Time]])</f>
        <v>12</v>
      </c>
      <c r="H4343" t="s">
        <v>24</v>
      </c>
      <c r="I4343" t="s">
        <v>14</v>
      </c>
      <c r="J4343" t="s">
        <v>14</v>
      </c>
      <c r="K4343">
        <v>57</v>
      </c>
      <c r="L4343" t="str">
        <f>IF(AND(CallLog[[#This Row],[Answered (Y/N)]]="Y", CallLog[[#This Row],[Speed of answer in seconds]]&lt;=20),
    "Within",
    "Breach")</f>
        <v>Breach</v>
      </c>
      <c r="M4343" s="1">
        <v>8.3333333333333339E-4</v>
      </c>
      <c r="N4343">
        <v>2</v>
      </c>
    </row>
    <row r="4344" spans="1:14" x14ac:dyDescent="0.3">
      <c r="A4344" t="s">
        <v>4444</v>
      </c>
      <c r="B4344" t="s">
        <v>20</v>
      </c>
      <c r="C4344" t="s">
        <v>4432</v>
      </c>
      <c r="D4344" s="1">
        <v>0.52099537037037036</v>
      </c>
      <c r="E4344" s="2">
        <f>CallLog[[#This Row],[Date]]+CallLog[[#This Row],[Time]]</f>
        <v>44273.520995370367</v>
      </c>
      <c r="F4344" s="1" t="str">
        <f>TEXT(CallLog[[#This Row],[Date]],"dddd")</f>
        <v>Thursday</v>
      </c>
      <c r="G4344" s="3">
        <f>HOUR(CallLog[[#This Row],[Time]])</f>
        <v>12</v>
      </c>
      <c r="H4344" t="s">
        <v>32</v>
      </c>
      <c r="I4344" t="s">
        <v>14</v>
      </c>
      <c r="J4344" t="s">
        <v>14</v>
      </c>
      <c r="K4344">
        <v>17</v>
      </c>
      <c r="L4344" t="str">
        <f>IF(AND(CallLog[[#This Row],[Answered (Y/N)]]="Y", CallLog[[#This Row],[Speed of answer in seconds]]&lt;=20),
    "Within",
    "Breach")</f>
        <v>Within</v>
      </c>
      <c r="M4344" s="1">
        <v>1.8402777777777777E-3</v>
      </c>
      <c r="N4344">
        <v>3</v>
      </c>
    </row>
    <row r="4345" spans="1:14" x14ac:dyDescent="0.3">
      <c r="A4345" t="s">
        <v>4445</v>
      </c>
      <c r="B4345" t="s">
        <v>38</v>
      </c>
      <c r="C4345" t="s">
        <v>4432</v>
      </c>
      <c r="D4345" s="1">
        <v>0.52099537037037036</v>
      </c>
      <c r="E4345" s="2">
        <f>CallLog[[#This Row],[Date]]+CallLog[[#This Row],[Time]]</f>
        <v>44273.520995370367</v>
      </c>
      <c r="F4345" s="1" t="str">
        <f>TEXT(CallLog[[#This Row],[Date]],"dddd")</f>
        <v>Thursday</v>
      </c>
      <c r="G4345" s="3">
        <f>HOUR(CallLog[[#This Row],[Time]])</f>
        <v>12</v>
      </c>
      <c r="H4345" t="s">
        <v>29</v>
      </c>
      <c r="I4345" t="s">
        <v>14</v>
      </c>
      <c r="J4345" t="s">
        <v>14</v>
      </c>
      <c r="K4345">
        <v>93</v>
      </c>
      <c r="L4345" t="str">
        <f>IF(AND(CallLog[[#This Row],[Answered (Y/N)]]="Y", CallLog[[#This Row],[Speed of answer in seconds]]&lt;=20),
    "Within",
    "Breach")</f>
        <v>Breach</v>
      </c>
      <c r="M4345" s="1">
        <v>3.3217592592592591E-3</v>
      </c>
      <c r="N4345">
        <v>5</v>
      </c>
    </row>
    <row r="4346" spans="1:14" x14ac:dyDescent="0.3">
      <c r="A4346" t="s">
        <v>4446</v>
      </c>
      <c r="B4346" t="s">
        <v>22</v>
      </c>
      <c r="C4346" t="s">
        <v>4432</v>
      </c>
      <c r="D4346" s="1">
        <v>0.53599537037037037</v>
      </c>
      <c r="E4346" s="2">
        <f>CallLog[[#This Row],[Date]]+CallLog[[#This Row],[Time]]</f>
        <v>44273.535995370374</v>
      </c>
      <c r="F4346" s="1" t="str">
        <f>TEXT(CallLog[[#This Row],[Date]],"dddd")</f>
        <v>Thursday</v>
      </c>
      <c r="G4346" s="3">
        <f>HOUR(CallLog[[#This Row],[Time]])</f>
        <v>12</v>
      </c>
      <c r="H4346" t="s">
        <v>24</v>
      </c>
      <c r="I4346" t="s">
        <v>14</v>
      </c>
      <c r="J4346" t="s">
        <v>14</v>
      </c>
      <c r="K4346">
        <v>13</v>
      </c>
      <c r="L4346" t="str">
        <f>IF(AND(CallLog[[#This Row],[Answered (Y/N)]]="Y", CallLog[[#This Row],[Speed of answer in seconds]]&lt;=20),
    "Within",
    "Breach")</f>
        <v>Within</v>
      </c>
      <c r="M4346" s="1">
        <v>4.9768518518518521E-4</v>
      </c>
      <c r="N4346">
        <v>3</v>
      </c>
    </row>
    <row r="4347" spans="1:14" x14ac:dyDescent="0.3">
      <c r="A4347" t="s">
        <v>4447</v>
      </c>
      <c r="B4347" t="s">
        <v>20</v>
      </c>
      <c r="C4347" t="s">
        <v>4432</v>
      </c>
      <c r="D4347" s="1">
        <v>0.53599537037037037</v>
      </c>
      <c r="E4347" s="2">
        <f>CallLog[[#This Row],[Date]]+CallLog[[#This Row],[Time]]</f>
        <v>44273.535995370374</v>
      </c>
      <c r="F4347" s="1" t="str">
        <f>TEXT(CallLog[[#This Row],[Date]],"dddd")</f>
        <v>Thursday</v>
      </c>
      <c r="G4347" s="3">
        <f>HOUR(CallLog[[#This Row],[Time]])</f>
        <v>12</v>
      </c>
      <c r="H4347" t="s">
        <v>24</v>
      </c>
      <c r="I4347" t="s">
        <v>14</v>
      </c>
      <c r="J4347" t="s">
        <v>14</v>
      </c>
      <c r="K4347">
        <v>64</v>
      </c>
      <c r="L4347" t="str">
        <f>IF(AND(CallLog[[#This Row],[Answered (Y/N)]]="Y", CallLog[[#This Row],[Speed of answer in seconds]]&lt;=20),
    "Within",
    "Breach")</f>
        <v>Breach</v>
      </c>
      <c r="M4347" s="1">
        <v>1.1805555555555556E-3</v>
      </c>
      <c r="N4347">
        <v>4</v>
      </c>
    </row>
    <row r="4348" spans="1:14" x14ac:dyDescent="0.3">
      <c r="A4348" t="s">
        <v>4448</v>
      </c>
      <c r="B4348" t="s">
        <v>20</v>
      </c>
      <c r="C4348" t="s">
        <v>4432</v>
      </c>
      <c r="D4348" s="1">
        <v>0.56700231481481478</v>
      </c>
      <c r="E4348" s="2">
        <f>CallLog[[#This Row],[Date]]+CallLog[[#This Row],[Time]]</f>
        <v>44273.567002314812</v>
      </c>
      <c r="F4348" s="1" t="str">
        <f>TEXT(CallLog[[#This Row],[Date]],"dddd")</f>
        <v>Thursday</v>
      </c>
      <c r="G4348" s="3">
        <f>HOUR(CallLog[[#This Row],[Time]])</f>
        <v>13</v>
      </c>
      <c r="H4348" t="s">
        <v>17</v>
      </c>
      <c r="I4348" t="s">
        <v>14</v>
      </c>
      <c r="J4348" t="s">
        <v>14</v>
      </c>
      <c r="K4348">
        <v>98</v>
      </c>
      <c r="L4348" t="str">
        <f>IF(AND(CallLog[[#This Row],[Answered (Y/N)]]="Y", CallLog[[#This Row],[Speed of answer in seconds]]&lt;=20),
    "Within",
    "Breach")</f>
        <v>Breach</v>
      </c>
      <c r="M4348" s="1">
        <v>1.2731481481481483E-3</v>
      </c>
      <c r="N4348">
        <v>5</v>
      </c>
    </row>
    <row r="4349" spans="1:14" x14ac:dyDescent="0.3">
      <c r="A4349" t="s">
        <v>4449</v>
      </c>
      <c r="B4349" t="s">
        <v>22</v>
      </c>
      <c r="C4349" t="s">
        <v>4432</v>
      </c>
      <c r="D4349" s="1">
        <v>0.56700231481481478</v>
      </c>
      <c r="E4349" s="2">
        <f>CallLog[[#This Row],[Date]]+CallLog[[#This Row],[Time]]</f>
        <v>44273.567002314812</v>
      </c>
      <c r="F4349" s="1" t="str">
        <f>TEXT(CallLog[[#This Row],[Date]],"dddd")</f>
        <v>Thursday</v>
      </c>
      <c r="G4349" s="3">
        <f>HOUR(CallLog[[#This Row],[Time]])</f>
        <v>13</v>
      </c>
      <c r="H4349" t="s">
        <v>17</v>
      </c>
      <c r="I4349" t="s">
        <v>14</v>
      </c>
      <c r="J4349" t="s">
        <v>18</v>
      </c>
      <c r="K4349">
        <v>83</v>
      </c>
      <c r="L4349" t="str">
        <f>IF(AND(CallLog[[#This Row],[Answered (Y/N)]]="Y", CallLog[[#This Row],[Speed of answer in seconds]]&lt;=20),
    "Within",
    "Breach")</f>
        <v>Breach</v>
      </c>
      <c r="M4349" s="1">
        <v>1.712962962962963E-3</v>
      </c>
      <c r="N4349">
        <v>2</v>
      </c>
    </row>
    <row r="4350" spans="1:14" x14ac:dyDescent="0.3">
      <c r="A4350" t="s">
        <v>4450</v>
      </c>
      <c r="B4350" t="s">
        <v>38</v>
      </c>
      <c r="C4350" t="s">
        <v>4432</v>
      </c>
      <c r="D4350" s="1">
        <v>0.57599537037037041</v>
      </c>
      <c r="E4350" s="2">
        <f>CallLog[[#This Row],[Date]]+CallLog[[#This Row],[Time]]</f>
        <v>44273.575995370367</v>
      </c>
      <c r="F4350" s="1" t="str">
        <f>TEXT(CallLog[[#This Row],[Date]],"dddd")</f>
        <v>Thursday</v>
      </c>
      <c r="G4350" s="3">
        <f>HOUR(CallLog[[#This Row],[Time]])</f>
        <v>13</v>
      </c>
      <c r="H4350" t="s">
        <v>32</v>
      </c>
      <c r="I4350" t="s">
        <v>14</v>
      </c>
      <c r="J4350" t="s">
        <v>18</v>
      </c>
      <c r="K4350">
        <v>116</v>
      </c>
      <c r="L4350" t="str">
        <f>IF(AND(CallLog[[#This Row],[Answered (Y/N)]]="Y", CallLog[[#This Row],[Speed of answer in seconds]]&lt;=20),
    "Within",
    "Breach")</f>
        <v>Breach</v>
      </c>
      <c r="M4350" s="1">
        <v>4.3750000000000004E-3</v>
      </c>
      <c r="N4350">
        <v>5</v>
      </c>
    </row>
    <row r="4351" spans="1:14" x14ac:dyDescent="0.3">
      <c r="A4351" t="s">
        <v>4451</v>
      </c>
      <c r="B4351" t="s">
        <v>16</v>
      </c>
      <c r="C4351" t="s">
        <v>4432</v>
      </c>
      <c r="D4351" s="1">
        <v>0.57599537037037041</v>
      </c>
      <c r="E4351" s="2">
        <f>CallLog[[#This Row],[Date]]+CallLog[[#This Row],[Time]]</f>
        <v>44273.575995370367</v>
      </c>
      <c r="F4351" s="1" t="str">
        <f>TEXT(CallLog[[#This Row],[Date]],"dddd")</f>
        <v>Thursday</v>
      </c>
      <c r="G4351" s="3">
        <f>HOUR(CallLog[[#This Row],[Time]])</f>
        <v>13</v>
      </c>
      <c r="H4351" t="s">
        <v>32</v>
      </c>
      <c r="I4351" t="s">
        <v>14</v>
      </c>
      <c r="J4351" t="s">
        <v>14</v>
      </c>
      <c r="K4351">
        <v>104</v>
      </c>
      <c r="L4351" t="str">
        <f>IF(AND(CallLog[[#This Row],[Answered (Y/N)]]="Y", CallLog[[#This Row],[Speed of answer in seconds]]&lt;=20),
    "Within",
    "Breach")</f>
        <v>Breach</v>
      </c>
      <c r="M4351" s="1">
        <v>5.3240740740740744E-4</v>
      </c>
      <c r="N4351">
        <v>2</v>
      </c>
    </row>
    <row r="4352" spans="1:14" x14ac:dyDescent="0.3">
      <c r="A4352" t="s">
        <v>4452</v>
      </c>
      <c r="B4352" t="s">
        <v>38</v>
      </c>
      <c r="C4352" t="s">
        <v>4432</v>
      </c>
      <c r="D4352" s="1">
        <v>0.58499999999999996</v>
      </c>
      <c r="E4352" s="2">
        <f>CallLog[[#This Row],[Date]]+CallLog[[#This Row],[Time]]</f>
        <v>44273.584999999999</v>
      </c>
      <c r="F4352" s="1" t="str">
        <f>TEXT(CallLog[[#This Row],[Date]],"dddd")</f>
        <v>Thursday</v>
      </c>
      <c r="G4352" s="3">
        <f>HOUR(CallLog[[#This Row],[Time]])</f>
        <v>14</v>
      </c>
      <c r="H4352" t="s">
        <v>32</v>
      </c>
      <c r="I4352" t="s">
        <v>14</v>
      </c>
      <c r="J4352" t="s">
        <v>14</v>
      </c>
      <c r="K4352">
        <v>83</v>
      </c>
      <c r="L4352" t="str">
        <f>IF(AND(CallLog[[#This Row],[Answered (Y/N)]]="Y", CallLog[[#This Row],[Speed of answer in seconds]]&lt;=20),
    "Within",
    "Breach")</f>
        <v>Breach</v>
      </c>
      <c r="M4352" s="1">
        <v>3.8657407407407408E-3</v>
      </c>
      <c r="N4352">
        <v>5</v>
      </c>
    </row>
    <row r="4353" spans="1:14" x14ac:dyDescent="0.3">
      <c r="A4353" t="s">
        <v>4453</v>
      </c>
      <c r="B4353" t="s">
        <v>38</v>
      </c>
      <c r="C4353" t="s">
        <v>4432</v>
      </c>
      <c r="D4353" s="1">
        <v>0.58499999999999996</v>
      </c>
      <c r="E4353" s="2">
        <f>CallLog[[#This Row],[Date]]+CallLog[[#This Row],[Time]]</f>
        <v>44273.584999999999</v>
      </c>
      <c r="F4353" s="1" t="str">
        <f>TEXT(CallLog[[#This Row],[Date]],"dddd")</f>
        <v>Thursday</v>
      </c>
      <c r="G4353" s="3">
        <f>HOUR(CallLog[[#This Row],[Time]])</f>
        <v>14</v>
      </c>
      <c r="H4353" t="s">
        <v>29</v>
      </c>
      <c r="I4353" t="s">
        <v>14</v>
      </c>
      <c r="J4353" t="s">
        <v>14</v>
      </c>
      <c r="K4353">
        <v>26</v>
      </c>
      <c r="L4353" t="str">
        <f>IF(AND(CallLog[[#This Row],[Answered (Y/N)]]="Y", CallLog[[#This Row],[Speed of answer in seconds]]&lt;=20),
    "Within",
    "Breach")</f>
        <v>Breach</v>
      </c>
      <c r="M4353" s="1">
        <v>4.7222222222222223E-3</v>
      </c>
      <c r="N4353">
        <v>4</v>
      </c>
    </row>
    <row r="4354" spans="1:14" x14ac:dyDescent="0.3">
      <c r="A4354" t="s">
        <v>4454</v>
      </c>
      <c r="B4354" t="s">
        <v>11</v>
      </c>
      <c r="C4354" t="s">
        <v>4432</v>
      </c>
      <c r="D4354" s="1">
        <v>0.60099537037037032</v>
      </c>
      <c r="E4354" s="2">
        <f>CallLog[[#This Row],[Date]]+CallLog[[#This Row],[Time]]</f>
        <v>44273.600995370369</v>
      </c>
      <c r="F4354" s="1" t="str">
        <f>TEXT(CallLog[[#This Row],[Date]],"dddd")</f>
        <v>Thursday</v>
      </c>
      <c r="G4354" s="3">
        <f>HOUR(CallLog[[#This Row],[Time]])</f>
        <v>14</v>
      </c>
      <c r="H4354" t="s">
        <v>29</v>
      </c>
      <c r="I4354" t="s">
        <v>14</v>
      </c>
      <c r="J4354" t="s">
        <v>14</v>
      </c>
      <c r="K4354">
        <v>47</v>
      </c>
      <c r="L4354" t="str">
        <f>IF(AND(CallLog[[#This Row],[Answered (Y/N)]]="Y", CallLog[[#This Row],[Speed of answer in seconds]]&lt;=20),
    "Within",
    "Breach")</f>
        <v>Breach</v>
      </c>
      <c r="M4354" s="1">
        <v>4.1666666666666669E-4</v>
      </c>
      <c r="N4354">
        <v>2</v>
      </c>
    </row>
    <row r="4355" spans="1:14" x14ac:dyDescent="0.3">
      <c r="A4355" t="s">
        <v>4455</v>
      </c>
      <c r="B4355" t="s">
        <v>31</v>
      </c>
      <c r="C4355" t="s">
        <v>4432</v>
      </c>
      <c r="D4355" s="1">
        <v>0.60099537037037032</v>
      </c>
      <c r="E4355" s="2">
        <f>CallLog[[#This Row],[Date]]+CallLog[[#This Row],[Time]]</f>
        <v>44273.600995370369</v>
      </c>
      <c r="F4355" s="1" t="str">
        <f>TEXT(CallLog[[#This Row],[Date]],"dddd")</f>
        <v>Thursday</v>
      </c>
      <c r="G4355" s="3">
        <f>HOUR(CallLog[[#This Row],[Time]])</f>
        <v>14</v>
      </c>
      <c r="H4355" t="s">
        <v>13</v>
      </c>
      <c r="I4355" t="s">
        <v>18</v>
      </c>
      <c r="J4355" t="s">
        <v>18</v>
      </c>
      <c r="L4355" t="str">
        <f>IF(AND(CallLog[[#This Row],[Answered (Y/N)]]="Y", CallLog[[#This Row],[Speed of answer in seconds]]&lt;=20),
    "Within",
    "Breach")</f>
        <v>Breach</v>
      </c>
    </row>
    <row r="4356" spans="1:14" x14ac:dyDescent="0.3">
      <c r="A4356" t="s">
        <v>4456</v>
      </c>
      <c r="B4356" t="s">
        <v>47</v>
      </c>
      <c r="C4356" t="s">
        <v>4432</v>
      </c>
      <c r="D4356" s="1">
        <v>0.61200231481481482</v>
      </c>
      <c r="E4356" s="2">
        <f>CallLog[[#This Row],[Date]]+CallLog[[#This Row],[Time]]</f>
        <v>44273.612002314818</v>
      </c>
      <c r="F4356" s="1" t="str">
        <f>TEXT(CallLog[[#This Row],[Date]],"dddd")</f>
        <v>Thursday</v>
      </c>
      <c r="G4356" s="3">
        <f>HOUR(CallLog[[#This Row],[Time]])</f>
        <v>14</v>
      </c>
      <c r="H4356" t="s">
        <v>29</v>
      </c>
      <c r="I4356" t="s">
        <v>18</v>
      </c>
      <c r="J4356" t="s">
        <v>18</v>
      </c>
      <c r="L4356" t="str">
        <f>IF(AND(CallLog[[#This Row],[Answered (Y/N)]]="Y", CallLog[[#This Row],[Speed of answer in seconds]]&lt;=20),
    "Within",
    "Breach")</f>
        <v>Breach</v>
      </c>
    </row>
    <row r="4357" spans="1:14" x14ac:dyDescent="0.3">
      <c r="A4357" t="s">
        <v>4457</v>
      </c>
      <c r="B4357" t="s">
        <v>34</v>
      </c>
      <c r="C4357" t="s">
        <v>4432</v>
      </c>
      <c r="D4357" s="1">
        <v>0.61200231481481482</v>
      </c>
      <c r="E4357" s="2">
        <f>CallLog[[#This Row],[Date]]+CallLog[[#This Row],[Time]]</f>
        <v>44273.612002314818</v>
      </c>
      <c r="F4357" s="1" t="str">
        <f>TEXT(CallLog[[#This Row],[Date]],"dddd")</f>
        <v>Thursday</v>
      </c>
      <c r="G4357" s="3">
        <f>HOUR(CallLog[[#This Row],[Time]])</f>
        <v>14</v>
      </c>
      <c r="H4357" t="s">
        <v>17</v>
      </c>
      <c r="I4357" t="s">
        <v>14</v>
      </c>
      <c r="J4357" t="s">
        <v>18</v>
      </c>
      <c r="K4357">
        <v>34</v>
      </c>
      <c r="L4357" t="str">
        <f>IF(AND(CallLog[[#This Row],[Answered (Y/N)]]="Y", CallLog[[#This Row],[Speed of answer in seconds]]&lt;=20),
    "Within",
    "Breach")</f>
        <v>Breach</v>
      </c>
      <c r="M4357" s="1">
        <v>2.1643518518518518E-3</v>
      </c>
      <c r="N4357">
        <v>4</v>
      </c>
    </row>
    <row r="4358" spans="1:14" x14ac:dyDescent="0.3">
      <c r="A4358" t="s">
        <v>4458</v>
      </c>
      <c r="B4358" t="s">
        <v>16</v>
      </c>
      <c r="C4358" t="s">
        <v>4432</v>
      </c>
      <c r="D4358" s="1">
        <v>0.62</v>
      </c>
      <c r="E4358" s="2">
        <f>CallLog[[#This Row],[Date]]+CallLog[[#This Row],[Time]]</f>
        <v>44273.62</v>
      </c>
      <c r="F4358" s="1" t="str">
        <f>TEXT(CallLog[[#This Row],[Date]],"dddd")</f>
        <v>Thursday</v>
      </c>
      <c r="G4358" s="3">
        <f>HOUR(CallLog[[#This Row],[Time]])</f>
        <v>14</v>
      </c>
      <c r="H4358" t="s">
        <v>17</v>
      </c>
      <c r="I4358" t="s">
        <v>14</v>
      </c>
      <c r="J4358" t="s">
        <v>14</v>
      </c>
      <c r="K4358">
        <v>65</v>
      </c>
      <c r="L4358" t="str">
        <f>IF(AND(CallLog[[#This Row],[Answered (Y/N)]]="Y", CallLog[[#This Row],[Speed of answer in seconds]]&lt;=20),
    "Within",
    "Breach")</f>
        <v>Breach</v>
      </c>
      <c r="M4358" s="1">
        <v>2.5694444444444445E-3</v>
      </c>
      <c r="N4358">
        <v>5</v>
      </c>
    </row>
    <row r="4359" spans="1:14" x14ac:dyDescent="0.3">
      <c r="A4359" t="s">
        <v>4459</v>
      </c>
      <c r="B4359" t="s">
        <v>11</v>
      </c>
      <c r="C4359" t="s">
        <v>4432</v>
      </c>
      <c r="D4359" s="1">
        <v>0.62</v>
      </c>
      <c r="E4359" s="2">
        <f>CallLog[[#This Row],[Date]]+CallLog[[#This Row],[Time]]</f>
        <v>44273.62</v>
      </c>
      <c r="F4359" s="1" t="str">
        <f>TEXT(CallLog[[#This Row],[Date]],"dddd")</f>
        <v>Thursday</v>
      </c>
      <c r="G4359" s="3">
        <f>HOUR(CallLog[[#This Row],[Time]])</f>
        <v>14</v>
      </c>
      <c r="H4359" t="s">
        <v>32</v>
      </c>
      <c r="I4359" t="s">
        <v>14</v>
      </c>
      <c r="J4359" t="s">
        <v>14</v>
      </c>
      <c r="K4359">
        <v>54</v>
      </c>
      <c r="L4359" t="str">
        <f>IF(AND(CallLog[[#This Row],[Answered (Y/N)]]="Y", CallLog[[#This Row],[Speed of answer in seconds]]&lt;=20),
    "Within",
    "Breach")</f>
        <v>Breach</v>
      </c>
      <c r="M4359" s="1">
        <v>4.386574074074074E-3</v>
      </c>
      <c r="N4359">
        <v>3</v>
      </c>
    </row>
    <row r="4360" spans="1:14" x14ac:dyDescent="0.3">
      <c r="A4360" t="s">
        <v>4460</v>
      </c>
      <c r="B4360" t="s">
        <v>34</v>
      </c>
      <c r="C4360" t="s">
        <v>4432</v>
      </c>
      <c r="D4360" s="1">
        <v>0.62</v>
      </c>
      <c r="E4360" s="2">
        <f>CallLog[[#This Row],[Date]]+CallLog[[#This Row],[Time]]</f>
        <v>44273.62</v>
      </c>
      <c r="F4360" s="1" t="str">
        <f>TEXT(CallLog[[#This Row],[Date]],"dddd")</f>
        <v>Thursday</v>
      </c>
      <c r="G4360" s="3">
        <f>HOUR(CallLog[[#This Row],[Time]])</f>
        <v>14</v>
      </c>
      <c r="H4360" t="s">
        <v>17</v>
      </c>
      <c r="I4360" t="s">
        <v>14</v>
      </c>
      <c r="J4360" t="s">
        <v>14</v>
      </c>
      <c r="K4360">
        <v>108</v>
      </c>
      <c r="L4360" t="str">
        <f>IF(AND(CallLog[[#This Row],[Answered (Y/N)]]="Y", CallLog[[#This Row],[Speed of answer in seconds]]&lt;=20),
    "Within",
    "Breach")</f>
        <v>Breach</v>
      </c>
      <c r="M4360" s="1">
        <v>3.6458333333333334E-3</v>
      </c>
      <c r="N4360">
        <v>4</v>
      </c>
    </row>
    <row r="4361" spans="1:14" x14ac:dyDescent="0.3">
      <c r="A4361" t="s">
        <v>4461</v>
      </c>
      <c r="B4361" t="s">
        <v>31</v>
      </c>
      <c r="C4361" t="s">
        <v>4432</v>
      </c>
      <c r="D4361" s="1">
        <v>0.62</v>
      </c>
      <c r="E4361" s="2">
        <f>CallLog[[#This Row],[Date]]+CallLog[[#This Row],[Time]]</f>
        <v>44273.62</v>
      </c>
      <c r="F4361" s="1" t="str">
        <f>TEXT(CallLog[[#This Row],[Date]],"dddd")</f>
        <v>Thursday</v>
      </c>
      <c r="G4361" s="3">
        <f>HOUR(CallLog[[#This Row],[Time]])</f>
        <v>14</v>
      </c>
      <c r="H4361" t="s">
        <v>13</v>
      </c>
      <c r="I4361" t="s">
        <v>14</v>
      </c>
      <c r="J4361" t="s">
        <v>14</v>
      </c>
      <c r="K4361">
        <v>114</v>
      </c>
      <c r="L4361" t="str">
        <f>IF(AND(CallLog[[#This Row],[Answered (Y/N)]]="Y", CallLog[[#This Row],[Speed of answer in seconds]]&lt;=20),
    "Within",
    "Breach")</f>
        <v>Breach</v>
      </c>
      <c r="M4361" s="1">
        <v>3.2638888888888891E-3</v>
      </c>
      <c r="N4361">
        <v>4</v>
      </c>
    </row>
    <row r="4362" spans="1:14" x14ac:dyDescent="0.3">
      <c r="A4362" t="s">
        <v>4462</v>
      </c>
      <c r="B4362" t="s">
        <v>31</v>
      </c>
      <c r="C4362" t="s">
        <v>4432</v>
      </c>
      <c r="D4362" s="1">
        <v>0.65900462962962958</v>
      </c>
      <c r="E4362" s="2">
        <f>CallLog[[#This Row],[Date]]+CallLog[[#This Row],[Time]]</f>
        <v>44273.659004629626</v>
      </c>
      <c r="F4362" s="1" t="str">
        <f>TEXT(CallLog[[#This Row],[Date]],"dddd")</f>
        <v>Thursday</v>
      </c>
      <c r="G4362" s="3">
        <f>HOUR(CallLog[[#This Row],[Time]])</f>
        <v>15</v>
      </c>
      <c r="H4362" t="s">
        <v>29</v>
      </c>
      <c r="I4362" t="s">
        <v>14</v>
      </c>
      <c r="J4362" t="s">
        <v>14</v>
      </c>
      <c r="K4362">
        <v>109</v>
      </c>
      <c r="L4362" t="str">
        <f>IF(AND(CallLog[[#This Row],[Answered (Y/N)]]="Y", CallLog[[#This Row],[Speed of answer in seconds]]&lt;=20),
    "Within",
    "Breach")</f>
        <v>Breach</v>
      </c>
      <c r="M4362" s="1">
        <v>2.0717592592592593E-3</v>
      </c>
      <c r="N4362">
        <v>3</v>
      </c>
    </row>
    <row r="4363" spans="1:14" x14ac:dyDescent="0.3">
      <c r="A4363" t="s">
        <v>4463</v>
      </c>
      <c r="B4363" t="s">
        <v>31</v>
      </c>
      <c r="C4363" t="s">
        <v>4432</v>
      </c>
      <c r="D4363" s="1">
        <v>0.65900462962962958</v>
      </c>
      <c r="E4363" s="2">
        <f>CallLog[[#This Row],[Date]]+CallLog[[#This Row],[Time]]</f>
        <v>44273.659004629626</v>
      </c>
      <c r="F4363" s="1" t="str">
        <f>TEXT(CallLog[[#This Row],[Date]],"dddd")</f>
        <v>Thursday</v>
      </c>
      <c r="G4363" s="3">
        <f>HOUR(CallLog[[#This Row],[Time]])</f>
        <v>15</v>
      </c>
      <c r="H4363" t="s">
        <v>32</v>
      </c>
      <c r="I4363" t="s">
        <v>14</v>
      </c>
      <c r="J4363" t="s">
        <v>14</v>
      </c>
      <c r="K4363">
        <v>115</v>
      </c>
      <c r="L4363" t="str">
        <f>IF(AND(CallLog[[#This Row],[Answered (Y/N)]]="Y", CallLog[[#This Row],[Speed of answer in seconds]]&lt;=20),
    "Within",
    "Breach")</f>
        <v>Breach</v>
      </c>
      <c r="M4363" s="1">
        <v>2.488425925925926E-3</v>
      </c>
      <c r="N4363">
        <v>3</v>
      </c>
    </row>
    <row r="4364" spans="1:14" x14ac:dyDescent="0.3">
      <c r="A4364" t="s">
        <v>4464</v>
      </c>
      <c r="B4364" t="s">
        <v>34</v>
      </c>
      <c r="C4364" t="s">
        <v>4432</v>
      </c>
      <c r="D4364" s="1">
        <v>0.66900462962962959</v>
      </c>
      <c r="E4364" s="2">
        <f>CallLog[[#This Row],[Date]]+CallLog[[#This Row],[Time]]</f>
        <v>44273.669004629628</v>
      </c>
      <c r="F4364" s="1" t="str">
        <f>TEXT(CallLog[[#This Row],[Date]],"dddd")</f>
        <v>Thursday</v>
      </c>
      <c r="G4364" s="3">
        <f>HOUR(CallLog[[#This Row],[Time]])</f>
        <v>16</v>
      </c>
      <c r="H4364" t="s">
        <v>32</v>
      </c>
      <c r="I4364" t="s">
        <v>14</v>
      </c>
      <c r="J4364" t="s">
        <v>14</v>
      </c>
      <c r="K4364">
        <v>125</v>
      </c>
      <c r="L4364" t="str">
        <f>IF(AND(CallLog[[#This Row],[Answered (Y/N)]]="Y", CallLog[[#This Row],[Speed of answer in seconds]]&lt;=20),
    "Within",
    "Breach")</f>
        <v>Breach</v>
      </c>
      <c r="M4364" s="1">
        <v>2.8587962962962963E-3</v>
      </c>
      <c r="N4364">
        <v>3</v>
      </c>
    </row>
    <row r="4365" spans="1:14" x14ac:dyDescent="0.3">
      <c r="A4365" t="s">
        <v>4465</v>
      </c>
      <c r="B4365" t="s">
        <v>34</v>
      </c>
      <c r="C4365" t="s">
        <v>4432</v>
      </c>
      <c r="D4365" s="1">
        <v>0.66900462962962959</v>
      </c>
      <c r="E4365" s="2">
        <f>CallLog[[#This Row],[Date]]+CallLog[[#This Row],[Time]]</f>
        <v>44273.669004629628</v>
      </c>
      <c r="F4365" s="1" t="str">
        <f>TEXT(CallLog[[#This Row],[Date]],"dddd")</f>
        <v>Thursday</v>
      </c>
      <c r="G4365" s="3">
        <f>HOUR(CallLog[[#This Row],[Time]])</f>
        <v>16</v>
      </c>
      <c r="H4365" t="s">
        <v>17</v>
      </c>
      <c r="I4365" t="s">
        <v>14</v>
      </c>
      <c r="J4365" t="s">
        <v>14</v>
      </c>
      <c r="K4365">
        <v>116</v>
      </c>
      <c r="L4365" t="str">
        <f>IF(AND(CallLog[[#This Row],[Answered (Y/N)]]="Y", CallLog[[#This Row],[Speed of answer in seconds]]&lt;=20),
    "Within",
    "Breach")</f>
        <v>Breach</v>
      </c>
      <c r="M4365" s="1">
        <v>2.3032407407407407E-3</v>
      </c>
      <c r="N4365">
        <v>4</v>
      </c>
    </row>
    <row r="4366" spans="1:14" x14ac:dyDescent="0.3">
      <c r="A4366" t="s">
        <v>4466</v>
      </c>
      <c r="B4366" t="s">
        <v>22</v>
      </c>
      <c r="C4366" t="s">
        <v>4432</v>
      </c>
      <c r="D4366" s="1">
        <v>0.67799768518518522</v>
      </c>
      <c r="E4366" s="2">
        <f>CallLog[[#This Row],[Date]]+CallLog[[#This Row],[Time]]</f>
        <v>44273.677997685183</v>
      </c>
      <c r="F4366" s="1" t="str">
        <f>TEXT(CallLog[[#This Row],[Date]],"dddd")</f>
        <v>Thursday</v>
      </c>
      <c r="G4366" s="3">
        <f>HOUR(CallLog[[#This Row],[Time]])</f>
        <v>16</v>
      </c>
      <c r="H4366" t="s">
        <v>29</v>
      </c>
      <c r="I4366" t="s">
        <v>14</v>
      </c>
      <c r="J4366" t="s">
        <v>14</v>
      </c>
      <c r="K4366">
        <v>12</v>
      </c>
      <c r="L4366" t="str">
        <f>IF(AND(CallLog[[#This Row],[Answered (Y/N)]]="Y", CallLog[[#This Row],[Speed of answer in seconds]]&lt;=20),
    "Within",
    "Breach")</f>
        <v>Within</v>
      </c>
      <c r="M4366" s="1">
        <v>1.9791666666666668E-3</v>
      </c>
      <c r="N4366">
        <v>3</v>
      </c>
    </row>
    <row r="4367" spans="1:14" x14ac:dyDescent="0.3">
      <c r="A4367" t="s">
        <v>4467</v>
      </c>
      <c r="B4367" t="s">
        <v>16</v>
      </c>
      <c r="C4367" t="s">
        <v>4432</v>
      </c>
      <c r="D4367" s="1">
        <v>0.67799768518518522</v>
      </c>
      <c r="E4367" s="2">
        <f>CallLog[[#This Row],[Date]]+CallLog[[#This Row],[Time]]</f>
        <v>44273.677997685183</v>
      </c>
      <c r="F4367" s="1" t="str">
        <f>TEXT(CallLog[[#This Row],[Date]],"dddd")</f>
        <v>Thursday</v>
      </c>
      <c r="G4367" s="3">
        <f>HOUR(CallLog[[#This Row],[Time]])</f>
        <v>16</v>
      </c>
      <c r="H4367" t="s">
        <v>32</v>
      </c>
      <c r="I4367" t="s">
        <v>14</v>
      </c>
      <c r="J4367" t="s">
        <v>14</v>
      </c>
      <c r="K4367">
        <v>96</v>
      </c>
      <c r="L4367" t="str">
        <f>IF(AND(CallLog[[#This Row],[Answered (Y/N)]]="Y", CallLog[[#This Row],[Speed of answer in seconds]]&lt;=20),
    "Within",
    "Breach")</f>
        <v>Breach</v>
      </c>
      <c r="M4367" s="1">
        <v>1.5509259259259259E-3</v>
      </c>
      <c r="N4367">
        <v>5</v>
      </c>
    </row>
    <row r="4368" spans="1:14" x14ac:dyDescent="0.3">
      <c r="A4368" t="s">
        <v>4468</v>
      </c>
      <c r="B4368" t="s">
        <v>11</v>
      </c>
      <c r="C4368" t="s">
        <v>4432</v>
      </c>
      <c r="D4368" s="1">
        <v>0.68799768518518523</v>
      </c>
      <c r="E4368" s="2">
        <f>CallLog[[#This Row],[Date]]+CallLog[[#This Row],[Time]]</f>
        <v>44273.687997685185</v>
      </c>
      <c r="F4368" s="1" t="str">
        <f>TEXT(CallLog[[#This Row],[Date]],"dddd")</f>
        <v>Thursday</v>
      </c>
      <c r="G4368" s="3">
        <f>HOUR(CallLog[[#This Row],[Time]])</f>
        <v>16</v>
      </c>
      <c r="H4368" t="s">
        <v>32</v>
      </c>
      <c r="I4368" t="s">
        <v>14</v>
      </c>
      <c r="J4368" t="s">
        <v>14</v>
      </c>
      <c r="K4368">
        <v>13</v>
      </c>
      <c r="L4368" t="str">
        <f>IF(AND(CallLog[[#This Row],[Answered (Y/N)]]="Y", CallLog[[#This Row],[Speed of answer in seconds]]&lt;=20),
    "Within",
    "Breach")</f>
        <v>Within</v>
      </c>
      <c r="M4368" s="1">
        <v>3.6689814814814814E-3</v>
      </c>
      <c r="N4368">
        <v>5</v>
      </c>
    </row>
    <row r="4369" spans="1:14" x14ac:dyDescent="0.3">
      <c r="A4369" t="s">
        <v>4469</v>
      </c>
      <c r="B4369" t="s">
        <v>31</v>
      </c>
      <c r="C4369" t="s">
        <v>4432</v>
      </c>
      <c r="D4369" s="1">
        <v>0.68799768518518523</v>
      </c>
      <c r="E4369" s="2">
        <f>CallLog[[#This Row],[Date]]+CallLog[[#This Row],[Time]]</f>
        <v>44273.687997685185</v>
      </c>
      <c r="F4369" s="1" t="str">
        <f>TEXT(CallLog[[#This Row],[Date]],"dddd")</f>
        <v>Thursday</v>
      </c>
      <c r="G4369" s="3">
        <f>HOUR(CallLog[[#This Row],[Time]])</f>
        <v>16</v>
      </c>
      <c r="H4369" t="s">
        <v>24</v>
      </c>
      <c r="I4369" t="s">
        <v>18</v>
      </c>
      <c r="J4369" t="s">
        <v>18</v>
      </c>
      <c r="L4369" t="str">
        <f>IF(AND(CallLog[[#This Row],[Answered (Y/N)]]="Y", CallLog[[#This Row],[Speed of answer in seconds]]&lt;=20),
    "Within",
    "Breach")</f>
        <v>Breach</v>
      </c>
    </row>
    <row r="4370" spans="1:14" x14ac:dyDescent="0.3">
      <c r="A4370" t="s">
        <v>4470</v>
      </c>
      <c r="B4370" t="s">
        <v>31</v>
      </c>
      <c r="C4370" t="s">
        <v>4432</v>
      </c>
      <c r="D4370" s="1">
        <v>0.70700231481481479</v>
      </c>
      <c r="E4370" s="2">
        <f>CallLog[[#This Row],[Date]]+CallLog[[#This Row],[Time]]</f>
        <v>44273.707002314812</v>
      </c>
      <c r="F4370" s="1" t="str">
        <f>TEXT(CallLog[[#This Row],[Date]],"dddd")</f>
        <v>Thursday</v>
      </c>
      <c r="G4370" s="3">
        <f>HOUR(CallLog[[#This Row],[Time]])</f>
        <v>16</v>
      </c>
      <c r="H4370" t="s">
        <v>13</v>
      </c>
      <c r="I4370" t="s">
        <v>14</v>
      </c>
      <c r="J4370" t="s">
        <v>14</v>
      </c>
      <c r="K4370">
        <v>96</v>
      </c>
      <c r="L4370" t="str">
        <f>IF(AND(CallLog[[#This Row],[Answered (Y/N)]]="Y", CallLog[[#This Row],[Speed of answer in seconds]]&lt;=20),
    "Within",
    "Breach")</f>
        <v>Breach</v>
      </c>
      <c r="M4370" s="1">
        <v>4.4212962962962964E-3</v>
      </c>
      <c r="N4370">
        <v>3</v>
      </c>
    </row>
    <row r="4371" spans="1:14" x14ac:dyDescent="0.3">
      <c r="A4371" t="s">
        <v>4471</v>
      </c>
      <c r="B4371" t="s">
        <v>22</v>
      </c>
      <c r="C4371" t="s">
        <v>4432</v>
      </c>
      <c r="D4371" s="1">
        <v>0.70700231481481479</v>
      </c>
      <c r="E4371" s="2">
        <f>CallLog[[#This Row],[Date]]+CallLog[[#This Row],[Time]]</f>
        <v>44273.707002314812</v>
      </c>
      <c r="F4371" s="1" t="str">
        <f>TEXT(CallLog[[#This Row],[Date]],"dddd")</f>
        <v>Thursday</v>
      </c>
      <c r="G4371" s="3">
        <f>HOUR(CallLog[[#This Row],[Time]])</f>
        <v>16</v>
      </c>
      <c r="H4371" t="s">
        <v>24</v>
      </c>
      <c r="I4371" t="s">
        <v>18</v>
      </c>
      <c r="J4371" t="s">
        <v>18</v>
      </c>
      <c r="L4371" t="str">
        <f>IF(AND(CallLog[[#This Row],[Answered (Y/N)]]="Y", CallLog[[#This Row],[Speed of answer in seconds]]&lt;=20),
    "Within",
    "Breach")</f>
        <v>Breach</v>
      </c>
    </row>
    <row r="4372" spans="1:14" x14ac:dyDescent="0.3">
      <c r="A4372" t="s">
        <v>4472</v>
      </c>
      <c r="B4372" t="s">
        <v>47</v>
      </c>
      <c r="C4372" t="s">
        <v>4432</v>
      </c>
      <c r="D4372" s="1">
        <v>0.71400462962962963</v>
      </c>
      <c r="E4372" s="2">
        <f>CallLog[[#This Row],[Date]]+CallLog[[#This Row],[Time]]</f>
        <v>44273.714004629626</v>
      </c>
      <c r="F4372" s="1" t="str">
        <f>TEXT(CallLog[[#This Row],[Date]],"dddd")</f>
        <v>Thursday</v>
      </c>
      <c r="G4372" s="3">
        <f>HOUR(CallLog[[#This Row],[Time]])</f>
        <v>17</v>
      </c>
      <c r="H4372" t="s">
        <v>32</v>
      </c>
      <c r="I4372" t="s">
        <v>14</v>
      </c>
      <c r="J4372" t="s">
        <v>14</v>
      </c>
      <c r="K4372">
        <v>37</v>
      </c>
      <c r="L4372" t="str">
        <f>IF(AND(CallLog[[#This Row],[Answered (Y/N)]]="Y", CallLog[[#This Row],[Speed of answer in seconds]]&lt;=20),
    "Within",
    "Breach")</f>
        <v>Breach</v>
      </c>
      <c r="M4372" s="1">
        <v>4.1087962962962962E-3</v>
      </c>
      <c r="N4372">
        <v>3</v>
      </c>
    </row>
    <row r="4373" spans="1:14" x14ac:dyDescent="0.3">
      <c r="A4373" t="s">
        <v>4473</v>
      </c>
      <c r="B4373" t="s">
        <v>20</v>
      </c>
      <c r="C4373" t="s">
        <v>4432</v>
      </c>
      <c r="D4373" s="1">
        <v>0.71400462962962963</v>
      </c>
      <c r="E4373" s="2">
        <f>CallLog[[#This Row],[Date]]+CallLog[[#This Row],[Time]]</f>
        <v>44273.714004629626</v>
      </c>
      <c r="F4373" s="1" t="str">
        <f>TEXT(CallLog[[#This Row],[Date]],"dddd")</f>
        <v>Thursday</v>
      </c>
      <c r="G4373" s="3">
        <f>HOUR(CallLog[[#This Row],[Time]])</f>
        <v>17</v>
      </c>
      <c r="H4373" t="s">
        <v>17</v>
      </c>
      <c r="I4373" t="s">
        <v>14</v>
      </c>
      <c r="J4373" t="s">
        <v>14</v>
      </c>
      <c r="K4373">
        <v>45</v>
      </c>
      <c r="L4373" t="str">
        <f>IF(AND(CallLog[[#This Row],[Answered (Y/N)]]="Y", CallLog[[#This Row],[Speed of answer in seconds]]&lt;=20),
    "Within",
    "Breach")</f>
        <v>Breach</v>
      </c>
      <c r="M4373" s="1">
        <v>4.340277777777778E-3</v>
      </c>
      <c r="N4373">
        <v>4</v>
      </c>
    </row>
    <row r="4374" spans="1:14" x14ac:dyDescent="0.3">
      <c r="A4374" t="s">
        <v>4474</v>
      </c>
      <c r="B4374" t="s">
        <v>16</v>
      </c>
      <c r="C4374" t="s">
        <v>4432</v>
      </c>
      <c r="D4374" s="1">
        <v>0.72400462962962964</v>
      </c>
      <c r="E4374" s="2">
        <f>CallLog[[#This Row],[Date]]+CallLog[[#This Row],[Time]]</f>
        <v>44273.724004629628</v>
      </c>
      <c r="F4374" s="1" t="str">
        <f>TEXT(CallLog[[#This Row],[Date]],"dddd")</f>
        <v>Thursday</v>
      </c>
      <c r="G4374" s="3">
        <f>HOUR(CallLog[[#This Row],[Time]])</f>
        <v>17</v>
      </c>
      <c r="H4374" t="s">
        <v>32</v>
      </c>
      <c r="I4374" t="s">
        <v>14</v>
      </c>
      <c r="J4374" t="s">
        <v>14</v>
      </c>
      <c r="K4374">
        <v>44</v>
      </c>
      <c r="L4374" t="str">
        <f>IF(AND(CallLog[[#This Row],[Answered (Y/N)]]="Y", CallLog[[#This Row],[Speed of answer in seconds]]&lt;=20),
    "Within",
    "Breach")</f>
        <v>Breach</v>
      </c>
      <c r="M4374" s="1">
        <v>1.8981481481481482E-3</v>
      </c>
      <c r="N4374">
        <v>5</v>
      </c>
    </row>
    <row r="4375" spans="1:14" x14ac:dyDescent="0.3">
      <c r="A4375" t="s">
        <v>4475</v>
      </c>
      <c r="B4375" t="s">
        <v>22</v>
      </c>
      <c r="C4375" t="s">
        <v>4432</v>
      </c>
      <c r="D4375" s="1">
        <v>0.72400462962962964</v>
      </c>
      <c r="E4375" s="2">
        <f>CallLog[[#This Row],[Date]]+CallLog[[#This Row],[Time]]</f>
        <v>44273.724004629628</v>
      </c>
      <c r="F4375" s="1" t="str">
        <f>TEXT(CallLog[[#This Row],[Date]],"dddd")</f>
        <v>Thursday</v>
      </c>
      <c r="G4375" s="3">
        <f>HOUR(CallLog[[#This Row],[Time]])</f>
        <v>17</v>
      </c>
      <c r="H4375" t="s">
        <v>13</v>
      </c>
      <c r="I4375" t="s">
        <v>18</v>
      </c>
      <c r="J4375" t="s">
        <v>18</v>
      </c>
      <c r="L4375" t="str">
        <f>IF(AND(CallLog[[#This Row],[Answered (Y/N)]]="Y", CallLog[[#This Row],[Speed of answer in seconds]]&lt;=20),
    "Within",
    "Breach")</f>
        <v>Breach</v>
      </c>
    </row>
    <row r="4376" spans="1:14" x14ac:dyDescent="0.3">
      <c r="A4376" t="s">
        <v>4476</v>
      </c>
      <c r="B4376" t="s">
        <v>38</v>
      </c>
      <c r="C4376" t="s">
        <v>4432</v>
      </c>
      <c r="D4376" s="1">
        <v>0.72700231481481481</v>
      </c>
      <c r="E4376" s="2">
        <f>CallLog[[#This Row],[Date]]+CallLog[[#This Row],[Time]]</f>
        <v>44273.727002314816</v>
      </c>
      <c r="F4376" s="1" t="str">
        <f>TEXT(CallLog[[#This Row],[Date]],"dddd")</f>
        <v>Thursday</v>
      </c>
      <c r="G4376" s="3">
        <f>HOUR(CallLog[[#This Row],[Time]])</f>
        <v>17</v>
      </c>
      <c r="H4376" t="s">
        <v>13</v>
      </c>
      <c r="I4376" t="s">
        <v>14</v>
      </c>
      <c r="J4376" t="s">
        <v>14</v>
      </c>
      <c r="K4376">
        <v>65</v>
      </c>
      <c r="L4376" t="str">
        <f>IF(AND(CallLog[[#This Row],[Answered (Y/N)]]="Y", CallLog[[#This Row],[Speed of answer in seconds]]&lt;=20),
    "Within",
    "Breach")</f>
        <v>Breach</v>
      </c>
      <c r="M4376" s="1">
        <v>2.3032407407407407E-3</v>
      </c>
      <c r="N4376">
        <v>3</v>
      </c>
    </row>
    <row r="4377" spans="1:14" x14ac:dyDescent="0.3">
      <c r="A4377" t="s">
        <v>4477</v>
      </c>
      <c r="B4377" t="s">
        <v>38</v>
      </c>
      <c r="C4377" t="s">
        <v>4432</v>
      </c>
      <c r="D4377" s="1">
        <v>0.72700231481481481</v>
      </c>
      <c r="E4377" s="2">
        <f>CallLog[[#This Row],[Date]]+CallLog[[#This Row],[Time]]</f>
        <v>44273.727002314816</v>
      </c>
      <c r="F4377" s="1" t="str">
        <f>TEXT(CallLog[[#This Row],[Date]],"dddd")</f>
        <v>Thursday</v>
      </c>
      <c r="G4377" s="3">
        <f>HOUR(CallLog[[#This Row],[Time]])</f>
        <v>17</v>
      </c>
      <c r="H4377" t="s">
        <v>32</v>
      </c>
      <c r="I4377" t="s">
        <v>14</v>
      </c>
      <c r="J4377" t="s">
        <v>14</v>
      </c>
      <c r="K4377">
        <v>48</v>
      </c>
      <c r="L4377" t="str">
        <f>IF(AND(CallLog[[#This Row],[Answered (Y/N)]]="Y", CallLog[[#This Row],[Speed of answer in seconds]]&lt;=20),
    "Within",
    "Breach")</f>
        <v>Breach</v>
      </c>
      <c r="M4377" s="1">
        <v>1.4699074074074074E-3</v>
      </c>
      <c r="N4377">
        <v>4</v>
      </c>
    </row>
    <row r="4378" spans="1:14" x14ac:dyDescent="0.3">
      <c r="A4378" t="s">
        <v>4478</v>
      </c>
      <c r="B4378" t="s">
        <v>20</v>
      </c>
      <c r="C4378" t="s">
        <v>4432</v>
      </c>
      <c r="D4378" s="1">
        <v>0.73700231481481482</v>
      </c>
      <c r="E4378" s="2">
        <f>CallLog[[#This Row],[Date]]+CallLog[[#This Row],[Time]]</f>
        <v>44273.737002314818</v>
      </c>
      <c r="F4378" s="1" t="str">
        <f>TEXT(CallLog[[#This Row],[Date]],"dddd")</f>
        <v>Thursday</v>
      </c>
      <c r="G4378" s="3">
        <f>HOUR(CallLog[[#This Row],[Time]])</f>
        <v>17</v>
      </c>
      <c r="H4378" t="s">
        <v>17</v>
      </c>
      <c r="I4378" t="s">
        <v>14</v>
      </c>
      <c r="J4378" t="s">
        <v>14</v>
      </c>
      <c r="K4378">
        <v>119</v>
      </c>
      <c r="L4378" t="str">
        <f>IF(AND(CallLog[[#This Row],[Answered (Y/N)]]="Y", CallLog[[#This Row],[Speed of answer in seconds]]&lt;=20),
    "Within",
    "Breach")</f>
        <v>Breach</v>
      </c>
      <c r="M4378" s="1">
        <v>1.7824074074074075E-3</v>
      </c>
      <c r="N4378">
        <v>1</v>
      </c>
    </row>
    <row r="4379" spans="1:14" x14ac:dyDescent="0.3">
      <c r="A4379" t="s">
        <v>4479</v>
      </c>
      <c r="B4379" t="s">
        <v>31</v>
      </c>
      <c r="C4379" t="s">
        <v>4432</v>
      </c>
      <c r="D4379" s="1">
        <v>0.73700231481481482</v>
      </c>
      <c r="E4379" s="2">
        <f>CallLog[[#This Row],[Date]]+CallLog[[#This Row],[Time]]</f>
        <v>44273.737002314818</v>
      </c>
      <c r="F4379" s="1" t="str">
        <f>TEXT(CallLog[[#This Row],[Date]],"dddd")</f>
        <v>Thursday</v>
      </c>
      <c r="G4379" s="3">
        <f>HOUR(CallLog[[#This Row],[Time]])</f>
        <v>17</v>
      </c>
      <c r="H4379" t="s">
        <v>13</v>
      </c>
      <c r="I4379" t="s">
        <v>14</v>
      </c>
      <c r="J4379" t="s">
        <v>18</v>
      </c>
      <c r="K4379">
        <v>102</v>
      </c>
      <c r="L4379" t="str">
        <f>IF(AND(CallLog[[#This Row],[Answered (Y/N)]]="Y", CallLog[[#This Row],[Speed of answer in seconds]]&lt;=20),
    "Within",
    "Breach")</f>
        <v>Breach</v>
      </c>
      <c r="M4379" s="1">
        <v>3.6574074074074074E-3</v>
      </c>
      <c r="N4379">
        <v>3</v>
      </c>
    </row>
    <row r="4380" spans="1:14" x14ac:dyDescent="0.3">
      <c r="A4380" t="s">
        <v>4480</v>
      </c>
      <c r="B4380" t="s">
        <v>20</v>
      </c>
      <c r="C4380" t="s">
        <v>4481</v>
      </c>
      <c r="D4380" s="1">
        <v>0.38599537037037035</v>
      </c>
      <c r="E4380" s="2">
        <f>CallLog[[#This Row],[Date]]+CallLog[[#This Row],[Time]]</f>
        <v>44274.385995370372</v>
      </c>
      <c r="F4380" s="1" t="str">
        <f>TEXT(CallLog[[#This Row],[Date]],"dddd")</f>
        <v>Friday</v>
      </c>
      <c r="G4380" s="3">
        <f>HOUR(CallLog[[#This Row],[Time]])</f>
        <v>9</v>
      </c>
      <c r="H4380" t="s">
        <v>13</v>
      </c>
      <c r="I4380" t="s">
        <v>14</v>
      </c>
      <c r="J4380" t="s">
        <v>14</v>
      </c>
      <c r="K4380">
        <v>30</v>
      </c>
      <c r="L4380" t="str">
        <f>IF(AND(CallLog[[#This Row],[Answered (Y/N)]]="Y", CallLog[[#This Row],[Speed of answer in seconds]]&lt;=20),
    "Within",
    "Breach")</f>
        <v>Breach</v>
      </c>
      <c r="M4380" s="1">
        <v>3.5879629629629629E-3</v>
      </c>
      <c r="N4380">
        <v>5</v>
      </c>
    </row>
    <row r="4381" spans="1:14" x14ac:dyDescent="0.3">
      <c r="A4381" t="s">
        <v>4482</v>
      </c>
      <c r="B4381" t="s">
        <v>34</v>
      </c>
      <c r="C4381" t="s">
        <v>4481</v>
      </c>
      <c r="D4381" s="1">
        <v>0.38599537037037035</v>
      </c>
      <c r="E4381" s="2">
        <f>CallLog[[#This Row],[Date]]+CallLog[[#This Row],[Time]]</f>
        <v>44274.385995370372</v>
      </c>
      <c r="F4381" s="1" t="str">
        <f>TEXT(CallLog[[#This Row],[Date]],"dddd")</f>
        <v>Friday</v>
      </c>
      <c r="G4381" s="3">
        <f>HOUR(CallLog[[#This Row],[Time]])</f>
        <v>9</v>
      </c>
      <c r="H4381" t="s">
        <v>24</v>
      </c>
      <c r="I4381" t="s">
        <v>14</v>
      </c>
      <c r="J4381" t="s">
        <v>14</v>
      </c>
      <c r="K4381">
        <v>51</v>
      </c>
      <c r="L4381" t="str">
        <f>IF(AND(CallLog[[#This Row],[Answered (Y/N)]]="Y", CallLog[[#This Row],[Speed of answer in seconds]]&lt;=20),
    "Within",
    "Breach")</f>
        <v>Breach</v>
      </c>
      <c r="M4381" s="1">
        <v>3.6921296296296298E-3</v>
      </c>
      <c r="N4381">
        <v>1</v>
      </c>
    </row>
    <row r="4382" spans="1:14" x14ac:dyDescent="0.3">
      <c r="A4382" t="s">
        <v>4483</v>
      </c>
      <c r="B4382" t="s">
        <v>31</v>
      </c>
      <c r="C4382" t="s">
        <v>4481</v>
      </c>
      <c r="D4382" s="1">
        <v>0.4079976851851852</v>
      </c>
      <c r="E4382" s="2">
        <f>CallLog[[#This Row],[Date]]+CallLog[[#This Row],[Time]]</f>
        <v>44274.407997685186</v>
      </c>
      <c r="F4382" s="1" t="str">
        <f>TEXT(CallLog[[#This Row],[Date]],"dddd")</f>
        <v>Friday</v>
      </c>
      <c r="G4382" s="3">
        <f>HOUR(CallLog[[#This Row],[Time]])</f>
        <v>9</v>
      </c>
      <c r="H4382" t="s">
        <v>13</v>
      </c>
      <c r="I4382" t="s">
        <v>18</v>
      </c>
      <c r="J4382" t="s">
        <v>18</v>
      </c>
      <c r="L4382" t="str">
        <f>IF(AND(CallLog[[#This Row],[Answered (Y/N)]]="Y", CallLog[[#This Row],[Speed of answer in seconds]]&lt;=20),
    "Within",
    "Breach")</f>
        <v>Breach</v>
      </c>
    </row>
    <row r="4383" spans="1:14" x14ac:dyDescent="0.3">
      <c r="A4383" t="s">
        <v>4484</v>
      </c>
      <c r="B4383" t="s">
        <v>16</v>
      </c>
      <c r="C4383" t="s">
        <v>4481</v>
      </c>
      <c r="D4383" s="1">
        <v>0.4079976851851852</v>
      </c>
      <c r="E4383" s="2">
        <f>CallLog[[#This Row],[Date]]+CallLog[[#This Row],[Time]]</f>
        <v>44274.407997685186</v>
      </c>
      <c r="F4383" s="1" t="str">
        <f>TEXT(CallLog[[#This Row],[Date]],"dddd")</f>
        <v>Friday</v>
      </c>
      <c r="G4383" s="3">
        <f>HOUR(CallLog[[#This Row],[Time]])</f>
        <v>9</v>
      </c>
      <c r="H4383" t="s">
        <v>17</v>
      </c>
      <c r="I4383" t="s">
        <v>14</v>
      </c>
      <c r="J4383" t="s">
        <v>14</v>
      </c>
      <c r="K4383">
        <v>39</v>
      </c>
      <c r="L4383" t="str">
        <f>IF(AND(CallLog[[#This Row],[Answered (Y/N)]]="Y", CallLog[[#This Row],[Speed of answer in seconds]]&lt;=20),
    "Within",
    "Breach")</f>
        <v>Breach</v>
      </c>
      <c r="M4383" s="1">
        <v>3.5879629629629629E-3</v>
      </c>
      <c r="N4383">
        <v>5</v>
      </c>
    </row>
    <row r="4384" spans="1:14" x14ac:dyDescent="0.3">
      <c r="A4384" t="s">
        <v>4485</v>
      </c>
      <c r="B4384" t="s">
        <v>16</v>
      </c>
      <c r="C4384" t="s">
        <v>4481</v>
      </c>
      <c r="D4384" s="1">
        <v>0.41900462962962964</v>
      </c>
      <c r="E4384" s="2">
        <f>CallLog[[#This Row],[Date]]+CallLog[[#This Row],[Time]]</f>
        <v>44274.419004629628</v>
      </c>
      <c r="F4384" s="1" t="str">
        <f>TEXT(CallLog[[#This Row],[Date]],"dddd")</f>
        <v>Friday</v>
      </c>
      <c r="G4384" s="3">
        <f>HOUR(CallLog[[#This Row],[Time]])</f>
        <v>10</v>
      </c>
      <c r="H4384" t="s">
        <v>24</v>
      </c>
      <c r="I4384" t="s">
        <v>14</v>
      </c>
      <c r="J4384" t="s">
        <v>14</v>
      </c>
      <c r="K4384">
        <v>102</v>
      </c>
      <c r="L4384" t="str">
        <f>IF(AND(CallLog[[#This Row],[Answered (Y/N)]]="Y", CallLog[[#This Row],[Speed of answer in seconds]]&lt;=20),
    "Within",
    "Breach")</f>
        <v>Breach</v>
      </c>
      <c r="M4384" s="1">
        <v>3.7847222222222223E-3</v>
      </c>
      <c r="N4384">
        <v>2</v>
      </c>
    </row>
    <row r="4385" spans="1:14" x14ac:dyDescent="0.3">
      <c r="A4385" t="s">
        <v>4486</v>
      </c>
      <c r="B4385" t="s">
        <v>20</v>
      </c>
      <c r="C4385" t="s">
        <v>4481</v>
      </c>
      <c r="D4385" s="1">
        <v>0.41900462962962964</v>
      </c>
      <c r="E4385" s="2">
        <f>CallLog[[#This Row],[Date]]+CallLog[[#This Row],[Time]]</f>
        <v>44274.419004629628</v>
      </c>
      <c r="F4385" s="1" t="str">
        <f>TEXT(CallLog[[#This Row],[Date]],"dddd")</f>
        <v>Friday</v>
      </c>
      <c r="G4385" s="3">
        <f>HOUR(CallLog[[#This Row],[Time]])</f>
        <v>10</v>
      </c>
      <c r="H4385" t="s">
        <v>24</v>
      </c>
      <c r="I4385" t="s">
        <v>14</v>
      </c>
      <c r="J4385" t="s">
        <v>14</v>
      </c>
      <c r="K4385">
        <v>112</v>
      </c>
      <c r="L4385" t="str">
        <f>IF(AND(CallLog[[#This Row],[Answered (Y/N)]]="Y", CallLog[[#This Row],[Speed of answer in seconds]]&lt;=20),
    "Within",
    "Breach")</f>
        <v>Breach</v>
      </c>
      <c r="M4385" s="1">
        <v>4.6296296296296298E-4</v>
      </c>
      <c r="N4385">
        <v>3</v>
      </c>
    </row>
    <row r="4386" spans="1:14" x14ac:dyDescent="0.3">
      <c r="A4386" t="s">
        <v>4487</v>
      </c>
      <c r="B4386" t="s">
        <v>16</v>
      </c>
      <c r="C4386" t="s">
        <v>4481</v>
      </c>
      <c r="D4386" s="1">
        <v>0.42700231481481482</v>
      </c>
      <c r="E4386" s="2">
        <f>CallLog[[#This Row],[Date]]+CallLog[[#This Row],[Time]]</f>
        <v>44274.427002314813</v>
      </c>
      <c r="F4386" s="1" t="str">
        <f>TEXT(CallLog[[#This Row],[Date]],"dddd")</f>
        <v>Friday</v>
      </c>
      <c r="G4386" s="3">
        <f>HOUR(CallLog[[#This Row],[Time]])</f>
        <v>10</v>
      </c>
      <c r="H4386" t="s">
        <v>24</v>
      </c>
      <c r="I4386" t="s">
        <v>18</v>
      </c>
      <c r="J4386" t="s">
        <v>18</v>
      </c>
      <c r="L4386" t="str">
        <f>IF(AND(CallLog[[#This Row],[Answered (Y/N)]]="Y", CallLog[[#This Row],[Speed of answer in seconds]]&lt;=20),
    "Within",
    "Breach")</f>
        <v>Breach</v>
      </c>
    </row>
    <row r="4387" spans="1:14" x14ac:dyDescent="0.3">
      <c r="A4387" t="s">
        <v>4488</v>
      </c>
      <c r="B4387" t="s">
        <v>38</v>
      </c>
      <c r="C4387" t="s">
        <v>4481</v>
      </c>
      <c r="D4387" s="1">
        <v>0.42700231481481482</v>
      </c>
      <c r="E4387" s="2">
        <f>CallLog[[#This Row],[Date]]+CallLog[[#This Row],[Time]]</f>
        <v>44274.427002314813</v>
      </c>
      <c r="F4387" s="1" t="str">
        <f>TEXT(CallLog[[#This Row],[Date]],"dddd")</f>
        <v>Friday</v>
      </c>
      <c r="G4387" s="3">
        <f>HOUR(CallLog[[#This Row],[Time]])</f>
        <v>10</v>
      </c>
      <c r="H4387" t="s">
        <v>17</v>
      </c>
      <c r="I4387" t="s">
        <v>14</v>
      </c>
      <c r="J4387" t="s">
        <v>14</v>
      </c>
      <c r="K4387">
        <v>42</v>
      </c>
      <c r="L4387" t="str">
        <f>IF(AND(CallLog[[#This Row],[Answered (Y/N)]]="Y", CallLog[[#This Row],[Speed of answer in seconds]]&lt;=20),
    "Within",
    "Breach")</f>
        <v>Breach</v>
      </c>
      <c r="M4387" s="1">
        <v>3.1944444444444446E-3</v>
      </c>
      <c r="N4387">
        <v>5</v>
      </c>
    </row>
    <row r="4388" spans="1:14" x14ac:dyDescent="0.3">
      <c r="A4388" t="s">
        <v>4489</v>
      </c>
      <c r="B4388" t="s">
        <v>22</v>
      </c>
      <c r="C4388" t="s">
        <v>4481</v>
      </c>
      <c r="D4388" s="1">
        <v>0.4670023148148148</v>
      </c>
      <c r="E4388" s="2">
        <f>CallLog[[#This Row],[Date]]+CallLog[[#This Row],[Time]]</f>
        <v>44274.467002314814</v>
      </c>
      <c r="F4388" s="1" t="str">
        <f>TEXT(CallLog[[#This Row],[Date]],"dddd")</f>
        <v>Friday</v>
      </c>
      <c r="G4388" s="3">
        <f>HOUR(CallLog[[#This Row],[Time]])</f>
        <v>11</v>
      </c>
      <c r="H4388" t="s">
        <v>29</v>
      </c>
      <c r="I4388" t="s">
        <v>14</v>
      </c>
      <c r="J4388" t="s">
        <v>14</v>
      </c>
      <c r="K4388">
        <v>87</v>
      </c>
      <c r="L4388" t="str">
        <f>IF(AND(CallLog[[#This Row],[Answered (Y/N)]]="Y", CallLog[[#This Row],[Speed of answer in seconds]]&lt;=20),
    "Within",
    "Breach")</f>
        <v>Breach</v>
      </c>
      <c r="M4388" s="1">
        <v>1.0185185185185184E-3</v>
      </c>
      <c r="N4388">
        <v>3</v>
      </c>
    </row>
    <row r="4389" spans="1:14" x14ac:dyDescent="0.3">
      <c r="A4389" t="s">
        <v>4490</v>
      </c>
      <c r="B4389" t="s">
        <v>16</v>
      </c>
      <c r="C4389" t="s">
        <v>4481</v>
      </c>
      <c r="D4389" s="1">
        <v>0.4670023148148148</v>
      </c>
      <c r="E4389" s="2">
        <f>CallLog[[#This Row],[Date]]+CallLog[[#This Row],[Time]]</f>
        <v>44274.467002314814</v>
      </c>
      <c r="F4389" s="1" t="str">
        <f>TEXT(CallLog[[#This Row],[Date]],"dddd")</f>
        <v>Friday</v>
      </c>
      <c r="G4389" s="3">
        <f>HOUR(CallLog[[#This Row],[Time]])</f>
        <v>11</v>
      </c>
      <c r="H4389" t="s">
        <v>24</v>
      </c>
      <c r="I4389" t="s">
        <v>18</v>
      </c>
      <c r="J4389" t="s">
        <v>18</v>
      </c>
      <c r="L4389" t="str">
        <f>IF(AND(CallLog[[#This Row],[Answered (Y/N)]]="Y", CallLog[[#This Row],[Speed of answer in seconds]]&lt;=20),
    "Within",
    "Breach")</f>
        <v>Breach</v>
      </c>
    </row>
    <row r="4390" spans="1:14" x14ac:dyDescent="0.3">
      <c r="A4390" t="s">
        <v>4491</v>
      </c>
      <c r="B4390" t="s">
        <v>16</v>
      </c>
      <c r="C4390" t="s">
        <v>4481</v>
      </c>
      <c r="D4390" s="1">
        <v>0.4679976851851852</v>
      </c>
      <c r="E4390" s="2">
        <f>CallLog[[#This Row],[Date]]+CallLog[[#This Row],[Time]]</f>
        <v>44274.467997685184</v>
      </c>
      <c r="F4390" s="1" t="str">
        <f>TEXT(CallLog[[#This Row],[Date]],"dddd")</f>
        <v>Friday</v>
      </c>
      <c r="G4390" s="3">
        <f>HOUR(CallLog[[#This Row],[Time]])</f>
        <v>11</v>
      </c>
      <c r="H4390" t="s">
        <v>13</v>
      </c>
      <c r="I4390" t="s">
        <v>14</v>
      </c>
      <c r="J4390" t="s">
        <v>14</v>
      </c>
      <c r="K4390">
        <v>123</v>
      </c>
      <c r="L4390" t="str">
        <f>IF(AND(CallLog[[#This Row],[Answered (Y/N)]]="Y", CallLog[[#This Row],[Speed of answer in seconds]]&lt;=20),
    "Within",
    "Breach")</f>
        <v>Breach</v>
      </c>
      <c r="M4390" s="1">
        <v>1.7592592592592592E-3</v>
      </c>
      <c r="N4390">
        <v>3</v>
      </c>
    </row>
    <row r="4391" spans="1:14" x14ac:dyDescent="0.3">
      <c r="A4391" t="s">
        <v>4492</v>
      </c>
      <c r="B4391" t="s">
        <v>20</v>
      </c>
      <c r="C4391" t="s">
        <v>4481</v>
      </c>
      <c r="D4391" s="1">
        <v>0.4679976851851852</v>
      </c>
      <c r="E4391" s="2">
        <f>CallLog[[#This Row],[Date]]+CallLog[[#This Row],[Time]]</f>
        <v>44274.467997685184</v>
      </c>
      <c r="F4391" s="1" t="str">
        <f>TEXT(CallLog[[#This Row],[Date]],"dddd")</f>
        <v>Friday</v>
      </c>
      <c r="G4391" s="3">
        <f>HOUR(CallLog[[#This Row],[Time]])</f>
        <v>11</v>
      </c>
      <c r="H4391" t="s">
        <v>24</v>
      </c>
      <c r="I4391" t="s">
        <v>18</v>
      </c>
      <c r="J4391" t="s">
        <v>18</v>
      </c>
      <c r="L4391" t="str">
        <f>IF(AND(CallLog[[#This Row],[Answered (Y/N)]]="Y", CallLog[[#This Row],[Speed of answer in seconds]]&lt;=20),
    "Within",
    "Breach")</f>
        <v>Breach</v>
      </c>
    </row>
    <row r="4392" spans="1:14" x14ac:dyDescent="0.3">
      <c r="A4392" t="s">
        <v>4493</v>
      </c>
      <c r="B4392" t="s">
        <v>47</v>
      </c>
      <c r="C4392" t="s">
        <v>4481</v>
      </c>
      <c r="D4392" s="1">
        <v>0.47900462962962964</v>
      </c>
      <c r="E4392" s="2">
        <f>CallLog[[#This Row],[Date]]+CallLog[[#This Row],[Time]]</f>
        <v>44274.479004629633</v>
      </c>
      <c r="F4392" s="1" t="str">
        <f>TEXT(CallLog[[#This Row],[Date]],"dddd")</f>
        <v>Friday</v>
      </c>
      <c r="G4392" s="3">
        <f>HOUR(CallLog[[#This Row],[Time]])</f>
        <v>11</v>
      </c>
      <c r="H4392" t="s">
        <v>13</v>
      </c>
      <c r="I4392" t="s">
        <v>14</v>
      </c>
      <c r="J4392" t="s">
        <v>14</v>
      </c>
      <c r="K4392">
        <v>98</v>
      </c>
      <c r="L4392" t="str">
        <f>IF(AND(CallLog[[#This Row],[Answered (Y/N)]]="Y", CallLog[[#This Row],[Speed of answer in seconds]]&lt;=20),
    "Within",
    "Breach")</f>
        <v>Breach</v>
      </c>
      <c r="M4392" s="1">
        <v>9.9537037037037042E-4</v>
      </c>
      <c r="N4392">
        <v>3</v>
      </c>
    </row>
    <row r="4393" spans="1:14" x14ac:dyDescent="0.3">
      <c r="A4393" t="s">
        <v>4494</v>
      </c>
      <c r="B4393" t="s">
        <v>31</v>
      </c>
      <c r="C4393" t="s">
        <v>4481</v>
      </c>
      <c r="D4393" s="1">
        <v>0.47900462962962964</v>
      </c>
      <c r="E4393" s="2">
        <f>CallLog[[#This Row],[Date]]+CallLog[[#This Row],[Time]]</f>
        <v>44274.479004629633</v>
      </c>
      <c r="F4393" s="1" t="str">
        <f>TEXT(CallLog[[#This Row],[Date]],"dddd")</f>
        <v>Friday</v>
      </c>
      <c r="G4393" s="3">
        <f>HOUR(CallLog[[#This Row],[Time]])</f>
        <v>11</v>
      </c>
      <c r="H4393" t="s">
        <v>32</v>
      </c>
      <c r="I4393" t="s">
        <v>14</v>
      </c>
      <c r="J4393" t="s">
        <v>14</v>
      </c>
      <c r="K4393">
        <v>45</v>
      </c>
      <c r="L4393" t="str">
        <f>IF(AND(CallLog[[#This Row],[Answered (Y/N)]]="Y", CallLog[[#This Row],[Speed of answer in seconds]]&lt;=20),
    "Within",
    "Breach")</f>
        <v>Breach</v>
      </c>
      <c r="M4393" s="1">
        <v>4.5138888888888892E-4</v>
      </c>
      <c r="N4393">
        <v>4</v>
      </c>
    </row>
    <row r="4394" spans="1:14" x14ac:dyDescent="0.3">
      <c r="A4394" t="s">
        <v>4495</v>
      </c>
      <c r="B4394" t="s">
        <v>20</v>
      </c>
      <c r="C4394" t="s">
        <v>4481</v>
      </c>
      <c r="D4394" s="1">
        <v>0.51</v>
      </c>
      <c r="E4394" s="2">
        <f>CallLog[[#This Row],[Date]]+CallLog[[#This Row],[Time]]</f>
        <v>44274.51</v>
      </c>
      <c r="F4394" s="1" t="str">
        <f>TEXT(CallLog[[#This Row],[Date]],"dddd")</f>
        <v>Friday</v>
      </c>
      <c r="G4394" s="3">
        <f>HOUR(CallLog[[#This Row],[Time]])</f>
        <v>12</v>
      </c>
      <c r="H4394" t="s">
        <v>24</v>
      </c>
      <c r="I4394" t="s">
        <v>14</v>
      </c>
      <c r="J4394" t="s">
        <v>14</v>
      </c>
      <c r="K4394">
        <v>50</v>
      </c>
      <c r="L4394" t="str">
        <f>IF(AND(CallLog[[#This Row],[Answered (Y/N)]]="Y", CallLog[[#This Row],[Speed of answer in seconds]]&lt;=20),
    "Within",
    "Breach")</f>
        <v>Breach</v>
      </c>
      <c r="M4394" s="1">
        <v>1.5509259259259259E-3</v>
      </c>
      <c r="N4394">
        <v>3</v>
      </c>
    </row>
    <row r="4395" spans="1:14" x14ac:dyDescent="0.3">
      <c r="A4395" t="s">
        <v>4496</v>
      </c>
      <c r="B4395" t="s">
        <v>34</v>
      </c>
      <c r="C4395" t="s">
        <v>4481</v>
      </c>
      <c r="D4395" s="1">
        <v>0.51</v>
      </c>
      <c r="E4395" s="2">
        <f>CallLog[[#This Row],[Date]]+CallLog[[#This Row],[Time]]</f>
        <v>44274.51</v>
      </c>
      <c r="F4395" s="1" t="str">
        <f>TEXT(CallLog[[#This Row],[Date]],"dddd")</f>
        <v>Friday</v>
      </c>
      <c r="G4395" s="3">
        <f>HOUR(CallLog[[#This Row],[Time]])</f>
        <v>12</v>
      </c>
      <c r="H4395" t="s">
        <v>24</v>
      </c>
      <c r="I4395" t="s">
        <v>14</v>
      </c>
      <c r="J4395" t="s">
        <v>14</v>
      </c>
      <c r="K4395">
        <v>102</v>
      </c>
      <c r="L4395" t="str">
        <f>IF(AND(CallLog[[#This Row],[Answered (Y/N)]]="Y", CallLog[[#This Row],[Speed of answer in seconds]]&lt;=20),
    "Within",
    "Breach")</f>
        <v>Breach</v>
      </c>
      <c r="M4395" s="1">
        <v>3.1250000000000002E-3</v>
      </c>
      <c r="N4395">
        <v>4</v>
      </c>
    </row>
    <row r="4396" spans="1:14" x14ac:dyDescent="0.3">
      <c r="A4396" t="s">
        <v>4497</v>
      </c>
      <c r="B4396" t="s">
        <v>11</v>
      </c>
      <c r="C4396" t="s">
        <v>4481</v>
      </c>
      <c r="D4396" s="1">
        <v>0.51900462962962968</v>
      </c>
      <c r="E4396" s="2">
        <f>CallLog[[#This Row],[Date]]+CallLog[[#This Row],[Time]]</f>
        <v>44274.519004629627</v>
      </c>
      <c r="F4396" s="1" t="str">
        <f>TEXT(CallLog[[#This Row],[Date]],"dddd")</f>
        <v>Friday</v>
      </c>
      <c r="G4396" s="3">
        <f>HOUR(CallLog[[#This Row],[Time]])</f>
        <v>12</v>
      </c>
      <c r="H4396" t="s">
        <v>29</v>
      </c>
      <c r="I4396" t="s">
        <v>14</v>
      </c>
      <c r="J4396" t="s">
        <v>14</v>
      </c>
      <c r="K4396">
        <v>93</v>
      </c>
      <c r="L4396" t="str">
        <f>IF(AND(CallLog[[#This Row],[Answered (Y/N)]]="Y", CallLog[[#This Row],[Speed of answer in seconds]]&lt;=20),
    "Within",
    "Breach")</f>
        <v>Breach</v>
      </c>
      <c r="M4396" s="1">
        <v>1.5277777777777779E-3</v>
      </c>
      <c r="N4396">
        <v>1</v>
      </c>
    </row>
    <row r="4397" spans="1:14" x14ac:dyDescent="0.3">
      <c r="A4397" t="s">
        <v>4498</v>
      </c>
      <c r="B4397" t="s">
        <v>20</v>
      </c>
      <c r="C4397" t="s">
        <v>4481</v>
      </c>
      <c r="D4397" s="1">
        <v>0.51900462962962968</v>
      </c>
      <c r="E4397" s="2">
        <f>CallLog[[#This Row],[Date]]+CallLog[[#This Row],[Time]]</f>
        <v>44274.519004629627</v>
      </c>
      <c r="F4397" s="1" t="str">
        <f>TEXT(CallLog[[#This Row],[Date]],"dddd")</f>
        <v>Friday</v>
      </c>
      <c r="G4397" s="3">
        <f>HOUR(CallLog[[#This Row],[Time]])</f>
        <v>12</v>
      </c>
      <c r="H4397" t="s">
        <v>29</v>
      </c>
      <c r="I4397" t="s">
        <v>14</v>
      </c>
      <c r="J4397" t="s">
        <v>14</v>
      </c>
      <c r="K4397">
        <v>28</v>
      </c>
      <c r="L4397" t="str">
        <f>IF(AND(CallLog[[#This Row],[Answered (Y/N)]]="Y", CallLog[[#This Row],[Speed of answer in seconds]]&lt;=20),
    "Within",
    "Breach")</f>
        <v>Breach</v>
      </c>
      <c r="M4397" s="1">
        <v>3.7847222222222223E-3</v>
      </c>
      <c r="N4397">
        <v>3</v>
      </c>
    </row>
    <row r="4398" spans="1:14" x14ac:dyDescent="0.3">
      <c r="A4398" t="s">
        <v>4499</v>
      </c>
      <c r="B4398" t="s">
        <v>31</v>
      </c>
      <c r="C4398" t="s">
        <v>4481</v>
      </c>
      <c r="D4398" s="1">
        <v>0.54099537037037038</v>
      </c>
      <c r="E4398" s="2">
        <f>CallLog[[#This Row],[Date]]+CallLog[[#This Row],[Time]]</f>
        <v>44274.540995370371</v>
      </c>
      <c r="F4398" s="1" t="str">
        <f>TEXT(CallLog[[#This Row],[Date]],"dddd")</f>
        <v>Friday</v>
      </c>
      <c r="G4398" s="3">
        <f>HOUR(CallLog[[#This Row],[Time]])</f>
        <v>12</v>
      </c>
      <c r="H4398" t="s">
        <v>24</v>
      </c>
      <c r="I4398" t="s">
        <v>18</v>
      </c>
      <c r="J4398" t="s">
        <v>18</v>
      </c>
      <c r="L4398" t="str">
        <f>IF(AND(CallLog[[#This Row],[Answered (Y/N)]]="Y", CallLog[[#This Row],[Speed of answer in seconds]]&lt;=20),
    "Within",
    "Breach")</f>
        <v>Breach</v>
      </c>
    </row>
    <row r="4399" spans="1:14" x14ac:dyDescent="0.3">
      <c r="A4399" t="s">
        <v>4500</v>
      </c>
      <c r="B4399" t="s">
        <v>38</v>
      </c>
      <c r="C4399" t="s">
        <v>4481</v>
      </c>
      <c r="D4399" s="1">
        <v>0.54099537037037038</v>
      </c>
      <c r="E4399" s="2">
        <f>CallLog[[#This Row],[Date]]+CallLog[[#This Row],[Time]]</f>
        <v>44274.540995370371</v>
      </c>
      <c r="F4399" s="1" t="str">
        <f>TEXT(CallLog[[#This Row],[Date]],"dddd")</f>
        <v>Friday</v>
      </c>
      <c r="G4399" s="3">
        <f>HOUR(CallLog[[#This Row],[Time]])</f>
        <v>12</v>
      </c>
      <c r="H4399" t="s">
        <v>32</v>
      </c>
      <c r="I4399" t="s">
        <v>18</v>
      </c>
      <c r="J4399" t="s">
        <v>18</v>
      </c>
      <c r="L4399" t="str">
        <f>IF(AND(CallLog[[#This Row],[Answered (Y/N)]]="Y", CallLog[[#This Row],[Speed of answer in seconds]]&lt;=20),
    "Within",
    "Breach")</f>
        <v>Breach</v>
      </c>
    </row>
    <row r="4400" spans="1:14" x14ac:dyDescent="0.3">
      <c r="A4400" t="s">
        <v>4501</v>
      </c>
      <c r="B4400" t="s">
        <v>34</v>
      </c>
      <c r="C4400" t="s">
        <v>4481</v>
      </c>
      <c r="D4400" s="1">
        <v>0.54099537037037038</v>
      </c>
      <c r="E4400" s="2">
        <f>CallLog[[#This Row],[Date]]+CallLog[[#This Row],[Time]]</f>
        <v>44274.540995370371</v>
      </c>
      <c r="F4400" s="1" t="str">
        <f>TEXT(CallLog[[#This Row],[Date]],"dddd")</f>
        <v>Friday</v>
      </c>
      <c r="G4400" s="3">
        <f>HOUR(CallLog[[#This Row],[Time]])</f>
        <v>12</v>
      </c>
      <c r="H4400" t="s">
        <v>17</v>
      </c>
      <c r="I4400" t="s">
        <v>14</v>
      </c>
      <c r="J4400" t="s">
        <v>18</v>
      </c>
      <c r="K4400">
        <v>123</v>
      </c>
      <c r="L4400" t="str">
        <f>IF(AND(CallLog[[#This Row],[Answered (Y/N)]]="Y", CallLog[[#This Row],[Speed of answer in seconds]]&lt;=20),
    "Within",
    "Breach")</f>
        <v>Breach</v>
      </c>
      <c r="M4400" s="1">
        <v>5.3240740740740744E-4</v>
      </c>
      <c r="N4400">
        <v>4</v>
      </c>
    </row>
    <row r="4401" spans="1:14" x14ac:dyDescent="0.3">
      <c r="A4401" t="s">
        <v>4502</v>
      </c>
      <c r="B4401" t="s">
        <v>22</v>
      </c>
      <c r="C4401" t="s">
        <v>4481</v>
      </c>
      <c r="D4401" s="1">
        <v>0.54099537037037038</v>
      </c>
      <c r="E4401" s="2">
        <f>CallLog[[#This Row],[Date]]+CallLog[[#This Row],[Time]]</f>
        <v>44274.540995370371</v>
      </c>
      <c r="F4401" s="1" t="str">
        <f>TEXT(CallLog[[#This Row],[Date]],"dddd")</f>
        <v>Friday</v>
      </c>
      <c r="G4401" s="3">
        <f>HOUR(CallLog[[#This Row],[Time]])</f>
        <v>12</v>
      </c>
      <c r="H4401" t="s">
        <v>29</v>
      </c>
      <c r="I4401" t="s">
        <v>14</v>
      </c>
      <c r="J4401" t="s">
        <v>14</v>
      </c>
      <c r="K4401">
        <v>112</v>
      </c>
      <c r="L4401" t="str">
        <f>IF(AND(CallLog[[#This Row],[Answered (Y/N)]]="Y", CallLog[[#This Row],[Speed of answer in seconds]]&lt;=20),
    "Within",
    "Breach")</f>
        <v>Breach</v>
      </c>
      <c r="M4401" s="1">
        <v>2.8819444444444444E-3</v>
      </c>
      <c r="N4401">
        <v>4</v>
      </c>
    </row>
    <row r="4402" spans="1:14" x14ac:dyDescent="0.3">
      <c r="A4402" t="s">
        <v>4503</v>
      </c>
      <c r="B4402" t="s">
        <v>20</v>
      </c>
      <c r="C4402" t="s">
        <v>4481</v>
      </c>
      <c r="D4402" s="1">
        <v>0.54700231481481476</v>
      </c>
      <c r="E4402" s="2">
        <f>CallLog[[#This Row],[Date]]+CallLog[[#This Row],[Time]]</f>
        <v>44274.547002314815</v>
      </c>
      <c r="F4402" s="1" t="str">
        <f>TEXT(CallLog[[#This Row],[Date]],"dddd")</f>
        <v>Friday</v>
      </c>
      <c r="G4402" s="3">
        <f>HOUR(CallLog[[#This Row],[Time]])</f>
        <v>13</v>
      </c>
      <c r="H4402" t="s">
        <v>13</v>
      </c>
      <c r="I4402" t="s">
        <v>14</v>
      </c>
      <c r="J4402" t="s">
        <v>14</v>
      </c>
      <c r="K4402">
        <v>12</v>
      </c>
      <c r="L4402" t="str">
        <f>IF(AND(CallLog[[#This Row],[Answered (Y/N)]]="Y", CallLog[[#This Row],[Speed of answer in seconds]]&lt;=20),
    "Within",
    "Breach")</f>
        <v>Within</v>
      </c>
      <c r="M4402" s="1">
        <v>8.7962962962962962E-4</v>
      </c>
      <c r="N4402">
        <v>3</v>
      </c>
    </row>
    <row r="4403" spans="1:14" x14ac:dyDescent="0.3">
      <c r="A4403" t="s">
        <v>4504</v>
      </c>
      <c r="B4403" t="s">
        <v>47</v>
      </c>
      <c r="C4403" t="s">
        <v>4481</v>
      </c>
      <c r="D4403" s="1">
        <v>0.54700231481481476</v>
      </c>
      <c r="E4403" s="2">
        <f>CallLog[[#This Row],[Date]]+CallLog[[#This Row],[Time]]</f>
        <v>44274.547002314815</v>
      </c>
      <c r="F4403" s="1" t="str">
        <f>TEXT(CallLog[[#This Row],[Date]],"dddd")</f>
        <v>Friday</v>
      </c>
      <c r="G4403" s="3">
        <f>HOUR(CallLog[[#This Row],[Time]])</f>
        <v>13</v>
      </c>
      <c r="H4403" t="s">
        <v>13</v>
      </c>
      <c r="I4403" t="s">
        <v>14</v>
      </c>
      <c r="J4403" t="s">
        <v>14</v>
      </c>
      <c r="K4403">
        <v>107</v>
      </c>
      <c r="L4403" t="str">
        <f>IF(AND(CallLog[[#This Row],[Answered (Y/N)]]="Y", CallLog[[#This Row],[Speed of answer in seconds]]&lt;=20),
    "Within",
    "Breach")</f>
        <v>Breach</v>
      </c>
      <c r="M4403" s="1">
        <v>4.178240740740741E-3</v>
      </c>
      <c r="N4403">
        <v>4</v>
      </c>
    </row>
    <row r="4404" spans="1:14" x14ac:dyDescent="0.3">
      <c r="A4404" t="s">
        <v>4505</v>
      </c>
      <c r="B4404" t="s">
        <v>11</v>
      </c>
      <c r="C4404" t="s">
        <v>4481</v>
      </c>
      <c r="D4404" s="1">
        <v>0.57999999999999996</v>
      </c>
      <c r="E4404" s="2">
        <f>CallLog[[#This Row],[Date]]+CallLog[[#This Row],[Time]]</f>
        <v>44274.58</v>
      </c>
      <c r="F4404" s="1" t="str">
        <f>TEXT(CallLog[[#This Row],[Date]],"dddd")</f>
        <v>Friday</v>
      </c>
      <c r="G4404" s="3">
        <f>HOUR(CallLog[[#This Row],[Time]])</f>
        <v>13</v>
      </c>
      <c r="H4404" t="s">
        <v>17</v>
      </c>
      <c r="I4404" t="s">
        <v>14</v>
      </c>
      <c r="J4404" t="s">
        <v>14</v>
      </c>
      <c r="K4404">
        <v>97</v>
      </c>
      <c r="L4404" t="str">
        <f>IF(AND(CallLog[[#This Row],[Answered (Y/N)]]="Y", CallLog[[#This Row],[Speed of answer in seconds]]&lt;=20),
    "Within",
    "Breach")</f>
        <v>Breach</v>
      </c>
      <c r="M4404" s="1">
        <v>2.5231481481481481E-3</v>
      </c>
      <c r="N4404">
        <v>2</v>
      </c>
    </row>
    <row r="4405" spans="1:14" x14ac:dyDescent="0.3">
      <c r="A4405" t="s">
        <v>4506</v>
      </c>
      <c r="B4405" t="s">
        <v>34</v>
      </c>
      <c r="C4405" t="s">
        <v>4481</v>
      </c>
      <c r="D4405" s="1">
        <v>0.57999999999999996</v>
      </c>
      <c r="E4405" s="2">
        <f>CallLog[[#This Row],[Date]]+CallLog[[#This Row],[Time]]</f>
        <v>44274.58</v>
      </c>
      <c r="F4405" s="1" t="str">
        <f>TEXT(CallLog[[#This Row],[Date]],"dddd")</f>
        <v>Friday</v>
      </c>
      <c r="G4405" s="3">
        <f>HOUR(CallLog[[#This Row],[Time]])</f>
        <v>13</v>
      </c>
      <c r="H4405" t="s">
        <v>13</v>
      </c>
      <c r="I4405" t="s">
        <v>18</v>
      </c>
      <c r="J4405" t="s">
        <v>18</v>
      </c>
      <c r="L4405" t="str">
        <f>IF(AND(CallLog[[#This Row],[Answered (Y/N)]]="Y", CallLog[[#This Row],[Speed of answer in seconds]]&lt;=20),
    "Within",
    "Breach")</f>
        <v>Breach</v>
      </c>
    </row>
    <row r="4406" spans="1:14" x14ac:dyDescent="0.3">
      <c r="A4406" t="s">
        <v>4507</v>
      </c>
      <c r="B4406" t="s">
        <v>34</v>
      </c>
      <c r="C4406" t="s">
        <v>4481</v>
      </c>
      <c r="D4406" s="1">
        <v>0.59599537037037043</v>
      </c>
      <c r="E4406" s="2">
        <f>CallLog[[#This Row],[Date]]+CallLog[[#This Row],[Time]]</f>
        <v>44274.595995370371</v>
      </c>
      <c r="F4406" s="1" t="str">
        <f>TEXT(CallLog[[#This Row],[Date]],"dddd")</f>
        <v>Friday</v>
      </c>
      <c r="G4406" s="3">
        <f>HOUR(CallLog[[#This Row],[Time]])</f>
        <v>14</v>
      </c>
      <c r="H4406" t="s">
        <v>29</v>
      </c>
      <c r="I4406" t="s">
        <v>18</v>
      </c>
      <c r="J4406" t="s">
        <v>18</v>
      </c>
      <c r="L4406" t="str">
        <f>IF(AND(CallLog[[#This Row],[Answered (Y/N)]]="Y", CallLog[[#This Row],[Speed of answer in seconds]]&lt;=20),
    "Within",
    "Breach")</f>
        <v>Breach</v>
      </c>
    </row>
    <row r="4407" spans="1:14" x14ac:dyDescent="0.3">
      <c r="A4407" t="s">
        <v>4508</v>
      </c>
      <c r="B4407" t="s">
        <v>11</v>
      </c>
      <c r="C4407" t="s">
        <v>4481</v>
      </c>
      <c r="D4407" s="1">
        <v>0.59599537037037043</v>
      </c>
      <c r="E4407" s="2">
        <f>CallLog[[#This Row],[Date]]+CallLog[[#This Row],[Time]]</f>
        <v>44274.595995370371</v>
      </c>
      <c r="F4407" s="1" t="str">
        <f>TEXT(CallLog[[#This Row],[Date]],"dddd")</f>
        <v>Friday</v>
      </c>
      <c r="G4407" s="3">
        <f>HOUR(CallLog[[#This Row],[Time]])</f>
        <v>14</v>
      </c>
      <c r="H4407" t="s">
        <v>29</v>
      </c>
      <c r="I4407" t="s">
        <v>14</v>
      </c>
      <c r="J4407" t="s">
        <v>14</v>
      </c>
      <c r="K4407">
        <v>98</v>
      </c>
      <c r="L4407" t="str">
        <f>IF(AND(CallLog[[#This Row],[Answered (Y/N)]]="Y", CallLog[[#This Row],[Speed of answer in seconds]]&lt;=20),
    "Within",
    "Breach")</f>
        <v>Breach</v>
      </c>
      <c r="M4407" s="1">
        <v>4.7106481481481478E-3</v>
      </c>
      <c r="N4407">
        <v>4</v>
      </c>
    </row>
    <row r="4408" spans="1:14" x14ac:dyDescent="0.3">
      <c r="A4408" t="s">
        <v>4509</v>
      </c>
      <c r="B4408" t="s">
        <v>31</v>
      </c>
      <c r="C4408" t="s">
        <v>4481</v>
      </c>
      <c r="D4408" s="1">
        <v>0.64</v>
      </c>
      <c r="E4408" s="2">
        <f>CallLog[[#This Row],[Date]]+CallLog[[#This Row],[Time]]</f>
        <v>44274.64</v>
      </c>
      <c r="F4408" s="1" t="str">
        <f>TEXT(CallLog[[#This Row],[Date]],"dddd")</f>
        <v>Friday</v>
      </c>
      <c r="G4408" s="3">
        <f>HOUR(CallLog[[#This Row],[Time]])</f>
        <v>15</v>
      </c>
      <c r="H4408" t="s">
        <v>32</v>
      </c>
      <c r="I4408" t="s">
        <v>14</v>
      </c>
      <c r="J4408" t="s">
        <v>14</v>
      </c>
      <c r="K4408">
        <v>96</v>
      </c>
      <c r="L4408" t="str">
        <f>IF(AND(CallLog[[#This Row],[Answered (Y/N)]]="Y", CallLog[[#This Row],[Speed of answer in seconds]]&lt;=20),
    "Within",
    "Breach")</f>
        <v>Breach</v>
      </c>
      <c r="M4408" s="1">
        <v>4.0393518518518521E-3</v>
      </c>
      <c r="N4408">
        <v>2</v>
      </c>
    </row>
    <row r="4409" spans="1:14" x14ac:dyDescent="0.3">
      <c r="A4409" t="s">
        <v>4510</v>
      </c>
      <c r="B4409" t="s">
        <v>11</v>
      </c>
      <c r="C4409" t="s">
        <v>4481</v>
      </c>
      <c r="D4409" s="1">
        <v>0.64</v>
      </c>
      <c r="E4409" s="2">
        <f>CallLog[[#This Row],[Date]]+CallLog[[#This Row],[Time]]</f>
        <v>44274.64</v>
      </c>
      <c r="F4409" s="1" t="str">
        <f>TEXT(CallLog[[#This Row],[Date]],"dddd")</f>
        <v>Friday</v>
      </c>
      <c r="G4409" s="3">
        <f>HOUR(CallLog[[#This Row],[Time]])</f>
        <v>15</v>
      </c>
      <c r="H4409" t="s">
        <v>24</v>
      </c>
      <c r="I4409" t="s">
        <v>18</v>
      </c>
      <c r="J4409" t="s">
        <v>18</v>
      </c>
      <c r="L4409" t="str">
        <f>IF(AND(CallLog[[#This Row],[Answered (Y/N)]]="Y", CallLog[[#This Row],[Speed of answer in seconds]]&lt;=20),
    "Within",
    "Breach")</f>
        <v>Breach</v>
      </c>
    </row>
    <row r="4410" spans="1:14" x14ac:dyDescent="0.3">
      <c r="A4410" t="s">
        <v>4511</v>
      </c>
      <c r="B4410" t="s">
        <v>34</v>
      </c>
      <c r="C4410" t="s">
        <v>4481</v>
      </c>
      <c r="D4410" s="1">
        <v>0.64200231481481485</v>
      </c>
      <c r="E4410" s="2">
        <f>CallLog[[#This Row],[Date]]+CallLog[[#This Row],[Time]]</f>
        <v>44274.642002314817</v>
      </c>
      <c r="F4410" s="1" t="str">
        <f>TEXT(CallLog[[#This Row],[Date]],"dddd")</f>
        <v>Friday</v>
      </c>
      <c r="G4410" s="3">
        <f>HOUR(CallLog[[#This Row],[Time]])</f>
        <v>15</v>
      </c>
      <c r="H4410" t="s">
        <v>24</v>
      </c>
      <c r="I4410" t="s">
        <v>14</v>
      </c>
      <c r="J4410" t="s">
        <v>14</v>
      </c>
      <c r="K4410">
        <v>60</v>
      </c>
      <c r="L4410" t="str">
        <f>IF(AND(CallLog[[#This Row],[Answered (Y/N)]]="Y", CallLog[[#This Row],[Speed of answer in seconds]]&lt;=20),
    "Within",
    "Breach")</f>
        <v>Breach</v>
      </c>
      <c r="M4410" s="1">
        <v>8.9120370370370373E-4</v>
      </c>
      <c r="N4410">
        <v>1</v>
      </c>
    </row>
    <row r="4411" spans="1:14" x14ac:dyDescent="0.3">
      <c r="A4411" t="s">
        <v>4512</v>
      </c>
      <c r="B4411" t="s">
        <v>34</v>
      </c>
      <c r="C4411" t="s">
        <v>4481</v>
      </c>
      <c r="D4411" s="1">
        <v>0.64200231481481485</v>
      </c>
      <c r="E4411" s="2">
        <f>CallLog[[#This Row],[Date]]+CallLog[[#This Row],[Time]]</f>
        <v>44274.642002314817</v>
      </c>
      <c r="F4411" s="1" t="str">
        <f>TEXT(CallLog[[#This Row],[Date]],"dddd")</f>
        <v>Friday</v>
      </c>
      <c r="G4411" s="3">
        <f>HOUR(CallLog[[#This Row],[Time]])</f>
        <v>15</v>
      </c>
      <c r="H4411" t="s">
        <v>13</v>
      </c>
      <c r="I4411" t="s">
        <v>14</v>
      </c>
      <c r="J4411" t="s">
        <v>14</v>
      </c>
      <c r="K4411">
        <v>115</v>
      </c>
      <c r="L4411" t="str">
        <f>IF(AND(CallLog[[#This Row],[Answered (Y/N)]]="Y", CallLog[[#This Row],[Speed of answer in seconds]]&lt;=20),
    "Within",
    "Breach")</f>
        <v>Breach</v>
      </c>
      <c r="M4411" s="1">
        <v>3.425925925925926E-3</v>
      </c>
      <c r="N4411">
        <v>3</v>
      </c>
    </row>
    <row r="4412" spans="1:14" x14ac:dyDescent="0.3">
      <c r="A4412" t="s">
        <v>4513</v>
      </c>
      <c r="B4412" t="s">
        <v>38</v>
      </c>
      <c r="C4412" t="s">
        <v>4481</v>
      </c>
      <c r="D4412" s="1">
        <v>0.64500000000000002</v>
      </c>
      <c r="E4412" s="2">
        <f>CallLog[[#This Row],[Date]]+CallLog[[#This Row],[Time]]</f>
        <v>44274.644999999997</v>
      </c>
      <c r="F4412" s="1" t="str">
        <f>TEXT(CallLog[[#This Row],[Date]],"dddd")</f>
        <v>Friday</v>
      </c>
      <c r="G4412" s="3">
        <f>HOUR(CallLog[[#This Row],[Time]])</f>
        <v>15</v>
      </c>
      <c r="H4412" t="s">
        <v>13</v>
      </c>
      <c r="I4412" t="s">
        <v>14</v>
      </c>
      <c r="J4412" t="s">
        <v>14</v>
      </c>
      <c r="K4412">
        <v>86</v>
      </c>
      <c r="L4412" t="str">
        <f>IF(AND(CallLog[[#This Row],[Answered (Y/N)]]="Y", CallLog[[#This Row],[Speed of answer in seconds]]&lt;=20),
    "Within",
    "Breach")</f>
        <v>Breach</v>
      </c>
      <c r="M4412" s="1">
        <v>1.5856481481481481E-3</v>
      </c>
      <c r="N4412">
        <v>4</v>
      </c>
    </row>
    <row r="4413" spans="1:14" x14ac:dyDescent="0.3">
      <c r="A4413" t="s">
        <v>4514</v>
      </c>
      <c r="B4413" t="s">
        <v>38</v>
      </c>
      <c r="C4413" t="s">
        <v>4481</v>
      </c>
      <c r="D4413" s="1">
        <v>0.64500000000000002</v>
      </c>
      <c r="E4413" s="2">
        <f>CallLog[[#This Row],[Date]]+CallLog[[#This Row],[Time]]</f>
        <v>44274.644999999997</v>
      </c>
      <c r="F4413" s="1" t="str">
        <f>TEXT(CallLog[[#This Row],[Date]],"dddd")</f>
        <v>Friday</v>
      </c>
      <c r="G4413" s="3">
        <f>HOUR(CallLog[[#This Row],[Time]])</f>
        <v>15</v>
      </c>
      <c r="H4413" t="s">
        <v>24</v>
      </c>
      <c r="I4413" t="s">
        <v>14</v>
      </c>
      <c r="J4413" t="s">
        <v>14</v>
      </c>
      <c r="K4413">
        <v>99</v>
      </c>
      <c r="L4413" t="str">
        <f>IF(AND(CallLog[[#This Row],[Answered (Y/N)]]="Y", CallLog[[#This Row],[Speed of answer in seconds]]&lt;=20),
    "Within",
    "Breach")</f>
        <v>Breach</v>
      </c>
      <c r="M4413" s="1">
        <v>1.5046296296296296E-3</v>
      </c>
      <c r="N4413">
        <v>2</v>
      </c>
    </row>
    <row r="4414" spans="1:14" x14ac:dyDescent="0.3">
      <c r="A4414" t="s">
        <v>4515</v>
      </c>
      <c r="B4414" t="s">
        <v>22</v>
      </c>
      <c r="C4414" t="s">
        <v>4481</v>
      </c>
      <c r="D4414" s="1">
        <v>0.64900462962962968</v>
      </c>
      <c r="E4414" s="2">
        <f>CallLog[[#This Row],[Date]]+CallLog[[#This Row],[Time]]</f>
        <v>44274.649004629631</v>
      </c>
      <c r="F4414" s="1" t="str">
        <f>TEXT(CallLog[[#This Row],[Date]],"dddd")</f>
        <v>Friday</v>
      </c>
      <c r="G4414" s="3">
        <f>HOUR(CallLog[[#This Row],[Time]])</f>
        <v>15</v>
      </c>
      <c r="H4414" t="s">
        <v>29</v>
      </c>
      <c r="I4414" t="s">
        <v>14</v>
      </c>
      <c r="J4414" t="s">
        <v>18</v>
      </c>
      <c r="K4414">
        <v>55</v>
      </c>
      <c r="L4414" t="str">
        <f>IF(AND(CallLog[[#This Row],[Answered (Y/N)]]="Y", CallLog[[#This Row],[Speed of answer in seconds]]&lt;=20),
    "Within",
    "Breach")</f>
        <v>Breach</v>
      </c>
      <c r="M4414" s="1">
        <v>2.4421296296296296E-3</v>
      </c>
      <c r="N4414">
        <v>4</v>
      </c>
    </row>
    <row r="4415" spans="1:14" x14ac:dyDescent="0.3">
      <c r="A4415" t="s">
        <v>4516</v>
      </c>
      <c r="B4415" t="s">
        <v>34</v>
      </c>
      <c r="C4415" t="s">
        <v>4481</v>
      </c>
      <c r="D4415" s="1">
        <v>0.64900462962962968</v>
      </c>
      <c r="E4415" s="2">
        <f>CallLog[[#This Row],[Date]]+CallLog[[#This Row],[Time]]</f>
        <v>44274.649004629631</v>
      </c>
      <c r="F4415" s="1" t="str">
        <f>TEXT(CallLog[[#This Row],[Date]],"dddd")</f>
        <v>Friday</v>
      </c>
      <c r="G4415" s="3">
        <f>HOUR(CallLog[[#This Row],[Time]])</f>
        <v>15</v>
      </c>
      <c r="H4415" t="s">
        <v>32</v>
      </c>
      <c r="I4415" t="s">
        <v>14</v>
      </c>
      <c r="J4415" t="s">
        <v>18</v>
      </c>
      <c r="K4415">
        <v>100</v>
      </c>
      <c r="L4415" t="str">
        <f>IF(AND(CallLog[[#This Row],[Answered (Y/N)]]="Y", CallLog[[#This Row],[Speed of answer in seconds]]&lt;=20),
    "Within",
    "Breach")</f>
        <v>Breach</v>
      </c>
      <c r="M4415" s="1">
        <v>1.0648148148148149E-3</v>
      </c>
      <c r="N4415">
        <v>2</v>
      </c>
    </row>
    <row r="4416" spans="1:14" x14ac:dyDescent="0.3">
      <c r="A4416" t="s">
        <v>4517</v>
      </c>
      <c r="B4416" t="s">
        <v>16</v>
      </c>
      <c r="C4416" t="s">
        <v>4481</v>
      </c>
      <c r="D4416" s="1">
        <v>0.68599537037037039</v>
      </c>
      <c r="E4416" s="2">
        <f>CallLog[[#This Row],[Date]]+CallLog[[#This Row],[Time]]</f>
        <v>44274.685995370368</v>
      </c>
      <c r="F4416" s="1" t="str">
        <f>TEXT(CallLog[[#This Row],[Date]],"dddd")</f>
        <v>Friday</v>
      </c>
      <c r="G4416" s="3">
        <f>HOUR(CallLog[[#This Row],[Time]])</f>
        <v>16</v>
      </c>
      <c r="H4416" t="s">
        <v>13</v>
      </c>
      <c r="I4416" t="s">
        <v>14</v>
      </c>
      <c r="J4416" t="s">
        <v>14</v>
      </c>
      <c r="K4416">
        <v>101</v>
      </c>
      <c r="L4416" t="str">
        <f>IF(AND(CallLog[[#This Row],[Answered (Y/N)]]="Y", CallLog[[#This Row],[Speed of answer in seconds]]&lt;=20),
    "Within",
    "Breach")</f>
        <v>Breach</v>
      </c>
      <c r="M4416" s="1">
        <v>9.7222222222222219E-4</v>
      </c>
      <c r="N4416">
        <v>4</v>
      </c>
    </row>
    <row r="4417" spans="1:14" x14ac:dyDescent="0.3">
      <c r="A4417" t="s">
        <v>4518</v>
      </c>
      <c r="B4417" t="s">
        <v>34</v>
      </c>
      <c r="C4417" t="s">
        <v>4481</v>
      </c>
      <c r="D4417" s="1">
        <v>0.68599537037037039</v>
      </c>
      <c r="E4417" s="2">
        <f>CallLog[[#This Row],[Date]]+CallLog[[#This Row],[Time]]</f>
        <v>44274.685995370368</v>
      </c>
      <c r="F4417" s="1" t="str">
        <f>TEXT(CallLog[[#This Row],[Date]],"dddd")</f>
        <v>Friday</v>
      </c>
      <c r="G4417" s="3">
        <f>HOUR(CallLog[[#This Row],[Time]])</f>
        <v>16</v>
      </c>
      <c r="H4417" t="s">
        <v>24</v>
      </c>
      <c r="I4417" t="s">
        <v>14</v>
      </c>
      <c r="J4417" t="s">
        <v>14</v>
      </c>
      <c r="K4417">
        <v>105</v>
      </c>
      <c r="L4417" t="str">
        <f>IF(AND(CallLog[[#This Row],[Answered (Y/N)]]="Y", CallLog[[#This Row],[Speed of answer in seconds]]&lt;=20),
    "Within",
    "Breach")</f>
        <v>Breach</v>
      </c>
      <c r="M4417" s="1">
        <v>4.386574074074074E-3</v>
      </c>
      <c r="N4417">
        <v>5</v>
      </c>
    </row>
    <row r="4418" spans="1:14" x14ac:dyDescent="0.3">
      <c r="A4418" t="s">
        <v>4519</v>
      </c>
      <c r="B4418" t="s">
        <v>20</v>
      </c>
      <c r="C4418" t="s">
        <v>4481</v>
      </c>
      <c r="D4418" s="1">
        <v>0.69</v>
      </c>
      <c r="E4418" s="2">
        <f>CallLog[[#This Row],[Date]]+CallLog[[#This Row],[Time]]</f>
        <v>44274.69</v>
      </c>
      <c r="F4418" s="1" t="str">
        <f>TEXT(CallLog[[#This Row],[Date]],"dddd")</f>
        <v>Friday</v>
      </c>
      <c r="G4418" s="3">
        <f>HOUR(CallLog[[#This Row],[Time]])</f>
        <v>16</v>
      </c>
      <c r="H4418" t="s">
        <v>24</v>
      </c>
      <c r="I4418" t="s">
        <v>18</v>
      </c>
      <c r="J4418" t="s">
        <v>18</v>
      </c>
      <c r="L4418" t="str">
        <f>IF(AND(CallLog[[#This Row],[Answered (Y/N)]]="Y", CallLog[[#This Row],[Speed of answer in seconds]]&lt;=20),
    "Within",
    "Breach")</f>
        <v>Breach</v>
      </c>
    </row>
    <row r="4419" spans="1:14" x14ac:dyDescent="0.3">
      <c r="A4419" t="s">
        <v>4520</v>
      </c>
      <c r="B4419" t="s">
        <v>22</v>
      </c>
      <c r="C4419" t="s">
        <v>4481</v>
      </c>
      <c r="D4419" s="1">
        <v>0.69</v>
      </c>
      <c r="E4419" s="2">
        <f>CallLog[[#This Row],[Date]]+CallLog[[#This Row],[Time]]</f>
        <v>44274.69</v>
      </c>
      <c r="F4419" s="1" t="str">
        <f>TEXT(CallLog[[#This Row],[Date]],"dddd")</f>
        <v>Friday</v>
      </c>
      <c r="G4419" s="3">
        <f>HOUR(CallLog[[#This Row],[Time]])</f>
        <v>16</v>
      </c>
      <c r="H4419" t="s">
        <v>13</v>
      </c>
      <c r="I4419" t="s">
        <v>14</v>
      </c>
      <c r="J4419" t="s">
        <v>14</v>
      </c>
      <c r="K4419">
        <v>47</v>
      </c>
      <c r="L4419" t="str">
        <f>IF(AND(CallLog[[#This Row],[Answered (Y/N)]]="Y", CallLog[[#This Row],[Speed of answer in seconds]]&lt;=20),
    "Within",
    "Breach")</f>
        <v>Breach</v>
      </c>
      <c r="M4419" s="1">
        <v>4.7916666666666663E-3</v>
      </c>
      <c r="N4419">
        <v>4</v>
      </c>
    </row>
    <row r="4420" spans="1:14" x14ac:dyDescent="0.3">
      <c r="A4420" t="s">
        <v>4521</v>
      </c>
      <c r="B4420" t="s">
        <v>22</v>
      </c>
      <c r="C4420" t="s">
        <v>4481</v>
      </c>
      <c r="D4420" s="1">
        <v>0.69700231481481478</v>
      </c>
      <c r="E4420" s="2">
        <f>CallLog[[#This Row],[Date]]+CallLog[[#This Row],[Time]]</f>
        <v>44274.697002314817</v>
      </c>
      <c r="F4420" s="1" t="str">
        <f>TEXT(CallLog[[#This Row],[Date]],"dddd")</f>
        <v>Friday</v>
      </c>
      <c r="G4420" s="3">
        <f>HOUR(CallLog[[#This Row],[Time]])</f>
        <v>16</v>
      </c>
      <c r="H4420" t="s">
        <v>29</v>
      </c>
      <c r="I4420" t="s">
        <v>14</v>
      </c>
      <c r="J4420" t="s">
        <v>14</v>
      </c>
      <c r="K4420">
        <v>123</v>
      </c>
      <c r="L4420" t="str">
        <f>IF(AND(CallLog[[#This Row],[Answered (Y/N)]]="Y", CallLog[[#This Row],[Speed of answer in seconds]]&lt;=20),
    "Within",
    "Breach")</f>
        <v>Breach</v>
      </c>
      <c r="M4420" s="1">
        <v>1.8518518518518519E-3</v>
      </c>
      <c r="N4420">
        <v>3</v>
      </c>
    </row>
    <row r="4421" spans="1:14" x14ac:dyDescent="0.3">
      <c r="A4421" t="s">
        <v>4522</v>
      </c>
      <c r="B4421" t="s">
        <v>31</v>
      </c>
      <c r="C4421" t="s">
        <v>4481</v>
      </c>
      <c r="D4421" s="1">
        <v>0.69700231481481478</v>
      </c>
      <c r="E4421" s="2">
        <f>CallLog[[#This Row],[Date]]+CallLog[[#This Row],[Time]]</f>
        <v>44274.697002314817</v>
      </c>
      <c r="F4421" s="1" t="str">
        <f>TEXT(CallLog[[#This Row],[Date]],"dddd")</f>
        <v>Friday</v>
      </c>
      <c r="G4421" s="3">
        <f>HOUR(CallLog[[#This Row],[Time]])</f>
        <v>16</v>
      </c>
      <c r="H4421" t="s">
        <v>32</v>
      </c>
      <c r="I4421" t="s">
        <v>14</v>
      </c>
      <c r="J4421" t="s">
        <v>18</v>
      </c>
      <c r="K4421">
        <v>108</v>
      </c>
      <c r="L4421" t="str">
        <f>IF(AND(CallLog[[#This Row],[Answered (Y/N)]]="Y", CallLog[[#This Row],[Speed of answer in seconds]]&lt;=20),
    "Within",
    "Breach")</f>
        <v>Breach</v>
      </c>
      <c r="M4421" s="1">
        <v>3.2291666666666666E-3</v>
      </c>
      <c r="N4421">
        <v>3</v>
      </c>
    </row>
    <row r="4422" spans="1:14" x14ac:dyDescent="0.3">
      <c r="A4422" t="s">
        <v>4523</v>
      </c>
      <c r="B4422" t="s">
        <v>20</v>
      </c>
      <c r="C4422" t="s">
        <v>4524</v>
      </c>
      <c r="D4422" s="1">
        <v>0.37900462962962961</v>
      </c>
      <c r="E4422" s="2">
        <f>CallLog[[#This Row],[Date]]+CallLog[[#This Row],[Time]]</f>
        <v>44275.379004629627</v>
      </c>
      <c r="F4422" s="1" t="str">
        <f>TEXT(CallLog[[#This Row],[Date]],"dddd")</f>
        <v>Saturday</v>
      </c>
      <c r="G4422" s="3">
        <f>HOUR(CallLog[[#This Row],[Time]])</f>
        <v>9</v>
      </c>
      <c r="H4422" t="s">
        <v>29</v>
      </c>
      <c r="I4422" t="s">
        <v>18</v>
      </c>
      <c r="J4422" t="s">
        <v>18</v>
      </c>
      <c r="L4422" t="str">
        <f>IF(AND(CallLog[[#This Row],[Answered (Y/N)]]="Y", CallLog[[#This Row],[Speed of answer in seconds]]&lt;=20),
    "Within",
    "Breach")</f>
        <v>Breach</v>
      </c>
    </row>
    <row r="4423" spans="1:14" x14ac:dyDescent="0.3">
      <c r="A4423" t="s">
        <v>4525</v>
      </c>
      <c r="B4423" t="s">
        <v>38</v>
      </c>
      <c r="C4423" t="s">
        <v>4524</v>
      </c>
      <c r="D4423" s="1">
        <v>0.37900462962962961</v>
      </c>
      <c r="E4423" s="2">
        <f>CallLog[[#This Row],[Date]]+CallLog[[#This Row],[Time]]</f>
        <v>44275.379004629627</v>
      </c>
      <c r="F4423" s="1" t="str">
        <f>TEXT(CallLog[[#This Row],[Date]],"dddd")</f>
        <v>Saturday</v>
      </c>
      <c r="G4423" s="3">
        <f>HOUR(CallLog[[#This Row],[Time]])</f>
        <v>9</v>
      </c>
      <c r="H4423" t="s">
        <v>17</v>
      </c>
      <c r="I4423" t="s">
        <v>14</v>
      </c>
      <c r="J4423" t="s">
        <v>14</v>
      </c>
      <c r="K4423">
        <v>35</v>
      </c>
      <c r="L4423" t="str">
        <f>IF(AND(CallLog[[#This Row],[Answered (Y/N)]]="Y", CallLog[[#This Row],[Speed of answer in seconds]]&lt;=20),
    "Within",
    "Breach")</f>
        <v>Breach</v>
      </c>
      <c r="M4423" s="1">
        <v>7.7546296296296293E-4</v>
      </c>
      <c r="N4423">
        <v>5</v>
      </c>
    </row>
    <row r="4424" spans="1:14" x14ac:dyDescent="0.3">
      <c r="A4424" t="s">
        <v>4526</v>
      </c>
      <c r="B4424" t="s">
        <v>31</v>
      </c>
      <c r="C4424" t="s">
        <v>4524</v>
      </c>
      <c r="D4424" s="1">
        <v>0.41499999999999998</v>
      </c>
      <c r="E4424" s="2">
        <f>CallLog[[#This Row],[Date]]+CallLog[[#This Row],[Time]]</f>
        <v>44275.415000000001</v>
      </c>
      <c r="F4424" s="1" t="str">
        <f>TEXT(CallLog[[#This Row],[Date]],"dddd")</f>
        <v>Saturday</v>
      </c>
      <c r="G4424" s="3">
        <f>HOUR(CallLog[[#This Row],[Time]])</f>
        <v>9</v>
      </c>
      <c r="H4424" t="s">
        <v>17</v>
      </c>
      <c r="I4424" t="s">
        <v>14</v>
      </c>
      <c r="J4424" t="s">
        <v>14</v>
      </c>
      <c r="K4424">
        <v>80</v>
      </c>
      <c r="L4424" t="str">
        <f>IF(AND(CallLog[[#This Row],[Answered (Y/N)]]="Y", CallLog[[#This Row],[Speed of answer in seconds]]&lt;=20),
    "Within",
    "Breach")</f>
        <v>Breach</v>
      </c>
      <c r="M4424" s="1">
        <v>2.1643518518518518E-3</v>
      </c>
      <c r="N4424">
        <v>5</v>
      </c>
    </row>
    <row r="4425" spans="1:14" x14ac:dyDescent="0.3">
      <c r="A4425" t="s">
        <v>4527</v>
      </c>
      <c r="B4425" t="s">
        <v>47</v>
      </c>
      <c r="C4425" t="s">
        <v>4524</v>
      </c>
      <c r="D4425" s="1">
        <v>0.41499999999999998</v>
      </c>
      <c r="E4425" s="2">
        <f>CallLog[[#This Row],[Date]]+CallLog[[#This Row],[Time]]</f>
        <v>44275.415000000001</v>
      </c>
      <c r="F4425" s="1" t="str">
        <f>TEXT(CallLog[[#This Row],[Date]],"dddd")</f>
        <v>Saturday</v>
      </c>
      <c r="G4425" s="3">
        <f>HOUR(CallLog[[#This Row],[Time]])</f>
        <v>9</v>
      </c>
      <c r="H4425" t="s">
        <v>17</v>
      </c>
      <c r="I4425" t="s">
        <v>14</v>
      </c>
      <c r="J4425" t="s">
        <v>14</v>
      </c>
      <c r="K4425">
        <v>16</v>
      </c>
      <c r="L4425" t="str">
        <f>IF(AND(CallLog[[#This Row],[Answered (Y/N)]]="Y", CallLog[[#This Row],[Speed of answer in seconds]]&lt;=20),
    "Within",
    "Breach")</f>
        <v>Within</v>
      </c>
      <c r="M4425" s="1">
        <v>2.0254629629629629E-3</v>
      </c>
      <c r="N4425">
        <v>5</v>
      </c>
    </row>
    <row r="4426" spans="1:14" x14ac:dyDescent="0.3">
      <c r="A4426" t="s">
        <v>4528</v>
      </c>
      <c r="B4426" t="s">
        <v>47</v>
      </c>
      <c r="C4426" t="s">
        <v>4524</v>
      </c>
      <c r="D4426" s="1">
        <v>0.42900462962962965</v>
      </c>
      <c r="E4426" s="2">
        <f>CallLog[[#This Row],[Date]]+CallLog[[#This Row],[Time]]</f>
        <v>44275.42900462963</v>
      </c>
      <c r="F4426" s="1" t="str">
        <f>TEXT(CallLog[[#This Row],[Date]],"dddd")</f>
        <v>Saturday</v>
      </c>
      <c r="G4426" s="3">
        <f>HOUR(CallLog[[#This Row],[Time]])</f>
        <v>10</v>
      </c>
      <c r="H4426" t="s">
        <v>29</v>
      </c>
      <c r="I4426" t="s">
        <v>14</v>
      </c>
      <c r="J4426" t="s">
        <v>14</v>
      </c>
      <c r="K4426">
        <v>102</v>
      </c>
      <c r="L4426" t="str">
        <f>IF(AND(CallLog[[#This Row],[Answered (Y/N)]]="Y", CallLog[[#This Row],[Speed of answer in seconds]]&lt;=20),
    "Within",
    "Breach")</f>
        <v>Breach</v>
      </c>
      <c r="M4426" s="1">
        <v>4.340277777777778E-3</v>
      </c>
      <c r="N4426">
        <v>3</v>
      </c>
    </row>
    <row r="4427" spans="1:14" x14ac:dyDescent="0.3">
      <c r="A4427" t="s">
        <v>4529</v>
      </c>
      <c r="B4427" t="s">
        <v>20</v>
      </c>
      <c r="C4427" t="s">
        <v>4524</v>
      </c>
      <c r="D4427" s="1">
        <v>0.42900462962962965</v>
      </c>
      <c r="E4427" s="2">
        <f>CallLog[[#This Row],[Date]]+CallLog[[#This Row],[Time]]</f>
        <v>44275.42900462963</v>
      </c>
      <c r="F4427" s="1" t="str">
        <f>TEXT(CallLog[[#This Row],[Date]],"dddd")</f>
        <v>Saturday</v>
      </c>
      <c r="G4427" s="3">
        <f>HOUR(CallLog[[#This Row],[Time]])</f>
        <v>10</v>
      </c>
      <c r="H4427" t="s">
        <v>32</v>
      </c>
      <c r="I4427" t="s">
        <v>18</v>
      </c>
      <c r="J4427" t="s">
        <v>18</v>
      </c>
      <c r="L4427" t="str">
        <f>IF(AND(CallLog[[#This Row],[Answered (Y/N)]]="Y", CallLog[[#This Row],[Speed of answer in seconds]]&lt;=20),
    "Within",
    "Breach")</f>
        <v>Breach</v>
      </c>
    </row>
    <row r="4428" spans="1:14" x14ac:dyDescent="0.3">
      <c r="A4428" t="s">
        <v>4530</v>
      </c>
      <c r="B4428" t="s">
        <v>34</v>
      </c>
      <c r="C4428" t="s">
        <v>4524</v>
      </c>
      <c r="D4428" s="1">
        <v>0.43</v>
      </c>
      <c r="E4428" s="2">
        <f>CallLog[[#This Row],[Date]]+CallLog[[#This Row],[Time]]</f>
        <v>44275.43</v>
      </c>
      <c r="F4428" s="1" t="str">
        <f>TEXT(CallLog[[#This Row],[Date]],"dddd")</f>
        <v>Saturday</v>
      </c>
      <c r="G4428" s="3">
        <f>HOUR(CallLog[[#This Row],[Time]])</f>
        <v>10</v>
      </c>
      <c r="H4428" t="s">
        <v>32</v>
      </c>
      <c r="I4428" t="s">
        <v>14</v>
      </c>
      <c r="J4428" t="s">
        <v>14</v>
      </c>
      <c r="K4428">
        <v>111</v>
      </c>
      <c r="L4428" t="str">
        <f>IF(AND(CallLog[[#This Row],[Answered (Y/N)]]="Y", CallLog[[#This Row],[Speed of answer in seconds]]&lt;=20),
    "Within",
    "Breach")</f>
        <v>Breach</v>
      </c>
      <c r="M4428" s="1">
        <v>4.3518518518518515E-3</v>
      </c>
      <c r="N4428">
        <v>3</v>
      </c>
    </row>
    <row r="4429" spans="1:14" x14ac:dyDescent="0.3">
      <c r="A4429" t="s">
        <v>4531</v>
      </c>
      <c r="B4429" t="s">
        <v>16</v>
      </c>
      <c r="C4429" t="s">
        <v>4524</v>
      </c>
      <c r="D4429" s="1">
        <v>0.43</v>
      </c>
      <c r="E4429" s="2">
        <f>CallLog[[#This Row],[Date]]+CallLog[[#This Row],[Time]]</f>
        <v>44275.43</v>
      </c>
      <c r="F4429" s="1" t="str">
        <f>TEXT(CallLog[[#This Row],[Date]],"dddd")</f>
        <v>Saturday</v>
      </c>
      <c r="G4429" s="3">
        <f>HOUR(CallLog[[#This Row],[Time]])</f>
        <v>10</v>
      </c>
      <c r="H4429" t="s">
        <v>24</v>
      </c>
      <c r="I4429" t="s">
        <v>14</v>
      </c>
      <c r="J4429" t="s">
        <v>14</v>
      </c>
      <c r="K4429">
        <v>81</v>
      </c>
      <c r="L4429" t="str">
        <f>IF(AND(CallLog[[#This Row],[Answered (Y/N)]]="Y", CallLog[[#This Row],[Speed of answer in seconds]]&lt;=20),
    "Within",
    "Breach")</f>
        <v>Breach</v>
      </c>
      <c r="M4429" s="1">
        <v>3.2986111111111111E-3</v>
      </c>
      <c r="N4429">
        <v>4</v>
      </c>
    </row>
    <row r="4430" spans="1:14" x14ac:dyDescent="0.3">
      <c r="A4430" t="s">
        <v>4532</v>
      </c>
      <c r="B4430" t="s">
        <v>11</v>
      </c>
      <c r="C4430" t="s">
        <v>4524</v>
      </c>
      <c r="D4430" s="1">
        <v>0.44599537037037035</v>
      </c>
      <c r="E4430" s="2">
        <f>CallLog[[#This Row],[Date]]+CallLog[[#This Row],[Time]]</f>
        <v>44275.44599537037</v>
      </c>
      <c r="F4430" s="1" t="str">
        <f>TEXT(CallLog[[#This Row],[Date]],"dddd")</f>
        <v>Saturday</v>
      </c>
      <c r="G4430" s="3">
        <f>HOUR(CallLog[[#This Row],[Time]])</f>
        <v>10</v>
      </c>
      <c r="H4430" t="s">
        <v>13</v>
      </c>
      <c r="I4430" t="s">
        <v>18</v>
      </c>
      <c r="J4430" t="s">
        <v>18</v>
      </c>
      <c r="L4430" t="str">
        <f>IF(AND(CallLog[[#This Row],[Answered (Y/N)]]="Y", CallLog[[#This Row],[Speed of answer in seconds]]&lt;=20),
    "Within",
    "Breach")</f>
        <v>Breach</v>
      </c>
    </row>
    <row r="4431" spans="1:14" x14ac:dyDescent="0.3">
      <c r="A4431" t="s">
        <v>4533</v>
      </c>
      <c r="B4431" t="s">
        <v>38</v>
      </c>
      <c r="C4431" t="s">
        <v>4524</v>
      </c>
      <c r="D4431" s="1">
        <v>0.44599537037037035</v>
      </c>
      <c r="E4431" s="2">
        <f>CallLog[[#This Row],[Date]]+CallLog[[#This Row],[Time]]</f>
        <v>44275.44599537037</v>
      </c>
      <c r="F4431" s="1" t="str">
        <f>TEXT(CallLog[[#This Row],[Date]],"dddd")</f>
        <v>Saturday</v>
      </c>
      <c r="G4431" s="3">
        <f>HOUR(CallLog[[#This Row],[Time]])</f>
        <v>10</v>
      </c>
      <c r="H4431" t="s">
        <v>17</v>
      </c>
      <c r="I4431" t="s">
        <v>14</v>
      </c>
      <c r="J4431" t="s">
        <v>14</v>
      </c>
      <c r="K4431">
        <v>32</v>
      </c>
      <c r="L4431" t="str">
        <f>IF(AND(CallLog[[#This Row],[Answered (Y/N)]]="Y", CallLog[[#This Row],[Speed of answer in seconds]]&lt;=20),
    "Within",
    "Breach")</f>
        <v>Breach</v>
      </c>
      <c r="M4431" s="1">
        <v>4.1666666666666669E-4</v>
      </c>
      <c r="N4431">
        <v>5</v>
      </c>
    </row>
    <row r="4432" spans="1:14" x14ac:dyDescent="0.3">
      <c r="A4432" t="s">
        <v>4534</v>
      </c>
      <c r="B4432" t="s">
        <v>47</v>
      </c>
      <c r="C4432" t="s">
        <v>4524</v>
      </c>
      <c r="D4432" s="1">
        <v>0.4670023148148148</v>
      </c>
      <c r="E4432" s="2">
        <f>CallLog[[#This Row],[Date]]+CallLog[[#This Row],[Time]]</f>
        <v>44275.467002314814</v>
      </c>
      <c r="F4432" s="1" t="str">
        <f>TEXT(CallLog[[#This Row],[Date]],"dddd")</f>
        <v>Saturday</v>
      </c>
      <c r="G4432" s="3">
        <f>HOUR(CallLog[[#This Row],[Time]])</f>
        <v>11</v>
      </c>
      <c r="H4432" t="s">
        <v>24</v>
      </c>
      <c r="I4432" t="s">
        <v>18</v>
      </c>
      <c r="J4432" t="s">
        <v>18</v>
      </c>
      <c r="L4432" t="str">
        <f>IF(AND(CallLog[[#This Row],[Answered (Y/N)]]="Y", CallLog[[#This Row],[Speed of answer in seconds]]&lt;=20),
    "Within",
    "Breach")</f>
        <v>Breach</v>
      </c>
    </row>
    <row r="4433" spans="1:14" x14ac:dyDescent="0.3">
      <c r="A4433" t="s">
        <v>4535</v>
      </c>
      <c r="B4433" t="s">
        <v>11</v>
      </c>
      <c r="C4433" t="s">
        <v>4524</v>
      </c>
      <c r="D4433" s="1">
        <v>0.4670023148148148</v>
      </c>
      <c r="E4433" s="2">
        <f>CallLog[[#This Row],[Date]]+CallLog[[#This Row],[Time]]</f>
        <v>44275.467002314814</v>
      </c>
      <c r="F4433" s="1" t="str">
        <f>TEXT(CallLog[[#This Row],[Date]],"dddd")</f>
        <v>Saturday</v>
      </c>
      <c r="G4433" s="3">
        <f>HOUR(CallLog[[#This Row],[Time]])</f>
        <v>11</v>
      </c>
      <c r="H4433" t="s">
        <v>32</v>
      </c>
      <c r="I4433" t="s">
        <v>14</v>
      </c>
      <c r="J4433" t="s">
        <v>14</v>
      </c>
      <c r="K4433">
        <v>52</v>
      </c>
      <c r="L4433" t="str">
        <f>IF(AND(CallLog[[#This Row],[Answered (Y/N)]]="Y", CallLog[[#This Row],[Speed of answer in seconds]]&lt;=20),
    "Within",
    "Breach")</f>
        <v>Breach</v>
      </c>
      <c r="M4433" s="1">
        <v>2.2453703703703702E-3</v>
      </c>
      <c r="N4433">
        <v>3</v>
      </c>
    </row>
    <row r="4434" spans="1:14" x14ac:dyDescent="0.3">
      <c r="A4434" t="s">
        <v>4536</v>
      </c>
      <c r="B4434" t="s">
        <v>38</v>
      </c>
      <c r="C4434" t="s">
        <v>4524</v>
      </c>
      <c r="D4434" s="1">
        <v>0.47599537037037037</v>
      </c>
      <c r="E4434" s="2">
        <f>CallLog[[#This Row],[Date]]+CallLog[[#This Row],[Time]]</f>
        <v>44275.475995370369</v>
      </c>
      <c r="F4434" s="1" t="str">
        <f>TEXT(CallLog[[#This Row],[Date]],"dddd")</f>
        <v>Saturday</v>
      </c>
      <c r="G4434" s="3">
        <f>HOUR(CallLog[[#This Row],[Time]])</f>
        <v>11</v>
      </c>
      <c r="H4434" t="s">
        <v>17</v>
      </c>
      <c r="I4434" t="s">
        <v>14</v>
      </c>
      <c r="J4434" t="s">
        <v>14</v>
      </c>
      <c r="K4434">
        <v>112</v>
      </c>
      <c r="L4434" t="str">
        <f>IF(AND(CallLog[[#This Row],[Answered (Y/N)]]="Y", CallLog[[#This Row],[Speed of answer in seconds]]&lt;=20),
    "Within",
    "Breach")</f>
        <v>Breach</v>
      </c>
      <c r="M4434" s="1">
        <v>2.2106481481481482E-3</v>
      </c>
      <c r="N4434">
        <v>5</v>
      </c>
    </row>
    <row r="4435" spans="1:14" x14ac:dyDescent="0.3">
      <c r="A4435" t="s">
        <v>4537</v>
      </c>
      <c r="B4435" t="s">
        <v>16</v>
      </c>
      <c r="C4435" t="s">
        <v>4524</v>
      </c>
      <c r="D4435" s="1">
        <v>0.47599537037037037</v>
      </c>
      <c r="E4435" s="2">
        <f>CallLog[[#This Row],[Date]]+CallLog[[#This Row],[Time]]</f>
        <v>44275.475995370369</v>
      </c>
      <c r="F4435" s="1" t="str">
        <f>TEXT(CallLog[[#This Row],[Date]],"dddd")</f>
        <v>Saturday</v>
      </c>
      <c r="G4435" s="3">
        <f>HOUR(CallLog[[#This Row],[Time]])</f>
        <v>11</v>
      </c>
      <c r="H4435" t="s">
        <v>17</v>
      </c>
      <c r="I4435" t="s">
        <v>14</v>
      </c>
      <c r="J4435" t="s">
        <v>14</v>
      </c>
      <c r="K4435">
        <v>30</v>
      </c>
      <c r="L4435" t="str">
        <f>IF(AND(CallLog[[#This Row],[Answered (Y/N)]]="Y", CallLog[[#This Row],[Speed of answer in seconds]]&lt;=20),
    "Within",
    "Breach")</f>
        <v>Breach</v>
      </c>
      <c r="M4435" s="1">
        <v>4.340277777777778E-3</v>
      </c>
      <c r="N4435">
        <v>3</v>
      </c>
    </row>
    <row r="4436" spans="1:14" x14ac:dyDescent="0.3">
      <c r="A4436" t="s">
        <v>4538</v>
      </c>
      <c r="B4436" t="s">
        <v>16</v>
      </c>
      <c r="C4436" t="s">
        <v>4524</v>
      </c>
      <c r="D4436" s="1">
        <v>0.49099537037037039</v>
      </c>
      <c r="E4436" s="2">
        <f>CallLog[[#This Row],[Date]]+CallLog[[#This Row],[Time]]</f>
        <v>44275.490995370368</v>
      </c>
      <c r="F4436" s="1" t="str">
        <f>TEXT(CallLog[[#This Row],[Date]],"dddd")</f>
        <v>Saturday</v>
      </c>
      <c r="G4436" s="3">
        <f>HOUR(CallLog[[#This Row],[Time]])</f>
        <v>11</v>
      </c>
      <c r="H4436" t="s">
        <v>29</v>
      </c>
      <c r="I4436" t="s">
        <v>14</v>
      </c>
      <c r="J4436" t="s">
        <v>14</v>
      </c>
      <c r="K4436">
        <v>91</v>
      </c>
      <c r="L4436" t="str">
        <f>IF(AND(CallLog[[#This Row],[Answered (Y/N)]]="Y", CallLog[[#This Row],[Speed of answer in seconds]]&lt;=20),
    "Within",
    "Breach")</f>
        <v>Breach</v>
      </c>
      <c r="M4436" s="1">
        <v>1.3773148148148147E-3</v>
      </c>
      <c r="N4436">
        <v>1</v>
      </c>
    </row>
    <row r="4437" spans="1:14" x14ac:dyDescent="0.3">
      <c r="A4437" t="s">
        <v>4539</v>
      </c>
      <c r="B4437" t="s">
        <v>22</v>
      </c>
      <c r="C4437" t="s">
        <v>4524</v>
      </c>
      <c r="D4437" s="1">
        <v>0.49099537037037039</v>
      </c>
      <c r="E4437" s="2">
        <f>CallLog[[#This Row],[Date]]+CallLog[[#This Row],[Time]]</f>
        <v>44275.490995370368</v>
      </c>
      <c r="F4437" s="1" t="str">
        <f>TEXT(CallLog[[#This Row],[Date]],"dddd")</f>
        <v>Saturday</v>
      </c>
      <c r="G4437" s="3">
        <f>HOUR(CallLog[[#This Row],[Time]])</f>
        <v>11</v>
      </c>
      <c r="H4437" t="s">
        <v>32</v>
      </c>
      <c r="I4437" t="s">
        <v>14</v>
      </c>
      <c r="J4437" t="s">
        <v>14</v>
      </c>
      <c r="K4437">
        <v>53</v>
      </c>
      <c r="L4437" t="str">
        <f>IF(AND(CallLog[[#This Row],[Answered (Y/N)]]="Y", CallLog[[#This Row],[Speed of answer in seconds]]&lt;=20),
    "Within",
    "Breach")</f>
        <v>Breach</v>
      </c>
      <c r="M4437" s="1">
        <v>3.6458333333333334E-3</v>
      </c>
      <c r="N4437">
        <v>3</v>
      </c>
    </row>
    <row r="4438" spans="1:14" x14ac:dyDescent="0.3">
      <c r="A4438" t="s">
        <v>4540</v>
      </c>
      <c r="B4438" t="s">
        <v>16</v>
      </c>
      <c r="C4438" t="s">
        <v>4524</v>
      </c>
      <c r="D4438" s="1">
        <v>0.49700231481481483</v>
      </c>
      <c r="E4438" s="2">
        <f>CallLog[[#This Row],[Date]]+CallLog[[#This Row],[Time]]</f>
        <v>44275.497002314813</v>
      </c>
      <c r="F4438" s="1" t="str">
        <f>TEXT(CallLog[[#This Row],[Date]],"dddd")</f>
        <v>Saturday</v>
      </c>
      <c r="G4438" s="3">
        <f>HOUR(CallLog[[#This Row],[Time]])</f>
        <v>11</v>
      </c>
      <c r="H4438" t="s">
        <v>13</v>
      </c>
      <c r="I4438" t="s">
        <v>18</v>
      </c>
      <c r="J4438" t="s">
        <v>18</v>
      </c>
      <c r="L4438" t="str">
        <f>IF(AND(CallLog[[#This Row],[Answered (Y/N)]]="Y", CallLog[[#This Row],[Speed of answer in seconds]]&lt;=20),
    "Within",
    "Breach")</f>
        <v>Breach</v>
      </c>
    </row>
    <row r="4439" spans="1:14" x14ac:dyDescent="0.3">
      <c r="A4439" t="s">
        <v>4541</v>
      </c>
      <c r="B4439" t="s">
        <v>11</v>
      </c>
      <c r="C4439" t="s">
        <v>4524</v>
      </c>
      <c r="D4439" s="1">
        <v>0.49700231481481483</v>
      </c>
      <c r="E4439" s="2">
        <f>CallLog[[#This Row],[Date]]+CallLog[[#This Row],[Time]]</f>
        <v>44275.497002314813</v>
      </c>
      <c r="F4439" s="1" t="str">
        <f>TEXT(CallLog[[#This Row],[Date]],"dddd")</f>
        <v>Saturday</v>
      </c>
      <c r="G4439" s="3">
        <f>HOUR(CallLog[[#This Row],[Time]])</f>
        <v>11</v>
      </c>
      <c r="H4439" t="s">
        <v>13</v>
      </c>
      <c r="I4439" t="s">
        <v>18</v>
      </c>
      <c r="J4439" t="s">
        <v>18</v>
      </c>
      <c r="L4439" t="str">
        <f>IF(AND(CallLog[[#This Row],[Answered (Y/N)]]="Y", CallLog[[#This Row],[Speed of answer in seconds]]&lt;=20),
    "Within",
    "Breach")</f>
        <v>Breach</v>
      </c>
    </row>
    <row r="4440" spans="1:14" x14ac:dyDescent="0.3">
      <c r="A4440" t="s">
        <v>4542</v>
      </c>
      <c r="B4440" t="s">
        <v>31</v>
      </c>
      <c r="C4440" t="s">
        <v>4524</v>
      </c>
      <c r="D4440" s="1">
        <v>0.50900462962962967</v>
      </c>
      <c r="E4440" s="2">
        <f>CallLog[[#This Row],[Date]]+CallLog[[#This Row],[Time]]</f>
        <v>44275.509004629632</v>
      </c>
      <c r="F4440" s="1" t="str">
        <f>TEXT(CallLog[[#This Row],[Date]],"dddd")</f>
        <v>Saturday</v>
      </c>
      <c r="G4440" s="3">
        <f>HOUR(CallLog[[#This Row],[Time]])</f>
        <v>12</v>
      </c>
      <c r="H4440" t="s">
        <v>17</v>
      </c>
      <c r="I4440" t="s">
        <v>14</v>
      </c>
      <c r="J4440" t="s">
        <v>14</v>
      </c>
      <c r="K4440">
        <v>40</v>
      </c>
      <c r="L4440" t="str">
        <f>IF(AND(CallLog[[#This Row],[Answered (Y/N)]]="Y", CallLog[[#This Row],[Speed of answer in seconds]]&lt;=20),
    "Within",
    "Breach")</f>
        <v>Breach</v>
      </c>
      <c r="M4440" s="1">
        <v>3.4953703703703705E-3</v>
      </c>
      <c r="N4440">
        <v>3</v>
      </c>
    </row>
    <row r="4441" spans="1:14" x14ac:dyDescent="0.3">
      <c r="A4441" t="s">
        <v>4543</v>
      </c>
      <c r="B4441" t="s">
        <v>11</v>
      </c>
      <c r="C4441" t="s">
        <v>4524</v>
      </c>
      <c r="D4441" s="1">
        <v>0.50900462962962967</v>
      </c>
      <c r="E4441" s="2">
        <f>CallLog[[#This Row],[Date]]+CallLog[[#This Row],[Time]]</f>
        <v>44275.509004629632</v>
      </c>
      <c r="F4441" s="1" t="str">
        <f>TEXT(CallLog[[#This Row],[Date]],"dddd")</f>
        <v>Saturday</v>
      </c>
      <c r="G4441" s="3">
        <f>HOUR(CallLog[[#This Row],[Time]])</f>
        <v>12</v>
      </c>
      <c r="H4441" t="s">
        <v>13</v>
      </c>
      <c r="I4441" t="s">
        <v>14</v>
      </c>
      <c r="J4441" t="s">
        <v>14</v>
      </c>
      <c r="K4441">
        <v>45</v>
      </c>
      <c r="L4441" t="str">
        <f>IF(AND(CallLog[[#This Row],[Answered (Y/N)]]="Y", CallLog[[#This Row],[Speed of answer in seconds]]&lt;=20),
    "Within",
    "Breach")</f>
        <v>Breach</v>
      </c>
      <c r="M4441" s="1">
        <v>4.0046296296296297E-3</v>
      </c>
      <c r="N4441">
        <v>5</v>
      </c>
    </row>
    <row r="4442" spans="1:14" x14ac:dyDescent="0.3">
      <c r="A4442" t="s">
        <v>4544</v>
      </c>
      <c r="B4442" t="s">
        <v>31</v>
      </c>
      <c r="C4442" t="s">
        <v>4524</v>
      </c>
      <c r="D4442" s="1">
        <v>0.51700231481481485</v>
      </c>
      <c r="E4442" s="2">
        <f>CallLog[[#This Row],[Date]]+CallLog[[#This Row],[Time]]</f>
        <v>44275.517002314817</v>
      </c>
      <c r="F4442" s="1" t="str">
        <f>TEXT(CallLog[[#This Row],[Date]],"dddd")</f>
        <v>Saturday</v>
      </c>
      <c r="G4442" s="3">
        <f>HOUR(CallLog[[#This Row],[Time]])</f>
        <v>12</v>
      </c>
      <c r="H4442" t="s">
        <v>32</v>
      </c>
      <c r="I4442" t="s">
        <v>18</v>
      </c>
      <c r="J4442" t="s">
        <v>18</v>
      </c>
      <c r="L4442" t="str">
        <f>IF(AND(CallLog[[#This Row],[Answered (Y/N)]]="Y", CallLog[[#This Row],[Speed of answer in seconds]]&lt;=20),
    "Within",
    "Breach")</f>
        <v>Breach</v>
      </c>
    </row>
    <row r="4443" spans="1:14" x14ac:dyDescent="0.3">
      <c r="A4443" t="s">
        <v>4545</v>
      </c>
      <c r="B4443" t="s">
        <v>20</v>
      </c>
      <c r="C4443" t="s">
        <v>4524</v>
      </c>
      <c r="D4443" s="1">
        <v>0.51700231481481485</v>
      </c>
      <c r="E4443" s="2">
        <f>CallLog[[#This Row],[Date]]+CallLog[[#This Row],[Time]]</f>
        <v>44275.517002314817</v>
      </c>
      <c r="F4443" s="1" t="str">
        <f>TEXT(CallLog[[#This Row],[Date]],"dddd")</f>
        <v>Saturday</v>
      </c>
      <c r="G4443" s="3">
        <f>HOUR(CallLog[[#This Row],[Time]])</f>
        <v>12</v>
      </c>
      <c r="H4443" t="s">
        <v>29</v>
      </c>
      <c r="I4443" t="s">
        <v>14</v>
      </c>
      <c r="J4443" t="s">
        <v>14</v>
      </c>
      <c r="K4443">
        <v>89</v>
      </c>
      <c r="L4443" t="str">
        <f>IF(AND(CallLog[[#This Row],[Answered (Y/N)]]="Y", CallLog[[#This Row],[Speed of answer in seconds]]&lt;=20),
    "Within",
    "Breach")</f>
        <v>Breach</v>
      </c>
      <c r="M4443" s="1">
        <v>2.5115740740740741E-3</v>
      </c>
      <c r="N4443">
        <v>2</v>
      </c>
    </row>
    <row r="4444" spans="1:14" x14ac:dyDescent="0.3">
      <c r="A4444" t="s">
        <v>4546</v>
      </c>
      <c r="B4444" t="s">
        <v>16</v>
      </c>
      <c r="C4444" t="s">
        <v>4524</v>
      </c>
      <c r="D4444" s="1">
        <v>0.54700231481481476</v>
      </c>
      <c r="E4444" s="2">
        <f>CallLog[[#This Row],[Date]]+CallLog[[#This Row],[Time]]</f>
        <v>44275.547002314815</v>
      </c>
      <c r="F4444" s="1" t="str">
        <f>TEXT(CallLog[[#This Row],[Date]],"dddd")</f>
        <v>Saturday</v>
      </c>
      <c r="G4444" s="3">
        <f>HOUR(CallLog[[#This Row],[Time]])</f>
        <v>13</v>
      </c>
      <c r="H4444" t="s">
        <v>17</v>
      </c>
      <c r="I4444" t="s">
        <v>14</v>
      </c>
      <c r="J4444" t="s">
        <v>14</v>
      </c>
      <c r="K4444">
        <v>24</v>
      </c>
      <c r="L4444" t="str">
        <f>IF(AND(CallLog[[#This Row],[Answered (Y/N)]]="Y", CallLog[[#This Row],[Speed of answer in seconds]]&lt;=20),
    "Within",
    "Breach")</f>
        <v>Breach</v>
      </c>
      <c r="M4444" s="1">
        <v>1.2731481481481483E-3</v>
      </c>
      <c r="N4444">
        <v>5</v>
      </c>
    </row>
    <row r="4445" spans="1:14" x14ac:dyDescent="0.3">
      <c r="A4445" t="s">
        <v>4547</v>
      </c>
      <c r="B4445" t="s">
        <v>11</v>
      </c>
      <c r="C4445" t="s">
        <v>4524</v>
      </c>
      <c r="D4445" s="1">
        <v>0.54700231481481476</v>
      </c>
      <c r="E4445" s="2">
        <f>CallLog[[#This Row],[Date]]+CallLog[[#This Row],[Time]]</f>
        <v>44275.547002314815</v>
      </c>
      <c r="F4445" s="1" t="str">
        <f>TEXT(CallLog[[#This Row],[Date]],"dddd")</f>
        <v>Saturday</v>
      </c>
      <c r="G4445" s="3">
        <f>HOUR(CallLog[[#This Row],[Time]])</f>
        <v>13</v>
      </c>
      <c r="H4445" t="s">
        <v>17</v>
      </c>
      <c r="I4445" t="s">
        <v>14</v>
      </c>
      <c r="J4445" t="s">
        <v>14</v>
      </c>
      <c r="K4445">
        <v>76</v>
      </c>
      <c r="L4445" t="str">
        <f>IF(AND(CallLog[[#This Row],[Answered (Y/N)]]="Y", CallLog[[#This Row],[Speed of answer in seconds]]&lt;=20),
    "Within",
    "Breach")</f>
        <v>Breach</v>
      </c>
      <c r="M4445" s="1">
        <v>3.5185185185185185E-3</v>
      </c>
      <c r="N4445">
        <v>3</v>
      </c>
    </row>
    <row r="4446" spans="1:14" x14ac:dyDescent="0.3">
      <c r="A4446" t="s">
        <v>4548</v>
      </c>
      <c r="B4446" t="s">
        <v>22</v>
      </c>
      <c r="C4446" t="s">
        <v>4524</v>
      </c>
      <c r="D4446" s="1">
        <v>0.55000000000000004</v>
      </c>
      <c r="E4446" s="2">
        <f>CallLog[[#This Row],[Date]]+CallLog[[#This Row],[Time]]</f>
        <v>44275.55</v>
      </c>
      <c r="F4446" s="1" t="str">
        <f>TEXT(CallLog[[#This Row],[Date]],"dddd")</f>
        <v>Saturday</v>
      </c>
      <c r="G4446" s="3">
        <f>HOUR(CallLog[[#This Row],[Time]])</f>
        <v>13</v>
      </c>
      <c r="H4446" t="s">
        <v>32</v>
      </c>
      <c r="I4446" t="s">
        <v>14</v>
      </c>
      <c r="J4446" t="s">
        <v>14</v>
      </c>
      <c r="K4446">
        <v>27</v>
      </c>
      <c r="L4446" t="str">
        <f>IF(AND(CallLog[[#This Row],[Answered (Y/N)]]="Y", CallLog[[#This Row],[Speed of answer in seconds]]&lt;=20),
    "Within",
    "Breach")</f>
        <v>Breach</v>
      </c>
      <c r="M4446" s="1">
        <v>2.9745370370370373E-3</v>
      </c>
      <c r="N4446">
        <v>2</v>
      </c>
    </row>
    <row r="4447" spans="1:14" x14ac:dyDescent="0.3">
      <c r="A4447" t="s">
        <v>4549</v>
      </c>
      <c r="B4447" t="s">
        <v>20</v>
      </c>
      <c r="C4447" t="s">
        <v>4524</v>
      </c>
      <c r="D4447" s="1">
        <v>0.55000000000000004</v>
      </c>
      <c r="E4447" s="2">
        <f>CallLog[[#This Row],[Date]]+CallLog[[#This Row],[Time]]</f>
        <v>44275.55</v>
      </c>
      <c r="F4447" s="1" t="str">
        <f>TEXT(CallLog[[#This Row],[Date]],"dddd")</f>
        <v>Saturday</v>
      </c>
      <c r="G4447" s="3">
        <f>HOUR(CallLog[[#This Row],[Time]])</f>
        <v>13</v>
      </c>
      <c r="H4447" t="s">
        <v>13</v>
      </c>
      <c r="I4447" t="s">
        <v>14</v>
      </c>
      <c r="J4447" t="s">
        <v>18</v>
      </c>
      <c r="K4447">
        <v>27</v>
      </c>
      <c r="L4447" t="str">
        <f>IF(AND(CallLog[[#This Row],[Answered (Y/N)]]="Y", CallLog[[#This Row],[Speed of answer in seconds]]&lt;=20),
    "Within",
    "Breach")</f>
        <v>Breach</v>
      </c>
      <c r="M4447" s="1">
        <v>1.7476851851851852E-3</v>
      </c>
      <c r="N4447">
        <v>4</v>
      </c>
    </row>
    <row r="4448" spans="1:14" x14ac:dyDescent="0.3">
      <c r="A4448" t="s">
        <v>4550</v>
      </c>
      <c r="B4448" t="s">
        <v>11</v>
      </c>
      <c r="C4448" t="s">
        <v>4524</v>
      </c>
      <c r="D4448" s="1">
        <v>0.5709953703703704</v>
      </c>
      <c r="E4448" s="2">
        <f>CallLog[[#This Row],[Date]]+CallLog[[#This Row],[Time]]</f>
        <v>44275.57099537037</v>
      </c>
      <c r="F4448" s="1" t="str">
        <f>TEXT(CallLog[[#This Row],[Date]],"dddd")</f>
        <v>Saturday</v>
      </c>
      <c r="G4448" s="3">
        <f>HOUR(CallLog[[#This Row],[Time]])</f>
        <v>13</v>
      </c>
      <c r="H4448" t="s">
        <v>13</v>
      </c>
      <c r="I4448" t="s">
        <v>14</v>
      </c>
      <c r="J4448" t="s">
        <v>14</v>
      </c>
      <c r="K4448">
        <v>104</v>
      </c>
      <c r="L4448" t="str">
        <f>IF(AND(CallLog[[#This Row],[Answered (Y/N)]]="Y", CallLog[[#This Row],[Speed of answer in seconds]]&lt;=20),
    "Within",
    "Breach")</f>
        <v>Breach</v>
      </c>
      <c r="M4448" s="1">
        <v>3.8425925925925928E-3</v>
      </c>
      <c r="N4448">
        <v>2</v>
      </c>
    </row>
    <row r="4449" spans="1:14" x14ac:dyDescent="0.3">
      <c r="A4449" t="s">
        <v>4551</v>
      </c>
      <c r="B4449" t="s">
        <v>11</v>
      </c>
      <c r="C4449" t="s">
        <v>4524</v>
      </c>
      <c r="D4449" s="1">
        <v>0.5709953703703704</v>
      </c>
      <c r="E4449" s="2">
        <f>CallLog[[#This Row],[Date]]+CallLog[[#This Row],[Time]]</f>
        <v>44275.57099537037</v>
      </c>
      <c r="F4449" s="1" t="str">
        <f>TEXT(CallLog[[#This Row],[Date]],"dddd")</f>
        <v>Saturday</v>
      </c>
      <c r="G4449" s="3">
        <f>HOUR(CallLog[[#This Row],[Time]])</f>
        <v>13</v>
      </c>
      <c r="H4449" t="s">
        <v>29</v>
      </c>
      <c r="I4449" t="s">
        <v>14</v>
      </c>
      <c r="J4449" t="s">
        <v>14</v>
      </c>
      <c r="K4449">
        <v>110</v>
      </c>
      <c r="L4449" t="str">
        <f>IF(AND(CallLog[[#This Row],[Answered (Y/N)]]="Y", CallLog[[#This Row],[Speed of answer in seconds]]&lt;=20),
    "Within",
    "Breach")</f>
        <v>Breach</v>
      </c>
      <c r="M4449" s="1">
        <v>2.4189814814814816E-3</v>
      </c>
      <c r="N4449">
        <v>1</v>
      </c>
    </row>
    <row r="4450" spans="1:14" x14ac:dyDescent="0.3">
      <c r="A4450" t="s">
        <v>4552</v>
      </c>
      <c r="B4450" t="s">
        <v>34</v>
      </c>
      <c r="C4450" t="s">
        <v>4524</v>
      </c>
      <c r="D4450" s="1">
        <v>0.57400462962962961</v>
      </c>
      <c r="E4450" s="2">
        <f>CallLog[[#This Row],[Date]]+CallLog[[#This Row],[Time]]</f>
        <v>44275.574004629627</v>
      </c>
      <c r="F4450" s="1" t="str">
        <f>TEXT(CallLog[[#This Row],[Date]],"dddd")</f>
        <v>Saturday</v>
      </c>
      <c r="G4450" s="3">
        <f>HOUR(CallLog[[#This Row],[Time]])</f>
        <v>13</v>
      </c>
      <c r="H4450" t="s">
        <v>13</v>
      </c>
      <c r="I4450" t="s">
        <v>14</v>
      </c>
      <c r="J4450" t="s">
        <v>14</v>
      </c>
      <c r="K4450">
        <v>51</v>
      </c>
      <c r="L4450" t="str">
        <f>IF(AND(CallLog[[#This Row],[Answered (Y/N)]]="Y", CallLog[[#This Row],[Speed of answer in seconds]]&lt;=20),
    "Within",
    "Breach")</f>
        <v>Breach</v>
      </c>
      <c r="M4450" s="1">
        <v>3.5995370370370369E-3</v>
      </c>
      <c r="N4450">
        <v>4</v>
      </c>
    </row>
    <row r="4451" spans="1:14" x14ac:dyDescent="0.3">
      <c r="A4451" t="s">
        <v>4553</v>
      </c>
      <c r="B4451" t="s">
        <v>47</v>
      </c>
      <c r="C4451" t="s">
        <v>4524</v>
      </c>
      <c r="D4451" s="1">
        <v>0.57400462962962961</v>
      </c>
      <c r="E4451" s="2">
        <f>CallLog[[#This Row],[Date]]+CallLog[[#This Row],[Time]]</f>
        <v>44275.574004629627</v>
      </c>
      <c r="F4451" s="1" t="str">
        <f>TEXT(CallLog[[#This Row],[Date]],"dddd")</f>
        <v>Saturday</v>
      </c>
      <c r="G4451" s="3">
        <f>HOUR(CallLog[[#This Row],[Time]])</f>
        <v>13</v>
      </c>
      <c r="H4451" t="s">
        <v>13</v>
      </c>
      <c r="I4451" t="s">
        <v>14</v>
      </c>
      <c r="J4451" t="s">
        <v>14</v>
      </c>
      <c r="K4451">
        <v>65</v>
      </c>
      <c r="L4451" t="str">
        <f>IF(AND(CallLog[[#This Row],[Answered (Y/N)]]="Y", CallLog[[#This Row],[Speed of answer in seconds]]&lt;=20),
    "Within",
    "Breach")</f>
        <v>Breach</v>
      </c>
      <c r="M4451" s="1">
        <v>4.0393518518518521E-3</v>
      </c>
      <c r="N4451">
        <v>2</v>
      </c>
    </row>
    <row r="4452" spans="1:14" x14ac:dyDescent="0.3">
      <c r="A4452" t="s">
        <v>4554</v>
      </c>
      <c r="B4452" t="s">
        <v>22</v>
      </c>
      <c r="C4452" t="s">
        <v>4524</v>
      </c>
      <c r="D4452" s="1">
        <v>0.60200231481481481</v>
      </c>
      <c r="E4452" s="2">
        <f>CallLog[[#This Row],[Date]]+CallLog[[#This Row],[Time]]</f>
        <v>44275.602002314816</v>
      </c>
      <c r="F4452" s="1" t="str">
        <f>TEXT(CallLog[[#This Row],[Date]],"dddd")</f>
        <v>Saturday</v>
      </c>
      <c r="G4452" s="3">
        <f>HOUR(CallLog[[#This Row],[Time]])</f>
        <v>14</v>
      </c>
      <c r="H4452" t="s">
        <v>29</v>
      </c>
      <c r="I4452" t="s">
        <v>14</v>
      </c>
      <c r="J4452" t="s">
        <v>14</v>
      </c>
      <c r="K4452">
        <v>21</v>
      </c>
      <c r="L4452" t="str">
        <f>IF(AND(CallLog[[#This Row],[Answered (Y/N)]]="Y", CallLog[[#This Row],[Speed of answer in seconds]]&lt;=20),
    "Within",
    "Breach")</f>
        <v>Breach</v>
      </c>
      <c r="M4452" s="1">
        <v>2.2222222222222222E-3</v>
      </c>
      <c r="N4452">
        <v>4</v>
      </c>
    </row>
    <row r="4453" spans="1:14" x14ac:dyDescent="0.3">
      <c r="A4453" t="s">
        <v>4555</v>
      </c>
      <c r="B4453" t="s">
        <v>16</v>
      </c>
      <c r="C4453" t="s">
        <v>4524</v>
      </c>
      <c r="D4453" s="1">
        <v>0.60200231481481481</v>
      </c>
      <c r="E4453" s="2">
        <f>CallLog[[#This Row],[Date]]+CallLog[[#This Row],[Time]]</f>
        <v>44275.602002314816</v>
      </c>
      <c r="F4453" s="1" t="str">
        <f>TEXT(CallLog[[#This Row],[Date]],"dddd")</f>
        <v>Saturday</v>
      </c>
      <c r="G4453" s="3">
        <f>HOUR(CallLog[[#This Row],[Time]])</f>
        <v>14</v>
      </c>
      <c r="H4453" t="s">
        <v>32</v>
      </c>
      <c r="I4453" t="s">
        <v>14</v>
      </c>
      <c r="J4453" t="s">
        <v>14</v>
      </c>
      <c r="K4453">
        <v>29</v>
      </c>
      <c r="L4453" t="str">
        <f>IF(AND(CallLog[[#This Row],[Answered (Y/N)]]="Y", CallLog[[#This Row],[Speed of answer in seconds]]&lt;=20),
    "Within",
    "Breach")</f>
        <v>Breach</v>
      </c>
      <c r="M4453" s="1">
        <v>8.4490740740740739E-4</v>
      </c>
      <c r="N4453">
        <v>3</v>
      </c>
    </row>
    <row r="4454" spans="1:14" x14ac:dyDescent="0.3">
      <c r="A4454" t="s">
        <v>4556</v>
      </c>
      <c r="B4454" t="s">
        <v>11</v>
      </c>
      <c r="C4454" t="s">
        <v>4524</v>
      </c>
      <c r="D4454" s="1">
        <v>0.64099537037037035</v>
      </c>
      <c r="E4454" s="2">
        <f>CallLog[[#This Row],[Date]]+CallLog[[#This Row],[Time]]</f>
        <v>44275.64099537037</v>
      </c>
      <c r="F4454" s="1" t="str">
        <f>TEXT(CallLog[[#This Row],[Date]],"dddd")</f>
        <v>Saturday</v>
      </c>
      <c r="G4454" s="3">
        <f>HOUR(CallLog[[#This Row],[Time]])</f>
        <v>15</v>
      </c>
      <c r="H4454" t="s">
        <v>24</v>
      </c>
      <c r="I4454" t="s">
        <v>18</v>
      </c>
      <c r="J4454" t="s">
        <v>18</v>
      </c>
      <c r="L4454" t="str">
        <f>IF(AND(CallLog[[#This Row],[Answered (Y/N)]]="Y", CallLog[[#This Row],[Speed of answer in seconds]]&lt;=20),
    "Within",
    "Breach")</f>
        <v>Breach</v>
      </c>
    </row>
    <row r="4455" spans="1:14" x14ac:dyDescent="0.3">
      <c r="A4455" t="s">
        <v>4557</v>
      </c>
      <c r="B4455" t="s">
        <v>34</v>
      </c>
      <c r="C4455" t="s">
        <v>4524</v>
      </c>
      <c r="D4455" s="1">
        <v>0.64099537037037035</v>
      </c>
      <c r="E4455" s="2">
        <f>CallLog[[#This Row],[Date]]+CallLog[[#This Row],[Time]]</f>
        <v>44275.64099537037</v>
      </c>
      <c r="F4455" s="1" t="str">
        <f>TEXT(CallLog[[#This Row],[Date]],"dddd")</f>
        <v>Saturday</v>
      </c>
      <c r="G4455" s="3">
        <f>HOUR(CallLog[[#This Row],[Time]])</f>
        <v>15</v>
      </c>
      <c r="H4455" t="s">
        <v>17</v>
      </c>
      <c r="I4455" t="s">
        <v>18</v>
      </c>
      <c r="J4455" t="s">
        <v>18</v>
      </c>
      <c r="L4455" t="str">
        <f>IF(AND(CallLog[[#This Row],[Answered (Y/N)]]="Y", CallLog[[#This Row],[Speed of answer in seconds]]&lt;=20),
    "Within",
    "Breach")</f>
        <v>Breach</v>
      </c>
    </row>
    <row r="4456" spans="1:14" x14ac:dyDescent="0.3">
      <c r="A4456" t="s">
        <v>4558</v>
      </c>
      <c r="B4456" t="s">
        <v>20</v>
      </c>
      <c r="C4456" t="s">
        <v>4524</v>
      </c>
      <c r="D4456" s="1">
        <v>0.65400462962962957</v>
      </c>
      <c r="E4456" s="2">
        <f>CallLog[[#This Row],[Date]]+CallLog[[#This Row],[Time]]</f>
        <v>44275.654004629629</v>
      </c>
      <c r="F4456" s="1" t="str">
        <f>TEXT(CallLog[[#This Row],[Date]],"dddd")</f>
        <v>Saturday</v>
      </c>
      <c r="G4456" s="3">
        <f>HOUR(CallLog[[#This Row],[Time]])</f>
        <v>15</v>
      </c>
      <c r="H4456" t="s">
        <v>13</v>
      </c>
      <c r="I4456" t="s">
        <v>14</v>
      </c>
      <c r="J4456" t="s">
        <v>14</v>
      </c>
      <c r="K4456">
        <v>124</v>
      </c>
      <c r="L4456" t="str">
        <f>IF(AND(CallLog[[#This Row],[Answered (Y/N)]]="Y", CallLog[[#This Row],[Speed of answer in seconds]]&lt;=20),
    "Within",
    "Breach")</f>
        <v>Breach</v>
      </c>
      <c r="M4456" s="1">
        <v>2.1180555555555558E-3</v>
      </c>
      <c r="N4456">
        <v>4</v>
      </c>
    </row>
    <row r="4457" spans="1:14" x14ac:dyDescent="0.3">
      <c r="A4457" t="s">
        <v>4559</v>
      </c>
      <c r="B4457" t="s">
        <v>22</v>
      </c>
      <c r="C4457" t="s">
        <v>4524</v>
      </c>
      <c r="D4457" s="1">
        <v>0.65400462962962957</v>
      </c>
      <c r="E4457" s="2">
        <f>CallLog[[#This Row],[Date]]+CallLog[[#This Row],[Time]]</f>
        <v>44275.654004629629</v>
      </c>
      <c r="F4457" s="1" t="str">
        <f>TEXT(CallLog[[#This Row],[Date]],"dddd")</f>
        <v>Saturday</v>
      </c>
      <c r="G4457" s="3">
        <f>HOUR(CallLog[[#This Row],[Time]])</f>
        <v>15</v>
      </c>
      <c r="H4457" t="s">
        <v>32</v>
      </c>
      <c r="I4457" t="s">
        <v>14</v>
      </c>
      <c r="J4457" t="s">
        <v>14</v>
      </c>
      <c r="K4457">
        <v>21</v>
      </c>
      <c r="L4457" t="str">
        <f>IF(AND(CallLog[[#This Row],[Answered (Y/N)]]="Y", CallLog[[#This Row],[Speed of answer in seconds]]&lt;=20),
    "Within",
    "Breach")</f>
        <v>Breach</v>
      </c>
      <c r="M4457" s="1">
        <v>3.0555555555555557E-3</v>
      </c>
      <c r="N4457">
        <v>1</v>
      </c>
    </row>
    <row r="4458" spans="1:14" x14ac:dyDescent="0.3">
      <c r="A4458" t="s">
        <v>4560</v>
      </c>
      <c r="B4458" t="s">
        <v>38</v>
      </c>
      <c r="C4458" t="s">
        <v>4524</v>
      </c>
      <c r="D4458" s="1">
        <v>0.65500000000000003</v>
      </c>
      <c r="E4458" s="2">
        <f>CallLog[[#This Row],[Date]]+CallLog[[#This Row],[Time]]</f>
        <v>44275.654999999999</v>
      </c>
      <c r="F4458" s="1" t="str">
        <f>TEXT(CallLog[[#This Row],[Date]],"dddd")</f>
        <v>Saturday</v>
      </c>
      <c r="G4458" s="3">
        <f>HOUR(CallLog[[#This Row],[Time]])</f>
        <v>15</v>
      </c>
      <c r="H4458" t="s">
        <v>29</v>
      </c>
      <c r="I4458" t="s">
        <v>14</v>
      </c>
      <c r="J4458" t="s">
        <v>14</v>
      </c>
      <c r="K4458">
        <v>121</v>
      </c>
      <c r="L4458" t="str">
        <f>IF(AND(CallLog[[#This Row],[Answered (Y/N)]]="Y", CallLog[[#This Row],[Speed of answer in seconds]]&lt;=20),
    "Within",
    "Breach")</f>
        <v>Breach</v>
      </c>
      <c r="M4458" s="1">
        <v>1.5972222222222223E-3</v>
      </c>
      <c r="N4458">
        <v>3</v>
      </c>
    </row>
    <row r="4459" spans="1:14" x14ac:dyDescent="0.3">
      <c r="A4459" t="s">
        <v>4561</v>
      </c>
      <c r="B4459" t="s">
        <v>16</v>
      </c>
      <c r="C4459" t="s">
        <v>4524</v>
      </c>
      <c r="D4459" s="1">
        <v>0.65500000000000003</v>
      </c>
      <c r="E4459" s="2">
        <f>CallLog[[#This Row],[Date]]+CallLog[[#This Row],[Time]]</f>
        <v>44275.654999999999</v>
      </c>
      <c r="F4459" s="1" t="str">
        <f>TEXT(CallLog[[#This Row],[Date]],"dddd")</f>
        <v>Saturday</v>
      </c>
      <c r="G4459" s="3">
        <f>HOUR(CallLog[[#This Row],[Time]])</f>
        <v>15</v>
      </c>
      <c r="H4459" t="s">
        <v>17</v>
      </c>
      <c r="I4459" t="s">
        <v>18</v>
      </c>
      <c r="J4459" t="s">
        <v>18</v>
      </c>
      <c r="L4459" t="str">
        <f>IF(AND(CallLog[[#This Row],[Answered (Y/N)]]="Y", CallLog[[#This Row],[Speed of answer in seconds]]&lt;=20),
    "Within",
    "Breach")</f>
        <v>Breach</v>
      </c>
    </row>
    <row r="4460" spans="1:14" x14ac:dyDescent="0.3">
      <c r="A4460" t="s">
        <v>4562</v>
      </c>
      <c r="B4460" t="s">
        <v>47</v>
      </c>
      <c r="C4460" t="s">
        <v>4524</v>
      </c>
      <c r="D4460" s="1">
        <v>0.65500000000000003</v>
      </c>
      <c r="E4460" s="2">
        <f>CallLog[[#This Row],[Date]]+CallLog[[#This Row],[Time]]</f>
        <v>44275.654999999999</v>
      </c>
      <c r="F4460" s="1" t="str">
        <f>TEXT(CallLog[[#This Row],[Date]],"dddd")</f>
        <v>Saturday</v>
      </c>
      <c r="G4460" s="3">
        <f>HOUR(CallLog[[#This Row],[Time]])</f>
        <v>15</v>
      </c>
      <c r="H4460" t="s">
        <v>24</v>
      </c>
      <c r="I4460" t="s">
        <v>14</v>
      </c>
      <c r="J4460" t="s">
        <v>14</v>
      </c>
      <c r="K4460">
        <v>56</v>
      </c>
      <c r="L4460" t="str">
        <f>IF(AND(CallLog[[#This Row],[Answered (Y/N)]]="Y", CallLog[[#This Row],[Speed of answer in seconds]]&lt;=20),
    "Within",
    "Breach")</f>
        <v>Breach</v>
      </c>
      <c r="M4460" s="1">
        <v>1.9328703703703704E-3</v>
      </c>
      <c r="N4460">
        <v>2</v>
      </c>
    </row>
    <row r="4461" spans="1:14" x14ac:dyDescent="0.3">
      <c r="A4461" t="s">
        <v>4563</v>
      </c>
      <c r="B4461" t="s">
        <v>22</v>
      </c>
      <c r="C4461" t="s">
        <v>4524</v>
      </c>
      <c r="D4461" s="1">
        <v>0.65500000000000003</v>
      </c>
      <c r="E4461" s="2">
        <f>CallLog[[#This Row],[Date]]+CallLog[[#This Row],[Time]]</f>
        <v>44275.654999999999</v>
      </c>
      <c r="F4461" s="1" t="str">
        <f>TEXT(CallLog[[#This Row],[Date]],"dddd")</f>
        <v>Saturday</v>
      </c>
      <c r="G4461" s="3">
        <f>HOUR(CallLog[[#This Row],[Time]])</f>
        <v>15</v>
      </c>
      <c r="H4461" t="s">
        <v>13</v>
      </c>
      <c r="I4461" t="s">
        <v>14</v>
      </c>
      <c r="J4461" t="s">
        <v>14</v>
      </c>
      <c r="K4461">
        <v>10</v>
      </c>
      <c r="L4461" t="str">
        <f>IF(AND(CallLog[[#This Row],[Answered (Y/N)]]="Y", CallLog[[#This Row],[Speed of answer in seconds]]&lt;=20),
    "Within",
    "Breach")</f>
        <v>Within</v>
      </c>
      <c r="M4461" s="1">
        <v>4.31712962962963E-3</v>
      </c>
      <c r="N4461">
        <v>3</v>
      </c>
    </row>
    <row r="4462" spans="1:14" x14ac:dyDescent="0.3">
      <c r="A4462" t="s">
        <v>4564</v>
      </c>
      <c r="B4462" t="s">
        <v>38</v>
      </c>
      <c r="C4462" t="s">
        <v>4524</v>
      </c>
      <c r="D4462" s="1">
        <v>0.65599537037037037</v>
      </c>
      <c r="E4462" s="2">
        <f>CallLog[[#This Row],[Date]]+CallLog[[#This Row],[Time]]</f>
        <v>44275.655995370369</v>
      </c>
      <c r="F4462" s="1" t="str">
        <f>TEXT(CallLog[[#This Row],[Date]],"dddd")</f>
        <v>Saturday</v>
      </c>
      <c r="G4462" s="3">
        <f>HOUR(CallLog[[#This Row],[Time]])</f>
        <v>15</v>
      </c>
      <c r="H4462" t="s">
        <v>24</v>
      </c>
      <c r="I4462" t="s">
        <v>14</v>
      </c>
      <c r="J4462" t="s">
        <v>14</v>
      </c>
      <c r="K4462">
        <v>56</v>
      </c>
      <c r="L4462" t="str">
        <f>IF(AND(CallLog[[#This Row],[Answered (Y/N)]]="Y", CallLog[[#This Row],[Speed of answer in seconds]]&lt;=20),
    "Within",
    "Breach")</f>
        <v>Breach</v>
      </c>
      <c r="M4462" s="1">
        <v>1.9907407407407408E-3</v>
      </c>
      <c r="N4462">
        <v>4</v>
      </c>
    </row>
    <row r="4463" spans="1:14" x14ac:dyDescent="0.3">
      <c r="A4463" t="s">
        <v>4565</v>
      </c>
      <c r="B4463" t="s">
        <v>34</v>
      </c>
      <c r="C4463" t="s">
        <v>4524</v>
      </c>
      <c r="D4463" s="1">
        <v>0.65599537037037037</v>
      </c>
      <c r="E4463" s="2">
        <f>CallLog[[#This Row],[Date]]+CallLog[[#This Row],[Time]]</f>
        <v>44275.655995370369</v>
      </c>
      <c r="F4463" s="1" t="str">
        <f>TEXT(CallLog[[#This Row],[Date]],"dddd")</f>
        <v>Saturday</v>
      </c>
      <c r="G4463" s="3">
        <f>HOUR(CallLog[[#This Row],[Time]])</f>
        <v>15</v>
      </c>
      <c r="H4463" t="s">
        <v>24</v>
      </c>
      <c r="I4463" t="s">
        <v>18</v>
      </c>
      <c r="J4463" t="s">
        <v>18</v>
      </c>
      <c r="L4463" t="str">
        <f>IF(AND(CallLog[[#This Row],[Answered (Y/N)]]="Y", CallLog[[#This Row],[Speed of answer in seconds]]&lt;=20),
    "Within",
    "Breach")</f>
        <v>Breach</v>
      </c>
    </row>
    <row r="4464" spans="1:14" x14ac:dyDescent="0.3">
      <c r="A4464" t="s">
        <v>4566</v>
      </c>
      <c r="B4464" t="s">
        <v>31</v>
      </c>
      <c r="C4464" t="s">
        <v>4524</v>
      </c>
      <c r="D4464" s="1">
        <v>0.66400462962962958</v>
      </c>
      <c r="E4464" s="2">
        <f>CallLog[[#This Row],[Date]]+CallLog[[#This Row],[Time]]</f>
        <v>44275.664004629631</v>
      </c>
      <c r="F4464" s="1" t="str">
        <f>TEXT(CallLog[[#This Row],[Date]],"dddd")</f>
        <v>Saturday</v>
      </c>
      <c r="G4464" s="3">
        <f>HOUR(CallLog[[#This Row],[Time]])</f>
        <v>15</v>
      </c>
      <c r="H4464" t="s">
        <v>17</v>
      </c>
      <c r="I4464" t="s">
        <v>14</v>
      </c>
      <c r="J4464" t="s">
        <v>14</v>
      </c>
      <c r="K4464">
        <v>17</v>
      </c>
      <c r="L4464" t="str">
        <f>IF(AND(CallLog[[#This Row],[Answered (Y/N)]]="Y", CallLog[[#This Row],[Speed of answer in seconds]]&lt;=20),
    "Within",
    "Breach")</f>
        <v>Within</v>
      </c>
      <c r="M4464" s="1">
        <v>3.5879629629629629E-4</v>
      </c>
      <c r="N4464">
        <v>3</v>
      </c>
    </row>
    <row r="4465" spans="1:14" x14ac:dyDescent="0.3">
      <c r="A4465" t="s">
        <v>4567</v>
      </c>
      <c r="B4465" t="s">
        <v>38</v>
      </c>
      <c r="C4465" t="s">
        <v>4524</v>
      </c>
      <c r="D4465" s="1">
        <v>0.66400462962962958</v>
      </c>
      <c r="E4465" s="2">
        <f>CallLog[[#This Row],[Date]]+CallLog[[#This Row],[Time]]</f>
        <v>44275.664004629631</v>
      </c>
      <c r="F4465" s="1" t="str">
        <f>TEXT(CallLog[[#This Row],[Date]],"dddd")</f>
        <v>Saturday</v>
      </c>
      <c r="G4465" s="3">
        <f>HOUR(CallLog[[#This Row],[Time]])</f>
        <v>15</v>
      </c>
      <c r="H4465" t="s">
        <v>13</v>
      </c>
      <c r="I4465" t="s">
        <v>14</v>
      </c>
      <c r="J4465" t="s">
        <v>14</v>
      </c>
      <c r="K4465">
        <v>37</v>
      </c>
      <c r="L4465" t="str">
        <f>IF(AND(CallLog[[#This Row],[Answered (Y/N)]]="Y", CallLog[[#This Row],[Speed of answer in seconds]]&lt;=20),
    "Within",
    "Breach")</f>
        <v>Breach</v>
      </c>
      <c r="M4465" s="1">
        <v>5.7870370370370367E-4</v>
      </c>
      <c r="N4465">
        <v>5</v>
      </c>
    </row>
    <row r="4466" spans="1:14" x14ac:dyDescent="0.3">
      <c r="A4466" t="s">
        <v>4568</v>
      </c>
      <c r="B4466" t="s">
        <v>16</v>
      </c>
      <c r="C4466" t="s">
        <v>4524</v>
      </c>
      <c r="D4466" s="1">
        <v>0.67099537037037038</v>
      </c>
      <c r="E4466" s="2">
        <f>CallLog[[#This Row],[Date]]+CallLog[[#This Row],[Time]]</f>
        <v>44275.670995370368</v>
      </c>
      <c r="F4466" s="1" t="str">
        <f>TEXT(CallLog[[#This Row],[Date]],"dddd")</f>
        <v>Saturday</v>
      </c>
      <c r="G4466" s="3">
        <f>HOUR(CallLog[[#This Row],[Time]])</f>
        <v>16</v>
      </c>
      <c r="H4466" t="s">
        <v>32</v>
      </c>
      <c r="I4466" t="s">
        <v>14</v>
      </c>
      <c r="J4466" t="s">
        <v>14</v>
      </c>
      <c r="K4466">
        <v>108</v>
      </c>
      <c r="L4466" t="str">
        <f>IF(AND(CallLog[[#This Row],[Answered (Y/N)]]="Y", CallLog[[#This Row],[Speed of answer in seconds]]&lt;=20),
    "Within",
    "Breach")</f>
        <v>Breach</v>
      </c>
      <c r="M4466" s="1">
        <v>7.6388888888888893E-4</v>
      </c>
      <c r="N4466">
        <v>5</v>
      </c>
    </row>
    <row r="4467" spans="1:14" x14ac:dyDescent="0.3">
      <c r="A4467" t="s">
        <v>4569</v>
      </c>
      <c r="B4467" t="s">
        <v>11</v>
      </c>
      <c r="C4467" t="s">
        <v>4524</v>
      </c>
      <c r="D4467" s="1">
        <v>0.67099537037037038</v>
      </c>
      <c r="E4467" s="2">
        <f>CallLog[[#This Row],[Date]]+CallLog[[#This Row],[Time]]</f>
        <v>44275.670995370368</v>
      </c>
      <c r="F4467" s="1" t="str">
        <f>TEXT(CallLog[[#This Row],[Date]],"dddd")</f>
        <v>Saturday</v>
      </c>
      <c r="G4467" s="3">
        <f>HOUR(CallLog[[#This Row],[Time]])</f>
        <v>16</v>
      </c>
      <c r="H4467" t="s">
        <v>17</v>
      </c>
      <c r="I4467" t="s">
        <v>14</v>
      </c>
      <c r="J4467" t="s">
        <v>14</v>
      </c>
      <c r="K4467">
        <v>18</v>
      </c>
      <c r="L4467" t="str">
        <f>IF(AND(CallLog[[#This Row],[Answered (Y/N)]]="Y", CallLog[[#This Row],[Speed of answer in seconds]]&lt;=20),
    "Within",
    "Breach")</f>
        <v>Within</v>
      </c>
      <c r="M4467" s="1">
        <v>3.9699074074074072E-3</v>
      </c>
      <c r="N4467">
        <v>5</v>
      </c>
    </row>
    <row r="4468" spans="1:14" x14ac:dyDescent="0.3">
      <c r="A4468" t="s">
        <v>4570</v>
      </c>
      <c r="B4468" t="s">
        <v>38</v>
      </c>
      <c r="C4468" t="s">
        <v>4524</v>
      </c>
      <c r="D4468" s="1">
        <v>0.70200231481481479</v>
      </c>
      <c r="E4468" s="2">
        <f>CallLog[[#This Row],[Date]]+CallLog[[#This Row],[Time]]</f>
        <v>44275.702002314814</v>
      </c>
      <c r="F4468" s="1" t="str">
        <f>TEXT(CallLog[[#This Row],[Date]],"dddd")</f>
        <v>Saturday</v>
      </c>
      <c r="G4468" s="3">
        <f>HOUR(CallLog[[#This Row],[Time]])</f>
        <v>16</v>
      </c>
      <c r="H4468" t="s">
        <v>32</v>
      </c>
      <c r="I4468" t="s">
        <v>18</v>
      </c>
      <c r="J4468" t="s">
        <v>18</v>
      </c>
      <c r="L4468" t="str">
        <f>IF(AND(CallLog[[#This Row],[Answered (Y/N)]]="Y", CallLog[[#This Row],[Speed of answer in seconds]]&lt;=20),
    "Within",
    "Breach")</f>
        <v>Breach</v>
      </c>
    </row>
    <row r="4469" spans="1:14" x14ac:dyDescent="0.3">
      <c r="A4469" t="s">
        <v>4571</v>
      </c>
      <c r="B4469" t="s">
        <v>38</v>
      </c>
      <c r="C4469" t="s">
        <v>4524</v>
      </c>
      <c r="D4469" s="1">
        <v>0.70200231481481479</v>
      </c>
      <c r="E4469" s="2">
        <f>CallLog[[#This Row],[Date]]+CallLog[[#This Row],[Time]]</f>
        <v>44275.702002314814</v>
      </c>
      <c r="F4469" s="1" t="str">
        <f>TEXT(CallLog[[#This Row],[Date]],"dddd")</f>
        <v>Saturday</v>
      </c>
      <c r="G4469" s="3">
        <f>HOUR(CallLog[[#This Row],[Time]])</f>
        <v>16</v>
      </c>
      <c r="H4469" t="s">
        <v>32</v>
      </c>
      <c r="I4469" t="s">
        <v>14</v>
      </c>
      <c r="J4469" t="s">
        <v>14</v>
      </c>
      <c r="K4469">
        <v>77</v>
      </c>
      <c r="L4469" t="str">
        <f>IF(AND(CallLog[[#This Row],[Answered (Y/N)]]="Y", CallLog[[#This Row],[Speed of answer in seconds]]&lt;=20),
    "Within",
    "Breach")</f>
        <v>Breach</v>
      </c>
      <c r="M4469" s="1">
        <v>3.2754629629629631E-3</v>
      </c>
      <c r="N4469">
        <v>4</v>
      </c>
    </row>
    <row r="4470" spans="1:14" x14ac:dyDescent="0.3">
      <c r="A4470" t="s">
        <v>4572</v>
      </c>
      <c r="B4470" t="s">
        <v>11</v>
      </c>
      <c r="C4470" t="s">
        <v>4524</v>
      </c>
      <c r="D4470" s="1">
        <v>0.73099537037037032</v>
      </c>
      <c r="E4470" s="2">
        <f>CallLog[[#This Row],[Date]]+CallLog[[#This Row],[Time]]</f>
        <v>44275.730995370373</v>
      </c>
      <c r="F4470" s="1" t="str">
        <f>TEXT(CallLog[[#This Row],[Date]],"dddd")</f>
        <v>Saturday</v>
      </c>
      <c r="G4470" s="3">
        <f>HOUR(CallLog[[#This Row],[Time]])</f>
        <v>17</v>
      </c>
      <c r="H4470" t="s">
        <v>32</v>
      </c>
      <c r="I4470" t="s">
        <v>14</v>
      </c>
      <c r="J4470" t="s">
        <v>14</v>
      </c>
      <c r="K4470">
        <v>34</v>
      </c>
      <c r="L4470" t="str">
        <f>IF(AND(CallLog[[#This Row],[Answered (Y/N)]]="Y", CallLog[[#This Row],[Speed of answer in seconds]]&lt;=20),
    "Within",
    "Breach")</f>
        <v>Breach</v>
      </c>
      <c r="M4470" s="1">
        <v>3.1365740740740742E-3</v>
      </c>
      <c r="N4470">
        <v>1</v>
      </c>
    </row>
    <row r="4471" spans="1:14" x14ac:dyDescent="0.3">
      <c r="A4471" t="s">
        <v>4573</v>
      </c>
      <c r="B4471" t="s">
        <v>22</v>
      </c>
      <c r="C4471" t="s">
        <v>4524</v>
      </c>
      <c r="D4471" s="1">
        <v>0.73099537037037032</v>
      </c>
      <c r="E4471" s="2">
        <f>CallLog[[#This Row],[Date]]+CallLog[[#This Row],[Time]]</f>
        <v>44275.730995370373</v>
      </c>
      <c r="F4471" s="1" t="str">
        <f>TEXT(CallLog[[#This Row],[Date]],"dddd")</f>
        <v>Saturday</v>
      </c>
      <c r="G4471" s="3">
        <f>HOUR(CallLog[[#This Row],[Time]])</f>
        <v>17</v>
      </c>
      <c r="H4471" t="s">
        <v>13</v>
      </c>
      <c r="I4471" t="s">
        <v>14</v>
      </c>
      <c r="J4471" t="s">
        <v>14</v>
      </c>
      <c r="K4471">
        <v>73</v>
      </c>
      <c r="L4471" t="str">
        <f>IF(AND(CallLog[[#This Row],[Answered (Y/N)]]="Y", CallLog[[#This Row],[Speed of answer in seconds]]&lt;=20),
    "Within",
    "Breach")</f>
        <v>Breach</v>
      </c>
      <c r="M4471" s="1">
        <v>1.1805555555555556E-3</v>
      </c>
      <c r="N4471">
        <v>3</v>
      </c>
    </row>
    <row r="4472" spans="1:14" x14ac:dyDescent="0.3">
      <c r="A4472" t="s">
        <v>4574</v>
      </c>
      <c r="B4472" t="s">
        <v>38</v>
      </c>
      <c r="C4472" t="s">
        <v>4524</v>
      </c>
      <c r="D4472" s="1">
        <v>0.73900462962962965</v>
      </c>
      <c r="E4472" s="2">
        <f>CallLog[[#This Row],[Date]]+CallLog[[#This Row],[Time]]</f>
        <v>44275.739004629628</v>
      </c>
      <c r="F4472" s="1" t="str">
        <f>TEXT(CallLog[[#This Row],[Date]],"dddd")</f>
        <v>Saturday</v>
      </c>
      <c r="G4472" s="3">
        <f>HOUR(CallLog[[#This Row],[Time]])</f>
        <v>17</v>
      </c>
      <c r="H4472" t="s">
        <v>32</v>
      </c>
      <c r="I4472" t="s">
        <v>18</v>
      </c>
      <c r="J4472" t="s">
        <v>18</v>
      </c>
      <c r="L4472" t="str">
        <f>IF(AND(CallLog[[#This Row],[Answered (Y/N)]]="Y", CallLog[[#This Row],[Speed of answer in seconds]]&lt;=20),
    "Within",
    "Breach")</f>
        <v>Breach</v>
      </c>
    </row>
    <row r="4473" spans="1:14" x14ac:dyDescent="0.3">
      <c r="A4473" t="s">
        <v>4575</v>
      </c>
      <c r="B4473" t="s">
        <v>22</v>
      </c>
      <c r="C4473" t="s">
        <v>4524</v>
      </c>
      <c r="D4473" s="1">
        <v>0.73900462962962965</v>
      </c>
      <c r="E4473" s="2">
        <f>CallLog[[#This Row],[Date]]+CallLog[[#This Row],[Time]]</f>
        <v>44275.739004629628</v>
      </c>
      <c r="F4473" s="1" t="str">
        <f>TEXT(CallLog[[#This Row],[Date]],"dddd")</f>
        <v>Saturday</v>
      </c>
      <c r="G4473" s="3">
        <f>HOUR(CallLog[[#This Row],[Time]])</f>
        <v>17</v>
      </c>
      <c r="H4473" t="s">
        <v>29</v>
      </c>
      <c r="I4473" t="s">
        <v>14</v>
      </c>
      <c r="J4473" t="s">
        <v>14</v>
      </c>
      <c r="K4473">
        <v>120</v>
      </c>
      <c r="L4473" t="str">
        <f>IF(AND(CallLog[[#This Row],[Answered (Y/N)]]="Y", CallLog[[#This Row],[Speed of answer in seconds]]&lt;=20),
    "Within",
    "Breach")</f>
        <v>Breach</v>
      </c>
      <c r="M4473" s="1">
        <v>1.8749999999999999E-3</v>
      </c>
      <c r="N4473">
        <v>3</v>
      </c>
    </row>
    <row r="4474" spans="1:14" x14ac:dyDescent="0.3">
      <c r="A4474" t="s">
        <v>4576</v>
      </c>
      <c r="B4474" t="s">
        <v>20</v>
      </c>
      <c r="C4474" t="s">
        <v>4524</v>
      </c>
      <c r="D4474" s="1">
        <v>0.74799768518518517</v>
      </c>
      <c r="E4474" s="2">
        <f>CallLog[[#This Row],[Date]]+CallLog[[#This Row],[Time]]</f>
        <v>44275.747997685183</v>
      </c>
      <c r="F4474" s="1" t="str">
        <f>TEXT(CallLog[[#This Row],[Date]],"dddd")</f>
        <v>Saturday</v>
      </c>
      <c r="G4474" s="3">
        <f>HOUR(CallLog[[#This Row],[Time]])</f>
        <v>17</v>
      </c>
      <c r="H4474" t="s">
        <v>17</v>
      </c>
      <c r="I4474" t="s">
        <v>14</v>
      </c>
      <c r="J4474" t="s">
        <v>14</v>
      </c>
      <c r="K4474">
        <v>100</v>
      </c>
      <c r="L4474" t="str">
        <f>IF(AND(CallLog[[#This Row],[Answered (Y/N)]]="Y", CallLog[[#This Row],[Speed of answer in seconds]]&lt;=20),
    "Within",
    "Breach")</f>
        <v>Breach</v>
      </c>
      <c r="M4474" s="1">
        <v>3.6689814814814814E-3</v>
      </c>
      <c r="N4474">
        <v>1</v>
      </c>
    </row>
    <row r="4475" spans="1:14" x14ac:dyDescent="0.3">
      <c r="A4475" t="s">
        <v>4577</v>
      </c>
      <c r="B4475" t="s">
        <v>38</v>
      </c>
      <c r="C4475" t="s">
        <v>4524</v>
      </c>
      <c r="D4475" s="1">
        <v>0.74799768518518517</v>
      </c>
      <c r="E4475" s="2">
        <f>CallLog[[#This Row],[Date]]+CallLog[[#This Row],[Time]]</f>
        <v>44275.747997685183</v>
      </c>
      <c r="F4475" s="1" t="str">
        <f>TEXT(CallLog[[#This Row],[Date]],"dddd")</f>
        <v>Saturday</v>
      </c>
      <c r="G4475" s="3">
        <f>HOUR(CallLog[[#This Row],[Time]])</f>
        <v>17</v>
      </c>
      <c r="H4475" t="s">
        <v>24</v>
      </c>
      <c r="I4475" t="s">
        <v>14</v>
      </c>
      <c r="J4475" t="s">
        <v>14</v>
      </c>
      <c r="K4475">
        <v>93</v>
      </c>
      <c r="L4475" t="str">
        <f>IF(AND(CallLog[[#This Row],[Answered (Y/N)]]="Y", CallLog[[#This Row],[Speed of answer in seconds]]&lt;=20),
    "Within",
    "Breach")</f>
        <v>Breach</v>
      </c>
      <c r="M4475" s="1">
        <v>4.3750000000000004E-3</v>
      </c>
      <c r="N4475">
        <v>4</v>
      </c>
    </row>
    <row r="4476" spans="1:14" x14ac:dyDescent="0.3">
      <c r="A4476" t="s">
        <v>4578</v>
      </c>
      <c r="B4476" t="s">
        <v>11</v>
      </c>
      <c r="C4476" t="s">
        <v>4524</v>
      </c>
      <c r="D4476" s="1">
        <v>0.74900462962962966</v>
      </c>
      <c r="E4476" s="2">
        <f>CallLog[[#This Row],[Date]]+CallLog[[#This Row],[Time]]</f>
        <v>44275.74900462963</v>
      </c>
      <c r="F4476" s="1" t="str">
        <f>TEXT(CallLog[[#This Row],[Date]],"dddd")</f>
        <v>Saturday</v>
      </c>
      <c r="G4476" s="3">
        <f>HOUR(CallLog[[#This Row],[Time]])</f>
        <v>17</v>
      </c>
      <c r="H4476" t="s">
        <v>32</v>
      </c>
      <c r="I4476" t="s">
        <v>14</v>
      </c>
      <c r="J4476" t="s">
        <v>18</v>
      </c>
      <c r="K4476">
        <v>17</v>
      </c>
      <c r="L4476" t="str">
        <f>IF(AND(CallLog[[#This Row],[Answered (Y/N)]]="Y", CallLog[[#This Row],[Speed of answer in seconds]]&lt;=20),
    "Within",
    "Breach")</f>
        <v>Within</v>
      </c>
      <c r="M4476" s="1">
        <v>5.6712962962962967E-4</v>
      </c>
      <c r="N4476">
        <v>4</v>
      </c>
    </row>
    <row r="4477" spans="1:14" x14ac:dyDescent="0.3">
      <c r="A4477" t="s">
        <v>4579</v>
      </c>
      <c r="B4477" t="s">
        <v>20</v>
      </c>
      <c r="C4477" t="s">
        <v>4524</v>
      </c>
      <c r="D4477" s="1">
        <v>0.74900462962962966</v>
      </c>
      <c r="E4477" s="2">
        <f>CallLog[[#This Row],[Date]]+CallLog[[#This Row],[Time]]</f>
        <v>44275.74900462963</v>
      </c>
      <c r="F4477" s="1" t="str">
        <f>TEXT(CallLog[[#This Row],[Date]],"dddd")</f>
        <v>Saturday</v>
      </c>
      <c r="G4477" s="3">
        <f>HOUR(CallLog[[#This Row],[Time]])</f>
        <v>17</v>
      </c>
      <c r="H4477" t="s">
        <v>24</v>
      </c>
      <c r="I4477" t="s">
        <v>14</v>
      </c>
      <c r="J4477" t="s">
        <v>14</v>
      </c>
      <c r="K4477">
        <v>17</v>
      </c>
      <c r="L4477" t="str">
        <f>IF(AND(CallLog[[#This Row],[Answered (Y/N)]]="Y", CallLog[[#This Row],[Speed of answer in seconds]]&lt;=20),
    "Within",
    "Breach")</f>
        <v>Within</v>
      </c>
      <c r="M4477" s="1">
        <v>3.5763888888888889E-3</v>
      </c>
      <c r="N4477">
        <v>2</v>
      </c>
    </row>
    <row r="4478" spans="1:14" x14ac:dyDescent="0.3">
      <c r="A4478" t="s">
        <v>4580</v>
      </c>
      <c r="B4478" t="s">
        <v>31</v>
      </c>
      <c r="C4478" t="s">
        <v>4581</v>
      </c>
      <c r="D4478" s="1">
        <v>0.3759953703703704</v>
      </c>
      <c r="E4478" s="2">
        <f>CallLog[[#This Row],[Date]]+CallLog[[#This Row],[Time]]</f>
        <v>44276.37599537037</v>
      </c>
      <c r="F4478" s="1" t="str">
        <f>TEXT(CallLog[[#This Row],[Date]],"dddd")</f>
        <v>Sunday</v>
      </c>
      <c r="G4478" s="3">
        <f>HOUR(CallLog[[#This Row],[Time]])</f>
        <v>9</v>
      </c>
      <c r="H4478" t="s">
        <v>13</v>
      </c>
      <c r="I4478" t="s">
        <v>14</v>
      </c>
      <c r="J4478" t="s">
        <v>14</v>
      </c>
      <c r="K4478">
        <v>56</v>
      </c>
      <c r="L4478" t="str">
        <f>IF(AND(CallLog[[#This Row],[Answered (Y/N)]]="Y", CallLog[[#This Row],[Speed of answer in seconds]]&lt;=20),
    "Within",
    "Breach")</f>
        <v>Breach</v>
      </c>
      <c r="M4478" s="1">
        <v>3.0671296296296297E-3</v>
      </c>
      <c r="N4478">
        <v>2</v>
      </c>
    </row>
    <row r="4479" spans="1:14" x14ac:dyDescent="0.3">
      <c r="A4479" t="s">
        <v>4582</v>
      </c>
      <c r="B4479" t="s">
        <v>11</v>
      </c>
      <c r="C4479" t="s">
        <v>4581</v>
      </c>
      <c r="D4479" s="1">
        <v>0.3759953703703704</v>
      </c>
      <c r="E4479" s="2">
        <f>CallLog[[#This Row],[Date]]+CallLog[[#This Row],[Time]]</f>
        <v>44276.37599537037</v>
      </c>
      <c r="F4479" s="1" t="str">
        <f>TEXT(CallLog[[#This Row],[Date]],"dddd")</f>
        <v>Sunday</v>
      </c>
      <c r="G4479" s="3">
        <f>HOUR(CallLog[[#This Row],[Time]])</f>
        <v>9</v>
      </c>
      <c r="H4479" t="s">
        <v>29</v>
      </c>
      <c r="I4479" t="s">
        <v>18</v>
      </c>
      <c r="J4479" t="s">
        <v>18</v>
      </c>
      <c r="L4479" t="str">
        <f>IF(AND(CallLog[[#This Row],[Answered (Y/N)]]="Y", CallLog[[#This Row],[Speed of answer in seconds]]&lt;=20),
    "Within",
    "Breach")</f>
        <v>Breach</v>
      </c>
    </row>
    <row r="4480" spans="1:14" x14ac:dyDescent="0.3">
      <c r="A4480" t="s">
        <v>4583</v>
      </c>
      <c r="B4480" t="s">
        <v>47</v>
      </c>
      <c r="C4480" t="s">
        <v>4581</v>
      </c>
      <c r="D4480" s="1">
        <v>0.37799768518518517</v>
      </c>
      <c r="E4480" s="2">
        <f>CallLog[[#This Row],[Date]]+CallLog[[#This Row],[Time]]</f>
        <v>44276.377997685187</v>
      </c>
      <c r="F4480" s="1" t="str">
        <f>TEXT(CallLog[[#This Row],[Date]],"dddd")</f>
        <v>Sunday</v>
      </c>
      <c r="G4480" s="3">
        <f>HOUR(CallLog[[#This Row],[Time]])</f>
        <v>9</v>
      </c>
      <c r="H4480" t="s">
        <v>13</v>
      </c>
      <c r="I4480" t="s">
        <v>14</v>
      </c>
      <c r="J4480" t="s">
        <v>14</v>
      </c>
      <c r="K4480">
        <v>97</v>
      </c>
      <c r="L4480" t="str">
        <f>IF(AND(CallLog[[#This Row],[Answered (Y/N)]]="Y", CallLog[[#This Row],[Speed of answer in seconds]]&lt;=20),
    "Within",
    "Breach")</f>
        <v>Breach</v>
      </c>
      <c r="M4480" s="1">
        <v>1.8402777777777777E-3</v>
      </c>
      <c r="N4480">
        <v>2</v>
      </c>
    </row>
    <row r="4481" spans="1:14" x14ac:dyDescent="0.3">
      <c r="A4481" t="s">
        <v>4584</v>
      </c>
      <c r="B4481" t="s">
        <v>20</v>
      </c>
      <c r="C4481" t="s">
        <v>4581</v>
      </c>
      <c r="D4481" s="1">
        <v>0.37799768518518517</v>
      </c>
      <c r="E4481" s="2">
        <f>CallLog[[#This Row],[Date]]+CallLog[[#This Row],[Time]]</f>
        <v>44276.377997685187</v>
      </c>
      <c r="F4481" s="1" t="str">
        <f>TEXT(CallLog[[#This Row],[Date]],"dddd")</f>
        <v>Sunday</v>
      </c>
      <c r="G4481" s="3">
        <f>HOUR(CallLog[[#This Row],[Time]])</f>
        <v>9</v>
      </c>
      <c r="H4481" t="s">
        <v>32</v>
      </c>
      <c r="I4481" t="s">
        <v>14</v>
      </c>
      <c r="J4481" t="s">
        <v>14</v>
      </c>
      <c r="K4481">
        <v>25</v>
      </c>
      <c r="L4481" t="str">
        <f>IF(AND(CallLog[[#This Row],[Answered (Y/N)]]="Y", CallLog[[#This Row],[Speed of answer in seconds]]&lt;=20),
    "Within",
    "Breach")</f>
        <v>Breach</v>
      </c>
      <c r="M4481" s="1">
        <v>4.3981481481481484E-3</v>
      </c>
      <c r="N4481">
        <v>4</v>
      </c>
    </row>
    <row r="4482" spans="1:14" x14ac:dyDescent="0.3">
      <c r="A4482" t="s">
        <v>4585</v>
      </c>
      <c r="B4482" t="s">
        <v>11</v>
      </c>
      <c r="C4482" t="s">
        <v>4581</v>
      </c>
      <c r="D4482" s="1">
        <v>0.39400462962962962</v>
      </c>
      <c r="E4482" s="2">
        <f>CallLog[[#This Row],[Date]]+CallLog[[#This Row],[Time]]</f>
        <v>44276.394004629627</v>
      </c>
      <c r="F4482" s="1" t="str">
        <f>TEXT(CallLog[[#This Row],[Date]],"dddd")</f>
        <v>Sunday</v>
      </c>
      <c r="G4482" s="3">
        <f>HOUR(CallLog[[#This Row],[Time]])</f>
        <v>9</v>
      </c>
      <c r="H4482" t="s">
        <v>17</v>
      </c>
      <c r="I4482" t="s">
        <v>14</v>
      </c>
      <c r="J4482" t="s">
        <v>14</v>
      </c>
      <c r="K4482">
        <v>47</v>
      </c>
      <c r="L4482" t="str">
        <f>IF(AND(CallLog[[#This Row],[Answered (Y/N)]]="Y", CallLog[[#This Row],[Speed of answer in seconds]]&lt;=20),
    "Within",
    "Breach")</f>
        <v>Breach</v>
      </c>
      <c r="M4482" s="1">
        <v>1.9675925925925924E-3</v>
      </c>
      <c r="N4482">
        <v>4</v>
      </c>
    </row>
    <row r="4483" spans="1:14" x14ac:dyDescent="0.3">
      <c r="A4483" t="s">
        <v>4586</v>
      </c>
      <c r="B4483" t="s">
        <v>31</v>
      </c>
      <c r="C4483" t="s">
        <v>4581</v>
      </c>
      <c r="D4483" s="1">
        <v>0.39400462962962962</v>
      </c>
      <c r="E4483" s="2">
        <f>CallLog[[#This Row],[Date]]+CallLog[[#This Row],[Time]]</f>
        <v>44276.394004629627</v>
      </c>
      <c r="F4483" s="1" t="str">
        <f>TEXT(CallLog[[#This Row],[Date]],"dddd")</f>
        <v>Sunday</v>
      </c>
      <c r="G4483" s="3">
        <f>HOUR(CallLog[[#This Row],[Time]])</f>
        <v>9</v>
      </c>
      <c r="H4483" t="s">
        <v>24</v>
      </c>
      <c r="I4483" t="s">
        <v>14</v>
      </c>
      <c r="J4483" t="s">
        <v>14</v>
      </c>
      <c r="K4483">
        <v>70</v>
      </c>
      <c r="L4483" t="str">
        <f>IF(AND(CallLog[[#This Row],[Answered (Y/N)]]="Y", CallLog[[#This Row],[Speed of answer in seconds]]&lt;=20),
    "Within",
    "Breach")</f>
        <v>Breach</v>
      </c>
      <c r="M4483" s="1">
        <v>1.3310185185185185E-3</v>
      </c>
      <c r="N4483">
        <v>3</v>
      </c>
    </row>
    <row r="4484" spans="1:14" x14ac:dyDescent="0.3">
      <c r="A4484" t="s">
        <v>4587</v>
      </c>
      <c r="B4484" t="s">
        <v>22</v>
      </c>
      <c r="C4484" t="s">
        <v>4581</v>
      </c>
      <c r="D4484" s="1">
        <v>0.41799768518518521</v>
      </c>
      <c r="E4484" s="2">
        <f>CallLog[[#This Row],[Date]]+CallLog[[#This Row],[Time]]</f>
        <v>44276.417997685188</v>
      </c>
      <c r="F4484" s="1" t="str">
        <f>TEXT(CallLog[[#This Row],[Date]],"dddd")</f>
        <v>Sunday</v>
      </c>
      <c r="G4484" s="3">
        <f>HOUR(CallLog[[#This Row],[Time]])</f>
        <v>10</v>
      </c>
      <c r="H4484" t="s">
        <v>17</v>
      </c>
      <c r="I4484" t="s">
        <v>14</v>
      </c>
      <c r="J4484" t="s">
        <v>14</v>
      </c>
      <c r="K4484">
        <v>86</v>
      </c>
      <c r="L4484" t="str">
        <f>IF(AND(CallLog[[#This Row],[Answered (Y/N)]]="Y", CallLog[[#This Row],[Speed of answer in seconds]]&lt;=20),
    "Within",
    "Breach")</f>
        <v>Breach</v>
      </c>
      <c r="M4484" s="1">
        <v>2.1643518518518518E-3</v>
      </c>
      <c r="N4484">
        <v>3</v>
      </c>
    </row>
    <row r="4485" spans="1:14" x14ac:dyDescent="0.3">
      <c r="A4485" t="s">
        <v>4588</v>
      </c>
      <c r="B4485" t="s">
        <v>20</v>
      </c>
      <c r="C4485" t="s">
        <v>4581</v>
      </c>
      <c r="D4485" s="1">
        <v>0.41799768518518521</v>
      </c>
      <c r="E4485" s="2">
        <f>CallLog[[#This Row],[Date]]+CallLog[[#This Row],[Time]]</f>
        <v>44276.417997685188</v>
      </c>
      <c r="F4485" s="1" t="str">
        <f>TEXT(CallLog[[#This Row],[Date]],"dddd")</f>
        <v>Sunday</v>
      </c>
      <c r="G4485" s="3">
        <f>HOUR(CallLog[[#This Row],[Time]])</f>
        <v>10</v>
      </c>
      <c r="H4485" t="s">
        <v>13</v>
      </c>
      <c r="I4485" t="s">
        <v>14</v>
      </c>
      <c r="J4485" t="s">
        <v>14</v>
      </c>
      <c r="K4485">
        <v>92</v>
      </c>
      <c r="L4485" t="str">
        <f>IF(AND(CallLog[[#This Row],[Answered (Y/N)]]="Y", CallLog[[#This Row],[Speed of answer in seconds]]&lt;=20),
    "Within",
    "Breach")</f>
        <v>Breach</v>
      </c>
      <c r="M4485" s="1">
        <v>2.8819444444444444E-3</v>
      </c>
      <c r="N4485">
        <v>5</v>
      </c>
    </row>
    <row r="4486" spans="1:14" x14ac:dyDescent="0.3">
      <c r="A4486" t="s">
        <v>4589</v>
      </c>
      <c r="B4486" t="s">
        <v>22</v>
      </c>
      <c r="C4486" t="s">
        <v>4581</v>
      </c>
      <c r="D4486" s="1">
        <v>0.44099537037037034</v>
      </c>
      <c r="E4486" s="2">
        <f>CallLog[[#This Row],[Date]]+CallLog[[#This Row],[Time]]</f>
        <v>44276.440995370373</v>
      </c>
      <c r="F4486" s="1" t="str">
        <f>TEXT(CallLog[[#This Row],[Date]],"dddd")</f>
        <v>Sunday</v>
      </c>
      <c r="G4486" s="3">
        <f>HOUR(CallLog[[#This Row],[Time]])</f>
        <v>10</v>
      </c>
      <c r="H4486" t="s">
        <v>29</v>
      </c>
      <c r="I4486" t="s">
        <v>14</v>
      </c>
      <c r="J4486" t="s">
        <v>14</v>
      </c>
      <c r="K4486">
        <v>122</v>
      </c>
      <c r="L4486" t="str">
        <f>IF(AND(CallLog[[#This Row],[Answered (Y/N)]]="Y", CallLog[[#This Row],[Speed of answer in seconds]]&lt;=20),
    "Within",
    "Breach")</f>
        <v>Breach</v>
      </c>
      <c r="M4486" s="1">
        <v>1.0185185185185184E-3</v>
      </c>
      <c r="N4486">
        <v>3</v>
      </c>
    </row>
    <row r="4487" spans="1:14" x14ac:dyDescent="0.3">
      <c r="A4487" t="s">
        <v>4590</v>
      </c>
      <c r="B4487" t="s">
        <v>11</v>
      </c>
      <c r="C4487" t="s">
        <v>4581</v>
      </c>
      <c r="D4487" s="1">
        <v>0.44099537037037034</v>
      </c>
      <c r="E4487" s="2">
        <f>CallLog[[#This Row],[Date]]+CallLog[[#This Row],[Time]]</f>
        <v>44276.440995370373</v>
      </c>
      <c r="F4487" s="1" t="str">
        <f>TEXT(CallLog[[#This Row],[Date]],"dddd")</f>
        <v>Sunday</v>
      </c>
      <c r="G4487" s="3">
        <f>HOUR(CallLog[[#This Row],[Time]])</f>
        <v>10</v>
      </c>
      <c r="H4487" t="s">
        <v>32</v>
      </c>
      <c r="I4487" t="s">
        <v>14</v>
      </c>
      <c r="J4487" t="s">
        <v>14</v>
      </c>
      <c r="K4487">
        <v>11</v>
      </c>
      <c r="L4487" t="str">
        <f>IF(AND(CallLog[[#This Row],[Answered (Y/N)]]="Y", CallLog[[#This Row],[Speed of answer in seconds]]&lt;=20),
    "Within",
    "Breach")</f>
        <v>Within</v>
      </c>
      <c r="M4487" s="1">
        <v>4.7222222222222223E-3</v>
      </c>
      <c r="N4487">
        <v>3</v>
      </c>
    </row>
    <row r="4488" spans="1:14" x14ac:dyDescent="0.3">
      <c r="A4488" t="s">
        <v>4591</v>
      </c>
      <c r="B4488" t="s">
        <v>11</v>
      </c>
      <c r="C4488" t="s">
        <v>4581</v>
      </c>
      <c r="D4488" s="1">
        <v>0.44700231481481484</v>
      </c>
      <c r="E4488" s="2">
        <f>CallLog[[#This Row],[Date]]+CallLog[[#This Row],[Time]]</f>
        <v>44276.447002314817</v>
      </c>
      <c r="F4488" s="1" t="str">
        <f>TEXT(CallLog[[#This Row],[Date]],"dddd")</f>
        <v>Sunday</v>
      </c>
      <c r="G4488" s="3">
        <f>HOUR(CallLog[[#This Row],[Time]])</f>
        <v>10</v>
      </c>
      <c r="H4488" t="s">
        <v>17</v>
      </c>
      <c r="I4488" t="s">
        <v>14</v>
      </c>
      <c r="J4488" t="s">
        <v>14</v>
      </c>
      <c r="K4488">
        <v>27</v>
      </c>
      <c r="L4488" t="str">
        <f>IF(AND(CallLog[[#This Row],[Answered (Y/N)]]="Y", CallLog[[#This Row],[Speed of answer in seconds]]&lt;=20),
    "Within",
    "Breach")</f>
        <v>Breach</v>
      </c>
      <c r="M4488" s="1">
        <v>4.2592592592592595E-3</v>
      </c>
      <c r="N4488">
        <v>3</v>
      </c>
    </row>
    <row r="4489" spans="1:14" x14ac:dyDescent="0.3">
      <c r="A4489" t="s">
        <v>4592</v>
      </c>
      <c r="B4489" t="s">
        <v>22</v>
      </c>
      <c r="C4489" t="s">
        <v>4581</v>
      </c>
      <c r="D4489" s="1">
        <v>0.44700231481481484</v>
      </c>
      <c r="E4489" s="2">
        <f>CallLog[[#This Row],[Date]]+CallLog[[#This Row],[Time]]</f>
        <v>44276.447002314817</v>
      </c>
      <c r="F4489" s="1" t="str">
        <f>TEXT(CallLog[[#This Row],[Date]],"dddd")</f>
        <v>Sunday</v>
      </c>
      <c r="G4489" s="3">
        <f>HOUR(CallLog[[#This Row],[Time]])</f>
        <v>10</v>
      </c>
      <c r="H4489" t="s">
        <v>13</v>
      </c>
      <c r="I4489" t="s">
        <v>18</v>
      </c>
      <c r="J4489" t="s">
        <v>18</v>
      </c>
      <c r="L4489" t="str">
        <f>IF(AND(CallLog[[#This Row],[Answered (Y/N)]]="Y", CallLog[[#This Row],[Speed of answer in seconds]]&lt;=20),
    "Within",
    "Breach")</f>
        <v>Breach</v>
      </c>
    </row>
    <row r="4490" spans="1:14" x14ac:dyDescent="0.3">
      <c r="A4490" t="s">
        <v>4593</v>
      </c>
      <c r="B4490" t="s">
        <v>16</v>
      </c>
      <c r="C4490" t="s">
        <v>4581</v>
      </c>
      <c r="D4490" s="1">
        <v>0.46500000000000002</v>
      </c>
      <c r="E4490" s="2">
        <f>CallLog[[#This Row],[Date]]+CallLog[[#This Row],[Time]]</f>
        <v>44276.464999999997</v>
      </c>
      <c r="F4490" s="1" t="str">
        <f>TEXT(CallLog[[#This Row],[Date]],"dddd")</f>
        <v>Sunday</v>
      </c>
      <c r="G4490" s="3">
        <f>HOUR(CallLog[[#This Row],[Time]])</f>
        <v>11</v>
      </c>
      <c r="H4490" t="s">
        <v>24</v>
      </c>
      <c r="I4490" t="s">
        <v>14</v>
      </c>
      <c r="J4490" t="s">
        <v>14</v>
      </c>
      <c r="K4490">
        <v>17</v>
      </c>
      <c r="L4490" t="str">
        <f>IF(AND(CallLog[[#This Row],[Answered (Y/N)]]="Y", CallLog[[#This Row],[Speed of answer in seconds]]&lt;=20),
    "Within",
    "Breach")</f>
        <v>Within</v>
      </c>
      <c r="M4490" s="1">
        <v>1.3657407407407407E-3</v>
      </c>
      <c r="N4490">
        <v>4</v>
      </c>
    </row>
    <row r="4491" spans="1:14" x14ac:dyDescent="0.3">
      <c r="A4491" t="s">
        <v>4594</v>
      </c>
      <c r="B4491" t="s">
        <v>22</v>
      </c>
      <c r="C4491" t="s">
        <v>4581</v>
      </c>
      <c r="D4491" s="1">
        <v>0.46500000000000002</v>
      </c>
      <c r="E4491" s="2">
        <f>CallLog[[#This Row],[Date]]+CallLog[[#This Row],[Time]]</f>
        <v>44276.464999999997</v>
      </c>
      <c r="F4491" s="1" t="str">
        <f>TEXT(CallLog[[#This Row],[Date]],"dddd")</f>
        <v>Sunday</v>
      </c>
      <c r="G4491" s="3">
        <f>HOUR(CallLog[[#This Row],[Time]])</f>
        <v>11</v>
      </c>
      <c r="H4491" t="s">
        <v>24</v>
      </c>
      <c r="I4491" t="s">
        <v>14</v>
      </c>
      <c r="J4491" t="s">
        <v>14</v>
      </c>
      <c r="K4491">
        <v>113</v>
      </c>
      <c r="L4491" t="str">
        <f>IF(AND(CallLog[[#This Row],[Answered (Y/N)]]="Y", CallLog[[#This Row],[Speed of answer in seconds]]&lt;=20),
    "Within",
    "Breach")</f>
        <v>Breach</v>
      </c>
      <c r="M4491" s="1">
        <v>2.2453703703703702E-3</v>
      </c>
      <c r="N4491">
        <v>3</v>
      </c>
    </row>
    <row r="4492" spans="1:14" x14ac:dyDescent="0.3">
      <c r="A4492" t="s">
        <v>4595</v>
      </c>
      <c r="B4492" t="s">
        <v>47</v>
      </c>
      <c r="C4492" t="s">
        <v>4581</v>
      </c>
      <c r="D4492" s="1">
        <v>0.48</v>
      </c>
      <c r="E4492" s="2">
        <f>CallLog[[#This Row],[Date]]+CallLog[[#This Row],[Time]]</f>
        <v>44276.480000000003</v>
      </c>
      <c r="F4492" s="1" t="str">
        <f>TEXT(CallLog[[#This Row],[Date]],"dddd")</f>
        <v>Sunday</v>
      </c>
      <c r="G4492" s="3">
        <f>HOUR(CallLog[[#This Row],[Time]])</f>
        <v>11</v>
      </c>
      <c r="H4492" t="s">
        <v>24</v>
      </c>
      <c r="I4492" t="s">
        <v>18</v>
      </c>
      <c r="J4492" t="s">
        <v>18</v>
      </c>
      <c r="L4492" t="str">
        <f>IF(AND(CallLog[[#This Row],[Answered (Y/N)]]="Y", CallLog[[#This Row],[Speed of answer in seconds]]&lt;=20),
    "Within",
    "Breach")</f>
        <v>Breach</v>
      </c>
    </row>
    <row r="4493" spans="1:14" x14ac:dyDescent="0.3">
      <c r="A4493" t="s">
        <v>4596</v>
      </c>
      <c r="B4493" t="s">
        <v>16</v>
      </c>
      <c r="C4493" t="s">
        <v>4581</v>
      </c>
      <c r="D4493" s="1">
        <v>0.48</v>
      </c>
      <c r="E4493" s="2">
        <f>CallLog[[#This Row],[Date]]+CallLog[[#This Row],[Time]]</f>
        <v>44276.480000000003</v>
      </c>
      <c r="F4493" s="1" t="str">
        <f>TEXT(CallLog[[#This Row],[Date]],"dddd")</f>
        <v>Sunday</v>
      </c>
      <c r="G4493" s="3">
        <f>HOUR(CallLog[[#This Row],[Time]])</f>
        <v>11</v>
      </c>
      <c r="H4493" t="s">
        <v>32</v>
      </c>
      <c r="I4493" t="s">
        <v>14</v>
      </c>
      <c r="J4493" t="s">
        <v>14</v>
      </c>
      <c r="K4493">
        <v>101</v>
      </c>
      <c r="L4493" t="str">
        <f>IF(AND(CallLog[[#This Row],[Answered (Y/N)]]="Y", CallLog[[#This Row],[Speed of answer in seconds]]&lt;=20),
    "Within",
    "Breach")</f>
        <v>Breach</v>
      </c>
      <c r="M4493" s="1">
        <v>2.3379629629629631E-3</v>
      </c>
      <c r="N4493">
        <v>3</v>
      </c>
    </row>
    <row r="4494" spans="1:14" x14ac:dyDescent="0.3">
      <c r="A4494" t="s">
        <v>4597</v>
      </c>
      <c r="B4494" t="s">
        <v>16</v>
      </c>
      <c r="C4494" t="s">
        <v>4581</v>
      </c>
      <c r="D4494" s="1">
        <v>0.49099537037037039</v>
      </c>
      <c r="E4494" s="2">
        <f>CallLog[[#This Row],[Date]]+CallLog[[#This Row],[Time]]</f>
        <v>44276.490995370368</v>
      </c>
      <c r="F4494" s="1" t="str">
        <f>TEXT(CallLog[[#This Row],[Date]],"dddd")</f>
        <v>Sunday</v>
      </c>
      <c r="G4494" s="3">
        <f>HOUR(CallLog[[#This Row],[Time]])</f>
        <v>11</v>
      </c>
      <c r="H4494" t="s">
        <v>13</v>
      </c>
      <c r="I4494" t="s">
        <v>14</v>
      </c>
      <c r="J4494" t="s">
        <v>14</v>
      </c>
      <c r="K4494">
        <v>69</v>
      </c>
      <c r="L4494" t="str">
        <f>IF(AND(CallLog[[#This Row],[Answered (Y/N)]]="Y", CallLog[[#This Row],[Speed of answer in seconds]]&lt;=20),
    "Within",
    "Breach")</f>
        <v>Breach</v>
      </c>
      <c r="M4494" s="1">
        <v>1.7824074074074075E-3</v>
      </c>
      <c r="N4494">
        <v>1</v>
      </c>
    </row>
    <row r="4495" spans="1:14" x14ac:dyDescent="0.3">
      <c r="A4495" t="s">
        <v>4598</v>
      </c>
      <c r="B4495" t="s">
        <v>20</v>
      </c>
      <c r="C4495" t="s">
        <v>4581</v>
      </c>
      <c r="D4495" s="1">
        <v>0.49099537037037039</v>
      </c>
      <c r="E4495" s="2">
        <f>CallLog[[#This Row],[Date]]+CallLog[[#This Row],[Time]]</f>
        <v>44276.490995370368</v>
      </c>
      <c r="F4495" s="1" t="str">
        <f>TEXT(CallLog[[#This Row],[Date]],"dddd")</f>
        <v>Sunday</v>
      </c>
      <c r="G4495" s="3">
        <f>HOUR(CallLog[[#This Row],[Time]])</f>
        <v>11</v>
      </c>
      <c r="H4495" t="s">
        <v>17</v>
      </c>
      <c r="I4495" t="s">
        <v>14</v>
      </c>
      <c r="J4495" t="s">
        <v>14</v>
      </c>
      <c r="K4495">
        <v>24</v>
      </c>
      <c r="L4495" t="str">
        <f>IF(AND(CallLog[[#This Row],[Answered (Y/N)]]="Y", CallLog[[#This Row],[Speed of answer in seconds]]&lt;=20),
    "Within",
    "Breach")</f>
        <v>Breach</v>
      </c>
      <c r="M4495" s="1">
        <v>2.7430555555555554E-3</v>
      </c>
      <c r="N4495">
        <v>3</v>
      </c>
    </row>
    <row r="4496" spans="1:14" x14ac:dyDescent="0.3">
      <c r="A4496" t="s">
        <v>4599</v>
      </c>
      <c r="B4496" t="s">
        <v>16</v>
      </c>
      <c r="C4496" t="s">
        <v>4581</v>
      </c>
      <c r="D4496" s="1">
        <v>0.49700231481481483</v>
      </c>
      <c r="E4496" s="2">
        <f>CallLog[[#This Row],[Date]]+CallLog[[#This Row],[Time]]</f>
        <v>44276.497002314813</v>
      </c>
      <c r="F4496" s="1" t="str">
        <f>TEXT(CallLog[[#This Row],[Date]],"dddd")</f>
        <v>Sunday</v>
      </c>
      <c r="G4496" s="3">
        <f>HOUR(CallLog[[#This Row],[Time]])</f>
        <v>11</v>
      </c>
      <c r="H4496" t="s">
        <v>17</v>
      </c>
      <c r="I4496" t="s">
        <v>14</v>
      </c>
      <c r="J4496" t="s">
        <v>14</v>
      </c>
      <c r="K4496">
        <v>84</v>
      </c>
      <c r="L4496" t="str">
        <f>IF(AND(CallLog[[#This Row],[Answered (Y/N)]]="Y", CallLog[[#This Row],[Speed of answer in seconds]]&lt;=20),
    "Within",
    "Breach")</f>
        <v>Breach</v>
      </c>
      <c r="M4496" s="1">
        <v>1.3888888888888889E-3</v>
      </c>
      <c r="N4496">
        <v>4</v>
      </c>
    </row>
    <row r="4497" spans="1:14" x14ac:dyDescent="0.3">
      <c r="A4497" t="s">
        <v>4600</v>
      </c>
      <c r="B4497" t="s">
        <v>22</v>
      </c>
      <c r="C4497" t="s">
        <v>4581</v>
      </c>
      <c r="D4497" s="1">
        <v>0.49700231481481483</v>
      </c>
      <c r="E4497" s="2">
        <f>CallLog[[#This Row],[Date]]+CallLog[[#This Row],[Time]]</f>
        <v>44276.497002314813</v>
      </c>
      <c r="F4497" s="1" t="str">
        <f>TEXT(CallLog[[#This Row],[Date]],"dddd")</f>
        <v>Sunday</v>
      </c>
      <c r="G4497" s="3">
        <f>HOUR(CallLog[[#This Row],[Time]])</f>
        <v>11</v>
      </c>
      <c r="H4497" t="s">
        <v>17</v>
      </c>
      <c r="I4497" t="s">
        <v>18</v>
      </c>
      <c r="J4497" t="s">
        <v>18</v>
      </c>
      <c r="L4497" t="str">
        <f>IF(AND(CallLog[[#This Row],[Answered (Y/N)]]="Y", CallLog[[#This Row],[Speed of answer in seconds]]&lt;=20),
    "Within",
    "Breach")</f>
        <v>Breach</v>
      </c>
    </row>
    <row r="4498" spans="1:14" x14ac:dyDescent="0.3">
      <c r="A4498" t="s">
        <v>4601</v>
      </c>
      <c r="B4498" t="s">
        <v>11</v>
      </c>
      <c r="C4498" t="s">
        <v>4581</v>
      </c>
      <c r="D4498" s="1">
        <v>0.5</v>
      </c>
      <c r="E4498" s="2">
        <f>CallLog[[#This Row],[Date]]+CallLog[[#This Row],[Time]]</f>
        <v>44276.5</v>
      </c>
      <c r="F4498" s="1" t="str">
        <f>TEXT(CallLog[[#This Row],[Date]],"dddd")</f>
        <v>Sunday</v>
      </c>
      <c r="G4498" s="3">
        <f>HOUR(CallLog[[#This Row],[Time]])</f>
        <v>12</v>
      </c>
      <c r="H4498" t="s">
        <v>24</v>
      </c>
      <c r="I4498" t="s">
        <v>18</v>
      </c>
      <c r="J4498" t="s">
        <v>18</v>
      </c>
      <c r="L4498" t="str">
        <f>IF(AND(CallLog[[#This Row],[Answered (Y/N)]]="Y", CallLog[[#This Row],[Speed of answer in seconds]]&lt;=20),
    "Within",
    "Breach")</f>
        <v>Breach</v>
      </c>
    </row>
    <row r="4499" spans="1:14" x14ac:dyDescent="0.3">
      <c r="A4499" t="s">
        <v>4602</v>
      </c>
      <c r="B4499" t="s">
        <v>11</v>
      </c>
      <c r="C4499" t="s">
        <v>4581</v>
      </c>
      <c r="D4499" s="1">
        <v>0.5</v>
      </c>
      <c r="E4499" s="2">
        <f>CallLog[[#This Row],[Date]]+CallLog[[#This Row],[Time]]</f>
        <v>44276.5</v>
      </c>
      <c r="F4499" s="1" t="str">
        <f>TEXT(CallLog[[#This Row],[Date]],"dddd")</f>
        <v>Sunday</v>
      </c>
      <c r="G4499" s="3">
        <f>HOUR(CallLog[[#This Row],[Time]])</f>
        <v>12</v>
      </c>
      <c r="H4499" t="s">
        <v>17</v>
      </c>
      <c r="I4499" t="s">
        <v>18</v>
      </c>
      <c r="J4499" t="s">
        <v>18</v>
      </c>
      <c r="L4499" t="str">
        <f>IF(AND(CallLog[[#This Row],[Answered (Y/N)]]="Y", CallLog[[#This Row],[Speed of answer in seconds]]&lt;=20),
    "Within",
    "Breach")</f>
        <v>Breach</v>
      </c>
    </row>
    <row r="4500" spans="1:14" x14ac:dyDescent="0.3">
      <c r="A4500" t="s">
        <v>4603</v>
      </c>
      <c r="B4500" t="s">
        <v>38</v>
      </c>
      <c r="C4500" t="s">
        <v>4581</v>
      </c>
      <c r="D4500" s="1">
        <v>0.51299768518518518</v>
      </c>
      <c r="E4500" s="2">
        <f>CallLog[[#This Row],[Date]]+CallLog[[#This Row],[Time]]</f>
        <v>44276.512997685182</v>
      </c>
      <c r="F4500" s="1" t="str">
        <f>TEXT(CallLog[[#This Row],[Date]],"dddd")</f>
        <v>Sunday</v>
      </c>
      <c r="G4500" s="3">
        <f>HOUR(CallLog[[#This Row],[Time]])</f>
        <v>12</v>
      </c>
      <c r="H4500" t="s">
        <v>32</v>
      </c>
      <c r="I4500" t="s">
        <v>14</v>
      </c>
      <c r="J4500" t="s">
        <v>14</v>
      </c>
      <c r="K4500">
        <v>92</v>
      </c>
      <c r="L4500" t="str">
        <f>IF(AND(CallLog[[#This Row],[Answered (Y/N)]]="Y", CallLog[[#This Row],[Speed of answer in seconds]]&lt;=20),
    "Within",
    "Breach")</f>
        <v>Breach</v>
      </c>
      <c r="M4500" s="1">
        <v>2.8935185185185184E-3</v>
      </c>
      <c r="N4500">
        <v>3</v>
      </c>
    </row>
    <row r="4501" spans="1:14" x14ac:dyDescent="0.3">
      <c r="A4501" t="s">
        <v>4604</v>
      </c>
      <c r="B4501" t="s">
        <v>34</v>
      </c>
      <c r="C4501" t="s">
        <v>4581</v>
      </c>
      <c r="D4501" s="1">
        <v>0.51299768518518518</v>
      </c>
      <c r="E4501" s="2">
        <f>CallLog[[#This Row],[Date]]+CallLog[[#This Row],[Time]]</f>
        <v>44276.512997685182</v>
      </c>
      <c r="F4501" s="1" t="str">
        <f>TEXT(CallLog[[#This Row],[Date]],"dddd")</f>
        <v>Sunday</v>
      </c>
      <c r="G4501" s="3">
        <f>HOUR(CallLog[[#This Row],[Time]])</f>
        <v>12</v>
      </c>
      <c r="H4501" t="s">
        <v>29</v>
      </c>
      <c r="I4501" t="s">
        <v>18</v>
      </c>
      <c r="J4501" t="s">
        <v>18</v>
      </c>
      <c r="L4501" t="str">
        <f>IF(AND(CallLog[[#This Row],[Answered (Y/N)]]="Y", CallLog[[#This Row],[Speed of answer in seconds]]&lt;=20),
    "Within",
    "Breach")</f>
        <v>Breach</v>
      </c>
    </row>
    <row r="4502" spans="1:14" x14ac:dyDescent="0.3">
      <c r="A4502" t="s">
        <v>4605</v>
      </c>
      <c r="B4502" t="s">
        <v>20</v>
      </c>
      <c r="C4502" t="s">
        <v>4581</v>
      </c>
      <c r="D4502" s="1">
        <v>0.53700231481481486</v>
      </c>
      <c r="E4502" s="2">
        <f>CallLog[[#This Row],[Date]]+CallLog[[#This Row],[Time]]</f>
        <v>44276.537002314813</v>
      </c>
      <c r="F4502" s="1" t="str">
        <f>TEXT(CallLog[[#This Row],[Date]],"dddd")</f>
        <v>Sunday</v>
      </c>
      <c r="G4502" s="3">
        <f>HOUR(CallLog[[#This Row],[Time]])</f>
        <v>12</v>
      </c>
      <c r="H4502" t="s">
        <v>24</v>
      </c>
      <c r="I4502" t="s">
        <v>18</v>
      </c>
      <c r="J4502" t="s">
        <v>18</v>
      </c>
      <c r="L4502" t="str">
        <f>IF(AND(CallLog[[#This Row],[Answered (Y/N)]]="Y", CallLog[[#This Row],[Speed of answer in seconds]]&lt;=20),
    "Within",
    "Breach")</f>
        <v>Breach</v>
      </c>
    </row>
    <row r="4503" spans="1:14" x14ac:dyDescent="0.3">
      <c r="A4503" t="s">
        <v>4606</v>
      </c>
      <c r="B4503" t="s">
        <v>11</v>
      </c>
      <c r="C4503" t="s">
        <v>4581</v>
      </c>
      <c r="D4503" s="1">
        <v>0.53700231481481486</v>
      </c>
      <c r="E4503" s="2">
        <f>CallLog[[#This Row],[Date]]+CallLog[[#This Row],[Time]]</f>
        <v>44276.537002314813</v>
      </c>
      <c r="F4503" s="1" t="str">
        <f>TEXT(CallLog[[#This Row],[Date]],"dddd")</f>
        <v>Sunday</v>
      </c>
      <c r="G4503" s="3">
        <f>HOUR(CallLog[[#This Row],[Time]])</f>
        <v>12</v>
      </c>
      <c r="H4503" t="s">
        <v>32</v>
      </c>
      <c r="I4503" t="s">
        <v>14</v>
      </c>
      <c r="J4503" t="s">
        <v>14</v>
      </c>
      <c r="K4503">
        <v>114</v>
      </c>
      <c r="L4503" t="str">
        <f>IF(AND(CallLog[[#This Row],[Answered (Y/N)]]="Y", CallLog[[#This Row],[Speed of answer in seconds]]&lt;=20),
    "Within",
    "Breach")</f>
        <v>Breach</v>
      </c>
      <c r="M4503" s="1">
        <v>2.7199074074074074E-3</v>
      </c>
      <c r="N4503">
        <v>2</v>
      </c>
    </row>
    <row r="4504" spans="1:14" x14ac:dyDescent="0.3">
      <c r="A4504" t="s">
        <v>4607</v>
      </c>
      <c r="B4504" t="s">
        <v>11</v>
      </c>
      <c r="C4504" t="s">
        <v>4581</v>
      </c>
      <c r="D4504" s="1">
        <v>0.53700231481481486</v>
      </c>
      <c r="E4504" s="2">
        <f>CallLog[[#This Row],[Date]]+CallLog[[#This Row],[Time]]</f>
        <v>44276.537002314813</v>
      </c>
      <c r="F4504" s="1" t="str">
        <f>TEXT(CallLog[[#This Row],[Date]],"dddd")</f>
        <v>Sunday</v>
      </c>
      <c r="G4504" s="3">
        <f>HOUR(CallLog[[#This Row],[Time]])</f>
        <v>12</v>
      </c>
      <c r="H4504" t="s">
        <v>24</v>
      </c>
      <c r="I4504" t="s">
        <v>14</v>
      </c>
      <c r="J4504" t="s">
        <v>14</v>
      </c>
      <c r="K4504">
        <v>109</v>
      </c>
      <c r="L4504" t="str">
        <f>IF(AND(CallLog[[#This Row],[Answered (Y/N)]]="Y", CallLog[[#This Row],[Speed of answer in seconds]]&lt;=20),
    "Within",
    "Breach")</f>
        <v>Breach</v>
      </c>
      <c r="M4504" s="1">
        <v>3.2291666666666666E-3</v>
      </c>
      <c r="N4504">
        <v>3</v>
      </c>
    </row>
    <row r="4505" spans="1:14" x14ac:dyDescent="0.3">
      <c r="A4505" t="s">
        <v>4608</v>
      </c>
      <c r="B4505" t="s">
        <v>11</v>
      </c>
      <c r="C4505" t="s">
        <v>4581</v>
      </c>
      <c r="D4505" s="1">
        <v>0.53700231481481486</v>
      </c>
      <c r="E4505" s="2">
        <f>CallLog[[#This Row],[Date]]+CallLog[[#This Row],[Time]]</f>
        <v>44276.537002314813</v>
      </c>
      <c r="F4505" s="1" t="str">
        <f>TEXT(CallLog[[#This Row],[Date]],"dddd")</f>
        <v>Sunday</v>
      </c>
      <c r="G4505" s="3">
        <f>HOUR(CallLog[[#This Row],[Time]])</f>
        <v>12</v>
      </c>
      <c r="H4505" t="s">
        <v>17</v>
      </c>
      <c r="I4505" t="s">
        <v>14</v>
      </c>
      <c r="J4505" t="s">
        <v>14</v>
      </c>
      <c r="K4505">
        <v>89</v>
      </c>
      <c r="L4505" t="str">
        <f>IF(AND(CallLog[[#This Row],[Answered (Y/N)]]="Y", CallLog[[#This Row],[Speed of answer in seconds]]&lt;=20),
    "Within",
    "Breach")</f>
        <v>Breach</v>
      </c>
      <c r="M4505" s="1">
        <v>1.7476851851851852E-3</v>
      </c>
      <c r="N4505">
        <v>3</v>
      </c>
    </row>
    <row r="4506" spans="1:14" x14ac:dyDescent="0.3">
      <c r="A4506" t="s">
        <v>4609</v>
      </c>
      <c r="B4506" t="s">
        <v>47</v>
      </c>
      <c r="C4506" t="s">
        <v>4581</v>
      </c>
      <c r="D4506" s="1">
        <v>0.54799768518518521</v>
      </c>
      <c r="E4506" s="2">
        <f>CallLog[[#This Row],[Date]]+CallLog[[#This Row],[Time]]</f>
        <v>44276.547997685186</v>
      </c>
      <c r="F4506" s="1" t="str">
        <f>TEXT(CallLog[[#This Row],[Date]],"dddd")</f>
        <v>Sunday</v>
      </c>
      <c r="G4506" s="3">
        <f>HOUR(CallLog[[#This Row],[Time]])</f>
        <v>13</v>
      </c>
      <c r="H4506" t="s">
        <v>24</v>
      </c>
      <c r="I4506" t="s">
        <v>14</v>
      </c>
      <c r="J4506" t="s">
        <v>14</v>
      </c>
      <c r="K4506">
        <v>124</v>
      </c>
      <c r="L4506" t="str">
        <f>IF(AND(CallLog[[#This Row],[Answered (Y/N)]]="Y", CallLog[[#This Row],[Speed of answer in seconds]]&lt;=20),
    "Within",
    "Breach")</f>
        <v>Breach</v>
      </c>
      <c r="M4506" s="1">
        <v>2.5231481481481481E-3</v>
      </c>
      <c r="N4506">
        <v>3</v>
      </c>
    </row>
    <row r="4507" spans="1:14" x14ac:dyDescent="0.3">
      <c r="A4507" t="s">
        <v>4610</v>
      </c>
      <c r="B4507" t="s">
        <v>38</v>
      </c>
      <c r="C4507" t="s">
        <v>4581</v>
      </c>
      <c r="D4507" s="1">
        <v>0.54799768518518521</v>
      </c>
      <c r="E4507" s="2">
        <f>CallLog[[#This Row],[Date]]+CallLog[[#This Row],[Time]]</f>
        <v>44276.547997685186</v>
      </c>
      <c r="F4507" s="1" t="str">
        <f>TEXT(CallLog[[#This Row],[Date]],"dddd")</f>
        <v>Sunday</v>
      </c>
      <c r="G4507" s="3">
        <f>HOUR(CallLog[[#This Row],[Time]])</f>
        <v>13</v>
      </c>
      <c r="H4507" t="s">
        <v>32</v>
      </c>
      <c r="I4507" t="s">
        <v>14</v>
      </c>
      <c r="J4507" t="s">
        <v>14</v>
      </c>
      <c r="K4507">
        <v>43</v>
      </c>
      <c r="L4507" t="str">
        <f>IF(AND(CallLog[[#This Row],[Answered (Y/N)]]="Y", CallLog[[#This Row],[Speed of answer in seconds]]&lt;=20),
    "Within",
    "Breach")</f>
        <v>Breach</v>
      </c>
      <c r="M4507" s="1">
        <v>7.7546296296296293E-4</v>
      </c>
      <c r="N4507">
        <v>5</v>
      </c>
    </row>
    <row r="4508" spans="1:14" x14ac:dyDescent="0.3">
      <c r="A4508" t="s">
        <v>4611</v>
      </c>
      <c r="B4508" t="s">
        <v>47</v>
      </c>
      <c r="C4508" t="s">
        <v>4581</v>
      </c>
      <c r="D4508" s="1">
        <v>0.56299768518518523</v>
      </c>
      <c r="E4508" s="2">
        <f>CallLog[[#This Row],[Date]]+CallLog[[#This Row],[Time]]</f>
        <v>44276.562997685185</v>
      </c>
      <c r="F4508" s="1" t="str">
        <f>TEXT(CallLog[[#This Row],[Date]],"dddd")</f>
        <v>Sunday</v>
      </c>
      <c r="G4508" s="3">
        <f>HOUR(CallLog[[#This Row],[Time]])</f>
        <v>13</v>
      </c>
      <c r="H4508" t="s">
        <v>13</v>
      </c>
      <c r="I4508" t="s">
        <v>14</v>
      </c>
      <c r="J4508" t="s">
        <v>14</v>
      </c>
      <c r="K4508">
        <v>110</v>
      </c>
      <c r="L4508" t="str">
        <f>IF(AND(CallLog[[#This Row],[Answered (Y/N)]]="Y", CallLog[[#This Row],[Speed of answer in seconds]]&lt;=20),
    "Within",
    "Breach")</f>
        <v>Breach</v>
      </c>
      <c r="M4508" s="1">
        <v>3.7037037037037038E-3</v>
      </c>
      <c r="N4508">
        <v>5</v>
      </c>
    </row>
    <row r="4509" spans="1:14" x14ac:dyDescent="0.3">
      <c r="A4509" t="s">
        <v>4612</v>
      </c>
      <c r="B4509" t="s">
        <v>16</v>
      </c>
      <c r="C4509" t="s">
        <v>4581</v>
      </c>
      <c r="D4509" s="1">
        <v>0.56299768518518523</v>
      </c>
      <c r="E4509" s="2">
        <f>CallLog[[#This Row],[Date]]+CallLog[[#This Row],[Time]]</f>
        <v>44276.562997685185</v>
      </c>
      <c r="F4509" s="1" t="str">
        <f>TEXT(CallLog[[#This Row],[Date]],"dddd")</f>
        <v>Sunday</v>
      </c>
      <c r="G4509" s="3">
        <f>HOUR(CallLog[[#This Row],[Time]])</f>
        <v>13</v>
      </c>
      <c r="H4509" t="s">
        <v>32</v>
      </c>
      <c r="I4509" t="s">
        <v>14</v>
      </c>
      <c r="J4509" t="s">
        <v>14</v>
      </c>
      <c r="K4509">
        <v>31</v>
      </c>
      <c r="L4509" t="str">
        <f>IF(AND(CallLog[[#This Row],[Answered (Y/N)]]="Y", CallLog[[#This Row],[Speed of answer in seconds]]&lt;=20),
    "Within",
    "Breach")</f>
        <v>Breach</v>
      </c>
      <c r="M4509" s="1">
        <v>2.3032407407407407E-3</v>
      </c>
      <c r="N4509">
        <v>4</v>
      </c>
    </row>
    <row r="4510" spans="1:14" x14ac:dyDescent="0.3">
      <c r="A4510" t="s">
        <v>4613</v>
      </c>
      <c r="B4510" t="s">
        <v>20</v>
      </c>
      <c r="C4510" t="s">
        <v>4581</v>
      </c>
      <c r="D4510" s="1">
        <v>0.57599537037037041</v>
      </c>
      <c r="E4510" s="2">
        <f>CallLog[[#This Row],[Date]]+CallLog[[#This Row],[Time]]</f>
        <v>44276.575995370367</v>
      </c>
      <c r="F4510" s="1" t="str">
        <f>TEXT(CallLog[[#This Row],[Date]],"dddd")</f>
        <v>Sunday</v>
      </c>
      <c r="G4510" s="3">
        <f>HOUR(CallLog[[#This Row],[Time]])</f>
        <v>13</v>
      </c>
      <c r="H4510" t="s">
        <v>24</v>
      </c>
      <c r="I4510" t="s">
        <v>18</v>
      </c>
      <c r="J4510" t="s">
        <v>18</v>
      </c>
      <c r="L4510" t="str">
        <f>IF(AND(CallLog[[#This Row],[Answered (Y/N)]]="Y", CallLog[[#This Row],[Speed of answer in seconds]]&lt;=20),
    "Within",
    "Breach")</f>
        <v>Breach</v>
      </c>
    </row>
    <row r="4511" spans="1:14" x14ac:dyDescent="0.3">
      <c r="A4511" t="s">
        <v>4614</v>
      </c>
      <c r="B4511" t="s">
        <v>11</v>
      </c>
      <c r="C4511" t="s">
        <v>4581</v>
      </c>
      <c r="D4511" s="1">
        <v>0.57599537037037041</v>
      </c>
      <c r="E4511" s="2">
        <f>CallLog[[#This Row],[Date]]+CallLog[[#This Row],[Time]]</f>
        <v>44276.575995370367</v>
      </c>
      <c r="F4511" s="1" t="str">
        <f>TEXT(CallLog[[#This Row],[Date]],"dddd")</f>
        <v>Sunday</v>
      </c>
      <c r="G4511" s="3">
        <f>HOUR(CallLog[[#This Row],[Time]])</f>
        <v>13</v>
      </c>
      <c r="H4511" t="s">
        <v>29</v>
      </c>
      <c r="I4511" t="s">
        <v>18</v>
      </c>
      <c r="J4511" t="s">
        <v>18</v>
      </c>
      <c r="L4511" t="str">
        <f>IF(AND(CallLog[[#This Row],[Answered (Y/N)]]="Y", CallLog[[#This Row],[Speed of answer in seconds]]&lt;=20),
    "Within",
    "Breach")</f>
        <v>Breach</v>
      </c>
    </row>
    <row r="4512" spans="1:14" x14ac:dyDescent="0.3">
      <c r="A4512" t="s">
        <v>4615</v>
      </c>
      <c r="B4512" t="s">
        <v>11</v>
      </c>
      <c r="C4512" t="s">
        <v>4581</v>
      </c>
      <c r="D4512" s="1">
        <v>0.5920023148148148</v>
      </c>
      <c r="E4512" s="2">
        <f>CallLog[[#This Row],[Date]]+CallLog[[#This Row],[Time]]</f>
        <v>44276.592002314814</v>
      </c>
      <c r="F4512" s="1" t="str">
        <f>TEXT(CallLog[[#This Row],[Date]],"dddd")</f>
        <v>Sunday</v>
      </c>
      <c r="G4512" s="3">
        <f>HOUR(CallLog[[#This Row],[Time]])</f>
        <v>14</v>
      </c>
      <c r="H4512" t="s">
        <v>32</v>
      </c>
      <c r="I4512" t="s">
        <v>14</v>
      </c>
      <c r="J4512" t="s">
        <v>14</v>
      </c>
      <c r="K4512">
        <v>17</v>
      </c>
      <c r="L4512" t="str">
        <f>IF(AND(CallLog[[#This Row],[Answered (Y/N)]]="Y", CallLog[[#This Row],[Speed of answer in seconds]]&lt;=20),
    "Within",
    "Breach")</f>
        <v>Within</v>
      </c>
      <c r="M4512" s="1">
        <v>3.3333333333333335E-3</v>
      </c>
      <c r="N4512">
        <v>3</v>
      </c>
    </row>
    <row r="4513" spans="1:14" x14ac:dyDescent="0.3">
      <c r="A4513" t="s">
        <v>4616</v>
      </c>
      <c r="B4513" t="s">
        <v>16</v>
      </c>
      <c r="C4513" t="s">
        <v>4581</v>
      </c>
      <c r="D4513" s="1">
        <v>0.5920023148148148</v>
      </c>
      <c r="E4513" s="2">
        <f>CallLog[[#This Row],[Date]]+CallLog[[#This Row],[Time]]</f>
        <v>44276.592002314814</v>
      </c>
      <c r="F4513" s="1" t="str">
        <f>TEXT(CallLog[[#This Row],[Date]],"dddd")</f>
        <v>Sunday</v>
      </c>
      <c r="G4513" s="3">
        <f>HOUR(CallLog[[#This Row],[Time]])</f>
        <v>14</v>
      </c>
      <c r="H4513" t="s">
        <v>13</v>
      </c>
      <c r="I4513" t="s">
        <v>14</v>
      </c>
      <c r="J4513" t="s">
        <v>14</v>
      </c>
      <c r="K4513">
        <v>111</v>
      </c>
      <c r="L4513" t="str">
        <f>IF(AND(CallLog[[#This Row],[Answered (Y/N)]]="Y", CallLog[[#This Row],[Speed of answer in seconds]]&lt;=20),
    "Within",
    "Breach")</f>
        <v>Breach</v>
      </c>
      <c r="M4513" s="1">
        <v>3.7615740740740739E-3</v>
      </c>
      <c r="N4513">
        <v>3</v>
      </c>
    </row>
    <row r="4514" spans="1:14" x14ac:dyDescent="0.3">
      <c r="A4514" t="s">
        <v>4617</v>
      </c>
      <c r="B4514" t="s">
        <v>11</v>
      </c>
      <c r="C4514" t="s">
        <v>4581</v>
      </c>
      <c r="D4514" s="1">
        <v>0.59499999999999997</v>
      </c>
      <c r="E4514" s="2">
        <f>CallLog[[#This Row],[Date]]+CallLog[[#This Row],[Time]]</f>
        <v>44276.595000000001</v>
      </c>
      <c r="F4514" s="1" t="str">
        <f>TEXT(CallLog[[#This Row],[Date]],"dddd")</f>
        <v>Sunday</v>
      </c>
      <c r="G4514" s="3">
        <f>HOUR(CallLog[[#This Row],[Time]])</f>
        <v>14</v>
      </c>
      <c r="H4514" t="s">
        <v>29</v>
      </c>
      <c r="I4514" t="s">
        <v>14</v>
      </c>
      <c r="J4514" t="s">
        <v>14</v>
      </c>
      <c r="K4514">
        <v>10</v>
      </c>
      <c r="L4514" t="str">
        <f>IF(AND(CallLog[[#This Row],[Answered (Y/N)]]="Y", CallLog[[#This Row],[Speed of answer in seconds]]&lt;=20),
    "Within",
    "Breach")</f>
        <v>Within</v>
      </c>
      <c r="M4514" s="1">
        <v>2.3263888888888887E-3</v>
      </c>
      <c r="N4514">
        <v>2</v>
      </c>
    </row>
    <row r="4515" spans="1:14" x14ac:dyDescent="0.3">
      <c r="A4515" t="s">
        <v>4618</v>
      </c>
      <c r="B4515" t="s">
        <v>20</v>
      </c>
      <c r="C4515" t="s">
        <v>4581</v>
      </c>
      <c r="D4515" s="1">
        <v>0.59499999999999997</v>
      </c>
      <c r="E4515" s="2">
        <f>CallLog[[#This Row],[Date]]+CallLog[[#This Row],[Time]]</f>
        <v>44276.595000000001</v>
      </c>
      <c r="F4515" s="1" t="str">
        <f>TEXT(CallLog[[#This Row],[Date]],"dddd")</f>
        <v>Sunday</v>
      </c>
      <c r="G4515" s="3">
        <f>HOUR(CallLog[[#This Row],[Time]])</f>
        <v>14</v>
      </c>
      <c r="H4515" t="s">
        <v>13</v>
      </c>
      <c r="I4515" t="s">
        <v>14</v>
      </c>
      <c r="J4515" t="s">
        <v>14</v>
      </c>
      <c r="K4515">
        <v>121</v>
      </c>
      <c r="L4515" t="str">
        <f>IF(AND(CallLog[[#This Row],[Answered (Y/N)]]="Y", CallLog[[#This Row],[Speed of answer in seconds]]&lt;=20),
    "Within",
    "Breach")</f>
        <v>Breach</v>
      </c>
      <c r="M4515" s="1">
        <v>1.0300925925925926E-3</v>
      </c>
      <c r="N4515">
        <v>1</v>
      </c>
    </row>
    <row r="4516" spans="1:14" x14ac:dyDescent="0.3">
      <c r="A4516" t="s">
        <v>4619</v>
      </c>
      <c r="B4516" t="s">
        <v>47</v>
      </c>
      <c r="C4516" t="s">
        <v>4581</v>
      </c>
      <c r="D4516" s="1">
        <v>0.59900462962962964</v>
      </c>
      <c r="E4516" s="2">
        <f>CallLog[[#This Row],[Date]]+CallLog[[#This Row],[Time]]</f>
        <v>44276.599004629628</v>
      </c>
      <c r="F4516" s="1" t="str">
        <f>TEXT(CallLog[[#This Row],[Date]],"dddd")</f>
        <v>Sunday</v>
      </c>
      <c r="G4516" s="3">
        <f>HOUR(CallLog[[#This Row],[Time]])</f>
        <v>14</v>
      </c>
      <c r="H4516" t="s">
        <v>24</v>
      </c>
      <c r="I4516" t="s">
        <v>14</v>
      </c>
      <c r="J4516" t="s">
        <v>14</v>
      </c>
      <c r="K4516">
        <v>114</v>
      </c>
      <c r="L4516" t="str">
        <f>IF(AND(CallLog[[#This Row],[Answered (Y/N)]]="Y", CallLog[[#This Row],[Speed of answer in seconds]]&lt;=20),
    "Within",
    "Breach")</f>
        <v>Breach</v>
      </c>
      <c r="M4516" s="1">
        <v>1.3657407407407407E-3</v>
      </c>
      <c r="N4516">
        <v>4</v>
      </c>
    </row>
    <row r="4517" spans="1:14" x14ac:dyDescent="0.3">
      <c r="A4517" t="s">
        <v>4620</v>
      </c>
      <c r="B4517" t="s">
        <v>22</v>
      </c>
      <c r="C4517" t="s">
        <v>4581</v>
      </c>
      <c r="D4517" s="1">
        <v>0.59900462962962964</v>
      </c>
      <c r="E4517" s="2">
        <f>CallLog[[#This Row],[Date]]+CallLog[[#This Row],[Time]]</f>
        <v>44276.599004629628</v>
      </c>
      <c r="F4517" s="1" t="str">
        <f>TEXT(CallLog[[#This Row],[Date]],"dddd")</f>
        <v>Sunday</v>
      </c>
      <c r="G4517" s="3">
        <f>HOUR(CallLog[[#This Row],[Time]])</f>
        <v>14</v>
      </c>
      <c r="H4517" t="s">
        <v>17</v>
      </c>
      <c r="I4517" t="s">
        <v>14</v>
      </c>
      <c r="J4517" t="s">
        <v>14</v>
      </c>
      <c r="K4517">
        <v>49</v>
      </c>
      <c r="L4517" t="str">
        <f>IF(AND(CallLog[[#This Row],[Answered (Y/N)]]="Y", CallLog[[#This Row],[Speed of answer in seconds]]&lt;=20),
    "Within",
    "Breach")</f>
        <v>Breach</v>
      </c>
      <c r="M4517" s="1">
        <v>3.7037037037037041E-4</v>
      </c>
      <c r="N4517">
        <v>4</v>
      </c>
    </row>
    <row r="4518" spans="1:14" x14ac:dyDescent="0.3">
      <c r="A4518" t="s">
        <v>4621</v>
      </c>
      <c r="B4518" t="s">
        <v>22</v>
      </c>
      <c r="C4518" t="s">
        <v>4581</v>
      </c>
      <c r="D4518" s="1">
        <v>0.60400462962962964</v>
      </c>
      <c r="E4518" s="2">
        <f>CallLog[[#This Row],[Date]]+CallLog[[#This Row],[Time]]</f>
        <v>44276.604004629633</v>
      </c>
      <c r="F4518" s="1" t="str">
        <f>TEXT(CallLog[[#This Row],[Date]],"dddd")</f>
        <v>Sunday</v>
      </c>
      <c r="G4518" s="3">
        <f>HOUR(CallLog[[#This Row],[Time]])</f>
        <v>14</v>
      </c>
      <c r="H4518" t="s">
        <v>29</v>
      </c>
      <c r="I4518" t="s">
        <v>14</v>
      </c>
      <c r="J4518" t="s">
        <v>14</v>
      </c>
      <c r="K4518">
        <v>114</v>
      </c>
      <c r="L4518" t="str">
        <f>IF(AND(CallLog[[#This Row],[Answered (Y/N)]]="Y", CallLog[[#This Row],[Speed of answer in seconds]]&lt;=20),
    "Within",
    "Breach")</f>
        <v>Breach</v>
      </c>
      <c r="M4518" s="1">
        <v>2.3726851851851851E-3</v>
      </c>
      <c r="N4518">
        <v>1</v>
      </c>
    </row>
    <row r="4519" spans="1:14" x14ac:dyDescent="0.3">
      <c r="A4519" t="s">
        <v>4622</v>
      </c>
      <c r="B4519" t="s">
        <v>31</v>
      </c>
      <c r="C4519" t="s">
        <v>4581</v>
      </c>
      <c r="D4519" s="1">
        <v>0.60400462962962964</v>
      </c>
      <c r="E4519" s="2">
        <f>CallLog[[#This Row],[Date]]+CallLog[[#This Row],[Time]]</f>
        <v>44276.604004629633</v>
      </c>
      <c r="F4519" s="1" t="str">
        <f>TEXT(CallLog[[#This Row],[Date]],"dddd")</f>
        <v>Sunday</v>
      </c>
      <c r="G4519" s="3">
        <f>HOUR(CallLog[[#This Row],[Time]])</f>
        <v>14</v>
      </c>
      <c r="H4519" t="s">
        <v>32</v>
      </c>
      <c r="I4519" t="s">
        <v>14</v>
      </c>
      <c r="J4519" t="s">
        <v>14</v>
      </c>
      <c r="K4519">
        <v>75</v>
      </c>
      <c r="L4519" t="str">
        <f>IF(AND(CallLog[[#This Row],[Answered (Y/N)]]="Y", CallLog[[#This Row],[Speed of answer in seconds]]&lt;=20),
    "Within",
    "Breach")</f>
        <v>Breach</v>
      </c>
      <c r="M4519" s="1">
        <v>1.8749999999999999E-3</v>
      </c>
      <c r="N4519">
        <v>3</v>
      </c>
    </row>
    <row r="4520" spans="1:14" x14ac:dyDescent="0.3">
      <c r="A4520" t="s">
        <v>4623</v>
      </c>
      <c r="B4520" t="s">
        <v>31</v>
      </c>
      <c r="C4520" t="s">
        <v>4581</v>
      </c>
      <c r="D4520" s="1">
        <v>0.60900462962962965</v>
      </c>
      <c r="E4520" s="2">
        <f>CallLog[[#This Row],[Date]]+CallLog[[#This Row],[Time]]</f>
        <v>44276.60900462963</v>
      </c>
      <c r="F4520" s="1" t="str">
        <f>TEXT(CallLog[[#This Row],[Date]],"dddd")</f>
        <v>Sunday</v>
      </c>
      <c r="G4520" s="3">
        <f>HOUR(CallLog[[#This Row],[Time]])</f>
        <v>14</v>
      </c>
      <c r="H4520" t="s">
        <v>24</v>
      </c>
      <c r="I4520" t="s">
        <v>14</v>
      </c>
      <c r="J4520" t="s">
        <v>18</v>
      </c>
      <c r="K4520">
        <v>42</v>
      </c>
      <c r="L4520" t="str">
        <f>IF(AND(CallLog[[#This Row],[Answered (Y/N)]]="Y", CallLog[[#This Row],[Speed of answer in seconds]]&lt;=20),
    "Within",
    "Breach")</f>
        <v>Breach</v>
      </c>
      <c r="M4520" s="1">
        <v>2.3726851851851851E-3</v>
      </c>
      <c r="N4520">
        <v>5</v>
      </c>
    </row>
    <row r="4521" spans="1:14" x14ac:dyDescent="0.3">
      <c r="A4521" t="s">
        <v>4624</v>
      </c>
      <c r="B4521" t="s">
        <v>22</v>
      </c>
      <c r="C4521" t="s">
        <v>4581</v>
      </c>
      <c r="D4521" s="1">
        <v>0.60900462962962965</v>
      </c>
      <c r="E4521" s="2">
        <f>CallLog[[#This Row],[Date]]+CallLog[[#This Row],[Time]]</f>
        <v>44276.60900462963</v>
      </c>
      <c r="F4521" s="1" t="str">
        <f>TEXT(CallLog[[#This Row],[Date]],"dddd")</f>
        <v>Sunday</v>
      </c>
      <c r="G4521" s="3">
        <f>HOUR(CallLog[[#This Row],[Time]])</f>
        <v>14</v>
      </c>
      <c r="H4521" t="s">
        <v>24</v>
      </c>
      <c r="I4521" t="s">
        <v>14</v>
      </c>
      <c r="J4521" t="s">
        <v>14</v>
      </c>
      <c r="K4521">
        <v>95</v>
      </c>
      <c r="L4521" t="str">
        <f>IF(AND(CallLog[[#This Row],[Answered (Y/N)]]="Y", CallLog[[#This Row],[Speed of answer in seconds]]&lt;=20),
    "Within",
    "Breach")</f>
        <v>Breach</v>
      </c>
      <c r="M4521" s="1">
        <v>3.4375E-3</v>
      </c>
      <c r="N4521">
        <v>3</v>
      </c>
    </row>
    <row r="4522" spans="1:14" x14ac:dyDescent="0.3">
      <c r="A4522" t="s">
        <v>4625</v>
      </c>
      <c r="B4522" t="s">
        <v>20</v>
      </c>
      <c r="C4522" t="s">
        <v>4581</v>
      </c>
      <c r="D4522" s="1">
        <v>0.63400462962962967</v>
      </c>
      <c r="E4522" s="2">
        <f>CallLog[[#This Row],[Date]]+CallLog[[#This Row],[Time]]</f>
        <v>44276.634004629632</v>
      </c>
      <c r="F4522" s="1" t="str">
        <f>TEXT(CallLog[[#This Row],[Date]],"dddd")</f>
        <v>Sunday</v>
      </c>
      <c r="G4522" s="3">
        <f>HOUR(CallLog[[#This Row],[Time]])</f>
        <v>15</v>
      </c>
      <c r="H4522" t="s">
        <v>29</v>
      </c>
      <c r="I4522" t="s">
        <v>14</v>
      </c>
      <c r="J4522" t="s">
        <v>14</v>
      </c>
      <c r="K4522">
        <v>88</v>
      </c>
      <c r="L4522" t="str">
        <f>IF(AND(CallLog[[#This Row],[Answered (Y/N)]]="Y", CallLog[[#This Row],[Speed of answer in seconds]]&lt;=20),
    "Within",
    "Breach")</f>
        <v>Breach</v>
      </c>
      <c r="M4522" s="1">
        <v>4.4560185185185189E-3</v>
      </c>
      <c r="N4522">
        <v>3</v>
      </c>
    </row>
    <row r="4523" spans="1:14" x14ac:dyDescent="0.3">
      <c r="A4523" t="s">
        <v>4626</v>
      </c>
      <c r="B4523" t="s">
        <v>34</v>
      </c>
      <c r="C4523" t="s">
        <v>4581</v>
      </c>
      <c r="D4523" s="1">
        <v>0.63400462962962967</v>
      </c>
      <c r="E4523" s="2">
        <f>CallLog[[#This Row],[Date]]+CallLog[[#This Row],[Time]]</f>
        <v>44276.634004629632</v>
      </c>
      <c r="F4523" s="1" t="str">
        <f>TEXT(CallLog[[#This Row],[Date]],"dddd")</f>
        <v>Sunday</v>
      </c>
      <c r="G4523" s="3">
        <f>HOUR(CallLog[[#This Row],[Time]])</f>
        <v>15</v>
      </c>
      <c r="H4523" t="s">
        <v>17</v>
      </c>
      <c r="I4523" t="s">
        <v>14</v>
      </c>
      <c r="J4523" t="s">
        <v>14</v>
      </c>
      <c r="K4523">
        <v>51</v>
      </c>
      <c r="L4523" t="str">
        <f>IF(AND(CallLog[[#This Row],[Answered (Y/N)]]="Y", CallLog[[#This Row],[Speed of answer in seconds]]&lt;=20),
    "Within",
    "Breach")</f>
        <v>Breach</v>
      </c>
      <c r="M4523" s="1">
        <v>1.9444444444444444E-3</v>
      </c>
      <c r="N4523">
        <v>3</v>
      </c>
    </row>
    <row r="4524" spans="1:14" x14ac:dyDescent="0.3">
      <c r="A4524" t="s">
        <v>4627</v>
      </c>
      <c r="B4524" t="s">
        <v>38</v>
      </c>
      <c r="C4524" t="s">
        <v>4581</v>
      </c>
      <c r="D4524" s="1">
        <v>0.63599537037037035</v>
      </c>
      <c r="E4524" s="2">
        <f>CallLog[[#This Row],[Date]]+CallLog[[#This Row],[Time]]</f>
        <v>44276.635995370372</v>
      </c>
      <c r="F4524" s="1" t="str">
        <f>TEXT(CallLog[[#This Row],[Date]],"dddd")</f>
        <v>Sunday</v>
      </c>
      <c r="G4524" s="3">
        <f>HOUR(CallLog[[#This Row],[Time]])</f>
        <v>15</v>
      </c>
      <c r="H4524" t="s">
        <v>13</v>
      </c>
      <c r="I4524" t="s">
        <v>14</v>
      </c>
      <c r="J4524" t="s">
        <v>14</v>
      </c>
      <c r="K4524">
        <v>28</v>
      </c>
      <c r="L4524" t="str">
        <f>IF(AND(CallLog[[#This Row],[Answered (Y/N)]]="Y", CallLog[[#This Row],[Speed of answer in seconds]]&lt;=20),
    "Within",
    "Breach")</f>
        <v>Breach</v>
      </c>
      <c r="M4524" s="1">
        <v>5.6712962962962967E-4</v>
      </c>
      <c r="N4524">
        <v>1</v>
      </c>
    </row>
    <row r="4525" spans="1:14" x14ac:dyDescent="0.3">
      <c r="A4525" t="s">
        <v>4628</v>
      </c>
      <c r="B4525" t="s">
        <v>11</v>
      </c>
      <c r="C4525" t="s">
        <v>4581</v>
      </c>
      <c r="D4525" s="1">
        <v>0.63599537037037035</v>
      </c>
      <c r="E4525" s="2">
        <f>CallLog[[#This Row],[Date]]+CallLog[[#This Row],[Time]]</f>
        <v>44276.635995370372</v>
      </c>
      <c r="F4525" s="1" t="str">
        <f>TEXT(CallLog[[#This Row],[Date]],"dddd")</f>
        <v>Sunday</v>
      </c>
      <c r="G4525" s="3">
        <f>HOUR(CallLog[[#This Row],[Time]])</f>
        <v>15</v>
      </c>
      <c r="H4525" t="s">
        <v>24</v>
      </c>
      <c r="I4525" t="s">
        <v>14</v>
      </c>
      <c r="J4525" t="s">
        <v>18</v>
      </c>
      <c r="K4525">
        <v>86</v>
      </c>
      <c r="L4525" t="str">
        <f>IF(AND(CallLog[[#This Row],[Answered (Y/N)]]="Y", CallLog[[#This Row],[Speed of answer in seconds]]&lt;=20),
    "Within",
    "Breach")</f>
        <v>Breach</v>
      </c>
      <c r="M4525" s="1">
        <v>4.3287037037037035E-3</v>
      </c>
      <c r="N4525">
        <v>4</v>
      </c>
    </row>
    <row r="4526" spans="1:14" x14ac:dyDescent="0.3">
      <c r="A4526" t="s">
        <v>4629</v>
      </c>
      <c r="B4526" t="s">
        <v>11</v>
      </c>
      <c r="C4526" t="s">
        <v>4581</v>
      </c>
      <c r="D4526" s="1">
        <v>0.64200231481481485</v>
      </c>
      <c r="E4526" s="2">
        <f>CallLog[[#This Row],[Date]]+CallLog[[#This Row],[Time]]</f>
        <v>44276.642002314817</v>
      </c>
      <c r="F4526" s="1" t="str">
        <f>TEXT(CallLog[[#This Row],[Date]],"dddd")</f>
        <v>Sunday</v>
      </c>
      <c r="G4526" s="3">
        <f>HOUR(CallLog[[#This Row],[Time]])</f>
        <v>15</v>
      </c>
      <c r="H4526" t="s">
        <v>13</v>
      </c>
      <c r="I4526" t="s">
        <v>14</v>
      </c>
      <c r="J4526" t="s">
        <v>18</v>
      </c>
      <c r="K4526">
        <v>60</v>
      </c>
      <c r="L4526" t="str">
        <f>IF(AND(CallLog[[#This Row],[Answered (Y/N)]]="Y", CallLog[[#This Row],[Speed of answer in seconds]]&lt;=20),
    "Within",
    "Breach")</f>
        <v>Breach</v>
      </c>
      <c r="M4526" s="1">
        <v>2.2916666666666667E-3</v>
      </c>
      <c r="N4526">
        <v>4</v>
      </c>
    </row>
    <row r="4527" spans="1:14" x14ac:dyDescent="0.3">
      <c r="A4527" t="s">
        <v>4630</v>
      </c>
      <c r="B4527" t="s">
        <v>34</v>
      </c>
      <c r="C4527" t="s">
        <v>4581</v>
      </c>
      <c r="D4527" s="1">
        <v>0.64200231481481485</v>
      </c>
      <c r="E4527" s="2">
        <f>CallLog[[#This Row],[Date]]+CallLog[[#This Row],[Time]]</f>
        <v>44276.642002314817</v>
      </c>
      <c r="F4527" s="1" t="str">
        <f>TEXT(CallLog[[#This Row],[Date]],"dddd")</f>
        <v>Sunday</v>
      </c>
      <c r="G4527" s="3">
        <f>HOUR(CallLog[[#This Row],[Time]])</f>
        <v>15</v>
      </c>
      <c r="H4527" t="s">
        <v>32</v>
      </c>
      <c r="I4527" t="s">
        <v>14</v>
      </c>
      <c r="J4527" t="s">
        <v>14</v>
      </c>
      <c r="K4527">
        <v>60</v>
      </c>
      <c r="L4527" t="str">
        <f>IF(AND(CallLog[[#This Row],[Answered (Y/N)]]="Y", CallLog[[#This Row],[Speed of answer in seconds]]&lt;=20),
    "Within",
    "Breach")</f>
        <v>Breach</v>
      </c>
      <c r="M4527" s="1">
        <v>3.3217592592592591E-3</v>
      </c>
      <c r="N4527">
        <v>2</v>
      </c>
    </row>
    <row r="4528" spans="1:14" x14ac:dyDescent="0.3">
      <c r="A4528" t="s">
        <v>4631</v>
      </c>
      <c r="B4528" t="s">
        <v>47</v>
      </c>
      <c r="C4528" t="s">
        <v>4581</v>
      </c>
      <c r="D4528" s="1">
        <v>0.67099537037037038</v>
      </c>
      <c r="E4528" s="2">
        <f>CallLog[[#This Row],[Date]]+CallLog[[#This Row],[Time]]</f>
        <v>44276.670995370368</v>
      </c>
      <c r="F4528" s="1" t="str">
        <f>TEXT(CallLog[[#This Row],[Date]],"dddd")</f>
        <v>Sunday</v>
      </c>
      <c r="G4528" s="3">
        <f>HOUR(CallLog[[#This Row],[Time]])</f>
        <v>16</v>
      </c>
      <c r="H4528" t="s">
        <v>24</v>
      </c>
      <c r="I4528" t="s">
        <v>14</v>
      </c>
      <c r="J4528" t="s">
        <v>14</v>
      </c>
      <c r="K4528">
        <v>63</v>
      </c>
      <c r="L4528" t="str">
        <f>IF(AND(CallLog[[#This Row],[Answered (Y/N)]]="Y", CallLog[[#This Row],[Speed of answer in seconds]]&lt;=20),
    "Within",
    "Breach")</f>
        <v>Breach</v>
      </c>
      <c r="M4528" s="1">
        <v>1.2847222222222223E-3</v>
      </c>
      <c r="N4528">
        <v>4</v>
      </c>
    </row>
    <row r="4529" spans="1:14" x14ac:dyDescent="0.3">
      <c r="A4529" t="s">
        <v>4632</v>
      </c>
      <c r="B4529" t="s">
        <v>34</v>
      </c>
      <c r="C4529" t="s">
        <v>4581</v>
      </c>
      <c r="D4529" s="1">
        <v>0.67099537037037038</v>
      </c>
      <c r="E4529" s="2">
        <f>CallLog[[#This Row],[Date]]+CallLog[[#This Row],[Time]]</f>
        <v>44276.670995370368</v>
      </c>
      <c r="F4529" s="1" t="str">
        <f>TEXT(CallLog[[#This Row],[Date]],"dddd")</f>
        <v>Sunday</v>
      </c>
      <c r="G4529" s="3">
        <f>HOUR(CallLog[[#This Row],[Time]])</f>
        <v>16</v>
      </c>
      <c r="H4529" t="s">
        <v>17</v>
      </c>
      <c r="I4529" t="s">
        <v>14</v>
      </c>
      <c r="J4529" t="s">
        <v>14</v>
      </c>
      <c r="K4529">
        <v>23</v>
      </c>
      <c r="L4529" t="str">
        <f>IF(AND(CallLog[[#This Row],[Answered (Y/N)]]="Y", CallLog[[#This Row],[Speed of answer in seconds]]&lt;=20),
    "Within",
    "Breach")</f>
        <v>Breach</v>
      </c>
      <c r="M4529" s="1">
        <v>4.409722222222222E-3</v>
      </c>
      <c r="N4529">
        <v>4</v>
      </c>
    </row>
    <row r="4530" spans="1:14" x14ac:dyDescent="0.3">
      <c r="A4530" t="s">
        <v>4633</v>
      </c>
      <c r="B4530" t="s">
        <v>22</v>
      </c>
      <c r="C4530" t="s">
        <v>4581</v>
      </c>
      <c r="D4530" s="1">
        <v>0.67500000000000004</v>
      </c>
      <c r="E4530" s="2">
        <f>CallLog[[#This Row],[Date]]+CallLog[[#This Row],[Time]]</f>
        <v>44276.675000000003</v>
      </c>
      <c r="F4530" s="1" t="str">
        <f>TEXT(CallLog[[#This Row],[Date]],"dddd")</f>
        <v>Sunday</v>
      </c>
      <c r="G4530" s="3">
        <f>HOUR(CallLog[[#This Row],[Time]])</f>
        <v>16</v>
      </c>
      <c r="H4530" t="s">
        <v>17</v>
      </c>
      <c r="I4530" t="s">
        <v>18</v>
      </c>
      <c r="J4530" t="s">
        <v>18</v>
      </c>
      <c r="L4530" t="str">
        <f>IF(AND(CallLog[[#This Row],[Answered (Y/N)]]="Y", CallLog[[#This Row],[Speed of answer in seconds]]&lt;=20),
    "Within",
    "Breach")</f>
        <v>Breach</v>
      </c>
    </row>
    <row r="4531" spans="1:14" x14ac:dyDescent="0.3">
      <c r="A4531" t="s">
        <v>4634</v>
      </c>
      <c r="B4531" t="s">
        <v>16</v>
      </c>
      <c r="C4531" t="s">
        <v>4581</v>
      </c>
      <c r="D4531" s="1">
        <v>0.67500000000000004</v>
      </c>
      <c r="E4531" s="2">
        <f>CallLog[[#This Row],[Date]]+CallLog[[#This Row],[Time]]</f>
        <v>44276.675000000003</v>
      </c>
      <c r="F4531" s="1" t="str">
        <f>TEXT(CallLog[[#This Row],[Date]],"dddd")</f>
        <v>Sunday</v>
      </c>
      <c r="G4531" s="3">
        <f>HOUR(CallLog[[#This Row],[Time]])</f>
        <v>16</v>
      </c>
      <c r="H4531" t="s">
        <v>32</v>
      </c>
      <c r="I4531" t="s">
        <v>14</v>
      </c>
      <c r="J4531" t="s">
        <v>14</v>
      </c>
      <c r="K4531">
        <v>100</v>
      </c>
      <c r="L4531" t="str">
        <f>IF(AND(CallLog[[#This Row],[Answered (Y/N)]]="Y", CallLog[[#This Row],[Speed of answer in seconds]]&lt;=20),
    "Within",
    "Breach")</f>
        <v>Breach</v>
      </c>
      <c r="M4531" s="1">
        <v>1.25E-3</v>
      </c>
      <c r="N4531">
        <v>4</v>
      </c>
    </row>
    <row r="4532" spans="1:14" x14ac:dyDescent="0.3">
      <c r="A4532" t="s">
        <v>4635</v>
      </c>
      <c r="B4532" t="s">
        <v>31</v>
      </c>
      <c r="C4532" t="s">
        <v>4581</v>
      </c>
      <c r="D4532" s="1">
        <v>0.70299768518518524</v>
      </c>
      <c r="E4532" s="2">
        <f>CallLog[[#This Row],[Date]]+CallLog[[#This Row],[Time]]</f>
        <v>44276.702997685185</v>
      </c>
      <c r="F4532" s="1" t="str">
        <f>TEXT(CallLog[[#This Row],[Date]],"dddd")</f>
        <v>Sunday</v>
      </c>
      <c r="G4532" s="3">
        <f>HOUR(CallLog[[#This Row],[Time]])</f>
        <v>16</v>
      </c>
      <c r="H4532" t="s">
        <v>29</v>
      </c>
      <c r="I4532" t="s">
        <v>14</v>
      </c>
      <c r="J4532" t="s">
        <v>14</v>
      </c>
      <c r="K4532">
        <v>105</v>
      </c>
      <c r="L4532" t="str">
        <f>IF(AND(CallLog[[#This Row],[Answered (Y/N)]]="Y", CallLog[[#This Row],[Speed of answer in seconds]]&lt;=20),
    "Within",
    "Breach")</f>
        <v>Breach</v>
      </c>
      <c r="M4532" s="1">
        <v>3.7037037037037041E-4</v>
      </c>
      <c r="N4532">
        <v>4</v>
      </c>
    </row>
    <row r="4533" spans="1:14" x14ac:dyDescent="0.3">
      <c r="A4533" t="s">
        <v>4636</v>
      </c>
      <c r="B4533" t="s">
        <v>22</v>
      </c>
      <c r="C4533" t="s">
        <v>4581</v>
      </c>
      <c r="D4533" s="1">
        <v>0.70299768518518524</v>
      </c>
      <c r="E4533" s="2">
        <f>CallLog[[#This Row],[Date]]+CallLog[[#This Row],[Time]]</f>
        <v>44276.702997685185</v>
      </c>
      <c r="F4533" s="1" t="str">
        <f>TEXT(CallLog[[#This Row],[Date]],"dddd")</f>
        <v>Sunday</v>
      </c>
      <c r="G4533" s="3">
        <f>HOUR(CallLog[[#This Row],[Time]])</f>
        <v>16</v>
      </c>
      <c r="H4533" t="s">
        <v>17</v>
      </c>
      <c r="I4533" t="s">
        <v>14</v>
      </c>
      <c r="J4533" t="s">
        <v>14</v>
      </c>
      <c r="K4533">
        <v>29</v>
      </c>
      <c r="L4533" t="str">
        <f>IF(AND(CallLog[[#This Row],[Answered (Y/N)]]="Y", CallLog[[#This Row],[Speed of answer in seconds]]&lt;=20),
    "Within",
    "Breach")</f>
        <v>Breach</v>
      </c>
      <c r="M4533" s="1">
        <v>1.5162037037037036E-3</v>
      </c>
      <c r="N4533">
        <v>4</v>
      </c>
    </row>
    <row r="4534" spans="1:14" x14ac:dyDescent="0.3">
      <c r="A4534" t="s">
        <v>4637</v>
      </c>
      <c r="B4534" t="s">
        <v>16</v>
      </c>
      <c r="C4534" t="s">
        <v>4581</v>
      </c>
      <c r="D4534" s="1">
        <v>0.72700231481481481</v>
      </c>
      <c r="E4534" s="2">
        <f>CallLog[[#This Row],[Date]]+CallLog[[#This Row],[Time]]</f>
        <v>44276.727002314816</v>
      </c>
      <c r="F4534" s="1" t="str">
        <f>TEXT(CallLog[[#This Row],[Date]],"dddd")</f>
        <v>Sunday</v>
      </c>
      <c r="G4534" s="3">
        <f>HOUR(CallLog[[#This Row],[Time]])</f>
        <v>17</v>
      </c>
      <c r="H4534" t="s">
        <v>29</v>
      </c>
      <c r="I4534" t="s">
        <v>18</v>
      </c>
      <c r="J4534" t="s">
        <v>18</v>
      </c>
      <c r="L4534" t="str">
        <f>IF(AND(CallLog[[#This Row],[Answered (Y/N)]]="Y", CallLog[[#This Row],[Speed of answer in seconds]]&lt;=20),
    "Within",
    "Breach")</f>
        <v>Breach</v>
      </c>
    </row>
    <row r="4535" spans="1:14" x14ac:dyDescent="0.3">
      <c r="A4535" t="s">
        <v>4638</v>
      </c>
      <c r="B4535" t="s">
        <v>20</v>
      </c>
      <c r="C4535" t="s">
        <v>4581</v>
      </c>
      <c r="D4535" s="1">
        <v>0.72700231481481481</v>
      </c>
      <c r="E4535" s="2">
        <f>CallLog[[#This Row],[Date]]+CallLog[[#This Row],[Time]]</f>
        <v>44276.727002314816</v>
      </c>
      <c r="F4535" s="1" t="str">
        <f>TEXT(CallLog[[#This Row],[Date]],"dddd")</f>
        <v>Sunday</v>
      </c>
      <c r="G4535" s="3">
        <f>HOUR(CallLog[[#This Row],[Time]])</f>
        <v>17</v>
      </c>
      <c r="H4535" t="s">
        <v>24</v>
      </c>
      <c r="I4535" t="s">
        <v>14</v>
      </c>
      <c r="J4535" t="s">
        <v>18</v>
      </c>
      <c r="K4535">
        <v>98</v>
      </c>
      <c r="L4535" t="str">
        <f>IF(AND(CallLog[[#This Row],[Answered (Y/N)]]="Y", CallLog[[#This Row],[Speed of answer in seconds]]&lt;=20),
    "Within",
    "Breach")</f>
        <v>Breach</v>
      </c>
      <c r="M4535" s="1">
        <v>2.8819444444444444E-3</v>
      </c>
      <c r="N4535">
        <v>2</v>
      </c>
    </row>
    <row r="4536" spans="1:14" x14ac:dyDescent="0.3">
      <c r="A4536" t="s">
        <v>4639</v>
      </c>
      <c r="B4536" t="s">
        <v>47</v>
      </c>
      <c r="C4536" t="s">
        <v>4581</v>
      </c>
      <c r="D4536" s="1">
        <v>0.73099537037037032</v>
      </c>
      <c r="E4536" s="2">
        <f>CallLog[[#This Row],[Date]]+CallLog[[#This Row],[Time]]</f>
        <v>44276.730995370373</v>
      </c>
      <c r="F4536" s="1" t="str">
        <f>TEXT(CallLog[[#This Row],[Date]],"dddd")</f>
        <v>Sunday</v>
      </c>
      <c r="G4536" s="3">
        <f>HOUR(CallLog[[#This Row],[Time]])</f>
        <v>17</v>
      </c>
      <c r="H4536" t="s">
        <v>13</v>
      </c>
      <c r="I4536" t="s">
        <v>14</v>
      </c>
      <c r="J4536" t="s">
        <v>14</v>
      </c>
      <c r="K4536">
        <v>108</v>
      </c>
      <c r="L4536" t="str">
        <f>IF(AND(CallLog[[#This Row],[Answered (Y/N)]]="Y", CallLog[[#This Row],[Speed of answer in seconds]]&lt;=20),
    "Within",
    "Breach")</f>
        <v>Breach</v>
      </c>
      <c r="M4536" s="1">
        <v>3.7962962962962963E-3</v>
      </c>
      <c r="N4536">
        <v>4</v>
      </c>
    </row>
    <row r="4537" spans="1:14" x14ac:dyDescent="0.3">
      <c r="A4537" t="s">
        <v>4640</v>
      </c>
      <c r="B4537" t="s">
        <v>16</v>
      </c>
      <c r="C4537" t="s">
        <v>4581</v>
      </c>
      <c r="D4537" s="1">
        <v>0.73099537037037032</v>
      </c>
      <c r="E4537" s="2">
        <f>CallLog[[#This Row],[Date]]+CallLog[[#This Row],[Time]]</f>
        <v>44276.730995370373</v>
      </c>
      <c r="F4537" s="1" t="str">
        <f>TEXT(CallLog[[#This Row],[Date]],"dddd")</f>
        <v>Sunday</v>
      </c>
      <c r="G4537" s="3">
        <f>HOUR(CallLog[[#This Row],[Time]])</f>
        <v>17</v>
      </c>
      <c r="H4537" t="s">
        <v>24</v>
      </c>
      <c r="I4537" t="s">
        <v>18</v>
      </c>
      <c r="J4537" t="s">
        <v>18</v>
      </c>
      <c r="L4537" t="str">
        <f>IF(AND(CallLog[[#This Row],[Answered (Y/N)]]="Y", CallLog[[#This Row],[Speed of answer in seconds]]&lt;=20),
    "Within",
    "Breach")</f>
        <v>Breach</v>
      </c>
    </row>
    <row r="4538" spans="1:14" x14ac:dyDescent="0.3">
      <c r="A4538" t="s">
        <v>4641</v>
      </c>
      <c r="B4538" t="s">
        <v>20</v>
      </c>
      <c r="C4538" t="s">
        <v>4581</v>
      </c>
      <c r="D4538" s="1">
        <v>0.73799768518518516</v>
      </c>
      <c r="E4538" s="2">
        <f>CallLog[[#This Row],[Date]]+CallLog[[#This Row],[Time]]</f>
        <v>44276.737997685188</v>
      </c>
      <c r="F4538" s="1" t="str">
        <f>TEXT(CallLog[[#This Row],[Date]],"dddd")</f>
        <v>Sunday</v>
      </c>
      <c r="G4538" s="3">
        <f>HOUR(CallLog[[#This Row],[Time]])</f>
        <v>17</v>
      </c>
      <c r="H4538" t="s">
        <v>13</v>
      </c>
      <c r="I4538" t="s">
        <v>14</v>
      </c>
      <c r="J4538" t="s">
        <v>14</v>
      </c>
      <c r="K4538">
        <v>116</v>
      </c>
      <c r="L4538" t="str">
        <f>IF(AND(CallLog[[#This Row],[Answered (Y/N)]]="Y", CallLog[[#This Row],[Speed of answer in seconds]]&lt;=20),
    "Within",
    "Breach")</f>
        <v>Breach</v>
      </c>
      <c r="M4538" s="1">
        <v>4.5486111111111109E-3</v>
      </c>
      <c r="N4538">
        <v>5</v>
      </c>
    </row>
    <row r="4539" spans="1:14" x14ac:dyDescent="0.3">
      <c r="A4539" t="s">
        <v>4642</v>
      </c>
      <c r="B4539" t="s">
        <v>20</v>
      </c>
      <c r="C4539" t="s">
        <v>4581</v>
      </c>
      <c r="D4539" s="1">
        <v>0.73799768518518516</v>
      </c>
      <c r="E4539" s="2">
        <f>CallLog[[#This Row],[Date]]+CallLog[[#This Row],[Time]]</f>
        <v>44276.737997685188</v>
      </c>
      <c r="F4539" s="1" t="str">
        <f>TEXT(CallLog[[#This Row],[Date]],"dddd")</f>
        <v>Sunday</v>
      </c>
      <c r="G4539" s="3">
        <f>HOUR(CallLog[[#This Row],[Time]])</f>
        <v>17</v>
      </c>
      <c r="H4539" t="s">
        <v>32</v>
      </c>
      <c r="I4539" t="s">
        <v>14</v>
      </c>
      <c r="J4539" t="s">
        <v>14</v>
      </c>
      <c r="K4539">
        <v>78</v>
      </c>
      <c r="L4539" t="str">
        <f>IF(AND(CallLog[[#This Row],[Answered (Y/N)]]="Y", CallLog[[#This Row],[Speed of answer in seconds]]&lt;=20),
    "Within",
    "Breach")</f>
        <v>Breach</v>
      </c>
      <c r="M4539" s="1">
        <v>3.8194444444444443E-3</v>
      </c>
      <c r="N4539">
        <v>4</v>
      </c>
    </row>
    <row r="4540" spans="1:14" x14ac:dyDescent="0.3">
      <c r="A4540" t="s">
        <v>4643</v>
      </c>
      <c r="B4540" t="s">
        <v>11</v>
      </c>
      <c r="C4540" t="s">
        <v>4644</v>
      </c>
      <c r="D4540" s="1">
        <v>0.40599537037037037</v>
      </c>
      <c r="E4540" s="2">
        <f>CallLog[[#This Row],[Date]]+CallLog[[#This Row],[Time]]</f>
        <v>44277.405995370369</v>
      </c>
      <c r="F4540" s="1" t="str">
        <f>TEXT(CallLog[[#This Row],[Date]],"dddd")</f>
        <v>Monday</v>
      </c>
      <c r="G4540" s="3">
        <f>HOUR(CallLog[[#This Row],[Time]])</f>
        <v>9</v>
      </c>
      <c r="H4540" t="s">
        <v>24</v>
      </c>
      <c r="I4540" t="s">
        <v>18</v>
      </c>
      <c r="J4540" t="s">
        <v>18</v>
      </c>
      <c r="L4540" t="str">
        <f>IF(AND(CallLog[[#This Row],[Answered (Y/N)]]="Y", CallLog[[#This Row],[Speed of answer in seconds]]&lt;=20),
    "Within",
    "Breach")</f>
        <v>Breach</v>
      </c>
    </row>
    <row r="4541" spans="1:14" x14ac:dyDescent="0.3">
      <c r="A4541" t="s">
        <v>4645</v>
      </c>
      <c r="B4541" t="s">
        <v>22</v>
      </c>
      <c r="C4541" t="s">
        <v>4644</v>
      </c>
      <c r="D4541" s="1">
        <v>0.40599537037037037</v>
      </c>
      <c r="E4541" s="2">
        <f>CallLog[[#This Row],[Date]]+CallLog[[#This Row],[Time]]</f>
        <v>44277.405995370369</v>
      </c>
      <c r="F4541" s="1" t="str">
        <f>TEXT(CallLog[[#This Row],[Date]],"dddd")</f>
        <v>Monday</v>
      </c>
      <c r="G4541" s="3">
        <f>HOUR(CallLog[[#This Row],[Time]])</f>
        <v>9</v>
      </c>
      <c r="H4541" t="s">
        <v>24</v>
      </c>
      <c r="I4541" t="s">
        <v>14</v>
      </c>
      <c r="J4541" t="s">
        <v>14</v>
      </c>
      <c r="K4541">
        <v>81</v>
      </c>
      <c r="L4541" t="str">
        <f>IF(AND(CallLog[[#This Row],[Answered (Y/N)]]="Y", CallLog[[#This Row],[Speed of answer in seconds]]&lt;=20),
    "Within",
    "Breach")</f>
        <v>Breach</v>
      </c>
      <c r="M4541" s="1">
        <v>2.673611111111111E-3</v>
      </c>
      <c r="N4541">
        <v>3</v>
      </c>
    </row>
    <row r="4542" spans="1:14" x14ac:dyDescent="0.3">
      <c r="A4542" t="s">
        <v>4646</v>
      </c>
      <c r="B4542" t="s">
        <v>11</v>
      </c>
      <c r="C4542" t="s">
        <v>4644</v>
      </c>
      <c r="D4542" s="1">
        <v>0.4070023148148148</v>
      </c>
      <c r="E4542" s="2">
        <f>CallLog[[#This Row],[Date]]+CallLog[[#This Row],[Time]]</f>
        <v>44277.407002314816</v>
      </c>
      <c r="F4542" s="1" t="str">
        <f>TEXT(CallLog[[#This Row],[Date]],"dddd")</f>
        <v>Monday</v>
      </c>
      <c r="G4542" s="3">
        <f>HOUR(CallLog[[#This Row],[Time]])</f>
        <v>9</v>
      </c>
      <c r="H4542" t="s">
        <v>32</v>
      </c>
      <c r="I4542" t="s">
        <v>14</v>
      </c>
      <c r="J4542" t="s">
        <v>14</v>
      </c>
      <c r="K4542">
        <v>84</v>
      </c>
      <c r="L4542" t="str">
        <f>IF(AND(CallLog[[#This Row],[Answered (Y/N)]]="Y", CallLog[[#This Row],[Speed of answer in seconds]]&lt;=20),
    "Within",
    "Breach")</f>
        <v>Breach</v>
      </c>
      <c r="M4542" s="1">
        <v>6.134259259259259E-4</v>
      </c>
      <c r="N4542">
        <v>2</v>
      </c>
    </row>
    <row r="4543" spans="1:14" x14ac:dyDescent="0.3">
      <c r="A4543" t="s">
        <v>4647</v>
      </c>
      <c r="B4543" t="s">
        <v>20</v>
      </c>
      <c r="C4543" t="s">
        <v>4644</v>
      </c>
      <c r="D4543" s="1">
        <v>0.4070023148148148</v>
      </c>
      <c r="E4543" s="2">
        <f>CallLog[[#This Row],[Date]]+CallLog[[#This Row],[Time]]</f>
        <v>44277.407002314816</v>
      </c>
      <c r="F4543" s="1" t="str">
        <f>TEXT(CallLog[[#This Row],[Date]],"dddd")</f>
        <v>Monday</v>
      </c>
      <c r="G4543" s="3">
        <f>HOUR(CallLog[[#This Row],[Time]])</f>
        <v>9</v>
      </c>
      <c r="H4543" t="s">
        <v>13</v>
      </c>
      <c r="I4543" t="s">
        <v>14</v>
      </c>
      <c r="J4543" t="s">
        <v>14</v>
      </c>
      <c r="K4543">
        <v>24</v>
      </c>
      <c r="L4543" t="str">
        <f>IF(AND(CallLog[[#This Row],[Answered (Y/N)]]="Y", CallLog[[#This Row],[Speed of answer in seconds]]&lt;=20),
    "Within",
    "Breach")</f>
        <v>Breach</v>
      </c>
      <c r="M4543" s="1">
        <v>3.8657407407407408E-3</v>
      </c>
      <c r="N4543">
        <v>4</v>
      </c>
    </row>
    <row r="4544" spans="1:14" x14ac:dyDescent="0.3">
      <c r="A4544" t="s">
        <v>4648</v>
      </c>
      <c r="B4544" t="s">
        <v>47</v>
      </c>
      <c r="C4544" t="s">
        <v>4644</v>
      </c>
      <c r="D4544" s="1">
        <v>0.41900462962962964</v>
      </c>
      <c r="E4544" s="2">
        <f>CallLog[[#This Row],[Date]]+CallLog[[#This Row],[Time]]</f>
        <v>44277.419004629628</v>
      </c>
      <c r="F4544" s="1" t="str">
        <f>TEXT(CallLog[[#This Row],[Date]],"dddd")</f>
        <v>Monday</v>
      </c>
      <c r="G4544" s="3">
        <f>HOUR(CallLog[[#This Row],[Time]])</f>
        <v>10</v>
      </c>
      <c r="H4544" t="s">
        <v>32</v>
      </c>
      <c r="I4544" t="s">
        <v>14</v>
      </c>
      <c r="J4544" t="s">
        <v>14</v>
      </c>
      <c r="K4544">
        <v>114</v>
      </c>
      <c r="L4544" t="str">
        <f>IF(AND(CallLog[[#This Row],[Answered (Y/N)]]="Y", CallLog[[#This Row],[Speed of answer in seconds]]&lt;=20),
    "Within",
    "Breach")</f>
        <v>Breach</v>
      </c>
      <c r="M4544" s="1">
        <v>3.9699074074074072E-3</v>
      </c>
      <c r="N4544">
        <v>3</v>
      </c>
    </row>
    <row r="4545" spans="1:14" x14ac:dyDescent="0.3">
      <c r="A4545" t="s">
        <v>4649</v>
      </c>
      <c r="B4545" t="s">
        <v>11</v>
      </c>
      <c r="C4545" t="s">
        <v>4644</v>
      </c>
      <c r="D4545" s="1">
        <v>0.41900462962962964</v>
      </c>
      <c r="E4545" s="2">
        <f>CallLog[[#This Row],[Date]]+CallLog[[#This Row],[Time]]</f>
        <v>44277.419004629628</v>
      </c>
      <c r="F4545" s="1" t="str">
        <f>TEXT(CallLog[[#This Row],[Date]],"dddd")</f>
        <v>Monday</v>
      </c>
      <c r="G4545" s="3">
        <f>HOUR(CallLog[[#This Row],[Time]])</f>
        <v>10</v>
      </c>
      <c r="H4545" t="s">
        <v>13</v>
      </c>
      <c r="I4545" t="s">
        <v>18</v>
      </c>
      <c r="J4545" t="s">
        <v>18</v>
      </c>
      <c r="L4545" t="str">
        <f>IF(AND(CallLog[[#This Row],[Answered (Y/N)]]="Y", CallLog[[#This Row],[Speed of answer in seconds]]&lt;=20),
    "Within",
    "Breach")</f>
        <v>Breach</v>
      </c>
    </row>
    <row r="4546" spans="1:14" x14ac:dyDescent="0.3">
      <c r="A4546" t="s">
        <v>4650</v>
      </c>
      <c r="B4546" t="s">
        <v>22</v>
      </c>
      <c r="C4546" t="s">
        <v>4644</v>
      </c>
      <c r="D4546" s="1">
        <v>0.42200231481481482</v>
      </c>
      <c r="E4546" s="2">
        <f>CallLog[[#This Row],[Date]]+CallLog[[#This Row],[Time]]</f>
        <v>44277.422002314815</v>
      </c>
      <c r="F4546" s="1" t="str">
        <f>TEXT(CallLog[[#This Row],[Date]],"dddd")</f>
        <v>Monday</v>
      </c>
      <c r="G4546" s="3">
        <f>HOUR(CallLog[[#This Row],[Time]])</f>
        <v>10</v>
      </c>
      <c r="H4546" t="s">
        <v>13</v>
      </c>
      <c r="I4546" t="s">
        <v>14</v>
      </c>
      <c r="J4546" t="s">
        <v>18</v>
      </c>
      <c r="K4546">
        <v>32</v>
      </c>
      <c r="L4546" t="str">
        <f>IF(AND(CallLog[[#This Row],[Answered (Y/N)]]="Y", CallLog[[#This Row],[Speed of answer in seconds]]&lt;=20),
    "Within",
    "Breach")</f>
        <v>Breach</v>
      </c>
      <c r="M4546" s="1">
        <v>2.2106481481481482E-3</v>
      </c>
      <c r="N4546">
        <v>5</v>
      </c>
    </row>
    <row r="4547" spans="1:14" x14ac:dyDescent="0.3">
      <c r="A4547" t="s">
        <v>4651</v>
      </c>
      <c r="B4547" t="s">
        <v>38</v>
      </c>
      <c r="C4547" t="s">
        <v>4644</v>
      </c>
      <c r="D4547" s="1">
        <v>0.42200231481481482</v>
      </c>
      <c r="E4547" s="2">
        <f>CallLog[[#This Row],[Date]]+CallLog[[#This Row],[Time]]</f>
        <v>44277.422002314815</v>
      </c>
      <c r="F4547" s="1" t="str">
        <f>TEXT(CallLog[[#This Row],[Date]],"dddd")</f>
        <v>Monday</v>
      </c>
      <c r="G4547" s="3">
        <f>HOUR(CallLog[[#This Row],[Time]])</f>
        <v>10</v>
      </c>
      <c r="H4547" t="s">
        <v>13</v>
      </c>
      <c r="I4547" t="s">
        <v>14</v>
      </c>
      <c r="J4547" t="s">
        <v>14</v>
      </c>
      <c r="K4547">
        <v>16</v>
      </c>
      <c r="L4547" t="str">
        <f>IF(AND(CallLog[[#This Row],[Answered (Y/N)]]="Y", CallLog[[#This Row],[Speed of answer in seconds]]&lt;=20),
    "Within",
    "Breach")</f>
        <v>Within</v>
      </c>
      <c r="M4547" s="1">
        <v>2.1990740740740742E-3</v>
      </c>
      <c r="N4547">
        <v>4</v>
      </c>
    </row>
    <row r="4548" spans="1:14" x14ac:dyDescent="0.3">
      <c r="A4548" t="s">
        <v>4652</v>
      </c>
      <c r="B4548" t="s">
        <v>31</v>
      </c>
      <c r="C4548" t="s">
        <v>4644</v>
      </c>
      <c r="D4548" s="1">
        <v>0.42700231481481482</v>
      </c>
      <c r="E4548" s="2">
        <f>CallLog[[#This Row],[Date]]+CallLog[[#This Row],[Time]]</f>
        <v>44277.427002314813</v>
      </c>
      <c r="F4548" s="1" t="str">
        <f>TEXT(CallLog[[#This Row],[Date]],"dddd")</f>
        <v>Monday</v>
      </c>
      <c r="G4548" s="3">
        <f>HOUR(CallLog[[#This Row],[Time]])</f>
        <v>10</v>
      </c>
      <c r="H4548" t="s">
        <v>29</v>
      </c>
      <c r="I4548" t="s">
        <v>14</v>
      </c>
      <c r="J4548" t="s">
        <v>18</v>
      </c>
      <c r="K4548">
        <v>104</v>
      </c>
      <c r="L4548" t="str">
        <f>IF(AND(CallLog[[#This Row],[Answered (Y/N)]]="Y", CallLog[[#This Row],[Speed of answer in seconds]]&lt;=20),
    "Within",
    "Breach")</f>
        <v>Breach</v>
      </c>
      <c r="M4548" s="1">
        <v>3.2870370370370371E-3</v>
      </c>
      <c r="N4548">
        <v>5</v>
      </c>
    </row>
    <row r="4549" spans="1:14" x14ac:dyDescent="0.3">
      <c r="A4549" t="s">
        <v>4653</v>
      </c>
      <c r="B4549" t="s">
        <v>20</v>
      </c>
      <c r="C4549" t="s">
        <v>4644</v>
      </c>
      <c r="D4549" s="1">
        <v>0.42700231481481482</v>
      </c>
      <c r="E4549" s="2">
        <f>CallLog[[#This Row],[Date]]+CallLog[[#This Row],[Time]]</f>
        <v>44277.427002314813</v>
      </c>
      <c r="F4549" s="1" t="str">
        <f>TEXT(CallLog[[#This Row],[Date]],"dddd")</f>
        <v>Monday</v>
      </c>
      <c r="G4549" s="3">
        <f>HOUR(CallLog[[#This Row],[Time]])</f>
        <v>10</v>
      </c>
      <c r="H4549" t="s">
        <v>17</v>
      </c>
      <c r="I4549" t="s">
        <v>14</v>
      </c>
      <c r="J4549" t="s">
        <v>14</v>
      </c>
      <c r="K4549">
        <v>40</v>
      </c>
      <c r="L4549" t="str">
        <f>IF(AND(CallLog[[#This Row],[Answered (Y/N)]]="Y", CallLog[[#This Row],[Speed of answer in seconds]]&lt;=20),
    "Within",
    "Breach")</f>
        <v>Breach</v>
      </c>
      <c r="M4549" s="1">
        <v>6.134259259259259E-4</v>
      </c>
      <c r="N4549">
        <v>3</v>
      </c>
    </row>
    <row r="4550" spans="1:14" x14ac:dyDescent="0.3">
      <c r="A4550" t="s">
        <v>4654</v>
      </c>
      <c r="B4550" t="s">
        <v>34</v>
      </c>
      <c r="C4550" t="s">
        <v>4644</v>
      </c>
      <c r="D4550" s="1">
        <v>0.47200231481481481</v>
      </c>
      <c r="E4550" s="2">
        <f>CallLog[[#This Row],[Date]]+CallLog[[#This Row],[Time]]</f>
        <v>44277.472002314818</v>
      </c>
      <c r="F4550" s="1" t="str">
        <f>TEXT(CallLog[[#This Row],[Date]],"dddd")</f>
        <v>Monday</v>
      </c>
      <c r="G4550" s="3">
        <f>HOUR(CallLog[[#This Row],[Time]])</f>
        <v>11</v>
      </c>
      <c r="H4550" t="s">
        <v>13</v>
      </c>
      <c r="I4550" t="s">
        <v>14</v>
      </c>
      <c r="J4550" t="s">
        <v>14</v>
      </c>
      <c r="K4550">
        <v>80</v>
      </c>
      <c r="L4550" t="str">
        <f>IF(AND(CallLog[[#This Row],[Answered (Y/N)]]="Y", CallLog[[#This Row],[Speed of answer in seconds]]&lt;=20),
    "Within",
    "Breach")</f>
        <v>Breach</v>
      </c>
      <c r="M4550" s="1">
        <v>1.9328703703703704E-3</v>
      </c>
      <c r="N4550">
        <v>4</v>
      </c>
    </row>
    <row r="4551" spans="1:14" x14ac:dyDescent="0.3">
      <c r="A4551" t="s">
        <v>4655</v>
      </c>
      <c r="B4551" t="s">
        <v>31</v>
      </c>
      <c r="C4551" t="s">
        <v>4644</v>
      </c>
      <c r="D4551" s="1">
        <v>0.47200231481481481</v>
      </c>
      <c r="E4551" s="2">
        <f>CallLog[[#This Row],[Date]]+CallLog[[#This Row],[Time]]</f>
        <v>44277.472002314818</v>
      </c>
      <c r="F4551" s="1" t="str">
        <f>TEXT(CallLog[[#This Row],[Date]],"dddd")</f>
        <v>Monday</v>
      </c>
      <c r="G4551" s="3">
        <f>HOUR(CallLog[[#This Row],[Time]])</f>
        <v>11</v>
      </c>
      <c r="H4551" t="s">
        <v>24</v>
      </c>
      <c r="I4551" t="s">
        <v>14</v>
      </c>
      <c r="J4551" t="s">
        <v>14</v>
      </c>
      <c r="K4551">
        <v>88</v>
      </c>
      <c r="L4551" t="str">
        <f>IF(AND(CallLog[[#This Row],[Answered (Y/N)]]="Y", CallLog[[#This Row],[Speed of answer in seconds]]&lt;=20),
    "Within",
    "Breach")</f>
        <v>Breach</v>
      </c>
      <c r="M4551" s="1">
        <v>3.5879629629629629E-3</v>
      </c>
      <c r="N4551">
        <v>4</v>
      </c>
    </row>
    <row r="4552" spans="1:14" x14ac:dyDescent="0.3">
      <c r="A4552" t="s">
        <v>4656</v>
      </c>
      <c r="B4552" t="s">
        <v>34</v>
      </c>
      <c r="C4552" t="s">
        <v>4644</v>
      </c>
      <c r="D4552" s="1">
        <v>0.5</v>
      </c>
      <c r="E4552" s="2">
        <f>CallLog[[#This Row],[Date]]+CallLog[[#This Row],[Time]]</f>
        <v>44277.5</v>
      </c>
      <c r="F4552" s="1" t="str">
        <f>TEXT(CallLog[[#This Row],[Date]],"dddd")</f>
        <v>Monday</v>
      </c>
      <c r="G4552" s="3">
        <f>HOUR(CallLog[[#This Row],[Time]])</f>
        <v>12</v>
      </c>
      <c r="H4552" t="s">
        <v>29</v>
      </c>
      <c r="I4552" t="s">
        <v>14</v>
      </c>
      <c r="J4552" t="s">
        <v>14</v>
      </c>
      <c r="K4552">
        <v>86</v>
      </c>
      <c r="L4552" t="str">
        <f>IF(AND(CallLog[[#This Row],[Answered (Y/N)]]="Y", CallLog[[#This Row],[Speed of answer in seconds]]&lt;=20),
    "Within",
    "Breach")</f>
        <v>Breach</v>
      </c>
      <c r="M4552" s="1">
        <v>2.5347222222222221E-3</v>
      </c>
      <c r="N4552">
        <v>3</v>
      </c>
    </row>
    <row r="4553" spans="1:14" x14ac:dyDescent="0.3">
      <c r="A4553" t="s">
        <v>4657</v>
      </c>
      <c r="B4553" t="s">
        <v>38</v>
      </c>
      <c r="C4553" t="s">
        <v>4644</v>
      </c>
      <c r="D4553" s="1">
        <v>0.5</v>
      </c>
      <c r="E4553" s="2">
        <f>CallLog[[#This Row],[Date]]+CallLog[[#This Row],[Time]]</f>
        <v>44277.5</v>
      </c>
      <c r="F4553" s="1" t="str">
        <f>TEXT(CallLog[[#This Row],[Date]],"dddd")</f>
        <v>Monday</v>
      </c>
      <c r="G4553" s="3">
        <f>HOUR(CallLog[[#This Row],[Time]])</f>
        <v>12</v>
      </c>
      <c r="H4553" t="s">
        <v>32</v>
      </c>
      <c r="I4553" t="s">
        <v>14</v>
      </c>
      <c r="J4553" t="s">
        <v>14</v>
      </c>
      <c r="K4553">
        <v>57</v>
      </c>
      <c r="L4553" t="str">
        <f>IF(AND(CallLog[[#This Row],[Answered (Y/N)]]="Y", CallLog[[#This Row],[Speed of answer in seconds]]&lt;=20),
    "Within",
    "Breach")</f>
        <v>Breach</v>
      </c>
      <c r="M4553" s="1">
        <v>4.6064814814814814E-3</v>
      </c>
      <c r="N4553">
        <v>4</v>
      </c>
    </row>
    <row r="4554" spans="1:14" x14ac:dyDescent="0.3">
      <c r="A4554" t="s">
        <v>4658</v>
      </c>
      <c r="B4554" t="s">
        <v>31</v>
      </c>
      <c r="C4554" t="s">
        <v>4644</v>
      </c>
      <c r="D4554" s="1">
        <v>0.50400462962962966</v>
      </c>
      <c r="E4554" s="2">
        <f>CallLog[[#This Row],[Date]]+CallLog[[#This Row],[Time]]</f>
        <v>44277.504004629627</v>
      </c>
      <c r="F4554" s="1" t="str">
        <f>TEXT(CallLog[[#This Row],[Date]],"dddd")</f>
        <v>Monday</v>
      </c>
      <c r="G4554" s="3">
        <f>HOUR(CallLog[[#This Row],[Time]])</f>
        <v>12</v>
      </c>
      <c r="H4554" t="s">
        <v>13</v>
      </c>
      <c r="I4554" t="s">
        <v>14</v>
      </c>
      <c r="J4554" t="s">
        <v>14</v>
      </c>
      <c r="K4554">
        <v>96</v>
      </c>
      <c r="L4554" t="str">
        <f>IF(AND(CallLog[[#This Row],[Answered (Y/N)]]="Y", CallLog[[#This Row],[Speed of answer in seconds]]&lt;=20),
    "Within",
    "Breach")</f>
        <v>Breach</v>
      </c>
      <c r="M4554" s="1">
        <v>4.2824074074074075E-3</v>
      </c>
      <c r="N4554">
        <v>5</v>
      </c>
    </row>
    <row r="4555" spans="1:14" x14ac:dyDescent="0.3">
      <c r="A4555" t="s">
        <v>4659</v>
      </c>
      <c r="B4555" t="s">
        <v>31</v>
      </c>
      <c r="C4555" t="s">
        <v>4644</v>
      </c>
      <c r="D4555" s="1">
        <v>0.50400462962962966</v>
      </c>
      <c r="E4555" s="2">
        <f>CallLog[[#This Row],[Date]]+CallLog[[#This Row],[Time]]</f>
        <v>44277.504004629627</v>
      </c>
      <c r="F4555" s="1" t="str">
        <f>TEXT(CallLog[[#This Row],[Date]],"dddd")</f>
        <v>Monday</v>
      </c>
      <c r="G4555" s="3">
        <f>HOUR(CallLog[[#This Row],[Time]])</f>
        <v>12</v>
      </c>
      <c r="H4555" t="s">
        <v>17</v>
      </c>
      <c r="I4555" t="s">
        <v>14</v>
      </c>
      <c r="J4555" t="s">
        <v>14</v>
      </c>
      <c r="K4555">
        <v>72</v>
      </c>
      <c r="L4555" t="str">
        <f>IF(AND(CallLog[[#This Row],[Answered (Y/N)]]="Y", CallLog[[#This Row],[Speed of answer in seconds]]&lt;=20),
    "Within",
    "Breach")</f>
        <v>Breach</v>
      </c>
      <c r="M4555" s="1">
        <v>3.0092592592592593E-3</v>
      </c>
      <c r="N4555">
        <v>2</v>
      </c>
    </row>
    <row r="4556" spans="1:14" x14ac:dyDescent="0.3">
      <c r="A4556" t="s">
        <v>4660</v>
      </c>
      <c r="B4556" t="s">
        <v>31</v>
      </c>
      <c r="C4556" t="s">
        <v>4644</v>
      </c>
      <c r="D4556" s="1">
        <v>0.505</v>
      </c>
      <c r="E4556" s="2">
        <f>CallLog[[#This Row],[Date]]+CallLog[[#This Row],[Time]]</f>
        <v>44277.504999999997</v>
      </c>
      <c r="F4556" s="1" t="str">
        <f>TEXT(CallLog[[#This Row],[Date]],"dddd")</f>
        <v>Monday</v>
      </c>
      <c r="G4556" s="3">
        <f>HOUR(CallLog[[#This Row],[Time]])</f>
        <v>12</v>
      </c>
      <c r="H4556" t="s">
        <v>29</v>
      </c>
      <c r="I4556" t="s">
        <v>14</v>
      </c>
      <c r="J4556" t="s">
        <v>14</v>
      </c>
      <c r="K4556">
        <v>37</v>
      </c>
      <c r="L4556" t="str">
        <f>IF(AND(CallLog[[#This Row],[Answered (Y/N)]]="Y", CallLog[[#This Row],[Speed of answer in seconds]]&lt;=20),
    "Within",
    "Breach")</f>
        <v>Breach</v>
      </c>
      <c r="M4556" s="1">
        <v>8.7962962962962962E-4</v>
      </c>
      <c r="N4556">
        <v>5</v>
      </c>
    </row>
    <row r="4557" spans="1:14" x14ac:dyDescent="0.3">
      <c r="A4557" t="s">
        <v>4661</v>
      </c>
      <c r="B4557" t="s">
        <v>31</v>
      </c>
      <c r="C4557" t="s">
        <v>4644</v>
      </c>
      <c r="D4557" s="1">
        <v>0.505</v>
      </c>
      <c r="E4557" s="2">
        <f>CallLog[[#This Row],[Date]]+CallLog[[#This Row],[Time]]</f>
        <v>44277.504999999997</v>
      </c>
      <c r="F4557" s="1" t="str">
        <f>TEXT(CallLog[[#This Row],[Date]],"dddd")</f>
        <v>Monday</v>
      </c>
      <c r="G4557" s="3">
        <f>HOUR(CallLog[[#This Row],[Time]])</f>
        <v>12</v>
      </c>
      <c r="H4557" t="s">
        <v>17</v>
      </c>
      <c r="I4557" t="s">
        <v>18</v>
      </c>
      <c r="J4557" t="s">
        <v>18</v>
      </c>
      <c r="L4557" t="str">
        <f>IF(AND(CallLog[[#This Row],[Answered (Y/N)]]="Y", CallLog[[#This Row],[Speed of answer in seconds]]&lt;=20),
    "Within",
    "Breach")</f>
        <v>Breach</v>
      </c>
    </row>
    <row r="4558" spans="1:14" x14ac:dyDescent="0.3">
      <c r="A4558" t="s">
        <v>4662</v>
      </c>
      <c r="B4558" t="s">
        <v>38</v>
      </c>
      <c r="C4558" t="s">
        <v>4644</v>
      </c>
      <c r="D4558" s="1">
        <v>0.53200231481481486</v>
      </c>
      <c r="E4558" s="2">
        <f>CallLog[[#This Row],[Date]]+CallLog[[#This Row],[Time]]</f>
        <v>44277.532002314816</v>
      </c>
      <c r="F4558" s="1" t="str">
        <f>TEXT(CallLog[[#This Row],[Date]],"dddd")</f>
        <v>Monday</v>
      </c>
      <c r="G4558" s="3">
        <f>HOUR(CallLog[[#This Row],[Time]])</f>
        <v>12</v>
      </c>
      <c r="H4558" t="s">
        <v>17</v>
      </c>
      <c r="I4558" t="s">
        <v>14</v>
      </c>
      <c r="J4558" t="s">
        <v>14</v>
      </c>
      <c r="K4558">
        <v>37</v>
      </c>
      <c r="L4558" t="str">
        <f>IF(AND(CallLog[[#This Row],[Answered (Y/N)]]="Y", CallLog[[#This Row],[Speed of answer in seconds]]&lt;=20),
    "Within",
    "Breach")</f>
        <v>Breach</v>
      </c>
      <c r="M4558" s="1">
        <v>3.7037037037037041E-4</v>
      </c>
      <c r="N4558">
        <v>1</v>
      </c>
    </row>
    <row r="4559" spans="1:14" x14ac:dyDescent="0.3">
      <c r="A4559" t="s">
        <v>4663</v>
      </c>
      <c r="B4559" t="s">
        <v>16</v>
      </c>
      <c r="C4559" t="s">
        <v>4644</v>
      </c>
      <c r="D4559" s="1">
        <v>0.53200231481481486</v>
      </c>
      <c r="E4559" s="2">
        <f>CallLog[[#This Row],[Date]]+CallLog[[#This Row],[Time]]</f>
        <v>44277.532002314816</v>
      </c>
      <c r="F4559" s="1" t="str">
        <f>TEXT(CallLog[[#This Row],[Date]],"dddd")</f>
        <v>Monday</v>
      </c>
      <c r="G4559" s="3">
        <f>HOUR(CallLog[[#This Row],[Time]])</f>
        <v>12</v>
      </c>
      <c r="H4559" t="s">
        <v>32</v>
      </c>
      <c r="I4559" t="s">
        <v>14</v>
      </c>
      <c r="J4559" t="s">
        <v>14</v>
      </c>
      <c r="K4559">
        <v>10</v>
      </c>
      <c r="L4559" t="str">
        <f>IF(AND(CallLog[[#This Row],[Answered (Y/N)]]="Y", CallLog[[#This Row],[Speed of answer in seconds]]&lt;=20),
    "Within",
    "Breach")</f>
        <v>Within</v>
      </c>
      <c r="M4559" s="1">
        <v>1.261574074074074E-3</v>
      </c>
      <c r="N4559">
        <v>5</v>
      </c>
    </row>
    <row r="4560" spans="1:14" x14ac:dyDescent="0.3">
      <c r="A4560" t="s">
        <v>4664</v>
      </c>
      <c r="B4560" t="s">
        <v>11</v>
      </c>
      <c r="C4560" t="s">
        <v>4644</v>
      </c>
      <c r="D4560" s="1">
        <v>0.56000000000000005</v>
      </c>
      <c r="E4560" s="2">
        <f>CallLog[[#This Row],[Date]]+CallLog[[#This Row],[Time]]</f>
        <v>44277.56</v>
      </c>
      <c r="F4560" s="1" t="str">
        <f>TEXT(CallLog[[#This Row],[Date]],"dddd")</f>
        <v>Monday</v>
      </c>
      <c r="G4560" s="3">
        <f>HOUR(CallLog[[#This Row],[Time]])</f>
        <v>13</v>
      </c>
      <c r="H4560" t="s">
        <v>29</v>
      </c>
      <c r="I4560" t="s">
        <v>18</v>
      </c>
      <c r="J4560" t="s">
        <v>18</v>
      </c>
      <c r="L4560" t="str">
        <f>IF(AND(CallLog[[#This Row],[Answered (Y/N)]]="Y", CallLog[[#This Row],[Speed of answer in seconds]]&lt;=20),
    "Within",
    "Breach")</f>
        <v>Breach</v>
      </c>
    </row>
    <row r="4561" spans="1:14" x14ac:dyDescent="0.3">
      <c r="A4561" t="s">
        <v>4665</v>
      </c>
      <c r="B4561" t="s">
        <v>47</v>
      </c>
      <c r="C4561" t="s">
        <v>4644</v>
      </c>
      <c r="D4561" s="1">
        <v>0.56000000000000005</v>
      </c>
      <c r="E4561" s="2">
        <f>CallLog[[#This Row],[Date]]+CallLog[[#This Row],[Time]]</f>
        <v>44277.56</v>
      </c>
      <c r="F4561" s="1" t="str">
        <f>TEXT(CallLog[[#This Row],[Date]],"dddd")</f>
        <v>Monday</v>
      </c>
      <c r="G4561" s="3">
        <f>HOUR(CallLog[[#This Row],[Time]])</f>
        <v>13</v>
      </c>
      <c r="H4561" t="s">
        <v>17</v>
      </c>
      <c r="I4561" t="s">
        <v>14</v>
      </c>
      <c r="J4561" t="s">
        <v>14</v>
      </c>
      <c r="K4561">
        <v>120</v>
      </c>
      <c r="L4561" t="str">
        <f>IF(AND(CallLog[[#This Row],[Answered (Y/N)]]="Y", CallLog[[#This Row],[Speed of answer in seconds]]&lt;=20),
    "Within",
    "Breach")</f>
        <v>Breach</v>
      </c>
      <c r="M4561" s="1">
        <v>1.4236111111111112E-3</v>
      </c>
      <c r="N4561">
        <v>3</v>
      </c>
    </row>
    <row r="4562" spans="1:14" x14ac:dyDescent="0.3">
      <c r="A4562" t="s">
        <v>4666</v>
      </c>
      <c r="B4562" t="s">
        <v>16</v>
      </c>
      <c r="C4562" t="s">
        <v>4644</v>
      </c>
      <c r="D4562" s="1">
        <v>0.56099537037037039</v>
      </c>
      <c r="E4562" s="2">
        <f>CallLog[[#This Row],[Date]]+CallLog[[#This Row],[Time]]</f>
        <v>44277.560995370368</v>
      </c>
      <c r="F4562" s="1" t="str">
        <f>TEXT(CallLog[[#This Row],[Date]],"dddd")</f>
        <v>Monday</v>
      </c>
      <c r="G4562" s="3">
        <f>HOUR(CallLog[[#This Row],[Time]])</f>
        <v>13</v>
      </c>
      <c r="H4562" t="s">
        <v>13</v>
      </c>
      <c r="I4562" t="s">
        <v>14</v>
      </c>
      <c r="J4562" t="s">
        <v>14</v>
      </c>
      <c r="K4562">
        <v>95</v>
      </c>
      <c r="L4562" t="str">
        <f>IF(AND(CallLog[[#This Row],[Answered (Y/N)]]="Y", CallLog[[#This Row],[Speed of answer in seconds]]&lt;=20),
    "Within",
    "Breach")</f>
        <v>Breach</v>
      </c>
      <c r="M4562" s="1">
        <v>2.8240740740740739E-3</v>
      </c>
      <c r="N4562">
        <v>4</v>
      </c>
    </row>
    <row r="4563" spans="1:14" x14ac:dyDescent="0.3">
      <c r="A4563" t="s">
        <v>4667</v>
      </c>
      <c r="B4563" t="s">
        <v>31</v>
      </c>
      <c r="C4563" t="s">
        <v>4644</v>
      </c>
      <c r="D4563" s="1">
        <v>0.56099537037037039</v>
      </c>
      <c r="E4563" s="2">
        <f>CallLog[[#This Row],[Date]]+CallLog[[#This Row],[Time]]</f>
        <v>44277.560995370368</v>
      </c>
      <c r="F4563" s="1" t="str">
        <f>TEXT(CallLog[[#This Row],[Date]],"dddd")</f>
        <v>Monday</v>
      </c>
      <c r="G4563" s="3">
        <f>HOUR(CallLog[[#This Row],[Time]])</f>
        <v>13</v>
      </c>
      <c r="H4563" t="s">
        <v>17</v>
      </c>
      <c r="I4563" t="s">
        <v>14</v>
      </c>
      <c r="J4563" t="s">
        <v>14</v>
      </c>
      <c r="K4563">
        <v>74</v>
      </c>
      <c r="L4563" t="str">
        <f>IF(AND(CallLog[[#This Row],[Answered (Y/N)]]="Y", CallLog[[#This Row],[Speed of answer in seconds]]&lt;=20),
    "Within",
    "Breach")</f>
        <v>Breach</v>
      </c>
      <c r="M4563" s="1">
        <v>4.1087962962962962E-3</v>
      </c>
      <c r="N4563">
        <v>3</v>
      </c>
    </row>
    <row r="4564" spans="1:14" x14ac:dyDescent="0.3">
      <c r="A4564" t="s">
        <v>4668</v>
      </c>
      <c r="B4564" t="s">
        <v>11</v>
      </c>
      <c r="C4564" t="s">
        <v>4644</v>
      </c>
      <c r="D4564" s="1">
        <v>0.56400462962962961</v>
      </c>
      <c r="E4564" s="2">
        <f>CallLog[[#This Row],[Date]]+CallLog[[#This Row],[Time]]</f>
        <v>44277.564004629632</v>
      </c>
      <c r="F4564" s="1" t="str">
        <f>TEXT(CallLog[[#This Row],[Date]],"dddd")</f>
        <v>Monday</v>
      </c>
      <c r="G4564" s="3">
        <f>HOUR(CallLog[[#This Row],[Time]])</f>
        <v>13</v>
      </c>
      <c r="H4564" t="s">
        <v>13</v>
      </c>
      <c r="I4564" t="s">
        <v>18</v>
      </c>
      <c r="J4564" t="s">
        <v>18</v>
      </c>
      <c r="L4564" t="str">
        <f>IF(AND(CallLog[[#This Row],[Answered (Y/N)]]="Y", CallLog[[#This Row],[Speed of answer in seconds]]&lt;=20),
    "Within",
    "Breach")</f>
        <v>Breach</v>
      </c>
    </row>
    <row r="4565" spans="1:14" x14ac:dyDescent="0.3">
      <c r="A4565" t="s">
        <v>4669</v>
      </c>
      <c r="B4565" t="s">
        <v>11</v>
      </c>
      <c r="C4565" t="s">
        <v>4644</v>
      </c>
      <c r="D4565" s="1">
        <v>0.56400462962962961</v>
      </c>
      <c r="E4565" s="2">
        <f>CallLog[[#This Row],[Date]]+CallLog[[#This Row],[Time]]</f>
        <v>44277.564004629632</v>
      </c>
      <c r="F4565" s="1" t="str">
        <f>TEXT(CallLog[[#This Row],[Date]],"dddd")</f>
        <v>Monday</v>
      </c>
      <c r="G4565" s="3">
        <f>HOUR(CallLog[[#This Row],[Time]])</f>
        <v>13</v>
      </c>
      <c r="H4565" t="s">
        <v>32</v>
      </c>
      <c r="I4565" t="s">
        <v>18</v>
      </c>
      <c r="J4565" t="s">
        <v>18</v>
      </c>
      <c r="L4565" t="str">
        <f>IF(AND(CallLog[[#This Row],[Answered (Y/N)]]="Y", CallLog[[#This Row],[Speed of answer in seconds]]&lt;=20),
    "Within",
    "Breach")</f>
        <v>Breach</v>
      </c>
    </row>
    <row r="4566" spans="1:14" x14ac:dyDescent="0.3">
      <c r="A4566" t="s">
        <v>4670</v>
      </c>
      <c r="B4566" t="s">
        <v>20</v>
      </c>
      <c r="C4566" t="s">
        <v>4644</v>
      </c>
      <c r="D4566" s="1">
        <v>0.57200231481481478</v>
      </c>
      <c r="E4566" s="2">
        <f>CallLog[[#This Row],[Date]]+CallLog[[#This Row],[Time]]</f>
        <v>44277.572002314817</v>
      </c>
      <c r="F4566" s="1" t="str">
        <f>TEXT(CallLog[[#This Row],[Date]],"dddd")</f>
        <v>Monday</v>
      </c>
      <c r="G4566" s="3">
        <f>HOUR(CallLog[[#This Row],[Time]])</f>
        <v>13</v>
      </c>
      <c r="H4566" t="s">
        <v>17</v>
      </c>
      <c r="I4566" t="s">
        <v>14</v>
      </c>
      <c r="J4566" t="s">
        <v>14</v>
      </c>
      <c r="K4566">
        <v>77</v>
      </c>
      <c r="L4566" t="str">
        <f>IF(AND(CallLog[[#This Row],[Answered (Y/N)]]="Y", CallLog[[#This Row],[Speed of answer in seconds]]&lt;=20),
    "Within",
    "Breach")</f>
        <v>Breach</v>
      </c>
      <c r="M4566" s="1">
        <v>9.2592592592592596E-4</v>
      </c>
      <c r="N4566">
        <v>3</v>
      </c>
    </row>
    <row r="4567" spans="1:14" x14ac:dyDescent="0.3">
      <c r="A4567" t="s">
        <v>4671</v>
      </c>
      <c r="B4567" t="s">
        <v>34</v>
      </c>
      <c r="C4567" t="s">
        <v>4644</v>
      </c>
      <c r="D4567" s="1">
        <v>0.57200231481481478</v>
      </c>
      <c r="E4567" s="2">
        <f>CallLog[[#This Row],[Date]]+CallLog[[#This Row],[Time]]</f>
        <v>44277.572002314817</v>
      </c>
      <c r="F4567" s="1" t="str">
        <f>TEXT(CallLog[[#This Row],[Date]],"dddd")</f>
        <v>Monday</v>
      </c>
      <c r="G4567" s="3">
        <f>HOUR(CallLog[[#This Row],[Time]])</f>
        <v>13</v>
      </c>
      <c r="H4567" t="s">
        <v>17</v>
      </c>
      <c r="I4567" t="s">
        <v>14</v>
      </c>
      <c r="J4567" t="s">
        <v>14</v>
      </c>
      <c r="K4567">
        <v>50</v>
      </c>
      <c r="L4567" t="str">
        <f>IF(AND(CallLog[[#This Row],[Answered (Y/N)]]="Y", CallLog[[#This Row],[Speed of answer in seconds]]&lt;=20),
    "Within",
    "Breach")</f>
        <v>Breach</v>
      </c>
      <c r="M4567" s="1">
        <v>2.4421296296296296E-3</v>
      </c>
      <c r="N4567">
        <v>4</v>
      </c>
    </row>
    <row r="4568" spans="1:14" x14ac:dyDescent="0.3">
      <c r="A4568" t="s">
        <v>4672</v>
      </c>
      <c r="B4568" t="s">
        <v>11</v>
      </c>
      <c r="C4568" t="s">
        <v>4644</v>
      </c>
      <c r="D4568" s="1">
        <v>0.59299768518518514</v>
      </c>
      <c r="E4568" s="2">
        <f>CallLog[[#This Row],[Date]]+CallLog[[#This Row],[Time]]</f>
        <v>44277.592997685184</v>
      </c>
      <c r="F4568" s="1" t="str">
        <f>TEXT(CallLog[[#This Row],[Date]],"dddd")</f>
        <v>Monday</v>
      </c>
      <c r="G4568" s="3">
        <f>HOUR(CallLog[[#This Row],[Time]])</f>
        <v>14</v>
      </c>
      <c r="H4568" t="s">
        <v>24</v>
      </c>
      <c r="I4568" t="s">
        <v>14</v>
      </c>
      <c r="J4568" t="s">
        <v>14</v>
      </c>
      <c r="K4568">
        <v>94</v>
      </c>
      <c r="L4568" t="str">
        <f>IF(AND(CallLog[[#This Row],[Answered (Y/N)]]="Y", CallLog[[#This Row],[Speed of answer in seconds]]&lt;=20),
    "Within",
    "Breach")</f>
        <v>Breach</v>
      </c>
      <c r="M4568" s="1">
        <v>3.3796296296296296E-3</v>
      </c>
      <c r="N4568">
        <v>3</v>
      </c>
    </row>
    <row r="4569" spans="1:14" x14ac:dyDescent="0.3">
      <c r="A4569" t="s">
        <v>4673</v>
      </c>
      <c r="B4569" t="s">
        <v>16</v>
      </c>
      <c r="C4569" t="s">
        <v>4644</v>
      </c>
      <c r="D4569" s="1">
        <v>0.59299768518518514</v>
      </c>
      <c r="E4569" s="2">
        <f>CallLog[[#This Row],[Date]]+CallLog[[#This Row],[Time]]</f>
        <v>44277.592997685184</v>
      </c>
      <c r="F4569" s="1" t="str">
        <f>TEXT(CallLog[[#This Row],[Date]],"dddd")</f>
        <v>Monday</v>
      </c>
      <c r="G4569" s="3">
        <f>HOUR(CallLog[[#This Row],[Time]])</f>
        <v>14</v>
      </c>
      <c r="H4569" t="s">
        <v>17</v>
      </c>
      <c r="I4569" t="s">
        <v>14</v>
      </c>
      <c r="J4569" t="s">
        <v>14</v>
      </c>
      <c r="K4569">
        <v>109</v>
      </c>
      <c r="L4569" t="str">
        <f>IF(AND(CallLog[[#This Row],[Answered (Y/N)]]="Y", CallLog[[#This Row],[Speed of answer in seconds]]&lt;=20),
    "Within",
    "Breach")</f>
        <v>Breach</v>
      </c>
      <c r="M4569" s="1">
        <v>2.1875000000000002E-3</v>
      </c>
      <c r="N4569">
        <v>2</v>
      </c>
    </row>
    <row r="4570" spans="1:14" x14ac:dyDescent="0.3">
      <c r="A4570" t="s">
        <v>4674</v>
      </c>
      <c r="B4570" t="s">
        <v>47</v>
      </c>
      <c r="C4570" t="s">
        <v>4644</v>
      </c>
      <c r="D4570" s="1">
        <v>0.61700231481481482</v>
      </c>
      <c r="E4570" s="2">
        <f>CallLog[[#This Row],[Date]]+CallLog[[#This Row],[Time]]</f>
        <v>44277.617002314815</v>
      </c>
      <c r="F4570" s="1" t="str">
        <f>TEXT(CallLog[[#This Row],[Date]],"dddd")</f>
        <v>Monday</v>
      </c>
      <c r="G4570" s="3">
        <f>HOUR(CallLog[[#This Row],[Time]])</f>
        <v>14</v>
      </c>
      <c r="H4570" t="s">
        <v>13</v>
      </c>
      <c r="I4570" t="s">
        <v>14</v>
      </c>
      <c r="J4570" t="s">
        <v>14</v>
      </c>
      <c r="K4570">
        <v>30</v>
      </c>
      <c r="L4570" t="str">
        <f>IF(AND(CallLog[[#This Row],[Answered (Y/N)]]="Y", CallLog[[#This Row],[Speed of answer in seconds]]&lt;=20),
    "Within",
    "Breach")</f>
        <v>Breach</v>
      </c>
      <c r="M4570" s="1">
        <v>1.6087962962962963E-3</v>
      </c>
      <c r="N4570">
        <v>1</v>
      </c>
    </row>
    <row r="4571" spans="1:14" x14ac:dyDescent="0.3">
      <c r="A4571" t="s">
        <v>4675</v>
      </c>
      <c r="B4571" t="s">
        <v>34</v>
      </c>
      <c r="C4571" t="s">
        <v>4644</v>
      </c>
      <c r="D4571" s="1">
        <v>0.61700231481481482</v>
      </c>
      <c r="E4571" s="2">
        <f>CallLog[[#This Row],[Date]]+CallLog[[#This Row],[Time]]</f>
        <v>44277.617002314815</v>
      </c>
      <c r="F4571" s="1" t="str">
        <f>TEXT(CallLog[[#This Row],[Date]],"dddd")</f>
        <v>Monday</v>
      </c>
      <c r="G4571" s="3">
        <f>HOUR(CallLog[[#This Row],[Time]])</f>
        <v>14</v>
      </c>
      <c r="H4571" t="s">
        <v>29</v>
      </c>
      <c r="I4571" t="s">
        <v>14</v>
      </c>
      <c r="J4571" t="s">
        <v>14</v>
      </c>
      <c r="K4571">
        <v>124</v>
      </c>
      <c r="L4571" t="str">
        <f>IF(AND(CallLog[[#This Row],[Answered (Y/N)]]="Y", CallLog[[#This Row],[Speed of answer in seconds]]&lt;=20),
    "Within",
    "Breach")</f>
        <v>Breach</v>
      </c>
      <c r="M4571" s="1">
        <v>3.7847222222222223E-3</v>
      </c>
      <c r="N4571">
        <v>4</v>
      </c>
    </row>
    <row r="4572" spans="1:14" x14ac:dyDescent="0.3">
      <c r="A4572" t="s">
        <v>4676</v>
      </c>
      <c r="B4572" t="s">
        <v>16</v>
      </c>
      <c r="C4572" t="s">
        <v>4644</v>
      </c>
      <c r="D4572" s="1">
        <v>0.61900462962962965</v>
      </c>
      <c r="E4572" s="2">
        <f>CallLog[[#This Row],[Date]]+CallLog[[#This Row],[Time]]</f>
        <v>44277.619004629632</v>
      </c>
      <c r="F4572" s="1" t="str">
        <f>TEXT(CallLog[[#This Row],[Date]],"dddd")</f>
        <v>Monday</v>
      </c>
      <c r="G4572" s="3">
        <f>HOUR(CallLog[[#This Row],[Time]])</f>
        <v>14</v>
      </c>
      <c r="H4572" t="s">
        <v>17</v>
      </c>
      <c r="I4572" t="s">
        <v>18</v>
      </c>
      <c r="J4572" t="s">
        <v>18</v>
      </c>
      <c r="L4572" t="str">
        <f>IF(AND(CallLog[[#This Row],[Answered (Y/N)]]="Y", CallLog[[#This Row],[Speed of answer in seconds]]&lt;=20),
    "Within",
    "Breach")</f>
        <v>Breach</v>
      </c>
    </row>
    <row r="4573" spans="1:14" x14ac:dyDescent="0.3">
      <c r="A4573" t="s">
        <v>4677</v>
      </c>
      <c r="B4573" t="s">
        <v>11</v>
      </c>
      <c r="C4573" t="s">
        <v>4644</v>
      </c>
      <c r="D4573" s="1">
        <v>0.61900462962962965</v>
      </c>
      <c r="E4573" s="2">
        <f>CallLog[[#This Row],[Date]]+CallLog[[#This Row],[Time]]</f>
        <v>44277.619004629632</v>
      </c>
      <c r="F4573" s="1" t="str">
        <f>TEXT(CallLog[[#This Row],[Date]],"dddd")</f>
        <v>Monday</v>
      </c>
      <c r="G4573" s="3">
        <f>HOUR(CallLog[[#This Row],[Time]])</f>
        <v>14</v>
      </c>
      <c r="H4573" t="s">
        <v>13</v>
      </c>
      <c r="I4573" t="s">
        <v>18</v>
      </c>
      <c r="J4573" t="s">
        <v>18</v>
      </c>
      <c r="L4573" t="str">
        <f>IF(AND(CallLog[[#This Row],[Answered (Y/N)]]="Y", CallLog[[#This Row],[Speed of answer in seconds]]&lt;=20),
    "Within",
    "Breach")</f>
        <v>Breach</v>
      </c>
    </row>
    <row r="4574" spans="1:14" x14ac:dyDescent="0.3">
      <c r="A4574" t="s">
        <v>4678</v>
      </c>
      <c r="B4574" t="s">
        <v>34</v>
      </c>
      <c r="C4574" t="s">
        <v>4644</v>
      </c>
      <c r="D4574" s="1">
        <v>0.64299768518518519</v>
      </c>
      <c r="E4574" s="2">
        <f>CallLog[[#This Row],[Date]]+CallLog[[#This Row],[Time]]</f>
        <v>44277.642997685187</v>
      </c>
      <c r="F4574" s="1" t="str">
        <f>TEXT(CallLog[[#This Row],[Date]],"dddd")</f>
        <v>Monday</v>
      </c>
      <c r="G4574" s="3">
        <f>HOUR(CallLog[[#This Row],[Time]])</f>
        <v>15</v>
      </c>
      <c r="H4574" t="s">
        <v>32</v>
      </c>
      <c r="I4574" t="s">
        <v>14</v>
      </c>
      <c r="J4574" t="s">
        <v>14</v>
      </c>
      <c r="K4574">
        <v>114</v>
      </c>
      <c r="L4574" t="str">
        <f>IF(AND(CallLog[[#This Row],[Answered (Y/N)]]="Y", CallLog[[#This Row],[Speed of answer in seconds]]&lt;=20),
    "Within",
    "Breach")</f>
        <v>Breach</v>
      </c>
      <c r="M4574" s="1">
        <v>2.8703703703703703E-3</v>
      </c>
      <c r="N4574">
        <v>3</v>
      </c>
    </row>
    <row r="4575" spans="1:14" x14ac:dyDescent="0.3">
      <c r="A4575" t="s">
        <v>4679</v>
      </c>
      <c r="B4575" t="s">
        <v>22</v>
      </c>
      <c r="C4575" t="s">
        <v>4644</v>
      </c>
      <c r="D4575" s="1">
        <v>0.64299768518518519</v>
      </c>
      <c r="E4575" s="2">
        <f>CallLog[[#This Row],[Date]]+CallLog[[#This Row],[Time]]</f>
        <v>44277.642997685187</v>
      </c>
      <c r="F4575" s="1" t="str">
        <f>TEXT(CallLog[[#This Row],[Date]],"dddd")</f>
        <v>Monday</v>
      </c>
      <c r="G4575" s="3">
        <f>HOUR(CallLog[[#This Row],[Time]])</f>
        <v>15</v>
      </c>
      <c r="H4575" t="s">
        <v>17</v>
      </c>
      <c r="I4575" t="s">
        <v>14</v>
      </c>
      <c r="J4575" t="s">
        <v>14</v>
      </c>
      <c r="K4575">
        <v>32</v>
      </c>
      <c r="L4575" t="str">
        <f>IF(AND(CallLog[[#This Row],[Answered (Y/N)]]="Y", CallLog[[#This Row],[Speed of answer in seconds]]&lt;=20),
    "Within",
    "Breach")</f>
        <v>Breach</v>
      </c>
      <c r="M4575" s="1">
        <v>3.472222222222222E-3</v>
      </c>
      <c r="N4575">
        <v>4</v>
      </c>
    </row>
    <row r="4576" spans="1:14" x14ac:dyDescent="0.3">
      <c r="A4576" t="s">
        <v>4680</v>
      </c>
      <c r="B4576" t="s">
        <v>38</v>
      </c>
      <c r="C4576" t="s">
        <v>4644</v>
      </c>
      <c r="D4576" s="1">
        <v>0.65400462962962957</v>
      </c>
      <c r="E4576" s="2">
        <f>CallLog[[#This Row],[Date]]+CallLog[[#This Row],[Time]]</f>
        <v>44277.654004629629</v>
      </c>
      <c r="F4576" s="1" t="str">
        <f>TEXT(CallLog[[#This Row],[Date]],"dddd")</f>
        <v>Monday</v>
      </c>
      <c r="G4576" s="3">
        <f>HOUR(CallLog[[#This Row],[Time]])</f>
        <v>15</v>
      </c>
      <c r="H4576" t="s">
        <v>13</v>
      </c>
      <c r="I4576" t="s">
        <v>14</v>
      </c>
      <c r="J4576" t="s">
        <v>14</v>
      </c>
      <c r="K4576">
        <v>75</v>
      </c>
      <c r="L4576" t="str">
        <f>IF(AND(CallLog[[#This Row],[Answered (Y/N)]]="Y", CallLog[[#This Row],[Speed of answer in seconds]]&lt;=20),
    "Within",
    "Breach")</f>
        <v>Breach</v>
      </c>
      <c r="M4576" s="1">
        <v>1.2152777777777778E-3</v>
      </c>
      <c r="N4576">
        <v>4</v>
      </c>
    </row>
    <row r="4577" spans="1:14" x14ac:dyDescent="0.3">
      <c r="A4577" t="s">
        <v>4681</v>
      </c>
      <c r="B4577" t="s">
        <v>47</v>
      </c>
      <c r="C4577" t="s">
        <v>4644</v>
      </c>
      <c r="D4577" s="1">
        <v>0.65400462962962957</v>
      </c>
      <c r="E4577" s="2">
        <f>CallLog[[#This Row],[Date]]+CallLog[[#This Row],[Time]]</f>
        <v>44277.654004629629</v>
      </c>
      <c r="F4577" s="1" t="str">
        <f>TEXT(CallLog[[#This Row],[Date]],"dddd")</f>
        <v>Monday</v>
      </c>
      <c r="G4577" s="3">
        <f>HOUR(CallLog[[#This Row],[Time]])</f>
        <v>15</v>
      </c>
      <c r="H4577" t="s">
        <v>13</v>
      </c>
      <c r="I4577" t="s">
        <v>14</v>
      </c>
      <c r="J4577" t="s">
        <v>18</v>
      </c>
      <c r="K4577">
        <v>109</v>
      </c>
      <c r="L4577" t="str">
        <f>IF(AND(CallLog[[#This Row],[Answered (Y/N)]]="Y", CallLog[[#This Row],[Speed of answer in seconds]]&lt;=20),
    "Within",
    "Breach")</f>
        <v>Breach</v>
      </c>
      <c r="M4577" s="1">
        <v>4.2361111111111115E-3</v>
      </c>
      <c r="N4577">
        <v>2</v>
      </c>
    </row>
    <row r="4578" spans="1:14" x14ac:dyDescent="0.3">
      <c r="A4578" t="s">
        <v>4682</v>
      </c>
      <c r="B4578" t="s">
        <v>38</v>
      </c>
      <c r="C4578" t="s">
        <v>4644</v>
      </c>
      <c r="D4578" s="1">
        <v>0.66900462962962959</v>
      </c>
      <c r="E4578" s="2">
        <f>CallLog[[#This Row],[Date]]+CallLog[[#This Row],[Time]]</f>
        <v>44277.669004629628</v>
      </c>
      <c r="F4578" s="1" t="str">
        <f>TEXT(CallLog[[#This Row],[Date]],"dddd")</f>
        <v>Monday</v>
      </c>
      <c r="G4578" s="3">
        <f>HOUR(CallLog[[#This Row],[Time]])</f>
        <v>16</v>
      </c>
      <c r="H4578" t="s">
        <v>32</v>
      </c>
      <c r="I4578" t="s">
        <v>14</v>
      </c>
      <c r="J4578" t="s">
        <v>14</v>
      </c>
      <c r="K4578">
        <v>116</v>
      </c>
      <c r="L4578" t="str">
        <f>IF(AND(CallLog[[#This Row],[Answered (Y/N)]]="Y", CallLog[[#This Row],[Speed of answer in seconds]]&lt;=20),
    "Within",
    "Breach")</f>
        <v>Breach</v>
      </c>
      <c r="M4578" s="1">
        <v>1.8749999999999999E-3</v>
      </c>
      <c r="N4578">
        <v>3</v>
      </c>
    </row>
    <row r="4579" spans="1:14" x14ac:dyDescent="0.3">
      <c r="A4579" t="s">
        <v>4683</v>
      </c>
      <c r="B4579" t="s">
        <v>47</v>
      </c>
      <c r="C4579" t="s">
        <v>4644</v>
      </c>
      <c r="D4579" s="1">
        <v>0.66900462962962959</v>
      </c>
      <c r="E4579" s="2">
        <f>CallLog[[#This Row],[Date]]+CallLog[[#This Row],[Time]]</f>
        <v>44277.669004629628</v>
      </c>
      <c r="F4579" s="1" t="str">
        <f>TEXT(CallLog[[#This Row],[Date]],"dddd")</f>
        <v>Monday</v>
      </c>
      <c r="G4579" s="3">
        <f>HOUR(CallLog[[#This Row],[Time]])</f>
        <v>16</v>
      </c>
      <c r="H4579" t="s">
        <v>17</v>
      </c>
      <c r="I4579" t="s">
        <v>14</v>
      </c>
      <c r="J4579" t="s">
        <v>14</v>
      </c>
      <c r="K4579">
        <v>26</v>
      </c>
      <c r="L4579" t="str">
        <f>IF(AND(CallLog[[#This Row],[Answered (Y/N)]]="Y", CallLog[[#This Row],[Speed of answer in seconds]]&lt;=20),
    "Within",
    "Breach")</f>
        <v>Breach</v>
      </c>
      <c r="M4579" s="1">
        <v>1.7476851851851852E-3</v>
      </c>
      <c r="N4579">
        <v>3</v>
      </c>
    </row>
    <row r="4580" spans="1:14" x14ac:dyDescent="0.3">
      <c r="A4580" t="s">
        <v>4684</v>
      </c>
      <c r="B4580" t="s">
        <v>34</v>
      </c>
      <c r="C4580" t="s">
        <v>4644</v>
      </c>
      <c r="D4580" s="1">
        <v>0.67099537037037038</v>
      </c>
      <c r="E4580" s="2">
        <f>CallLog[[#This Row],[Date]]+CallLog[[#This Row],[Time]]</f>
        <v>44277.670995370368</v>
      </c>
      <c r="F4580" s="1" t="str">
        <f>TEXT(CallLog[[#This Row],[Date]],"dddd")</f>
        <v>Monday</v>
      </c>
      <c r="G4580" s="3">
        <f>HOUR(CallLog[[#This Row],[Time]])</f>
        <v>16</v>
      </c>
      <c r="H4580" t="s">
        <v>29</v>
      </c>
      <c r="I4580" t="s">
        <v>14</v>
      </c>
      <c r="J4580" t="s">
        <v>14</v>
      </c>
      <c r="K4580">
        <v>67</v>
      </c>
      <c r="L4580" t="str">
        <f>IF(AND(CallLog[[#This Row],[Answered (Y/N)]]="Y", CallLog[[#This Row],[Speed of answer in seconds]]&lt;=20),
    "Within",
    "Breach")</f>
        <v>Breach</v>
      </c>
      <c r="M4580" s="1">
        <v>4.2013888888888891E-3</v>
      </c>
      <c r="N4580">
        <v>4</v>
      </c>
    </row>
    <row r="4581" spans="1:14" x14ac:dyDescent="0.3">
      <c r="A4581" t="s">
        <v>4685</v>
      </c>
      <c r="B4581" t="s">
        <v>20</v>
      </c>
      <c r="C4581" t="s">
        <v>4644</v>
      </c>
      <c r="D4581" s="1">
        <v>0.67099537037037038</v>
      </c>
      <c r="E4581" s="2">
        <f>CallLog[[#This Row],[Date]]+CallLog[[#This Row],[Time]]</f>
        <v>44277.670995370368</v>
      </c>
      <c r="F4581" s="1" t="str">
        <f>TEXT(CallLog[[#This Row],[Date]],"dddd")</f>
        <v>Monday</v>
      </c>
      <c r="G4581" s="3">
        <f>HOUR(CallLog[[#This Row],[Time]])</f>
        <v>16</v>
      </c>
      <c r="H4581" t="s">
        <v>29</v>
      </c>
      <c r="I4581" t="s">
        <v>14</v>
      </c>
      <c r="J4581" t="s">
        <v>18</v>
      </c>
      <c r="K4581">
        <v>58</v>
      </c>
      <c r="L4581" t="str">
        <f>IF(AND(CallLog[[#This Row],[Answered (Y/N)]]="Y", CallLog[[#This Row],[Speed of answer in seconds]]&lt;=20),
    "Within",
    "Breach")</f>
        <v>Breach</v>
      </c>
      <c r="M4581" s="1">
        <v>2.5115740740740741E-3</v>
      </c>
      <c r="N4581">
        <v>4</v>
      </c>
    </row>
    <row r="4582" spans="1:14" x14ac:dyDescent="0.3">
      <c r="A4582" t="s">
        <v>4686</v>
      </c>
      <c r="B4582" t="s">
        <v>20</v>
      </c>
      <c r="C4582" t="s">
        <v>4644</v>
      </c>
      <c r="D4582" s="1">
        <v>0.6840046296296296</v>
      </c>
      <c r="E4582" s="2">
        <f>CallLog[[#This Row],[Date]]+CallLog[[#This Row],[Time]]</f>
        <v>44277.684004629627</v>
      </c>
      <c r="F4582" s="1" t="str">
        <f>TEXT(CallLog[[#This Row],[Date]],"dddd")</f>
        <v>Monday</v>
      </c>
      <c r="G4582" s="3">
        <f>HOUR(CallLog[[#This Row],[Time]])</f>
        <v>16</v>
      </c>
      <c r="H4582" t="s">
        <v>32</v>
      </c>
      <c r="I4582" t="s">
        <v>14</v>
      </c>
      <c r="J4582" t="s">
        <v>14</v>
      </c>
      <c r="K4582">
        <v>20</v>
      </c>
      <c r="L4582" t="str">
        <f>IF(AND(CallLog[[#This Row],[Answered (Y/N)]]="Y", CallLog[[#This Row],[Speed of answer in seconds]]&lt;=20),
    "Within",
    "Breach")</f>
        <v>Within</v>
      </c>
      <c r="M4582" s="1">
        <v>4.5717592592592589E-3</v>
      </c>
      <c r="N4582">
        <v>2</v>
      </c>
    </row>
    <row r="4583" spans="1:14" x14ac:dyDescent="0.3">
      <c r="A4583" t="s">
        <v>4687</v>
      </c>
      <c r="B4583" t="s">
        <v>31</v>
      </c>
      <c r="C4583" t="s">
        <v>4644</v>
      </c>
      <c r="D4583" s="1">
        <v>0.6840046296296296</v>
      </c>
      <c r="E4583" s="2">
        <f>CallLog[[#This Row],[Date]]+CallLog[[#This Row],[Time]]</f>
        <v>44277.684004629627</v>
      </c>
      <c r="F4583" s="1" t="str">
        <f>TEXT(CallLog[[#This Row],[Date]],"dddd")</f>
        <v>Monday</v>
      </c>
      <c r="G4583" s="3">
        <f>HOUR(CallLog[[#This Row],[Time]])</f>
        <v>16</v>
      </c>
      <c r="H4583" t="s">
        <v>17</v>
      </c>
      <c r="I4583" t="s">
        <v>14</v>
      </c>
      <c r="J4583" t="s">
        <v>14</v>
      </c>
      <c r="K4583">
        <v>115</v>
      </c>
      <c r="L4583" t="str">
        <f>IF(AND(CallLog[[#This Row],[Answered (Y/N)]]="Y", CallLog[[#This Row],[Speed of answer in seconds]]&lt;=20),
    "Within",
    "Breach")</f>
        <v>Breach</v>
      </c>
      <c r="M4583" s="1">
        <v>3.3449074074074076E-3</v>
      </c>
      <c r="N4583">
        <v>1</v>
      </c>
    </row>
    <row r="4584" spans="1:14" x14ac:dyDescent="0.3">
      <c r="A4584" t="s">
        <v>4688</v>
      </c>
      <c r="B4584" t="s">
        <v>20</v>
      </c>
      <c r="C4584" t="s">
        <v>4644</v>
      </c>
      <c r="D4584" s="1">
        <v>0.68700231481481477</v>
      </c>
      <c r="E4584" s="2">
        <f>CallLog[[#This Row],[Date]]+CallLog[[#This Row],[Time]]</f>
        <v>44277.687002314815</v>
      </c>
      <c r="F4584" s="1" t="str">
        <f>TEXT(CallLog[[#This Row],[Date]],"dddd")</f>
        <v>Monday</v>
      </c>
      <c r="G4584" s="3">
        <f>HOUR(CallLog[[#This Row],[Time]])</f>
        <v>16</v>
      </c>
      <c r="H4584" t="s">
        <v>29</v>
      </c>
      <c r="I4584" t="s">
        <v>14</v>
      </c>
      <c r="J4584" t="s">
        <v>18</v>
      </c>
      <c r="K4584">
        <v>35</v>
      </c>
      <c r="L4584" t="str">
        <f>IF(AND(CallLog[[#This Row],[Answered (Y/N)]]="Y", CallLog[[#This Row],[Speed of answer in seconds]]&lt;=20),
    "Within",
    "Breach")</f>
        <v>Breach</v>
      </c>
      <c r="M4584" s="1">
        <v>2.6041666666666665E-3</v>
      </c>
      <c r="N4584">
        <v>4</v>
      </c>
    </row>
    <row r="4585" spans="1:14" x14ac:dyDescent="0.3">
      <c r="A4585" t="s">
        <v>4689</v>
      </c>
      <c r="B4585" t="s">
        <v>16</v>
      </c>
      <c r="C4585" t="s">
        <v>4644</v>
      </c>
      <c r="D4585" s="1">
        <v>0.68700231481481477</v>
      </c>
      <c r="E4585" s="2">
        <f>CallLog[[#This Row],[Date]]+CallLog[[#This Row],[Time]]</f>
        <v>44277.687002314815</v>
      </c>
      <c r="F4585" s="1" t="str">
        <f>TEXT(CallLog[[#This Row],[Date]],"dddd")</f>
        <v>Monday</v>
      </c>
      <c r="G4585" s="3">
        <f>HOUR(CallLog[[#This Row],[Time]])</f>
        <v>16</v>
      </c>
      <c r="H4585" t="s">
        <v>17</v>
      </c>
      <c r="I4585" t="s">
        <v>14</v>
      </c>
      <c r="J4585" t="s">
        <v>14</v>
      </c>
      <c r="K4585">
        <v>36</v>
      </c>
      <c r="L4585" t="str">
        <f>IF(AND(CallLog[[#This Row],[Answered (Y/N)]]="Y", CallLog[[#This Row],[Speed of answer in seconds]]&lt;=20),
    "Within",
    "Breach")</f>
        <v>Breach</v>
      </c>
      <c r="M4585" s="1">
        <v>1.5162037037037036E-3</v>
      </c>
      <c r="N4585">
        <v>4</v>
      </c>
    </row>
    <row r="4586" spans="1:14" x14ac:dyDescent="0.3">
      <c r="A4586" t="s">
        <v>4690</v>
      </c>
      <c r="B4586" t="s">
        <v>22</v>
      </c>
      <c r="C4586" t="s">
        <v>4644</v>
      </c>
      <c r="D4586" s="1">
        <v>0.70099537037037041</v>
      </c>
      <c r="E4586" s="2">
        <f>CallLog[[#This Row],[Date]]+CallLog[[#This Row],[Time]]</f>
        <v>44277.700995370367</v>
      </c>
      <c r="F4586" s="1" t="str">
        <f>TEXT(CallLog[[#This Row],[Date]],"dddd")</f>
        <v>Monday</v>
      </c>
      <c r="G4586" s="3">
        <f>HOUR(CallLog[[#This Row],[Time]])</f>
        <v>16</v>
      </c>
      <c r="H4586" t="s">
        <v>13</v>
      </c>
      <c r="I4586" t="s">
        <v>18</v>
      </c>
      <c r="J4586" t="s">
        <v>18</v>
      </c>
      <c r="L4586" t="str">
        <f>IF(AND(CallLog[[#This Row],[Answered (Y/N)]]="Y", CallLog[[#This Row],[Speed of answer in seconds]]&lt;=20),
    "Within",
    "Breach")</f>
        <v>Breach</v>
      </c>
    </row>
    <row r="4587" spans="1:14" x14ac:dyDescent="0.3">
      <c r="A4587" t="s">
        <v>4691</v>
      </c>
      <c r="B4587" t="s">
        <v>22</v>
      </c>
      <c r="C4587" t="s">
        <v>4644</v>
      </c>
      <c r="D4587" s="1">
        <v>0.70099537037037041</v>
      </c>
      <c r="E4587" s="2">
        <f>CallLog[[#This Row],[Date]]+CallLog[[#This Row],[Time]]</f>
        <v>44277.700995370367</v>
      </c>
      <c r="F4587" s="1" t="str">
        <f>TEXT(CallLog[[#This Row],[Date]],"dddd")</f>
        <v>Monday</v>
      </c>
      <c r="G4587" s="3">
        <f>HOUR(CallLog[[#This Row],[Time]])</f>
        <v>16</v>
      </c>
      <c r="H4587" t="s">
        <v>24</v>
      </c>
      <c r="I4587" t="s">
        <v>14</v>
      </c>
      <c r="J4587" t="s">
        <v>14</v>
      </c>
      <c r="K4587">
        <v>62</v>
      </c>
      <c r="L4587" t="str">
        <f>IF(AND(CallLog[[#This Row],[Answered (Y/N)]]="Y", CallLog[[#This Row],[Speed of answer in seconds]]&lt;=20),
    "Within",
    "Breach")</f>
        <v>Breach</v>
      </c>
      <c r="M4587" s="1">
        <v>8.9120370370370373E-4</v>
      </c>
      <c r="N4587">
        <v>1</v>
      </c>
    </row>
    <row r="4588" spans="1:14" x14ac:dyDescent="0.3">
      <c r="A4588" t="s">
        <v>4692</v>
      </c>
      <c r="B4588" t="s">
        <v>47</v>
      </c>
      <c r="C4588" t="s">
        <v>4644</v>
      </c>
      <c r="D4588" s="1">
        <v>0.73599537037037033</v>
      </c>
      <c r="E4588" s="2">
        <f>CallLog[[#This Row],[Date]]+CallLog[[#This Row],[Time]]</f>
        <v>44277.735995370371</v>
      </c>
      <c r="F4588" s="1" t="str">
        <f>TEXT(CallLog[[#This Row],[Date]],"dddd")</f>
        <v>Monday</v>
      </c>
      <c r="G4588" s="3">
        <f>HOUR(CallLog[[#This Row],[Time]])</f>
        <v>17</v>
      </c>
      <c r="H4588" t="s">
        <v>29</v>
      </c>
      <c r="I4588" t="s">
        <v>14</v>
      </c>
      <c r="J4588" t="s">
        <v>14</v>
      </c>
      <c r="K4588">
        <v>37</v>
      </c>
      <c r="L4588" t="str">
        <f>IF(AND(CallLog[[#This Row],[Answered (Y/N)]]="Y", CallLog[[#This Row],[Speed of answer in seconds]]&lt;=20),
    "Within",
    "Breach")</f>
        <v>Breach</v>
      </c>
      <c r="M4588" s="1">
        <v>3.0092592592592593E-3</v>
      </c>
      <c r="N4588">
        <v>3</v>
      </c>
    </row>
    <row r="4589" spans="1:14" x14ac:dyDescent="0.3">
      <c r="A4589" t="s">
        <v>4693</v>
      </c>
      <c r="B4589" t="s">
        <v>47</v>
      </c>
      <c r="C4589" t="s">
        <v>4644</v>
      </c>
      <c r="D4589" s="1">
        <v>0.73599537037037033</v>
      </c>
      <c r="E4589" s="2">
        <f>CallLog[[#This Row],[Date]]+CallLog[[#This Row],[Time]]</f>
        <v>44277.735995370371</v>
      </c>
      <c r="F4589" s="1" t="str">
        <f>TEXT(CallLog[[#This Row],[Date]],"dddd")</f>
        <v>Monday</v>
      </c>
      <c r="G4589" s="3">
        <f>HOUR(CallLog[[#This Row],[Time]])</f>
        <v>17</v>
      </c>
      <c r="H4589" t="s">
        <v>24</v>
      </c>
      <c r="I4589" t="s">
        <v>18</v>
      </c>
      <c r="J4589" t="s">
        <v>18</v>
      </c>
      <c r="L4589" t="str">
        <f>IF(AND(CallLog[[#This Row],[Answered (Y/N)]]="Y", CallLog[[#This Row],[Speed of answer in seconds]]&lt;=20),
    "Within",
    "Breach")</f>
        <v>Breach</v>
      </c>
    </row>
    <row r="4590" spans="1:14" x14ac:dyDescent="0.3">
      <c r="A4590" t="s">
        <v>4694</v>
      </c>
      <c r="B4590" t="s">
        <v>38</v>
      </c>
      <c r="C4590" t="s">
        <v>4644</v>
      </c>
      <c r="D4590" s="1">
        <v>0.74200231481481482</v>
      </c>
      <c r="E4590" s="2">
        <f>CallLog[[#This Row],[Date]]+CallLog[[#This Row],[Time]]</f>
        <v>44277.742002314815</v>
      </c>
      <c r="F4590" s="1" t="str">
        <f>TEXT(CallLog[[#This Row],[Date]],"dddd")</f>
        <v>Monday</v>
      </c>
      <c r="G4590" s="3">
        <f>HOUR(CallLog[[#This Row],[Time]])</f>
        <v>17</v>
      </c>
      <c r="H4590" t="s">
        <v>17</v>
      </c>
      <c r="I4590" t="s">
        <v>14</v>
      </c>
      <c r="J4590" t="s">
        <v>14</v>
      </c>
      <c r="K4590">
        <v>124</v>
      </c>
      <c r="L4590" t="str">
        <f>IF(AND(CallLog[[#This Row],[Answered (Y/N)]]="Y", CallLog[[#This Row],[Speed of answer in seconds]]&lt;=20),
    "Within",
    "Breach")</f>
        <v>Breach</v>
      </c>
      <c r="M4590" s="1">
        <v>4.386574074074074E-3</v>
      </c>
      <c r="N4590">
        <v>1</v>
      </c>
    </row>
    <row r="4591" spans="1:14" x14ac:dyDescent="0.3">
      <c r="A4591" t="s">
        <v>4695</v>
      </c>
      <c r="B4591" t="s">
        <v>34</v>
      </c>
      <c r="C4591" t="s">
        <v>4644</v>
      </c>
      <c r="D4591" s="1">
        <v>0.74200231481481482</v>
      </c>
      <c r="E4591" s="2">
        <f>CallLog[[#This Row],[Date]]+CallLog[[#This Row],[Time]]</f>
        <v>44277.742002314815</v>
      </c>
      <c r="F4591" s="1" t="str">
        <f>TEXT(CallLog[[#This Row],[Date]],"dddd")</f>
        <v>Monday</v>
      </c>
      <c r="G4591" s="3">
        <f>HOUR(CallLog[[#This Row],[Time]])</f>
        <v>17</v>
      </c>
      <c r="H4591" t="s">
        <v>29</v>
      </c>
      <c r="I4591" t="s">
        <v>14</v>
      </c>
      <c r="J4591" t="s">
        <v>14</v>
      </c>
      <c r="K4591">
        <v>58</v>
      </c>
      <c r="L4591" t="str">
        <f>IF(AND(CallLog[[#This Row],[Answered (Y/N)]]="Y", CallLog[[#This Row],[Speed of answer in seconds]]&lt;=20),
    "Within",
    "Breach")</f>
        <v>Breach</v>
      </c>
      <c r="M4591" s="1">
        <v>4.340277777777778E-3</v>
      </c>
      <c r="N4591">
        <v>5</v>
      </c>
    </row>
    <row r="4592" spans="1:14" x14ac:dyDescent="0.3">
      <c r="A4592" t="s">
        <v>4696</v>
      </c>
      <c r="B4592" t="s">
        <v>16</v>
      </c>
      <c r="C4592" t="s">
        <v>4644</v>
      </c>
      <c r="D4592" s="1">
        <v>0.74900462962962966</v>
      </c>
      <c r="E4592" s="2">
        <f>CallLog[[#This Row],[Date]]+CallLog[[#This Row],[Time]]</f>
        <v>44277.74900462963</v>
      </c>
      <c r="F4592" s="1" t="str">
        <f>TEXT(CallLog[[#This Row],[Date]],"dddd")</f>
        <v>Monday</v>
      </c>
      <c r="G4592" s="3">
        <f>HOUR(CallLog[[#This Row],[Time]])</f>
        <v>17</v>
      </c>
      <c r="H4592" t="s">
        <v>29</v>
      </c>
      <c r="I4592" t="s">
        <v>14</v>
      </c>
      <c r="J4592" t="s">
        <v>14</v>
      </c>
      <c r="K4592">
        <v>77</v>
      </c>
      <c r="L4592" t="str">
        <f>IF(AND(CallLog[[#This Row],[Answered (Y/N)]]="Y", CallLog[[#This Row],[Speed of answer in seconds]]&lt;=20),
    "Within",
    "Breach")</f>
        <v>Breach</v>
      </c>
      <c r="M4592" s="1">
        <v>1.5162037037037036E-3</v>
      </c>
      <c r="N4592">
        <v>5</v>
      </c>
    </row>
    <row r="4593" spans="1:14" x14ac:dyDescent="0.3">
      <c r="A4593" t="s">
        <v>4697</v>
      </c>
      <c r="B4593" t="s">
        <v>31</v>
      </c>
      <c r="C4593" t="s">
        <v>4644</v>
      </c>
      <c r="D4593" s="1">
        <v>0.74900462962962966</v>
      </c>
      <c r="E4593" s="2">
        <f>CallLog[[#This Row],[Date]]+CallLog[[#This Row],[Time]]</f>
        <v>44277.74900462963</v>
      </c>
      <c r="F4593" s="1" t="str">
        <f>TEXT(CallLog[[#This Row],[Date]],"dddd")</f>
        <v>Monday</v>
      </c>
      <c r="G4593" s="3">
        <f>HOUR(CallLog[[#This Row],[Time]])</f>
        <v>17</v>
      </c>
      <c r="H4593" t="s">
        <v>17</v>
      </c>
      <c r="I4593" t="s">
        <v>14</v>
      </c>
      <c r="J4593" t="s">
        <v>14</v>
      </c>
      <c r="K4593">
        <v>80</v>
      </c>
      <c r="L4593" t="str">
        <f>IF(AND(CallLog[[#This Row],[Answered (Y/N)]]="Y", CallLog[[#This Row],[Speed of answer in seconds]]&lt;=20),
    "Within",
    "Breach")</f>
        <v>Breach</v>
      </c>
      <c r="M4593" s="1">
        <v>7.8703703703703705E-4</v>
      </c>
      <c r="N4593">
        <v>4</v>
      </c>
    </row>
    <row r="4594" spans="1:14" x14ac:dyDescent="0.3">
      <c r="A4594" t="s">
        <v>4698</v>
      </c>
      <c r="B4594" t="s">
        <v>38</v>
      </c>
      <c r="C4594" t="s">
        <v>4699</v>
      </c>
      <c r="D4594" s="1">
        <v>0.38799768518518518</v>
      </c>
      <c r="E4594" s="2">
        <f>CallLog[[#This Row],[Date]]+CallLog[[#This Row],[Time]]</f>
        <v>44278.387997685182</v>
      </c>
      <c r="F4594" s="1" t="str">
        <f>TEXT(CallLog[[#This Row],[Date]],"dddd")</f>
        <v>Tuesday</v>
      </c>
      <c r="G4594" s="3">
        <f>HOUR(CallLog[[#This Row],[Time]])</f>
        <v>9</v>
      </c>
      <c r="H4594" t="s">
        <v>24</v>
      </c>
      <c r="I4594" t="s">
        <v>14</v>
      </c>
      <c r="J4594" t="s">
        <v>14</v>
      </c>
      <c r="K4594">
        <v>51</v>
      </c>
      <c r="L4594" t="str">
        <f>IF(AND(CallLog[[#This Row],[Answered (Y/N)]]="Y", CallLog[[#This Row],[Speed of answer in seconds]]&lt;=20),
    "Within",
    "Breach")</f>
        <v>Breach</v>
      </c>
      <c r="M4594" s="1">
        <v>1.6782407407407408E-3</v>
      </c>
      <c r="N4594">
        <v>5</v>
      </c>
    </row>
    <row r="4595" spans="1:14" x14ac:dyDescent="0.3">
      <c r="A4595" t="s">
        <v>4700</v>
      </c>
      <c r="B4595" t="s">
        <v>38</v>
      </c>
      <c r="C4595" t="s">
        <v>4699</v>
      </c>
      <c r="D4595" s="1">
        <v>0.38799768518518518</v>
      </c>
      <c r="E4595" s="2">
        <f>CallLog[[#This Row],[Date]]+CallLog[[#This Row],[Time]]</f>
        <v>44278.387997685182</v>
      </c>
      <c r="F4595" s="1" t="str">
        <f>TEXT(CallLog[[#This Row],[Date]],"dddd")</f>
        <v>Tuesday</v>
      </c>
      <c r="G4595" s="3">
        <f>HOUR(CallLog[[#This Row],[Time]])</f>
        <v>9</v>
      </c>
      <c r="H4595" t="s">
        <v>32</v>
      </c>
      <c r="I4595" t="s">
        <v>14</v>
      </c>
      <c r="J4595" t="s">
        <v>14</v>
      </c>
      <c r="K4595">
        <v>110</v>
      </c>
      <c r="L4595" t="str">
        <f>IF(AND(CallLog[[#This Row],[Answered (Y/N)]]="Y", CallLog[[#This Row],[Speed of answer in seconds]]&lt;=20),
    "Within",
    "Breach")</f>
        <v>Breach</v>
      </c>
      <c r="M4595" s="1">
        <v>2.9976851851851853E-3</v>
      </c>
      <c r="N4595">
        <v>3</v>
      </c>
    </row>
    <row r="4596" spans="1:14" x14ac:dyDescent="0.3">
      <c r="A4596" t="s">
        <v>4701</v>
      </c>
      <c r="B4596" t="s">
        <v>16</v>
      </c>
      <c r="C4596" t="s">
        <v>4699</v>
      </c>
      <c r="D4596" s="1">
        <v>0.4079976851851852</v>
      </c>
      <c r="E4596" s="2">
        <f>CallLog[[#This Row],[Date]]+CallLog[[#This Row],[Time]]</f>
        <v>44278.407997685186</v>
      </c>
      <c r="F4596" s="1" t="str">
        <f>TEXT(CallLog[[#This Row],[Date]],"dddd")</f>
        <v>Tuesday</v>
      </c>
      <c r="G4596" s="3">
        <f>HOUR(CallLog[[#This Row],[Time]])</f>
        <v>9</v>
      </c>
      <c r="H4596" t="s">
        <v>29</v>
      </c>
      <c r="I4596" t="s">
        <v>14</v>
      </c>
      <c r="J4596" t="s">
        <v>14</v>
      </c>
      <c r="K4596">
        <v>112</v>
      </c>
      <c r="L4596" t="str">
        <f>IF(AND(CallLog[[#This Row],[Answered (Y/N)]]="Y", CallLog[[#This Row],[Speed of answer in seconds]]&lt;=20),
    "Within",
    "Breach")</f>
        <v>Breach</v>
      </c>
      <c r="M4596" s="1">
        <v>3.2407407407407406E-3</v>
      </c>
      <c r="N4596">
        <v>4</v>
      </c>
    </row>
    <row r="4597" spans="1:14" x14ac:dyDescent="0.3">
      <c r="A4597" t="s">
        <v>4702</v>
      </c>
      <c r="B4597" t="s">
        <v>47</v>
      </c>
      <c r="C4597" t="s">
        <v>4699</v>
      </c>
      <c r="D4597" s="1">
        <v>0.4079976851851852</v>
      </c>
      <c r="E4597" s="2">
        <f>CallLog[[#This Row],[Date]]+CallLog[[#This Row],[Time]]</f>
        <v>44278.407997685186</v>
      </c>
      <c r="F4597" s="1" t="str">
        <f>TEXT(CallLog[[#This Row],[Date]],"dddd")</f>
        <v>Tuesday</v>
      </c>
      <c r="G4597" s="3">
        <f>HOUR(CallLog[[#This Row],[Time]])</f>
        <v>9</v>
      </c>
      <c r="H4597" t="s">
        <v>17</v>
      </c>
      <c r="I4597" t="s">
        <v>14</v>
      </c>
      <c r="J4597" t="s">
        <v>14</v>
      </c>
      <c r="K4597">
        <v>27</v>
      </c>
      <c r="L4597" t="str">
        <f>IF(AND(CallLog[[#This Row],[Answered (Y/N)]]="Y", CallLog[[#This Row],[Speed of answer in seconds]]&lt;=20),
    "Within",
    "Breach")</f>
        <v>Breach</v>
      </c>
      <c r="M4597" s="1">
        <v>4.861111111111111E-4</v>
      </c>
      <c r="N4597">
        <v>5</v>
      </c>
    </row>
    <row r="4598" spans="1:14" x14ac:dyDescent="0.3">
      <c r="A4598" t="s">
        <v>4703</v>
      </c>
      <c r="B4598" t="s">
        <v>47</v>
      </c>
      <c r="C4598" t="s">
        <v>4699</v>
      </c>
      <c r="D4598" s="1">
        <v>0.47400462962962964</v>
      </c>
      <c r="E4598" s="2">
        <f>CallLog[[#This Row],[Date]]+CallLog[[#This Row],[Time]]</f>
        <v>44278.474004629628</v>
      </c>
      <c r="F4598" s="1" t="str">
        <f>TEXT(CallLog[[#This Row],[Date]],"dddd")</f>
        <v>Tuesday</v>
      </c>
      <c r="G4598" s="3">
        <f>HOUR(CallLog[[#This Row],[Time]])</f>
        <v>11</v>
      </c>
      <c r="H4598" t="s">
        <v>17</v>
      </c>
      <c r="I4598" t="s">
        <v>14</v>
      </c>
      <c r="J4598" t="s">
        <v>14</v>
      </c>
      <c r="K4598">
        <v>53</v>
      </c>
      <c r="L4598" t="str">
        <f>IF(AND(CallLog[[#This Row],[Answered (Y/N)]]="Y", CallLog[[#This Row],[Speed of answer in seconds]]&lt;=20),
    "Within",
    "Breach")</f>
        <v>Breach</v>
      </c>
      <c r="M4598" s="1">
        <v>4.0509259259259258E-4</v>
      </c>
      <c r="N4598">
        <v>1</v>
      </c>
    </row>
    <row r="4599" spans="1:14" x14ac:dyDescent="0.3">
      <c r="A4599" t="s">
        <v>4704</v>
      </c>
      <c r="B4599" t="s">
        <v>34</v>
      </c>
      <c r="C4599" t="s">
        <v>4699</v>
      </c>
      <c r="D4599" s="1">
        <v>0.47400462962962964</v>
      </c>
      <c r="E4599" s="2">
        <f>CallLog[[#This Row],[Date]]+CallLog[[#This Row],[Time]]</f>
        <v>44278.474004629628</v>
      </c>
      <c r="F4599" s="1" t="str">
        <f>TEXT(CallLog[[#This Row],[Date]],"dddd")</f>
        <v>Tuesday</v>
      </c>
      <c r="G4599" s="3">
        <f>HOUR(CallLog[[#This Row],[Time]])</f>
        <v>11</v>
      </c>
      <c r="H4599" t="s">
        <v>17</v>
      </c>
      <c r="I4599" t="s">
        <v>14</v>
      </c>
      <c r="J4599" t="s">
        <v>14</v>
      </c>
      <c r="K4599">
        <v>125</v>
      </c>
      <c r="L4599" t="str">
        <f>IF(AND(CallLog[[#This Row],[Answered (Y/N)]]="Y", CallLog[[#This Row],[Speed of answer in seconds]]&lt;=20),
    "Within",
    "Breach")</f>
        <v>Breach</v>
      </c>
      <c r="M4599" s="1">
        <v>2.685185185185185E-3</v>
      </c>
      <c r="N4599">
        <v>3</v>
      </c>
    </row>
    <row r="4600" spans="1:14" x14ac:dyDescent="0.3">
      <c r="A4600" t="s">
        <v>4705</v>
      </c>
      <c r="B4600" t="s">
        <v>34</v>
      </c>
      <c r="C4600" t="s">
        <v>4699</v>
      </c>
      <c r="D4600" s="1">
        <v>0.49</v>
      </c>
      <c r="E4600" s="2">
        <f>CallLog[[#This Row],[Date]]+CallLog[[#This Row],[Time]]</f>
        <v>44278.49</v>
      </c>
      <c r="F4600" s="1" t="str">
        <f>TEXT(CallLog[[#This Row],[Date]],"dddd")</f>
        <v>Tuesday</v>
      </c>
      <c r="G4600" s="3">
        <f>HOUR(CallLog[[#This Row],[Time]])</f>
        <v>11</v>
      </c>
      <c r="H4600" t="s">
        <v>32</v>
      </c>
      <c r="I4600" t="s">
        <v>14</v>
      </c>
      <c r="J4600" t="s">
        <v>14</v>
      </c>
      <c r="K4600">
        <v>13</v>
      </c>
      <c r="L4600" t="str">
        <f>IF(AND(CallLog[[#This Row],[Answered (Y/N)]]="Y", CallLog[[#This Row],[Speed of answer in seconds]]&lt;=20),
    "Within",
    "Breach")</f>
        <v>Within</v>
      </c>
      <c r="M4600" s="1">
        <v>2.0138888888888888E-3</v>
      </c>
      <c r="N4600">
        <v>1</v>
      </c>
    </row>
    <row r="4601" spans="1:14" x14ac:dyDescent="0.3">
      <c r="A4601" t="s">
        <v>4706</v>
      </c>
      <c r="B4601" t="s">
        <v>34</v>
      </c>
      <c r="C4601" t="s">
        <v>4699</v>
      </c>
      <c r="D4601" s="1">
        <v>0.49</v>
      </c>
      <c r="E4601" s="2">
        <f>CallLog[[#This Row],[Date]]+CallLog[[#This Row],[Time]]</f>
        <v>44278.49</v>
      </c>
      <c r="F4601" s="1" t="str">
        <f>TEXT(CallLog[[#This Row],[Date]],"dddd")</f>
        <v>Tuesday</v>
      </c>
      <c r="G4601" s="3">
        <f>HOUR(CallLog[[#This Row],[Time]])</f>
        <v>11</v>
      </c>
      <c r="H4601" t="s">
        <v>13</v>
      </c>
      <c r="I4601" t="s">
        <v>14</v>
      </c>
      <c r="J4601" t="s">
        <v>14</v>
      </c>
      <c r="K4601">
        <v>37</v>
      </c>
      <c r="L4601" t="str">
        <f>IF(AND(CallLog[[#This Row],[Answered (Y/N)]]="Y", CallLog[[#This Row],[Speed of answer in seconds]]&lt;=20),
    "Within",
    "Breach")</f>
        <v>Breach</v>
      </c>
      <c r="M4601" s="1">
        <v>1.8981481481481482E-3</v>
      </c>
      <c r="N4601">
        <v>4</v>
      </c>
    </row>
    <row r="4602" spans="1:14" x14ac:dyDescent="0.3">
      <c r="A4602" t="s">
        <v>4707</v>
      </c>
      <c r="B4602" t="s">
        <v>38</v>
      </c>
      <c r="C4602" t="s">
        <v>4699</v>
      </c>
      <c r="D4602" s="1">
        <v>0.51900462962962968</v>
      </c>
      <c r="E4602" s="2">
        <f>CallLog[[#This Row],[Date]]+CallLog[[#This Row],[Time]]</f>
        <v>44278.519004629627</v>
      </c>
      <c r="F4602" s="1" t="str">
        <f>TEXT(CallLog[[#This Row],[Date]],"dddd")</f>
        <v>Tuesday</v>
      </c>
      <c r="G4602" s="3">
        <f>HOUR(CallLog[[#This Row],[Time]])</f>
        <v>12</v>
      </c>
      <c r="H4602" t="s">
        <v>32</v>
      </c>
      <c r="I4602" t="s">
        <v>14</v>
      </c>
      <c r="J4602" t="s">
        <v>14</v>
      </c>
      <c r="K4602">
        <v>84</v>
      </c>
      <c r="L4602" t="str">
        <f>IF(AND(CallLog[[#This Row],[Answered (Y/N)]]="Y", CallLog[[#This Row],[Speed of answer in seconds]]&lt;=20),
    "Within",
    "Breach")</f>
        <v>Breach</v>
      </c>
      <c r="M4602" s="1">
        <v>2.6157407407407405E-3</v>
      </c>
      <c r="N4602">
        <v>4</v>
      </c>
    </row>
    <row r="4603" spans="1:14" x14ac:dyDescent="0.3">
      <c r="A4603" t="s">
        <v>4708</v>
      </c>
      <c r="B4603" t="s">
        <v>22</v>
      </c>
      <c r="C4603" t="s">
        <v>4699</v>
      </c>
      <c r="D4603" s="1">
        <v>0.51900462962962968</v>
      </c>
      <c r="E4603" s="2">
        <f>CallLog[[#This Row],[Date]]+CallLog[[#This Row],[Time]]</f>
        <v>44278.519004629627</v>
      </c>
      <c r="F4603" s="1" t="str">
        <f>TEXT(CallLog[[#This Row],[Date]],"dddd")</f>
        <v>Tuesday</v>
      </c>
      <c r="G4603" s="3">
        <f>HOUR(CallLog[[#This Row],[Time]])</f>
        <v>12</v>
      </c>
      <c r="H4603" t="s">
        <v>17</v>
      </c>
      <c r="I4603" t="s">
        <v>18</v>
      </c>
      <c r="J4603" t="s">
        <v>18</v>
      </c>
      <c r="L4603" t="str">
        <f>IF(AND(CallLog[[#This Row],[Answered (Y/N)]]="Y", CallLog[[#This Row],[Speed of answer in seconds]]&lt;=20),
    "Within",
    "Breach")</f>
        <v>Breach</v>
      </c>
    </row>
    <row r="4604" spans="1:14" x14ac:dyDescent="0.3">
      <c r="A4604" t="s">
        <v>4709</v>
      </c>
      <c r="B4604" t="s">
        <v>38</v>
      </c>
      <c r="C4604" t="s">
        <v>4699</v>
      </c>
      <c r="D4604" s="1">
        <v>0.52700231481481485</v>
      </c>
      <c r="E4604" s="2">
        <f>CallLog[[#This Row],[Date]]+CallLog[[#This Row],[Time]]</f>
        <v>44278.527002314811</v>
      </c>
      <c r="F4604" s="1" t="str">
        <f>TEXT(CallLog[[#This Row],[Date]],"dddd")</f>
        <v>Tuesday</v>
      </c>
      <c r="G4604" s="3">
        <f>HOUR(CallLog[[#This Row],[Time]])</f>
        <v>12</v>
      </c>
      <c r="H4604" t="s">
        <v>32</v>
      </c>
      <c r="I4604" t="s">
        <v>18</v>
      </c>
      <c r="J4604" t="s">
        <v>18</v>
      </c>
      <c r="L4604" t="str">
        <f>IF(AND(CallLog[[#This Row],[Answered (Y/N)]]="Y", CallLog[[#This Row],[Speed of answer in seconds]]&lt;=20),
    "Within",
    "Breach")</f>
        <v>Breach</v>
      </c>
    </row>
    <row r="4605" spans="1:14" x14ac:dyDescent="0.3">
      <c r="A4605" t="s">
        <v>4710</v>
      </c>
      <c r="B4605" t="s">
        <v>34</v>
      </c>
      <c r="C4605" t="s">
        <v>4699</v>
      </c>
      <c r="D4605" s="1">
        <v>0.52700231481481485</v>
      </c>
      <c r="E4605" s="2">
        <f>CallLog[[#This Row],[Date]]+CallLog[[#This Row],[Time]]</f>
        <v>44278.527002314811</v>
      </c>
      <c r="F4605" s="1" t="str">
        <f>TEXT(CallLog[[#This Row],[Date]],"dddd")</f>
        <v>Tuesday</v>
      </c>
      <c r="G4605" s="3">
        <f>HOUR(CallLog[[#This Row],[Time]])</f>
        <v>12</v>
      </c>
      <c r="H4605" t="s">
        <v>29</v>
      </c>
      <c r="I4605" t="s">
        <v>14</v>
      </c>
      <c r="J4605" t="s">
        <v>14</v>
      </c>
      <c r="K4605">
        <v>123</v>
      </c>
      <c r="L4605" t="str">
        <f>IF(AND(CallLog[[#This Row],[Answered (Y/N)]]="Y", CallLog[[#This Row],[Speed of answer in seconds]]&lt;=20),
    "Within",
    "Breach")</f>
        <v>Breach</v>
      </c>
      <c r="M4605" s="1">
        <v>2.1527777777777778E-3</v>
      </c>
      <c r="N4605">
        <v>3</v>
      </c>
    </row>
    <row r="4606" spans="1:14" x14ac:dyDescent="0.3">
      <c r="A4606" t="s">
        <v>4711</v>
      </c>
      <c r="B4606" t="s">
        <v>38</v>
      </c>
      <c r="C4606" t="s">
        <v>4699</v>
      </c>
      <c r="D4606" s="1">
        <v>0.54400462962962959</v>
      </c>
      <c r="E4606" s="2">
        <f>CallLog[[#This Row],[Date]]+CallLog[[#This Row],[Time]]</f>
        <v>44278.544004629628</v>
      </c>
      <c r="F4606" s="1" t="str">
        <f>TEXT(CallLog[[#This Row],[Date]],"dddd")</f>
        <v>Tuesday</v>
      </c>
      <c r="G4606" s="3">
        <f>HOUR(CallLog[[#This Row],[Time]])</f>
        <v>13</v>
      </c>
      <c r="H4606" t="s">
        <v>32</v>
      </c>
      <c r="I4606" t="s">
        <v>14</v>
      </c>
      <c r="J4606" t="s">
        <v>18</v>
      </c>
      <c r="K4606">
        <v>51</v>
      </c>
      <c r="L4606" t="str">
        <f>IF(AND(CallLog[[#This Row],[Answered (Y/N)]]="Y", CallLog[[#This Row],[Speed of answer in seconds]]&lt;=20),
    "Within",
    "Breach")</f>
        <v>Breach</v>
      </c>
      <c r="M4606" s="1">
        <v>3.8310185185185183E-3</v>
      </c>
      <c r="N4606">
        <v>3</v>
      </c>
    </row>
    <row r="4607" spans="1:14" x14ac:dyDescent="0.3">
      <c r="A4607" t="s">
        <v>4712</v>
      </c>
      <c r="B4607" t="s">
        <v>22</v>
      </c>
      <c r="C4607" t="s">
        <v>4699</v>
      </c>
      <c r="D4607" s="1">
        <v>0.54400462962962959</v>
      </c>
      <c r="E4607" s="2">
        <f>CallLog[[#This Row],[Date]]+CallLog[[#This Row],[Time]]</f>
        <v>44278.544004629628</v>
      </c>
      <c r="F4607" s="1" t="str">
        <f>TEXT(CallLog[[#This Row],[Date]],"dddd")</f>
        <v>Tuesday</v>
      </c>
      <c r="G4607" s="3">
        <f>HOUR(CallLog[[#This Row],[Time]])</f>
        <v>13</v>
      </c>
      <c r="H4607" t="s">
        <v>29</v>
      </c>
      <c r="I4607" t="s">
        <v>14</v>
      </c>
      <c r="J4607" t="s">
        <v>14</v>
      </c>
      <c r="K4607">
        <v>69</v>
      </c>
      <c r="L4607" t="str">
        <f>IF(AND(CallLog[[#This Row],[Answered (Y/N)]]="Y", CallLog[[#This Row],[Speed of answer in seconds]]&lt;=20),
    "Within",
    "Breach")</f>
        <v>Breach</v>
      </c>
      <c r="M4607" s="1">
        <v>3.3217592592592591E-3</v>
      </c>
      <c r="N4607">
        <v>1</v>
      </c>
    </row>
    <row r="4608" spans="1:14" x14ac:dyDescent="0.3">
      <c r="A4608" t="s">
        <v>4713</v>
      </c>
      <c r="B4608" t="s">
        <v>47</v>
      </c>
      <c r="C4608" t="s">
        <v>4699</v>
      </c>
      <c r="D4608" s="1">
        <v>0.57799768518518524</v>
      </c>
      <c r="E4608" s="2">
        <f>CallLog[[#This Row],[Date]]+CallLog[[#This Row],[Time]]</f>
        <v>44278.577997685185</v>
      </c>
      <c r="F4608" s="1" t="str">
        <f>TEXT(CallLog[[#This Row],[Date]],"dddd")</f>
        <v>Tuesday</v>
      </c>
      <c r="G4608" s="3">
        <f>HOUR(CallLog[[#This Row],[Time]])</f>
        <v>13</v>
      </c>
      <c r="H4608" t="s">
        <v>32</v>
      </c>
      <c r="I4608" t="s">
        <v>14</v>
      </c>
      <c r="J4608" t="s">
        <v>14</v>
      </c>
      <c r="K4608">
        <v>80</v>
      </c>
      <c r="L4608" t="str">
        <f>IF(AND(CallLog[[#This Row],[Answered (Y/N)]]="Y", CallLog[[#This Row],[Speed of answer in seconds]]&lt;=20),
    "Within",
    "Breach")</f>
        <v>Breach</v>
      </c>
      <c r="M4608" s="1">
        <v>2.0833333333333333E-3</v>
      </c>
      <c r="N4608">
        <v>1</v>
      </c>
    </row>
    <row r="4609" spans="1:14" x14ac:dyDescent="0.3">
      <c r="A4609" t="s">
        <v>4714</v>
      </c>
      <c r="B4609" t="s">
        <v>22</v>
      </c>
      <c r="C4609" t="s">
        <v>4699</v>
      </c>
      <c r="D4609" s="1">
        <v>0.57799768518518524</v>
      </c>
      <c r="E4609" s="2">
        <f>CallLog[[#This Row],[Date]]+CallLog[[#This Row],[Time]]</f>
        <v>44278.577997685185</v>
      </c>
      <c r="F4609" s="1" t="str">
        <f>TEXT(CallLog[[#This Row],[Date]],"dddd")</f>
        <v>Tuesday</v>
      </c>
      <c r="G4609" s="3">
        <f>HOUR(CallLog[[#This Row],[Time]])</f>
        <v>13</v>
      </c>
      <c r="H4609" t="s">
        <v>24</v>
      </c>
      <c r="I4609" t="s">
        <v>14</v>
      </c>
      <c r="J4609" t="s">
        <v>14</v>
      </c>
      <c r="K4609">
        <v>111</v>
      </c>
      <c r="L4609" t="str">
        <f>IF(AND(CallLog[[#This Row],[Answered (Y/N)]]="Y", CallLog[[#This Row],[Speed of answer in seconds]]&lt;=20),
    "Within",
    "Breach")</f>
        <v>Breach</v>
      </c>
      <c r="M4609" s="1">
        <v>2.8356481481481483E-3</v>
      </c>
      <c r="N4609">
        <v>5</v>
      </c>
    </row>
    <row r="4610" spans="1:14" x14ac:dyDescent="0.3">
      <c r="A4610" t="s">
        <v>4715</v>
      </c>
      <c r="B4610" t="s">
        <v>11</v>
      </c>
      <c r="C4610" t="s">
        <v>4699</v>
      </c>
      <c r="D4610" s="1">
        <v>0.5870023148148148</v>
      </c>
      <c r="E4610" s="2">
        <f>CallLog[[#This Row],[Date]]+CallLog[[#This Row],[Time]]</f>
        <v>44278.587002314816</v>
      </c>
      <c r="F4610" s="1" t="str">
        <f>TEXT(CallLog[[#This Row],[Date]],"dddd")</f>
        <v>Tuesday</v>
      </c>
      <c r="G4610" s="3">
        <f>HOUR(CallLog[[#This Row],[Time]])</f>
        <v>14</v>
      </c>
      <c r="H4610" t="s">
        <v>29</v>
      </c>
      <c r="I4610" t="s">
        <v>14</v>
      </c>
      <c r="J4610" t="s">
        <v>14</v>
      </c>
      <c r="K4610">
        <v>26</v>
      </c>
      <c r="L4610" t="str">
        <f>IF(AND(CallLog[[#This Row],[Answered (Y/N)]]="Y", CallLog[[#This Row],[Speed of answer in seconds]]&lt;=20),
    "Within",
    "Breach")</f>
        <v>Breach</v>
      </c>
      <c r="M4610" s="1">
        <v>4.1435185185185186E-3</v>
      </c>
      <c r="N4610">
        <v>4</v>
      </c>
    </row>
    <row r="4611" spans="1:14" x14ac:dyDescent="0.3">
      <c r="A4611" t="s">
        <v>4716</v>
      </c>
      <c r="B4611" t="s">
        <v>47</v>
      </c>
      <c r="C4611" t="s">
        <v>4699</v>
      </c>
      <c r="D4611" s="1">
        <v>0.5870023148148148</v>
      </c>
      <c r="E4611" s="2">
        <f>CallLog[[#This Row],[Date]]+CallLog[[#This Row],[Time]]</f>
        <v>44278.587002314816</v>
      </c>
      <c r="F4611" s="1" t="str">
        <f>TEXT(CallLog[[#This Row],[Date]],"dddd")</f>
        <v>Tuesday</v>
      </c>
      <c r="G4611" s="3">
        <f>HOUR(CallLog[[#This Row],[Time]])</f>
        <v>14</v>
      </c>
      <c r="H4611" t="s">
        <v>29</v>
      </c>
      <c r="I4611" t="s">
        <v>14</v>
      </c>
      <c r="J4611" t="s">
        <v>14</v>
      </c>
      <c r="K4611">
        <v>29</v>
      </c>
      <c r="L4611" t="str">
        <f>IF(AND(CallLog[[#This Row],[Answered (Y/N)]]="Y", CallLog[[#This Row],[Speed of answer in seconds]]&lt;=20),
    "Within",
    "Breach")</f>
        <v>Breach</v>
      </c>
      <c r="M4611" s="1">
        <v>1.8865740740740742E-3</v>
      </c>
      <c r="N4611">
        <v>1</v>
      </c>
    </row>
    <row r="4612" spans="1:14" x14ac:dyDescent="0.3">
      <c r="A4612" t="s">
        <v>4717</v>
      </c>
      <c r="B4612" t="s">
        <v>38</v>
      </c>
      <c r="C4612" t="s">
        <v>4699</v>
      </c>
      <c r="D4612" s="1">
        <v>0.60200231481481481</v>
      </c>
      <c r="E4612" s="2">
        <f>CallLog[[#This Row],[Date]]+CallLog[[#This Row],[Time]]</f>
        <v>44278.602002314816</v>
      </c>
      <c r="F4612" s="1" t="str">
        <f>TEXT(CallLog[[#This Row],[Date]],"dddd")</f>
        <v>Tuesday</v>
      </c>
      <c r="G4612" s="3">
        <f>HOUR(CallLog[[#This Row],[Time]])</f>
        <v>14</v>
      </c>
      <c r="H4612" t="s">
        <v>32</v>
      </c>
      <c r="I4612" t="s">
        <v>18</v>
      </c>
      <c r="J4612" t="s">
        <v>18</v>
      </c>
      <c r="L4612" t="str">
        <f>IF(AND(CallLog[[#This Row],[Answered (Y/N)]]="Y", CallLog[[#This Row],[Speed of answer in seconds]]&lt;=20),
    "Within",
    "Breach")</f>
        <v>Breach</v>
      </c>
    </row>
    <row r="4613" spans="1:14" x14ac:dyDescent="0.3">
      <c r="A4613" t="s">
        <v>4718</v>
      </c>
      <c r="B4613" t="s">
        <v>16</v>
      </c>
      <c r="C4613" t="s">
        <v>4699</v>
      </c>
      <c r="D4613" s="1">
        <v>0.60200231481481481</v>
      </c>
      <c r="E4613" s="2">
        <f>CallLog[[#This Row],[Date]]+CallLog[[#This Row],[Time]]</f>
        <v>44278.602002314816</v>
      </c>
      <c r="F4613" s="1" t="str">
        <f>TEXT(CallLog[[#This Row],[Date]],"dddd")</f>
        <v>Tuesday</v>
      </c>
      <c r="G4613" s="3">
        <f>HOUR(CallLog[[#This Row],[Time]])</f>
        <v>14</v>
      </c>
      <c r="H4613" t="s">
        <v>17</v>
      </c>
      <c r="I4613" t="s">
        <v>14</v>
      </c>
      <c r="J4613" t="s">
        <v>14</v>
      </c>
      <c r="K4613">
        <v>43</v>
      </c>
      <c r="L4613" t="str">
        <f>IF(AND(CallLog[[#This Row],[Answered (Y/N)]]="Y", CallLog[[#This Row],[Speed of answer in seconds]]&lt;=20),
    "Within",
    "Breach")</f>
        <v>Breach</v>
      </c>
      <c r="M4613" s="1">
        <v>1.0648148148148149E-3</v>
      </c>
      <c r="N4613">
        <v>4</v>
      </c>
    </row>
    <row r="4614" spans="1:14" x14ac:dyDescent="0.3">
      <c r="A4614" t="s">
        <v>4719</v>
      </c>
      <c r="B4614" t="s">
        <v>11</v>
      </c>
      <c r="C4614" t="s">
        <v>4699</v>
      </c>
      <c r="D4614" s="1">
        <v>0.64</v>
      </c>
      <c r="E4614" s="2">
        <f>CallLog[[#This Row],[Date]]+CallLog[[#This Row],[Time]]</f>
        <v>44278.64</v>
      </c>
      <c r="F4614" s="1" t="str">
        <f>TEXT(CallLog[[#This Row],[Date]],"dddd")</f>
        <v>Tuesday</v>
      </c>
      <c r="G4614" s="3">
        <f>HOUR(CallLog[[#This Row],[Time]])</f>
        <v>15</v>
      </c>
      <c r="H4614" t="s">
        <v>17</v>
      </c>
      <c r="I4614" t="s">
        <v>14</v>
      </c>
      <c r="J4614" t="s">
        <v>14</v>
      </c>
      <c r="K4614">
        <v>58</v>
      </c>
      <c r="L4614" t="str">
        <f>IF(AND(CallLog[[#This Row],[Answered (Y/N)]]="Y", CallLog[[#This Row],[Speed of answer in seconds]]&lt;=20),
    "Within",
    "Breach")</f>
        <v>Breach</v>
      </c>
      <c r="M4614" s="1">
        <v>3.425925925925926E-3</v>
      </c>
      <c r="N4614">
        <v>3</v>
      </c>
    </row>
    <row r="4615" spans="1:14" x14ac:dyDescent="0.3">
      <c r="A4615" t="s">
        <v>4720</v>
      </c>
      <c r="B4615" t="s">
        <v>31</v>
      </c>
      <c r="C4615" t="s">
        <v>4699</v>
      </c>
      <c r="D4615" s="1">
        <v>0.64</v>
      </c>
      <c r="E4615" s="2">
        <f>CallLog[[#This Row],[Date]]+CallLog[[#This Row],[Time]]</f>
        <v>44278.64</v>
      </c>
      <c r="F4615" s="1" t="str">
        <f>TEXT(CallLog[[#This Row],[Date]],"dddd")</f>
        <v>Tuesday</v>
      </c>
      <c r="G4615" s="3">
        <f>HOUR(CallLog[[#This Row],[Time]])</f>
        <v>15</v>
      </c>
      <c r="H4615" t="s">
        <v>29</v>
      </c>
      <c r="I4615" t="s">
        <v>14</v>
      </c>
      <c r="J4615" t="s">
        <v>14</v>
      </c>
      <c r="K4615">
        <v>27</v>
      </c>
      <c r="L4615" t="str">
        <f>IF(AND(CallLog[[#This Row],[Answered (Y/N)]]="Y", CallLog[[#This Row],[Speed of answer in seconds]]&lt;=20),
    "Within",
    "Breach")</f>
        <v>Breach</v>
      </c>
      <c r="M4615" s="1">
        <v>4.4907407407407405E-3</v>
      </c>
      <c r="N4615">
        <v>2</v>
      </c>
    </row>
    <row r="4616" spans="1:14" x14ac:dyDescent="0.3">
      <c r="A4616" t="s">
        <v>4721</v>
      </c>
      <c r="B4616" t="s">
        <v>11</v>
      </c>
      <c r="C4616" t="s">
        <v>4699</v>
      </c>
      <c r="D4616" s="1">
        <v>0.64400462962962968</v>
      </c>
      <c r="E4616" s="2">
        <f>CallLog[[#This Row],[Date]]+CallLog[[#This Row],[Time]]</f>
        <v>44278.644004629627</v>
      </c>
      <c r="F4616" s="1" t="str">
        <f>TEXT(CallLog[[#This Row],[Date]],"dddd")</f>
        <v>Tuesday</v>
      </c>
      <c r="G4616" s="3">
        <f>HOUR(CallLog[[#This Row],[Time]])</f>
        <v>15</v>
      </c>
      <c r="H4616" t="s">
        <v>29</v>
      </c>
      <c r="I4616" t="s">
        <v>14</v>
      </c>
      <c r="J4616" t="s">
        <v>14</v>
      </c>
      <c r="K4616">
        <v>39</v>
      </c>
      <c r="L4616" t="str">
        <f>IF(AND(CallLog[[#This Row],[Answered (Y/N)]]="Y", CallLog[[#This Row],[Speed of answer in seconds]]&lt;=20),
    "Within",
    "Breach")</f>
        <v>Breach</v>
      </c>
      <c r="M4616" s="1">
        <v>1.3310185185185185E-3</v>
      </c>
      <c r="N4616">
        <v>4</v>
      </c>
    </row>
    <row r="4617" spans="1:14" x14ac:dyDescent="0.3">
      <c r="A4617" t="s">
        <v>4722</v>
      </c>
      <c r="B4617" t="s">
        <v>34</v>
      </c>
      <c r="C4617" t="s">
        <v>4699</v>
      </c>
      <c r="D4617" s="1">
        <v>0.64400462962962968</v>
      </c>
      <c r="E4617" s="2">
        <f>CallLog[[#This Row],[Date]]+CallLog[[#This Row],[Time]]</f>
        <v>44278.644004629627</v>
      </c>
      <c r="F4617" s="1" t="str">
        <f>TEXT(CallLog[[#This Row],[Date]],"dddd")</f>
        <v>Tuesday</v>
      </c>
      <c r="G4617" s="3">
        <f>HOUR(CallLog[[#This Row],[Time]])</f>
        <v>15</v>
      </c>
      <c r="H4617" t="s">
        <v>24</v>
      </c>
      <c r="I4617" t="s">
        <v>14</v>
      </c>
      <c r="J4617" t="s">
        <v>14</v>
      </c>
      <c r="K4617">
        <v>83</v>
      </c>
      <c r="L4617" t="str">
        <f>IF(AND(CallLog[[#This Row],[Answered (Y/N)]]="Y", CallLog[[#This Row],[Speed of answer in seconds]]&lt;=20),
    "Within",
    "Breach")</f>
        <v>Breach</v>
      </c>
      <c r="M4617" s="1">
        <v>1.4236111111111112E-3</v>
      </c>
      <c r="N4617">
        <v>4</v>
      </c>
    </row>
    <row r="4618" spans="1:14" x14ac:dyDescent="0.3">
      <c r="A4618" t="s">
        <v>4723</v>
      </c>
      <c r="B4618" t="s">
        <v>31</v>
      </c>
      <c r="C4618" t="s">
        <v>4699</v>
      </c>
      <c r="D4618" s="1">
        <v>0.64799768518518519</v>
      </c>
      <c r="E4618" s="2">
        <f>CallLog[[#This Row],[Date]]+CallLog[[#This Row],[Time]]</f>
        <v>44278.647997685184</v>
      </c>
      <c r="F4618" s="1" t="str">
        <f>TEXT(CallLog[[#This Row],[Date]],"dddd")</f>
        <v>Tuesday</v>
      </c>
      <c r="G4618" s="3">
        <f>HOUR(CallLog[[#This Row],[Time]])</f>
        <v>15</v>
      </c>
      <c r="H4618" t="s">
        <v>13</v>
      </c>
      <c r="I4618" t="s">
        <v>14</v>
      </c>
      <c r="J4618" t="s">
        <v>14</v>
      </c>
      <c r="K4618">
        <v>22</v>
      </c>
      <c r="L4618" t="str">
        <f>IF(AND(CallLog[[#This Row],[Answered (Y/N)]]="Y", CallLog[[#This Row],[Speed of answer in seconds]]&lt;=20),
    "Within",
    "Breach")</f>
        <v>Breach</v>
      </c>
      <c r="M4618" s="1">
        <v>2.9629629629629628E-3</v>
      </c>
      <c r="N4618">
        <v>4</v>
      </c>
    </row>
    <row r="4619" spans="1:14" x14ac:dyDescent="0.3">
      <c r="A4619" t="s">
        <v>4724</v>
      </c>
      <c r="B4619" t="s">
        <v>31</v>
      </c>
      <c r="C4619" t="s">
        <v>4699</v>
      </c>
      <c r="D4619" s="1">
        <v>0.64799768518518519</v>
      </c>
      <c r="E4619" s="2">
        <f>CallLog[[#This Row],[Date]]+CallLog[[#This Row],[Time]]</f>
        <v>44278.647997685184</v>
      </c>
      <c r="F4619" s="1" t="str">
        <f>TEXT(CallLog[[#This Row],[Date]],"dddd")</f>
        <v>Tuesday</v>
      </c>
      <c r="G4619" s="3">
        <f>HOUR(CallLog[[#This Row],[Time]])</f>
        <v>15</v>
      </c>
      <c r="H4619" t="s">
        <v>13</v>
      </c>
      <c r="I4619" t="s">
        <v>14</v>
      </c>
      <c r="J4619" t="s">
        <v>14</v>
      </c>
      <c r="K4619">
        <v>56</v>
      </c>
      <c r="L4619" t="str">
        <f>IF(AND(CallLog[[#This Row],[Answered (Y/N)]]="Y", CallLog[[#This Row],[Speed of answer in seconds]]&lt;=20),
    "Within",
    "Breach")</f>
        <v>Breach</v>
      </c>
      <c r="M4619" s="1">
        <v>1.4699074074074074E-3</v>
      </c>
      <c r="N4619">
        <v>5</v>
      </c>
    </row>
    <row r="4620" spans="1:14" x14ac:dyDescent="0.3">
      <c r="A4620" t="s">
        <v>4725</v>
      </c>
      <c r="B4620" t="s">
        <v>38</v>
      </c>
      <c r="C4620" t="s">
        <v>4699</v>
      </c>
      <c r="D4620" s="1">
        <v>0.68099537037037039</v>
      </c>
      <c r="E4620" s="2">
        <f>CallLog[[#This Row],[Date]]+CallLog[[#This Row],[Time]]</f>
        <v>44278.680995370371</v>
      </c>
      <c r="F4620" s="1" t="str">
        <f>TEXT(CallLog[[#This Row],[Date]],"dddd")</f>
        <v>Tuesday</v>
      </c>
      <c r="G4620" s="3">
        <f>HOUR(CallLog[[#This Row],[Time]])</f>
        <v>16</v>
      </c>
      <c r="H4620" t="s">
        <v>32</v>
      </c>
      <c r="I4620" t="s">
        <v>14</v>
      </c>
      <c r="J4620" t="s">
        <v>14</v>
      </c>
      <c r="K4620">
        <v>98</v>
      </c>
      <c r="L4620" t="str">
        <f>IF(AND(CallLog[[#This Row],[Answered (Y/N)]]="Y", CallLog[[#This Row],[Speed of answer in seconds]]&lt;=20),
    "Within",
    "Breach")</f>
        <v>Breach</v>
      </c>
      <c r="M4620" s="1">
        <v>2.8935185185185184E-3</v>
      </c>
      <c r="N4620">
        <v>2</v>
      </c>
    </row>
    <row r="4621" spans="1:14" x14ac:dyDescent="0.3">
      <c r="A4621" t="s">
        <v>4726</v>
      </c>
      <c r="B4621" t="s">
        <v>11</v>
      </c>
      <c r="C4621" t="s">
        <v>4699</v>
      </c>
      <c r="D4621" s="1">
        <v>0.68099537037037039</v>
      </c>
      <c r="E4621" s="2">
        <f>CallLog[[#This Row],[Date]]+CallLog[[#This Row],[Time]]</f>
        <v>44278.680995370371</v>
      </c>
      <c r="F4621" s="1" t="str">
        <f>TEXT(CallLog[[#This Row],[Date]],"dddd")</f>
        <v>Tuesday</v>
      </c>
      <c r="G4621" s="3">
        <f>HOUR(CallLog[[#This Row],[Time]])</f>
        <v>16</v>
      </c>
      <c r="H4621" t="s">
        <v>32</v>
      </c>
      <c r="I4621" t="s">
        <v>18</v>
      </c>
      <c r="J4621" t="s">
        <v>18</v>
      </c>
      <c r="L4621" t="str">
        <f>IF(AND(CallLog[[#This Row],[Answered (Y/N)]]="Y", CallLog[[#This Row],[Speed of answer in seconds]]&lt;=20),
    "Within",
    "Breach")</f>
        <v>Breach</v>
      </c>
    </row>
    <row r="4622" spans="1:14" x14ac:dyDescent="0.3">
      <c r="A4622" t="s">
        <v>4727</v>
      </c>
      <c r="B4622" t="s">
        <v>22</v>
      </c>
      <c r="C4622" t="s">
        <v>4699</v>
      </c>
      <c r="D4622" s="1">
        <v>0.6840046296296296</v>
      </c>
      <c r="E4622" s="2">
        <f>CallLog[[#This Row],[Date]]+CallLog[[#This Row],[Time]]</f>
        <v>44278.684004629627</v>
      </c>
      <c r="F4622" s="1" t="str">
        <f>TEXT(CallLog[[#This Row],[Date]],"dddd")</f>
        <v>Tuesday</v>
      </c>
      <c r="G4622" s="3">
        <f>HOUR(CallLog[[#This Row],[Time]])</f>
        <v>16</v>
      </c>
      <c r="H4622" t="s">
        <v>32</v>
      </c>
      <c r="I4622" t="s">
        <v>14</v>
      </c>
      <c r="J4622" t="s">
        <v>14</v>
      </c>
      <c r="K4622">
        <v>101</v>
      </c>
      <c r="L4622" t="str">
        <f>IF(AND(CallLog[[#This Row],[Answered (Y/N)]]="Y", CallLog[[#This Row],[Speed of answer in seconds]]&lt;=20),
    "Within",
    "Breach")</f>
        <v>Breach</v>
      </c>
      <c r="M4622" s="1">
        <v>8.6805555555555551E-4</v>
      </c>
      <c r="N4622">
        <v>5</v>
      </c>
    </row>
    <row r="4623" spans="1:14" x14ac:dyDescent="0.3">
      <c r="A4623" t="s">
        <v>4728</v>
      </c>
      <c r="B4623" t="s">
        <v>22</v>
      </c>
      <c r="C4623" t="s">
        <v>4699</v>
      </c>
      <c r="D4623" s="1">
        <v>0.6840046296296296</v>
      </c>
      <c r="E4623" s="2">
        <f>CallLog[[#This Row],[Date]]+CallLog[[#This Row],[Time]]</f>
        <v>44278.684004629627</v>
      </c>
      <c r="F4623" s="1" t="str">
        <f>TEXT(CallLog[[#This Row],[Date]],"dddd")</f>
        <v>Tuesday</v>
      </c>
      <c r="G4623" s="3">
        <f>HOUR(CallLog[[#This Row],[Time]])</f>
        <v>16</v>
      </c>
      <c r="H4623" t="s">
        <v>32</v>
      </c>
      <c r="I4623" t="s">
        <v>18</v>
      </c>
      <c r="J4623" t="s">
        <v>18</v>
      </c>
      <c r="L4623" t="str">
        <f>IF(AND(CallLog[[#This Row],[Answered (Y/N)]]="Y", CallLog[[#This Row],[Speed of answer in seconds]]&lt;=20),
    "Within",
    "Breach")</f>
        <v>Breach</v>
      </c>
    </row>
    <row r="4624" spans="1:14" x14ac:dyDescent="0.3">
      <c r="A4624" t="s">
        <v>4729</v>
      </c>
      <c r="B4624" t="s">
        <v>47</v>
      </c>
      <c r="C4624" t="s">
        <v>4699</v>
      </c>
      <c r="D4624" s="1">
        <v>0.69</v>
      </c>
      <c r="E4624" s="2">
        <f>CallLog[[#This Row],[Date]]+CallLog[[#This Row],[Time]]</f>
        <v>44278.69</v>
      </c>
      <c r="F4624" s="1" t="str">
        <f>TEXT(CallLog[[#This Row],[Date]],"dddd")</f>
        <v>Tuesday</v>
      </c>
      <c r="G4624" s="3">
        <f>HOUR(CallLog[[#This Row],[Time]])</f>
        <v>16</v>
      </c>
      <c r="H4624" t="s">
        <v>17</v>
      </c>
      <c r="I4624" t="s">
        <v>14</v>
      </c>
      <c r="J4624" t="s">
        <v>14</v>
      </c>
      <c r="K4624">
        <v>93</v>
      </c>
      <c r="L4624" t="str">
        <f>IF(AND(CallLog[[#This Row],[Answered (Y/N)]]="Y", CallLog[[#This Row],[Speed of answer in seconds]]&lt;=20),
    "Within",
    "Breach")</f>
        <v>Breach</v>
      </c>
      <c r="M4624" s="1">
        <v>4.1666666666666669E-4</v>
      </c>
      <c r="N4624">
        <v>4</v>
      </c>
    </row>
    <row r="4625" spans="1:14" x14ac:dyDescent="0.3">
      <c r="A4625" t="s">
        <v>4730</v>
      </c>
      <c r="B4625" t="s">
        <v>47</v>
      </c>
      <c r="C4625" t="s">
        <v>4699</v>
      </c>
      <c r="D4625" s="1">
        <v>0.69</v>
      </c>
      <c r="E4625" s="2">
        <f>CallLog[[#This Row],[Date]]+CallLog[[#This Row],[Time]]</f>
        <v>44278.69</v>
      </c>
      <c r="F4625" s="1" t="str">
        <f>TEXT(CallLog[[#This Row],[Date]],"dddd")</f>
        <v>Tuesday</v>
      </c>
      <c r="G4625" s="3">
        <f>HOUR(CallLog[[#This Row],[Time]])</f>
        <v>16</v>
      </c>
      <c r="H4625" t="s">
        <v>24</v>
      </c>
      <c r="I4625" t="s">
        <v>14</v>
      </c>
      <c r="J4625" t="s">
        <v>14</v>
      </c>
      <c r="K4625">
        <v>24</v>
      </c>
      <c r="L4625" t="str">
        <f>IF(AND(CallLog[[#This Row],[Answered (Y/N)]]="Y", CallLog[[#This Row],[Speed of answer in seconds]]&lt;=20),
    "Within",
    "Breach")</f>
        <v>Breach</v>
      </c>
      <c r="M4625" s="1">
        <v>2.0486111111111113E-3</v>
      </c>
      <c r="N4625">
        <v>4</v>
      </c>
    </row>
    <row r="4626" spans="1:14" x14ac:dyDescent="0.3">
      <c r="A4626" t="s">
        <v>4731</v>
      </c>
      <c r="B4626" t="s">
        <v>11</v>
      </c>
      <c r="C4626" t="s">
        <v>4699</v>
      </c>
      <c r="D4626" s="1">
        <v>0.69400462962962961</v>
      </c>
      <c r="E4626" s="2">
        <f>CallLog[[#This Row],[Date]]+CallLog[[#This Row],[Time]]</f>
        <v>44278.694004629629</v>
      </c>
      <c r="F4626" s="1" t="str">
        <f>TEXT(CallLog[[#This Row],[Date]],"dddd")</f>
        <v>Tuesday</v>
      </c>
      <c r="G4626" s="3">
        <f>HOUR(CallLog[[#This Row],[Time]])</f>
        <v>16</v>
      </c>
      <c r="H4626" t="s">
        <v>29</v>
      </c>
      <c r="I4626" t="s">
        <v>14</v>
      </c>
      <c r="J4626" t="s">
        <v>14</v>
      </c>
      <c r="K4626">
        <v>58</v>
      </c>
      <c r="L4626" t="str">
        <f>IF(AND(CallLog[[#This Row],[Answered (Y/N)]]="Y", CallLog[[#This Row],[Speed of answer in seconds]]&lt;=20),
    "Within",
    "Breach")</f>
        <v>Breach</v>
      </c>
      <c r="M4626" s="1">
        <v>3.5300925925925925E-3</v>
      </c>
      <c r="N4626">
        <v>4</v>
      </c>
    </row>
    <row r="4627" spans="1:14" x14ac:dyDescent="0.3">
      <c r="A4627" t="s">
        <v>4732</v>
      </c>
      <c r="B4627" t="s">
        <v>22</v>
      </c>
      <c r="C4627" t="s">
        <v>4699</v>
      </c>
      <c r="D4627" s="1">
        <v>0.69400462962962961</v>
      </c>
      <c r="E4627" s="2">
        <f>CallLog[[#This Row],[Date]]+CallLog[[#This Row],[Time]]</f>
        <v>44278.694004629629</v>
      </c>
      <c r="F4627" s="1" t="str">
        <f>TEXT(CallLog[[#This Row],[Date]],"dddd")</f>
        <v>Tuesday</v>
      </c>
      <c r="G4627" s="3">
        <f>HOUR(CallLog[[#This Row],[Time]])</f>
        <v>16</v>
      </c>
      <c r="H4627" t="s">
        <v>24</v>
      </c>
      <c r="I4627" t="s">
        <v>14</v>
      </c>
      <c r="J4627" t="s">
        <v>14</v>
      </c>
      <c r="K4627">
        <v>124</v>
      </c>
      <c r="L4627" t="str">
        <f>IF(AND(CallLog[[#This Row],[Answered (Y/N)]]="Y", CallLog[[#This Row],[Speed of answer in seconds]]&lt;=20),
    "Within",
    "Breach")</f>
        <v>Breach</v>
      </c>
      <c r="M4627" s="1">
        <v>1.261574074074074E-3</v>
      </c>
      <c r="N4627">
        <v>4</v>
      </c>
    </row>
    <row r="4628" spans="1:14" x14ac:dyDescent="0.3">
      <c r="A4628" t="s">
        <v>4733</v>
      </c>
      <c r="B4628" t="s">
        <v>47</v>
      </c>
      <c r="C4628" t="s">
        <v>4699</v>
      </c>
      <c r="D4628" s="1">
        <v>0.69400462962962961</v>
      </c>
      <c r="E4628" s="2">
        <f>CallLog[[#This Row],[Date]]+CallLog[[#This Row],[Time]]</f>
        <v>44278.694004629629</v>
      </c>
      <c r="F4628" s="1" t="str">
        <f>TEXT(CallLog[[#This Row],[Date]],"dddd")</f>
        <v>Tuesday</v>
      </c>
      <c r="G4628" s="3">
        <f>HOUR(CallLog[[#This Row],[Time]])</f>
        <v>16</v>
      </c>
      <c r="H4628" t="s">
        <v>24</v>
      </c>
      <c r="I4628" t="s">
        <v>14</v>
      </c>
      <c r="J4628" t="s">
        <v>18</v>
      </c>
      <c r="K4628">
        <v>50</v>
      </c>
      <c r="L4628" t="str">
        <f>IF(AND(CallLog[[#This Row],[Answered (Y/N)]]="Y", CallLog[[#This Row],[Speed of answer in seconds]]&lt;=20),
    "Within",
    "Breach")</f>
        <v>Breach</v>
      </c>
      <c r="M4628" s="1">
        <v>3.2638888888888891E-3</v>
      </c>
      <c r="N4628">
        <v>2</v>
      </c>
    </row>
    <row r="4629" spans="1:14" x14ac:dyDescent="0.3">
      <c r="A4629" t="s">
        <v>4734</v>
      </c>
      <c r="B4629" t="s">
        <v>38</v>
      </c>
      <c r="C4629" t="s">
        <v>4699</v>
      </c>
      <c r="D4629" s="1">
        <v>0.69400462962962961</v>
      </c>
      <c r="E4629" s="2">
        <f>CallLog[[#This Row],[Date]]+CallLog[[#This Row],[Time]]</f>
        <v>44278.694004629629</v>
      </c>
      <c r="F4629" s="1" t="str">
        <f>TEXT(CallLog[[#This Row],[Date]],"dddd")</f>
        <v>Tuesday</v>
      </c>
      <c r="G4629" s="3">
        <f>HOUR(CallLog[[#This Row],[Time]])</f>
        <v>16</v>
      </c>
      <c r="H4629" t="s">
        <v>24</v>
      </c>
      <c r="I4629" t="s">
        <v>14</v>
      </c>
      <c r="J4629" t="s">
        <v>14</v>
      </c>
      <c r="K4629">
        <v>74</v>
      </c>
      <c r="L4629" t="str">
        <f>IF(AND(CallLog[[#This Row],[Answered (Y/N)]]="Y", CallLog[[#This Row],[Speed of answer in seconds]]&lt;=20),
    "Within",
    "Breach")</f>
        <v>Breach</v>
      </c>
      <c r="M4629" s="1">
        <v>3.7037037037037038E-3</v>
      </c>
      <c r="N4629">
        <v>3</v>
      </c>
    </row>
    <row r="4630" spans="1:14" x14ac:dyDescent="0.3">
      <c r="A4630" t="s">
        <v>4735</v>
      </c>
      <c r="B4630" t="s">
        <v>34</v>
      </c>
      <c r="C4630" t="s">
        <v>4699</v>
      </c>
      <c r="D4630" s="1">
        <v>0.7</v>
      </c>
      <c r="E4630" s="2">
        <f>CallLog[[#This Row],[Date]]+CallLog[[#This Row],[Time]]</f>
        <v>44278.7</v>
      </c>
      <c r="F4630" s="1" t="str">
        <f>TEXT(CallLog[[#This Row],[Date]],"dddd")</f>
        <v>Tuesday</v>
      </c>
      <c r="G4630" s="3">
        <f>HOUR(CallLog[[#This Row],[Time]])</f>
        <v>16</v>
      </c>
      <c r="H4630" t="s">
        <v>29</v>
      </c>
      <c r="I4630" t="s">
        <v>14</v>
      </c>
      <c r="J4630" t="s">
        <v>14</v>
      </c>
      <c r="K4630">
        <v>62</v>
      </c>
      <c r="L4630" t="str">
        <f>IF(AND(CallLog[[#This Row],[Answered (Y/N)]]="Y", CallLog[[#This Row],[Speed of answer in seconds]]&lt;=20),
    "Within",
    "Breach")</f>
        <v>Breach</v>
      </c>
      <c r="M4630" s="1">
        <v>5.2083333333333333E-4</v>
      </c>
      <c r="N4630">
        <v>4</v>
      </c>
    </row>
    <row r="4631" spans="1:14" x14ac:dyDescent="0.3">
      <c r="A4631" t="s">
        <v>4736</v>
      </c>
      <c r="B4631" t="s">
        <v>34</v>
      </c>
      <c r="C4631" t="s">
        <v>4699</v>
      </c>
      <c r="D4631" s="1">
        <v>0.7</v>
      </c>
      <c r="E4631" s="2">
        <f>CallLog[[#This Row],[Date]]+CallLog[[#This Row],[Time]]</f>
        <v>44278.7</v>
      </c>
      <c r="F4631" s="1" t="str">
        <f>TEXT(CallLog[[#This Row],[Date]],"dddd")</f>
        <v>Tuesday</v>
      </c>
      <c r="G4631" s="3">
        <f>HOUR(CallLog[[#This Row],[Time]])</f>
        <v>16</v>
      </c>
      <c r="H4631" t="s">
        <v>24</v>
      </c>
      <c r="I4631" t="s">
        <v>18</v>
      </c>
      <c r="J4631" t="s">
        <v>18</v>
      </c>
      <c r="L4631" t="str">
        <f>IF(AND(CallLog[[#This Row],[Answered (Y/N)]]="Y", CallLog[[#This Row],[Speed of answer in seconds]]&lt;=20),
    "Within",
    "Breach")</f>
        <v>Breach</v>
      </c>
    </row>
    <row r="4632" spans="1:14" x14ac:dyDescent="0.3">
      <c r="A4632" t="s">
        <v>4737</v>
      </c>
      <c r="B4632" t="s">
        <v>16</v>
      </c>
      <c r="C4632" t="s">
        <v>4699</v>
      </c>
      <c r="D4632" s="1">
        <v>0.72299768518518515</v>
      </c>
      <c r="E4632" s="2">
        <f>CallLog[[#This Row],[Date]]+CallLog[[#This Row],[Time]]</f>
        <v>44278.722997685189</v>
      </c>
      <c r="F4632" s="1" t="str">
        <f>TEXT(CallLog[[#This Row],[Date]],"dddd")</f>
        <v>Tuesday</v>
      </c>
      <c r="G4632" s="3">
        <f>HOUR(CallLog[[#This Row],[Time]])</f>
        <v>17</v>
      </c>
      <c r="H4632" t="s">
        <v>24</v>
      </c>
      <c r="I4632" t="s">
        <v>14</v>
      </c>
      <c r="J4632" t="s">
        <v>14</v>
      </c>
      <c r="K4632">
        <v>19</v>
      </c>
      <c r="L4632" t="str">
        <f>IF(AND(CallLog[[#This Row],[Answered (Y/N)]]="Y", CallLog[[#This Row],[Speed of answer in seconds]]&lt;=20),
    "Within",
    "Breach")</f>
        <v>Within</v>
      </c>
      <c r="M4632" s="1">
        <v>2.638888888888889E-3</v>
      </c>
      <c r="N4632">
        <v>3</v>
      </c>
    </row>
    <row r="4633" spans="1:14" x14ac:dyDescent="0.3">
      <c r="A4633" t="s">
        <v>4738</v>
      </c>
      <c r="B4633" t="s">
        <v>47</v>
      </c>
      <c r="C4633" t="s">
        <v>4699</v>
      </c>
      <c r="D4633" s="1">
        <v>0.72299768518518515</v>
      </c>
      <c r="E4633" s="2">
        <f>CallLog[[#This Row],[Date]]+CallLog[[#This Row],[Time]]</f>
        <v>44278.722997685189</v>
      </c>
      <c r="F4633" s="1" t="str">
        <f>TEXT(CallLog[[#This Row],[Date]],"dddd")</f>
        <v>Tuesday</v>
      </c>
      <c r="G4633" s="3">
        <f>HOUR(CallLog[[#This Row],[Time]])</f>
        <v>17</v>
      </c>
      <c r="H4633" t="s">
        <v>29</v>
      </c>
      <c r="I4633" t="s">
        <v>14</v>
      </c>
      <c r="J4633" t="s">
        <v>14</v>
      </c>
      <c r="K4633">
        <v>65</v>
      </c>
      <c r="L4633" t="str">
        <f>IF(AND(CallLog[[#This Row],[Answered (Y/N)]]="Y", CallLog[[#This Row],[Speed of answer in seconds]]&lt;=20),
    "Within",
    "Breach")</f>
        <v>Breach</v>
      </c>
      <c r="M4633" s="1">
        <v>3.7037037037037038E-3</v>
      </c>
      <c r="N4633">
        <v>3</v>
      </c>
    </row>
    <row r="4634" spans="1:14" x14ac:dyDescent="0.3">
      <c r="A4634" t="s">
        <v>4739</v>
      </c>
      <c r="B4634" t="s">
        <v>47</v>
      </c>
      <c r="C4634" t="s">
        <v>4699</v>
      </c>
      <c r="D4634" s="1">
        <v>0.73099537037037032</v>
      </c>
      <c r="E4634" s="2">
        <f>CallLog[[#This Row],[Date]]+CallLog[[#This Row],[Time]]</f>
        <v>44278.730995370373</v>
      </c>
      <c r="F4634" s="1" t="str">
        <f>TEXT(CallLog[[#This Row],[Date]],"dddd")</f>
        <v>Tuesday</v>
      </c>
      <c r="G4634" s="3">
        <f>HOUR(CallLog[[#This Row],[Time]])</f>
        <v>17</v>
      </c>
      <c r="H4634" t="s">
        <v>13</v>
      </c>
      <c r="I4634" t="s">
        <v>14</v>
      </c>
      <c r="J4634" t="s">
        <v>14</v>
      </c>
      <c r="K4634">
        <v>30</v>
      </c>
      <c r="L4634" t="str">
        <f>IF(AND(CallLog[[#This Row],[Answered (Y/N)]]="Y", CallLog[[#This Row],[Speed of answer in seconds]]&lt;=20),
    "Within",
    "Breach")</f>
        <v>Breach</v>
      </c>
      <c r="M4634" s="1">
        <v>2.0833333333333333E-3</v>
      </c>
      <c r="N4634">
        <v>3</v>
      </c>
    </row>
    <row r="4635" spans="1:14" x14ac:dyDescent="0.3">
      <c r="A4635" t="s">
        <v>4740</v>
      </c>
      <c r="B4635" t="s">
        <v>20</v>
      </c>
      <c r="C4635" t="s">
        <v>4699</v>
      </c>
      <c r="D4635" s="1">
        <v>0.73099537037037032</v>
      </c>
      <c r="E4635" s="2">
        <f>CallLog[[#This Row],[Date]]+CallLog[[#This Row],[Time]]</f>
        <v>44278.730995370373</v>
      </c>
      <c r="F4635" s="1" t="str">
        <f>TEXT(CallLog[[#This Row],[Date]],"dddd")</f>
        <v>Tuesday</v>
      </c>
      <c r="G4635" s="3">
        <f>HOUR(CallLog[[#This Row],[Time]])</f>
        <v>17</v>
      </c>
      <c r="H4635" t="s">
        <v>29</v>
      </c>
      <c r="I4635" t="s">
        <v>14</v>
      </c>
      <c r="J4635" t="s">
        <v>14</v>
      </c>
      <c r="K4635">
        <v>77</v>
      </c>
      <c r="L4635" t="str">
        <f>IF(AND(CallLog[[#This Row],[Answered (Y/N)]]="Y", CallLog[[#This Row],[Speed of answer in seconds]]&lt;=20),
    "Within",
    "Breach")</f>
        <v>Breach</v>
      </c>
      <c r="M4635" s="1">
        <v>4.861111111111111E-4</v>
      </c>
      <c r="N4635">
        <v>4</v>
      </c>
    </row>
    <row r="4636" spans="1:14" x14ac:dyDescent="0.3">
      <c r="A4636" t="s">
        <v>4741</v>
      </c>
      <c r="B4636" t="s">
        <v>34</v>
      </c>
      <c r="C4636" t="s">
        <v>4699</v>
      </c>
      <c r="D4636" s="1">
        <v>0.73599537037037033</v>
      </c>
      <c r="E4636" s="2">
        <f>CallLog[[#This Row],[Date]]+CallLog[[#This Row],[Time]]</f>
        <v>44278.735995370371</v>
      </c>
      <c r="F4636" s="1" t="str">
        <f>TEXT(CallLog[[#This Row],[Date]],"dddd")</f>
        <v>Tuesday</v>
      </c>
      <c r="G4636" s="3">
        <f>HOUR(CallLog[[#This Row],[Time]])</f>
        <v>17</v>
      </c>
      <c r="H4636" t="s">
        <v>24</v>
      </c>
      <c r="I4636" t="s">
        <v>18</v>
      </c>
      <c r="J4636" t="s">
        <v>18</v>
      </c>
      <c r="L4636" t="str">
        <f>IF(AND(CallLog[[#This Row],[Answered (Y/N)]]="Y", CallLog[[#This Row],[Speed of answer in seconds]]&lt;=20),
    "Within",
    "Breach")</f>
        <v>Breach</v>
      </c>
    </row>
    <row r="4637" spans="1:14" x14ac:dyDescent="0.3">
      <c r="A4637" t="s">
        <v>4742</v>
      </c>
      <c r="B4637" t="s">
        <v>38</v>
      </c>
      <c r="C4637" t="s">
        <v>4699</v>
      </c>
      <c r="D4637" s="1">
        <v>0.73599537037037033</v>
      </c>
      <c r="E4637" s="2">
        <f>CallLog[[#This Row],[Date]]+CallLog[[#This Row],[Time]]</f>
        <v>44278.735995370371</v>
      </c>
      <c r="F4637" s="1" t="str">
        <f>TEXT(CallLog[[#This Row],[Date]],"dddd")</f>
        <v>Tuesday</v>
      </c>
      <c r="G4637" s="3">
        <f>HOUR(CallLog[[#This Row],[Time]])</f>
        <v>17</v>
      </c>
      <c r="H4637" t="s">
        <v>24</v>
      </c>
      <c r="I4637" t="s">
        <v>14</v>
      </c>
      <c r="J4637" t="s">
        <v>18</v>
      </c>
      <c r="K4637">
        <v>98</v>
      </c>
      <c r="L4637" t="str">
        <f>IF(AND(CallLog[[#This Row],[Answered (Y/N)]]="Y", CallLog[[#This Row],[Speed of answer in seconds]]&lt;=20),
    "Within",
    "Breach")</f>
        <v>Breach</v>
      </c>
      <c r="M4637" s="1">
        <v>1.8981481481481482E-3</v>
      </c>
      <c r="N4637">
        <v>5</v>
      </c>
    </row>
    <row r="4638" spans="1:14" x14ac:dyDescent="0.3">
      <c r="A4638" t="s">
        <v>4743</v>
      </c>
      <c r="B4638" t="s">
        <v>20</v>
      </c>
      <c r="C4638" t="s">
        <v>4699</v>
      </c>
      <c r="D4638" s="1">
        <v>0.74599537037037034</v>
      </c>
      <c r="E4638" s="2">
        <f>CallLog[[#This Row],[Date]]+CallLog[[#This Row],[Time]]</f>
        <v>44278.745995370373</v>
      </c>
      <c r="F4638" s="1" t="str">
        <f>TEXT(CallLog[[#This Row],[Date]],"dddd")</f>
        <v>Tuesday</v>
      </c>
      <c r="G4638" s="3">
        <f>HOUR(CallLog[[#This Row],[Time]])</f>
        <v>17</v>
      </c>
      <c r="H4638" t="s">
        <v>29</v>
      </c>
      <c r="I4638" t="s">
        <v>14</v>
      </c>
      <c r="J4638" t="s">
        <v>14</v>
      </c>
      <c r="K4638">
        <v>70</v>
      </c>
      <c r="L4638" t="str">
        <f>IF(AND(CallLog[[#This Row],[Answered (Y/N)]]="Y", CallLog[[#This Row],[Speed of answer in seconds]]&lt;=20),
    "Within",
    "Breach")</f>
        <v>Breach</v>
      </c>
      <c r="M4638" s="1">
        <v>3.2523148148148147E-3</v>
      </c>
      <c r="N4638">
        <v>1</v>
      </c>
    </row>
    <row r="4639" spans="1:14" x14ac:dyDescent="0.3">
      <c r="A4639" t="s">
        <v>4744</v>
      </c>
      <c r="B4639" t="s">
        <v>34</v>
      </c>
      <c r="C4639" t="s">
        <v>4699</v>
      </c>
      <c r="D4639" s="1">
        <v>0.74599537037037034</v>
      </c>
      <c r="E4639" s="2">
        <f>CallLog[[#This Row],[Date]]+CallLog[[#This Row],[Time]]</f>
        <v>44278.745995370373</v>
      </c>
      <c r="F4639" s="1" t="str">
        <f>TEXT(CallLog[[#This Row],[Date]],"dddd")</f>
        <v>Tuesday</v>
      </c>
      <c r="G4639" s="3">
        <f>HOUR(CallLog[[#This Row],[Time]])</f>
        <v>17</v>
      </c>
      <c r="H4639" t="s">
        <v>13</v>
      </c>
      <c r="I4639" t="s">
        <v>14</v>
      </c>
      <c r="J4639" t="s">
        <v>14</v>
      </c>
      <c r="K4639">
        <v>58</v>
      </c>
      <c r="L4639" t="str">
        <f>IF(AND(CallLog[[#This Row],[Answered (Y/N)]]="Y", CallLog[[#This Row],[Speed of answer in seconds]]&lt;=20),
    "Within",
    "Breach")</f>
        <v>Breach</v>
      </c>
      <c r="M4639" s="1">
        <v>1.6782407407407408E-3</v>
      </c>
      <c r="N4639">
        <v>3</v>
      </c>
    </row>
    <row r="4640" spans="1:14" x14ac:dyDescent="0.3">
      <c r="A4640" t="s">
        <v>4745</v>
      </c>
      <c r="B4640" t="s">
        <v>47</v>
      </c>
      <c r="C4640" t="s">
        <v>4746</v>
      </c>
      <c r="D4640" s="1">
        <v>0.375</v>
      </c>
      <c r="E4640" s="2">
        <f>CallLog[[#This Row],[Date]]+CallLog[[#This Row],[Time]]</f>
        <v>44279.375</v>
      </c>
      <c r="F4640" s="1" t="str">
        <f>TEXT(CallLog[[#This Row],[Date]],"dddd")</f>
        <v>Wednesday</v>
      </c>
      <c r="G4640" s="3">
        <f>HOUR(CallLog[[#This Row],[Time]])</f>
        <v>9</v>
      </c>
      <c r="H4640" t="s">
        <v>17</v>
      </c>
      <c r="I4640" t="s">
        <v>14</v>
      </c>
      <c r="J4640" t="s">
        <v>14</v>
      </c>
      <c r="K4640">
        <v>21</v>
      </c>
      <c r="L4640" t="str">
        <f>IF(AND(CallLog[[#This Row],[Answered (Y/N)]]="Y", CallLog[[#This Row],[Speed of answer in seconds]]&lt;=20),
    "Within",
    "Breach")</f>
        <v>Breach</v>
      </c>
      <c r="M4640" s="1">
        <v>1.7824074074074075E-3</v>
      </c>
      <c r="N4640">
        <v>3</v>
      </c>
    </row>
    <row r="4641" spans="1:14" x14ac:dyDescent="0.3">
      <c r="A4641" t="s">
        <v>4747</v>
      </c>
      <c r="B4641" t="s">
        <v>47</v>
      </c>
      <c r="C4641" t="s">
        <v>4746</v>
      </c>
      <c r="D4641" s="1">
        <v>0.375</v>
      </c>
      <c r="E4641" s="2">
        <f>CallLog[[#This Row],[Date]]+CallLog[[#This Row],[Time]]</f>
        <v>44279.375</v>
      </c>
      <c r="F4641" s="1" t="str">
        <f>TEXT(CallLog[[#This Row],[Date]],"dddd")</f>
        <v>Wednesday</v>
      </c>
      <c r="G4641" s="3">
        <f>HOUR(CallLog[[#This Row],[Time]])</f>
        <v>9</v>
      </c>
      <c r="H4641" t="s">
        <v>24</v>
      </c>
      <c r="I4641" t="s">
        <v>14</v>
      </c>
      <c r="J4641" t="s">
        <v>14</v>
      </c>
      <c r="K4641">
        <v>61</v>
      </c>
      <c r="L4641" t="str">
        <f>IF(AND(CallLog[[#This Row],[Answered (Y/N)]]="Y", CallLog[[#This Row],[Speed of answer in seconds]]&lt;=20),
    "Within",
    "Breach")</f>
        <v>Breach</v>
      </c>
      <c r="M4641" s="1">
        <v>4.0162037037037041E-3</v>
      </c>
      <c r="N4641">
        <v>5</v>
      </c>
    </row>
    <row r="4642" spans="1:14" x14ac:dyDescent="0.3">
      <c r="A4642" t="s">
        <v>4748</v>
      </c>
      <c r="B4642" t="s">
        <v>31</v>
      </c>
      <c r="C4642" t="s">
        <v>4746</v>
      </c>
      <c r="D4642" s="1">
        <v>0.38400462962962961</v>
      </c>
      <c r="E4642" s="2">
        <f>CallLog[[#This Row],[Date]]+CallLog[[#This Row],[Time]]</f>
        <v>44279.384004629632</v>
      </c>
      <c r="F4642" s="1" t="str">
        <f>TEXT(CallLog[[#This Row],[Date]],"dddd")</f>
        <v>Wednesday</v>
      </c>
      <c r="G4642" s="3">
        <f>HOUR(CallLog[[#This Row],[Time]])</f>
        <v>9</v>
      </c>
      <c r="H4642" t="s">
        <v>13</v>
      </c>
      <c r="I4642" t="s">
        <v>14</v>
      </c>
      <c r="J4642" t="s">
        <v>14</v>
      </c>
      <c r="K4642">
        <v>111</v>
      </c>
      <c r="L4642" t="str">
        <f>IF(AND(CallLog[[#This Row],[Answered (Y/N)]]="Y", CallLog[[#This Row],[Speed of answer in seconds]]&lt;=20),
    "Within",
    "Breach")</f>
        <v>Breach</v>
      </c>
      <c r="M4642" s="1">
        <v>4.6412037037037038E-3</v>
      </c>
      <c r="N4642">
        <v>5</v>
      </c>
    </row>
    <row r="4643" spans="1:14" x14ac:dyDescent="0.3">
      <c r="A4643" t="s">
        <v>4749</v>
      </c>
      <c r="B4643" t="s">
        <v>47</v>
      </c>
      <c r="C4643" t="s">
        <v>4746</v>
      </c>
      <c r="D4643" s="1">
        <v>0.38400462962962961</v>
      </c>
      <c r="E4643" s="2">
        <f>CallLog[[#This Row],[Date]]+CallLog[[#This Row],[Time]]</f>
        <v>44279.384004629632</v>
      </c>
      <c r="F4643" s="1" t="str">
        <f>TEXT(CallLog[[#This Row],[Date]],"dddd")</f>
        <v>Wednesday</v>
      </c>
      <c r="G4643" s="3">
        <f>HOUR(CallLog[[#This Row],[Time]])</f>
        <v>9</v>
      </c>
      <c r="H4643" t="s">
        <v>32</v>
      </c>
      <c r="I4643" t="s">
        <v>14</v>
      </c>
      <c r="J4643" t="s">
        <v>14</v>
      </c>
      <c r="K4643">
        <v>75</v>
      </c>
      <c r="L4643" t="str">
        <f>IF(AND(CallLog[[#This Row],[Answered (Y/N)]]="Y", CallLog[[#This Row],[Speed of answer in seconds]]&lt;=20),
    "Within",
    "Breach")</f>
        <v>Breach</v>
      </c>
      <c r="M4643" s="1">
        <v>3.9236111111111112E-3</v>
      </c>
      <c r="N4643">
        <v>4</v>
      </c>
    </row>
    <row r="4644" spans="1:14" x14ac:dyDescent="0.3">
      <c r="A4644" t="s">
        <v>4750</v>
      </c>
      <c r="B4644" t="s">
        <v>22</v>
      </c>
      <c r="C4644" t="s">
        <v>4746</v>
      </c>
      <c r="D4644" s="1">
        <v>0.40099537037037036</v>
      </c>
      <c r="E4644" s="2">
        <f>CallLog[[#This Row],[Date]]+CallLog[[#This Row],[Time]]</f>
        <v>44279.400995370372</v>
      </c>
      <c r="F4644" s="1" t="str">
        <f>TEXT(CallLog[[#This Row],[Date]],"dddd")</f>
        <v>Wednesday</v>
      </c>
      <c r="G4644" s="3">
        <f>HOUR(CallLog[[#This Row],[Time]])</f>
        <v>9</v>
      </c>
      <c r="H4644" t="s">
        <v>29</v>
      </c>
      <c r="I4644" t="s">
        <v>18</v>
      </c>
      <c r="J4644" t="s">
        <v>18</v>
      </c>
      <c r="L4644" t="str">
        <f>IF(AND(CallLog[[#This Row],[Answered (Y/N)]]="Y", CallLog[[#This Row],[Speed of answer in seconds]]&lt;=20),
    "Within",
    "Breach")</f>
        <v>Breach</v>
      </c>
    </row>
    <row r="4645" spans="1:14" x14ac:dyDescent="0.3">
      <c r="A4645" t="s">
        <v>4751</v>
      </c>
      <c r="B4645" t="s">
        <v>22</v>
      </c>
      <c r="C4645" t="s">
        <v>4746</v>
      </c>
      <c r="D4645" s="1">
        <v>0.40099537037037036</v>
      </c>
      <c r="E4645" s="2">
        <f>CallLog[[#This Row],[Date]]+CallLog[[#This Row],[Time]]</f>
        <v>44279.400995370372</v>
      </c>
      <c r="F4645" s="1" t="str">
        <f>TEXT(CallLog[[#This Row],[Date]],"dddd")</f>
        <v>Wednesday</v>
      </c>
      <c r="G4645" s="3">
        <f>HOUR(CallLog[[#This Row],[Time]])</f>
        <v>9</v>
      </c>
      <c r="H4645" t="s">
        <v>17</v>
      </c>
      <c r="I4645" t="s">
        <v>18</v>
      </c>
      <c r="J4645" t="s">
        <v>18</v>
      </c>
      <c r="L4645" t="str">
        <f>IF(AND(CallLog[[#This Row],[Answered (Y/N)]]="Y", CallLog[[#This Row],[Speed of answer in seconds]]&lt;=20),
    "Within",
    "Breach")</f>
        <v>Breach</v>
      </c>
    </row>
    <row r="4646" spans="1:14" x14ac:dyDescent="0.3">
      <c r="A4646" t="s">
        <v>4752</v>
      </c>
      <c r="B4646" t="s">
        <v>34</v>
      </c>
      <c r="C4646" t="s">
        <v>4746</v>
      </c>
      <c r="D4646" s="1">
        <v>0.40500000000000003</v>
      </c>
      <c r="E4646" s="2">
        <f>CallLog[[#This Row],[Date]]+CallLog[[#This Row],[Time]]</f>
        <v>44279.404999999999</v>
      </c>
      <c r="F4646" s="1" t="str">
        <f>TEXT(CallLog[[#This Row],[Date]],"dddd")</f>
        <v>Wednesday</v>
      </c>
      <c r="G4646" s="3">
        <f>HOUR(CallLog[[#This Row],[Time]])</f>
        <v>9</v>
      </c>
      <c r="H4646" t="s">
        <v>17</v>
      </c>
      <c r="I4646" t="s">
        <v>14</v>
      </c>
      <c r="J4646" t="s">
        <v>14</v>
      </c>
      <c r="K4646">
        <v>30</v>
      </c>
      <c r="L4646" t="str">
        <f>IF(AND(CallLog[[#This Row],[Answered (Y/N)]]="Y", CallLog[[#This Row],[Speed of answer in seconds]]&lt;=20),
    "Within",
    "Breach")</f>
        <v>Breach</v>
      </c>
      <c r="M4646" s="1">
        <v>3.5069444444444445E-3</v>
      </c>
      <c r="N4646">
        <v>3</v>
      </c>
    </row>
    <row r="4647" spans="1:14" x14ac:dyDescent="0.3">
      <c r="A4647" t="s">
        <v>4753</v>
      </c>
      <c r="B4647" t="s">
        <v>34</v>
      </c>
      <c r="C4647" t="s">
        <v>4746</v>
      </c>
      <c r="D4647" s="1">
        <v>0.40500000000000003</v>
      </c>
      <c r="E4647" s="2">
        <f>CallLog[[#This Row],[Date]]+CallLog[[#This Row],[Time]]</f>
        <v>44279.404999999999</v>
      </c>
      <c r="F4647" s="1" t="str">
        <f>TEXT(CallLog[[#This Row],[Date]],"dddd")</f>
        <v>Wednesday</v>
      </c>
      <c r="G4647" s="3">
        <f>HOUR(CallLog[[#This Row],[Time]])</f>
        <v>9</v>
      </c>
      <c r="H4647" t="s">
        <v>24</v>
      </c>
      <c r="I4647" t="s">
        <v>14</v>
      </c>
      <c r="J4647" t="s">
        <v>14</v>
      </c>
      <c r="K4647">
        <v>78</v>
      </c>
      <c r="L4647" t="str">
        <f>IF(AND(CallLog[[#This Row],[Answered (Y/N)]]="Y", CallLog[[#This Row],[Speed of answer in seconds]]&lt;=20),
    "Within",
    "Breach")</f>
        <v>Breach</v>
      </c>
      <c r="M4647" s="1">
        <v>3.1944444444444446E-3</v>
      </c>
      <c r="N4647">
        <v>5</v>
      </c>
    </row>
    <row r="4648" spans="1:14" x14ac:dyDescent="0.3">
      <c r="A4648" t="s">
        <v>4754</v>
      </c>
      <c r="B4648" t="s">
        <v>47</v>
      </c>
      <c r="C4648" t="s">
        <v>4746</v>
      </c>
      <c r="D4648" s="1">
        <v>0.41</v>
      </c>
      <c r="E4648" s="2">
        <f>CallLog[[#This Row],[Date]]+CallLog[[#This Row],[Time]]</f>
        <v>44279.41</v>
      </c>
      <c r="F4648" s="1" t="str">
        <f>TEXT(CallLog[[#This Row],[Date]],"dddd")</f>
        <v>Wednesday</v>
      </c>
      <c r="G4648" s="3">
        <f>HOUR(CallLog[[#This Row],[Time]])</f>
        <v>9</v>
      </c>
      <c r="H4648" t="s">
        <v>17</v>
      </c>
      <c r="I4648" t="s">
        <v>18</v>
      </c>
      <c r="J4648" t="s">
        <v>18</v>
      </c>
      <c r="L4648" t="str">
        <f>IF(AND(CallLog[[#This Row],[Answered (Y/N)]]="Y", CallLog[[#This Row],[Speed of answer in seconds]]&lt;=20),
    "Within",
    "Breach")</f>
        <v>Breach</v>
      </c>
    </row>
    <row r="4649" spans="1:14" x14ac:dyDescent="0.3">
      <c r="A4649" t="s">
        <v>4755</v>
      </c>
      <c r="B4649" t="s">
        <v>16</v>
      </c>
      <c r="C4649" t="s">
        <v>4746</v>
      </c>
      <c r="D4649" s="1">
        <v>0.41</v>
      </c>
      <c r="E4649" s="2">
        <f>CallLog[[#This Row],[Date]]+CallLog[[#This Row],[Time]]</f>
        <v>44279.41</v>
      </c>
      <c r="F4649" s="1" t="str">
        <f>TEXT(CallLog[[#This Row],[Date]],"dddd")</f>
        <v>Wednesday</v>
      </c>
      <c r="G4649" s="3">
        <f>HOUR(CallLog[[#This Row],[Time]])</f>
        <v>9</v>
      </c>
      <c r="H4649" t="s">
        <v>17</v>
      </c>
      <c r="I4649" t="s">
        <v>14</v>
      </c>
      <c r="J4649" t="s">
        <v>14</v>
      </c>
      <c r="K4649">
        <v>26</v>
      </c>
      <c r="L4649" t="str">
        <f>IF(AND(CallLog[[#This Row],[Answered (Y/N)]]="Y", CallLog[[#This Row],[Speed of answer in seconds]]&lt;=20),
    "Within",
    "Breach")</f>
        <v>Breach</v>
      </c>
      <c r="M4649" s="1">
        <v>2.673611111111111E-3</v>
      </c>
      <c r="N4649">
        <v>5</v>
      </c>
    </row>
    <row r="4650" spans="1:14" x14ac:dyDescent="0.3">
      <c r="A4650" t="s">
        <v>4756</v>
      </c>
      <c r="B4650" t="s">
        <v>47</v>
      </c>
      <c r="C4650" t="s">
        <v>4746</v>
      </c>
      <c r="D4650" s="1">
        <v>0.41599537037037038</v>
      </c>
      <c r="E4650" s="2">
        <f>CallLog[[#This Row],[Date]]+CallLog[[#This Row],[Time]]</f>
        <v>44279.415995370371</v>
      </c>
      <c r="F4650" s="1" t="str">
        <f>TEXT(CallLog[[#This Row],[Date]],"dddd")</f>
        <v>Wednesday</v>
      </c>
      <c r="G4650" s="3">
        <f>HOUR(CallLog[[#This Row],[Time]])</f>
        <v>9</v>
      </c>
      <c r="H4650" t="s">
        <v>24</v>
      </c>
      <c r="I4650" t="s">
        <v>18</v>
      </c>
      <c r="J4650" t="s">
        <v>18</v>
      </c>
      <c r="L4650" t="str">
        <f>IF(AND(CallLog[[#This Row],[Answered (Y/N)]]="Y", CallLog[[#This Row],[Speed of answer in seconds]]&lt;=20),
    "Within",
    "Breach")</f>
        <v>Breach</v>
      </c>
    </row>
    <row r="4651" spans="1:14" x14ac:dyDescent="0.3">
      <c r="A4651" t="s">
        <v>4757</v>
      </c>
      <c r="B4651" t="s">
        <v>22</v>
      </c>
      <c r="C4651" t="s">
        <v>4746</v>
      </c>
      <c r="D4651" s="1">
        <v>0.41599537037037038</v>
      </c>
      <c r="E4651" s="2">
        <f>CallLog[[#This Row],[Date]]+CallLog[[#This Row],[Time]]</f>
        <v>44279.415995370371</v>
      </c>
      <c r="F4651" s="1" t="str">
        <f>TEXT(CallLog[[#This Row],[Date]],"dddd")</f>
        <v>Wednesday</v>
      </c>
      <c r="G4651" s="3">
        <f>HOUR(CallLog[[#This Row],[Time]])</f>
        <v>9</v>
      </c>
      <c r="H4651" t="s">
        <v>17</v>
      </c>
      <c r="I4651" t="s">
        <v>14</v>
      </c>
      <c r="J4651" t="s">
        <v>14</v>
      </c>
      <c r="K4651">
        <v>93</v>
      </c>
      <c r="L4651" t="str">
        <f>IF(AND(CallLog[[#This Row],[Answered (Y/N)]]="Y", CallLog[[#This Row],[Speed of answer in seconds]]&lt;=20),
    "Within",
    "Breach")</f>
        <v>Breach</v>
      </c>
      <c r="M4651" s="1">
        <v>1.724537037037037E-3</v>
      </c>
      <c r="N4651">
        <v>3</v>
      </c>
    </row>
    <row r="4652" spans="1:14" x14ac:dyDescent="0.3">
      <c r="A4652" t="s">
        <v>4758</v>
      </c>
      <c r="B4652" t="s">
        <v>31</v>
      </c>
      <c r="C4652" t="s">
        <v>4746</v>
      </c>
      <c r="D4652" s="1">
        <v>0.42099537037037038</v>
      </c>
      <c r="E4652" s="2">
        <f>CallLog[[#This Row],[Date]]+CallLog[[#This Row],[Time]]</f>
        <v>44279.420995370368</v>
      </c>
      <c r="F4652" s="1" t="str">
        <f>TEXT(CallLog[[#This Row],[Date]],"dddd")</f>
        <v>Wednesday</v>
      </c>
      <c r="G4652" s="3">
        <f>HOUR(CallLog[[#This Row],[Time]])</f>
        <v>10</v>
      </c>
      <c r="H4652" t="s">
        <v>32</v>
      </c>
      <c r="I4652" t="s">
        <v>14</v>
      </c>
      <c r="J4652" t="s">
        <v>14</v>
      </c>
      <c r="K4652">
        <v>101</v>
      </c>
      <c r="L4652" t="str">
        <f>IF(AND(CallLog[[#This Row],[Answered (Y/N)]]="Y", CallLog[[#This Row],[Speed of answer in seconds]]&lt;=20),
    "Within",
    "Breach")</f>
        <v>Breach</v>
      </c>
      <c r="M4652" s="1">
        <v>3.9467592592592592E-3</v>
      </c>
      <c r="N4652">
        <v>5</v>
      </c>
    </row>
    <row r="4653" spans="1:14" x14ac:dyDescent="0.3">
      <c r="A4653" t="s">
        <v>4759</v>
      </c>
      <c r="B4653" t="s">
        <v>31</v>
      </c>
      <c r="C4653" t="s">
        <v>4746</v>
      </c>
      <c r="D4653" s="1">
        <v>0.42099537037037038</v>
      </c>
      <c r="E4653" s="2">
        <f>CallLog[[#This Row],[Date]]+CallLog[[#This Row],[Time]]</f>
        <v>44279.420995370368</v>
      </c>
      <c r="F4653" s="1" t="str">
        <f>TEXT(CallLog[[#This Row],[Date]],"dddd")</f>
        <v>Wednesday</v>
      </c>
      <c r="G4653" s="3">
        <f>HOUR(CallLog[[#This Row],[Time]])</f>
        <v>10</v>
      </c>
      <c r="H4653" t="s">
        <v>17</v>
      </c>
      <c r="I4653" t="s">
        <v>14</v>
      </c>
      <c r="J4653" t="s">
        <v>14</v>
      </c>
      <c r="K4653">
        <v>107</v>
      </c>
      <c r="L4653" t="str">
        <f>IF(AND(CallLog[[#This Row],[Answered (Y/N)]]="Y", CallLog[[#This Row],[Speed of answer in seconds]]&lt;=20),
    "Within",
    "Breach")</f>
        <v>Breach</v>
      </c>
      <c r="M4653" s="1">
        <v>2.0717592592592593E-3</v>
      </c>
      <c r="N4653">
        <v>1</v>
      </c>
    </row>
    <row r="4654" spans="1:14" x14ac:dyDescent="0.3">
      <c r="A4654" t="s">
        <v>4760</v>
      </c>
      <c r="B4654" t="s">
        <v>20</v>
      </c>
      <c r="C4654" t="s">
        <v>4746</v>
      </c>
      <c r="D4654" s="1">
        <v>0.42400462962962965</v>
      </c>
      <c r="E4654" s="2">
        <f>CallLog[[#This Row],[Date]]+CallLog[[#This Row],[Time]]</f>
        <v>44279.424004629633</v>
      </c>
      <c r="F4654" s="1" t="str">
        <f>TEXT(CallLog[[#This Row],[Date]],"dddd")</f>
        <v>Wednesday</v>
      </c>
      <c r="G4654" s="3">
        <f>HOUR(CallLog[[#This Row],[Time]])</f>
        <v>10</v>
      </c>
      <c r="H4654" t="s">
        <v>29</v>
      </c>
      <c r="I4654" t="s">
        <v>14</v>
      </c>
      <c r="J4654" t="s">
        <v>14</v>
      </c>
      <c r="K4654">
        <v>123</v>
      </c>
      <c r="L4654" t="str">
        <f>IF(AND(CallLog[[#This Row],[Answered (Y/N)]]="Y", CallLog[[#This Row],[Speed of answer in seconds]]&lt;=20),
    "Within",
    "Breach")</f>
        <v>Breach</v>
      </c>
      <c r="M4654" s="1">
        <v>4.1087962962962962E-3</v>
      </c>
      <c r="N4654">
        <v>4</v>
      </c>
    </row>
    <row r="4655" spans="1:14" x14ac:dyDescent="0.3">
      <c r="A4655" t="s">
        <v>4761</v>
      </c>
      <c r="B4655" t="s">
        <v>38</v>
      </c>
      <c r="C4655" t="s">
        <v>4746</v>
      </c>
      <c r="D4655" s="1">
        <v>0.42400462962962965</v>
      </c>
      <c r="E4655" s="2">
        <f>CallLog[[#This Row],[Date]]+CallLog[[#This Row],[Time]]</f>
        <v>44279.424004629633</v>
      </c>
      <c r="F4655" s="1" t="str">
        <f>TEXT(CallLog[[#This Row],[Date]],"dddd")</f>
        <v>Wednesday</v>
      </c>
      <c r="G4655" s="3">
        <f>HOUR(CallLog[[#This Row],[Time]])</f>
        <v>10</v>
      </c>
      <c r="H4655" t="s">
        <v>13</v>
      </c>
      <c r="I4655" t="s">
        <v>14</v>
      </c>
      <c r="J4655" t="s">
        <v>14</v>
      </c>
      <c r="K4655">
        <v>99</v>
      </c>
      <c r="L4655" t="str">
        <f>IF(AND(CallLog[[#This Row],[Answered (Y/N)]]="Y", CallLog[[#This Row],[Speed of answer in seconds]]&lt;=20),
    "Within",
    "Breach")</f>
        <v>Breach</v>
      </c>
      <c r="M4655" s="1">
        <v>1.7708333333333332E-3</v>
      </c>
      <c r="N4655">
        <v>3</v>
      </c>
    </row>
    <row r="4656" spans="1:14" x14ac:dyDescent="0.3">
      <c r="A4656" t="s">
        <v>4762</v>
      </c>
      <c r="B4656" t="s">
        <v>16</v>
      </c>
      <c r="C4656" t="s">
        <v>4746</v>
      </c>
      <c r="D4656" s="1">
        <v>0.45299768518518518</v>
      </c>
      <c r="E4656" s="2">
        <f>CallLog[[#This Row],[Date]]+CallLog[[#This Row],[Time]]</f>
        <v>44279.452997685185</v>
      </c>
      <c r="F4656" s="1" t="str">
        <f>TEXT(CallLog[[#This Row],[Date]],"dddd")</f>
        <v>Wednesday</v>
      </c>
      <c r="G4656" s="3">
        <f>HOUR(CallLog[[#This Row],[Time]])</f>
        <v>10</v>
      </c>
      <c r="H4656" t="s">
        <v>32</v>
      </c>
      <c r="I4656" t="s">
        <v>14</v>
      </c>
      <c r="J4656" t="s">
        <v>18</v>
      </c>
      <c r="K4656">
        <v>72</v>
      </c>
      <c r="L4656" t="str">
        <f>IF(AND(CallLog[[#This Row],[Answered (Y/N)]]="Y", CallLog[[#This Row],[Speed of answer in seconds]]&lt;=20),
    "Within",
    "Breach")</f>
        <v>Breach</v>
      </c>
      <c r="M4656" s="1">
        <v>3.9236111111111112E-3</v>
      </c>
      <c r="N4656">
        <v>4</v>
      </c>
    </row>
    <row r="4657" spans="1:14" x14ac:dyDescent="0.3">
      <c r="A4657" t="s">
        <v>4763</v>
      </c>
      <c r="B4657" t="s">
        <v>34</v>
      </c>
      <c r="C4657" t="s">
        <v>4746</v>
      </c>
      <c r="D4657" s="1">
        <v>0.45299768518518518</v>
      </c>
      <c r="E4657" s="2">
        <f>CallLog[[#This Row],[Date]]+CallLog[[#This Row],[Time]]</f>
        <v>44279.452997685185</v>
      </c>
      <c r="F4657" s="1" t="str">
        <f>TEXT(CallLog[[#This Row],[Date]],"dddd")</f>
        <v>Wednesday</v>
      </c>
      <c r="G4657" s="3">
        <f>HOUR(CallLog[[#This Row],[Time]])</f>
        <v>10</v>
      </c>
      <c r="H4657" t="s">
        <v>13</v>
      </c>
      <c r="I4657" t="s">
        <v>14</v>
      </c>
      <c r="J4657" t="s">
        <v>14</v>
      </c>
      <c r="K4657">
        <v>113</v>
      </c>
      <c r="L4657" t="str">
        <f>IF(AND(CallLog[[#This Row],[Answered (Y/N)]]="Y", CallLog[[#This Row],[Speed of answer in seconds]]&lt;=20),
    "Within",
    "Breach")</f>
        <v>Breach</v>
      </c>
      <c r="M4657" s="1">
        <v>1.5972222222222223E-3</v>
      </c>
      <c r="N4657">
        <v>5</v>
      </c>
    </row>
    <row r="4658" spans="1:14" x14ac:dyDescent="0.3">
      <c r="A4658" t="s">
        <v>4764</v>
      </c>
      <c r="B4658" t="s">
        <v>11</v>
      </c>
      <c r="C4658" t="s">
        <v>4746</v>
      </c>
      <c r="D4658" s="1">
        <v>0.46400462962962963</v>
      </c>
      <c r="E4658" s="2">
        <f>CallLog[[#This Row],[Date]]+CallLog[[#This Row],[Time]]</f>
        <v>44279.464004629626</v>
      </c>
      <c r="F4658" s="1" t="str">
        <f>TEXT(CallLog[[#This Row],[Date]],"dddd")</f>
        <v>Wednesday</v>
      </c>
      <c r="G4658" s="3">
        <f>HOUR(CallLog[[#This Row],[Time]])</f>
        <v>11</v>
      </c>
      <c r="H4658" t="s">
        <v>17</v>
      </c>
      <c r="I4658" t="s">
        <v>18</v>
      </c>
      <c r="J4658" t="s">
        <v>18</v>
      </c>
      <c r="L4658" t="str">
        <f>IF(AND(CallLog[[#This Row],[Answered (Y/N)]]="Y", CallLog[[#This Row],[Speed of answer in seconds]]&lt;=20),
    "Within",
    "Breach")</f>
        <v>Breach</v>
      </c>
    </row>
    <row r="4659" spans="1:14" x14ac:dyDescent="0.3">
      <c r="A4659" t="s">
        <v>4765</v>
      </c>
      <c r="B4659" t="s">
        <v>34</v>
      </c>
      <c r="C4659" t="s">
        <v>4746</v>
      </c>
      <c r="D4659" s="1">
        <v>0.46400462962962963</v>
      </c>
      <c r="E4659" s="2">
        <f>CallLog[[#This Row],[Date]]+CallLog[[#This Row],[Time]]</f>
        <v>44279.464004629626</v>
      </c>
      <c r="F4659" s="1" t="str">
        <f>TEXT(CallLog[[#This Row],[Date]],"dddd")</f>
        <v>Wednesday</v>
      </c>
      <c r="G4659" s="3">
        <f>HOUR(CallLog[[#This Row],[Time]])</f>
        <v>11</v>
      </c>
      <c r="H4659" t="s">
        <v>29</v>
      </c>
      <c r="I4659" t="s">
        <v>18</v>
      </c>
      <c r="J4659" t="s">
        <v>18</v>
      </c>
      <c r="L4659" t="str">
        <f>IF(AND(CallLog[[#This Row],[Answered (Y/N)]]="Y", CallLog[[#This Row],[Speed of answer in seconds]]&lt;=20),
    "Within",
    "Breach")</f>
        <v>Breach</v>
      </c>
    </row>
    <row r="4660" spans="1:14" x14ac:dyDescent="0.3">
      <c r="A4660" t="s">
        <v>4766</v>
      </c>
      <c r="B4660" t="s">
        <v>22</v>
      </c>
      <c r="C4660" t="s">
        <v>4746</v>
      </c>
      <c r="D4660" s="1">
        <v>0.46599537037037037</v>
      </c>
      <c r="E4660" s="2">
        <f>CallLog[[#This Row],[Date]]+CallLog[[#This Row],[Time]]</f>
        <v>44279.465995370374</v>
      </c>
      <c r="F4660" s="1" t="str">
        <f>TEXT(CallLog[[#This Row],[Date]],"dddd")</f>
        <v>Wednesday</v>
      </c>
      <c r="G4660" s="3">
        <f>HOUR(CallLog[[#This Row],[Time]])</f>
        <v>11</v>
      </c>
      <c r="H4660" t="s">
        <v>17</v>
      </c>
      <c r="I4660" t="s">
        <v>14</v>
      </c>
      <c r="J4660" t="s">
        <v>14</v>
      </c>
      <c r="K4660">
        <v>119</v>
      </c>
      <c r="L4660" t="str">
        <f>IF(AND(CallLog[[#This Row],[Answered (Y/N)]]="Y", CallLog[[#This Row],[Speed of answer in seconds]]&lt;=20),
    "Within",
    "Breach")</f>
        <v>Breach</v>
      </c>
      <c r="M4660" s="1">
        <v>4.0509259259259258E-4</v>
      </c>
      <c r="N4660">
        <v>2</v>
      </c>
    </row>
    <row r="4661" spans="1:14" x14ac:dyDescent="0.3">
      <c r="A4661" t="s">
        <v>4767</v>
      </c>
      <c r="B4661" t="s">
        <v>11</v>
      </c>
      <c r="C4661" t="s">
        <v>4746</v>
      </c>
      <c r="D4661" s="1">
        <v>0.46599537037037037</v>
      </c>
      <c r="E4661" s="2">
        <f>CallLog[[#This Row],[Date]]+CallLog[[#This Row],[Time]]</f>
        <v>44279.465995370374</v>
      </c>
      <c r="F4661" s="1" t="str">
        <f>TEXT(CallLog[[#This Row],[Date]],"dddd")</f>
        <v>Wednesday</v>
      </c>
      <c r="G4661" s="3">
        <f>HOUR(CallLog[[#This Row],[Time]])</f>
        <v>11</v>
      </c>
      <c r="H4661" t="s">
        <v>24</v>
      </c>
      <c r="I4661" t="s">
        <v>14</v>
      </c>
      <c r="J4661" t="s">
        <v>14</v>
      </c>
      <c r="K4661">
        <v>80</v>
      </c>
      <c r="L4661" t="str">
        <f>IF(AND(CallLog[[#This Row],[Answered (Y/N)]]="Y", CallLog[[#This Row],[Speed of answer in seconds]]&lt;=20),
    "Within",
    "Breach")</f>
        <v>Breach</v>
      </c>
      <c r="M4661" s="1">
        <v>3.9351851851851852E-4</v>
      </c>
      <c r="N4661">
        <v>5</v>
      </c>
    </row>
    <row r="4662" spans="1:14" x14ac:dyDescent="0.3">
      <c r="A4662" t="s">
        <v>4768</v>
      </c>
      <c r="B4662" t="s">
        <v>47</v>
      </c>
      <c r="C4662" t="s">
        <v>4746</v>
      </c>
      <c r="D4662" s="1">
        <v>0.48200231481481481</v>
      </c>
      <c r="E4662" s="2">
        <f>CallLog[[#This Row],[Date]]+CallLog[[#This Row],[Time]]</f>
        <v>44279.482002314813</v>
      </c>
      <c r="F4662" s="1" t="str">
        <f>TEXT(CallLog[[#This Row],[Date]],"dddd")</f>
        <v>Wednesday</v>
      </c>
      <c r="G4662" s="3">
        <f>HOUR(CallLog[[#This Row],[Time]])</f>
        <v>11</v>
      </c>
      <c r="H4662" t="s">
        <v>24</v>
      </c>
      <c r="I4662" t="s">
        <v>14</v>
      </c>
      <c r="J4662" t="s">
        <v>14</v>
      </c>
      <c r="K4662">
        <v>82</v>
      </c>
      <c r="L4662" t="str">
        <f>IF(AND(CallLog[[#This Row],[Answered (Y/N)]]="Y", CallLog[[#This Row],[Speed of answer in seconds]]&lt;=20),
    "Within",
    "Breach")</f>
        <v>Breach</v>
      </c>
      <c r="M4662" s="1">
        <v>7.7546296296296293E-4</v>
      </c>
      <c r="N4662">
        <v>3</v>
      </c>
    </row>
    <row r="4663" spans="1:14" x14ac:dyDescent="0.3">
      <c r="A4663" t="s">
        <v>4769</v>
      </c>
      <c r="B4663" t="s">
        <v>38</v>
      </c>
      <c r="C4663" t="s">
        <v>4746</v>
      </c>
      <c r="D4663" s="1">
        <v>0.48200231481481481</v>
      </c>
      <c r="E4663" s="2">
        <f>CallLog[[#This Row],[Date]]+CallLog[[#This Row],[Time]]</f>
        <v>44279.482002314813</v>
      </c>
      <c r="F4663" s="1" t="str">
        <f>TEXT(CallLog[[#This Row],[Date]],"dddd")</f>
        <v>Wednesday</v>
      </c>
      <c r="G4663" s="3">
        <f>HOUR(CallLog[[#This Row],[Time]])</f>
        <v>11</v>
      </c>
      <c r="H4663" t="s">
        <v>24</v>
      </c>
      <c r="I4663" t="s">
        <v>14</v>
      </c>
      <c r="J4663" t="s">
        <v>14</v>
      </c>
      <c r="K4663">
        <v>97</v>
      </c>
      <c r="L4663" t="str">
        <f>IF(AND(CallLog[[#This Row],[Answered (Y/N)]]="Y", CallLog[[#This Row],[Speed of answer in seconds]]&lt;=20),
    "Within",
    "Breach")</f>
        <v>Breach</v>
      </c>
      <c r="M4663" s="1">
        <v>2.0370370370370369E-3</v>
      </c>
      <c r="N4663">
        <v>1</v>
      </c>
    </row>
    <row r="4664" spans="1:14" x14ac:dyDescent="0.3">
      <c r="A4664" t="s">
        <v>4770</v>
      </c>
      <c r="B4664" t="s">
        <v>34</v>
      </c>
      <c r="C4664" t="s">
        <v>4746</v>
      </c>
      <c r="D4664" s="1">
        <v>0.51299768518518518</v>
      </c>
      <c r="E4664" s="2">
        <f>CallLog[[#This Row],[Date]]+CallLog[[#This Row],[Time]]</f>
        <v>44279.512997685182</v>
      </c>
      <c r="F4664" s="1" t="str">
        <f>TEXT(CallLog[[#This Row],[Date]],"dddd")</f>
        <v>Wednesday</v>
      </c>
      <c r="G4664" s="3">
        <f>HOUR(CallLog[[#This Row],[Time]])</f>
        <v>12</v>
      </c>
      <c r="H4664" t="s">
        <v>24</v>
      </c>
      <c r="I4664" t="s">
        <v>14</v>
      </c>
      <c r="J4664" t="s">
        <v>14</v>
      </c>
      <c r="K4664">
        <v>31</v>
      </c>
      <c r="L4664" t="str">
        <f>IF(AND(CallLog[[#This Row],[Answered (Y/N)]]="Y", CallLog[[#This Row],[Speed of answer in seconds]]&lt;=20),
    "Within",
    "Breach")</f>
        <v>Breach</v>
      </c>
      <c r="M4664" s="1">
        <v>1.9560185185185184E-3</v>
      </c>
      <c r="N4664">
        <v>5</v>
      </c>
    </row>
    <row r="4665" spans="1:14" x14ac:dyDescent="0.3">
      <c r="A4665" t="s">
        <v>4771</v>
      </c>
      <c r="B4665" t="s">
        <v>31</v>
      </c>
      <c r="C4665" t="s">
        <v>4746</v>
      </c>
      <c r="D4665" s="1">
        <v>0.51299768518518518</v>
      </c>
      <c r="E4665" s="2">
        <f>CallLog[[#This Row],[Date]]+CallLog[[#This Row],[Time]]</f>
        <v>44279.512997685182</v>
      </c>
      <c r="F4665" s="1" t="str">
        <f>TEXT(CallLog[[#This Row],[Date]],"dddd")</f>
        <v>Wednesday</v>
      </c>
      <c r="G4665" s="3">
        <f>HOUR(CallLog[[#This Row],[Time]])</f>
        <v>12</v>
      </c>
      <c r="H4665" t="s">
        <v>29</v>
      </c>
      <c r="I4665" t="s">
        <v>18</v>
      </c>
      <c r="J4665" t="s">
        <v>18</v>
      </c>
      <c r="L4665" t="str">
        <f>IF(AND(CallLog[[#This Row],[Answered (Y/N)]]="Y", CallLog[[#This Row],[Speed of answer in seconds]]&lt;=20),
    "Within",
    "Breach")</f>
        <v>Breach</v>
      </c>
    </row>
    <row r="4666" spans="1:14" x14ac:dyDescent="0.3">
      <c r="A4666" t="s">
        <v>4772</v>
      </c>
      <c r="B4666" t="s">
        <v>47</v>
      </c>
      <c r="C4666" t="s">
        <v>4746</v>
      </c>
      <c r="D4666" s="1">
        <v>0.5540046296296296</v>
      </c>
      <c r="E4666" s="2">
        <f>CallLog[[#This Row],[Date]]+CallLog[[#This Row],[Time]]</f>
        <v>44279.55400462963</v>
      </c>
      <c r="F4666" s="1" t="str">
        <f>TEXT(CallLog[[#This Row],[Date]],"dddd")</f>
        <v>Wednesday</v>
      </c>
      <c r="G4666" s="3">
        <f>HOUR(CallLog[[#This Row],[Time]])</f>
        <v>13</v>
      </c>
      <c r="H4666" t="s">
        <v>17</v>
      </c>
      <c r="I4666" t="s">
        <v>14</v>
      </c>
      <c r="J4666" t="s">
        <v>14</v>
      </c>
      <c r="K4666">
        <v>11</v>
      </c>
      <c r="L4666" t="str">
        <f>IF(AND(CallLog[[#This Row],[Answered (Y/N)]]="Y", CallLog[[#This Row],[Speed of answer in seconds]]&lt;=20),
    "Within",
    "Breach")</f>
        <v>Within</v>
      </c>
      <c r="M4666" s="1">
        <v>4.43287037037037E-3</v>
      </c>
      <c r="N4666">
        <v>5</v>
      </c>
    </row>
    <row r="4667" spans="1:14" x14ac:dyDescent="0.3">
      <c r="A4667" t="s">
        <v>4773</v>
      </c>
      <c r="B4667" t="s">
        <v>16</v>
      </c>
      <c r="C4667" t="s">
        <v>4746</v>
      </c>
      <c r="D4667" s="1">
        <v>0.5540046296296296</v>
      </c>
      <c r="E4667" s="2">
        <f>CallLog[[#This Row],[Date]]+CallLog[[#This Row],[Time]]</f>
        <v>44279.55400462963</v>
      </c>
      <c r="F4667" s="1" t="str">
        <f>TEXT(CallLog[[#This Row],[Date]],"dddd")</f>
        <v>Wednesday</v>
      </c>
      <c r="G4667" s="3">
        <f>HOUR(CallLog[[#This Row],[Time]])</f>
        <v>13</v>
      </c>
      <c r="H4667" t="s">
        <v>32</v>
      </c>
      <c r="I4667" t="s">
        <v>14</v>
      </c>
      <c r="J4667" t="s">
        <v>14</v>
      </c>
      <c r="K4667">
        <v>91</v>
      </c>
      <c r="L4667" t="str">
        <f>IF(AND(CallLog[[#This Row],[Answered (Y/N)]]="Y", CallLog[[#This Row],[Speed of answer in seconds]]&lt;=20),
    "Within",
    "Breach")</f>
        <v>Breach</v>
      </c>
      <c r="M4667" s="1">
        <v>1.3078703703703703E-3</v>
      </c>
      <c r="N4667">
        <v>3</v>
      </c>
    </row>
    <row r="4668" spans="1:14" x14ac:dyDescent="0.3">
      <c r="A4668" t="s">
        <v>4774</v>
      </c>
      <c r="B4668" t="s">
        <v>16</v>
      </c>
      <c r="C4668" t="s">
        <v>4746</v>
      </c>
      <c r="D4668" s="1">
        <v>0.5709953703703704</v>
      </c>
      <c r="E4668" s="2">
        <f>CallLog[[#This Row],[Date]]+CallLog[[#This Row],[Time]]</f>
        <v>44279.57099537037</v>
      </c>
      <c r="F4668" s="1" t="str">
        <f>TEXT(CallLog[[#This Row],[Date]],"dddd")</f>
        <v>Wednesday</v>
      </c>
      <c r="G4668" s="3">
        <f>HOUR(CallLog[[#This Row],[Time]])</f>
        <v>13</v>
      </c>
      <c r="H4668" t="s">
        <v>17</v>
      </c>
      <c r="I4668" t="s">
        <v>14</v>
      </c>
      <c r="J4668" t="s">
        <v>14</v>
      </c>
      <c r="K4668">
        <v>15</v>
      </c>
      <c r="L4668" t="str">
        <f>IF(AND(CallLog[[#This Row],[Answered (Y/N)]]="Y", CallLog[[#This Row],[Speed of answer in seconds]]&lt;=20),
    "Within",
    "Breach")</f>
        <v>Within</v>
      </c>
      <c r="M4668" s="1">
        <v>1.3425925925925925E-3</v>
      </c>
      <c r="N4668">
        <v>5</v>
      </c>
    </row>
    <row r="4669" spans="1:14" x14ac:dyDescent="0.3">
      <c r="A4669" t="s">
        <v>4775</v>
      </c>
      <c r="B4669" t="s">
        <v>31</v>
      </c>
      <c r="C4669" t="s">
        <v>4746</v>
      </c>
      <c r="D4669" s="1">
        <v>0.5709953703703704</v>
      </c>
      <c r="E4669" s="2">
        <f>CallLog[[#This Row],[Date]]+CallLog[[#This Row],[Time]]</f>
        <v>44279.57099537037</v>
      </c>
      <c r="F4669" s="1" t="str">
        <f>TEXT(CallLog[[#This Row],[Date]],"dddd")</f>
        <v>Wednesday</v>
      </c>
      <c r="G4669" s="3">
        <f>HOUR(CallLog[[#This Row],[Time]])</f>
        <v>13</v>
      </c>
      <c r="H4669" t="s">
        <v>13</v>
      </c>
      <c r="I4669" t="s">
        <v>14</v>
      </c>
      <c r="J4669" t="s">
        <v>14</v>
      </c>
      <c r="K4669">
        <v>17</v>
      </c>
      <c r="L4669" t="str">
        <f>IF(AND(CallLog[[#This Row],[Answered (Y/N)]]="Y", CallLog[[#This Row],[Speed of answer in seconds]]&lt;=20),
    "Within",
    "Breach")</f>
        <v>Within</v>
      </c>
      <c r="M4669" s="1">
        <v>4.2361111111111115E-3</v>
      </c>
      <c r="N4669">
        <v>3</v>
      </c>
    </row>
    <row r="4670" spans="1:14" x14ac:dyDescent="0.3">
      <c r="A4670" t="s">
        <v>4776</v>
      </c>
      <c r="B4670" t="s">
        <v>22</v>
      </c>
      <c r="C4670" t="s">
        <v>4746</v>
      </c>
      <c r="D4670" s="1">
        <v>0.57900462962962962</v>
      </c>
      <c r="E4670" s="2">
        <f>CallLog[[#This Row],[Date]]+CallLog[[#This Row],[Time]]</f>
        <v>44279.579004629632</v>
      </c>
      <c r="F4670" s="1" t="str">
        <f>TEXT(CallLog[[#This Row],[Date]],"dddd")</f>
        <v>Wednesday</v>
      </c>
      <c r="G4670" s="3">
        <f>HOUR(CallLog[[#This Row],[Time]])</f>
        <v>13</v>
      </c>
      <c r="H4670" t="s">
        <v>17</v>
      </c>
      <c r="I4670" t="s">
        <v>14</v>
      </c>
      <c r="J4670" t="s">
        <v>14</v>
      </c>
      <c r="K4670">
        <v>38</v>
      </c>
      <c r="L4670" t="str">
        <f>IF(AND(CallLog[[#This Row],[Answered (Y/N)]]="Y", CallLog[[#This Row],[Speed of answer in seconds]]&lt;=20),
    "Within",
    "Breach")</f>
        <v>Breach</v>
      </c>
      <c r="M4670" s="1">
        <v>3.2407407407407406E-3</v>
      </c>
      <c r="N4670">
        <v>2</v>
      </c>
    </row>
    <row r="4671" spans="1:14" x14ac:dyDescent="0.3">
      <c r="A4671" t="s">
        <v>4777</v>
      </c>
      <c r="B4671" t="s">
        <v>20</v>
      </c>
      <c r="C4671" t="s">
        <v>4746</v>
      </c>
      <c r="D4671" s="1">
        <v>0.57900462962962962</v>
      </c>
      <c r="E4671" s="2">
        <f>CallLog[[#This Row],[Date]]+CallLog[[#This Row],[Time]]</f>
        <v>44279.579004629632</v>
      </c>
      <c r="F4671" s="1" t="str">
        <f>TEXT(CallLog[[#This Row],[Date]],"dddd")</f>
        <v>Wednesday</v>
      </c>
      <c r="G4671" s="3">
        <f>HOUR(CallLog[[#This Row],[Time]])</f>
        <v>13</v>
      </c>
      <c r="H4671" t="s">
        <v>17</v>
      </c>
      <c r="I4671" t="s">
        <v>14</v>
      </c>
      <c r="J4671" t="s">
        <v>14</v>
      </c>
      <c r="K4671">
        <v>47</v>
      </c>
      <c r="L4671" t="str">
        <f>IF(AND(CallLog[[#This Row],[Answered (Y/N)]]="Y", CallLog[[#This Row],[Speed of answer in seconds]]&lt;=20),
    "Within",
    "Breach")</f>
        <v>Breach</v>
      </c>
      <c r="M4671" s="1">
        <v>3.1250000000000002E-3</v>
      </c>
      <c r="N4671">
        <v>4</v>
      </c>
    </row>
    <row r="4672" spans="1:14" x14ac:dyDescent="0.3">
      <c r="A4672" t="s">
        <v>4778</v>
      </c>
      <c r="B4672" t="s">
        <v>47</v>
      </c>
      <c r="C4672" t="s">
        <v>4746</v>
      </c>
      <c r="D4672" s="1">
        <v>0.60200231481481481</v>
      </c>
      <c r="E4672" s="2">
        <f>CallLog[[#This Row],[Date]]+CallLog[[#This Row],[Time]]</f>
        <v>44279.602002314816</v>
      </c>
      <c r="F4672" s="1" t="str">
        <f>TEXT(CallLog[[#This Row],[Date]],"dddd")</f>
        <v>Wednesday</v>
      </c>
      <c r="G4672" s="3">
        <f>HOUR(CallLog[[#This Row],[Time]])</f>
        <v>14</v>
      </c>
      <c r="H4672" t="s">
        <v>17</v>
      </c>
      <c r="I4672" t="s">
        <v>14</v>
      </c>
      <c r="J4672" t="s">
        <v>14</v>
      </c>
      <c r="K4672">
        <v>52</v>
      </c>
      <c r="L4672" t="str">
        <f>IF(AND(CallLog[[#This Row],[Answered (Y/N)]]="Y", CallLog[[#This Row],[Speed of answer in seconds]]&lt;=20),
    "Within",
    "Breach")</f>
        <v>Breach</v>
      </c>
      <c r="M4672" s="1">
        <v>7.8703703703703705E-4</v>
      </c>
      <c r="N4672">
        <v>3</v>
      </c>
    </row>
    <row r="4673" spans="1:14" x14ac:dyDescent="0.3">
      <c r="A4673" t="s">
        <v>4779</v>
      </c>
      <c r="B4673" t="s">
        <v>22</v>
      </c>
      <c r="C4673" t="s">
        <v>4746</v>
      </c>
      <c r="D4673" s="1">
        <v>0.60200231481481481</v>
      </c>
      <c r="E4673" s="2">
        <f>CallLog[[#This Row],[Date]]+CallLog[[#This Row],[Time]]</f>
        <v>44279.602002314816</v>
      </c>
      <c r="F4673" s="1" t="str">
        <f>TEXT(CallLog[[#This Row],[Date]],"dddd")</f>
        <v>Wednesday</v>
      </c>
      <c r="G4673" s="3">
        <f>HOUR(CallLog[[#This Row],[Time]])</f>
        <v>14</v>
      </c>
      <c r="H4673" t="s">
        <v>13</v>
      </c>
      <c r="I4673" t="s">
        <v>14</v>
      </c>
      <c r="J4673" t="s">
        <v>14</v>
      </c>
      <c r="K4673">
        <v>99</v>
      </c>
      <c r="L4673" t="str">
        <f>IF(AND(CallLog[[#This Row],[Answered (Y/N)]]="Y", CallLog[[#This Row],[Speed of answer in seconds]]&lt;=20),
    "Within",
    "Breach")</f>
        <v>Breach</v>
      </c>
      <c r="M4673" s="1">
        <v>1.0069444444444444E-3</v>
      </c>
      <c r="N4673">
        <v>3</v>
      </c>
    </row>
    <row r="4674" spans="1:14" x14ac:dyDescent="0.3">
      <c r="A4674" t="s">
        <v>4780</v>
      </c>
      <c r="B4674" t="s">
        <v>20</v>
      </c>
      <c r="C4674" t="s">
        <v>4746</v>
      </c>
      <c r="D4674" s="1">
        <v>0.61099537037037033</v>
      </c>
      <c r="E4674" s="2">
        <f>CallLog[[#This Row],[Date]]+CallLog[[#This Row],[Time]]</f>
        <v>44279.610995370371</v>
      </c>
      <c r="F4674" s="1" t="str">
        <f>TEXT(CallLog[[#This Row],[Date]],"dddd")</f>
        <v>Wednesday</v>
      </c>
      <c r="G4674" s="3">
        <f>HOUR(CallLog[[#This Row],[Time]])</f>
        <v>14</v>
      </c>
      <c r="H4674" t="s">
        <v>24</v>
      </c>
      <c r="I4674" t="s">
        <v>18</v>
      </c>
      <c r="J4674" t="s">
        <v>18</v>
      </c>
      <c r="L4674" t="str">
        <f>IF(AND(CallLog[[#This Row],[Answered (Y/N)]]="Y", CallLog[[#This Row],[Speed of answer in seconds]]&lt;=20),
    "Within",
    "Breach")</f>
        <v>Breach</v>
      </c>
    </row>
    <row r="4675" spans="1:14" x14ac:dyDescent="0.3">
      <c r="A4675" t="s">
        <v>4781</v>
      </c>
      <c r="B4675" t="s">
        <v>38</v>
      </c>
      <c r="C4675" t="s">
        <v>4746</v>
      </c>
      <c r="D4675" s="1">
        <v>0.61099537037037033</v>
      </c>
      <c r="E4675" s="2">
        <f>CallLog[[#This Row],[Date]]+CallLog[[#This Row],[Time]]</f>
        <v>44279.610995370371</v>
      </c>
      <c r="F4675" s="1" t="str">
        <f>TEXT(CallLog[[#This Row],[Date]],"dddd")</f>
        <v>Wednesday</v>
      </c>
      <c r="G4675" s="3">
        <f>HOUR(CallLog[[#This Row],[Time]])</f>
        <v>14</v>
      </c>
      <c r="H4675" t="s">
        <v>13</v>
      </c>
      <c r="I4675" t="s">
        <v>14</v>
      </c>
      <c r="J4675" t="s">
        <v>14</v>
      </c>
      <c r="K4675">
        <v>108</v>
      </c>
      <c r="L4675" t="str">
        <f>IF(AND(CallLog[[#This Row],[Answered (Y/N)]]="Y", CallLog[[#This Row],[Speed of answer in seconds]]&lt;=20),
    "Within",
    "Breach")</f>
        <v>Breach</v>
      </c>
      <c r="M4675" s="1">
        <v>2.1527777777777778E-3</v>
      </c>
      <c r="N4675">
        <v>2</v>
      </c>
    </row>
    <row r="4676" spans="1:14" x14ac:dyDescent="0.3">
      <c r="A4676" t="s">
        <v>4782</v>
      </c>
      <c r="B4676" t="s">
        <v>11</v>
      </c>
      <c r="C4676" t="s">
        <v>4746</v>
      </c>
      <c r="D4676" s="1">
        <v>0.62599537037037034</v>
      </c>
      <c r="E4676" s="2">
        <f>CallLog[[#This Row],[Date]]+CallLog[[#This Row],[Time]]</f>
        <v>44279.62599537037</v>
      </c>
      <c r="F4676" s="1" t="str">
        <f>TEXT(CallLog[[#This Row],[Date]],"dddd")</f>
        <v>Wednesday</v>
      </c>
      <c r="G4676" s="3">
        <f>HOUR(CallLog[[#This Row],[Time]])</f>
        <v>15</v>
      </c>
      <c r="H4676" t="s">
        <v>32</v>
      </c>
      <c r="I4676" t="s">
        <v>14</v>
      </c>
      <c r="J4676" t="s">
        <v>14</v>
      </c>
      <c r="K4676">
        <v>54</v>
      </c>
      <c r="L4676" t="str">
        <f>IF(AND(CallLog[[#This Row],[Answered (Y/N)]]="Y", CallLog[[#This Row],[Speed of answer in seconds]]&lt;=20),
    "Within",
    "Breach")</f>
        <v>Breach</v>
      </c>
      <c r="M4676" s="1">
        <v>1.4930555555555556E-3</v>
      </c>
      <c r="N4676">
        <v>3</v>
      </c>
    </row>
    <row r="4677" spans="1:14" x14ac:dyDescent="0.3">
      <c r="A4677" t="s">
        <v>4783</v>
      </c>
      <c r="B4677" t="s">
        <v>34</v>
      </c>
      <c r="C4677" t="s">
        <v>4746</v>
      </c>
      <c r="D4677" s="1">
        <v>0.62599537037037034</v>
      </c>
      <c r="E4677" s="2">
        <f>CallLog[[#This Row],[Date]]+CallLog[[#This Row],[Time]]</f>
        <v>44279.62599537037</v>
      </c>
      <c r="F4677" s="1" t="str">
        <f>TEXT(CallLog[[#This Row],[Date]],"dddd")</f>
        <v>Wednesday</v>
      </c>
      <c r="G4677" s="3">
        <f>HOUR(CallLog[[#This Row],[Time]])</f>
        <v>15</v>
      </c>
      <c r="H4677" t="s">
        <v>13</v>
      </c>
      <c r="I4677" t="s">
        <v>14</v>
      </c>
      <c r="J4677" t="s">
        <v>14</v>
      </c>
      <c r="K4677">
        <v>73</v>
      </c>
      <c r="L4677" t="str">
        <f>IF(AND(CallLog[[#This Row],[Answered (Y/N)]]="Y", CallLog[[#This Row],[Speed of answer in seconds]]&lt;=20),
    "Within",
    "Breach")</f>
        <v>Breach</v>
      </c>
      <c r="M4677" s="1">
        <v>2.8356481481481483E-3</v>
      </c>
      <c r="N4677">
        <v>3</v>
      </c>
    </row>
    <row r="4678" spans="1:14" x14ac:dyDescent="0.3">
      <c r="A4678" t="s">
        <v>4784</v>
      </c>
      <c r="B4678" t="s">
        <v>38</v>
      </c>
      <c r="C4678" t="s">
        <v>4746</v>
      </c>
      <c r="D4678" s="1">
        <v>0.63700231481481484</v>
      </c>
      <c r="E4678" s="2">
        <f>CallLog[[#This Row],[Date]]+CallLog[[#This Row],[Time]]</f>
        <v>44279.637002314812</v>
      </c>
      <c r="F4678" s="1" t="str">
        <f>TEXT(CallLog[[#This Row],[Date]],"dddd")</f>
        <v>Wednesday</v>
      </c>
      <c r="G4678" s="3">
        <f>HOUR(CallLog[[#This Row],[Time]])</f>
        <v>15</v>
      </c>
      <c r="H4678" t="s">
        <v>29</v>
      </c>
      <c r="I4678" t="s">
        <v>14</v>
      </c>
      <c r="J4678" t="s">
        <v>14</v>
      </c>
      <c r="K4678">
        <v>123</v>
      </c>
      <c r="L4678" t="str">
        <f>IF(AND(CallLog[[#This Row],[Answered (Y/N)]]="Y", CallLog[[#This Row],[Speed of answer in seconds]]&lt;=20),
    "Within",
    "Breach")</f>
        <v>Breach</v>
      </c>
      <c r="M4678" s="1">
        <v>5.4398148148148144E-4</v>
      </c>
      <c r="N4678">
        <v>1</v>
      </c>
    </row>
    <row r="4679" spans="1:14" x14ac:dyDescent="0.3">
      <c r="A4679" t="s">
        <v>4785</v>
      </c>
      <c r="B4679" t="s">
        <v>22</v>
      </c>
      <c r="C4679" t="s">
        <v>4746</v>
      </c>
      <c r="D4679" s="1">
        <v>0.63700231481481484</v>
      </c>
      <c r="E4679" s="2">
        <f>CallLog[[#This Row],[Date]]+CallLog[[#This Row],[Time]]</f>
        <v>44279.637002314812</v>
      </c>
      <c r="F4679" s="1" t="str">
        <f>TEXT(CallLog[[#This Row],[Date]],"dddd")</f>
        <v>Wednesday</v>
      </c>
      <c r="G4679" s="3">
        <f>HOUR(CallLog[[#This Row],[Time]])</f>
        <v>15</v>
      </c>
      <c r="H4679" t="s">
        <v>24</v>
      </c>
      <c r="I4679" t="s">
        <v>14</v>
      </c>
      <c r="J4679" t="s">
        <v>14</v>
      </c>
      <c r="K4679">
        <v>33</v>
      </c>
      <c r="L4679" t="str">
        <f>IF(AND(CallLog[[#This Row],[Answered (Y/N)]]="Y", CallLog[[#This Row],[Speed of answer in seconds]]&lt;=20),
    "Within",
    "Breach")</f>
        <v>Breach</v>
      </c>
      <c r="M4679" s="1">
        <v>4.2939814814814811E-3</v>
      </c>
      <c r="N4679">
        <v>5</v>
      </c>
    </row>
    <row r="4680" spans="1:14" x14ac:dyDescent="0.3">
      <c r="A4680" t="s">
        <v>4786</v>
      </c>
      <c r="B4680" t="s">
        <v>20</v>
      </c>
      <c r="C4680" t="s">
        <v>4746</v>
      </c>
      <c r="D4680" s="1">
        <v>0.64799768518518519</v>
      </c>
      <c r="E4680" s="2">
        <f>CallLog[[#This Row],[Date]]+CallLog[[#This Row],[Time]]</f>
        <v>44279.647997685184</v>
      </c>
      <c r="F4680" s="1" t="str">
        <f>TEXT(CallLog[[#This Row],[Date]],"dddd")</f>
        <v>Wednesday</v>
      </c>
      <c r="G4680" s="3">
        <f>HOUR(CallLog[[#This Row],[Time]])</f>
        <v>15</v>
      </c>
      <c r="H4680" t="s">
        <v>24</v>
      </c>
      <c r="I4680" t="s">
        <v>14</v>
      </c>
      <c r="J4680" t="s">
        <v>14</v>
      </c>
      <c r="K4680">
        <v>53</v>
      </c>
      <c r="L4680" t="str">
        <f>IF(AND(CallLog[[#This Row],[Answered (Y/N)]]="Y", CallLog[[#This Row],[Speed of answer in seconds]]&lt;=20),
    "Within",
    "Breach")</f>
        <v>Breach</v>
      </c>
      <c r="M4680" s="1">
        <v>9.4907407407407408E-4</v>
      </c>
      <c r="N4680">
        <v>2</v>
      </c>
    </row>
    <row r="4681" spans="1:14" x14ac:dyDescent="0.3">
      <c r="A4681" t="s">
        <v>4787</v>
      </c>
      <c r="B4681" t="s">
        <v>34</v>
      </c>
      <c r="C4681" t="s">
        <v>4746</v>
      </c>
      <c r="D4681" s="1">
        <v>0.64799768518518519</v>
      </c>
      <c r="E4681" s="2">
        <f>CallLog[[#This Row],[Date]]+CallLog[[#This Row],[Time]]</f>
        <v>44279.647997685184</v>
      </c>
      <c r="F4681" s="1" t="str">
        <f>TEXT(CallLog[[#This Row],[Date]],"dddd")</f>
        <v>Wednesday</v>
      </c>
      <c r="G4681" s="3">
        <f>HOUR(CallLog[[#This Row],[Time]])</f>
        <v>15</v>
      </c>
      <c r="H4681" t="s">
        <v>24</v>
      </c>
      <c r="I4681" t="s">
        <v>14</v>
      </c>
      <c r="J4681" t="s">
        <v>14</v>
      </c>
      <c r="K4681">
        <v>35</v>
      </c>
      <c r="L4681" t="str">
        <f>IF(AND(CallLog[[#This Row],[Answered (Y/N)]]="Y", CallLog[[#This Row],[Speed of answer in seconds]]&lt;=20),
    "Within",
    "Breach")</f>
        <v>Breach</v>
      </c>
      <c r="M4681" s="1">
        <v>2.0370370370370369E-3</v>
      </c>
      <c r="N4681">
        <v>1</v>
      </c>
    </row>
    <row r="4682" spans="1:14" x14ac:dyDescent="0.3">
      <c r="A4682" t="s">
        <v>4788</v>
      </c>
      <c r="B4682" t="s">
        <v>11</v>
      </c>
      <c r="C4682" t="s">
        <v>4746</v>
      </c>
      <c r="D4682" s="1">
        <v>0.65700231481481486</v>
      </c>
      <c r="E4682" s="2">
        <f>CallLog[[#This Row],[Date]]+CallLog[[#This Row],[Time]]</f>
        <v>44279.657002314816</v>
      </c>
      <c r="F4682" s="1" t="str">
        <f>TEXT(CallLog[[#This Row],[Date]],"dddd")</f>
        <v>Wednesday</v>
      </c>
      <c r="G4682" s="3">
        <f>HOUR(CallLog[[#This Row],[Time]])</f>
        <v>15</v>
      </c>
      <c r="H4682" t="s">
        <v>13</v>
      </c>
      <c r="I4682" t="s">
        <v>18</v>
      </c>
      <c r="J4682" t="s">
        <v>18</v>
      </c>
      <c r="L4682" t="str">
        <f>IF(AND(CallLog[[#This Row],[Answered (Y/N)]]="Y", CallLog[[#This Row],[Speed of answer in seconds]]&lt;=20),
    "Within",
    "Breach")</f>
        <v>Breach</v>
      </c>
    </row>
    <row r="4683" spans="1:14" x14ac:dyDescent="0.3">
      <c r="A4683" t="s">
        <v>4789</v>
      </c>
      <c r="B4683" t="s">
        <v>16</v>
      </c>
      <c r="C4683" t="s">
        <v>4746</v>
      </c>
      <c r="D4683" s="1">
        <v>0.65700231481481486</v>
      </c>
      <c r="E4683" s="2">
        <f>CallLog[[#This Row],[Date]]+CallLog[[#This Row],[Time]]</f>
        <v>44279.657002314816</v>
      </c>
      <c r="F4683" s="1" t="str">
        <f>TEXT(CallLog[[#This Row],[Date]],"dddd")</f>
        <v>Wednesday</v>
      </c>
      <c r="G4683" s="3">
        <f>HOUR(CallLog[[#This Row],[Time]])</f>
        <v>15</v>
      </c>
      <c r="H4683" t="s">
        <v>17</v>
      </c>
      <c r="I4683" t="s">
        <v>14</v>
      </c>
      <c r="J4683" t="s">
        <v>14</v>
      </c>
      <c r="K4683">
        <v>45</v>
      </c>
      <c r="L4683" t="str">
        <f>IF(AND(CallLog[[#This Row],[Answered (Y/N)]]="Y", CallLog[[#This Row],[Speed of answer in seconds]]&lt;=20),
    "Within",
    "Breach")</f>
        <v>Breach</v>
      </c>
      <c r="M4683" s="1">
        <v>4.0509259259259257E-3</v>
      </c>
      <c r="N4683">
        <v>3</v>
      </c>
    </row>
    <row r="4684" spans="1:14" x14ac:dyDescent="0.3">
      <c r="A4684" t="s">
        <v>4790</v>
      </c>
      <c r="B4684" t="s">
        <v>47</v>
      </c>
      <c r="C4684" t="s">
        <v>4746</v>
      </c>
      <c r="D4684" s="1">
        <v>0.67799768518518522</v>
      </c>
      <c r="E4684" s="2">
        <f>CallLog[[#This Row],[Date]]+CallLog[[#This Row],[Time]]</f>
        <v>44279.677997685183</v>
      </c>
      <c r="F4684" s="1" t="str">
        <f>TEXT(CallLog[[#This Row],[Date]],"dddd")</f>
        <v>Wednesday</v>
      </c>
      <c r="G4684" s="3">
        <f>HOUR(CallLog[[#This Row],[Time]])</f>
        <v>16</v>
      </c>
      <c r="H4684" t="s">
        <v>24</v>
      </c>
      <c r="I4684" t="s">
        <v>14</v>
      </c>
      <c r="J4684" t="s">
        <v>18</v>
      </c>
      <c r="K4684">
        <v>113</v>
      </c>
      <c r="L4684" t="str">
        <f>IF(AND(CallLog[[#This Row],[Answered (Y/N)]]="Y", CallLog[[#This Row],[Speed of answer in seconds]]&lt;=20),
    "Within",
    "Breach")</f>
        <v>Breach</v>
      </c>
      <c r="M4684" s="1">
        <v>2.7083333333333334E-3</v>
      </c>
      <c r="N4684">
        <v>1</v>
      </c>
    </row>
    <row r="4685" spans="1:14" x14ac:dyDescent="0.3">
      <c r="A4685" t="s">
        <v>4791</v>
      </c>
      <c r="B4685" t="s">
        <v>31</v>
      </c>
      <c r="C4685" t="s">
        <v>4746</v>
      </c>
      <c r="D4685" s="1">
        <v>0.67799768518518522</v>
      </c>
      <c r="E4685" s="2">
        <f>CallLog[[#This Row],[Date]]+CallLog[[#This Row],[Time]]</f>
        <v>44279.677997685183</v>
      </c>
      <c r="F4685" s="1" t="str">
        <f>TEXT(CallLog[[#This Row],[Date]],"dddd")</f>
        <v>Wednesday</v>
      </c>
      <c r="G4685" s="3">
        <f>HOUR(CallLog[[#This Row],[Time]])</f>
        <v>16</v>
      </c>
      <c r="H4685" t="s">
        <v>29</v>
      </c>
      <c r="I4685" t="s">
        <v>14</v>
      </c>
      <c r="J4685" t="s">
        <v>14</v>
      </c>
      <c r="K4685">
        <v>115</v>
      </c>
      <c r="L4685" t="str">
        <f>IF(AND(CallLog[[#This Row],[Answered (Y/N)]]="Y", CallLog[[#This Row],[Speed of answer in seconds]]&lt;=20),
    "Within",
    "Breach")</f>
        <v>Breach</v>
      </c>
      <c r="M4685" s="1">
        <v>3.5185185185185185E-3</v>
      </c>
      <c r="N4685">
        <v>5</v>
      </c>
    </row>
    <row r="4686" spans="1:14" x14ac:dyDescent="0.3">
      <c r="A4686" t="s">
        <v>4792</v>
      </c>
      <c r="B4686" t="s">
        <v>11</v>
      </c>
      <c r="C4686" t="s">
        <v>4746</v>
      </c>
      <c r="D4686" s="1">
        <v>0.6790046296296296</v>
      </c>
      <c r="E4686" s="2">
        <f>CallLog[[#This Row],[Date]]+CallLog[[#This Row],[Time]]</f>
        <v>44279.67900462963</v>
      </c>
      <c r="F4686" s="1" t="str">
        <f>TEXT(CallLog[[#This Row],[Date]],"dddd")</f>
        <v>Wednesday</v>
      </c>
      <c r="G4686" s="3">
        <f>HOUR(CallLog[[#This Row],[Time]])</f>
        <v>16</v>
      </c>
      <c r="H4686" t="s">
        <v>13</v>
      </c>
      <c r="I4686" t="s">
        <v>14</v>
      </c>
      <c r="J4686" t="s">
        <v>14</v>
      </c>
      <c r="K4686">
        <v>81</v>
      </c>
      <c r="L4686" t="str">
        <f>IF(AND(CallLog[[#This Row],[Answered (Y/N)]]="Y", CallLog[[#This Row],[Speed of answer in seconds]]&lt;=20),
    "Within",
    "Breach")</f>
        <v>Breach</v>
      </c>
      <c r="M4686" s="1">
        <v>1.3657407407407407E-3</v>
      </c>
      <c r="N4686">
        <v>5</v>
      </c>
    </row>
    <row r="4687" spans="1:14" x14ac:dyDescent="0.3">
      <c r="A4687" t="s">
        <v>4793</v>
      </c>
      <c r="B4687" t="s">
        <v>38</v>
      </c>
      <c r="C4687" t="s">
        <v>4746</v>
      </c>
      <c r="D4687" s="1">
        <v>0.6790046296296296</v>
      </c>
      <c r="E4687" s="2">
        <f>CallLog[[#This Row],[Date]]+CallLog[[#This Row],[Time]]</f>
        <v>44279.67900462963</v>
      </c>
      <c r="F4687" s="1" t="str">
        <f>TEXT(CallLog[[#This Row],[Date]],"dddd")</f>
        <v>Wednesday</v>
      </c>
      <c r="G4687" s="3">
        <f>HOUR(CallLog[[#This Row],[Time]])</f>
        <v>16</v>
      </c>
      <c r="H4687" t="s">
        <v>17</v>
      </c>
      <c r="I4687" t="s">
        <v>14</v>
      </c>
      <c r="J4687" t="s">
        <v>14</v>
      </c>
      <c r="K4687">
        <v>21</v>
      </c>
      <c r="L4687" t="str">
        <f>IF(AND(CallLog[[#This Row],[Answered (Y/N)]]="Y", CallLog[[#This Row],[Speed of answer in seconds]]&lt;=20),
    "Within",
    "Breach")</f>
        <v>Breach</v>
      </c>
      <c r="M4687" s="1">
        <v>3.3217592592592591E-3</v>
      </c>
      <c r="N4687">
        <v>5</v>
      </c>
    </row>
    <row r="4688" spans="1:14" x14ac:dyDescent="0.3">
      <c r="A4688" t="s">
        <v>4794</v>
      </c>
      <c r="B4688" t="s">
        <v>34</v>
      </c>
      <c r="C4688" t="s">
        <v>4746</v>
      </c>
      <c r="D4688" s="1">
        <v>0.68599537037037039</v>
      </c>
      <c r="E4688" s="2">
        <f>CallLog[[#This Row],[Date]]+CallLog[[#This Row],[Time]]</f>
        <v>44279.685995370368</v>
      </c>
      <c r="F4688" s="1" t="str">
        <f>TEXT(CallLog[[#This Row],[Date]],"dddd")</f>
        <v>Wednesday</v>
      </c>
      <c r="G4688" s="3">
        <f>HOUR(CallLog[[#This Row],[Time]])</f>
        <v>16</v>
      </c>
      <c r="H4688" t="s">
        <v>29</v>
      </c>
      <c r="I4688" t="s">
        <v>14</v>
      </c>
      <c r="J4688" t="s">
        <v>18</v>
      </c>
      <c r="K4688">
        <v>89</v>
      </c>
      <c r="L4688" t="str">
        <f>IF(AND(CallLog[[#This Row],[Answered (Y/N)]]="Y", CallLog[[#This Row],[Speed of answer in seconds]]&lt;=20),
    "Within",
    "Breach")</f>
        <v>Breach</v>
      </c>
      <c r="M4688" s="1">
        <v>8.1018518518518516E-4</v>
      </c>
      <c r="N4688">
        <v>5</v>
      </c>
    </row>
    <row r="4689" spans="1:14" x14ac:dyDescent="0.3">
      <c r="A4689" t="s">
        <v>4795</v>
      </c>
      <c r="B4689" t="s">
        <v>31</v>
      </c>
      <c r="C4689" t="s">
        <v>4746</v>
      </c>
      <c r="D4689" s="1">
        <v>0.68599537037037039</v>
      </c>
      <c r="E4689" s="2">
        <f>CallLog[[#This Row],[Date]]+CallLog[[#This Row],[Time]]</f>
        <v>44279.685995370368</v>
      </c>
      <c r="F4689" s="1" t="str">
        <f>TEXT(CallLog[[#This Row],[Date]],"dddd")</f>
        <v>Wednesday</v>
      </c>
      <c r="G4689" s="3">
        <f>HOUR(CallLog[[#This Row],[Time]])</f>
        <v>16</v>
      </c>
      <c r="H4689" t="s">
        <v>24</v>
      </c>
      <c r="I4689" t="s">
        <v>14</v>
      </c>
      <c r="J4689" t="s">
        <v>14</v>
      </c>
      <c r="K4689">
        <v>54</v>
      </c>
      <c r="L4689" t="str">
        <f>IF(AND(CallLog[[#This Row],[Answered (Y/N)]]="Y", CallLog[[#This Row],[Speed of answer in seconds]]&lt;=20),
    "Within",
    "Breach")</f>
        <v>Breach</v>
      </c>
      <c r="M4689" s="1">
        <v>3.6689814814814814E-3</v>
      </c>
      <c r="N4689">
        <v>3</v>
      </c>
    </row>
    <row r="4690" spans="1:14" x14ac:dyDescent="0.3">
      <c r="A4690" t="s">
        <v>4796</v>
      </c>
      <c r="B4690" t="s">
        <v>31</v>
      </c>
      <c r="C4690" t="s">
        <v>4746</v>
      </c>
      <c r="D4690" s="1">
        <v>0.68799768518518523</v>
      </c>
      <c r="E4690" s="2">
        <f>CallLog[[#This Row],[Date]]+CallLog[[#This Row],[Time]]</f>
        <v>44279.687997685185</v>
      </c>
      <c r="F4690" s="1" t="str">
        <f>TEXT(CallLog[[#This Row],[Date]],"dddd")</f>
        <v>Wednesday</v>
      </c>
      <c r="G4690" s="3">
        <f>HOUR(CallLog[[#This Row],[Time]])</f>
        <v>16</v>
      </c>
      <c r="H4690" t="s">
        <v>17</v>
      </c>
      <c r="I4690" t="s">
        <v>14</v>
      </c>
      <c r="J4690" t="s">
        <v>14</v>
      </c>
      <c r="K4690">
        <v>59</v>
      </c>
      <c r="L4690" t="str">
        <f>IF(AND(CallLog[[#This Row],[Answered (Y/N)]]="Y", CallLog[[#This Row],[Speed of answer in seconds]]&lt;=20),
    "Within",
    "Breach")</f>
        <v>Breach</v>
      </c>
      <c r="M4690" s="1">
        <v>4.2476851851851851E-3</v>
      </c>
      <c r="N4690">
        <v>1</v>
      </c>
    </row>
    <row r="4691" spans="1:14" x14ac:dyDescent="0.3">
      <c r="A4691" t="s">
        <v>4797</v>
      </c>
      <c r="B4691" t="s">
        <v>16</v>
      </c>
      <c r="C4691" t="s">
        <v>4746</v>
      </c>
      <c r="D4691" s="1">
        <v>0.68799768518518523</v>
      </c>
      <c r="E4691" s="2">
        <f>CallLog[[#This Row],[Date]]+CallLog[[#This Row],[Time]]</f>
        <v>44279.687997685185</v>
      </c>
      <c r="F4691" s="1" t="str">
        <f>TEXT(CallLog[[#This Row],[Date]],"dddd")</f>
        <v>Wednesday</v>
      </c>
      <c r="G4691" s="3">
        <f>HOUR(CallLog[[#This Row],[Time]])</f>
        <v>16</v>
      </c>
      <c r="H4691" t="s">
        <v>32</v>
      </c>
      <c r="I4691" t="s">
        <v>14</v>
      </c>
      <c r="J4691" t="s">
        <v>14</v>
      </c>
      <c r="K4691">
        <v>61</v>
      </c>
      <c r="L4691" t="str">
        <f>IF(AND(CallLog[[#This Row],[Answered (Y/N)]]="Y", CallLog[[#This Row],[Speed of answer in seconds]]&lt;=20),
    "Within",
    "Breach")</f>
        <v>Breach</v>
      </c>
      <c r="M4691" s="1">
        <v>2.9166666666666668E-3</v>
      </c>
      <c r="N4691">
        <v>1</v>
      </c>
    </row>
    <row r="4692" spans="1:14" x14ac:dyDescent="0.3">
      <c r="A4692" t="s">
        <v>4798</v>
      </c>
      <c r="B4692" t="s">
        <v>22</v>
      </c>
      <c r="C4692" t="s">
        <v>4746</v>
      </c>
      <c r="D4692" s="1">
        <v>0.72799768518518515</v>
      </c>
      <c r="E4692" s="2">
        <f>CallLog[[#This Row],[Date]]+CallLog[[#This Row],[Time]]</f>
        <v>44279.727997685186</v>
      </c>
      <c r="F4692" s="1" t="str">
        <f>TEXT(CallLog[[#This Row],[Date]],"dddd")</f>
        <v>Wednesday</v>
      </c>
      <c r="G4692" s="3">
        <f>HOUR(CallLog[[#This Row],[Time]])</f>
        <v>17</v>
      </c>
      <c r="H4692" t="s">
        <v>32</v>
      </c>
      <c r="I4692" t="s">
        <v>14</v>
      </c>
      <c r="J4692" t="s">
        <v>14</v>
      </c>
      <c r="K4692">
        <v>102</v>
      </c>
      <c r="L4692" t="str">
        <f>IF(AND(CallLog[[#This Row],[Answered (Y/N)]]="Y", CallLog[[#This Row],[Speed of answer in seconds]]&lt;=20),
    "Within",
    "Breach")</f>
        <v>Breach</v>
      </c>
      <c r="M4692" s="1">
        <v>4.6412037037037038E-3</v>
      </c>
      <c r="N4692">
        <v>1</v>
      </c>
    </row>
    <row r="4693" spans="1:14" x14ac:dyDescent="0.3">
      <c r="A4693" t="s">
        <v>4799</v>
      </c>
      <c r="B4693" t="s">
        <v>38</v>
      </c>
      <c r="C4693" t="s">
        <v>4746</v>
      </c>
      <c r="D4693" s="1">
        <v>0.72799768518518515</v>
      </c>
      <c r="E4693" s="2">
        <f>CallLog[[#This Row],[Date]]+CallLog[[#This Row],[Time]]</f>
        <v>44279.727997685186</v>
      </c>
      <c r="F4693" s="1" t="str">
        <f>TEXT(CallLog[[#This Row],[Date]],"dddd")</f>
        <v>Wednesday</v>
      </c>
      <c r="G4693" s="3">
        <f>HOUR(CallLog[[#This Row],[Time]])</f>
        <v>17</v>
      </c>
      <c r="H4693" t="s">
        <v>13</v>
      </c>
      <c r="I4693" t="s">
        <v>14</v>
      </c>
      <c r="J4693" t="s">
        <v>18</v>
      </c>
      <c r="K4693">
        <v>73</v>
      </c>
      <c r="L4693" t="str">
        <f>IF(AND(CallLog[[#This Row],[Answered (Y/N)]]="Y", CallLog[[#This Row],[Speed of answer in seconds]]&lt;=20),
    "Within",
    "Breach")</f>
        <v>Breach</v>
      </c>
      <c r="M4693" s="1">
        <v>4.6296296296296298E-4</v>
      </c>
      <c r="N4693">
        <v>3</v>
      </c>
    </row>
    <row r="4694" spans="1:14" x14ac:dyDescent="0.3">
      <c r="A4694" t="s">
        <v>4800</v>
      </c>
      <c r="B4694" t="s">
        <v>22</v>
      </c>
      <c r="C4694" t="s">
        <v>4801</v>
      </c>
      <c r="D4694" s="1">
        <v>0.3759953703703704</v>
      </c>
      <c r="E4694" s="2">
        <f>CallLog[[#This Row],[Date]]+CallLog[[#This Row],[Time]]</f>
        <v>44280.37599537037</v>
      </c>
      <c r="F4694" s="1" t="str">
        <f>TEXT(CallLog[[#This Row],[Date]],"dddd")</f>
        <v>Thursday</v>
      </c>
      <c r="G4694" s="3">
        <f>HOUR(CallLog[[#This Row],[Time]])</f>
        <v>9</v>
      </c>
      <c r="H4694" t="s">
        <v>24</v>
      </c>
      <c r="I4694" t="s">
        <v>18</v>
      </c>
      <c r="J4694" t="s">
        <v>18</v>
      </c>
      <c r="L4694" t="str">
        <f>IF(AND(CallLog[[#This Row],[Answered (Y/N)]]="Y", CallLog[[#This Row],[Speed of answer in seconds]]&lt;=20),
    "Within",
    "Breach")</f>
        <v>Breach</v>
      </c>
    </row>
    <row r="4695" spans="1:14" x14ac:dyDescent="0.3">
      <c r="A4695" t="s">
        <v>4802</v>
      </c>
      <c r="B4695" t="s">
        <v>20</v>
      </c>
      <c r="C4695" t="s">
        <v>4801</v>
      </c>
      <c r="D4695" s="1">
        <v>0.3759953703703704</v>
      </c>
      <c r="E4695" s="2">
        <f>CallLog[[#This Row],[Date]]+CallLog[[#This Row],[Time]]</f>
        <v>44280.37599537037</v>
      </c>
      <c r="F4695" s="1" t="str">
        <f>TEXT(CallLog[[#This Row],[Date]],"dddd")</f>
        <v>Thursday</v>
      </c>
      <c r="G4695" s="3">
        <f>HOUR(CallLog[[#This Row],[Time]])</f>
        <v>9</v>
      </c>
      <c r="H4695" t="s">
        <v>13</v>
      </c>
      <c r="I4695" t="s">
        <v>14</v>
      </c>
      <c r="J4695" t="s">
        <v>14</v>
      </c>
      <c r="K4695">
        <v>75</v>
      </c>
      <c r="L4695" t="str">
        <f>IF(AND(CallLog[[#This Row],[Answered (Y/N)]]="Y", CallLog[[#This Row],[Speed of answer in seconds]]&lt;=20),
    "Within",
    "Breach")</f>
        <v>Breach</v>
      </c>
      <c r="M4695" s="1">
        <v>2.9166666666666668E-3</v>
      </c>
      <c r="N4695">
        <v>5</v>
      </c>
    </row>
    <row r="4696" spans="1:14" x14ac:dyDescent="0.3">
      <c r="A4696" t="s">
        <v>4803</v>
      </c>
      <c r="B4696" t="s">
        <v>38</v>
      </c>
      <c r="C4696" t="s">
        <v>4801</v>
      </c>
      <c r="D4696" s="1">
        <v>0.37799768518518517</v>
      </c>
      <c r="E4696" s="2">
        <f>CallLog[[#This Row],[Date]]+CallLog[[#This Row],[Time]]</f>
        <v>44280.377997685187</v>
      </c>
      <c r="F4696" s="1" t="str">
        <f>TEXT(CallLog[[#This Row],[Date]],"dddd")</f>
        <v>Thursday</v>
      </c>
      <c r="G4696" s="3">
        <f>HOUR(CallLog[[#This Row],[Time]])</f>
        <v>9</v>
      </c>
      <c r="H4696" t="s">
        <v>32</v>
      </c>
      <c r="I4696" t="s">
        <v>14</v>
      </c>
      <c r="J4696" t="s">
        <v>14</v>
      </c>
      <c r="K4696">
        <v>46</v>
      </c>
      <c r="L4696" t="str">
        <f>IF(AND(CallLog[[#This Row],[Answered (Y/N)]]="Y", CallLog[[#This Row],[Speed of answer in seconds]]&lt;=20),
    "Within",
    "Breach")</f>
        <v>Breach</v>
      </c>
      <c r="M4696" s="1">
        <v>1.1574074074074073E-3</v>
      </c>
      <c r="N4696">
        <v>3</v>
      </c>
    </row>
    <row r="4697" spans="1:14" x14ac:dyDescent="0.3">
      <c r="A4697" t="s">
        <v>4804</v>
      </c>
      <c r="B4697" t="s">
        <v>34</v>
      </c>
      <c r="C4697" t="s">
        <v>4801</v>
      </c>
      <c r="D4697" s="1">
        <v>0.37799768518518517</v>
      </c>
      <c r="E4697" s="2">
        <f>CallLog[[#This Row],[Date]]+CallLog[[#This Row],[Time]]</f>
        <v>44280.377997685187</v>
      </c>
      <c r="F4697" s="1" t="str">
        <f>TEXT(CallLog[[#This Row],[Date]],"dddd")</f>
        <v>Thursday</v>
      </c>
      <c r="G4697" s="3">
        <f>HOUR(CallLog[[#This Row],[Time]])</f>
        <v>9</v>
      </c>
      <c r="H4697" t="s">
        <v>17</v>
      </c>
      <c r="I4697" t="s">
        <v>14</v>
      </c>
      <c r="J4697" t="s">
        <v>14</v>
      </c>
      <c r="K4697">
        <v>96</v>
      </c>
      <c r="L4697" t="str">
        <f>IF(AND(CallLog[[#This Row],[Answered (Y/N)]]="Y", CallLog[[#This Row],[Speed of answer in seconds]]&lt;=20),
    "Within",
    "Breach")</f>
        <v>Breach</v>
      </c>
      <c r="M4697" s="1">
        <v>3.0092592592592593E-3</v>
      </c>
      <c r="N4697">
        <v>5</v>
      </c>
    </row>
    <row r="4698" spans="1:14" x14ac:dyDescent="0.3">
      <c r="A4698" t="s">
        <v>4805</v>
      </c>
      <c r="B4698" t="s">
        <v>38</v>
      </c>
      <c r="C4698" t="s">
        <v>4801</v>
      </c>
      <c r="D4698" s="1">
        <v>0.38799768518518518</v>
      </c>
      <c r="E4698" s="2">
        <f>CallLog[[#This Row],[Date]]+CallLog[[#This Row],[Time]]</f>
        <v>44280.387997685182</v>
      </c>
      <c r="F4698" s="1" t="str">
        <f>TEXT(CallLog[[#This Row],[Date]],"dddd")</f>
        <v>Thursday</v>
      </c>
      <c r="G4698" s="3">
        <f>HOUR(CallLog[[#This Row],[Time]])</f>
        <v>9</v>
      </c>
      <c r="H4698" t="s">
        <v>24</v>
      </c>
      <c r="I4698" t="s">
        <v>14</v>
      </c>
      <c r="J4698" t="s">
        <v>14</v>
      </c>
      <c r="K4698">
        <v>17</v>
      </c>
      <c r="L4698" t="str">
        <f>IF(AND(CallLog[[#This Row],[Answered (Y/N)]]="Y", CallLog[[#This Row],[Speed of answer in seconds]]&lt;=20),
    "Within",
    "Breach")</f>
        <v>Within</v>
      </c>
      <c r="M4698" s="1">
        <v>1.2268518518518518E-3</v>
      </c>
      <c r="N4698">
        <v>3</v>
      </c>
    </row>
    <row r="4699" spans="1:14" x14ac:dyDescent="0.3">
      <c r="A4699" t="s">
        <v>4806</v>
      </c>
      <c r="B4699" t="s">
        <v>38</v>
      </c>
      <c r="C4699" t="s">
        <v>4801</v>
      </c>
      <c r="D4699" s="1">
        <v>0.38799768518518518</v>
      </c>
      <c r="E4699" s="2">
        <f>CallLog[[#This Row],[Date]]+CallLog[[#This Row],[Time]]</f>
        <v>44280.387997685182</v>
      </c>
      <c r="F4699" s="1" t="str">
        <f>TEXT(CallLog[[#This Row],[Date]],"dddd")</f>
        <v>Thursday</v>
      </c>
      <c r="G4699" s="3">
        <f>HOUR(CallLog[[#This Row],[Time]])</f>
        <v>9</v>
      </c>
      <c r="H4699" t="s">
        <v>29</v>
      </c>
      <c r="I4699" t="s">
        <v>14</v>
      </c>
      <c r="J4699" t="s">
        <v>14</v>
      </c>
      <c r="K4699">
        <v>97</v>
      </c>
      <c r="L4699" t="str">
        <f>IF(AND(CallLog[[#This Row],[Answered (Y/N)]]="Y", CallLog[[#This Row],[Speed of answer in seconds]]&lt;=20),
    "Within",
    "Breach")</f>
        <v>Breach</v>
      </c>
      <c r="M4699" s="1">
        <v>1.4583333333333334E-3</v>
      </c>
      <c r="N4699">
        <v>4</v>
      </c>
    </row>
    <row r="4700" spans="1:14" x14ac:dyDescent="0.3">
      <c r="A4700" t="s">
        <v>4807</v>
      </c>
      <c r="B4700" t="s">
        <v>38</v>
      </c>
      <c r="C4700" t="s">
        <v>4801</v>
      </c>
      <c r="D4700" s="1">
        <v>0.43599537037037039</v>
      </c>
      <c r="E4700" s="2">
        <f>CallLog[[#This Row],[Date]]+CallLog[[#This Row],[Time]]</f>
        <v>44280.435995370368</v>
      </c>
      <c r="F4700" s="1" t="str">
        <f>TEXT(CallLog[[#This Row],[Date]],"dddd")</f>
        <v>Thursday</v>
      </c>
      <c r="G4700" s="3">
        <f>HOUR(CallLog[[#This Row],[Time]])</f>
        <v>10</v>
      </c>
      <c r="H4700" t="s">
        <v>24</v>
      </c>
      <c r="I4700" t="s">
        <v>14</v>
      </c>
      <c r="J4700" t="s">
        <v>14</v>
      </c>
      <c r="K4700">
        <v>124</v>
      </c>
      <c r="L4700" t="str">
        <f>IF(AND(CallLog[[#This Row],[Answered (Y/N)]]="Y", CallLog[[#This Row],[Speed of answer in seconds]]&lt;=20),
    "Within",
    "Breach")</f>
        <v>Breach</v>
      </c>
      <c r="M4700" s="1">
        <v>4.2939814814814811E-3</v>
      </c>
      <c r="N4700">
        <v>4</v>
      </c>
    </row>
    <row r="4701" spans="1:14" x14ac:dyDescent="0.3">
      <c r="A4701" t="s">
        <v>4808</v>
      </c>
      <c r="B4701" t="s">
        <v>34</v>
      </c>
      <c r="C4701" t="s">
        <v>4801</v>
      </c>
      <c r="D4701" s="1">
        <v>0.43599537037037039</v>
      </c>
      <c r="E4701" s="2">
        <f>CallLog[[#This Row],[Date]]+CallLog[[#This Row],[Time]]</f>
        <v>44280.435995370368</v>
      </c>
      <c r="F4701" s="1" t="str">
        <f>TEXT(CallLog[[#This Row],[Date]],"dddd")</f>
        <v>Thursday</v>
      </c>
      <c r="G4701" s="3">
        <f>HOUR(CallLog[[#This Row],[Time]])</f>
        <v>10</v>
      </c>
      <c r="H4701" t="s">
        <v>32</v>
      </c>
      <c r="I4701" t="s">
        <v>14</v>
      </c>
      <c r="J4701" t="s">
        <v>14</v>
      </c>
      <c r="K4701">
        <v>94</v>
      </c>
      <c r="L4701" t="str">
        <f>IF(AND(CallLog[[#This Row],[Answered (Y/N)]]="Y", CallLog[[#This Row],[Speed of answer in seconds]]&lt;=20),
    "Within",
    "Breach")</f>
        <v>Breach</v>
      </c>
      <c r="M4701" s="1">
        <v>2.4189814814814816E-3</v>
      </c>
      <c r="N4701">
        <v>5</v>
      </c>
    </row>
    <row r="4702" spans="1:14" x14ac:dyDescent="0.3">
      <c r="A4702" t="s">
        <v>4809</v>
      </c>
      <c r="B4702" t="s">
        <v>31</v>
      </c>
      <c r="C4702" t="s">
        <v>4801</v>
      </c>
      <c r="D4702" s="1">
        <v>0.43599537037037039</v>
      </c>
      <c r="E4702" s="2">
        <f>CallLog[[#This Row],[Date]]+CallLog[[#This Row],[Time]]</f>
        <v>44280.435995370368</v>
      </c>
      <c r="F4702" s="1" t="str">
        <f>TEXT(CallLog[[#This Row],[Date]],"dddd")</f>
        <v>Thursday</v>
      </c>
      <c r="G4702" s="3">
        <f>HOUR(CallLog[[#This Row],[Time]])</f>
        <v>10</v>
      </c>
      <c r="H4702" t="s">
        <v>32</v>
      </c>
      <c r="I4702" t="s">
        <v>18</v>
      </c>
      <c r="J4702" t="s">
        <v>18</v>
      </c>
      <c r="L4702" t="str">
        <f>IF(AND(CallLog[[#This Row],[Answered (Y/N)]]="Y", CallLog[[#This Row],[Speed of answer in seconds]]&lt;=20),
    "Within",
    "Breach")</f>
        <v>Breach</v>
      </c>
    </row>
    <row r="4703" spans="1:14" x14ac:dyDescent="0.3">
      <c r="A4703" t="s">
        <v>4810</v>
      </c>
      <c r="B4703" t="s">
        <v>20</v>
      </c>
      <c r="C4703" t="s">
        <v>4801</v>
      </c>
      <c r="D4703" s="1">
        <v>0.43599537037037039</v>
      </c>
      <c r="E4703" s="2">
        <f>CallLog[[#This Row],[Date]]+CallLog[[#This Row],[Time]]</f>
        <v>44280.435995370368</v>
      </c>
      <c r="F4703" s="1" t="str">
        <f>TEXT(CallLog[[#This Row],[Date]],"dddd")</f>
        <v>Thursday</v>
      </c>
      <c r="G4703" s="3">
        <f>HOUR(CallLog[[#This Row],[Time]])</f>
        <v>10</v>
      </c>
      <c r="H4703" t="s">
        <v>13</v>
      </c>
      <c r="I4703" t="s">
        <v>14</v>
      </c>
      <c r="J4703" t="s">
        <v>14</v>
      </c>
      <c r="K4703">
        <v>91</v>
      </c>
      <c r="L4703" t="str">
        <f>IF(AND(CallLog[[#This Row],[Answered (Y/N)]]="Y", CallLog[[#This Row],[Speed of answer in seconds]]&lt;=20),
    "Within",
    "Breach")</f>
        <v>Breach</v>
      </c>
      <c r="M4703" s="1">
        <v>4.178240740740741E-3</v>
      </c>
      <c r="N4703">
        <v>5</v>
      </c>
    </row>
    <row r="4704" spans="1:14" x14ac:dyDescent="0.3">
      <c r="A4704" t="s">
        <v>4811</v>
      </c>
      <c r="B4704" t="s">
        <v>20</v>
      </c>
      <c r="C4704" t="s">
        <v>4801</v>
      </c>
      <c r="D4704" s="1">
        <v>0.45</v>
      </c>
      <c r="E4704" s="2">
        <f>CallLog[[#This Row],[Date]]+CallLog[[#This Row],[Time]]</f>
        <v>44280.45</v>
      </c>
      <c r="F4704" s="1" t="str">
        <f>TEXT(CallLog[[#This Row],[Date]],"dddd")</f>
        <v>Thursday</v>
      </c>
      <c r="G4704" s="3">
        <f>HOUR(CallLog[[#This Row],[Time]])</f>
        <v>10</v>
      </c>
      <c r="H4704" t="s">
        <v>17</v>
      </c>
      <c r="I4704" t="s">
        <v>14</v>
      </c>
      <c r="J4704" t="s">
        <v>14</v>
      </c>
      <c r="K4704">
        <v>51</v>
      </c>
      <c r="L4704" t="str">
        <f>IF(AND(CallLog[[#This Row],[Answered (Y/N)]]="Y", CallLog[[#This Row],[Speed of answer in seconds]]&lt;=20),
    "Within",
    "Breach")</f>
        <v>Breach</v>
      </c>
      <c r="M4704" s="1">
        <v>3.9814814814814817E-3</v>
      </c>
      <c r="N4704">
        <v>4</v>
      </c>
    </row>
    <row r="4705" spans="1:14" x14ac:dyDescent="0.3">
      <c r="A4705" t="s">
        <v>4812</v>
      </c>
      <c r="B4705" t="s">
        <v>31</v>
      </c>
      <c r="C4705" t="s">
        <v>4801</v>
      </c>
      <c r="D4705" s="1">
        <v>0.45</v>
      </c>
      <c r="E4705" s="2">
        <f>CallLog[[#This Row],[Date]]+CallLog[[#This Row],[Time]]</f>
        <v>44280.45</v>
      </c>
      <c r="F4705" s="1" t="str">
        <f>TEXT(CallLog[[#This Row],[Date]],"dddd")</f>
        <v>Thursday</v>
      </c>
      <c r="G4705" s="3">
        <f>HOUR(CallLog[[#This Row],[Time]])</f>
        <v>10</v>
      </c>
      <c r="H4705" t="s">
        <v>13</v>
      </c>
      <c r="I4705" t="s">
        <v>14</v>
      </c>
      <c r="J4705" t="s">
        <v>18</v>
      </c>
      <c r="K4705">
        <v>73</v>
      </c>
      <c r="L4705" t="str">
        <f>IF(AND(CallLog[[#This Row],[Answered (Y/N)]]="Y", CallLog[[#This Row],[Speed of answer in seconds]]&lt;=20),
    "Within",
    "Breach")</f>
        <v>Breach</v>
      </c>
      <c r="M4705" s="1">
        <v>4.7453703703703703E-3</v>
      </c>
      <c r="N4705">
        <v>4</v>
      </c>
    </row>
    <row r="4706" spans="1:14" x14ac:dyDescent="0.3">
      <c r="A4706" t="s">
        <v>4813</v>
      </c>
      <c r="B4706" t="s">
        <v>47</v>
      </c>
      <c r="C4706" t="s">
        <v>4801</v>
      </c>
      <c r="D4706" s="1">
        <v>0.45400462962962962</v>
      </c>
      <c r="E4706" s="2">
        <f>CallLog[[#This Row],[Date]]+CallLog[[#This Row],[Time]]</f>
        <v>44280.454004629632</v>
      </c>
      <c r="F4706" s="1" t="str">
        <f>TEXT(CallLog[[#This Row],[Date]],"dddd")</f>
        <v>Thursday</v>
      </c>
      <c r="G4706" s="3">
        <f>HOUR(CallLog[[#This Row],[Time]])</f>
        <v>10</v>
      </c>
      <c r="H4706" t="s">
        <v>32</v>
      </c>
      <c r="I4706" t="s">
        <v>14</v>
      </c>
      <c r="J4706" t="s">
        <v>14</v>
      </c>
      <c r="K4706">
        <v>67</v>
      </c>
      <c r="L4706" t="str">
        <f>IF(AND(CallLog[[#This Row],[Answered (Y/N)]]="Y", CallLog[[#This Row],[Speed of answer in seconds]]&lt;=20),
    "Within",
    "Breach")</f>
        <v>Breach</v>
      </c>
      <c r="M4706" s="1">
        <v>4.5370370370370373E-3</v>
      </c>
      <c r="N4706">
        <v>2</v>
      </c>
    </row>
    <row r="4707" spans="1:14" x14ac:dyDescent="0.3">
      <c r="A4707" t="s">
        <v>4814</v>
      </c>
      <c r="B4707" t="s">
        <v>22</v>
      </c>
      <c r="C4707" t="s">
        <v>4801</v>
      </c>
      <c r="D4707" s="1">
        <v>0.45400462962962962</v>
      </c>
      <c r="E4707" s="2">
        <f>CallLog[[#This Row],[Date]]+CallLog[[#This Row],[Time]]</f>
        <v>44280.454004629632</v>
      </c>
      <c r="F4707" s="1" t="str">
        <f>TEXT(CallLog[[#This Row],[Date]],"dddd")</f>
        <v>Thursday</v>
      </c>
      <c r="G4707" s="3">
        <f>HOUR(CallLog[[#This Row],[Time]])</f>
        <v>10</v>
      </c>
      <c r="H4707" t="s">
        <v>24</v>
      </c>
      <c r="I4707" t="s">
        <v>18</v>
      </c>
      <c r="J4707" t="s">
        <v>18</v>
      </c>
      <c r="L4707" t="str">
        <f>IF(AND(CallLog[[#This Row],[Answered (Y/N)]]="Y", CallLog[[#This Row],[Speed of answer in seconds]]&lt;=20),
    "Within",
    "Breach")</f>
        <v>Breach</v>
      </c>
    </row>
    <row r="4708" spans="1:14" x14ac:dyDescent="0.3">
      <c r="A4708" t="s">
        <v>4815</v>
      </c>
      <c r="B4708" t="s">
        <v>22</v>
      </c>
      <c r="C4708" t="s">
        <v>4801</v>
      </c>
      <c r="D4708" s="1">
        <v>0.45900462962962962</v>
      </c>
      <c r="E4708" s="2">
        <f>CallLog[[#This Row],[Date]]+CallLog[[#This Row],[Time]]</f>
        <v>44280.459004629629</v>
      </c>
      <c r="F4708" s="1" t="str">
        <f>TEXT(CallLog[[#This Row],[Date]],"dddd")</f>
        <v>Thursday</v>
      </c>
      <c r="G4708" s="3">
        <f>HOUR(CallLog[[#This Row],[Time]])</f>
        <v>11</v>
      </c>
      <c r="H4708" t="s">
        <v>17</v>
      </c>
      <c r="I4708" t="s">
        <v>18</v>
      </c>
      <c r="J4708" t="s">
        <v>18</v>
      </c>
      <c r="L4708" t="str">
        <f>IF(AND(CallLog[[#This Row],[Answered (Y/N)]]="Y", CallLog[[#This Row],[Speed of answer in seconds]]&lt;=20),
    "Within",
    "Breach")</f>
        <v>Breach</v>
      </c>
    </row>
    <row r="4709" spans="1:14" x14ac:dyDescent="0.3">
      <c r="A4709" t="s">
        <v>4816</v>
      </c>
      <c r="B4709" t="s">
        <v>38</v>
      </c>
      <c r="C4709" t="s">
        <v>4801</v>
      </c>
      <c r="D4709" s="1">
        <v>0.45900462962962962</v>
      </c>
      <c r="E4709" s="2">
        <f>CallLog[[#This Row],[Date]]+CallLog[[#This Row],[Time]]</f>
        <v>44280.459004629629</v>
      </c>
      <c r="F4709" s="1" t="str">
        <f>TEXT(CallLog[[#This Row],[Date]],"dddd")</f>
        <v>Thursday</v>
      </c>
      <c r="G4709" s="3">
        <f>HOUR(CallLog[[#This Row],[Time]])</f>
        <v>11</v>
      </c>
      <c r="H4709" t="s">
        <v>24</v>
      </c>
      <c r="I4709" t="s">
        <v>18</v>
      </c>
      <c r="J4709" t="s">
        <v>18</v>
      </c>
      <c r="L4709" t="str">
        <f>IF(AND(CallLog[[#This Row],[Answered (Y/N)]]="Y", CallLog[[#This Row],[Speed of answer in seconds]]&lt;=20),
    "Within",
    "Breach")</f>
        <v>Breach</v>
      </c>
    </row>
    <row r="4710" spans="1:14" x14ac:dyDescent="0.3">
      <c r="A4710" t="s">
        <v>4817</v>
      </c>
      <c r="B4710" t="s">
        <v>22</v>
      </c>
      <c r="C4710" t="s">
        <v>4801</v>
      </c>
      <c r="D4710" s="1">
        <v>0.48900462962962965</v>
      </c>
      <c r="E4710" s="2">
        <f>CallLog[[#This Row],[Date]]+CallLog[[#This Row],[Time]]</f>
        <v>44280.489004629628</v>
      </c>
      <c r="F4710" s="1" t="str">
        <f>TEXT(CallLog[[#This Row],[Date]],"dddd")</f>
        <v>Thursday</v>
      </c>
      <c r="G4710" s="3">
        <f>HOUR(CallLog[[#This Row],[Time]])</f>
        <v>11</v>
      </c>
      <c r="H4710" t="s">
        <v>32</v>
      </c>
      <c r="I4710" t="s">
        <v>14</v>
      </c>
      <c r="J4710" t="s">
        <v>14</v>
      </c>
      <c r="K4710">
        <v>83</v>
      </c>
      <c r="L4710" t="str">
        <f>IF(AND(CallLog[[#This Row],[Answered (Y/N)]]="Y", CallLog[[#This Row],[Speed of answer in seconds]]&lt;=20),
    "Within",
    "Breach")</f>
        <v>Breach</v>
      </c>
      <c r="M4710" s="1">
        <v>4.2939814814814811E-3</v>
      </c>
      <c r="N4710">
        <v>4</v>
      </c>
    </row>
    <row r="4711" spans="1:14" x14ac:dyDescent="0.3">
      <c r="A4711" t="s">
        <v>4818</v>
      </c>
      <c r="B4711" t="s">
        <v>11</v>
      </c>
      <c r="C4711" t="s">
        <v>4801</v>
      </c>
      <c r="D4711" s="1">
        <v>0.48900462962962965</v>
      </c>
      <c r="E4711" s="2">
        <f>CallLog[[#This Row],[Date]]+CallLog[[#This Row],[Time]]</f>
        <v>44280.489004629628</v>
      </c>
      <c r="F4711" s="1" t="str">
        <f>TEXT(CallLog[[#This Row],[Date]],"dddd")</f>
        <v>Thursday</v>
      </c>
      <c r="G4711" s="3">
        <f>HOUR(CallLog[[#This Row],[Time]])</f>
        <v>11</v>
      </c>
      <c r="H4711" t="s">
        <v>24</v>
      </c>
      <c r="I4711" t="s">
        <v>14</v>
      </c>
      <c r="J4711" t="s">
        <v>14</v>
      </c>
      <c r="K4711">
        <v>95</v>
      </c>
      <c r="L4711" t="str">
        <f>IF(AND(CallLog[[#This Row],[Answered (Y/N)]]="Y", CallLog[[#This Row],[Speed of answer in seconds]]&lt;=20),
    "Within",
    "Breach")</f>
        <v>Breach</v>
      </c>
      <c r="M4711" s="1">
        <v>3.6226851851851854E-3</v>
      </c>
      <c r="N4711">
        <v>1</v>
      </c>
    </row>
    <row r="4712" spans="1:14" x14ac:dyDescent="0.3">
      <c r="A4712" t="s">
        <v>4819</v>
      </c>
      <c r="B4712" t="s">
        <v>31</v>
      </c>
      <c r="C4712" t="s">
        <v>4801</v>
      </c>
      <c r="D4712" s="1">
        <v>0.50299768518518517</v>
      </c>
      <c r="E4712" s="2">
        <f>CallLog[[#This Row],[Date]]+CallLog[[#This Row],[Time]]</f>
        <v>44280.502997685187</v>
      </c>
      <c r="F4712" s="1" t="str">
        <f>TEXT(CallLog[[#This Row],[Date]],"dddd")</f>
        <v>Thursday</v>
      </c>
      <c r="G4712" s="3">
        <f>HOUR(CallLog[[#This Row],[Time]])</f>
        <v>12</v>
      </c>
      <c r="H4712" t="s">
        <v>24</v>
      </c>
      <c r="I4712" t="s">
        <v>14</v>
      </c>
      <c r="J4712" t="s">
        <v>14</v>
      </c>
      <c r="K4712">
        <v>43</v>
      </c>
      <c r="L4712" t="str">
        <f>IF(AND(CallLog[[#This Row],[Answered (Y/N)]]="Y", CallLog[[#This Row],[Speed of answer in seconds]]&lt;=20),
    "Within",
    "Breach")</f>
        <v>Breach</v>
      </c>
      <c r="M4712" s="1">
        <v>1.5625000000000001E-3</v>
      </c>
      <c r="N4712">
        <v>1</v>
      </c>
    </row>
    <row r="4713" spans="1:14" x14ac:dyDescent="0.3">
      <c r="A4713" t="s">
        <v>4820</v>
      </c>
      <c r="B4713" t="s">
        <v>16</v>
      </c>
      <c r="C4713" t="s">
        <v>4801</v>
      </c>
      <c r="D4713" s="1">
        <v>0.50299768518518517</v>
      </c>
      <c r="E4713" s="2">
        <f>CallLog[[#This Row],[Date]]+CallLog[[#This Row],[Time]]</f>
        <v>44280.502997685187</v>
      </c>
      <c r="F4713" s="1" t="str">
        <f>TEXT(CallLog[[#This Row],[Date]],"dddd")</f>
        <v>Thursday</v>
      </c>
      <c r="G4713" s="3">
        <f>HOUR(CallLog[[#This Row],[Time]])</f>
        <v>12</v>
      </c>
      <c r="H4713" t="s">
        <v>24</v>
      </c>
      <c r="I4713" t="s">
        <v>14</v>
      </c>
      <c r="J4713" t="s">
        <v>14</v>
      </c>
      <c r="K4713">
        <v>95</v>
      </c>
      <c r="L4713" t="str">
        <f>IF(AND(CallLog[[#This Row],[Answered (Y/N)]]="Y", CallLog[[#This Row],[Speed of answer in seconds]]&lt;=20),
    "Within",
    "Breach")</f>
        <v>Breach</v>
      </c>
      <c r="M4713" s="1">
        <v>1.1226851851851851E-3</v>
      </c>
      <c r="N4713">
        <v>3</v>
      </c>
    </row>
    <row r="4714" spans="1:14" x14ac:dyDescent="0.3">
      <c r="A4714" t="s">
        <v>4821</v>
      </c>
      <c r="B4714" t="s">
        <v>34</v>
      </c>
      <c r="C4714" t="s">
        <v>4801</v>
      </c>
      <c r="D4714" s="1">
        <v>0.56999999999999995</v>
      </c>
      <c r="E4714" s="2">
        <f>CallLog[[#This Row],[Date]]+CallLog[[#This Row],[Time]]</f>
        <v>44280.57</v>
      </c>
      <c r="F4714" s="1" t="str">
        <f>TEXT(CallLog[[#This Row],[Date]],"dddd")</f>
        <v>Thursday</v>
      </c>
      <c r="G4714" s="3">
        <f>HOUR(CallLog[[#This Row],[Time]])</f>
        <v>13</v>
      </c>
      <c r="H4714" t="s">
        <v>29</v>
      </c>
      <c r="I4714" t="s">
        <v>18</v>
      </c>
      <c r="J4714" t="s">
        <v>18</v>
      </c>
      <c r="L4714" t="str">
        <f>IF(AND(CallLog[[#This Row],[Answered (Y/N)]]="Y", CallLog[[#This Row],[Speed of answer in seconds]]&lt;=20),
    "Within",
    "Breach")</f>
        <v>Breach</v>
      </c>
    </row>
    <row r="4715" spans="1:14" x14ac:dyDescent="0.3">
      <c r="A4715" t="s">
        <v>4822</v>
      </c>
      <c r="B4715" t="s">
        <v>20</v>
      </c>
      <c r="C4715" t="s">
        <v>4801</v>
      </c>
      <c r="D4715" s="1">
        <v>0.56999999999999995</v>
      </c>
      <c r="E4715" s="2">
        <f>CallLog[[#This Row],[Date]]+CallLog[[#This Row],[Time]]</f>
        <v>44280.57</v>
      </c>
      <c r="F4715" s="1" t="str">
        <f>TEXT(CallLog[[#This Row],[Date]],"dddd")</f>
        <v>Thursday</v>
      </c>
      <c r="G4715" s="3">
        <f>HOUR(CallLog[[#This Row],[Time]])</f>
        <v>13</v>
      </c>
      <c r="H4715" t="s">
        <v>24</v>
      </c>
      <c r="I4715" t="s">
        <v>14</v>
      </c>
      <c r="J4715" t="s">
        <v>14</v>
      </c>
      <c r="K4715">
        <v>53</v>
      </c>
      <c r="L4715" t="str">
        <f>IF(AND(CallLog[[#This Row],[Answered (Y/N)]]="Y", CallLog[[#This Row],[Speed of answer in seconds]]&lt;=20),
    "Within",
    "Breach")</f>
        <v>Breach</v>
      </c>
      <c r="M4715" s="1">
        <v>4.0856481481481481E-3</v>
      </c>
      <c r="N4715">
        <v>4</v>
      </c>
    </row>
    <row r="4716" spans="1:14" x14ac:dyDescent="0.3">
      <c r="A4716" t="s">
        <v>4823</v>
      </c>
      <c r="B4716" t="s">
        <v>20</v>
      </c>
      <c r="C4716" t="s">
        <v>4801</v>
      </c>
      <c r="D4716" s="1">
        <v>0.57900462962962962</v>
      </c>
      <c r="E4716" s="2">
        <f>CallLog[[#This Row],[Date]]+CallLog[[#This Row],[Time]]</f>
        <v>44280.579004629632</v>
      </c>
      <c r="F4716" s="1" t="str">
        <f>TEXT(CallLog[[#This Row],[Date]],"dddd")</f>
        <v>Thursday</v>
      </c>
      <c r="G4716" s="3">
        <f>HOUR(CallLog[[#This Row],[Time]])</f>
        <v>13</v>
      </c>
      <c r="H4716" t="s">
        <v>13</v>
      </c>
      <c r="I4716" t="s">
        <v>14</v>
      </c>
      <c r="J4716" t="s">
        <v>14</v>
      </c>
      <c r="K4716">
        <v>28</v>
      </c>
      <c r="L4716" t="str">
        <f>IF(AND(CallLog[[#This Row],[Answered (Y/N)]]="Y", CallLog[[#This Row],[Speed of answer in seconds]]&lt;=20),
    "Within",
    "Breach")</f>
        <v>Breach</v>
      </c>
      <c r="M4716" s="1">
        <v>2.3032407407407407E-3</v>
      </c>
      <c r="N4716">
        <v>4</v>
      </c>
    </row>
    <row r="4717" spans="1:14" x14ac:dyDescent="0.3">
      <c r="A4717" t="s">
        <v>4824</v>
      </c>
      <c r="B4717" t="s">
        <v>38</v>
      </c>
      <c r="C4717" t="s">
        <v>4801</v>
      </c>
      <c r="D4717" s="1">
        <v>0.57900462962962962</v>
      </c>
      <c r="E4717" s="2">
        <f>CallLog[[#This Row],[Date]]+CallLog[[#This Row],[Time]]</f>
        <v>44280.579004629632</v>
      </c>
      <c r="F4717" s="1" t="str">
        <f>TEXT(CallLog[[#This Row],[Date]],"dddd")</f>
        <v>Thursday</v>
      </c>
      <c r="G4717" s="3">
        <f>HOUR(CallLog[[#This Row],[Time]])</f>
        <v>13</v>
      </c>
      <c r="H4717" t="s">
        <v>32</v>
      </c>
      <c r="I4717" t="s">
        <v>14</v>
      </c>
      <c r="J4717" t="s">
        <v>14</v>
      </c>
      <c r="K4717">
        <v>99</v>
      </c>
      <c r="L4717" t="str">
        <f>IF(AND(CallLog[[#This Row],[Answered (Y/N)]]="Y", CallLog[[#This Row],[Speed of answer in seconds]]&lt;=20),
    "Within",
    "Breach")</f>
        <v>Breach</v>
      </c>
      <c r="M4717" s="1">
        <v>3.3333333333333335E-3</v>
      </c>
      <c r="N4717">
        <v>4</v>
      </c>
    </row>
    <row r="4718" spans="1:14" x14ac:dyDescent="0.3">
      <c r="A4718" t="s">
        <v>4825</v>
      </c>
      <c r="B4718" t="s">
        <v>16</v>
      </c>
      <c r="C4718" t="s">
        <v>4801</v>
      </c>
      <c r="D4718" s="1">
        <v>0.61799768518518516</v>
      </c>
      <c r="E4718" s="2">
        <f>CallLog[[#This Row],[Date]]+CallLog[[#This Row],[Time]]</f>
        <v>44280.617997685185</v>
      </c>
      <c r="F4718" s="1" t="str">
        <f>TEXT(CallLog[[#This Row],[Date]],"dddd")</f>
        <v>Thursday</v>
      </c>
      <c r="G4718" s="3">
        <f>HOUR(CallLog[[#This Row],[Time]])</f>
        <v>14</v>
      </c>
      <c r="H4718" t="s">
        <v>29</v>
      </c>
      <c r="I4718" t="s">
        <v>14</v>
      </c>
      <c r="J4718" t="s">
        <v>18</v>
      </c>
      <c r="K4718">
        <v>70</v>
      </c>
      <c r="L4718" t="str">
        <f>IF(AND(CallLog[[#This Row],[Answered (Y/N)]]="Y", CallLog[[#This Row],[Speed of answer in seconds]]&lt;=20),
    "Within",
    "Breach")</f>
        <v>Breach</v>
      </c>
      <c r="M4718" s="1">
        <v>4.2824074074074081E-4</v>
      </c>
      <c r="N4718">
        <v>1</v>
      </c>
    </row>
    <row r="4719" spans="1:14" x14ac:dyDescent="0.3">
      <c r="A4719" t="s">
        <v>4826</v>
      </c>
      <c r="B4719" t="s">
        <v>31</v>
      </c>
      <c r="C4719" t="s">
        <v>4801</v>
      </c>
      <c r="D4719" s="1">
        <v>0.61799768518518516</v>
      </c>
      <c r="E4719" s="2">
        <f>CallLog[[#This Row],[Date]]+CallLog[[#This Row],[Time]]</f>
        <v>44280.617997685185</v>
      </c>
      <c r="F4719" s="1" t="str">
        <f>TEXT(CallLog[[#This Row],[Date]],"dddd")</f>
        <v>Thursday</v>
      </c>
      <c r="G4719" s="3">
        <f>HOUR(CallLog[[#This Row],[Time]])</f>
        <v>14</v>
      </c>
      <c r="H4719" t="s">
        <v>29</v>
      </c>
      <c r="I4719" t="s">
        <v>14</v>
      </c>
      <c r="J4719" t="s">
        <v>14</v>
      </c>
      <c r="K4719">
        <v>51</v>
      </c>
      <c r="L4719" t="str">
        <f>IF(AND(CallLog[[#This Row],[Answered (Y/N)]]="Y", CallLog[[#This Row],[Speed of answer in seconds]]&lt;=20),
    "Within",
    "Breach")</f>
        <v>Breach</v>
      </c>
      <c r="M4719" s="1">
        <v>2.9513888888888888E-3</v>
      </c>
      <c r="N4719">
        <v>3</v>
      </c>
    </row>
    <row r="4720" spans="1:14" x14ac:dyDescent="0.3">
      <c r="A4720" t="s">
        <v>4827</v>
      </c>
      <c r="B4720" t="s">
        <v>22</v>
      </c>
      <c r="C4720" t="s">
        <v>4801</v>
      </c>
      <c r="D4720" s="1">
        <v>0.62599537037037034</v>
      </c>
      <c r="E4720" s="2">
        <f>CallLog[[#This Row],[Date]]+CallLog[[#This Row],[Time]]</f>
        <v>44280.62599537037</v>
      </c>
      <c r="F4720" s="1" t="str">
        <f>TEXT(CallLog[[#This Row],[Date]],"dddd")</f>
        <v>Thursday</v>
      </c>
      <c r="G4720" s="3">
        <f>HOUR(CallLog[[#This Row],[Time]])</f>
        <v>15</v>
      </c>
      <c r="H4720" t="s">
        <v>29</v>
      </c>
      <c r="I4720" t="s">
        <v>18</v>
      </c>
      <c r="J4720" t="s">
        <v>18</v>
      </c>
      <c r="L4720" t="str">
        <f>IF(AND(CallLog[[#This Row],[Answered (Y/N)]]="Y", CallLog[[#This Row],[Speed of answer in seconds]]&lt;=20),
    "Within",
    "Breach")</f>
        <v>Breach</v>
      </c>
    </row>
    <row r="4721" spans="1:14" x14ac:dyDescent="0.3">
      <c r="A4721" t="s">
        <v>4828</v>
      </c>
      <c r="B4721" t="s">
        <v>22</v>
      </c>
      <c r="C4721" t="s">
        <v>4801</v>
      </c>
      <c r="D4721" s="1">
        <v>0.62599537037037034</v>
      </c>
      <c r="E4721" s="2">
        <f>CallLog[[#This Row],[Date]]+CallLog[[#This Row],[Time]]</f>
        <v>44280.62599537037</v>
      </c>
      <c r="F4721" s="1" t="str">
        <f>TEXT(CallLog[[#This Row],[Date]],"dddd")</f>
        <v>Thursday</v>
      </c>
      <c r="G4721" s="3">
        <f>HOUR(CallLog[[#This Row],[Time]])</f>
        <v>15</v>
      </c>
      <c r="H4721" t="s">
        <v>32</v>
      </c>
      <c r="I4721" t="s">
        <v>14</v>
      </c>
      <c r="J4721" t="s">
        <v>14</v>
      </c>
      <c r="K4721">
        <v>38</v>
      </c>
      <c r="L4721" t="str">
        <f>IF(AND(CallLog[[#This Row],[Answered (Y/N)]]="Y", CallLog[[#This Row],[Speed of answer in seconds]]&lt;=20),
    "Within",
    "Breach")</f>
        <v>Breach</v>
      </c>
      <c r="M4721" s="1">
        <v>3.7384259259259259E-3</v>
      </c>
      <c r="N4721">
        <v>3</v>
      </c>
    </row>
    <row r="4722" spans="1:14" x14ac:dyDescent="0.3">
      <c r="A4722" t="s">
        <v>4829</v>
      </c>
      <c r="B4722" t="s">
        <v>22</v>
      </c>
      <c r="C4722" t="s">
        <v>4801</v>
      </c>
      <c r="D4722" s="1">
        <v>0.63799768518518518</v>
      </c>
      <c r="E4722" s="2">
        <f>CallLog[[#This Row],[Date]]+CallLog[[#This Row],[Time]]</f>
        <v>44280.637997685182</v>
      </c>
      <c r="F4722" s="1" t="str">
        <f>TEXT(CallLog[[#This Row],[Date]],"dddd")</f>
        <v>Thursday</v>
      </c>
      <c r="G4722" s="3">
        <f>HOUR(CallLog[[#This Row],[Time]])</f>
        <v>15</v>
      </c>
      <c r="H4722" t="s">
        <v>17</v>
      </c>
      <c r="I4722" t="s">
        <v>14</v>
      </c>
      <c r="J4722" t="s">
        <v>18</v>
      </c>
      <c r="K4722">
        <v>61</v>
      </c>
      <c r="L4722" t="str">
        <f>IF(AND(CallLog[[#This Row],[Answered (Y/N)]]="Y", CallLog[[#This Row],[Speed of answer in seconds]]&lt;=20),
    "Within",
    "Breach")</f>
        <v>Breach</v>
      </c>
      <c r="M4722" s="1">
        <v>4.0856481481481481E-3</v>
      </c>
      <c r="N4722">
        <v>4</v>
      </c>
    </row>
    <row r="4723" spans="1:14" x14ac:dyDescent="0.3">
      <c r="A4723" t="s">
        <v>4830</v>
      </c>
      <c r="B4723" t="s">
        <v>38</v>
      </c>
      <c r="C4723" t="s">
        <v>4801</v>
      </c>
      <c r="D4723" s="1">
        <v>0.63799768518518518</v>
      </c>
      <c r="E4723" s="2">
        <f>CallLog[[#This Row],[Date]]+CallLog[[#This Row],[Time]]</f>
        <v>44280.637997685182</v>
      </c>
      <c r="F4723" s="1" t="str">
        <f>TEXT(CallLog[[#This Row],[Date]],"dddd")</f>
        <v>Thursday</v>
      </c>
      <c r="G4723" s="3">
        <f>HOUR(CallLog[[#This Row],[Time]])</f>
        <v>15</v>
      </c>
      <c r="H4723" t="s">
        <v>17</v>
      </c>
      <c r="I4723" t="s">
        <v>14</v>
      </c>
      <c r="J4723" t="s">
        <v>14</v>
      </c>
      <c r="K4723">
        <v>49</v>
      </c>
      <c r="L4723" t="str">
        <f>IF(AND(CallLog[[#This Row],[Answered (Y/N)]]="Y", CallLog[[#This Row],[Speed of answer in seconds]]&lt;=20),
    "Within",
    "Breach")</f>
        <v>Breach</v>
      </c>
      <c r="M4723" s="1">
        <v>2.1875000000000002E-3</v>
      </c>
      <c r="N4723">
        <v>3</v>
      </c>
    </row>
    <row r="4724" spans="1:14" x14ac:dyDescent="0.3">
      <c r="A4724" t="s">
        <v>4831</v>
      </c>
      <c r="B4724" t="s">
        <v>31</v>
      </c>
      <c r="C4724" t="s">
        <v>4801</v>
      </c>
      <c r="D4724" s="1">
        <v>0.64099537037037035</v>
      </c>
      <c r="E4724" s="2">
        <f>CallLog[[#This Row],[Date]]+CallLog[[#This Row],[Time]]</f>
        <v>44280.64099537037</v>
      </c>
      <c r="F4724" s="1" t="str">
        <f>TEXT(CallLog[[#This Row],[Date]],"dddd")</f>
        <v>Thursday</v>
      </c>
      <c r="G4724" s="3">
        <f>HOUR(CallLog[[#This Row],[Time]])</f>
        <v>15</v>
      </c>
      <c r="H4724" t="s">
        <v>24</v>
      </c>
      <c r="I4724" t="s">
        <v>14</v>
      </c>
      <c r="J4724" t="s">
        <v>14</v>
      </c>
      <c r="K4724">
        <v>65</v>
      </c>
      <c r="L4724" t="str">
        <f>IF(AND(CallLog[[#This Row],[Answered (Y/N)]]="Y", CallLog[[#This Row],[Speed of answer in seconds]]&lt;=20),
    "Within",
    "Breach")</f>
        <v>Breach</v>
      </c>
      <c r="M4724" s="1">
        <v>3.449074074074074E-3</v>
      </c>
      <c r="N4724">
        <v>3</v>
      </c>
    </row>
    <row r="4725" spans="1:14" x14ac:dyDescent="0.3">
      <c r="A4725" t="s">
        <v>4832</v>
      </c>
      <c r="B4725" t="s">
        <v>16</v>
      </c>
      <c r="C4725" t="s">
        <v>4801</v>
      </c>
      <c r="D4725" s="1">
        <v>0.64099537037037035</v>
      </c>
      <c r="E4725" s="2">
        <f>CallLog[[#This Row],[Date]]+CallLog[[#This Row],[Time]]</f>
        <v>44280.64099537037</v>
      </c>
      <c r="F4725" s="1" t="str">
        <f>TEXT(CallLog[[#This Row],[Date]],"dddd")</f>
        <v>Thursday</v>
      </c>
      <c r="G4725" s="3">
        <f>HOUR(CallLog[[#This Row],[Time]])</f>
        <v>15</v>
      </c>
      <c r="H4725" t="s">
        <v>13</v>
      </c>
      <c r="I4725" t="s">
        <v>14</v>
      </c>
      <c r="J4725" t="s">
        <v>14</v>
      </c>
      <c r="K4725">
        <v>74</v>
      </c>
      <c r="L4725" t="str">
        <f>IF(AND(CallLog[[#This Row],[Answered (Y/N)]]="Y", CallLog[[#This Row],[Speed of answer in seconds]]&lt;=20),
    "Within",
    "Breach")</f>
        <v>Breach</v>
      </c>
      <c r="M4725" s="1">
        <v>4.6990740740740743E-3</v>
      </c>
      <c r="N4725">
        <v>4</v>
      </c>
    </row>
    <row r="4726" spans="1:14" x14ac:dyDescent="0.3">
      <c r="A4726" t="s">
        <v>4833</v>
      </c>
      <c r="B4726" t="s">
        <v>22</v>
      </c>
      <c r="C4726" t="s">
        <v>4801</v>
      </c>
      <c r="D4726" s="1">
        <v>0.66</v>
      </c>
      <c r="E4726" s="2">
        <f>CallLog[[#This Row],[Date]]+CallLog[[#This Row],[Time]]</f>
        <v>44280.66</v>
      </c>
      <c r="F4726" s="1" t="str">
        <f>TEXT(CallLog[[#This Row],[Date]],"dddd")</f>
        <v>Thursday</v>
      </c>
      <c r="G4726" s="3">
        <f>HOUR(CallLog[[#This Row],[Time]])</f>
        <v>15</v>
      </c>
      <c r="H4726" t="s">
        <v>29</v>
      </c>
      <c r="I4726" t="s">
        <v>14</v>
      </c>
      <c r="J4726" t="s">
        <v>14</v>
      </c>
      <c r="K4726">
        <v>114</v>
      </c>
      <c r="L4726" t="str">
        <f>IF(AND(CallLog[[#This Row],[Answered (Y/N)]]="Y", CallLog[[#This Row],[Speed of answer in seconds]]&lt;=20),
    "Within",
    "Breach")</f>
        <v>Breach</v>
      </c>
      <c r="M4726" s="1">
        <v>2.0023148148148148E-3</v>
      </c>
      <c r="N4726">
        <v>4</v>
      </c>
    </row>
    <row r="4727" spans="1:14" x14ac:dyDescent="0.3">
      <c r="A4727" t="s">
        <v>4834</v>
      </c>
      <c r="B4727" t="s">
        <v>20</v>
      </c>
      <c r="C4727" t="s">
        <v>4801</v>
      </c>
      <c r="D4727" s="1">
        <v>0.66</v>
      </c>
      <c r="E4727" s="2">
        <f>CallLog[[#This Row],[Date]]+CallLog[[#This Row],[Time]]</f>
        <v>44280.66</v>
      </c>
      <c r="F4727" s="1" t="str">
        <f>TEXT(CallLog[[#This Row],[Date]],"dddd")</f>
        <v>Thursday</v>
      </c>
      <c r="G4727" s="3">
        <f>HOUR(CallLog[[#This Row],[Time]])</f>
        <v>15</v>
      </c>
      <c r="H4727" t="s">
        <v>13</v>
      </c>
      <c r="I4727" t="s">
        <v>18</v>
      </c>
      <c r="J4727" t="s">
        <v>18</v>
      </c>
      <c r="L4727" t="str">
        <f>IF(AND(CallLog[[#This Row],[Answered (Y/N)]]="Y", CallLog[[#This Row],[Speed of answer in seconds]]&lt;=20),
    "Within",
    "Breach")</f>
        <v>Breach</v>
      </c>
    </row>
    <row r="4728" spans="1:14" x14ac:dyDescent="0.3">
      <c r="A4728" t="s">
        <v>4835</v>
      </c>
      <c r="B4728" t="s">
        <v>22</v>
      </c>
      <c r="C4728" t="s">
        <v>4801</v>
      </c>
      <c r="D4728" s="1">
        <v>0.66799768518518521</v>
      </c>
      <c r="E4728" s="2">
        <f>CallLog[[#This Row],[Date]]+CallLog[[#This Row],[Time]]</f>
        <v>44280.667997685188</v>
      </c>
      <c r="F4728" s="1" t="str">
        <f>TEXT(CallLog[[#This Row],[Date]],"dddd")</f>
        <v>Thursday</v>
      </c>
      <c r="G4728" s="3">
        <f>HOUR(CallLog[[#This Row],[Time]])</f>
        <v>16</v>
      </c>
      <c r="H4728" t="s">
        <v>29</v>
      </c>
      <c r="I4728" t="s">
        <v>14</v>
      </c>
      <c r="J4728" t="s">
        <v>18</v>
      </c>
      <c r="K4728">
        <v>118</v>
      </c>
      <c r="L4728" t="str">
        <f>IF(AND(CallLog[[#This Row],[Answered (Y/N)]]="Y", CallLog[[#This Row],[Speed of answer in seconds]]&lt;=20),
    "Within",
    "Breach")</f>
        <v>Breach</v>
      </c>
      <c r="M4728" s="1">
        <v>1.4699074074074074E-3</v>
      </c>
      <c r="N4728">
        <v>3</v>
      </c>
    </row>
    <row r="4729" spans="1:14" x14ac:dyDescent="0.3">
      <c r="A4729" t="s">
        <v>4836</v>
      </c>
      <c r="B4729" t="s">
        <v>38</v>
      </c>
      <c r="C4729" t="s">
        <v>4801</v>
      </c>
      <c r="D4729" s="1">
        <v>0.66799768518518521</v>
      </c>
      <c r="E4729" s="2">
        <f>CallLog[[#This Row],[Date]]+CallLog[[#This Row],[Time]]</f>
        <v>44280.667997685188</v>
      </c>
      <c r="F4729" s="1" t="str">
        <f>TEXT(CallLog[[#This Row],[Date]],"dddd")</f>
        <v>Thursday</v>
      </c>
      <c r="G4729" s="3">
        <f>HOUR(CallLog[[#This Row],[Time]])</f>
        <v>16</v>
      </c>
      <c r="H4729" t="s">
        <v>24</v>
      </c>
      <c r="I4729" t="s">
        <v>14</v>
      </c>
      <c r="J4729" t="s">
        <v>14</v>
      </c>
      <c r="K4729">
        <v>119</v>
      </c>
      <c r="L4729" t="str">
        <f>IF(AND(CallLog[[#This Row],[Answered (Y/N)]]="Y", CallLog[[#This Row],[Speed of answer in seconds]]&lt;=20),
    "Within",
    "Breach")</f>
        <v>Breach</v>
      </c>
      <c r="M4729" s="1">
        <v>4.0625000000000001E-3</v>
      </c>
      <c r="N4729">
        <v>4</v>
      </c>
    </row>
    <row r="4730" spans="1:14" x14ac:dyDescent="0.3">
      <c r="A4730" t="s">
        <v>4837</v>
      </c>
      <c r="B4730" t="s">
        <v>47</v>
      </c>
      <c r="C4730" t="s">
        <v>4801</v>
      </c>
      <c r="D4730" s="1">
        <v>0.67099537037037038</v>
      </c>
      <c r="E4730" s="2">
        <f>CallLog[[#This Row],[Date]]+CallLog[[#This Row],[Time]]</f>
        <v>44280.670995370368</v>
      </c>
      <c r="F4730" s="1" t="str">
        <f>TEXT(CallLog[[#This Row],[Date]],"dddd")</f>
        <v>Thursday</v>
      </c>
      <c r="G4730" s="3">
        <f>HOUR(CallLog[[#This Row],[Time]])</f>
        <v>16</v>
      </c>
      <c r="H4730" t="s">
        <v>29</v>
      </c>
      <c r="I4730" t="s">
        <v>14</v>
      </c>
      <c r="J4730" t="s">
        <v>14</v>
      </c>
      <c r="K4730">
        <v>25</v>
      </c>
      <c r="L4730" t="str">
        <f>IF(AND(CallLog[[#This Row],[Answered (Y/N)]]="Y", CallLog[[#This Row],[Speed of answer in seconds]]&lt;=20),
    "Within",
    "Breach")</f>
        <v>Breach</v>
      </c>
      <c r="M4730" s="1">
        <v>2.8703703703703703E-3</v>
      </c>
      <c r="N4730">
        <v>2</v>
      </c>
    </row>
    <row r="4731" spans="1:14" x14ac:dyDescent="0.3">
      <c r="A4731" t="s">
        <v>4838</v>
      </c>
      <c r="B4731" t="s">
        <v>47</v>
      </c>
      <c r="C4731" t="s">
        <v>4801</v>
      </c>
      <c r="D4731" s="1">
        <v>0.67099537037037038</v>
      </c>
      <c r="E4731" s="2">
        <f>CallLog[[#This Row],[Date]]+CallLog[[#This Row],[Time]]</f>
        <v>44280.670995370368</v>
      </c>
      <c r="F4731" s="1" t="str">
        <f>TEXT(CallLog[[#This Row],[Date]],"dddd")</f>
        <v>Thursday</v>
      </c>
      <c r="G4731" s="3">
        <f>HOUR(CallLog[[#This Row],[Time]])</f>
        <v>16</v>
      </c>
      <c r="H4731" t="s">
        <v>13</v>
      </c>
      <c r="I4731" t="s">
        <v>14</v>
      </c>
      <c r="J4731" t="s">
        <v>14</v>
      </c>
      <c r="K4731">
        <v>106</v>
      </c>
      <c r="L4731" t="str">
        <f>IF(AND(CallLog[[#This Row],[Answered (Y/N)]]="Y", CallLog[[#This Row],[Speed of answer in seconds]]&lt;=20),
    "Within",
    "Breach")</f>
        <v>Breach</v>
      </c>
      <c r="M4731" s="1">
        <v>2.5578703703703705E-3</v>
      </c>
      <c r="N4731">
        <v>4</v>
      </c>
    </row>
    <row r="4732" spans="1:14" x14ac:dyDescent="0.3">
      <c r="A4732" t="s">
        <v>4839</v>
      </c>
      <c r="B4732" t="s">
        <v>11</v>
      </c>
      <c r="C4732" t="s">
        <v>4801</v>
      </c>
      <c r="D4732" s="1">
        <v>0.68500000000000005</v>
      </c>
      <c r="E4732" s="2">
        <f>CallLog[[#This Row],[Date]]+CallLog[[#This Row],[Time]]</f>
        <v>44280.684999999998</v>
      </c>
      <c r="F4732" s="1" t="str">
        <f>TEXT(CallLog[[#This Row],[Date]],"dddd")</f>
        <v>Thursday</v>
      </c>
      <c r="G4732" s="3">
        <f>HOUR(CallLog[[#This Row],[Time]])</f>
        <v>16</v>
      </c>
      <c r="H4732" t="s">
        <v>32</v>
      </c>
      <c r="I4732" t="s">
        <v>14</v>
      </c>
      <c r="J4732" t="s">
        <v>14</v>
      </c>
      <c r="K4732">
        <v>29</v>
      </c>
      <c r="L4732" t="str">
        <f>IF(AND(CallLog[[#This Row],[Answered (Y/N)]]="Y", CallLog[[#This Row],[Speed of answer in seconds]]&lt;=20),
    "Within",
    "Breach")</f>
        <v>Breach</v>
      </c>
      <c r="M4732" s="1">
        <v>4.7222222222222223E-3</v>
      </c>
      <c r="N4732">
        <v>5</v>
      </c>
    </row>
    <row r="4733" spans="1:14" x14ac:dyDescent="0.3">
      <c r="A4733" t="s">
        <v>4840</v>
      </c>
      <c r="B4733" t="s">
        <v>20</v>
      </c>
      <c r="C4733" t="s">
        <v>4801</v>
      </c>
      <c r="D4733" s="1">
        <v>0.68500000000000005</v>
      </c>
      <c r="E4733" s="2">
        <f>CallLog[[#This Row],[Date]]+CallLog[[#This Row],[Time]]</f>
        <v>44280.684999999998</v>
      </c>
      <c r="F4733" s="1" t="str">
        <f>TEXT(CallLog[[#This Row],[Date]],"dddd")</f>
        <v>Thursday</v>
      </c>
      <c r="G4733" s="3">
        <f>HOUR(CallLog[[#This Row],[Time]])</f>
        <v>16</v>
      </c>
      <c r="H4733" t="s">
        <v>29</v>
      </c>
      <c r="I4733" t="s">
        <v>14</v>
      </c>
      <c r="J4733" t="s">
        <v>14</v>
      </c>
      <c r="K4733">
        <v>104</v>
      </c>
      <c r="L4733" t="str">
        <f>IF(AND(CallLog[[#This Row],[Answered (Y/N)]]="Y", CallLog[[#This Row],[Speed of answer in seconds]]&lt;=20),
    "Within",
    "Breach")</f>
        <v>Breach</v>
      </c>
      <c r="M4733" s="1">
        <v>4.3055555555555555E-3</v>
      </c>
      <c r="N4733">
        <v>5</v>
      </c>
    </row>
    <row r="4734" spans="1:14" x14ac:dyDescent="0.3">
      <c r="A4734" t="s">
        <v>4841</v>
      </c>
      <c r="B4734" t="s">
        <v>22</v>
      </c>
      <c r="C4734" t="s">
        <v>4801</v>
      </c>
      <c r="D4734" s="1">
        <v>0.69400462962962961</v>
      </c>
      <c r="E4734" s="2">
        <f>CallLog[[#This Row],[Date]]+CallLog[[#This Row],[Time]]</f>
        <v>44280.694004629629</v>
      </c>
      <c r="F4734" s="1" t="str">
        <f>TEXT(CallLog[[#This Row],[Date]],"dddd")</f>
        <v>Thursday</v>
      </c>
      <c r="G4734" s="3">
        <f>HOUR(CallLog[[#This Row],[Time]])</f>
        <v>16</v>
      </c>
      <c r="H4734" t="s">
        <v>29</v>
      </c>
      <c r="I4734" t="s">
        <v>14</v>
      </c>
      <c r="J4734" t="s">
        <v>14</v>
      </c>
      <c r="K4734">
        <v>70</v>
      </c>
      <c r="L4734" t="str">
        <f>IF(AND(CallLog[[#This Row],[Answered (Y/N)]]="Y", CallLog[[#This Row],[Speed of answer in seconds]]&lt;=20),
    "Within",
    "Breach")</f>
        <v>Breach</v>
      </c>
      <c r="M4734" s="1">
        <v>4.2592592592592595E-3</v>
      </c>
      <c r="N4734">
        <v>4</v>
      </c>
    </row>
    <row r="4735" spans="1:14" x14ac:dyDescent="0.3">
      <c r="A4735" t="s">
        <v>4842</v>
      </c>
      <c r="B4735" t="s">
        <v>31</v>
      </c>
      <c r="C4735" t="s">
        <v>4801</v>
      </c>
      <c r="D4735" s="1">
        <v>0.69400462962962961</v>
      </c>
      <c r="E4735" s="2">
        <f>CallLog[[#This Row],[Date]]+CallLog[[#This Row],[Time]]</f>
        <v>44280.694004629629</v>
      </c>
      <c r="F4735" s="1" t="str">
        <f>TEXT(CallLog[[#This Row],[Date]],"dddd")</f>
        <v>Thursday</v>
      </c>
      <c r="G4735" s="3">
        <f>HOUR(CallLog[[#This Row],[Time]])</f>
        <v>16</v>
      </c>
      <c r="H4735" t="s">
        <v>24</v>
      </c>
      <c r="I4735" t="s">
        <v>14</v>
      </c>
      <c r="J4735" t="s">
        <v>14</v>
      </c>
      <c r="K4735">
        <v>85</v>
      </c>
      <c r="L4735" t="str">
        <f>IF(AND(CallLog[[#This Row],[Answered (Y/N)]]="Y", CallLog[[#This Row],[Speed of answer in seconds]]&lt;=20),
    "Within",
    "Breach")</f>
        <v>Breach</v>
      </c>
      <c r="M4735" s="1">
        <v>2.3726851851851851E-3</v>
      </c>
      <c r="N4735">
        <v>4</v>
      </c>
    </row>
    <row r="4736" spans="1:14" x14ac:dyDescent="0.3">
      <c r="A4736" t="s">
        <v>4843</v>
      </c>
      <c r="B4736" t="s">
        <v>16</v>
      </c>
      <c r="C4736" t="s">
        <v>4801</v>
      </c>
      <c r="D4736" s="1">
        <v>0.73299768518518515</v>
      </c>
      <c r="E4736" s="2">
        <f>CallLog[[#This Row],[Date]]+CallLog[[#This Row],[Time]]</f>
        <v>44280.732997685183</v>
      </c>
      <c r="F4736" s="1" t="str">
        <f>TEXT(CallLog[[#This Row],[Date]],"dddd")</f>
        <v>Thursday</v>
      </c>
      <c r="G4736" s="3">
        <f>HOUR(CallLog[[#This Row],[Time]])</f>
        <v>17</v>
      </c>
      <c r="H4736" t="s">
        <v>13</v>
      </c>
      <c r="I4736" t="s">
        <v>18</v>
      </c>
      <c r="J4736" t="s">
        <v>18</v>
      </c>
      <c r="L4736" t="str">
        <f>IF(AND(CallLog[[#This Row],[Answered (Y/N)]]="Y", CallLog[[#This Row],[Speed of answer in seconds]]&lt;=20),
    "Within",
    "Breach")</f>
        <v>Breach</v>
      </c>
    </row>
    <row r="4737" spans="1:14" x14ac:dyDescent="0.3">
      <c r="A4737" t="s">
        <v>4844</v>
      </c>
      <c r="B4737" t="s">
        <v>31</v>
      </c>
      <c r="C4737" t="s">
        <v>4801</v>
      </c>
      <c r="D4737" s="1">
        <v>0.73299768518518515</v>
      </c>
      <c r="E4737" s="2">
        <f>CallLog[[#This Row],[Date]]+CallLog[[#This Row],[Time]]</f>
        <v>44280.732997685183</v>
      </c>
      <c r="F4737" s="1" t="str">
        <f>TEXT(CallLog[[#This Row],[Date]],"dddd")</f>
        <v>Thursday</v>
      </c>
      <c r="G4737" s="3">
        <f>HOUR(CallLog[[#This Row],[Time]])</f>
        <v>17</v>
      </c>
      <c r="H4737" t="s">
        <v>13</v>
      </c>
      <c r="I4737" t="s">
        <v>14</v>
      </c>
      <c r="J4737" t="s">
        <v>14</v>
      </c>
      <c r="K4737">
        <v>61</v>
      </c>
      <c r="L4737" t="str">
        <f>IF(AND(CallLog[[#This Row],[Answered (Y/N)]]="Y", CallLog[[#This Row],[Speed of answer in seconds]]&lt;=20),
    "Within",
    "Breach")</f>
        <v>Breach</v>
      </c>
      <c r="M4737" s="1">
        <v>3.6921296296296298E-3</v>
      </c>
      <c r="N4737">
        <v>5</v>
      </c>
    </row>
    <row r="4738" spans="1:14" x14ac:dyDescent="0.3">
      <c r="A4738" t="s">
        <v>4845</v>
      </c>
      <c r="B4738" t="s">
        <v>31</v>
      </c>
      <c r="C4738" t="s">
        <v>4801</v>
      </c>
      <c r="D4738" s="1">
        <v>0.73900462962962965</v>
      </c>
      <c r="E4738" s="2">
        <f>CallLog[[#This Row],[Date]]+CallLog[[#This Row],[Time]]</f>
        <v>44280.739004629628</v>
      </c>
      <c r="F4738" s="1" t="str">
        <f>TEXT(CallLog[[#This Row],[Date]],"dddd")</f>
        <v>Thursday</v>
      </c>
      <c r="G4738" s="3">
        <f>HOUR(CallLog[[#This Row],[Time]])</f>
        <v>17</v>
      </c>
      <c r="H4738" t="s">
        <v>13</v>
      </c>
      <c r="I4738" t="s">
        <v>14</v>
      </c>
      <c r="J4738" t="s">
        <v>14</v>
      </c>
      <c r="K4738">
        <v>44</v>
      </c>
      <c r="L4738" t="str">
        <f>IF(AND(CallLog[[#This Row],[Answered (Y/N)]]="Y", CallLog[[#This Row],[Speed of answer in seconds]]&lt;=20),
    "Within",
    "Breach")</f>
        <v>Breach</v>
      </c>
      <c r="M4738" s="1">
        <v>3.7962962962962963E-3</v>
      </c>
      <c r="N4738">
        <v>3</v>
      </c>
    </row>
    <row r="4739" spans="1:14" x14ac:dyDescent="0.3">
      <c r="A4739" t="s">
        <v>4846</v>
      </c>
      <c r="B4739" t="s">
        <v>20</v>
      </c>
      <c r="C4739" t="s">
        <v>4801</v>
      </c>
      <c r="D4739" s="1">
        <v>0.73900462962962965</v>
      </c>
      <c r="E4739" s="2">
        <f>CallLog[[#This Row],[Date]]+CallLog[[#This Row],[Time]]</f>
        <v>44280.739004629628</v>
      </c>
      <c r="F4739" s="1" t="str">
        <f>TEXT(CallLog[[#This Row],[Date]],"dddd")</f>
        <v>Thursday</v>
      </c>
      <c r="G4739" s="3">
        <f>HOUR(CallLog[[#This Row],[Time]])</f>
        <v>17</v>
      </c>
      <c r="H4739" t="s">
        <v>29</v>
      </c>
      <c r="I4739" t="s">
        <v>14</v>
      </c>
      <c r="J4739" t="s">
        <v>14</v>
      </c>
      <c r="K4739">
        <v>40</v>
      </c>
      <c r="L4739" t="str">
        <f>IF(AND(CallLog[[#This Row],[Answered (Y/N)]]="Y", CallLog[[#This Row],[Speed of answer in seconds]]&lt;=20),
    "Within",
    "Breach")</f>
        <v>Breach</v>
      </c>
      <c r="M4739" s="1">
        <v>2.7199074074074074E-3</v>
      </c>
      <c r="N4739">
        <v>5</v>
      </c>
    </row>
    <row r="4740" spans="1:14" x14ac:dyDescent="0.3">
      <c r="A4740" t="s">
        <v>4847</v>
      </c>
      <c r="B4740" t="s">
        <v>38</v>
      </c>
      <c r="C4740" t="s">
        <v>4848</v>
      </c>
      <c r="D4740" s="1">
        <v>0.39099537037037035</v>
      </c>
      <c r="E4740" s="2">
        <f>CallLog[[#This Row],[Date]]+CallLog[[#This Row],[Time]]</f>
        <v>44281.39099537037</v>
      </c>
      <c r="F4740" s="1" t="str">
        <f>TEXT(CallLog[[#This Row],[Date]],"dddd")</f>
        <v>Friday</v>
      </c>
      <c r="G4740" s="3">
        <f>HOUR(CallLog[[#This Row],[Time]])</f>
        <v>9</v>
      </c>
      <c r="H4740" t="s">
        <v>17</v>
      </c>
      <c r="I4740" t="s">
        <v>14</v>
      </c>
      <c r="J4740" t="s">
        <v>14</v>
      </c>
      <c r="K4740">
        <v>15</v>
      </c>
      <c r="L4740" t="str">
        <f>IF(AND(CallLog[[#This Row],[Answered (Y/N)]]="Y", CallLog[[#This Row],[Speed of answer in seconds]]&lt;=20),
    "Within",
    "Breach")</f>
        <v>Within</v>
      </c>
      <c r="M4740" s="1">
        <v>3.9120370370370368E-3</v>
      </c>
      <c r="N4740">
        <v>4</v>
      </c>
    </row>
    <row r="4741" spans="1:14" x14ac:dyDescent="0.3">
      <c r="A4741" t="s">
        <v>4849</v>
      </c>
      <c r="B4741" t="s">
        <v>11</v>
      </c>
      <c r="C4741" t="s">
        <v>4848</v>
      </c>
      <c r="D4741" s="1">
        <v>0.39099537037037035</v>
      </c>
      <c r="E4741" s="2">
        <f>CallLog[[#This Row],[Date]]+CallLog[[#This Row],[Time]]</f>
        <v>44281.39099537037</v>
      </c>
      <c r="F4741" s="1" t="str">
        <f>TEXT(CallLog[[#This Row],[Date]],"dddd")</f>
        <v>Friday</v>
      </c>
      <c r="G4741" s="3">
        <f>HOUR(CallLog[[#This Row],[Time]])</f>
        <v>9</v>
      </c>
      <c r="H4741" t="s">
        <v>13</v>
      </c>
      <c r="I4741" t="s">
        <v>14</v>
      </c>
      <c r="J4741" t="s">
        <v>14</v>
      </c>
      <c r="K4741">
        <v>41</v>
      </c>
      <c r="L4741" t="str">
        <f>IF(AND(CallLog[[#This Row],[Answered (Y/N)]]="Y", CallLog[[#This Row],[Speed of answer in seconds]]&lt;=20),
    "Within",
    "Breach")</f>
        <v>Breach</v>
      </c>
      <c r="M4741" s="1">
        <v>1.9675925925925924E-3</v>
      </c>
      <c r="N4741">
        <v>2</v>
      </c>
    </row>
    <row r="4742" spans="1:14" x14ac:dyDescent="0.3">
      <c r="A4742" t="s">
        <v>4850</v>
      </c>
      <c r="B4742" t="s">
        <v>47</v>
      </c>
      <c r="C4742" t="s">
        <v>4848</v>
      </c>
      <c r="D4742" s="1">
        <v>0.39200231481481479</v>
      </c>
      <c r="E4742" s="2">
        <f>CallLog[[#This Row],[Date]]+CallLog[[#This Row],[Time]]</f>
        <v>44281.392002314817</v>
      </c>
      <c r="F4742" s="1" t="str">
        <f>TEXT(CallLog[[#This Row],[Date]],"dddd")</f>
        <v>Friday</v>
      </c>
      <c r="G4742" s="3">
        <f>HOUR(CallLog[[#This Row],[Time]])</f>
        <v>9</v>
      </c>
      <c r="H4742" t="s">
        <v>24</v>
      </c>
      <c r="I4742" t="s">
        <v>14</v>
      </c>
      <c r="J4742" t="s">
        <v>18</v>
      </c>
      <c r="K4742">
        <v>78</v>
      </c>
      <c r="L4742" t="str">
        <f>IF(AND(CallLog[[#This Row],[Answered (Y/N)]]="Y", CallLog[[#This Row],[Speed of answer in seconds]]&lt;=20),
    "Within",
    "Breach")</f>
        <v>Breach</v>
      </c>
      <c r="M4742" s="1">
        <v>1.6203703703703703E-3</v>
      </c>
      <c r="N4742">
        <v>4</v>
      </c>
    </row>
    <row r="4743" spans="1:14" x14ac:dyDescent="0.3">
      <c r="A4743" t="s">
        <v>4851</v>
      </c>
      <c r="B4743" t="s">
        <v>34</v>
      </c>
      <c r="C4743" t="s">
        <v>4848</v>
      </c>
      <c r="D4743" s="1">
        <v>0.39200231481481479</v>
      </c>
      <c r="E4743" s="2">
        <f>CallLog[[#This Row],[Date]]+CallLog[[#This Row],[Time]]</f>
        <v>44281.392002314817</v>
      </c>
      <c r="F4743" s="1" t="str">
        <f>TEXT(CallLog[[#This Row],[Date]],"dddd")</f>
        <v>Friday</v>
      </c>
      <c r="G4743" s="3">
        <f>HOUR(CallLog[[#This Row],[Time]])</f>
        <v>9</v>
      </c>
      <c r="H4743" t="s">
        <v>32</v>
      </c>
      <c r="I4743" t="s">
        <v>18</v>
      </c>
      <c r="J4743" t="s">
        <v>18</v>
      </c>
      <c r="L4743" t="str">
        <f>IF(AND(CallLog[[#This Row],[Answered (Y/N)]]="Y", CallLog[[#This Row],[Speed of answer in seconds]]&lt;=20),
    "Within",
    "Breach")</f>
        <v>Breach</v>
      </c>
    </row>
    <row r="4744" spans="1:14" x14ac:dyDescent="0.3">
      <c r="A4744" t="s">
        <v>4852</v>
      </c>
      <c r="B4744" t="s">
        <v>34</v>
      </c>
      <c r="C4744" t="s">
        <v>4848</v>
      </c>
      <c r="D4744" s="1">
        <v>0.39900462962962963</v>
      </c>
      <c r="E4744" s="2">
        <f>CallLog[[#This Row],[Date]]+CallLog[[#This Row],[Time]]</f>
        <v>44281.399004629631</v>
      </c>
      <c r="F4744" s="1" t="str">
        <f>TEXT(CallLog[[#This Row],[Date]],"dddd")</f>
        <v>Friday</v>
      </c>
      <c r="G4744" s="3">
        <f>HOUR(CallLog[[#This Row],[Time]])</f>
        <v>9</v>
      </c>
      <c r="H4744" t="s">
        <v>17</v>
      </c>
      <c r="I4744" t="s">
        <v>14</v>
      </c>
      <c r="J4744" t="s">
        <v>14</v>
      </c>
      <c r="K4744">
        <v>46</v>
      </c>
      <c r="L4744" t="str">
        <f>IF(AND(CallLog[[#This Row],[Answered (Y/N)]]="Y", CallLog[[#This Row],[Speed of answer in seconds]]&lt;=20),
    "Within",
    "Breach")</f>
        <v>Breach</v>
      </c>
      <c r="M4744" s="1">
        <v>1.4120370370370369E-3</v>
      </c>
      <c r="N4744">
        <v>3</v>
      </c>
    </row>
    <row r="4745" spans="1:14" x14ac:dyDescent="0.3">
      <c r="A4745" t="s">
        <v>4853</v>
      </c>
      <c r="B4745" t="s">
        <v>38</v>
      </c>
      <c r="C4745" t="s">
        <v>4848</v>
      </c>
      <c r="D4745" s="1">
        <v>0.39900462962962963</v>
      </c>
      <c r="E4745" s="2">
        <f>CallLog[[#This Row],[Date]]+CallLog[[#This Row],[Time]]</f>
        <v>44281.399004629631</v>
      </c>
      <c r="F4745" s="1" t="str">
        <f>TEXT(CallLog[[#This Row],[Date]],"dddd")</f>
        <v>Friday</v>
      </c>
      <c r="G4745" s="3">
        <f>HOUR(CallLog[[#This Row],[Time]])</f>
        <v>9</v>
      </c>
      <c r="H4745" t="s">
        <v>32</v>
      </c>
      <c r="I4745" t="s">
        <v>18</v>
      </c>
      <c r="J4745" t="s">
        <v>18</v>
      </c>
      <c r="L4745" t="str">
        <f>IF(AND(CallLog[[#This Row],[Answered (Y/N)]]="Y", CallLog[[#This Row],[Speed of answer in seconds]]&lt;=20),
    "Within",
    "Breach")</f>
        <v>Breach</v>
      </c>
    </row>
    <row r="4746" spans="1:14" x14ac:dyDescent="0.3">
      <c r="A4746" t="s">
        <v>4854</v>
      </c>
      <c r="B4746" t="s">
        <v>47</v>
      </c>
      <c r="C4746" t="s">
        <v>4848</v>
      </c>
      <c r="D4746" s="1">
        <v>0.41700231481481481</v>
      </c>
      <c r="E4746" s="2">
        <f>CallLog[[#This Row],[Date]]+CallLog[[#This Row],[Time]]</f>
        <v>44281.417002314818</v>
      </c>
      <c r="F4746" s="1" t="str">
        <f>TEXT(CallLog[[#This Row],[Date]],"dddd")</f>
        <v>Friday</v>
      </c>
      <c r="G4746" s="3">
        <f>HOUR(CallLog[[#This Row],[Time]])</f>
        <v>10</v>
      </c>
      <c r="H4746" t="s">
        <v>24</v>
      </c>
      <c r="I4746" t="s">
        <v>14</v>
      </c>
      <c r="J4746" t="s">
        <v>14</v>
      </c>
      <c r="K4746">
        <v>45</v>
      </c>
      <c r="L4746" t="str">
        <f>IF(AND(CallLog[[#This Row],[Answered (Y/N)]]="Y", CallLog[[#This Row],[Speed of answer in seconds]]&lt;=20),
    "Within",
    "Breach")</f>
        <v>Breach</v>
      </c>
      <c r="M4746" s="1">
        <v>3.9351851851851848E-3</v>
      </c>
      <c r="N4746">
        <v>2</v>
      </c>
    </row>
    <row r="4747" spans="1:14" x14ac:dyDescent="0.3">
      <c r="A4747" t="s">
        <v>4855</v>
      </c>
      <c r="B4747" t="s">
        <v>20</v>
      </c>
      <c r="C4747" t="s">
        <v>4848</v>
      </c>
      <c r="D4747" s="1">
        <v>0.41700231481481481</v>
      </c>
      <c r="E4747" s="2">
        <f>CallLog[[#This Row],[Date]]+CallLog[[#This Row],[Time]]</f>
        <v>44281.417002314818</v>
      </c>
      <c r="F4747" s="1" t="str">
        <f>TEXT(CallLog[[#This Row],[Date]],"dddd")</f>
        <v>Friday</v>
      </c>
      <c r="G4747" s="3">
        <f>HOUR(CallLog[[#This Row],[Time]])</f>
        <v>10</v>
      </c>
      <c r="H4747" t="s">
        <v>13</v>
      </c>
      <c r="I4747" t="s">
        <v>14</v>
      </c>
      <c r="J4747" t="s">
        <v>14</v>
      </c>
      <c r="K4747">
        <v>86</v>
      </c>
      <c r="L4747" t="str">
        <f>IF(AND(CallLog[[#This Row],[Answered (Y/N)]]="Y", CallLog[[#This Row],[Speed of answer in seconds]]&lt;=20),
    "Within",
    "Breach")</f>
        <v>Breach</v>
      </c>
      <c r="M4747" s="1">
        <v>3.9583333333333337E-3</v>
      </c>
      <c r="N4747">
        <v>1</v>
      </c>
    </row>
    <row r="4748" spans="1:14" x14ac:dyDescent="0.3">
      <c r="A4748" t="s">
        <v>4856</v>
      </c>
      <c r="B4748" t="s">
        <v>11</v>
      </c>
      <c r="C4748" t="s">
        <v>4848</v>
      </c>
      <c r="D4748" s="1">
        <v>0.42099537037037038</v>
      </c>
      <c r="E4748" s="2">
        <f>CallLog[[#This Row],[Date]]+CallLog[[#This Row],[Time]]</f>
        <v>44281.420995370368</v>
      </c>
      <c r="F4748" s="1" t="str">
        <f>TEXT(CallLog[[#This Row],[Date]],"dddd")</f>
        <v>Friday</v>
      </c>
      <c r="G4748" s="3">
        <f>HOUR(CallLog[[#This Row],[Time]])</f>
        <v>10</v>
      </c>
      <c r="H4748" t="s">
        <v>17</v>
      </c>
      <c r="I4748" t="s">
        <v>18</v>
      </c>
      <c r="J4748" t="s">
        <v>18</v>
      </c>
      <c r="L4748" t="str">
        <f>IF(AND(CallLog[[#This Row],[Answered (Y/N)]]="Y", CallLog[[#This Row],[Speed of answer in seconds]]&lt;=20),
    "Within",
    "Breach")</f>
        <v>Breach</v>
      </c>
    </row>
    <row r="4749" spans="1:14" x14ac:dyDescent="0.3">
      <c r="A4749" t="s">
        <v>4857</v>
      </c>
      <c r="B4749" t="s">
        <v>47</v>
      </c>
      <c r="C4749" t="s">
        <v>4848</v>
      </c>
      <c r="D4749" s="1">
        <v>0.42099537037037038</v>
      </c>
      <c r="E4749" s="2">
        <f>CallLog[[#This Row],[Date]]+CallLog[[#This Row],[Time]]</f>
        <v>44281.420995370368</v>
      </c>
      <c r="F4749" s="1" t="str">
        <f>TEXT(CallLog[[#This Row],[Date]],"dddd")</f>
        <v>Friday</v>
      </c>
      <c r="G4749" s="3">
        <f>HOUR(CallLog[[#This Row],[Time]])</f>
        <v>10</v>
      </c>
      <c r="H4749" t="s">
        <v>24</v>
      </c>
      <c r="I4749" t="s">
        <v>14</v>
      </c>
      <c r="J4749" t="s">
        <v>18</v>
      </c>
      <c r="K4749">
        <v>59</v>
      </c>
      <c r="L4749" t="str">
        <f>IF(AND(CallLog[[#This Row],[Answered (Y/N)]]="Y", CallLog[[#This Row],[Speed of answer in seconds]]&lt;=20),
    "Within",
    "Breach")</f>
        <v>Breach</v>
      </c>
      <c r="M4749" s="1">
        <v>1.6319444444444445E-3</v>
      </c>
      <c r="N4749">
        <v>2</v>
      </c>
    </row>
    <row r="4750" spans="1:14" x14ac:dyDescent="0.3">
      <c r="A4750" t="s">
        <v>4858</v>
      </c>
      <c r="B4750" t="s">
        <v>34</v>
      </c>
      <c r="C4750" t="s">
        <v>4848</v>
      </c>
      <c r="D4750" s="1">
        <v>0.42400462962962965</v>
      </c>
      <c r="E4750" s="2">
        <f>CallLog[[#This Row],[Date]]+CallLog[[#This Row],[Time]]</f>
        <v>44281.424004629633</v>
      </c>
      <c r="F4750" s="1" t="str">
        <f>TEXT(CallLog[[#This Row],[Date]],"dddd")</f>
        <v>Friday</v>
      </c>
      <c r="G4750" s="3">
        <f>HOUR(CallLog[[#This Row],[Time]])</f>
        <v>10</v>
      </c>
      <c r="H4750" t="s">
        <v>29</v>
      </c>
      <c r="I4750" t="s">
        <v>14</v>
      </c>
      <c r="J4750" t="s">
        <v>14</v>
      </c>
      <c r="K4750">
        <v>23</v>
      </c>
      <c r="L4750" t="str">
        <f>IF(AND(CallLog[[#This Row],[Answered (Y/N)]]="Y", CallLog[[#This Row],[Speed of answer in seconds]]&lt;=20),
    "Within",
    "Breach")</f>
        <v>Breach</v>
      </c>
      <c r="M4750" s="1">
        <v>3.4027777777777776E-3</v>
      </c>
      <c r="N4750">
        <v>3</v>
      </c>
    </row>
    <row r="4751" spans="1:14" x14ac:dyDescent="0.3">
      <c r="A4751" t="s">
        <v>4859</v>
      </c>
      <c r="B4751" t="s">
        <v>31</v>
      </c>
      <c r="C4751" t="s">
        <v>4848</v>
      </c>
      <c r="D4751" s="1">
        <v>0.42400462962962965</v>
      </c>
      <c r="E4751" s="2">
        <f>CallLog[[#This Row],[Date]]+CallLog[[#This Row],[Time]]</f>
        <v>44281.424004629633</v>
      </c>
      <c r="F4751" s="1" t="str">
        <f>TEXT(CallLog[[#This Row],[Date]],"dddd")</f>
        <v>Friday</v>
      </c>
      <c r="G4751" s="3">
        <f>HOUR(CallLog[[#This Row],[Time]])</f>
        <v>10</v>
      </c>
      <c r="H4751" t="s">
        <v>29</v>
      </c>
      <c r="I4751" t="s">
        <v>14</v>
      </c>
      <c r="J4751" t="s">
        <v>14</v>
      </c>
      <c r="K4751">
        <v>79</v>
      </c>
      <c r="L4751" t="str">
        <f>IF(AND(CallLog[[#This Row],[Answered (Y/N)]]="Y", CallLog[[#This Row],[Speed of answer in seconds]]&lt;=20),
    "Within",
    "Breach")</f>
        <v>Breach</v>
      </c>
      <c r="M4751" s="1">
        <v>2.6157407407407405E-3</v>
      </c>
      <c r="N4751">
        <v>4</v>
      </c>
    </row>
    <row r="4752" spans="1:14" x14ac:dyDescent="0.3">
      <c r="A4752" t="s">
        <v>4860</v>
      </c>
      <c r="B4752" t="s">
        <v>20</v>
      </c>
      <c r="C4752" t="s">
        <v>4848</v>
      </c>
      <c r="D4752" s="1">
        <v>0.42700231481481482</v>
      </c>
      <c r="E4752" s="2">
        <f>CallLog[[#This Row],[Date]]+CallLog[[#This Row],[Time]]</f>
        <v>44281.427002314813</v>
      </c>
      <c r="F4752" s="1" t="str">
        <f>TEXT(CallLog[[#This Row],[Date]],"dddd")</f>
        <v>Friday</v>
      </c>
      <c r="G4752" s="3">
        <f>HOUR(CallLog[[#This Row],[Time]])</f>
        <v>10</v>
      </c>
      <c r="H4752" t="s">
        <v>13</v>
      </c>
      <c r="I4752" t="s">
        <v>14</v>
      </c>
      <c r="J4752" t="s">
        <v>14</v>
      </c>
      <c r="K4752">
        <v>105</v>
      </c>
      <c r="L4752" t="str">
        <f>IF(AND(CallLog[[#This Row],[Answered (Y/N)]]="Y", CallLog[[#This Row],[Speed of answer in seconds]]&lt;=20),
    "Within",
    "Breach")</f>
        <v>Breach</v>
      </c>
      <c r="M4752" s="1">
        <v>4.4675925925925924E-3</v>
      </c>
      <c r="N4752">
        <v>4</v>
      </c>
    </row>
    <row r="4753" spans="1:14" x14ac:dyDescent="0.3">
      <c r="A4753" t="s">
        <v>4861</v>
      </c>
      <c r="B4753" t="s">
        <v>38</v>
      </c>
      <c r="C4753" t="s">
        <v>4848</v>
      </c>
      <c r="D4753" s="1">
        <v>0.42700231481481482</v>
      </c>
      <c r="E4753" s="2">
        <f>CallLog[[#This Row],[Date]]+CallLog[[#This Row],[Time]]</f>
        <v>44281.427002314813</v>
      </c>
      <c r="F4753" s="1" t="str">
        <f>TEXT(CallLog[[#This Row],[Date]],"dddd")</f>
        <v>Friday</v>
      </c>
      <c r="G4753" s="3">
        <f>HOUR(CallLog[[#This Row],[Time]])</f>
        <v>10</v>
      </c>
      <c r="H4753" t="s">
        <v>17</v>
      </c>
      <c r="I4753" t="s">
        <v>14</v>
      </c>
      <c r="J4753" t="s">
        <v>14</v>
      </c>
      <c r="K4753">
        <v>42</v>
      </c>
      <c r="L4753" t="str">
        <f>IF(AND(CallLog[[#This Row],[Answered (Y/N)]]="Y", CallLog[[#This Row],[Speed of answer in seconds]]&lt;=20),
    "Within",
    "Breach")</f>
        <v>Breach</v>
      </c>
      <c r="M4753" s="1">
        <v>6.3657407407407413E-4</v>
      </c>
      <c r="N4753">
        <v>5</v>
      </c>
    </row>
    <row r="4754" spans="1:14" x14ac:dyDescent="0.3">
      <c r="A4754" t="s">
        <v>4862</v>
      </c>
      <c r="B4754" t="s">
        <v>16</v>
      </c>
      <c r="C4754" t="s">
        <v>4848</v>
      </c>
      <c r="D4754" s="1">
        <v>0.45599537037037036</v>
      </c>
      <c r="E4754" s="2">
        <f>CallLog[[#This Row],[Date]]+CallLog[[#This Row],[Time]]</f>
        <v>44281.455995370372</v>
      </c>
      <c r="F4754" s="1" t="str">
        <f>TEXT(CallLog[[#This Row],[Date]],"dddd")</f>
        <v>Friday</v>
      </c>
      <c r="G4754" s="3">
        <f>HOUR(CallLog[[#This Row],[Time]])</f>
        <v>10</v>
      </c>
      <c r="H4754" t="s">
        <v>32</v>
      </c>
      <c r="I4754" t="s">
        <v>14</v>
      </c>
      <c r="J4754" t="s">
        <v>14</v>
      </c>
      <c r="K4754">
        <v>20</v>
      </c>
      <c r="L4754" t="str">
        <f>IF(AND(CallLog[[#This Row],[Answered (Y/N)]]="Y", CallLog[[#This Row],[Speed of answer in seconds]]&lt;=20),
    "Within",
    "Breach")</f>
        <v>Within</v>
      </c>
      <c r="M4754" s="1">
        <v>9.837962962962962E-4</v>
      </c>
      <c r="N4754">
        <v>4</v>
      </c>
    </row>
    <row r="4755" spans="1:14" x14ac:dyDescent="0.3">
      <c r="A4755" t="s">
        <v>4863</v>
      </c>
      <c r="B4755" t="s">
        <v>22</v>
      </c>
      <c r="C4755" t="s">
        <v>4848</v>
      </c>
      <c r="D4755" s="1">
        <v>0.45599537037037036</v>
      </c>
      <c r="E4755" s="2">
        <f>CallLog[[#This Row],[Date]]+CallLog[[#This Row],[Time]]</f>
        <v>44281.455995370372</v>
      </c>
      <c r="F4755" s="1" t="str">
        <f>TEXT(CallLog[[#This Row],[Date]],"dddd")</f>
        <v>Friday</v>
      </c>
      <c r="G4755" s="3">
        <f>HOUR(CallLog[[#This Row],[Time]])</f>
        <v>10</v>
      </c>
      <c r="H4755" t="s">
        <v>17</v>
      </c>
      <c r="I4755" t="s">
        <v>14</v>
      </c>
      <c r="J4755" t="s">
        <v>14</v>
      </c>
      <c r="K4755">
        <v>48</v>
      </c>
      <c r="L4755" t="str">
        <f>IF(AND(CallLog[[#This Row],[Answered (Y/N)]]="Y", CallLog[[#This Row],[Speed of answer in seconds]]&lt;=20),
    "Within",
    "Breach")</f>
        <v>Breach</v>
      </c>
      <c r="M4755" s="1">
        <v>3.9814814814814817E-3</v>
      </c>
      <c r="N4755">
        <v>4</v>
      </c>
    </row>
    <row r="4756" spans="1:14" x14ac:dyDescent="0.3">
      <c r="A4756" t="s">
        <v>4864</v>
      </c>
      <c r="B4756" t="s">
        <v>16</v>
      </c>
      <c r="C4756" t="s">
        <v>4848</v>
      </c>
      <c r="D4756" s="1">
        <v>0.49200231481481482</v>
      </c>
      <c r="E4756" s="2">
        <f>CallLog[[#This Row],[Date]]+CallLog[[#This Row],[Time]]</f>
        <v>44281.492002314815</v>
      </c>
      <c r="F4756" s="1" t="str">
        <f>TEXT(CallLog[[#This Row],[Date]],"dddd")</f>
        <v>Friday</v>
      </c>
      <c r="G4756" s="3">
        <f>HOUR(CallLog[[#This Row],[Time]])</f>
        <v>11</v>
      </c>
      <c r="H4756" t="s">
        <v>29</v>
      </c>
      <c r="I4756" t="s">
        <v>14</v>
      </c>
      <c r="J4756" t="s">
        <v>14</v>
      </c>
      <c r="K4756">
        <v>29</v>
      </c>
      <c r="L4756" t="str">
        <f>IF(AND(CallLog[[#This Row],[Answered (Y/N)]]="Y", CallLog[[#This Row],[Speed of answer in seconds]]&lt;=20),
    "Within",
    "Breach")</f>
        <v>Breach</v>
      </c>
      <c r="M4756" s="1">
        <v>3.8425925925925928E-3</v>
      </c>
      <c r="N4756">
        <v>3</v>
      </c>
    </row>
    <row r="4757" spans="1:14" x14ac:dyDescent="0.3">
      <c r="A4757" t="s">
        <v>4865</v>
      </c>
      <c r="B4757" t="s">
        <v>47</v>
      </c>
      <c r="C4757" t="s">
        <v>4848</v>
      </c>
      <c r="D4757" s="1">
        <v>0.49200231481481482</v>
      </c>
      <c r="E4757" s="2">
        <f>CallLog[[#This Row],[Date]]+CallLog[[#This Row],[Time]]</f>
        <v>44281.492002314815</v>
      </c>
      <c r="F4757" s="1" t="str">
        <f>TEXT(CallLog[[#This Row],[Date]],"dddd")</f>
        <v>Friday</v>
      </c>
      <c r="G4757" s="3">
        <f>HOUR(CallLog[[#This Row],[Time]])</f>
        <v>11</v>
      </c>
      <c r="H4757" t="s">
        <v>17</v>
      </c>
      <c r="I4757" t="s">
        <v>14</v>
      </c>
      <c r="J4757" t="s">
        <v>14</v>
      </c>
      <c r="K4757">
        <v>49</v>
      </c>
      <c r="L4757" t="str">
        <f>IF(AND(CallLog[[#This Row],[Answered (Y/N)]]="Y", CallLog[[#This Row],[Speed of answer in seconds]]&lt;=20),
    "Within",
    "Breach")</f>
        <v>Breach</v>
      </c>
      <c r="M4757" s="1">
        <v>4.0162037037037041E-3</v>
      </c>
      <c r="N4757">
        <v>3</v>
      </c>
    </row>
    <row r="4758" spans="1:14" x14ac:dyDescent="0.3">
      <c r="A4758" t="s">
        <v>4866</v>
      </c>
      <c r="B4758" t="s">
        <v>22</v>
      </c>
      <c r="C4758" t="s">
        <v>4848</v>
      </c>
      <c r="D4758" s="1">
        <v>0.49700231481481483</v>
      </c>
      <c r="E4758" s="2">
        <f>CallLog[[#This Row],[Date]]+CallLog[[#This Row],[Time]]</f>
        <v>44281.497002314813</v>
      </c>
      <c r="F4758" s="1" t="str">
        <f>TEXT(CallLog[[#This Row],[Date]],"dddd")</f>
        <v>Friday</v>
      </c>
      <c r="G4758" s="3">
        <f>HOUR(CallLog[[#This Row],[Time]])</f>
        <v>11</v>
      </c>
      <c r="H4758" t="s">
        <v>32</v>
      </c>
      <c r="I4758" t="s">
        <v>14</v>
      </c>
      <c r="J4758" t="s">
        <v>14</v>
      </c>
      <c r="K4758">
        <v>94</v>
      </c>
      <c r="L4758" t="str">
        <f>IF(AND(CallLog[[#This Row],[Answered (Y/N)]]="Y", CallLog[[#This Row],[Speed of answer in seconds]]&lt;=20),
    "Within",
    "Breach")</f>
        <v>Breach</v>
      </c>
      <c r="M4758" s="1">
        <v>4.7800925925925927E-3</v>
      </c>
      <c r="N4758">
        <v>5</v>
      </c>
    </row>
    <row r="4759" spans="1:14" x14ac:dyDescent="0.3">
      <c r="A4759" t="s">
        <v>4867</v>
      </c>
      <c r="B4759" t="s">
        <v>20</v>
      </c>
      <c r="C4759" t="s">
        <v>4848</v>
      </c>
      <c r="D4759" s="1">
        <v>0.49700231481481483</v>
      </c>
      <c r="E4759" s="2">
        <f>CallLog[[#This Row],[Date]]+CallLog[[#This Row],[Time]]</f>
        <v>44281.497002314813</v>
      </c>
      <c r="F4759" s="1" t="str">
        <f>TEXT(CallLog[[#This Row],[Date]],"dddd")</f>
        <v>Friday</v>
      </c>
      <c r="G4759" s="3">
        <f>HOUR(CallLog[[#This Row],[Time]])</f>
        <v>11</v>
      </c>
      <c r="H4759" t="s">
        <v>17</v>
      </c>
      <c r="I4759" t="s">
        <v>14</v>
      </c>
      <c r="J4759" t="s">
        <v>18</v>
      </c>
      <c r="K4759">
        <v>22</v>
      </c>
      <c r="L4759" t="str">
        <f>IF(AND(CallLog[[#This Row],[Answered (Y/N)]]="Y", CallLog[[#This Row],[Speed of answer in seconds]]&lt;=20),
    "Within",
    "Breach")</f>
        <v>Breach</v>
      </c>
      <c r="M4759" s="1">
        <v>1.2268518518518518E-3</v>
      </c>
      <c r="N4759">
        <v>4</v>
      </c>
    </row>
    <row r="4760" spans="1:14" x14ac:dyDescent="0.3">
      <c r="A4760" t="s">
        <v>4868</v>
      </c>
      <c r="B4760" t="s">
        <v>20</v>
      </c>
      <c r="C4760" t="s">
        <v>4848</v>
      </c>
      <c r="D4760" s="1">
        <v>0.50099537037037034</v>
      </c>
      <c r="E4760" s="2">
        <f>CallLog[[#This Row],[Date]]+CallLog[[#This Row],[Time]]</f>
        <v>44281.50099537037</v>
      </c>
      <c r="F4760" s="1" t="str">
        <f>TEXT(CallLog[[#This Row],[Date]],"dddd")</f>
        <v>Friday</v>
      </c>
      <c r="G4760" s="3">
        <f>HOUR(CallLog[[#This Row],[Time]])</f>
        <v>12</v>
      </c>
      <c r="H4760" t="s">
        <v>29</v>
      </c>
      <c r="I4760" t="s">
        <v>14</v>
      </c>
      <c r="J4760" t="s">
        <v>14</v>
      </c>
      <c r="K4760">
        <v>93</v>
      </c>
      <c r="L4760" t="str">
        <f>IF(AND(CallLog[[#This Row],[Answered (Y/N)]]="Y", CallLog[[#This Row],[Speed of answer in seconds]]&lt;=20),
    "Within",
    "Breach")</f>
        <v>Breach</v>
      </c>
      <c r="M4760" s="1">
        <v>2.9282407407407408E-3</v>
      </c>
      <c r="N4760">
        <v>4</v>
      </c>
    </row>
    <row r="4761" spans="1:14" x14ac:dyDescent="0.3">
      <c r="A4761" t="s">
        <v>4869</v>
      </c>
      <c r="B4761" t="s">
        <v>38</v>
      </c>
      <c r="C4761" t="s">
        <v>4848</v>
      </c>
      <c r="D4761" s="1">
        <v>0.50099537037037034</v>
      </c>
      <c r="E4761" s="2">
        <f>CallLog[[#This Row],[Date]]+CallLog[[#This Row],[Time]]</f>
        <v>44281.50099537037</v>
      </c>
      <c r="F4761" s="1" t="str">
        <f>TEXT(CallLog[[#This Row],[Date]],"dddd")</f>
        <v>Friday</v>
      </c>
      <c r="G4761" s="3">
        <f>HOUR(CallLog[[#This Row],[Time]])</f>
        <v>12</v>
      </c>
      <c r="H4761" t="s">
        <v>32</v>
      </c>
      <c r="I4761" t="s">
        <v>14</v>
      </c>
      <c r="J4761" t="s">
        <v>14</v>
      </c>
      <c r="K4761">
        <v>56</v>
      </c>
      <c r="L4761" t="str">
        <f>IF(AND(CallLog[[#This Row],[Answered (Y/N)]]="Y", CallLog[[#This Row],[Speed of answer in seconds]]&lt;=20),
    "Within",
    "Breach")</f>
        <v>Breach</v>
      </c>
      <c r="M4761" s="1">
        <v>3.1597222222222222E-3</v>
      </c>
      <c r="N4761">
        <v>5</v>
      </c>
    </row>
    <row r="4762" spans="1:14" x14ac:dyDescent="0.3">
      <c r="A4762" t="s">
        <v>4870</v>
      </c>
      <c r="B4762" t="s">
        <v>16</v>
      </c>
      <c r="C4762" t="s">
        <v>4848</v>
      </c>
      <c r="D4762" s="1">
        <v>0.51700231481481485</v>
      </c>
      <c r="E4762" s="2">
        <f>CallLog[[#This Row],[Date]]+CallLog[[#This Row],[Time]]</f>
        <v>44281.517002314817</v>
      </c>
      <c r="F4762" s="1" t="str">
        <f>TEXT(CallLog[[#This Row],[Date]],"dddd")</f>
        <v>Friday</v>
      </c>
      <c r="G4762" s="3">
        <f>HOUR(CallLog[[#This Row],[Time]])</f>
        <v>12</v>
      </c>
      <c r="H4762" t="s">
        <v>13</v>
      </c>
      <c r="I4762" t="s">
        <v>14</v>
      </c>
      <c r="J4762" t="s">
        <v>14</v>
      </c>
      <c r="K4762">
        <v>16</v>
      </c>
      <c r="L4762" t="str">
        <f>IF(AND(CallLog[[#This Row],[Answered (Y/N)]]="Y", CallLog[[#This Row],[Speed of answer in seconds]]&lt;=20),
    "Within",
    "Breach")</f>
        <v>Within</v>
      </c>
      <c r="M4762" s="1">
        <v>4.0509259259259257E-3</v>
      </c>
      <c r="N4762">
        <v>5</v>
      </c>
    </row>
    <row r="4763" spans="1:14" x14ac:dyDescent="0.3">
      <c r="A4763" t="s">
        <v>4871</v>
      </c>
      <c r="B4763" t="s">
        <v>11</v>
      </c>
      <c r="C4763" t="s">
        <v>4848</v>
      </c>
      <c r="D4763" s="1">
        <v>0.51700231481481485</v>
      </c>
      <c r="E4763" s="2">
        <f>CallLog[[#This Row],[Date]]+CallLog[[#This Row],[Time]]</f>
        <v>44281.517002314817</v>
      </c>
      <c r="F4763" s="1" t="str">
        <f>TEXT(CallLog[[#This Row],[Date]],"dddd")</f>
        <v>Friday</v>
      </c>
      <c r="G4763" s="3">
        <f>HOUR(CallLog[[#This Row],[Time]])</f>
        <v>12</v>
      </c>
      <c r="H4763" t="s">
        <v>29</v>
      </c>
      <c r="I4763" t="s">
        <v>18</v>
      </c>
      <c r="J4763" t="s">
        <v>18</v>
      </c>
      <c r="L4763" t="str">
        <f>IF(AND(CallLog[[#This Row],[Answered (Y/N)]]="Y", CallLog[[#This Row],[Speed of answer in seconds]]&lt;=20),
    "Within",
    "Breach")</f>
        <v>Breach</v>
      </c>
    </row>
    <row r="4764" spans="1:14" x14ac:dyDescent="0.3">
      <c r="A4764" t="s">
        <v>4872</v>
      </c>
      <c r="B4764" t="s">
        <v>20</v>
      </c>
      <c r="C4764" t="s">
        <v>4848</v>
      </c>
      <c r="D4764" s="1">
        <v>0.53200231481481486</v>
      </c>
      <c r="E4764" s="2">
        <f>CallLog[[#This Row],[Date]]+CallLog[[#This Row],[Time]]</f>
        <v>44281.532002314816</v>
      </c>
      <c r="F4764" s="1" t="str">
        <f>TEXT(CallLog[[#This Row],[Date]],"dddd")</f>
        <v>Friday</v>
      </c>
      <c r="G4764" s="3">
        <f>HOUR(CallLog[[#This Row],[Time]])</f>
        <v>12</v>
      </c>
      <c r="H4764" t="s">
        <v>13</v>
      </c>
      <c r="I4764" t="s">
        <v>14</v>
      </c>
      <c r="J4764" t="s">
        <v>14</v>
      </c>
      <c r="K4764">
        <v>124</v>
      </c>
      <c r="L4764" t="str">
        <f>IF(AND(CallLog[[#This Row],[Answered (Y/N)]]="Y", CallLog[[#This Row],[Speed of answer in seconds]]&lt;=20),
    "Within",
    "Breach")</f>
        <v>Breach</v>
      </c>
      <c r="M4764" s="1">
        <v>1.4583333333333334E-3</v>
      </c>
      <c r="N4764">
        <v>2</v>
      </c>
    </row>
    <row r="4765" spans="1:14" x14ac:dyDescent="0.3">
      <c r="A4765" t="s">
        <v>4873</v>
      </c>
      <c r="B4765" t="s">
        <v>20</v>
      </c>
      <c r="C4765" t="s">
        <v>4848</v>
      </c>
      <c r="D4765" s="1">
        <v>0.53200231481481486</v>
      </c>
      <c r="E4765" s="2">
        <f>CallLog[[#This Row],[Date]]+CallLog[[#This Row],[Time]]</f>
        <v>44281.532002314816</v>
      </c>
      <c r="F4765" s="1" t="str">
        <f>TEXT(CallLog[[#This Row],[Date]],"dddd")</f>
        <v>Friday</v>
      </c>
      <c r="G4765" s="3">
        <f>HOUR(CallLog[[#This Row],[Time]])</f>
        <v>12</v>
      </c>
      <c r="H4765" t="s">
        <v>32</v>
      </c>
      <c r="I4765" t="s">
        <v>18</v>
      </c>
      <c r="J4765" t="s">
        <v>18</v>
      </c>
      <c r="L4765" t="str">
        <f>IF(AND(CallLog[[#This Row],[Answered (Y/N)]]="Y", CallLog[[#This Row],[Speed of answer in seconds]]&lt;=20),
    "Within",
    "Breach")</f>
        <v>Breach</v>
      </c>
    </row>
    <row r="4766" spans="1:14" x14ac:dyDescent="0.3">
      <c r="A4766" t="s">
        <v>4874</v>
      </c>
      <c r="B4766" t="s">
        <v>22</v>
      </c>
      <c r="C4766" t="s">
        <v>4848</v>
      </c>
      <c r="D4766" s="1">
        <v>0.53500000000000003</v>
      </c>
      <c r="E4766" s="2">
        <f>CallLog[[#This Row],[Date]]+CallLog[[#This Row],[Time]]</f>
        <v>44281.535000000003</v>
      </c>
      <c r="F4766" s="1" t="str">
        <f>TEXT(CallLog[[#This Row],[Date]],"dddd")</f>
        <v>Friday</v>
      </c>
      <c r="G4766" s="3">
        <f>HOUR(CallLog[[#This Row],[Time]])</f>
        <v>12</v>
      </c>
      <c r="H4766" t="s">
        <v>13</v>
      </c>
      <c r="I4766" t="s">
        <v>14</v>
      </c>
      <c r="J4766" t="s">
        <v>14</v>
      </c>
      <c r="K4766">
        <v>93</v>
      </c>
      <c r="L4766" t="str">
        <f>IF(AND(CallLog[[#This Row],[Answered (Y/N)]]="Y", CallLog[[#This Row],[Speed of answer in seconds]]&lt;=20),
    "Within",
    "Breach")</f>
        <v>Breach</v>
      </c>
      <c r="M4766" s="1">
        <v>1.0185185185185184E-3</v>
      </c>
      <c r="N4766">
        <v>5</v>
      </c>
    </row>
    <row r="4767" spans="1:14" x14ac:dyDescent="0.3">
      <c r="A4767" t="s">
        <v>4875</v>
      </c>
      <c r="B4767" t="s">
        <v>11</v>
      </c>
      <c r="C4767" t="s">
        <v>4848</v>
      </c>
      <c r="D4767" s="1">
        <v>0.53500000000000003</v>
      </c>
      <c r="E4767" s="2">
        <f>CallLog[[#This Row],[Date]]+CallLog[[#This Row],[Time]]</f>
        <v>44281.535000000003</v>
      </c>
      <c r="F4767" s="1" t="str">
        <f>TEXT(CallLog[[#This Row],[Date]],"dddd")</f>
        <v>Friday</v>
      </c>
      <c r="G4767" s="3">
        <f>HOUR(CallLog[[#This Row],[Time]])</f>
        <v>12</v>
      </c>
      <c r="H4767" t="s">
        <v>32</v>
      </c>
      <c r="I4767" t="s">
        <v>14</v>
      </c>
      <c r="J4767" t="s">
        <v>14</v>
      </c>
      <c r="K4767">
        <v>10</v>
      </c>
      <c r="L4767" t="str">
        <f>IF(AND(CallLog[[#This Row],[Answered (Y/N)]]="Y", CallLog[[#This Row],[Speed of answer in seconds]]&lt;=20),
    "Within",
    "Breach")</f>
        <v>Within</v>
      </c>
      <c r="M4767" s="1">
        <v>1.4699074074074074E-3</v>
      </c>
      <c r="N4767">
        <v>3</v>
      </c>
    </row>
    <row r="4768" spans="1:14" x14ac:dyDescent="0.3">
      <c r="A4768" t="s">
        <v>4876</v>
      </c>
      <c r="B4768" t="s">
        <v>16</v>
      </c>
      <c r="C4768" t="s">
        <v>4848</v>
      </c>
      <c r="D4768" s="1">
        <v>0.53599537037037037</v>
      </c>
      <c r="E4768" s="2">
        <f>CallLog[[#This Row],[Date]]+CallLog[[#This Row],[Time]]</f>
        <v>44281.535995370374</v>
      </c>
      <c r="F4768" s="1" t="str">
        <f>TEXT(CallLog[[#This Row],[Date]],"dddd")</f>
        <v>Friday</v>
      </c>
      <c r="G4768" s="3">
        <f>HOUR(CallLog[[#This Row],[Time]])</f>
        <v>12</v>
      </c>
      <c r="H4768" t="s">
        <v>17</v>
      </c>
      <c r="I4768" t="s">
        <v>14</v>
      </c>
      <c r="J4768" t="s">
        <v>18</v>
      </c>
      <c r="K4768">
        <v>17</v>
      </c>
      <c r="L4768" t="str">
        <f>IF(AND(CallLog[[#This Row],[Answered (Y/N)]]="Y", CallLog[[#This Row],[Speed of answer in seconds]]&lt;=20),
    "Within",
    "Breach")</f>
        <v>Within</v>
      </c>
      <c r="M4768" s="1">
        <v>1.4120370370370369E-3</v>
      </c>
      <c r="N4768">
        <v>4</v>
      </c>
    </row>
    <row r="4769" spans="1:14" x14ac:dyDescent="0.3">
      <c r="A4769" t="s">
        <v>4877</v>
      </c>
      <c r="B4769" t="s">
        <v>47</v>
      </c>
      <c r="C4769" t="s">
        <v>4848</v>
      </c>
      <c r="D4769" s="1">
        <v>0.53599537037037037</v>
      </c>
      <c r="E4769" s="2">
        <f>CallLog[[#This Row],[Date]]+CallLog[[#This Row],[Time]]</f>
        <v>44281.535995370374</v>
      </c>
      <c r="F4769" s="1" t="str">
        <f>TEXT(CallLog[[#This Row],[Date]],"dddd")</f>
        <v>Friday</v>
      </c>
      <c r="G4769" s="3">
        <f>HOUR(CallLog[[#This Row],[Time]])</f>
        <v>12</v>
      </c>
      <c r="H4769" t="s">
        <v>17</v>
      </c>
      <c r="I4769" t="s">
        <v>14</v>
      </c>
      <c r="J4769" t="s">
        <v>14</v>
      </c>
      <c r="K4769">
        <v>121</v>
      </c>
      <c r="L4769" t="str">
        <f>IF(AND(CallLog[[#This Row],[Answered (Y/N)]]="Y", CallLog[[#This Row],[Speed of answer in seconds]]&lt;=20),
    "Within",
    "Breach")</f>
        <v>Breach</v>
      </c>
      <c r="M4769" s="1">
        <v>6.9444444444444447E-4</v>
      </c>
      <c r="N4769">
        <v>3</v>
      </c>
    </row>
    <row r="4770" spans="1:14" x14ac:dyDescent="0.3">
      <c r="A4770" t="s">
        <v>4878</v>
      </c>
      <c r="B4770" t="s">
        <v>38</v>
      </c>
      <c r="C4770" t="s">
        <v>4848</v>
      </c>
      <c r="D4770" s="1">
        <v>0.53599537037037037</v>
      </c>
      <c r="E4770" s="2">
        <f>CallLog[[#This Row],[Date]]+CallLog[[#This Row],[Time]]</f>
        <v>44281.535995370374</v>
      </c>
      <c r="F4770" s="1" t="str">
        <f>TEXT(CallLog[[#This Row],[Date]],"dddd")</f>
        <v>Friday</v>
      </c>
      <c r="G4770" s="3">
        <f>HOUR(CallLog[[#This Row],[Time]])</f>
        <v>12</v>
      </c>
      <c r="H4770" t="s">
        <v>17</v>
      </c>
      <c r="I4770" t="s">
        <v>14</v>
      </c>
      <c r="J4770" t="s">
        <v>14</v>
      </c>
      <c r="K4770">
        <v>74</v>
      </c>
      <c r="L4770" t="str">
        <f>IF(AND(CallLog[[#This Row],[Answered (Y/N)]]="Y", CallLog[[#This Row],[Speed of answer in seconds]]&lt;=20),
    "Within",
    "Breach")</f>
        <v>Breach</v>
      </c>
      <c r="M4770" s="1">
        <v>1.7708333333333332E-3</v>
      </c>
      <c r="N4770">
        <v>5</v>
      </c>
    </row>
    <row r="4771" spans="1:14" x14ac:dyDescent="0.3">
      <c r="A4771" t="s">
        <v>4879</v>
      </c>
      <c r="B4771" t="s">
        <v>22</v>
      </c>
      <c r="C4771" t="s">
        <v>4848</v>
      </c>
      <c r="D4771" s="1">
        <v>0.53599537037037037</v>
      </c>
      <c r="E4771" s="2">
        <f>CallLog[[#This Row],[Date]]+CallLog[[#This Row],[Time]]</f>
        <v>44281.535995370374</v>
      </c>
      <c r="F4771" s="1" t="str">
        <f>TEXT(CallLog[[#This Row],[Date]],"dddd")</f>
        <v>Friday</v>
      </c>
      <c r="G4771" s="3">
        <f>HOUR(CallLog[[#This Row],[Time]])</f>
        <v>12</v>
      </c>
      <c r="H4771" t="s">
        <v>24</v>
      </c>
      <c r="I4771" t="s">
        <v>14</v>
      </c>
      <c r="J4771" t="s">
        <v>14</v>
      </c>
      <c r="K4771">
        <v>22</v>
      </c>
      <c r="L4771" t="str">
        <f>IF(AND(CallLog[[#This Row],[Answered (Y/N)]]="Y", CallLog[[#This Row],[Speed of answer in seconds]]&lt;=20),
    "Within",
    "Breach")</f>
        <v>Breach</v>
      </c>
      <c r="M4771" s="1">
        <v>4.0509259259259258E-4</v>
      </c>
      <c r="N4771">
        <v>3</v>
      </c>
    </row>
    <row r="4772" spans="1:14" x14ac:dyDescent="0.3">
      <c r="A4772" t="s">
        <v>4880</v>
      </c>
      <c r="B4772" t="s">
        <v>31</v>
      </c>
      <c r="C4772" t="s">
        <v>4848</v>
      </c>
      <c r="D4772" s="1">
        <v>0.57299768518518523</v>
      </c>
      <c r="E4772" s="2">
        <f>CallLog[[#This Row],[Date]]+CallLog[[#This Row],[Time]]</f>
        <v>44281.572997685187</v>
      </c>
      <c r="F4772" s="1" t="str">
        <f>TEXT(CallLog[[#This Row],[Date]],"dddd")</f>
        <v>Friday</v>
      </c>
      <c r="G4772" s="3">
        <f>HOUR(CallLog[[#This Row],[Time]])</f>
        <v>13</v>
      </c>
      <c r="H4772" t="s">
        <v>29</v>
      </c>
      <c r="I4772" t="s">
        <v>14</v>
      </c>
      <c r="J4772" t="s">
        <v>14</v>
      </c>
      <c r="K4772">
        <v>76</v>
      </c>
      <c r="L4772" t="str">
        <f>IF(AND(CallLog[[#This Row],[Answered (Y/N)]]="Y", CallLog[[#This Row],[Speed of answer in seconds]]&lt;=20),
    "Within",
    "Breach")</f>
        <v>Breach</v>
      </c>
      <c r="M4772" s="1">
        <v>4.2013888888888891E-3</v>
      </c>
      <c r="N4772">
        <v>4</v>
      </c>
    </row>
    <row r="4773" spans="1:14" x14ac:dyDescent="0.3">
      <c r="A4773" t="s">
        <v>4881</v>
      </c>
      <c r="B4773" t="s">
        <v>31</v>
      </c>
      <c r="C4773" t="s">
        <v>4848</v>
      </c>
      <c r="D4773" s="1">
        <v>0.57299768518518523</v>
      </c>
      <c r="E4773" s="2">
        <f>CallLog[[#This Row],[Date]]+CallLog[[#This Row],[Time]]</f>
        <v>44281.572997685187</v>
      </c>
      <c r="F4773" s="1" t="str">
        <f>TEXT(CallLog[[#This Row],[Date]],"dddd")</f>
        <v>Friday</v>
      </c>
      <c r="G4773" s="3">
        <f>HOUR(CallLog[[#This Row],[Time]])</f>
        <v>13</v>
      </c>
      <c r="H4773" t="s">
        <v>17</v>
      </c>
      <c r="I4773" t="s">
        <v>14</v>
      </c>
      <c r="J4773" t="s">
        <v>18</v>
      </c>
      <c r="K4773">
        <v>86</v>
      </c>
      <c r="L4773" t="str">
        <f>IF(AND(CallLog[[#This Row],[Answered (Y/N)]]="Y", CallLog[[#This Row],[Speed of answer in seconds]]&lt;=20),
    "Within",
    "Breach")</f>
        <v>Breach</v>
      </c>
      <c r="M4773" s="1">
        <v>2.0601851851851853E-3</v>
      </c>
      <c r="N4773">
        <v>5</v>
      </c>
    </row>
    <row r="4774" spans="1:14" x14ac:dyDescent="0.3">
      <c r="A4774" t="s">
        <v>4882</v>
      </c>
      <c r="B4774" t="s">
        <v>20</v>
      </c>
      <c r="C4774" t="s">
        <v>4848</v>
      </c>
      <c r="D4774" s="1">
        <v>0.61</v>
      </c>
      <c r="E4774" s="2">
        <f>CallLog[[#This Row],[Date]]+CallLog[[#This Row],[Time]]</f>
        <v>44281.61</v>
      </c>
      <c r="F4774" s="1" t="str">
        <f>TEXT(CallLog[[#This Row],[Date]],"dddd")</f>
        <v>Friday</v>
      </c>
      <c r="G4774" s="3">
        <f>HOUR(CallLog[[#This Row],[Time]])</f>
        <v>14</v>
      </c>
      <c r="H4774" t="s">
        <v>17</v>
      </c>
      <c r="I4774" t="s">
        <v>14</v>
      </c>
      <c r="J4774" t="s">
        <v>14</v>
      </c>
      <c r="K4774">
        <v>59</v>
      </c>
      <c r="L4774" t="str">
        <f>IF(AND(CallLog[[#This Row],[Answered (Y/N)]]="Y", CallLog[[#This Row],[Speed of answer in seconds]]&lt;=20),
    "Within",
    "Breach")</f>
        <v>Breach</v>
      </c>
      <c r="M4774" s="1">
        <v>5.2083333333333333E-4</v>
      </c>
      <c r="N4774">
        <v>3</v>
      </c>
    </row>
    <row r="4775" spans="1:14" x14ac:dyDescent="0.3">
      <c r="A4775" t="s">
        <v>4883</v>
      </c>
      <c r="B4775" t="s">
        <v>16</v>
      </c>
      <c r="C4775" t="s">
        <v>4848</v>
      </c>
      <c r="D4775" s="1">
        <v>0.61</v>
      </c>
      <c r="E4775" s="2">
        <f>CallLog[[#This Row],[Date]]+CallLog[[#This Row],[Time]]</f>
        <v>44281.61</v>
      </c>
      <c r="F4775" s="1" t="str">
        <f>TEXT(CallLog[[#This Row],[Date]],"dddd")</f>
        <v>Friday</v>
      </c>
      <c r="G4775" s="3">
        <f>HOUR(CallLog[[#This Row],[Time]])</f>
        <v>14</v>
      </c>
      <c r="H4775" t="s">
        <v>29</v>
      </c>
      <c r="I4775" t="s">
        <v>18</v>
      </c>
      <c r="J4775" t="s">
        <v>18</v>
      </c>
      <c r="L4775" t="str">
        <f>IF(AND(CallLog[[#This Row],[Answered (Y/N)]]="Y", CallLog[[#This Row],[Speed of answer in seconds]]&lt;=20),
    "Within",
    "Breach")</f>
        <v>Breach</v>
      </c>
    </row>
    <row r="4776" spans="1:14" x14ac:dyDescent="0.3">
      <c r="A4776" t="s">
        <v>4884</v>
      </c>
      <c r="B4776" t="s">
        <v>11</v>
      </c>
      <c r="C4776" t="s">
        <v>4848</v>
      </c>
      <c r="D4776" s="1">
        <v>0.61799768518518516</v>
      </c>
      <c r="E4776" s="2">
        <f>CallLog[[#This Row],[Date]]+CallLog[[#This Row],[Time]]</f>
        <v>44281.617997685185</v>
      </c>
      <c r="F4776" s="1" t="str">
        <f>TEXT(CallLog[[#This Row],[Date]],"dddd")</f>
        <v>Friday</v>
      </c>
      <c r="G4776" s="3">
        <f>HOUR(CallLog[[#This Row],[Time]])</f>
        <v>14</v>
      </c>
      <c r="H4776" t="s">
        <v>29</v>
      </c>
      <c r="I4776" t="s">
        <v>14</v>
      </c>
      <c r="J4776" t="s">
        <v>14</v>
      </c>
      <c r="K4776">
        <v>57</v>
      </c>
      <c r="L4776" t="str">
        <f>IF(AND(CallLog[[#This Row],[Answered (Y/N)]]="Y", CallLog[[#This Row],[Speed of answer in seconds]]&lt;=20),
    "Within",
    "Breach")</f>
        <v>Breach</v>
      </c>
      <c r="M4776" s="1">
        <v>4.5949074074074078E-3</v>
      </c>
      <c r="N4776">
        <v>5</v>
      </c>
    </row>
    <row r="4777" spans="1:14" x14ac:dyDescent="0.3">
      <c r="A4777" t="s">
        <v>4885</v>
      </c>
      <c r="B4777" t="s">
        <v>34</v>
      </c>
      <c r="C4777" t="s">
        <v>4848</v>
      </c>
      <c r="D4777" s="1">
        <v>0.61799768518518516</v>
      </c>
      <c r="E4777" s="2">
        <f>CallLog[[#This Row],[Date]]+CallLog[[#This Row],[Time]]</f>
        <v>44281.617997685185</v>
      </c>
      <c r="F4777" s="1" t="str">
        <f>TEXT(CallLog[[#This Row],[Date]],"dddd")</f>
        <v>Friday</v>
      </c>
      <c r="G4777" s="3">
        <f>HOUR(CallLog[[#This Row],[Time]])</f>
        <v>14</v>
      </c>
      <c r="H4777" t="s">
        <v>29</v>
      </c>
      <c r="I4777" t="s">
        <v>14</v>
      </c>
      <c r="J4777" t="s">
        <v>14</v>
      </c>
      <c r="K4777">
        <v>92</v>
      </c>
      <c r="L4777" t="str">
        <f>IF(AND(CallLog[[#This Row],[Answered (Y/N)]]="Y", CallLog[[#This Row],[Speed of answer in seconds]]&lt;=20),
    "Within",
    "Breach")</f>
        <v>Breach</v>
      </c>
      <c r="M4777" s="1">
        <v>3.2754629629629631E-3</v>
      </c>
      <c r="N4777">
        <v>3</v>
      </c>
    </row>
    <row r="4778" spans="1:14" x14ac:dyDescent="0.3">
      <c r="A4778" t="s">
        <v>4886</v>
      </c>
      <c r="B4778" t="s">
        <v>16</v>
      </c>
      <c r="C4778" t="s">
        <v>4848</v>
      </c>
      <c r="D4778" s="1">
        <v>0.63900462962962967</v>
      </c>
      <c r="E4778" s="2">
        <f>CallLog[[#This Row],[Date]]+CallLog[[#This Row],[Time]]</f>
        <v>44281.639004629629</v>
      </c>
      <c r="F4778" s="1" t="str">
        <f>TEXT(CallLog[[#This Row],[Date]],"dddd")</f>
        <v>Friday</v>
      </c>
      <c r="G4778" s="3">
        <f>HOUR(CallLog[[#This Row],[Time]])</f>
        <v>15</v>
      </c>
      <c r="H4778" t="s">
        <v>13</v>
      </c>
      <c r="I4778" t="s">
        <v>14</v>
      </c>
      <c r="J4778" t="s">
        <v>14</v>
      </c>
      <c r="K4778">
        <v>35</v>
      </c>
      <c r="L4778" t="str">
        <f>IF(AND(CallLog[[#This Row],[Answered (Y/N)]]="Y", CallLog[[#This Row],[Speed of answer in seconds]]&lt;=20),
    "Within",
    "Breach")</f>
        <v>Breach</v>
      </c>
      <c r="M4778" s="1">
        <v>2.0486111111111113E-3</v>
      </c>
      <c r="N4778">
        <v>1</v>
      </c>
    </row>
    <row r="4779" spans="1:14" x14ac:dyDescent="0.3">
      <c r="A4779" t="s">
        <v>4887</v>
      </c>
      <c r="B4779" t="s">
        <v>34</v>
      </c>
      <c r="C4779" t="s">
        <v>4848</v>
      </c>
      <c r="D4779" s="1">
        <v>0.63900462962962967</v>
      </c>
      <c r="E4779" s="2">
        <f>CallLog[[#This Row],[Date]]+CallLog[[#This Row],[Time]]</f>
        <v>44281.639004629629</v>
      </c>
      <c r="F4779" s="1" t="str">
        <f>TEXT(CallLog[[#This Row],[Date]],"dddd")</f>
        <v>Friday</v>
      </c>
      <c r="G4779" s="3">
        <f>HOUR(CallLog[[#This Row],[Time]])</f>
        <v>15</v>
      </c>
      <c r="H4779" t="s">
        <v>17</v>
      </c>
      <c r="I4779" t="s">
        <v>18</v>
      </c>
      <c r="J4779" t="s">
        <v>18</v>
      </c>
      <c r="L4779" t="str">
        <f>IF(AND(CallLog[[#This Row],[Answered (Y/N)]]="Y", CallLog[[#This Row],[Speed of answer in seconds]]&lt;=20),
    "Within",
    "Breach")</f>
        <v>Breach</v>
      </c>
    </row>
    <row r="4780" spans="1:14" x14ac:dyDescent="0.3">
      <c r="A4780" t="s">
        <v>4888</v>
      </c>
      <c r="B4780" t="s">
        <v>38</v>
      </c>
      <c r="C4780" t="s">
        <v>4848</v>
      </c>
      <c r="D4780" s="1">
        <v>0.65400462962962957</v>
      </c>
      <c r="E4780" s="2">
        <f>CallLog[[#This Row],[Date]]+CallLog[[#This Row],[Time]]</f>
        <v>44281.654004629629</v>
      </c>
      <c r="F4780" s="1" t="str">
        <f>TEXT(CallLog[[#This Row],[Date]],"dddd")</f>
        <v>Friday</v>
      </c>
      <c r="G4780" s="3">
        <f>HOUR(CallLog[[#This Row],[Time]])</f>
        <v>15</v>
      </c>
      <c r="H4780" t="s">
        <v>32</v>
      </c>
      <c r="I4780" t="s">
        <v>14</v>
      </c>
      <c r="J4780" t="s">
        <v>14</v>
      </c>
      <c r="K4780">
        <v>76</v>
      </c>
      <c r="L4780" t="str">
        <f>IF(AND(CallLog[[#This Row],[Answered (Y/N)]]="Y", CallLog[[#This Row],[Speed of answer in seconds]]&lt;=20),
    "Within",
    "Breach")</f>
        <v>Breach</v>
      </c>
      <c r="M4780" s="1">
        <v>2.7662037037037039E-3</v>
      </c>
      <c r="N4780">
        <v>5</v>
      </c>
    </row>
    <row r="4781" spans="1:14" x14ac:dyDescent="0.3">
      <c r="A4781" t="s">
        <v>4889</v>
      </c>
      <c r="B4781" t="s">
        <v>34</v>
      </c>
      <c r="C4781" t="s">
        <v>4848</v>
      </c>
      <c r="D4781" s="1">
        <v>0.65400462962962957</v>
      </c>
      <c r="E4781" s="2">
        <f>CallLog[[#This Row],[Date]]+CallLog[[#This Row],[Time]]</f>
        <v>44281.654004629629</v>
      </c>
      <c r="F4781" s="1" t="str">
        <f>TEXT(CallLog[[#This Row],[Date]],"dddd")</f>
        <v>Friday</v>
      </c>
      <c r="G4781" s="3">
        <f>HOUR(CallLog[[#This Row],[Time]])</f>
        <v>15</v>
      </c>
      <c r="H4781" t="s">
        <v>13</v>
      </c>
      <c r="I4781" t="s">
        <v>14</v>
      </c>
      <c r="J4781" t="s">
        <v>14</v>
      </c>
      <c r="K4781">
        <v>110</v>
      </c>
      <c r="L4781" t="str">
        <f>IF(AND(CallLog[[#This Row],[Answered (Y/N)]]="Y", CallLog[[#This Row],[Speed of answer in seconds]]&lt;=20),
    "Within",
    "Breach")</f>
        <v>Breach</v>
      </c>
      <c r="M4781" s="1">
        <v>5.4398148148148144E-4</v>
      </c>
      <c r="N4781">
        <v>5</v>
      </c>
    </row>
    <row r="4782" spans="1:14" x14ac:dyDescent="0.3">
      <c r="A4782" t="s">
        <v>4890</v>
      </c>
      <c r="B4782" t="s">
        <v>16</v>
      </c>
      <c r="C4782" t="s">
        <v>4848</v>
      </c>
      <c r="D4782" s="1">
        <v>0.66200231481481486</v>
      </c>
      <c r="E4782" s="2">
        <f>CallLog[[#This Row],[Date]]+CallLog[[#This Row],[Time]]</f>
        <v>44281.662002314813</v>
      </c>
      <c r="F4782" s="1" t="str">
        <f>TEXT(CallLog[[#This Row],[Date]],"dddd")</f>
        <v>Friday</v>
      </c>
      <c r="G4782" s="3">
        <f>HOUR(CallLog[[#This Row],[Time]])</f>
        <v>15</v>
      </c>
      <c r="H4782" t="s">
        <v>29</v>
      </c>
      <c r="I4782" t="s">
        <v>14</v>
      </c>
      <c r="J4782" t="s">
        <v>14</v>
      </c>
      <c r="K4782">
        <v>125</v>
      </c>
      <c r="L4782" t="str">
        <f>IF(AND(CallLog[[#This Row],[Answered (Y/N)]]="Y", CallLog[[#This Row],[Speed of answer in seconds]]&lt;=20),
    "Within",
    "Breach")</f>
        <v>Breach</v>
      </c>
      <c r="M4782" s="1">
        <v>1.25E-3</v>
      </c>
      <c r="N4782">
        <v>1</v>
      </c>
    </row>
    <row r="4783" spans="1:14" x14ac:dyDescent="0.3">
      <c r="A4783" t="s">
        <v>4891</v>
      </c>
      <c r="B4783" t="s">
        <v>47</v>
      </c>
      <c r="C4783" t="s">
        <v>4848</v>
      </c>
      <c r="D4783" s="1">
        <v>0.66200231481481486</v>
      </c>
      <c r="E4783" s="2">
        <f>CallLog[[#This Row],[Date]]+CallLog[[#This Row],[Time]]</f>
        <v>44281.662002314813</v>
      </c>
      <c r="F4783" s="1" t="str">
        <f>TEXT(CallLog[[#This Row],[Date]],"dddd")</f>
        <v>Friday</v>
      </c>
      <c r="G4783" s="3">
        <f>HOUR(CallLog[[#This Row],[Time]])</f>
        <v>15</v>
      </c>
      <c r="H4783" t="s">
        <v>17</v>
      </c>
      <c r="I4783" t="s">
        <v>14</v>
      </c>
      <c r="J4783" t="s">
        <v>14</v>
      </c>
      <c r="K4783">
        <v>44</v>
      </c>
      <c r="L4783" t="str">
        <f>IF(AND(CallLog[[#This Row],[Answered (Y/N)]]="Y", CallLog[[#This Row],[Speed of answer in seconds]]&lt;=20),
    "Within",
    "Breach")</f>
        <v>Breach</v>
      </c>
      <c r="M4783" s="1">
        <v>1.8981481481481482E-3</v>
      </c>
      <c r="N4783">
        <v>1</v>
      </c>
    </row>
    <row r="4784" spans="1:14" x14ac:dyDescent="0.3">
      <c r="A4784" t="s">
        <v>4892</v>
      </c>
      <c r="B4784" t="s">
        <v>38</v>
      </c>
      <c r="C4784" t="s">
        <v>4848</v>
      </c>
      <c r="D4784" s="1">
        <v>0.68599537037037039</v>
      </c>
      <c r="E4784" s="2">
        <f>CallLog[[#This Row],[Date]]+CallLog[[#This Row],[Time]]</f>
        <v>44281.685995370368</v>
      </c>
      <c r="F4784" s="1" t="str">
        <f>TEXT(CallLog[[#This Row],[Date]],"dddd")</f>
        <v>Friday</v>
      </c>
      <c r="G4784" s="3">
        <f>HOUR(CallLog[[#This Row],[Time]])</f>
        <v>16</v>
      </c>
      <c r="H4784" t="s">
        <v>13</v>
      </c>
      <c r="I4784" t="s">
        <v>14</v>
      </c>
      <c r="J4784" t="s">
        <v>14</v>
      </c>
      <c r="K4784">
        <v>113</v>
      </c>
      <c r="L4784" t="str">
        <f>IF(AND(CallLog[[#This Row],[Answered (Y/N)]]="Y", CallLog[[#This Row],[Speed of answer in seconds]]&lt;=20),
    "Within",
    "Breach")</f>
        <v>Breach</v>
      </c>
      <c r="M4784" s="1">
        <v>2.6041666666666665E-3</v>
      </c>
      <c r="N4784">
        <v>1</v>
      </c>
    </row>
    <row r="4785" spans="1:14" x14ac:dyDescent="0.3">
      <c r="A4785" t="s">
        <v>4893</v>
      </c>
      <c r="B4785" t="s">
        <v>16</v>
      </c>
      <c r="C4785" t="s">
        <v>4848</v>
      </c>
      <c r="D4785" s="1">
        <v>0.68599537037037039</v>
      </c>
      <c r="E4785" s="2">
        <f>CallLog[[#This Row],[Date]]+CallLog[[#This Row],[Time]]</f>
        <v>44281.685995370368</v>
      </c>
      <c r="F4785" s="1" t="str">
        <f>TEXT(CallLog[[#This Row],[Date]],"dddd")</f>
        <v>Friday</v>
      </c>
      <c r="G4785" s="3">
        <f>HOUR(CallLog[[#This Row],[Time]])</f>
        <v>16</v>
      </c>
      <c r="H4785" t="s">
        <v>24</v>
      </c>
      <c r="I4785" t="s">
        <v>14</v>
      </c>
      <c r="J4785" t="s">
        <v>14</v>
      </c>
      <c r="K4785">
        <v>101</v>
      </c>
      <c r="L4785" t="str">
        <f>IF(AND(CallLog[[#This Row],[Answered (Y/N)]]="Y", CallLog[[#This Row],[Speed of answer in seconds]]&lt;=20),
    "Within",
    "Breach")</f>
        <v>Breach</v>
      </c>
      <c r="M4785" s="1">
        <v>3.4375E-3</v>
      </c>
      <c r="N4785">
        <v>3</v>
      </c>
    </row>
    <row r="4786" spans="1:14" x14ac:dyDescent="0.3">
      <c r="A4786" t="s">
        <v>4894</v>
      </c>
      <c r="B4786" t="s">
        <v>11</v>
      </c>
      <c r="C4786" t="s">
        <v>4848</v>
      </c>
      <c r="D4786" s="1">
        <v>0.70299768518518524</v>
      </c>
      <c r="E4786" s="2">
        <f>CallLog[[#This Row],[Date]]+CallLog[[#This Row],[Time]]</f>
        <v>44281.702997685185</v>
      </c>
      <c r="F4786" s="1" t="str">
        <f>TEXT(CallLog[[#This Row],[Date]],"dddd")</f>
        <v>Friday</v>
      </c>
      <c r="G4786" s="3">
        <f>HOUR(CallLog[[#This Row],[Time]])</f>
        <v>16</v>
      </c>
      <c r="H4786" t="s">
        <v>32</v>
      </c>
      <c r="I4786" t="s">
        <v>14</v>
      </c>
      <c r="J4786" t="s">
        <v>14</v>
      </c>
      <c r="K4786">
        <v>27</v>
      </c>
      <c r="L4786" t="str">
        <f>IF(AND(CallLog[[#This Row],[Answered (Y/N)]]="Y", CallLog[[#This Row],[Speed of answer in seconds]]&lt;=20),
    "Within",
    "Breach")</f>
        <v>Breach</v>
      </c>
      <c r="M4786" s="1">
        <v>2.9282407407407408E-3</v>
      </c>
      <c r="N4786">
        <v>1</v>
      </c>
    </row>
    <row r="4787" spans="1:14" x14ac:dyDescent="0.3">
      <c r="A4787" t="s">
        <v>4895</v>
      </c>
      <c r="B4787" t="s">
        <v>11</v>
      </c>
      <c r="C4787" t="s">
        <v>4848</v>
      </c>
      <c r="D4787" s="1">
        <v>0.70299768518518524</v>
      </c>
      <c r="E4787" s="2">
        <f>CallLog[[#This Row],[Date]]+CallLog[[#This Row],[Time]]</f>
        <v>44281.702997685185</v>
      </c>
      <c r="F4787" s="1" t="str">
        <f>TEXT(CallLog[[#This Row],[Date]],"dddd")</f>
        <v>Friday</v>
      </c>
      <c r="G4787" s="3">
        <f>HOUR(CallLog[[#This Row],[Time]])</f>
        <v>16</v>
      </c>
      <c r="H4787" t="s">
        <v>13</v>
      </c>
      <c r="I4787" t="s">
        <v>18</v>
      </c>
      <c r="J4787" t="s">
        <v>18</v>
      </c>
      <c r="L4787" t="str">
        <f>IF(AND(CallLog[[#This Row],[Answered (Y/N)]]="Y", CallLog[[#This Row],[Speed of answer in seconds]]&lt;=20),
    "Within",
    "Breach")</f>
        <v>Breach</v>
      </c>
    </row>
    <row r="4788" spans="1:14" x14ac:dyDescent="0.3">
      <c r="A4788" t="s">
        <v>4896</v>
      </c>
      <c r="B4788" t="s">
        <v>11</v>
      </c>
      <c r="C4788" t="s">
        <v>4848</v>
      </c>
      <c r="D4788" s="1">
        <v>0.7120023148148148</v>
      </c>
      <c r="E4788" s="2">
        <f>CallLog[[#This Row],[Date]]+CallLog[[#This Row],[Time]]</f>
        <v>44281.712002314816</v>
      </c>
      <c r="F4788" s="1" t="str">
        <f>TEXT(CallLog[[#This Row],[Date]],"dddd")</f>
        <v>Friday</v>
      </c>
      <c r="G4788" s="3">
        <f>HOUR(CallLog[[#This Row],[Time]])</f>
        <v>17</v>
      </c>
      <c r="H4788" t="s">
        <v>24</v>
      </c>
      <c r="I4788" t="s">
        <v>14</v>
      </c>
      <c r="J4788" t="s">
        <v>18</v>
      </c>
      <c r="K4788">
        <v>125</v>
      </c>
      <c r="L4788" t="str">
        <f>IF(AND(CallLog[[#This Row],[Answered (Y/N)]]="Y", CallLog[[#This Row],[Speed of answer in seconds]]&lt;=20),
    "Within",
    "Breach")</f>
        <v>Breach</v>
      </c>
      <c r="M4788" s="1">
        <v>1.9675925925925924E-3</v>
      </c>
      <c r="N4788">
        <v>4</v>
      </c>
    </row>
    <row r="4789" spans="1:14" x14ac:dyDescent="0.3">
      <c r="A4789" t="s">
        <v>4897</v>
      </c>
      <c r="B4789" t="s">
        <v>16</v>
      </c>
      <c r="C4789" t="s">
        <v>4848</v>
      </c>
      <c r="D4789" s="1">
        <v>0.7120023148148148</v>
      </c>
      <c r="E4789" s="2">
        <f>CallLog[[#This Row],[Date]]+CallLog[[#This Row],[Time]]</f>
        <v>44281.712002314816</v>
      </c>
      <c r="F4789" s="1" t="str">
        <f>TEXT(CallLog[[#This Row],[Date]],"dddd")</f>
        <v>Friday</v>
      </c>
      <c r="G4789" s="3">
        <f>HOUR(CallLog[[#This Row],[Time]])</f>
        <v>17</v>
      </c>
      <c r="H4789" t="s">
        <v>29</v>
      </c>
      <c r="I4789" t="s">
        <v>14</v>
      </c>
      <c r="J4789" t="s">
        <v>14</v>
      </c>
      <c r="K4789">
        <v>10</v>
      </c>
      <c r="L4789" t="str">
        <f>IF(AND(CallLog[[#This Row],[Answered (Y/N)]]="Y", CallLog[[#This Row],[Speed of answer in seconds]]&lt;=20),
    "Within",
    "Breach")</f>
        <v>Within</v>
      </c>
      <c r="M4789" s="1">
        <v>1.5740740740740741E-3</v>
      </c>
      <c r="N4789">
        <v>1</v>
      </c>
    </row>
    <row r="4790" spans="1:14" x14ac:dyDescent="0.3">
      <c r="A4790" t="s">
        <v>4898</v>
      </c>
      <c r="B4790" t="s">
        <v>47</v>
      </c>
      <c r="C4790" t="s">
        <v>4848</v>
      </c>
      <c r="D4790" s="1">
        <v>0.71799768518518514</v>
      </c>
      <c r="E4790" s="2">
        <f>CallLog[[#This Row],[Date]]+CallLog[[#This Row],[Time]]</f>
        <v>44281.717997685184</v>
      </c>
      <c r="F4790" s="1" t="str">
        <f>TEXT(CallLog[[#This Row],[Date]],"dddd")</f>
        <v>Friday</v>
      </c>
      <c r="G4790" s="3">
        <f>HOUR(CallLog[[#This Row],[Time]])</f>
        <v>17</v>
      </c>
      <c r="H4790" t="s">
        <v>13</v>
      </c>
      <c r="I4790" t="s">
        <v>14</v>
      </c>
      <c r="J4790" t="s">
        <v>14</v>
      </c>
      <c r="K4790">
        <v>16</v>
      </c>
      <c r="L4790" t="str">
        <f>IF(AND(CallLog[[#This Row],[Answered (Y/N)]]="Y", CallLog[[#This Row],[Speed of answer in seconds]]&lt;=20),
    "Within",
    "Breach")</f>
        <v>Within</v>
      </c>
      <c r="M4790" s="1">
        <v>3.0092592592592593E-3</v>
      </c>
      <c r="N4790">
        <v>4</v>
      </c>
    </row>
    <row r="4791" spans="1:14" x14ac:dyDescent="0.3">
      <c r="A4791" t="s">
        <v>4899</v>
      </c>
      <c r="B4791" t="s">
        <v>34</v>
      </c>
      <c r="C4791" t="s">
        <v>4848</v>
      </c>
      <c r="D4791" s="1">
        <v>0.71799768518518514</v>
      </c>
      <c r="E4791" s="2">
        <f>CallLog[[#This Row],[Date]]+CallLog[[#This Row],[Time]]</f>
        <v>44281.717997685184</v>
      </c>
      <c r="F4791" s="1" t="str">
        <f>TEXT(CallLog[[#This Row],[Date]],"dddd")</f>
        <v>Friday</v>
      </c>
      <c r="G4791" s="3">
        <f>HOUR(CallLog[[#This Row],[Time]])</f>
        <v>17</v>
      </c>
      <c r="H4791" t="s">
        <v>13</v>
      </c>
      <c r="I4791" t="s">
        <v>14</v>
      </c>
      <c r="J4791" t="s">
        <v>14</v>
      </c>
      <c r="K4791">
        <v>85</v>
      </c>
      <c r="L4791" t="str">
        <f>IF(AND(CallLog[[#This Row],[Answered (Y/N)]]="Y", CallLog[[#This Row],[Speed of answer in seconds]]&lt;=20),
    "Within",
    "Breach")</f>
        <v>Breach</v>
      </c>
      <c r="M4791" s="1">
        <v>4.178240740740741E-3</v>
      </c>
      <c r="N4791">
        <v>1</v>
      </c>
    </row>
    <row r="4792" spans="1:14" x14ac:dyDescent="0.3">
      <c r="A4792" t="s">
        <v>4900</v>
      </c>
      <c r="B4792" t="s">
        <v>47</v>
      </c>
      <c r="C4792" t="s">
        <v>4848</v>
      </c>
      <c r="D4792" s="1">
        <v>0.73799768518518516</v>
      </c>
      <c r="E4792" s="2">
        <f>CallLog[[#This Row],[Date]]+CallLog[[#This Row],[Time]]</f>
        <v>44281.737997685188</v>
      </c>
      <c r="F4792" s="1" t="str">
        <f>TEXT(CallLog[[#This Row],[Date]],"dddd")</f>
        <v>Friday</v>
      </c>
      <c r="G4792" s="3">
        <f>HOUR(CallLog[[#This Row],[Time]])</f>
        <v>17</v>
      </c>
      <c r="H4792" t="s">
        <v>32</v>
      </c>
      <c r="I4792" t="s">
        <v>14</v>
      </c>
      <c r="J4792" t="s">
        <v>14</v>
      </c>
      <c r="K4792">
        <v>36</v>
      </c>
      <c r="L4792" t="str">
        <f>IF(AND(CallLog[[#This Row],[Answered (Y/N)]]="Y", CallLog[[#This Row],[Speed of answer in seconds]]&lt;=20),
    "Within",
    "Breach")</f>
        <v>Breach</v>
      </c>
      <c r="M4792" s="1">
        <v>1.238425925925926E-3</v>
      </c>
      <c r="N4792">
        <v>4</v>
      </c>
    </row>
    <row r="4793" spans="1:14" x14ac:dyDescent="0.3">
      <c r="A4793" t="s">
        <v>4901</v>
      </c>
      <c r="B4793" t="s">
        <v>22</v>
      </c>
      <c r="C4793" t="s">
        <v>4848</v>
      </c>
      <c r="D4793" s="1">
        <v>0.73799768518518516</v>
      </c>
      <c r="E4793" s="2">
        <f>CallLog[[#This Row],[Date]]+CallLog[[#This Row],[Time]]</f>
        <v>44281.737997685188</v>
      </c>
      <c r="F4793" s="1" t="str">
        <f>TEXT(CallLog[[#This Row],[Date]],"dddd")</f>
        <v>Friday</v>
      </c>
      <c r="G4793" s="3">
        <f>HOUR(CallLog[[#This Row],[Time]])</f>
        <v>17</v>
      </c>
      <c r="H4793" t="s">
        <v>13</v>
      </c>
      <c r="I4793" t="s">
        <v>14</v>
      </c>
      <c r="J4793" t="s">
        <v>14</v>
      </c>
      <c r="K4793">
        <v>96</v>
      </c>
      <c r="L4793" t="str">
        <f>IF(AND(CallLog[[#This Row],[Answered (Y/N)]]="Y", CallLog[[#This Row],[Speed of answer in seconds]]&lt;=20),
    "Within",
    "Breach")</f>
        <v>Breach</v>
      </c>
      <c r="M4793" s="1">
        <v>4.5254629629629629E-3</v>
      </c>
      <c r="N4793">
        <v>3</v>
      </c>
    </row>
    <row r="4794" spans="1:14" x14ac:dyDescent="0.3">
      <c r="A4794" t="s">
        <v>4902</v>
      </c>
      <c r="B4794" t="s">
        <v>22</v>
      </c>
      <c r="C4794" t="s">
        <v>4903</v>
      </c>
      <c r="D4794" s="1">
        <v>0.4</v>
      </c>
      <c r="E4794" s="2">
        <f>CallLog[[#This Row],[Date]]+CallLog[[#This Row],[Time]]</f>
        <v>44282.400000000001</v>
      </c>
      <c r="F4794" s="1" t="str">
        <f>TEXT(CallLog[[#This Row],[Date]],"dddd")</f>
        <v>Saturday</v>
      </c>
      <c r="G4794" s="3">
        <f>HOUR(CallLog[[#This Row],[Time]])</f>
        <v>9</v>
      </c>
      <c r="H4794" t="s">
        <v>17</v>
      </c>
      <c r="I4794" t="s">
        <v>14</v>
      </c>
      <c r="J4794" t="s">
        <v>14</v>
      </c>
      <c r="K4794">
        <v>19</v>
      </c>
      <c r="L4794" t="str">
        <f>IF(AND(CallLog[[#This Row],[Answered (Y/N)]]="Y", CallLog[[#This Row],[Speed of answer in seconds]]&lt;=20),
    "Within",
    "Breach")</f>
        <v>Within</v>
      </c>
      <c r="M4794" s="1">
        <v>7.5231481481481482E-4</v>
      </c>
      <c r="N4794">
        <v>4</v>
      </c>
    </row>
    <row r="4795" spans="1:14" x14ac:dyDescent="0.3">
      <c r="A4795" t="s">
        <v>4904</v>
      </c>
      <c r="B4795" t="s">
        <v>16</v>
      </c>
      <c r="C4795" t="s">
        <v>4903</v>
      </c>
      <c r="D4795" s="1">
        <v>0.4</v>
      </c>
      <c r="E4795" s="2">
        <f>CallLog[[#This Row],[Date]]+CallLog[[#This Row],[Time]]</f>
        <v>44282.400000000001</v>
      </c>
      <c r="F4795" s="1" t="str">
        <f>TEXT(CallLog[[#This Row],[Date]],"dddd")</f>
        <v>Saturday</v>
      </c>
      <c r="G4795" s="3">
        <f>HOUR(CallLog[[#This Row],[Time]])</f>
        <v>9</v>
      </c>
      <c r="H4795" t="s">
        <v>24</v>
      </c>
      <c r="I4795" t="s">
        <v>14</v>
      </c>
      <c r="J4795" t="s">
        <v>18</v>
      </c>
      <c r="K4795">
        <v>70</v>
      </c>
      <c r="L4795" t="str">
        <f>IF(AND(CallLog[[#This Row],[Answered (Y/N)]]="Y", CallLog[[#This Row],[Speed of answer in seconds]]&lt;=20),
    "Within",
    "Breach")</f>
        <v>Breach</v>
      </c>
      <c r="M4795" s="1">
        <v>1.4004629629629629E-3</v>
      </c>
      <c r="N4795">
        <v>5</v>
      </c>
    </row>
    <row r="4796" spans="1:14" x14ac:dyDescent="0.3">
      <c r="A4796" t="s">
        <v>4905</v>
      </c>
      <c r="B4796" t="s">
        <v>22</v>
      </c>
      <c r="C4796" t="s">
        <v>4903</v>
      </c>
      <c r="D4796" s="1">
        <v>0.46099537037037036</v>
      </c>
      <c r="E4796" s="2">
        <f>CallLog[[#This Row],[Date]]+CallLog[[#This Row],[Time]]</f>
        <v>44282.460995370369</v>
      </c>
      <c r="F4796" s="1" t="str">
        <f>TEXT(CallLog[[#This Row],[Date]],"dddd")</f>
        <v>Saturday</v>
      </c>
      <c r="G4796" s="3">
        <f>HOUR(CallLog[[#This Row],[Time]])</f>
        <v>11</v>
      </c>
      <c r="H4796" t="s">
        <v>17</v>
      </c>
      <c r="I4796" t="s">
        <v>18</v>
      </c>
      <c r="J4796" t="s">
        <v>18</v>
      </c>
      <c r="L4796" t="str">
        <f>IF(AND(CallLog[[#This Row],[Answered (Y/N)]]="Y", CallLog[[#This Row],[Speed of answer in seconds]]&lt;=20),
    "Within",
    "Breach")</f>
        <v>Breach</v>
      </c>
    </row>
    <row r="4797" spans="1:14" x14ac:dyDescent="0.3">
      <c r="A4797" t="s">
        <v>4906</v>
      </c>
      <c r="B4797" t="s">
        <v>38</v>
      </c>
      <c r="C4797" t="s">
        <v>4903</v>
      </c>
      <c r="D4797" s="1">
        <v>0.46099537037037036</v>
      </c>
      <c r="E4797" s="2">
        <f>CallLog[[#This Row],[Date]]+CallLog[[#This Row],[Time]]</f>
        <v>44282.460995370369</v>
      </c>
      <c r="F4797" s="1" t="str">
        <f>TEXT(CallLog[[#This Row],[Date]],"dddd")</f>
        <v>Saturday</v>
      </c>
      <c r="G4797" s="3">
        <f>HOUR(CallLog[[#This Row],[Time]])</f>
        <v>11</v>
      </c>
      <c r="H4797" t="s">
        <v>13</v>
      </c>
      <c r="I4797" t="s">
        <v>18</v>
      </c>
      <c r="J4797" t="s">
        <v>18</v>
      </c>
      <c r="L4797" t="str">
        <f>IF(AND(CallLog[[#This Row],[Answered (Y/N)]]="Y", CallLog[[#This Row],[Speed of answer in seconds]]&lt;=20),
    "Within",
    "Breach")</f>
        <v>Breach</v>
      </c>
    </row>
    <row r="4798" spans="1:14" x14ac:dyDescent="0.3">
      <c r="A4798" t="s">
        <v>4907</v>
      </c>
      <c r="B4798" t="s">
        <v>31</v>
      </c>
      <c r="C4798" t="s">
        <v>4903</v>
      </c>
      <c r="D4798" s="1">
        <v>0.46500000000000002</v>
      </c>
      <c r="E4798" s="2">
        <f>CallLog[[#This Row],[Date]]+CallLog[[#This Row],[Time]]</f>
        <v>44282.464999999997</v>
      </c>
      <c r="F4798" s="1" t="str">
        <f>TEXT(CallLog[[#This Row],[Date]],"dddd")</f>
        <v>Saturday</v>
      </c>
      <c r="G4798" s="3">
        <f>HOUR(CallLog[[#This Row],[Time]])</f>
        <v>11</v>
      </c>
      <c r="H4798" t="s">
        <v>17</v>
      </c>
      <c r="I4798" t="s">
        <v>18</v>
      </c>
      <c r="J4798" t="s">
        <v>18</v>
      </c>
      <c r="L4798" t="str">
        <f>IF(AND(CallLog[[#This Row],[Answered (Y/N)]]="Y", CallLog[[#This Row],[Speed of answer in seconds]]&lt;=20),
    "Within",
    "Breach")</f>
        <v>Breach</v>
      </c>
    </row>
    <row r="4799" spans="1:14" x14ac:dyDescent="0.3">
      <c r="A4799" t="s">
        <v>4908</v>
      </c>
      <c r="B4799" t="s">
        <v>22</v>
      </c>
      <c r="C4799" t="s">
        <v>4903</v>
      </c>
      <c r="D4799" s="1">
        <v>0.46500000000000002</v>
      </c>
      <c r="E4799" s="2">
        <f>CallLog[[#This Row],[Date]]+CallLog[[#This Row],[Time]]</f>
        <v>44282.464999999997</v>
      </c>
      <c r="F4799" s="1" t="str">
        <f>TEXT(CallLog[[#This Row],[Date]],"dddd")</f>
        <v>Saturday</v>
      </c>
      <c r="G4799" s="3">
        <f>HOUR(CallLog[[#This Row],[Time]])</f>
        <v>11</v>
      </c>
      <c r="H4799" t="s">
        <v>13</v>
      </c>
      <c r="I4799" t="s">
        <v>14</v>
      </c>
      <c r="J4799" t="s">
        <v>14</v>
      </c>
      <c r="K4799">
        <v>88</v>
      </c>
      <c r="L4799" t="str">
        <f>IF(AND(CallLog[[#This Row],[Answered (Y/N)]]="Y", CallLog[[#This Row],[Speed of answer in seconds]]&lt;=20),
    "Within",
    "Breach")</f>
        <v>Breach</v>
      </c>
      <c r="M4799" s="1">
        <v>4.7453703703703698E-4</v>
      </c>
      <c r="N4799">
        <v>5</v>
      </c>
    </row>
    <row r="4800" spans="1:14" x14ac:dyDescent="0.3">
      <c r="A4800" t="s">
        <v>4909</v>
      </c>
      <c r="B4800" t="s">
        <v>22</v>
      </c>
      <c r="C4800" t="s">
        <v>4903</v>
      </c>
      <c r="D4800" s="1">
        <v>0.47400462962962964</v>
      </c>
      <c r="E4800" s="2">
        <f>CallLog[[#This Row],[Date]]+CallLog[[#This Row],[Time]]</f>
        <v>44282.474004629628</v>
      </c>
      <c r="F4800" s="1" t="str">
        <f>TEXT(CallLog[[#This Row],[Date]],"dddd")</f>
        <v>Saturday</v>
      </c>
      <c r="G4800" s="3">
        <f>HOUR(CallLog[[#This Row],[Time]])</f>
        <v>11</v>
      </c>
      <c r="H4800" t="s">
        <v>29</v>
      </c>
      <c r="I4800" t="s">
        <v>14</v>
      </c>
      <c r="J4800" t="s">
        <v>14</v>
      </c>
      <c r="K4800">
        <v>23</v>
      </c>
      <c r="L4800" t="str">
        <f>IF(AND(CallLog[[#This Row],[Answered (Y/N)]]="Y", CallLog[[#This Row],[Speed of answer in seconds]]&lt;=20),
    "Within",
    "Breach")</f>
        <v>Breach</v>
      </c>
      <c r="M4800" s="1">
        <v>1.3194444444444445E-3</v>
      </c>
      <c r="N4800">
        <v>1</v>
      </c>
    </row>
    <row r="4801" spans="1:14" x14ac:dyDescent="0.3">
      <c r="A4801" t="s">
        <v>4910</v>
      </c>
      <c r="B4801" t="s">
        <v>47</v>
      </c>
      <c r="C4801" t="s">
        <v>4903</v>
      </c>
      <c r="D4801" s="1">
        <v>0.47400462962962964</v>
      </c>
      <c r="E4801" s="2">
        <f>CallLog[[#This Row],[Date]]+CallLog[[#This Row],[Time]]</f>
        <v>44282.474004629628</v>
      </c>
      <c r="F4801" s="1" t="str">
        <f>TEXT(CallLog[[#This Row],[Date]],"dddd")</f>
        <v>Saturday</v>
      </c>
      <c r="G4801" s="3">
        <f>HOUR(CallLog[[#This Row],[Time]])</f>
        <v>11</v>
      </c>
      <c r="H4801" t="s">
        <v>13</v>
      </c>
      <c r="I4801" t="s">
        <v>14</v>
      </c>
      <c r="J4801" t="s">
        <v>14</v>
      </c>
      <c r="K4801">
        <v>78</v>
      </c>
      <c r="L4801" t="str">
        <f>IF(AND(CallLog[[#This Row],[Answered (Y/N)]]="Y", CallLog[[#This Row],[Speed of answer in seconds]]&lt;=20),
    "Within",
    "Breach")</f>
        <v>Breach</v>
      </c>
      <c r="M4801" s="1">
        <v>1.7708333333333332E-3</v>
      </c>
      <c r="N4801">
        <v>2</v>
      </c>
    </row>
    <row r="4802" spans="1:14" x14ac:dyDescent="0.3">
      <c r="A4802" t="s">
        <v>4911</v>
      </c>
      <c r="B4802" t="s">
        <v>31</v>
      </c>
      <c r="C4802" t="s">
        <v>4903</v>
      </c>
      <c r="D4802" s="1">
        <v>0.49</v>
      </c>
      <c r="E4802" s="2">
        <f>CallLog[[#This Row],[Date]]+CallLog[[#This Row],[Time]]</f>
        <v>44282.49</v>
      </c>
      <c r="F4802" s="1" t="str">
        <f>TEXT(CallLog[[#This Row],[Date]],"dddd")</f>
        <v>Saturday</v>
      </c>
      <c r="G4802" s="3">
        <f>HOUR(CallLog[[#This Row],[Time]])</f>
        <v>11</v>
      </c>
      <c r="H4802" t="s">
        <v>32</v>
      </c>
      <c r="I4802" t="s">
        <v>14</v>
      </c>
      <c r="J4802" t="s">
        <v>14</v>
      </c>
      <c r="K4802">
        <v>100</v>
      </c>
      <c r="L4802" t="str">
        <f>IF(AND(CallLog[[#This Row],[Answered (Y/N)]]="Y", CallLog[[#This Row],[Speed of answer in seconds]]&lt;=20),
    "Within",
    "Breach")</f>
        <v>Breach</v>
      </c>
      <c r="M4802" s="1">
        <v>3.8310185185185183E-3</v>
      </c>
      <c r="N4802">
        <v>2</v>
      </c>
    </row>
    <row r="4803" spans="1:14" x14ac:dyDescent="0.3">
      <c r="A4803" t="s">
        <v>4912</v>
      </c>
      <c r="B4803" t="s">
        <v>16</v>
      </c>
      <c r="C4803" t="s">
        <v>4903</v>
      </c>
      <c r="D4803" s="1">
        <v>0.49</v>
      </c>
      <c r="E4803" s="2">
        <f>CallLog[[#This Row],[Date]]+CallLog[[#This Row],[Time]]</f>
        <v>44282.49</v>
      </c>
      <c r="F4803" s="1" t="str">
        <f>TEXT(CallLog[[#This Row],[Date]],"dddd")</f>
        <v>Saturday</v>
      </c>
      <c r="G4803" s="3">
        <f>HOUR(CallLog[[#This Row],[Time]])</f>
        <v>11</v>
      </c>
      <c r="H4803" t="s">
        <v>24</v>
      </c>
      <c r="I4803" t="s">
        <v>14</v>
      </c>
      <c r="J4803" t="s">
        <v>14</v>
      </c>
      <c r="K4803">
        <v>124</v>
      </c>
      <c r="L4803" t="str">
        <f>IF(AND(CallLog[[#This Row],[Answered (Y/N)]]="Y", CallLog[[#This Row],[Speed of answer in seconds]]&lt;=20),
    "Within",
    "Breach")</f>
        <v>Breach</v>
      </c>
      <c r="M4803" s="1">
        <v>2.9282407407407408E-3</v>
      </c>
      <c r="N4803">
        <v>5</v>
      </c>
    </row>
    <row r="4804" spans="1:14" x14ac:dyDescent="0.3">
      <c r="A4804" t="s">
        <v>4913</v>
      </c>
      <c r="B4804" t="s">
        <v>34</v>
      </c>
      <c r="C4804" t="s">
        <v>4903</v>
      </c>
      <c r="D4804" s="1">
        <v>0.49200231481481482</v>
      </c>
      <c r="E4804" s="2">
        <f>CallLog[[#This Row],[Date]]+CallLog[[#This Row],[Time]]</f>
        <v>44282.492002314815</v>
      </c>
      <c r="F4804" s="1" t="str">
        <f>TEXT(CallLog[[#This Row],[Date]],"dddd")</f>
        <v>Saturday</v>
      </c>
      <c r="G4804" s="3">
        <f>HOUR(CallLog[[#This Row],[Time]])</f>
        <v>11</v>
      </c>
      <c r="H4804" t="s">
        <v>17</v>
      </c>
      <c r="I4804" t="s">
        <v>14</v>
      </c>
      <c r="J4804" t="s">
        <v>14</v>
      </c>
      <c r="K4804">
        <v>73</v>
      </c>
      <c r="L4804" t="str">
        <f>IF(AND(CallLog[[#This Row],[Answered (Y/N)]]="Y", CallLog[[#This Row],[Speed of answer in seconds]]&lt;=20),
    "Within",
    "Breach")</f>
        <v>Breach</v>
      </c>
      <c r="M4804" s="1">
        <v>4.6296296296296294E-3</v>
      </c>
      <c r="N4804">
        <v>3</v>
      </c>
    </row>
    <row r="4805" spans="1:14" x14ac:dyDescent="0.3">
      <c r="A4805" t="s">
        <v>4914</v>
      </c>
      <c r="B4805" t="s">
        <v>16</v>
      </c>
      <c r="C4805" t="s">
        <v>4903</v>
      </c>
      <c r="D4805" s="1">
        <v>0.49200231481481482</v>
      </c>
      <c r="E4805" s="2">
        <f>CallLog[[#This Row],[Date]]+CallLog[[#This Row],[Time]]</f>
        <v>44282.492002314815</v>
      </c>
      <c r="F4805" s="1" t="str">
        <f>TEXT(CallLog[[#This Row],[Date]],"dddd")</f>
        <v>Saturday</v>
      </c>
      <c r="G4805" s="3">
        <f>HOUR(CallLog[[#This Row],[Time]])</f>
        <v>11</v>
      </c>
      <c r="H4805" t="s">
        <v>29</v>
      </c>
      <c r="I4805" t="s">
        <v>14</v>
      </c>
      <c r="J4805" t="s">
        <v>14</v>
      </c>
      <c r="K4805">
        <v>94</v>
      </c>
      <c r="L4805" t="str">
        <f>IF(AND(CallLog[[#This Row],[Answered (Y/N)]]="Y", CallLog[[#This Row],[Speed of answer in seconds]]&lt;=20),
    "Within",
    "Breach")</f>
        <v>Breach</v>
      </c>
      <c r="M4805" s="1">
        <v>9.2592592592592596E-4</v>
      </c>
      <c r="N4805">
        <v>4</v>
      </c>
    </row>
    <row r="4806" spans="1:14" x14ac:dyDescent="0.3">
      <c r="A4806" t="s">
        <v>4915</v>
      </c>
      <c r="B4806" t="s">
        <v>22</v>
      </c>
      <c r="C4806" t="s">
        <v>4903</v>
      </c>
      <c r="D4806" s="1">
        <v>0.51599537037037035</v>
      </c>
      <c r="E4806" s="2">
        <f>CallLog[[#This Row],[Date]]+CallLog[[#This Row],[Time]]</f>
        <v>44282.51599537037</v>
      </c>
      <c r="F4806" s="1" t="str">
        <f>TEXT(CallLog[[#This Row],[Date]],"dddd")</f>
        <v>Saturday</v>
      </c>
      <c r="G4806" s="3">
        <f>HOUR(CallLog[[#This Row],[Time]])</f>
        <v>12</v>
      </c>
      <c r="H4806" t="s">
        <v>32</v>
      </c>
      <c r="I4806" t="s">
        <v>18</v>
      </c>
      <c r="J4806" t="s">
        <v>18</v>
      </c>
      <c r="L4806" t="str">
        <f>IF(AND(CallLog[[#This Row],[Answered (Y/N)]]="Y", CallLog[[#This Row],[Speed of answer in seconds]]&lt;=20),
    "Within",
    "Breach")</f>
        <v>Breach</v>
      </c>
    </row>
    <row r="4807" spans="1:14" x14ac:dyDescent="0.3">
      <c r="A4807" t="s">
        <v>4916</v>
      </c>
      <c r="B4807" t="s">
        <v>22</v>
      </c>
      <c r="C4807" t="s">
        <v>4903</v>
      </c>
      <c r="D4807" s="1">
        <v>0.51599537037037035</v>
      </c>
      <c r="E4807" s="2">
        <f>CallLog[[#This Row],[Date]]+CallLog[[#This Row],[Time]]</f>
        <v>44282.51599537037</v>
      </c>
      <c r="F4807" s="1" t="str">
        <f>TEXT(CallLog[[#This Row],[Date]],"dddd")</f>
        <v>Saturday</v>
      </c>
      <c r="G4807" s="3">
        <f>HOUR(CallLog[[#This Row],[Time]])</f>
        <v>12</v>
      </c>
      <c r="H4807" t="s">
        <v>24</v>
      </c>
      <c r="I4807" t="s">
        <v>14</v>
      </c>
      <c r="J4807" t="s">
        <v>14</v>
      </c>
      <c r="K4807">
        <v>40</v>
      </c>
      <c r="L4807" t="str">
        <f>IF(AND(CallLog[[#This Row],[Answered (Y/N)]]="Y", CallLog[[#This Row],[Speed of answer in seconds]]&lt;=20),
    "Within",
    "Breach")</f>
        <v>Breach</v>
      </c>
      <c r="M4807" s="1">
        <v>2.662037037037037E-3</v>
      </c>
      <c r="N4807">
        <v>2</v>
      </c>
    </row>
    <row r="4808" spans="1:14" x14ac:dyDescent="0.3">
      <c r="A4808" t="s">
        <v>4917</v>
      </c>
      <c r="B4808" t="s">
        <v>38</v>
      </c>
      <c r="C4808" t="s">
        <v>4903</v>
      </c>
      <c r="D4808" s="1">
        <v>0.51799768518518519</v>
      </c>
      <c r="E4808" s="2">
        <f>CallLog[[#This Row],[Date]]+CallLog[[#This Row],[Time]]</f>
        <v>44282.517997685187</v>
      </c>
      <c r="F4808" s="1" t="str">
        <f>TEXT(CallLog[[#This Row],[Date]],"dddd")</f>
        <v>Saturday</v>
      </c>
      <c r="G4808" s="3">
        <f>HOUR(CallLog[[#This Row],[Time]])</f>
        <v>12</v>
      </c>
      <c r="H4808" t="s">
        <v>24</v>
      </c>
      <c r="I4808" t="s">
        <v>14</v>
      </c>
      <c r="J4808" t="s">
        <v>14</v>
      </c>
      <c r="K4808">
        <v>15</v>
      </c>
      <c r="L4808" t="str">
        <f>IF(AND(CallLog[[#This Row],[Answered (Y/N)]]="Y", CallLog[[#This Row],[Speed of answer in seconds]]&lt;=20),
    "Within",
    "Breach")</f>
        <v>Within</v>
      </c>
      <c r="M4808" s="1">
        <v>1.0069444444444444E-3</v>
      </c>
      <c r="N4808">
        <v>3</v>
      </c>
    </row>
    <row r="4809" spans="1:14" x14ac:dyDescent="0.3">
      <c r="A4809" t="s">
        <v>4918</v>
      </c>
      <c r="B4809" t="s">
        <v>16</v>
      </c>
      <c r="C4809" t="s">
        <v>4903</v>
      </c>
      <c r="D4809" s="1">
        <v>0.51799768518518519</v>
      </c>
      <c r="E4809" s="2">
        <f>CallLog[[#This Row],[Date]]+CallLog[[#This Row],[Time]]</f>
        <v>44282.517997685187</v>
      </c>
      <c r="F4809" s="1" t="str">
        <f>TEXT(CallLog[[#This Row],[Date]],"dddd")</f>
        <v>Saturday</v>
      </c>
      <c r="G4809" s="3">
        <f>HOUR(CallLog[[#This Row],[Time]])</f>
        <v>12</v>
      </c>
      <c r="H4809" t="s">
        <v>24</v>
      </c>
      <c r="I4809" t="s">
        <v>18</v>
      </c>
      <c r="J4809" t="s">
        <v>18</v>
      </c>
      <c r="L4809" t="str">
        <f>IF(AND(CallLog[[#This Row],[Answered (Y/N)]]="Y", CallLog[[#This Row],[Speed of answer in seconds]]&lt;=20),
    "Within",
    "Breach")</f>
        <v>Breach</v>
      </c>
    </row>
    <row r="4810" spans="1:14" x14ac:dyDescent="0.3">
      <c r="A4810" t="s">
        <v>4919</v>
      </c>
      <c r="B4810" t="s">
        <v>22</v>
      </c>
      <c r="C4810" t="s">
        <v>4903</v>
      </c>
      <c r="D4810" s="1">
        <v>0.5379976851851852</v>
      </c>
      <c r="E4810" s="2">
        <f>CallLog[[#This Row],[Date]]+CallLog[[#This Row],[Time]]</f>
        <v>44282.537997685184</v>
      </c>
      <c r="F4810" s="1" t="str">
        <f>TEXT(CallLog[[#This Row],[Date]],"dddd")</f>
        <v>Saturday</v>
      </c>
      <c r="G4810" s="3">
        <f>HOUR(CallLog[[#This Row],[Time]])</f>
        <v>12</v>
      </c>
      <c r="H4810" t="s">
        <v>29</v>
      </c>
      <c r="I4810" t="s">
        <v>14</v>
      </c>
      <c r="J4810" t="s">
        <v>14</v>
      </c>
      <c r="K4810">
        <v>104</v>
      </c>
      <c r="L4810" t="str">
        <f>IF(AND(CallLog[[#This Row],[Answered (Y/N)]]="Y", CallLog[[#This Row],[Speed of answer in seconds]]&lt;=20),
    "Within",
    "Breach")</f>
        <v>Breach</v>
      </c>
      <c r="M4810" s="1">
        <v>3.5995370370370369E-3</v>
      </c>
      <c r="N4810">
        <v>4</v>
      </c>
    </row>
    <row r="4811" spans="1:14" x14ac:dyDescent="0.3">
      <c r="A4811" t="s">
        <v>4920</v>
      </c>
      <c r="B4811" t="s">
        <v>47</v>
      </c>
      <c r="C4811" t="s">
        <v>4903</v>
      </c>
      <c r="D4811" s="1">
        <v>0.5379976851851852</v>
      </c>
      <c r="E4811" s="2">
        <f>CallLog[[#This Row],[Date]]+CallLog[[#This Row],[Time]]</f>
        <v>44282.537997685184</v>
      </c>
      <c r="F4811" s="1" t="str">
        <f>TEXT(CallLog[[#This Row],[Date]],"dddd")</f>
        <v>Saturday</v>
      </c>
      <c r="G4811" s="3">
        <f>HOUR(CallLog[[#This Row],[Time]])</f>
        <v>12</v>
      </c>
      <c r="H4811" t="s">
        <v>32</v>
      </c>
      <c r="I4811" t="s">
        <v>14</v>
      </c>
      <c r="J4811" t="s">
        <v>14</v>
      </c>
      <c r="K4811">
        <v>92</v>
      </c>
      <c r="L4811" t="str">
        <f>IF(AND(CallLog[[#This Row],[Answered (Y/N)]]="Y", CallLog[[#This Row],[Speed of answer in seconds]]&lt;=20),
    "Within",
    "Breach")</f>
        <v>Breach</v>
      </c>
      <c r="M4811" s="1">
        <v>2.2916666666666667E-3</v>
      </c>
      <c r="N4811">
        <v>3</v>
      </c>
    </row>
    <row r="4812" spans="1:14" x14ac:dyDescent="0.3">
      <c r="A4812" t="s">
        <v>4921</v>
      </c>
      <c r="B4812" t="s">
        <v>22</v>
      </c>
      <c r="C4812" t="s">
        <v>4903</v>
      </c>
      <c r="D4812" s="1">
        <v>0.55799768518518522</v>
      </c>
      <c r="E4812" s="2">
        <f>CallLog[[#This Row],[Date]]+CallLog[[#This Row],[Time]]</f>
        <v>44282.557997685188</v>
      </c>
      <c r="F4812" s="1" t="str">
        <f>TEXT(CallLog[[#This Row],[Date]],"dddd")</f>
        <v>Saturday</v>
      </c>
      <c r="G4812" s="3">
        <f>HOUR(CallLog[[#This Row],[Time]])</f>
        <v>13</v>
      </c>
      <c r="H4812" t="s">
        <v>24</v>
      </c>
      <c r="I4812" t="s">
        <v>14</v>
      </c>
      <c r="J4812" t="s">
        <v>14</v>
      </c>
      <c r="K4812">
        <v>103</v>
      </c>
      <c r="L4812" t="str">
        <f>IF(AND(CallLog[[#This Row],[Answered (Y/N)]]="Y", CallLog[[#This Row],[Speed of answer in seconds]]&lt;=20),
    "Within",
    "Breach")</f>
        <v>Breach</v>
      </c>
      <c r="M4812" s="1">
        <v>2.685185185185185E-3</v>
      </c>
      <c r="N4812">
        <v>5</v>
      </c>
    </row>
    <row r="4813" spans="1:14" x14ac:dyDescent="0.3">
      <c r="A4813" t="s">
        <v>4922</v>
      </c>
      <c r="B4813" t="s">
        <v>16</v>
      </c>
      <c r="C4813" t="s">
        <v>4903</v>
      </c>
      <c r="D4813" s="1">
        <v>0.55799768518518522</v>
      </c>
      <c r="E4813" s="2">
        <f>CallLog[[#This Row],[Date]]+CallLog[[#This Row],[Time]]</f>
        <v>44282.557997685188</v>
      </c>
      <c r="F4813" s="1" t="str">
        <f>TEXT(CallLog[[#This Row],[Date]],"dddd")</f>
        <v>Saturday</v>
      </c>
      <c r="G4813" s="3">
        <f>HOUR(CallLog[[#This Row],[Time]])</f>
        <v>13</v>
      </c>
      <c r="H4813" t="s">
        <v>24</v>
      </c>
      <c r="I4813" t="s">
        <v>14</v>
      </c>
      <c r="J4813" t="s">
        <v>14</v>
      </c>
      <c r="K4813">
        <v>43</v>
      </c>
      <c r="L4813" t="str">
        <f>IF(AND(CallLog[[#This Row],[Answered (Y/N)]]="Y", CallLog[[#This Row],[Speed of answer in seconds]]&lt;=20),
    "Within",
    "Breach")</f>
        <v>Breach</v>
      </c>
      <c r="M4813" s="1">
        <v>1.0416666666666667E-3</v>
      </c>
      <c r="N4813">
        <v>4</v>
      </c>
    </row>
    <row r="4814" spans="1:14" x14ac:dyDescent="0.3">
      <c r="A4814" t="s">
        <v>4923</v>
      </c>
      <c r="B4814" t="s">
        <v>20</v>
      </c>
      <c r="C4814" t="s">
        <v>4903</v>
      </c>
      <c r="D4814" s="1">
        <v>0.56299768518518523</v>
      </c>
      <c r="E4814" s="2">
        <f>CallLog[[#This Row],[Date]]+CallLog[[#This Row],[Time]]</f>
        <v>44282.562997685185</v>
      </c>
      <c r="F4814" s="1" t="str">
        <f>TEXT(CallLog[[#This Row],[Date]],"dddd")</f>
        <v>Saturday</v>
      </c>
      <c r="G4814" s="3">
        <f>HOUR(CallLog[[#This Row],[Time]])</f>
        <v>13</v>
      </c>
      <c r="H4814" t="s">
        <v>17</v>
      </c>
      <c r="I4814" t="s">
        <v>14</v>
      </c>
      <c r="J4814" t="s">
        <v>14</v>
      </c>
      <c r="K4814">
        <v>93</v>
      </c>
      <c r="L4814" t="str">
        <f>IF(AND(CallLog[[#This Row],[Answered (Y/N)]]="Y", CallLog[[#This Row],[Speed of answer in seconds]]&lt;=20),
    "Within",
    "Breach")</f>
        <v>Breach</v>
      </c>
      <c r="M4814" s="1">
        <v>6.7129629629629625E-4</v>
      </c>
      <c r="N4814">
        <v>4</v>
      </c>
    </row>
    <row r="4815" spans="1:14" x14ac:dyDescent="0.3">
      <c r="A4815" t="s">
        <v>4924</v>
      </c>
      <c r="B4815" t="s">
        <v>34</v>
      </c>
      <c r="C4815" t="s">
        <v>4903</v>
      </c>
      <c r="D4815" s="1">
        <v>0.56299768518518523</v>
      </c>
      <c r="E4815" s="2">
        <f>CallLog[[#This Row],[Date]]+CallLog[[#This Row],[Time]]</f>
        <v>44282.562997685185</v>
      </c>
      <c r="F4815" s="1" t="str">
        <f>TEXT(CallLog[[#This Row],[Date]],"dddd")</f>
        <v>Saturday</v>
      </c>
      <c r="G4815" s="3">
        <f>HOUR(CallLog[[#This Row],[Time]])</f>
        <v>13</v>
      </c>
      <c r="H4815" t="s">
        <v>24</v>
      </c>
      <c r="I4815" t="s">
        <v>18</v>
      </c>
      <c r="J4815" t="s">
        <v>18</v>
      </c>
      <c r="L4815" t="str">
        <f>IF(AND(CallLog[[#This Row],[Answered (Y/N)]]="Y", CallLog[[#This Row],[Speed of answer in seconds]]&lt;=20),
    "Within",
    "Breach")</f>
        <v>Breach</v>
      </c>
    </row>
    <row r="4816" spans="1:14" x14ac:dyDescent="0.3">
      <c r="A4816" t="s">
        <v>4925</v>
      </c>
      <c r="B4816" t="s">
        <v>31</v>
      </c>
      <c r="C4816" t="s">
        <v>4903</v>
      </c>
      <c r="D4816" s="1">
        <v>0.59</v>
      </c>
      <c r="E4816" s="2">
        <f>CallLog[[#This Row],[Date]]+CallLog[[#This Row],[Time]]</f>
        <v>44282.59</v>
      </c>
      <c r="F4816" s="1" t="str">
        <f>TEXT(CallLog[[#This Row],[Date]],"dddd")</f>
        <v>Saturday</v>
      </c>
      <c r="G4816" s="3">
        <f>HOUR(CallLog[[#This Row],[Time]])</f>
        <v>14</v>
      </c>
      <c r="H4816" t="s">
        <v>32</v>
      </c>
      <c r="I4816" t="s">
        <v>14</v>
      </c>
      <c r="J4816" t="s">
        <v>14</v>
      </c>
      <c r="K4816">
        <v>107</v>
      </c>
      <c r="L4816" t="str">
        <f>IF(AND(CallLog[[#This Row],[Answered (Y/N)]]="Y", CallLog[[#This Row],[Speed of answer in seconds]]&lt;=20),
    "Within",
    "Breach")</f>
        <v>Breach</v>
      </c>
      <c r="M4816" s="1">
        <v>2.3726851851851851E-3</v>
      </c>
      <c r="N4816">
        <v>3</v>
      </c>
    </row>
    <row r="4817" spans="1:14" x14ac:dyDescent="0.3">
      <c r="A4817" t="s">
        <v>4926</v>
      </c>
      <c r="B4817" t="s">
        <v>16</v>
      </c>
      <c r="C4817" t="s">
        <v>4903</v>
      </c>
      <c r="D4817" s="1">
        <v>0.59</v>
      </c>
      <c r="E4817" s="2">
        <f>CallLog[[#This Row],[Date]]+CallLog[[#This Row],[Time]]</f>
        <v>44282.59</v>
      </c>
      <c r="F4817" s="1" t="str">
        <f>TEXT(CallLog[[#This Row],[Date]],"dddd")</f>
        <v>Saturday</v>
      </c>
      <c r="G4817" s="3">
        <f>HOUR(CallLog[[#This Row],[Time]])</f>
        <v>14</v>
      </c>
      <c r="H4817" t="s">
        <v>24</v>
      </c>
      <c r="I4817" t="s">
        <v>14</v>
      </c>
      <c r="J4817" t="s">
        <v>14</v>
      </c>
      <c r="K4817">
        <v>51</v>
      </c>
      <c r="L4817" t="str">
        <f>IF(AND(CallLog[[#This Row],[Answered (Y/N)]]="Y", CallLog[[#This Row],[Speed of answer in seconds]]&lt;=20),
    "Within",
    "Breach")</f>
        <v>Breach</v>
      </c>
      <c r="M4817" s="1">
        <v>1.3194444444444445E-3</v>
      </c>
      <c r="N4817">
        <v>3</v>
      </c>
    </row>
    <row r="4818" spans="1:14" x14ac:dyDescent="0.3">
      <c r="A4818" t="s">
        <v>4927</v>
      </c>
      <c r="B4818" t="s">
        <v>22</v>
      </c>
      <c r="C4818" t="s">
        <v>4903</v>
      </c>
      <c r="D4818" s="1">
        <v>0.59700231481481481</v>
      </c>
      <c r="E4818" s="2">
        <f>CallLog[[#This Row],[Date]]+CallLog[[#This Row],[Time]]</f>
        <v>44282.597002314818</v>
      </c>
      <c r="F4818" s="1" t="str">
        <f>TEXT(CallLog[[#This Row],[Date]],"dddd")</f>
        <v>Saturday</v>
      </c>
      <c r="G4818" s="3">
        <f>HOUR(CallLog[[#This Row],[Time]])</f>
        <v>14</v>
      </c>
      <c r="H4818" t="s">
        <v>24</v>
      </c>
      <c r="I4818" t="s">
        <v>18</v>
      </c>
      <c r="J4818" t="s">
        <v>18</v>
      </c>
      <c r="L4818" t="str">
        <f>IF(AND(CallLog[[#This Row],[Answered (Y/N)]]="Y", CallLog[[#This Row],[Speed of answer in seconds]]&lt;=20),
    "Within",
    "Breach")</f>
        <v>Breach</v>
      </c>
    </row>
    <row r="4819" spans="1:14" x14ac:dyDescent="0.3">
      <c r="A4819" t="s">
        <v>4928</v>
      </c>
      <c r="B4819" t="s">
        <v>31</v>
      </c>
      <c r="C4819" t="s">
        <v>4903</v>
      </c>
      <c r="D4819" s="1">
        <v>0.59700231481481481</v>
      </c>
      <c r="E4819" s="2">
        <f>CallLog[[#This Row],[Date]]+CallLog[[#This Row],[Time]]</f>
        <v>44282.597002314818</v>
      </c>
      <c r="F4819" s="1" t="str">
        <f>TEXT(CallLog[[#This Row],[Date]],"dddd")</f>
        <v>Saturday</v>
      </c>
      <c r="G4819" s="3">
        <f>HOUR(CallLog[[#This Row],[Time]])</f>
        <v>14</v>
      </c>
      <c r="H4819" t="s">
        <v>24</v>
      </c>
      <c r="I4819" t="s">
        <v>14</v>
      </c>
      <c r="J4819" t="s">
        <v>14</v>
      </c>
      <c r="K4819">
        <v>50</v>
      </c>
      <c r="L4819" t="str">
        <f>IF(AND(CallLog[[#This Row],[Answered (Y/N)]]="Y", CallLog[[#This Row],[Speed of answer in seconds]]&lt;=20),
    "Within",
    "Breach")</f>
        <v>Breach</v>
      </c>
      <c r="M4819" s="1">
        <v>3.4027777777777776E-3</v>
      </c>
      <c r="N4819">
        <v>3</v>
      </c>
    </row>
    <row r="4820" spans="1:14" x14ac:dyDescent="0.3">
      <c r="A4820" t="s">
        <v>4929</v>
      </c>
      <c r="B4820" t="s">
        <v>47</v>
      </c>
      <c r="C4820" t="s">
        <v>4903</v>
      </c>
      <c r="D4820" s="1">
        <v>0.60900462962962965</v>
      </c>
      <c r="E4820" s="2">
        <f>CallLog[[#This Row],[Date]]+CallLog[[#This Row],[Time]]</f>
        <v>44282.60900462963</v>
      </c>
      <c r="F4820" s="1" t="str">
        <f>TEXT(CallLog[[#This Row],[Date]],"dddd")</f>
        <v>Saturday</v>
      </c>
      <c r="G4820" s="3">
        <f>HOUR(CallLog[[#This Row],[Time]])</f>
        <v>14</v>
      </c>
      <c r="H4820" t="s">
        <v>32</v>
      </c>
      <c r="I4820" t="s">
        <v>14</v>
      </c>
      <c r="J4820" t="s">
        <v>14</v>
      </c>
      <c r="K4820">
        <v>68</v>
      </c>
      <c r="L4820" t="str">
        <f>IF(AND(CallLog[[#This Row],[Answered (Y/N)]]="Y", CallLog[[#This Row],[Speed of answer in seconds]]&lt;=20),
    "Within",
    "Breach")</f>
        <v>Breach</v>
      </c>
      <c r="M4820" s="1">
        <v>2.7546296296296294E-3</v>
      </c>
      <c r="N4820">
        <v>5</v>
      </c>
    </row>
    <row r="4821" spans="1:14" x14ac:dyDescent="0.3">
      <c r="A4821" t="s">
        <v>4930</v>
      </c>
      <c r="B4821" t="s">
        <v>20</v>
      </c>
      <c r="C4821" t="s">
        <v>4903</v>
      </c>
      <c r="D4821" s="1">
        <v>0.60900462962962965</v>
      </c>
      <c r="E4821" s="2">
        <f>CallLog[[#This Row],[Date]]+CallLog[[#This Row],[Time]]</f>
        <v>44282.60900462963</v>
      </c>
      <c r="F4821" s="1" t="str">
        <f>TEXT(CallLog[[#This Row],[Date]],"dddd")</f>
        <v>Saturday</v>
      </c>
      <c r="G4821" s="3">
        <f>HOUR(CallLog[[#This Row],[Time]])</f>
        <v>14</v>
      </c>
      <c r="H4821" t="s">
        <v>24</v>
      </c>
      <c r="I4821" t="s">
        <v>14</v>
      </c>
      <c r="J4821" t="s">
        <v>14</v>
      </c>
      <c r="K4821">
        <v>35</v>
      </c>
      <c r="L4821" t="str">
        <f>IF(AND(CallLog[[#This Row],[Answered (Y/N)]]="Y", CallLog[[#This Row],[Speed of answer in seconds]]&lt;=20),
    "Within",
    "Breach")</f>
        <v>Breach</v>
      </c>
      <c r="M4821" s="1">
        <v>2.9166666666666668E-3</v>
      </c>
      <c r="N4821">
        <v>4</v>
      </c>
    </row>
    <row r="4822" spans="1:14" x14ac:dyDescent="0.3">
      <c r="A4822" t="s">
        <v>4931</v>
      </c>
      <c r="B4822" t="s">
        <v>20</v>
      </c>
      <c r="C4822" t="s">
        <v>4903</v>
      </c>
      <c r="D4822" s="1">
        <v>0.63700231481481484</v>
      </c>
      <c r="E4822" s="2">
        <f>CallLog[[#This Row],[Date]]+CallLog[[#This Row],[Time]]</f>
        <v>44282.637002314812</v>
      </c>
      <c r="F4822" s="1" t="str">
        <f>TEXT(CallLog[[#This Row],[Date]],"dddd")</f>
        <v>Saturday</v>
      </c>
      <c r="G4822" s="3">
        <f>HOUR(CallLog[[#This Row],[Time]])</f>
        <v>15</v>
      </c>
      <c r="H4822" t="s">
        <v>13</v>
      </c>
      <c r="I4822" t="s">
        <v>14</v>
      </c>
      <c r="J4822" t="s">
        <v>14</v>
      </c>
      <c r="K4822">
        <v>87</v>
      </c>
      <c r="L4822" t="str">
        <f>IF(AND(CallLog[[#This Row],[Answered (Y/N)]]="Y", CallLog[[#This Row],[Speed of answer in seconds]]&lt;=20),
    "Within",
    "Breach")</f>
        <v>Breach</v>
      </c>
      <c r="M4822" s="1">
        <v>4.6874999999999998E-3</v>
      </c>
      <c r="N4822">
        <v>1</v>
      </c>
    </row>
    <row r="4823" spans="1:14" x14ac:dyDescent="0.3">
      <c r="A4823" t="s">
        <v>4932</v>
      </c>
      <c r="B4823" t="s">
        <v>38</v>
      </c>
      <c r="C4823" t="s">
        <v>4903</v>
      </c>
      <c r="D4823" s="1">
        <v>0.63700231481481484</v>
      </c>
      <c r="E4823" s="2">
        <f>CallLog[[#This Row],[Date]]+CallLog[[#This Row],[Time]]</f>
        <v>44282.637002314812</v>
      </c>
      <c r="F4823" s="1" t="str">
        <f>TEXT(CallLog[[#This Row],[Date]],"dddd")</f>
        <v>Saturday</v>
      </c>
      <c r="G4823" s="3">
        <f>HOUR(CallLog[[#This Row],[Time]])</f>
        <v>15</v>
      </c>
      <c r="H4823" t="s">
        <v>32</v>
      </c>
      <c r="I4823" t="s">
        <v>18</v>
      </c>
      <c r="J4823" t="s">
        <v>18</v>
      </c>
      <c r="L4823" t="str">
        <f>IF(AND(CallLog[[#This Row],[Answered (Y/N)]]="Y", CallLog[[#This Row],[Speed of answer in seconds]]&lt;=20),
    "Within",
    "Breach")</f>
        <v>Breach</v>
      </c>
    </row>
    <row r="4824" spans="1:14" x14ac:dyDescent="0.3">
      <c r="A4824" t="s">
        <v>4933</v>
      </c>
      <c r="B4824" t="s">
        <v>16</v>
      </c>
      <c r="C4824" t="s">
        <v>4903</v>
      </c>
      <c r="D4824" s="1">
        <v>0.64</v>
      </c>
      <c r="E4824" s="2">
        <f>CallLog[[#This Row],[Date]]+CallLog[[#This Row],[Time]]</f>
        <v>44282.64</v>
      </c>
      <c r="F4824" s="1" t="str">
        <f>TEXT(CallLog[[#This Row],[Date]],"dddd")</f>
        <v>Saturday</v>
      </c>
      <c r="G4824" s="3">
        <f>HOUR(CallLog[[#This Row],[Time]])</f>
        <v>15</v>
      </c>
      <c r="H4824" t="s">
        <v>13</v>
      </c>
      <c r="I4824" t="s">
        <v>18</v>
      </c>
      <c r="J4824" t="s">
        <v>18</v>
      </c>
      <c r="L4824" t="str">
        <f>IF(AND(CallLog[[#This Row],[Answered (Y/N)]]="Y", CallLog[[#This Row],[Speed of answer in seconds]]&lt;=20),
    "Within",
    "Breach")</f>
        <v>Breach</v>
      </c>
    </row>
    <row r="4825" spans="1:14" x14ac:dyDescent="0.3">
      <c r="A4825" t="s">
        <v>4934</v>
      </c>
      <c r="B4825" t="s">
        <v>47</v>
      </c>
      <c r="C4825" t="s">
        <v>4903</v>
      </c>
      <c r="D4825" s="1">
        <v>0.64</v>
      </c>
      <c r="E4825" s="2">
        <f>CallLog[[#This Row],[Date]]+CallLog[[#This Row],[Time]]</f>
        <v>44282.64</v>
      </c>
      <c r="F4825" s="1" t="str">
        <f>TEXT(CallLog[[#This Row],[Date]],"dddd")</f>
        <v>Saturday</v>
      </c>
      <c r="G4825" s="3">
        <f>HOUR(CallLog[[#This Row],[Time]])</f>
        <v>15</v>
      </c>
      <c r="H4825" t="s">
        <v>24</v>
      </c>
      <c r="I4825" t="s">
        <v>14</v>
      </c>
      <c r="J4825" t="s">
        <v>14</v>
      </c>
      <c r="K4825">
        <v>79</v>
      </c>
      <c r="L4825" t="str">
        <f>IF(AND(CallLog[[#This Row],[Answered (Y/N)]]="Y", CallLog[[#This Row],[Speed of answer in seconds]]&lt;=20),
    "Within",
    "Breach")</f>
        <v>Breach</v>
      </c>
      <c r="M4825" s="1">
        <v>4.6180555555555558E-3</v>
      </c>
      <c r="N4825">
        <v>3</v>
      </c>
    </row>
    <row r="4826" spans="1:14" x14ac:dyDescent="0.3">
      <c r="A4826" t="s">
        <v>4935</v>
      </c>
      <c r="B4826" t="s">
        <v>34</v>
      </c>
      <c r="C4826" t="s">
        <v>4903</v>
      </c>
      <c r="D4826" s="1">
        <v>0.64099537037037035</v>
      </c>
      <c r="E4826" s="2">
        <f>CallLog[[#This Row],[Date]]+CallLog[[#This Row],[Time]]</f>
        <v>44282.64099537037</v>
      </c>
      <c r="F4826" s="1" t="str">
        <f>TEXT(CallLog[[#This Row],[Date]],"dddd")</f>
        <v>Saturday</v>
      </c>
      <c r="G4826" s="3">
        <f>HOUR(CallLog[[#This Row],[Time]])</f>
        <v>15</v>
      </c>
      <c r="H4826" t="s">
        <v>29</v>
      </c>
      <c r="I4826" t="s">
        <v>14</v>
      </c>
      <c r="J4826" t="s">
        <v>14</v>
      </c>
      <c r="K4826">
        <v>28</v>
      </c>
      <c r="L4826" t="str">
        <f>IF(AND(CallLog[[#This Row],[Answered (Y/N)]]="Y", CallLog[[#This Row],[Speed of answer in seconds]]&lt;=20),
    "Within",
    "Breach")</f>
        <v>Breach</v>
      </c>
      <c r="M4826" s="1">
        <v>2.0717592592592593E-3</v>
      </c>
      <c r="N4826">
        <v>1</v>
      </c>
    </row>
    <row r="4827" spans="1:14" x14ac:dyDescent="0.3">
      <c r="A4827" t="s">
        <v>4936</v>
      </c>
      <c r="B4827" t="s">
        <v>22</v>
      </c>
      <c r="C4827" t="s">
        <v>4903</v>
      </c>
      <c r="D4827" s="1">
        <v>0.64099537037037035</v>
      </c>
      <c r="E4827" s="2">
        <f>CallLog[[#This Row],[Date]]+CallLog[[#This Row],[Time]]</f>
        <v>44282.64099537037</v>
      </c>
      <c r="F4827" s="1" t="str">
        <f>TEXT(CallLog[[#This Row],[Date]],"dddd")</f>
        <v>Saturday</v>
      </c>
      <c r="G4827" s="3">
        <f>HOUR(CallLog[[#This Row],[Time]])</f>
        <v>15</v>
      </c>
      <c r="H4827" t="s">
        <v>13</v>
      </c>
      <c r="I4827" t="s">
        <v>14</v>
      </c>
      <c r="J4827" t="s">
        <v>14</v>
      </c>
      <c r="K4827">
        <v>82</v>
      </c>
      <c r="L4827" t="str">
        <f>IF(AND(CallLog[[#This Row],[Answered (Y/N)]]="Y", CallLog[[#This Row],[Speed of answer in seconds]]&lt;=20),
    "Within",
    "Breach")</f>
        <v>Breach</v>
      </c>
      <c r="M4827" s="1">
        <v>2.3032407407407407E-3</v>
      </c>
      <c r="N4827">
        <v>5</v>
      </c>
    </row>
    <row r="4828" spans="1:14" x14ac:dyDescent="0.3">
      <c r="A4828" t="s">
        <v>4937</v>
      </c>
      <c r="B4828" t="s">
        <v>47</v>
      </c>
      <c r="C4828" t="s">
        <v>4903</v>
      </c>
      <c r="D4828" s="1">
        <v>0.65</v>
      </c>
      <c r="E4828" s="2">
        <f>CallLog[[#This Row],[Date]]+CallLog[[#This Row],[Time]]</f>
        <v>44282.65</v>
      </c>
      <c r="F4828" s="1" t="str">
        <f>TEXT(CallLog[[#This Row],[Date]],"dddd")</f>
        <v>Saturday</v>
      </c>
      <c r="G4828" s="3">
        <f>HOUR(CallLog[[#This Row],[Time]])</f>
        <v>15</v>
      </c>
      <c r="H4828" t="s">
        <v>32</v>
      </c>
      <c r="I4828" t="s">
        <v>14</v>
      </c>
      <c r="J4828" t="s">
        <v>14</v>
      </c>
      <c r="K4828">
        <v>56</v>
      </c>
      <c r="L4828" t="str">
        <f>IF(AND(CallLog[[#This Row],[Answered (Y/N)]]="Y", CallLog[[#This Row],[Speed of answer in seconds]]&lt;=20),
    "Within",
    "Breach")</f>
        <v>Breach</v>
      </c>
      <c r="M4828" s="1">
        <v>1.4583333333333334E-3</v>
      </c>
      <c r="N4828">
        <v>3</v>
      </c>
    </row>
    <row r="4829" spans="1:14" x14ac:dyDescent="0.3">
      <c r="A4829" t="s">
        <v>4938</v>
      </c>
      <c r="B4829" t="s">
        <v>16</v>
      </c>
      <c r="C4829" t="s">
        <v>4903</v>
      </c>
      <c r="D4829" s="1">
        <v>0.65</v>
      </c>
      <c r="E4829" s="2">
        <f>CallLog[[#This Row],[Date]]+CallLog[[#This Row],[Time]]</f>
        <v>44282.65</v>
      </c>
      <c r="F4829" s="1" t="str">
        <f>TEXT(CallLog[[#This Row],[Date]],"dddd")</f>
        <v>Saturday</v>
      </c>
      <c r="G4829" s="3">
        <f>HOUR(CallLog[[#This Row],[Time]])</f>
        <v>15</v>
      </c>
      <c r="H4829" t="s">
        <v>24</v>
      </c>
      <c r="I4829" t="s">
        <v>14</v>
      </c>
      <c r="J4829" t="s">
        <v>14</v>
      </c>
      <c r="K4829">
        <v>102</v>
      </c>
      <c r="L4829" t="str">
        <f>IF(AND(CallLog[[#This Row],[Answered (Y/N)]]="Y", CallLog[[#This Row],[Speed of answer in seconds]]&lt;=20),
    "Within",
    "Breach")</f>
        <v>Breach</v>
      </c>
      <c r="M4829" s="1">
        <v>4.363425925925926E-3</v>
      </c>
      <c r="N4829">
        <v>4</v>
      </c>
    </row>
    <row r="4830" spans="1:14" x14ac:dyDescent="0.3">
      <c r="A4830" t="s">
        <v>4939</v>
      </c>
      <c r="B4830" t="s">
        <v>11</v>
      </c>
      <c r="C4830" t="s">
        <v>4903</v>
      </c>
      <c r="D4830" s="1">
        <v>0.65500000000000003</v>
      </c>
      <c r="E4830" s="2">
        <f>CallLog[[#This Row],[Date]]+CallLog[[#This Row],[Time]]</f>
        <v>44282.654999999999</v>
      </c>
      <c r="F4830" s="1" t="str">
        <f>TEXT(CallLog[[#This Row],[Date]],"dddd")</f>
        <v>Saturday</v>
      </c>
      <c r="G4830" s="3">
        <f>HOUR(CallLog[[#This Row],[Time]])</f>
        <v>15</v>
      </c>
      <c r="H4830" t="s">
        <v>17</v>
      </c>
      <c r="I4830" t="s">
        <v>18</v>
      </c>
      <c r="J4830" t="s">
        <v>18</v>
      </c>
      <c r="L4830" t="str">
        <f>IF(AND(CallLog[[#This Row],[Answered (Y/N)]]="Y", CallLog[[#This Row],[Speed of answer in seconds]]&lt;=20),
    "Within",
    "Breach")</f>
        <v>Breach</v>
      </c>
    </row>
    <row r="4831" spans="1:14" x14ac:dyDescent="0.3">
      <c r="A4831" t="s">
        <v>4940</v>
      </c>
      <c r="B4831" t="s">
        <v>34</v>
      </c>
      <c r="C4831" t="s">
        <v>4903</v>
      </c>
      <c r="D4831" s="1">
        <v>0.65500000000000003</v>
      </c>
      <c r="E4831" s="2">
        <f>CallLog[[#This Row],[Date]]+CallLog[[#This Row],[Time]]</f>
        <v>44282.654999999999</v>
      </c>
      <c r="F4831" s="1" t="str">
        <f>TEXT(CallLog[[#This Row],[Date]],"dddd")</f>
        <v>Saturday</v>
      </c>
      <c r="G4831" s="3">
        <f>HOUR(CallLog[[#This Row],[Time]])</f>
        <v>15</v>
      </c>
      <c r="H4831" t="s">
        <v>29</v>
      </c>
      <c r="I4831" t="s">
        <v>14</v>
      </c>
      <c r="J4831" t="s">
        <v>14</v>
      </c>
      <c r="K4831">
        <v>11</v>
      </c>
      <c r="L4831" t="str">
        <f>IF(AND(CallLog[[#This Row],[Answered (Y/N)]]="Y", CallLog[[#This Row],[Speed of answer in seconds]]&lt;=20),
    "Within",
    "Breach")</f>
        <v>Within</v>
      </c>
      <c r="M4831" s="1">
        <v>4.0625000000000001E-3</v>
      </c>
      <c r="N4831">
        <v>5</v>
      </c>
    </row>
    <row r="4832" spans="1:14" x14ac:dyDescent="0.3">
      <c r="A4832" t="s">
        <v>4941</v>
      </c>
      <c r="B4832" t="s">
        <v>34</v>
      </c>
      <c r="C4832" t="s">
        <v>4903</v>
      </c>
      <c r="D4832" s="1">
        <v>0.65700231481481486</v>
      </c>
      <c r="E4832" s="2">
        <f>CallLog[[#This Row],[Date]]+CallLog[[#This Row],[Time]]</f>
        <v>44282.657002314816</v>
      </c>
      <c r="F4832" s="1" t="str">
        <f>TEXT(CallLog[[#This Row],[Date]],"dddd")</f>
        <v>Saturday</v>
      </c>
      <c r="G4832" s="3">
        <f>HOUR(CallLog[[#This Row],[Time]])</f>
        <v>15</v>
      </c>
      <c r="H4832" t="s">
        <v>24</v>
      </c>
      <c r="I4832" t="s">
        <v>14</v>
      </c>
      <c r="J4832" t="s">
        <v>14</v>
      </c>
      <c r="K4832">
        <v>76</v>
      </c>
      <c r="L4832" t="str">
        <f>IF(AND(CallLog[[#This Row],[Answered (Y/N)]]="Y", CallLog[[#This Row],[Speed of answer in seconds]]&lt;=20),
    "Within",
    "Breach")</f>
        <v>Breach</v>
      </c>
      <c r="M4832" s="1">
        <v>3.1481481481481482E-3</v>
      </c>
      <c r="N4832">
        <v>1</v>
      </c>
    </row>
    <row r="4833" spans="1:14" x14ac:dyDescent="0.3">
      <c r="A4833" t="s">
        <v>4942</v>
      </c>
      <c r="B4833" t="s">
        <v>47</v>
      </c>
      <c r="C4833" t="s">
        <v>4903</v>
      </c>
      <c r="D4833" s="1">
        <v>0.65700231481481486</v>
      </c>
      <c r="E4833" s="2">
        <f>CallLog[[#This Row],[Date]]+CallLog[[#This Row],[Time]]</f>
        <v>44282.657002314816</v>
      </c>
      <c r="F4833" s="1" t="str">
        <f>TEXT(CallLog[[#This Row],[Date]],"dddd")</f>
        <v>Saturday</v>
      </c>
      <c r="G4833" s="3">
        <f>HOUR(CallLog[[#This Row],[Time]])</f>
        <v>15</v>
      </c>
      <c r="H4833" t="s">
        <v>24</v>
      </c>
      <c r="I4833" t="s">
        <v>14</v>
      </c>
      <c r="J4833" t="s">
        <v>14</v>
      </c>
      <c r="K4833">
        <v>69</v>
      </c>
      <c r="L4833" t="str">
        <f>IF(AND(CallLog[[#This Row],[Answered (Y/N)]]="Y", CallLog[[#This Row],[Speed of answer in seconds]]&lt;=20),
    "Within",
    "Breach")</f>
        <v>Breach</v>
      </c>
      <c r="M4833" s="1">
        <v>3.8541666666666668E-3</v>
      </c>
      <c r="N4833">
        <v>5</v>
      </c>
    </row>
    <row r="4834" spans="1:14" x14ac:dyDescent="0.3">
      <c r="A4834" t="s">
        <v>4943</v>
      </c>
      <c r="B4834" t="s">
        <v>20</v>
      </c>
      <c r="C4834" t="s">
        <v>4903</v>
      </c>
      <c r="D4834" s="1">
        <v>0.66099537037037037</v>
      </c>
      <c r="E4834" s="2">
        <f>CallLog[[#This Row],[Date]]+CallLog[[#This Row],[Time]]</f>
        <v>44282.660995370374</v>
      </c>
      <c r="F4834" s="1" t="str">
        <f>TEXT(CallLog[[#This Row],[Date]],"dddd")</f>
        <v>Saturday</v>
      </c>
      <c r="G4834" s="3">
        <f>HOUR(CallLog[[#This Row],[Time]])</f>
        <v>15</v>
      </c>
      <c r="H4834" t="s">
        <v>29</v>
      </c>
      <c r="I4834" t="s">
        <v>14</v>
      </c>
      <c r="J4834" t="s">
        <v>18</v>
      </c>
      <c r="K4834">
        <v>108</v>
      </c>
      <c r="L4834" t="str">
        <f>IF(AND(CallLog[[#This Row],[Answered (Y/N)]]="Y", CallLog[[#This Row],[Speed of answer in seconds]]&lt;=20),
    "Within",
    "Breach")</f>
        <v>Breach</v>
      </c>
      <c r="M4834" s="1">
        <v>4.7916666666666663E-3</v>
      </c>
      <c r="N4834">
        <v>3</v>
      </c>
    </row>
    <row r="4835" spans="1:14" x14ac:dyDescent="0.3">
      <c r="A4835" t="s">
        <v>4944</v>
      </c>
      <c r="B4835" t="s">
        <v>16</v>
      </c>
      <c r="C4835" t="s">
        <v>4903</v>
      </c>
      <c r="D4835" s="1">
        <v>0.66099537037037037</v>
      </c>
      <c r="E4835" s="2">
        <f>CallLog[[#This Row],[Date]]+CallLog[[#This Row],[Time]]</f>
        <v>44282.660995370374</v>
      </c>
      <c r="F4835" s="1" t="str">
        <f>TEXT(CallLog[[#This Row],[Date]],"dddd")</f>
        <v>Saturday</v>
      </c>
      <c r="G4835" s="3">
        <f>HOUR(CallLog[[#This Row],[Time]])</f>
        <v>15</v>
      </c>
      <c r="H4835" t="s">
        <v>17</v>
      </c>
      <c r="I4835" t="s">
        <v>14</v>
      </c>
      <c r="J4835" t="s">
        <v>14</v>
      </c>
      <c r="K4835">
        <v>47</v>
      </c>
      <c r="L4835" t="str">
        <f>IF(AND(CallLog[[#This Row],[Answered (Y/N)]]="Y", CallLog[[#This Row],[Speed of answer in seconds]]&lt;=20),
    "Within",
    "Breach")</f>
        <v>Breach</v>
      </c>
      <c r="M4835" s="1">
        <v>1.8402777777777777E-3</v>
      </c>
      <c r="N4835">
        <v>3</v>
      </c>
    </row>
    <row r="4836" spans="1:14" x14ac:dyDescent="0.3">
      <c r="A4836" t="s">
        <v>4945</v>
      </c>
      <c r="B4836" t="s">
        <v>34</v>
      </c>
      <c r="C4836" t="s">
        <v>4903</v>
      </c>
      <c r="D4836" s="1">
        <v>0.66200231481481486</v>
      </c>
      <c r="E4836" s="2">
        <f>CallLog[[#This Row],[Date]]+CallLog[[#This Row],[Time]]</f>
        <v>44282.662002314813</v>
      </c>
      <c r="F4836" s="1" t="str">
        <f>TEXT(CallLog[[#This Row],[Date]],"dddd")</f>
        <v>Saturday</v>
      </c>
      <c r="G4836" s="3">
        <f>HOUR(CallLog[[#This Row],[Time]])</f>
        <v>15</v>
      </c>
      <c r="H4836" t="s">
        <v>29</v>
      </c>
      <c r="I4836" t="s">
        <v>14</v>
      </c>
      <c r="J4836" t="s">
        <v>18</v>
      </c>
      <c r="K4836">
        <v>51</v>
      </c>
      <c r="L4836" t="str">
        <f>IF(AND(CallLog[[#This Row],[Answered (Y/N)]]="Y", CallLog[[#This Row],[Speed of answer in seconds]]&lt;=20),
    "Within",
    "Breach")</f>
        <v>Breach</v>
      </c>
      <c r="M4836" s="1">
        <v>3.6458333333333334E-3</v>
      </c>
      <c r="N4836">
        <v>3</v>
      </c>
    </row>
    <row r="4837" spans="1:14" x14ac:dyDescent="0.3">
      <c r="A4837" t="s">
        <v>4946</v>
      </c>
      <c r="B4837" t="s">
        <v>47</v>
      </c>
      <c r="C4837" t="s">
        <v>4903</v>
      </c>
      <c r="D4837" s="1">
        <v>0.66200231481481486</v>
      </c>
      <c r="E4837" s="2">
        <f>CallLog[[#This Row],[Date]]+CallLog[[#This Row],[Time]]</f>
        <v>44282.662002314813</v>
      </c>
      <c r="F4837" s="1" t="str">
        <f>TEXT(CallLog[[#This Row],[Date]],"dddd")</f>
        <v>Saturday</v>
      </c>
      <c r="G4837" s="3">
        <f>HOUR(CallLog[[#This Row],[Time]])</f>
        <v>15</v>
      </c>
      <c r="H4837" t="s">
        <v>17</v>
      </c>
      <c r="I4837" t="s">
        <v>14</v>
      </c>
      <c r="J4837" t="s">
        <v>14</v>
      </c>
      <c r="K4837">
        <v>57</v>
      </c>
      <c r="L4837" t="str">
        <f>IF(AND(CallLog[[#This Row],[Answered (Y/N)]]="Y", CallLog[[#This Row],[Speed of answer in seconds]]&lt;=20),
    "Within",
    "Breach")</f>
        <v>Breach</v>
      </c>
      <c r="M4837" s="1">
        <v>2.4189814814814816E-3</v>
      </c>
      <c r="N4837">
        <v>3</v>
      </c>
    </row>
    <row r="4838" spans="1:14" x14ac:dyDescent="0.3">
      <c r="A4838" t="s">
        <v>4947</v>
      </c>
      <c r="B4838" t="s">
        <v>20</v>
      </c>
      <c r="C4838" t="s">
        <v>4903</v>
      </c>
      <c r="D4838" s="1">
        <v>0.67799768518518522</v>
      </c>
      <c r="E4838" s="2">
        <f>CallLog[[#This Row],[Date]]+CallLog[[#This Row],[Time]]</f>
        <v>44282.677997685183</v>
      </c>
      <c r="F4838" s="1" t="str">
        <f>TEXT(CallLog[[#This Row],[Date]],"dddd")</f>
        <v>Saturday</v>
      </c>
      <c r="G4838" s="3">
        <f>HOUR(CallLog[[#This Row],[Time]])</f>
        <v>16</v>
      </c>
      <c r="H4838" t="s">
        <v>17</v>
      </c>
      <c r="I4838" t="s">
        <v>14</v>
      </c>
      <c r="J4838" t="s">
        <v>18</v>
      </c>
      <c r="K4838">
        <v>67</v>
      </c>
      <c r="L4838" t="str">
        <f>IF(AND(CallLog[[#This Row],[Answered (Y/N)]]="Y", CallLog[[#This Row],[Speed of answer in seconds]]&lt;=20),
    "Within",
    "Breach")</f>
        <v>Breach</v>
      </c>
      <c r="M4838" s="1">
        <v>4.7569444444444447E-3</v>
      </c>
      <c r="N4838">
        <v>4</v>
      </c>
    </row>
    <row r="4839" spans="1:14" x14ac:dyDescent="0.3">
      <c r="A4839" t="s">
        <v>4948</v>
      </c>
      <c r="B4839" t="s">
        <v>11</v>
      </c>
      <c r="C4839" t="s">
        <v>4903</v>
      </c>
      <c r="D4839" s="1">
        <v>0.67799768518518522</v>
      </c>
      <c r="E4839" s="2">
        <f>CallLog[[#This Row],[Date]]+CallLog[[#This Row],[Time]]</f>
        <v>44282.677997685183</v>
      </c>
      <c r="F4839" s="1" t="str">
        <f>TEXT(CallLog[[#This Row],[Date]],"dddd")</f>
        <v>Saturday</v>
      </c>
      <c r="G4839" s="3">
        <f>HOUR(CallLog[[#This Row],[Time]])</f>
        <v>16</v>
      </c>
      <c r="H4839" t="s">
        <v>32</v>
      </c>
      <c r="I4839" t="s">
        <v>14</v>
      </c>
      <c r="J4839" t="s">
        <v>18</v>
      </c>
      <c r="K4839">
        <v>22</v>
      </c>
      <c r="L4839" t="str">
        <f>IF(AND(CallLog[[#This Row],[Answered (Y/N)]]="Y", CallLog[[#This Row],[Speed of answer in seconds]]&lt;=20),
    "Within",
    "Breach")</f>
        <v>Breach</v>
      </c>
      <c r="M4839" s="1">
        <v>4.2592592592592595E-3</v>
      </c>
      <c r="N4839">
        <v>4</v>
      </c>
    </row>
    <row r="4840" spans="1:14" x14ac:dyDescent="0.3">
      <c r="A4840" t="s">
        <v>4949</v>
      </c>
      <c r="B4840" t="s">
        <v>38</v>
      </c>
      <c r="C4840" t="s">
        <v>4903</v>
      </c>
      <c r="D4840" s="1">
        <v>0.67799768518518522</v>
      </c>
      <c r="E4840" s="2">
        <f>CallLog[[#This Row],[Date]]+CallLog[[#This Row],[Time]]</f>
        <v>44282.677997685183</v>
      </c>
      <c r="F4840" s="1" t="str">
        <f>TEXT(CallLog[[#This Row],[Date]],"dddd")</f>
        <v>Saturday</v>
      </c>
      <c r="G4840" s="3">
        <f>HOUR(CallLog[[#This Row],[Time]])</f>
        <v>16</v>
      </c>
      <c r="H4840" t="s">
        <v>24</v>
      </c>
      <c r="I4840" t="s">
        <v>14</v>
      </c>
      <c r="J4840" t="s">
        <v>14</v>
      </c>
      <c r="K4840">
        <v>23</v>
      </c>
      <c r="L4840" t="str">
        <f>IF(AND(CallLog[[#This Row],[Answered (Y/N)]]="Y", CallLog[[#This Row],[Speed of answer in seconds]]&lt;=20),
    "Within",
    "Breach")</f>
        <v>Breach</v>
      </c>
      <c r="M4840" s="1">
        <v>1.1921296296296296E-3</v>
      </c>
      <c r="N4840">
        <v>2</v>
      </c>
    </row>
    <row r="4841" spans="1:14" x14ac:dyDescent="0.3">
      <c r="A4841" t="s">
        <v>4950</v>
      </c>
      <c r="B4841" t="s">
        <v>47</v>
      </c>
      <c r="C4841" t="s">
        <v>4903</v>
      </c>
      <c r="D4841" s="1">
        <v>0.67799768518518522</v>
      </c>
      <c r="E4841" s="2">
        <f>CallLog[[#This Row],[Date]]+CallLog[[#This Row],[Time]]</f>
        <v>44282.677997685183</v>
      </c>
      <c r="F4841" s="1" t="str">
        <f>TEXT(CallLog[[#This Row],[Date]],"dddd")</f>
        <v>Saturday</v>
      </c>
      <c r="G4841" s="3">
        <f>HOUR(CallLog[[#This Row],[Time]])</f>
        <v>16</v>
      </c>
      <c r="H4841" t="s">
        <v>29</v>
      </c>
      <c r="I4841" t="s">
        <v>14</v>
      </c>
      <c r="J4841" t="s">
        <v>14</v>
      </c>
      <c r="K4841">
        <v>88</v>
      </c>
      <c r="L4841" t="str">
        <f>IF(AND(CallLog[[#This Row],[Answered (Y/N)]]="Y", CallLog[[#This Row],[Speed of answer in seconds]]&lt;=20),
    "Within",
    "Breach")</f>
        <v>Breach</v>
      </c>
      <c r="M4841" s="1">
        <v>1.2847222222222223E-3</v>
      </c>
      <c r="N4841">
        <v>4</v>
      </c>
    </row>
    <row r="4842" spans="1:14" x14ac:dyDescent="0.3">
      <c r="A4842" t="s">
        <v>4951</v>
      </c>
      <c r="B4842" t="s">
        <v>38</v>
      </c>
      <c r="C4842" t="s">
        <v>4903</v>
      </c>
      <c r="D4842" s="1">
        <v>0.68500000000000005</v>
      </c>
      <c r="E4842" s="2">
        <f>CallLog[[#This Row],[Date]]+CallLog[[#This Row],[Time]]</f>
        <v>44282.684999999998</v>
      </c>
      <c r="F4842" s="1" t="str">
        <f>TEXT(CallLog[[#This Row],[Date]],"dddd")</f>
        <v>Saturday</v>
      </c>
      <c r="G4842" s="3">
        <f>HOUR(CallLog[[#This Row],[Time]])</f>
        <v>16</v>
      </c>
      <c r="H4842" t="s">
        <v>17</v>
      </c>
      <c r="I4842" t="s">
        <v>14</v>
      </c>
      <c r="J4842" t="s">
        <v>14</v>
      </c>
      <c r="K4842">
        <v>44</v>
      </c>
      <c r="L4842" t="str">
        <f>IF(AND(CallLog[[#This Row],[Answered (Y/N)]]="Y", CallLog[[#This Row],[Speed of answer in seconds]]&lt;=20),
    "Within",
    "Breach")</f>
        <v>Breach</v>
      </c>
      <c r="M4842" s="1">
        <v>4.2708333333333331E-3</v>
      </c>
      <c r="N4842">
        <v>3</v>
      </c>
    </row>
    <row r="4843" spans="1:14" x14ac:dyDescent="0.3">
      <c r="A4843" t="s">
        <v>4952</v>
      </c>
      <c r="B4843" t="s">
        <v>34</v>
      </c>
      <c r="C4843" t="s">
        <v>4903</v>
      </c>
      <c r="D4843" s="1">
        <v>0.68500000000000005</v>
      </c>
      <c r="E4843" s="2">
        <f>CallLog[[#This Row],[Date]]+CallLog[[#This Row],[Time]]</f>
        <v>44282.684999999998</v>
      </c>
      <c r="F4843" s="1" t="str">
        <f>TEXT(CallLog[[#This Row],[Date]],"dddd")</f>
        <v>Saturday</v>
      </c>
      <c r="G4843" s="3">
        <f>HOUR(CallLog[[#This Row],[Time]])</f>
        <v>16</v>
      </c>
      <c r="H4843" t="s">
        <v>32</v>
      </c>
      <c r="I4843" t="s">
        <v>14</v>
      </c>
      <c r="J4843" t="s">
        <v>14</v>
      </c>
      <c r="K4843">
        <v>111</v>
      </c>
      <c r="L4843" t="str">
        <f>IF(AND(CallLog[[#This Row],[Answered (Y/N)]]="Y", CallLog[[#This Row],[Speed of answer in seconds]]&lt;=20),
    "Within",
    "Breach")</f>
        <v>Breach</v>
      </c>
      <c r="M4843" s="1">
        <v>2.8935185185185184E-3</v>
      </c>
      <c r="N4843">
        <v>4</v>
      </c>
    </row>
    <row r="4844" spans="1:14" x14ac:dyDescent="0.3">
      <c r="A4844" t="s">
        <v>4953</v>
      </c>
      <c r="B4844" t="s">
        <v>31</v>
      </c>
      <c r="C4844" t="s">
        <v>4903</v>
      </c>
      <c r="D4844" s="1">
        <v>0.70200231481481479</v>
      </c>
      <c r="E4844" s="2">
        <f>CallLog[[#This Row],[Date]]+CallLog[[#This Row],[Time]]</f>
        <v>44282.702002314814</v>
      </c>
      <c r="F4844" s="1" t="str">
        <f>TEXT(CallLog[[#This Row],[Date]],"dddd")</f>
        <v>Saturday</v>
      </c>
      <c r="G4844" s="3">
        <f>HOUR(CallLog[[#This Row],[Time]])</f>
        <v>16</v>
      </c>
      <c r="H4844" t="s">
        <v>29</v>
      </c>
      <c r="I4844" t="s">
        <v>18</v>
      </c>
      <c r="J4844" t="s">
        <v>18</v>
      </c>
      <c r="L4844" t="str">
        <f>IF(AND(CallLog[[#This Row],[Answered (Y/N)]]="Y", CallLog[[#This Row],[Speed of answer in seconds]]&lt;=20),
    "Within",
    "Breach")</f>
        <v>Breach</v>
      </c>
    </row>
    <row r="4845" spans="1:14" x14ac:dyDescent="0.3">
      <c r="A4845" t="s">
        <v>4954</v>
      </c>
      <c r="B4845" t="s">
        <v>11</v>
      </c>
      <c r="C4845" t="s">
        <v>4903</v>
      </c>
      <c r="D4845" s="1">
        <v>0.70200231481481479</v>
      </c>
      <c r="E4845" s="2">
        <f>CallLog[[#This Row],[Date]]+CallLog[[#This Row],[Time]]</f>
        <v>44282.702002314814</v>
      </c>
      <c r="F4845" s="1" t="str">
        <f>TEXT(CallLog[[#This Row],[Date]],"dddd")</f>
        <v>Saturday</v>
      </c>
      <c r="G4845" s="3">
        <f>HOUR(CallLog[[#This Row],[Time]])</f>
        <v>16</v>
      </c>
      <c r="H4845" t="s">
        <v>29</v>
      </c>
      <c r="I4845" t="s">
        <v>14</v>
      </c>
      <c r="J4845" t="s">
        <v>14</v>
      </c>
      <c r="K4845">
        <v>61</v>
      </c>
      <c r="L4845" t="str">
        <f>IF(AND(CallLog[[#This Row],[Answered (Y/N)]]="Y", CallLog[[#This Row],[Speed of answer in seconds]]&lt;=20),
    "Within",
    "Breach")</f>
        <v>Breach</v>
      </c>
      <c r="M4845" s="1">
        <v>4.3287037037037035E-3</v>
      </c>
      <c r="N4845">
        <v>4</v>
      </c>
    </row>
    <row r="4846" spans="1:14" x14ac:dyDescent="0.3">
      <c r="A4846" t="s">
        <v>4955</v>
      </c>
      <c r="B4846" t="s">
        <v>38</v>
      </c>
      <c r="C4846" t="s">
        <v>4903</v>
      </c>
      <c r="D4846" s="1">
        <v>0.70700231481481479</v>
      </c>
      <c r="E4846" s="2">
        <f>CallLog[[#This Row],[Date]]+CallLog[[#This Row],[Time]]</f>
        <v>44282.707002314812</v>
      </c>
      <c r="F4846" s="1" t="str">
        <f>TEXT(CallLog[[#This Row],[Date]],"dddd")</f>
        <v>Saturday</v>
      </c>
      <c r="G4846" s="3">
        <f>HOUR(CallLog[[#This Row],[Time]])</f>
        <v>16</v>
      </c>
      <c r="H4846" t="s">
        <v>24</v>
      </c>
      <c r="I4846" t="s">
        <v>14</v>
      </c>
      <c r="J4846" t="s">
        <v>14</v>
      </c>
      <c r="K4846">
        <v>108</v>
      </c>
      <c r="L4846" t="str">
        <f>IF(AND(CallLog[[#This Row],[Answered (Y/N)]]="Y", CallLog[[#This Row],[Speed of answer in seconds]]&lt;=20),
    "Within",
    "Breach")</f>
        <v>Breach</v>
      </c>
      <c r="M4846" s="1">
        <v>2.4305555555555556E-3</v>
      </c>
      <c r="N4846">
        <v>4</v>
      </c>
    </row>
    <row r="4847" spans="1:14" x14ac:dyDescent="0.3">
      <c r="A4847" t="s">
        <v>4956</v>
      </c>
      <c r="B4847" t="s">
        <v>20</v>
      </c>
      <c r="C4847" t="s">
        <v>4903</v>
      </c>
      <c r="D4847" s="1">
        <v>0.70700231481481479</v>
      </c>
      <c r="E4847" s="2">
        <f>CallLog[[#This Row],[Date]]+CallLog[[#This Row],[Time]]</f>
        <v>44282.707002314812</v>
      </c>
      <c r="F4847" s="1" t="str">
        <f>TEXT(CallLog[[#This Row],[Date]],"dddd")</f>
        <v>Saturday</v>
      </c>
      <c r="G4847" s="3">
        <f>HOUR(CallLog[[#This Row],[Time]])</f>
        <v>16</v>
      </c>
      <c r="H4847" t="s">
        <v>13</v>
      </c>
      <c r="I4847" t="s">
        <v>18</v>
      </c>
      <c r="J4847" t="s">
        <v>18</v>
      </c>
      <c r="L4847" t="str">
        <f>IF(AND(CallLog[[#This Row],[Answered (Y/N)]]="Y", CallLog[[#This Row],[Speed of answer in seconds]]&lt;=20),
    "Within",
    "Breach")</f>
        <v>Breach</v>
      </c>
    </row>
    <row r="4848" spans="1:14" x14ac:dyDescent="0.3">
      <c r="A4848" t="s">
        <v>4957</v>
      </c>
      <c r="B4848" t="s">
        <v>20</v>
      </c>
      <c r="C4848" t="s">
        <v>4903</v>
      </c>
      <c r="D4848" s="1">
        <v>0.71900462962962963</v>
      </c>
      <c r="E4848" s="2">
        <f>CallLog[[#This Row],[Date]]+CallLog[[#This Row],[Time]]</f>
        <v>44282.719004629631</v>
      </c>
      <c r="F4848" s="1" t="str">
        <f>TEXT(CallLog[[#This Row],[Date]],"dddd")</f>
        <v>Saturday</v>
      </c>
      <c r="G4848" s="3">
        <f>HOUR(CallLog[[#This Row],[Time]])</f>
        <v>17</v>
      </c>
      <c r="H4848" t="s">
        <v>32</v>
      </c>
      <c r="I4848" t="s">
        <v>14</v>
      </c>
      <c r="J4848" t="s">
        <v>14</v>
      </c>
      <c r="K4848">
        <v>57</v>
      </c>
      <c r="L4848" t="str">
        <f>IF(AND(CallLog[[#This Row],[Answered (Y/N)]]="Y", CallLog[[#This Row],[Speed of answer in seconds]]&lt;=20),
    "Within",
    "Breach")</f>
        <v>Breach</v>
      </c>
      <c r="M4848" s="1">
        <v>3.0092592592592593E-3</v>
      </c>
      <c r="N4848">
        <v>5</v>
      </c>
    </row>
    <row r="4849" spans="1:14" x14ac:dyDescent="0.3">
      <c r="A4849" t="s">
        <v>4958</v>
      </c>
      <c r="B4849" t="s">
        <v>16</v>
      </c>
      <c r="C4849" t="s">
        <v>4903</v>
      </c>
      <c r="D4849" s="1">
        <v>0.71900462962962963</v>
      </c>
      <c r="E4849" s="2">
        <f>CallLog[[#This Row],[Date]]+CallLog[[#This Row],[Time]]</f>
        <v>44282.719004629631</v>
      </c>
      <c r="F4849" s="1" t="str">
        <f>TEXT(CallLog[[#This Row],[Date]],"dddd")</f>
        <v>Saturday</v>
      </c>
      <c r="G4849" s="3">
        <f>HOUR(CallLog[[#This Row],[Time]])</f>
        <v>17</v>
      </c>
      <c r="H4849" t="s">
        <v>17</v>
      </c>
      <c r="I4849" t="s">
        <v>14</v>
      </c>
      <c r="J4849" t="s">
        <v>14</v>
      </c>
      <c r="K4849">
        <v>55</v>
      </c>
      <c r="L4849" t="str">
        <f>IF(AND(CallLog[[#This Row],[Answered (Y/N)]]="Y", CallLog[[#This Row],[Speed of answer in seconds]]&lt;=20),
    "Within",
    "Breach")</f>
        <v>Breach</v>
      </c>
      <c r="M4849" s="1">
        <v>2.9398148148148148E-3</v>
      </c>
      <c r="N4849">
        <v>4</v>
      </c>
    </row>
    <row r="4850" spans="1:14" x14ac:dyDescent="0.3">
      <c r="A4850" t="s">
        <v>4959</v>
      </c>
      <c r="B4850" t="s">
        <v>38</v>
      </c>
      <c r="C4850" t="s">
        <v>4903</v>
      </c>
      <c r="D4850" s="1">
        <v>0.73299768518518515</v>
      </c>
      <c r="E4850" s="2">
        <f>CallLog[[#This Row],[Date]]+CallLog[[#This Row],[Time]]</f>
        <v>44282.732997685183</v>
      </c>
      <c r="F4850" s="1" t="str">
        <f>TEXT(CallLog[[#This Row],[Date]],"dddd")</f>
        <v>Saturday</v>
      </c>
      <c r="G4850" s="3">
        <f>HOUR(CallLog[[#This Row],[Time]])</f>
        <v>17</v>
      </c>
      <c r="H4850" t="s">
        <v>17</v>
      </c>
      <c r="I4850" t="s">
        <v>14</v>
      </c>
      <c r="J4850" t="s">
        <v>18</v>
      </c>
      <c r="K4850">
        <v>35</v>
      </c>
      <c r="L4850" t="str">
        <f>IF(AND(CallLog[[#This Row],[Answered (Y/N)]]="Y", CallLog[[#This Row],[Speed of answer in seconds]]&lt;=20),
    "Within",
    "Breach")</f>
        <v>Breach</v>
      </c>
      <c r="M4850" s="1">
        <v>2.4305555555555556E-3</v>
      </c>
      <c r="N4850">
        <v>4</v>
      </c>
    </row>
    <row r="4851" spans="1:14" x14ac:dyDescent="0.3">
      <c r="A4851" t="s">
        <v>4960</v>
      </c>
      <c r="B4851" t="s">
        <v>31</v>
      </c>
      <c r="C4851" t="s">
        <v>4903</v>
      </c>
      <c r="D4851" s="1">
        <v>0.73299768518518515</v>
      </c>
      <c r="E4851" s="2">
        <f>CallLog[[#This Row],[Date]]+CallLog[[#This Row],[Time]]</f>
        <v>44282.732997685183</v>
      </c>
      <c r="F4851" s="1" t="str">
        <f>TEXT(CallLog[[#This Row],[Date]],"dddd")</f>
        <v>Saturday</v>
      </c>
      <c r="G4851" s="3">
        <f>HOUR(CallLog[[#This Row],[Time]])</f>
        <v>17</v>
      </c>
      <c r="H4851" t="s">
        <v>13</v>
      </c>
      <c r="I4851" t="s">
        <v>14</v>
      </c>
      <c r="J4851" t="s">
        <v>14</v>
      </c>
      <c r="K4851">
        <v>28</v>
      </c>
      <c r="L4851" t="str">
        <f>IF(AND(CallLog[[#This Row],[Answered (Y/N)]]="Y", CallLog[[#This Row],[Speed of answer in seconds]]&lt;=20),
    "Within",
    "Breach")</f>
        <v>Breach</v>
      </c>
      <c r="M4851" s="1">
        <v>1.8287037037037037E-3</v>
      </c>
      <c r="N4851">
        <v>4</v>
      </c>
    </row>
    <row r="4852" spans="1:14" x14ac:dyDescent="0.3">
      <c r="A4852" t="s">
        <v>4961</v>
      </c>
      <c r="B4852" t="s">
        <v>47</v>
      </c>
      <c r="C4852" t="s">
        <v>4962</v>
      </c>
      <c r="D4852" s="1">
        <v>0.38400462962962961</v>
      </c>
      <c r="E4852" s="2">
        <f>CallLog[[#This Row],[Date]]+CallLog[[#This Row],[Time]]</f>
        <v>44283.384004629632</v>
      </c>
      <c r="F4852" s="1" t="str">
        <f>TEXT(CallLog[[#This Row],[Date]],"dddd")</f>
        <v>Sunday</v>
      </c>
      <c r="G4852" s="3">
        <f>HOUR(CallLog[[#This Row],[Time]])</f>
        <v>9</v>
      </c>
      <c r="H4852" t="s">
        <v>32</v>
      </c>
      <c r="I4852" t="s">
        <v>14</v>
      </c>
      <c r="J4852" t="s">
        <v>14</v>
      </c>
      <c r="K4852">
        <v>13</v>
      </c>
      <c r="L4852" t="str">
        <f>IF(AND(CallLog[[#This Row],[Answered (Y/N)]]="Y", CallLog[[#This Row],[Speed of answer in seconds]]&lt;=20),
    "Within",
    "Breach")</f>
        <v>Within</v>
      </c>
      <c r="M4852" s="1">
        <v>1.4467592592592592E-3</v>
      </c>
      <c r="N4852">
        <v>3</v>
      </c>
    </row>
    <row r="4853" spans="1:14" x14ac:dyDescent="0.3">
      <c r="A4853" t="s">
        <v>4963</v>
      </c>
      <c r="B4853" t="s">
        <v>31</v>
      </c>
      <c r="C4853" t="s">
        <v>4962</v>
      </c>
      <c r="D4853" s="1">
        <v>0.38400462962962961</v>
      </c>
      <c r="E4853" s="2">
        <f>CallLog[[#This Row],[Date]]+CallLog[[#This Row],[Time]]</f>
        <v>44283.384004629632</v>
      </c>
      <c r="F4853" s="1" t="str">
        <f>TEXT(CallLog[[#This Row],[Date]],"dddd")</f>
        <v>Sunday</v>
      </c>
      <c r="G4853" s="3">
        <f>HOUR(CallLog[[#This Row],[Time]])</f>
        <v>9</v>
      </c>
      <c r="H4853" t="s">
        <v>29</v>
      </c>
      <c r="I4853" t="s">
        <v>14</v>
      </c>
      <c r="J4853" t="s">
        <v>14</v>
      </c>
      <c r="K4853">
        <v>37</v>
      </c>
      <c r="L4853" t="str">
        <f>IF(AND(CallLog[[#This Row],[Answered (Y/N)]]="Y", CallLog[[#This Row],[Speed of answer in seconds]]&lt;=20),
    "Within",
    "Breach")</f>
        <v>Breach</v>
      </c>
      <c r="M4853" s="1">
        <v>7.407407407407407E-4</v>
      </c>
      <c r="N4853">
        <v>2</v>
      </c>
    </row>
    <row r="4854" spans="1:14" x14ac:dyDescent="0.3">
      <c r="A4854" t="s">
        <v>4964</v>
      </c>
      <c r="B4854" t="s">
        <v>47</v>
      </c>
      <c r="C4854" t="s">
        <v>4962</v>
      </c>
      <c r="D4854" s="1">
        <v>0.4020023148148148</v>
      </c>
      <c r="E4854" s="2">
        <f>CallLog[[#This Row],[Date]]+CallLog[[#This Row],[Time]]</f>
        <v>44283.402002314811</v>
      </c>
      <c r="F4854" s="1" t="str">
        <f>TEXT(CallLog[[#This Row],[Date]],"dddd")</f>
        <v>Sunday</v>
      </c>
      <c r="G4854" s="3">
        <f>HOUR(CallLog[[#This Row],[Time]])</f>
        <v>9</v>
      </c>
      <c r="H4854" t="s">
        <v>17</v>
      </c>
      <c r="I4854" t="s">
        <v>14</v>
      </c>
      <c r="J4854" t="s">
        <v>14</v>
      </c>
      <c r="K4854">
        <v>99</v>
      </c>
      <c r="L4854" t="str">
        <f>IF(AND(CallLog[[#This Row],[Answered (Y/N)]]="Y", CallLog[[#This Row],[Speed of answer in seconds]]&lt;=20),
    "Within",
    "Breach")</f>
        <v>Breach</v>
      </c>
      <c r="M4854" s="1">
        <v>3.1944444444444446E-3</v>
      </c>
      <c r="N4854">
        <v>3</v>
      </c>
    </row>
    <row r="4855" spans="1:14" x14ac:dyDescent="0.3">
      <c r="A4855" t="s">
        <v>4965</v>
      </c>
      <c r="B4855" t="s">
        <v>34</v>
      </c>
      <c r="C4855" t="s">
        <v>4962</v>
      </c>
      <c r="D4855" s="1">
        <v>0.4020023148148148</v>
      </c>
      <c r="E4855" s="2">
        <f>CallLog[[#This Row],[Date]]+CallLog[[#This Row],[Time]]</f>
        <v>44283.402002314811</v>
      </c>
      <c r="F4855" s="1" t="str">
        <f>TEXT(CallLog[[#This Row],[Date]],"dddd")</f>
        <v>Sunday</v>
      </c>
      <c r="G4855" s="3">
        <f>HOUR(CallLog[[#This Row],[Time]])</f>
        <v>9</v>
      </c>
      <c r="H4855" t="s">
        <v>17</v>
      </c>
      <c r="I4855" t="s">
        <v>14</v>
      </c>
      <c r="J4855" t="s">
        <v>18</v>
      </c>
      <c r="K4855">
        <v>89</v>
      </c>
      <c r="L4855" t="str">
        <f>IF(AND(CallLog[[#This Row],[Answered (Y/N)]]="Y", CallLog[[#This Row],[Speed of answer in seconds]]&lt;=20),
    "Within",
    "Breach")</f>
        <v>Breach</v>
      </c>
      <c r="M4855" s="1">
        <v>2.8124999999999999E-3</v>
      </c>
      <c r="N4855">
        <v>1</v>
      </c>
    </row>
    <row r="4856" spans="1:14" x14ac:dyDescent="0.3">
      <c r="A4856" t="s">
        <v>4966</v>
      </c>
      <c r="B4856" t="s">
        <v>47</v>
      </c>
      <c r="C4856" t="s">
        <v>4962</v>
      </c>
      <c r="D4856" s="1">
        <v>0.435</v>
      </c>
      <c r="E4856" s="2">
        <f>CallLog[[#This Row],[Date]]+CallLog[[#This Row],[Time]]</f>
        <v>44283.434999999998</v>
      </c>
      <c r="F4856" s="1" t="str">
        <f>TEXT(CallLog[[#This Row],[Date]],"dddd")</f>
        <v>Sunday</v>
      </c>
      <c r="G4856" s="3">
        <f>HOUR(CallLog[[#This Row],[Time]])</f>
        <v>10</v>
      </c>
      <c r="H4856" t="s">
        <v>29</v>
      </c>
      <c r="I4856" t="s">
        <v>14</v>
      </c>
      <c r="J4856" t="s">
        <v>18</v>
      </c>
      <c r="K4856">
        <v>22</v>
      </c>
      <c r="L4856" t="str">
        <f>IF(AND(CallLog[[#This Row],[Answered (Y/N)]]="Y", CallLog[[#This Row],[Speed of answer in seconds]]&lt;=20),
    "Within",
    "Breach")</f>
        <v>Breach</v>
      </c>
      <c r="M4856" s="1">
        <v>2.0601851851851853E-3</v>
      </c>
      <c r="N4856">
        <v>5</v>
      </c>
    </row>
    <row r="4857" spans="1:14" x14ac:dyDescent="0.3">
      <c r="A4857" t="s">
        <v>4967</v>
      </c>
      <c r="B4857" t="s">
        <v>38</v>
      </c>
      <c r="C4857" t="s">
        <v>4962</v>
      </c>
      <c r="D4857" s="1">
        <v>0.435</v>
      </c>
      <c r="E4857" s="2">
        <f>CallLog[[#This Row],[Date]]+CallLog[[#This Row],[Time]]</f>
        <v>44283.434999999998</v>
      </c>
      <c r="F4857" s="1" t="str">
        <f>TEXT(CallLog[[#This Row],[Date]],"dddd")</f>
        <v>Sunday</v>
      </c>
      <c r="G4857" s="3">
        <f>HOUR(CallLog[[#This Row],[Time]])</f>
        <v>10</v>
      </c>
      <c r="H4857" t="s">
        <v>17</v>
      </c>
      <c r="I4857" t="s">
        <v>18</v>
      </c>
      <c r="J4857" t="s">
        <v>18</v>
      </c>
      <c r="L4857" t="str">
        <f>IF(AND(CallLog[[#This Row],[Answered (Y/N)]]="Y", CallLog[[#This Row],[Speed of answer in seconds]]&lt;=20),
    "Within",
    "Breach")</f>
        <v>Breach</v>
      </c>
    </row>
    <row r="4858" spans="1:14" x14ac:dyDescent="0.3">
      <c r="A4858" t="s">
        <v>4968</v>
      </c>
      <c r="B4858" t="s">
        <v>11</v>
      </c>
      <c r="C4858" t="s">
        <v>4962</v>
      </c>
      <c r="D4858" s="1">
        <v>0.46099537037037036</v>
      </c>
      <c r="E4858" s="2">
        <f>CallLog[[#This Row],[Date]]+CallLog[[#This Row],[Time]]</f>
        <v>44283.460995370369</v>
      </c>
      <c r="F4858" s="1" t="str">
        <f>TEXT(CallLog[[#This Row],[Date]],"dddd")</f>
        <v>Sunday</v>
      </c>
      <c r="G4858" s="3">
        <f>HOUR(CallLog[[#This Row],[Time]])</f>
        <v>11</v>
      </c>
      <c r="H4858" t="s">
        <v>24</v>
      </c>
      <c r="I4858" t="s">
        <v>14</v>
      </c>
      <c r="J4858" t="s">
        <v>14</v>
      </c>
      <c r="K4858">
        <v>32</v>
      </c>
      <c r="L4858" t="str">
        <f>IF(AND(CallLog[[#This Row],[Answered (Y/N)]]="Y", CallLog[[#This Row],[Speed of answer in seconds]]&lt;=20),
    "Within",
    "Breach")</f>
        <v>Breach</v>
      </c>
      <c r="M4858" s="1">
        <v>5.6712962962962967E-4</v>
      </c>
      <c r="N4858">
        <v>4</v>
      </c>
    </row>
    <row r="4859" spans="1:14" x14ac:dyDescent="0.3">
      <c r="A4859" t="s">
        <v>4969</v>
      </c>
      <c r="B4859" t="s">
        <v>16</v>
      </c>
      <c r="C4859" t="s">
        <v>4962</v>
      </c>
      <c r="D4859" s="1">
        <v>0.46099537037037036</v>
      </c>
      <c r="E4859" s="2">
        <f>CallLog[[#This Row],[Date]]+CallLog[[#This Row],[Time]]</f>
        <v>44283.460995370369</v>
      </c>
      <c r="F4859" s="1" t="str">
        <f>TEXT(CallLog[[#This Row],[Date]],"dddd")</f>
        <v>Sunday</v>
      </c>
      <c r="G4859" s="3">
        <f>HOUR(CallLog[[#This Row],[Time]])</f>
        <v>11</v>
      </c>
      <c r="H4859" t="s">
        <v>24</v>
      </c>
      <c r="I4859" t="s">
        <v>18</v>
      </c>
      <c r="J4859" t="s">
        <v>18</v>
      </c>
      <c r="L4859" t="str">
        <f>IF(AND(CallLog[[#This Row],[Answered (Y/N)]]="Y", CallLog[[#This Row],[Speed of answer in seconds]]&lt;=20),
    "Within",
    "Breach")</f>
        <v>Breach</v>
      </c>
    </row>
    <row r="4860" spans="1:14" x14ac:dyDescent="0.3">
      <c r="A4860" t="s">
        <v>4970</v>
      </c>
      <c r="B4860" t="s">
        <v>22</v>
      </c>
      <c r="C4860" t="s">
        <v>4962</v>
      </c>
      <c r="D4860" s="1">
        <v>0.47799768518518521</v>
      </c>
      <c r="E4860" s="2">
        <f>CallLog[[#This Row],[Date]]+CallLog[[#This Row],[Time]]</f>
        <v>44283.477997685186</v>
      </c>
      <c r="F4860" s="1" t="str">
        <f>TEXT(CallLog[[#This Row],[Date]],"dddd")</f>
        <v>Sunday</v>
      </c>
      <c r="G4860" s="3">
        <f>HOUR(CallLog[[#This Row],[Time]])</f>
        <v>11</v>
      </c>
      <c r="H4860" t="s">
        <v>24</v>
      </c>
      <c r="I4860" t="s">
        <v>14</v>
      </c>
      <c r="J4860" t="s">
        <v>14</v>
      </c>
      <c r="K4860">
        <v>88</v>
      </c>
      <c r="L4860" t="str">
        <f>IF(AND(CallLog[[#This Row],[Answered (Y/N)]]="Y", CallLog[[#This Row],[Speed of answer in seconds]]&lt;=20),
    "Within",
    "Breach")</f>
        <v>Breach</v>
      </c>
      <c r="M4860" s="1">
        <v>9.9537037037037042E-4</v>
      </c>
      <c r="N4860">
        <v>3</v>
      </c>
    </row>
    <row r="4861" spans="1:14" x14ac:dyDescent="0.3">
      <c r="A4861" t="s">
        <v>4971</v>
      </c>
      <c r="B4861" t="s">
        <v>20</v>
      </c>
      <c r="C4861" t="s">
        <v>4962</v>
      </c>
      <c r="D4861" s="1">
        <v>0.47799768518518521</v>
      </c>
      <c r="E4861" s="2">
        <f>CallLog[[#This Row],[Date]]+CallLog[[#This Row],[Time]]</f>
        <v>44283.477997685186</v>
      </c>
      <c r="F4861" s="1" t="str">
        <f>TEXT(CallLog[[#This Row],[Date]],"dddd")</f>
        <v>Sunday</v>
      </c>
      <c r="G4861" s="3">
        <f>HOUR(CallLog[[#This Row],[Time]])</f>
        <v>11</v>
      </c>
      <c r="H4861" t="s">
        <v>17</v>
      </c>
      <c r="I4861" t="s">
        <v>18</v>
      </c>
      <c r="J4861" t="s">
        <v>18</v>
      </c>
      <c r="L4861" t="str">
        <f>IF(AND(CallLog[[#This Row],[Answered (Y/N)]]="Y", CallLog[[#This Row],[Speed of answer in seconds]]&lt;=20),
    "Within",
    "Breach")</f>
        <v>Breach</v>
      </c>
    </row>
    <row r="4862" spans="1:14" x14ac:dyDescent="0.3">
      <c r="A4862" t="s">
        <v>4972</v>
      </c>
      <c r="B4862" t="s">
        <v>11</v>
      </c>
      <c r="C4862" t="s">
        <v>4962</v>
      </c>
      <c r="D4862" s="1">
        <v>0.47900462962962964</v>
      </c>
      <c r="E4862" s="2">
        <f>CallLog[[#This Row],[Date]]+CallLog[[#This Row],[Time]]</f>
        <v>44283.479004629633</v>
      </c>
      <c r="F4862" s="1" t="str">
        <f>TEXT(CallLog[[#This Row],[Date]],"dddd")</f>
        <v>Sunday</v>
      </c>
      <c r="G4862" s="3">
        <f>HOUR(CallLog[[#This Row],[Time]])</f>
        <v>11</v>
      </c>
      <c r="H4862" t="s">
        <v>13</v>
      </c>
      <c r="I4862" t="s">
        <v>14</v>
      </c>
      <c r="J4862" t="s">
        <v>14</v>
      </c>
      <c r="K4862">
        <v>29</v>
      </c>
      <c r="L4862" t="str">
        <f>IF(AND(CallLog[[#This Row],[Answered (Y/N)]]="Y", CallLog[[#This Row],[Speed of answer in seconds]]&lt;=20),
    "Within",
    "Breach")</f>
        <v>Breach</v>
      </c>
      <c r="M4862" s="1">
        <v>2.1180555555555558E-3</v>
      </c>
      <c r="N4862">
        <v>3</v>
      </c>
    </row>
    <row r="4863" spans="1:14" x14ac:dyDescent="0.3">
      <c r="A4863" t="s">
        <v>4973</v>
      </c>
      <c r="B4863" t="s">
        <v>34</v>
      </c>
      <c r="C4863" t="s">
        <v>4962</v>
      </c>
      <c r="D4863" s="1">
        <v>0.47900462962962964</v>
      </c>
      <c r="E4863" s="2">
        <f>CallLog[[#This Row],[Date]]+CallLog[[#This Row],[Time]]</f>
        <v>44283.479004629633</v>
      </c>
      <c r="F4863" s="1" t="str">
        <f>TEXT(CallLog[[#This Row],[Date]],"dddd")</f>
        <v>Sunday</v>
      </c>
      <c r="G4863" s="3">
        <f>HOUR(CallLog[[#This Row],[Time]])</f>
        <v>11</v>
      </c>
      <c r="H4863" t="s">
        <v>29</v>
      </c>
      <c r="I4863" t="s">
        <v>14</v>
      </c>
      <c r="J4863" t="s">
        <v>14</v>
      </c>
      <c r="K4863">
        <v>32</v>
      </c>
      <c r="L4863" t="str">
        <f>IF(AND(CallLog[[#This Row],[Answered (Y/N)]]="Y", CallLog[[#This Row],[Speed of answer in seconds]]&lt;=20),
    "Within",
    "Breach")</f>
        <v>Breach</v>
      </c>
      <c r="M4863" s="1">
        <v>1.4120370370370369E-3</v>
      </c>
      <c r="N4863">
        <v>3</v>
      </c>
    </row>
    <row r="4864" spans="1:14" x14ac:dyDescent="0.3">
      <c r="A4864" t="s">
        <v>4974</v>
      </c>
      <c r="B4864" t="s">
        <v>31</v>
      </c>
      <c r="C4864" t="s">
        <v>4962</v>
      </c>
      <c r="D4864" s="1">
        <v>0.5329976851851852</v>
      </c>
      <c r="E4864" s="2">
        <f>CallLog[[#This Row],[Date]]+CallLog[[#This Row],[Time]]</f>
        <v>44283.532997685186</v>
      </c>
      <c r="F4864" s="1" t="str">
        <f>TEXT(CallLog[[#This Row],[Date]],"dddd")</f>
        <v>Sunday</v>
      </c>
      <c r="G4864" s="3">
        <f>HOUR(CallLog[[#This Row],[Time]])</f>
        <v>12</v>
      </c>
      <c r="H4864" t="s">
        <v>13</v>
      </c>
      <c r="I4864" t="s">
        <v>14</v>
      </c>
      <c r="J4864" t="s">
        <v>14</v>
      </c>
      <c r="K4864">
        <v>16</v>
      </c>
      <c r="L4864" t="str">
        <f>IF(AND(CallLog[[#This Row],[Answered (Y/N)]]="Y", CallLog[[#This Row],[Speed of answer in seconds]]&lt;=20),
    "Within",
    "Breach")</f>
        <v>Within</v>
      </c>
      <c r="M4864" s="1">
        <v>2.7430555555555554E-3</v>
      </c>
      <c r="N4864">
        <v>1</v>
      </c>
    </row>
    <row r="4865" spans="1:14" x14ac:dyDescent="0.3">
      <c r="A4865" t="s">
        <v>4975</v>
      </c>
      <c r="B4865" t="s">
        <v>16</v>
      </c>
      <c r="C4865" t="s">
        <v>4962</v>
      </c>
      <c r="D4865" s="1">
        <v>0.5329976851851852</v>
      </c>
      <c r="E4865" s="2">
        <f>CallLog[[#This Row],[Date]]+CallLog[[#This Row],[Time]]</f>
        <v>44283.532997685186</v>
      </c>
      <c r="F4865" s="1" t="str">
        <f>TEXT(CallLog[[#This Row],[Date]],"dddd")</f>
        <v>Sunday</v>
      </c>
      <c r="G4865" s="3">
        <f>HOUR(CallLog[[#This Row],[Time]])</f>
        <v>12</v>
      </c>
      <c r="H4865" t="s">
        <v>17</v>
      </c>
      <c r="I4865" t="s">
        <v>14</v>
      </c>
      <c r="J4865" t="s">
        <v>14</v>
      </c>
      <c r="K4865">
        <v>79</v>
      </c>
      <c r="L4865" t="str">
        <f>IF(AND(CallLog[[#This Row],[Answered (Y/N)]]="Y", CallLog[[#This Row],[Speed of answer in seconds]]&lt;=20),
    "Within",
    "Breach")</f>
        <v>Breach</v>
      </c>
      <c r="M4865" s="1">
        <v>2.3379629629629631E-3</v>
      </c>
      <c r="N4865">
        <v>1</v>
      </c>
    </row>
    <row r="4866" spans="1:14" x14ac:dyDescent="0.3">
      <c r="A4866" t="s">
        <v>4976</v>
      </c>
      <c r="B4866" t="s">
        <v>16</v>
      </c>
      <c r="C4866" t="s">
        <v>4962</v>
      </c>
      <c r="D4866" s="1">
        <v>0.54500000000000004</v>
      </c>
      <c r="E4866" s="2">
        <f>CallLog[[#This Row],[Date]]+CallLog[[#This Row],[Time]]</f>
        <v>44283.544999999998</v>
      </c>
      <c r="F4866" s="1" t="str">
        <f>TEXT(CallLog[[#This Row],[Date]],"dddd")</f>
        <v>Sunday</v>
      </c>
      <c r="G4866" s="3">
        <f>HOUR(CallLog[[#This Row],[Time]])</f>
        <v>13</v>
      </c>
      <c r="H4866" t="s">
        <v>29</v>
      </c>
      <c r="I4866" t="s">
        <v>14</v>
      </c>
      <c r="J4866" t="s">
        <v>14</v>
      </c>
      <c r="K4866">
        <v>23</v>
      </c>
      <c r="L4866" t="str">
        <f>IF(AND(CallLog[[#This Row],[Answered (Y/N)]]="Y", CallLog[[#This Row],[Speed of answer in seconds]]&lt;=20),
    "Within",
    "Breach")</f>
        <v>Breach</v>
      </c>
      <c r="M4866" s="1">
        <v>6.018518518518519E-4</v>
      </c>
      <c r="N4866">
        <v>1</v>
      </c>
    </row>
    <row r="4867" spans="1:14" x14ac:dyDescent="0.3">
      <c r="A4867" t="s">
        <v>4977</v>
      </c>
      <c r="B4867" t="s">
        <v>31</v>
      </c>
      <c r="C4867" t="s">
        <v>4962</v>
      </c>
      <c r="D4867" s="1">
        <v>0.54500000000000004</v>
      </c>
      <c r="E4867" s="2">
        <f>CallLog[[#This Row],[Date]]+CallLog[[#This Row],[Time]]</f>
        <v>44283.544999999998</v>
      </c>
      <c r="F4867" s="1" t="str">
        <f>TEXT(CallLog[[#This Row],[Date]],"dddd")</f>
        <v>Sunday</v>
      </c>
      <c r="G4867" s="3">
        <f>HOUR(CallLog[[#This Row],[Time]])</f>
        <v>13</v>
      </c>
      <c r="H4867" t="s">
        <v>17</v>
      </c>
      <c r="I4867" t="s">
        <v>14</v>
      </c>
      <c r="J4867" t="s">
        <v>18</v>
      </c>
      <c r="K4867">
        <v>94</v>
      </c>
      <c r="L4867" t="str">
        <f>IF(AND(CallLog[[#This Row],[Answered (Y/N)]]="Y", CallLog[[#This Row],[Speed of answer in seconds]]&lt;=20),
    "Within",
    "Breach")</f>
        <v>Breach</v>
      </c>
      <c r="M4867" s="1">
        <v>4.1435185185185186E-3</v>
      </c>
      <c r="N4867">
        <v>5</v>
      </c>
    </row>
    <row r="4868" spans="1:14" x14ac:dyDescent="0.3">
      <c r="A4868" t="s">
        <v>4978</v>
      </c>
      <c r="B4868" t="s">
        <v>34</v>
      </c>
      <c r="C4868" t="s">
        <v>4962</v>
      </c>
      <c r="D4868" s="1">
        <v>0.54599537037037038</v>
      </c>
      <c r="E4868" s="2">
        <f>CallLog[[#This Row],[Date]]+CallLog[[#This Row],[Time]]</f>
        <v>44283.545995370368</v>
      </c>
      <c r="F4868" s="1" t="str">
        <f>TEXT(CallLog[[#This Row],[Date]],"dddd")</f>
        <v>Sunday</v>
      </c>
      <c r="G4868" s="3">
        <f>HOUR(CallLog[[#This Row],[Time]])</f>
        <v>13</v>
      </c>
      <c r="H4868" t="s">
        <v>29</v>
      </c>
      <c r="I4868" t="s">
        <v>14</v>
      </c>
      <c r="J4868" t="s">
        <v>14</v>
      </c>
      <c r="K4868">
        <v>39</v>
      </c>
      <c r="L4868" t="str">
        <f>IF(AND(CallLog[[#This Row],[Answered (Y/N)]]="Y", CallLog[[#This Row],[Speed of answer in seconds]]&lt;=20),
    "Within",
    "Breach")</f>
        <v>Breach</v>
      </c>
      <c r="M4868" s="1">
        <v>4.2708333333333331E-3</v>
      </c>
      <c r="N4868">
        <v>4</v>
      </c>
    </row>
    <row r="4869" spans="1:14" x14ac:dyDescent="0.3">
      <c r="A4869" t="s">
        <v>4979</v>
      </c>
      <c r="B4869" t="s">
        <v>22</v>
      </c>
      <c r="C4869" t="s">
        <v>4962</v>
      </c>
      <c r="D4869" s="1">
        <v>0.54599537037037038</v>
      </c>
      <c r="E4869" s="2">
        <f>CallLog[[#This Row],[Date]]+CallLog[[#This Row],[Time]]</f>
        <v>44283.545995370368</v>
      </c>
      <c r="F4869" s="1" t="str">
        <f>TEXT(CallLog[[#This Row],[Date]],"dddd")</f>
        <v>Sunday</v>
      </c>
      <c r="G4869" s="3">
        <f>HOUR(CallLog[[#This Row],[Time]])</f>
        <v>13</v>
      </c>
      <c r="H4869" t="s">
        <v>32</v>
      </c>
      <c r="I4869" t="s">
        <v>14</v>
      </c>
      <c r="J4869" t="s">
        <v>14</v>
      </c>
      <c r="K4869">
        <v>12</v>
      </c>
      <c r="L4869" t="str">
        <f>IF(AND(CallLog[[#This Row],[Answered (Y/N)]]="Y", CallLog[[#This Row],[Speed of answer in seconds]]&lt;=20),
    "Within",
    "Breach")</f>
        <v>Within</v>
      </c>
      <c r="M4869" s="1">
        <v>4.0509259259259258E-4</v>
      </c>
      <c r="N4869">
        <v>2</v>
      </c>
    </row>
    <row r="4870" spans="1:14" x14ac:dyDescent="0.3">
      <c r="A4870" t="s">
        <v>4980</v>
      </c>
      <c r="B4870" t="s">
        <v>20</v>
      </c>
      <c r="C4870" t="s">
        <v>4962</v>
      </c>
      <c r="D4870" s="1">
        <v>0.56799768518518523</v>
      </c>
      <c r="E4870" s="2">
        <f>CallLog[[#This Row],[Date]]+CallLog[[#This Row],[Time]]</f>
        <v>44283.567997685182</v>
      </c>
      <c r="F4870" s="1" t="str">
        <f>TEXT(CallLog[[#This Row],[Date]],"dddd")</f>
        <v>Sunday</v>
      </c>
      <c r="G4870" s="3">
        <f>HOUR(CallLog[[#This Row],[Time]])</f>
        <v>13</v>
      </c>
      <c r="H4870" t="s">
        <v>32</v>
      </c>
      <c r="I4870" t="s">
        <v>14</v>
      </c>
      <c r="J4870" t="s">
        <v>14</v>
      </c>
      <c r="K4870">
        <v>54</v>
      </c>
      <c r="L4870" t="str">
        <f>IF(AND(CallLog[[#This Row],[Answered (Y/N)]]="Y", CallLog[[#This Row],[Speed of answer in seconds]]&lt;=20),
    "Within",
    "Breach")</f>
        <v>Breach</v>
      </c>
      <c r="M4870" s="1">
        <v>1.2731481481481483E-3</v>
      </c>
      <c r="N4870">
        <v>3</v>
      </c>
    </row>
    <row r="4871" spans="1:14" x14ac:dyDescent="0.3">
      <c r="A4871" t="s">
        <v>4981</v>
      </c>
      <c r="B4871" t="s">
        <v>34</v>
      </c>
      <c r="C4871" t="s">
        <v>4962</v>
      </c>
      <c r="D4871" s="1">
        <v>0.56799768518518523</v>
      </c>
      <c r="E4871" s="2">
        <f>CallLog[[#This Row],[Date]]+CallLog[[#This Row],[Time]]</f>
        <v>44283.567997685182</v>
      </c>
      <c r="F4871" s="1" t="str">
        <f>TEXT(CallLog[[#This Row],[Date]],"dddd")</f>
        <v>Sunday</v>
      </c>
      <c r="G4871" s="3">
        <f>HOUR(CallLog[[#This Row],[Time]])</f>
        <v>13</v>
      </c>
      <c r="H4871" t="s">
        <v>29</v>
      </c>
      <c r="I4871" t="s">
        <v>18</v>
      </c>
      <c r="J4871" t="s">
        <v>18</v>
      </c>
      <c r="L4871" t="str">
        <f>IF(AND(CallLog[[#This Row],[Answered (Y/N)]]="Y", CallLog[[#This Row],[Speed of answer in seconds]]&lt;=20),
    "Within",
    "Breach")</f>
        <v>Breach</v>
      </c>
    </row>
    <row r="4872" spans="1:14" x14ac:dyDescent="0.3">
      <c r="A4872" t="s">
        <v>4982</v>
      </c>
      <c r="B4872" t="s">
        <v>47</v>
      </c>
      <c r="C4872" t="s">
        <v>4962</v>
      </c>
      <c r="D4872" s="1">
        <v>0.63400462962962967</v>
      </c>
      <c r="E4872" s="2">
        <f>CallLog[[#This Row],[Date]]+CallLog[[#This Row],[Time]]</f>
        <v>44283.634004629632</v>
      </c>
      <c r="F4872" s="1" t="str">
        <f>TEXT(CallLog[[#This Row],[Date]],"dddd")</f>
        <v>Sunday</v>
      </c>
      <c r="G4872" s="3">
        <f>HOUR(CallLog[[#This Row],[Time]])</f>
        <v>15</v>
      </c>
      <c r="H4872" t="s">
        <v>17</v>
      </c>
      <c r="I4872" t="s">
        <v>14</v>
      </c>
      <c r="J4872" t="s">
        <v>18</v>
      </c>
      <c r="K4872">
        <v>70</v>
      </c>
      <c r="L4872" t="str">
        <f>IF(AND(CallLog[[#This Row],[Answered (Y/N)]]="Y", CallLog[[#This Row],[Speed of answer in seconds]]&lt;=20),
    "Within",
    "Breach")</f>
        <v>Breach</v>
      </c>
      <c r="M4872" s="1">
        <v>2.7777777777777779E-3</v>
      </c>
      <c r="N4872">
        <v>5</v>
      </c>
    </row>
    <row r="4873" spans="1:14" x14ac:dyDescent="0.3">
      <c r="A4873" t="s">
        <v>4983</v>
      </c>
      <c r="B4873" t="s">
        <v>38</v>
      </c>
      <c r="C4873" t="s">
        <v>4962</v>
      </c>
      <c r="D4873" s="1">
        <v>0.63400462962962967</v>
      </c>
      <c r="E4873" s="2">
        <f>CallLog[[#This Row],[Date]]+CallLog[[#This Row],[Time]]</f>
        <v>44283.634004629632</v>
      </c>
      <c r="F4873" s="1" t="str">
        <f>TEXT(CallLog[[#This Row],[Date]],"dddd")</f>
        <v>Sunday</v>
      </c>
      <c r="G4873" s="3">
        <f>HOUR(CallLog[[#This Row],[Time]])</f>
        <v>15</v>
      </c>
      <c r="H4873" t="s">
        <v>32</v>
      </c>
      <c r="I4873" t="s">
        <v>14</v>
      </c>
      <c r="J4873" t="s">
        <v>14</v>
      </c>
      <c r="K4873">
        <v>123</v>
      </c>
      <c r="L4873" t="str">
        <f>IF(AND(CallLog[[#This Row],[Answered (Y/N)]]="Y", CallLog[[#This Row],[Speed of answer in seconds]]&lt;=20),
    "Within",
    "Breach")</f>
        <v>Breach</v>
      </c>
      <c r="M4873" s="1">
        <v>1.0069444444444444E-3</v>
      </c>
      <c r="N4873">
        <v>2</v>
      </c>
    </row>
    <row r="4874" spans="1:14" x14ac:dyDescent="0.3">
      <c r="A4874" t="s">
        <v>4984</v>
      </c>
      <c r="B4874" t="s">
        <v>20</v>
      </c>
      <c r="C4874" t="s">
        <v>4962</v>
      </c>
      <c r="D4874" s="1">
        <v>0.66799768518518521</v>
      </c>
      <c r="E4874" s="2">
        <f>CallLog[[#This Row],[Date]]+CallLog[[#This Row],[Time]]</f>
        <v>44283.667997685188</v>
      </c>
      <c r="F4874" s="1" t="str">
        <f>TEXT(CallLog[[#This Row],[Date]],"dddd")</f>
        <v>Sunday</v>
      </c>
      <c r="G4874" s="3">
        <f>HOUR(CallLog[[#This Row],[Time]])</f>
        <v>16</v>
      </c>
      <c r="H4874" t="s">
        <v>17</v>
      </c>
      <c r="I4874" t="s">
        <v>14</v>
      </c>
      <c r="J4874" t="s">
        <v>14</v>
      </c>
      <c r="K4874">
        <v>27</v>
      </c>
      <c r="L4874" t="str">
        <f>IF(AND(CallLog[[#This Row],[Answered (Y/N)]]="Y", CallLog[[#This Row],[Speed of answer in seconds]]&lt;=20),
    "Within",
    "Breach")</f>
        <v>Breach</v>
      </c>
      <c r="M4874" s="1">
        <v>2.0601851851851853E-3</v>
      </c>
      <c r="N4874">
        <v>1</v>
      </c>
    </row>
    <row r="4875" spans="1:14" x14ac:dyDescent="0.3">
      <c r="A4875" t="s">
        <v>4985</v>
      </c>
      <c r="B4875" t="s">
        <v>47</v>
      </c>
      <c r="C4875" t="s">
        <v>4962</v>
      </c>
      <c r="D4875" s="1">
        <v>0.66799768518518521</v>
      </c>
      <c r="E4875" s="2">
        <f>CallLog[[#This Row],[Date]]+CallLog[[#This Row],[Time]]</f>
        <v>44283.667997685188</v>
      </c>
      <c r="F4875" s="1" t="str">
        <f>TEXT(CallLog[[#This Row],[Date]],"dddd")</f>
        <v>Sunday</v>
      </c>
      <c r="G4875" s="3">
        <f>HOUR(CallLog[[#This Row],[Time]])</f>
        <v>16</v>
      </c>
      <c r="H4875" t="s">
        <v>24</v>
      </c>
      <c r="I4875" t="s">
        <v>14</v>
      </c>
      <c r="J4875" t="s">
        <v>14</v>
      </c>
      <c r="K4875">
        <v>112</v>
      </c>
      <c r="L4875" t="str">
        <f>IF(AND(CallLog[[#This Row],[Answered (Y/N)]]="Y", CallLog[[#This Row],[Speed of answer in seconds]]&lt;=20),
    "Within",
    "Breach")</f>
        <v>Breach</v>
      </c>
      <c r="M4875" s="1">
        <v>2.5462962962962965E-3</v>
      </c>
      <c r="N4875">
        <v>5</v>
      </c>
    </row>
    <row r="4876" spans="1:14" x14ac:dyDescent="0.3">
      <c r="A4876" t="s">
        <v>4986</v>
      </c>
      <c r="B4876" t="s">
        <v>11</v>
      </c>
      <c r="C4876" t="s">
        <v>4962</v>
      </c>
      <c r="D4876" s="1">
        <v>0.67</v>
      </c>
      <c r="E4876" s="2">
        <f>CallLog[[#This Row],[Date]]+CallLog[[#This Row],[Time]]</f>
        <v>44283.67</v>
      </c>
      <c r="F4876" s="1" t="str">
        <f>TEXT(CallLog[[#This Row],[Date]],"dddd")</f>
        <v>Sunday</v>
      </c>
      <c r="G4876" s="3">
        <f>HOUR(CallLog[[#This Row],[Time]])</f>
        <v>16</v>
      </c>
      <c r="H4876" t="s">
        <v>17</v>
      </c>
      <c r="I4876" t="s">
        <v>18</v>
      </c>
      <c r="J4876" t="s">
        <v>18</v>
      </c>
      <c r="L4876" t="str">
        <f>IF(AND(CallLog[[#This Row],[Answered (Y/N)]]="Y", CallLog[[#This Row],[Speed of answer in seconds]]&lt;=20),
    "Within",
    "Breach")</f>
        <v>Breach</v>
      </c>
    </row>
    <row r="4877" spans="1:14" x14ac:dyDescent="0.3">
      <c r="A4877" t="s">
        <v>4987</v>
      </c>
      <c r="B4877" t="s">
        <v>47</v>
      </c>
      <c r="C4877" t="s">
        <v>4962</v>
      </c>
      <c r="D4877" s="1">
        <v>0.67</v>
      </c>
      <c r="E4877" s="2">
        <f>CallLog[[#This Row],[Date]]+CallLog[[#This Row],[Time]]</f>
        <v>44283.67</v>
      </c>
      <c r="F4877" s="1" t="str">
        <f>TEXT(CallLog[[#This Row],[Date]],"dddd")</f>
        <v>Sunday</v>
      </c>
      <c r="G4877" s="3">
        <f>HOUR(CallLog[[#This Row],[Time]])</f>
        <v>16</v>
      </c>
      <c r="H4877" t="s">
        <v>24</v>
      </c>
      <c r="I4877" t="s">
        <v>18</v>
      </c>
      <c r="J4877" t="s">
        <v>18</v>
      </c>
      <c r="L4877" t="str">
        <f>IF(AND(CallLog[[#This Row],[Answered (Y/N)]]="Y", CallLog[[#This Row],[Speed of answer in seconds]]&lt;=20),
    "Within",
    "Breach")</f>
        <v>Breach</v>
      </c>
    </row>
    <row r="4878" spans="1:14" x14ac:dyDescent="0.3">
      <c r="A4878" t="s">
        <v>4988</v>
      </c>
      <c r="B4878" t="s">
        <v>16</v>
      </c>
      <c r="C4878" t="s">
        <v>4962</v>
      </c>
      <c r="D4878" s="1">
        <v>0.70700231481481479</v>
      </c>
      <c r="E4878" s="2">
        <f>CallLog[[#This Row],[Date]]+CallLog[[#This Row],[Time]]</f>
        <v>44283.707002314812</v>
      </c>
      <c r="F4878" s="1" t="str">
        <f>TEXT(CallLog[[#This Row],[Date]],"dddd")</f>
        <v>Sunday</v>
      </c>
      <c r="G4878" s="3">
        <f>HOUR(CallLog[[#This Row],[Time]])</f>
        <v>16</v>
      </c>
      <c r="H4878" t="s">
        <v>24</v>
      </c>
      <c r="I4878" t="s">
        <v>14</v>
      </c>
      <c r="J4878" t="s">
        <v>14</v>
      </c>
      <c r="K4878">
        <v>119</v>
      </c>
      <c r="L4878" t="str">
        <f>IF(AND(CallLog[[#This Row],[Answered (Y/N)]]="Y", CallLog[[#This Row],[Speed of answer in seconds]]&lt;=20),
    "Within",
    "Breach")</f>
        <v>Breach</v>
      </c>
      <c r="M4878" s="1">
        <v>3.5185185185185185E-3</v>
      </c>
      <c r="N4878">
        <v>1</v>
      </c>
    </row>
    <row r="4879" spans="1:14" x14ac:dyDescent="0.3">
      <c r="A4879" t="s">
        <v>4989</v>
      </c>
      <c r="B4879" t="s">
        <v>20</v>
      </c>
      <c r="C4879" t="s">
        <v>4962</v>
      </c>
      <c r="D4879" s="1">
        <v>0.70700231481481479</v>
      </c>
      <c r="E4879" s="2">
        <f>CallLog[[#This Row],[Date]]+CallLog[[#This Row],[Time]]</f>
        <v>44283.707002314812</v>
      </c>
      <c r="F4879" s="1" t="str">
        <f>TEXT(CallLog[[#This Row],[Date]],"dddd")</f>
        <v>Sunday</v>
      </c>
      <c r="G4879" s="3">
        <f>HOUR(CallLog[[#This Row],[Time]])</f>
        <v>16</v>
      </c>
      <c r="H4879" t="s">
        <v>13</v>
      </c>
      <c r="I4879" t="s">
        <v>14</v>
      </c>
      <c r="J4879" t="s">
        <v>14</v>
      </c>
      <c r="K4879">
        <v>18</v>
      </c>
      <c r="L4879" t="str">
        <f>IF(AND(CallLog[[#This Row],[Answered (Y/N)]]="Y", CallLog[[#This Row],[Speed of answer in seconds]]&lt;=20),
    "Within",
    "Breach")</f>
        <v>Within</v>
      </c>
      <c r="M4879" s="1">
        <v>3.0902777777777777E-3</v>
      </c>
      <c r="N4879">
        <v>4</v>
      </c>
    </row>
    <row r="4880" spans="1:14" x14ac:dyDescent="0.3">
      <c r="A4880" t="s">
        <v>4990</v>
      </c>
      <c r="B4880" t="s">
        <v>11</v>
      </c>
      <c r="C4880" t="s">
        <v>4962</v>
      </c>
      <c r="D4880" s="1">
        <v>0.7120023148148148</v>
      </c>
      <c r="E4880" s="2">
        <f>CallLog[[#This Row],[Date]]+CallLog[[#This Row],[Time]]</f>
        <v>44283.712002314816</v>
      </c>
      <c r="F4880" s="1" t="str">
        <f>TEXT(CallLog[[#This Row],[Date]],"dddd")</f>
        <v>Sunday</v>
      </c>
      <c r="G4880" s="3">
        <f>HOUR(CallLog[[#This Row],[Time]])</f>
        <v>17</v>
      </c>
      <c r="H4880" t="s">
        <v>24</v>
      </c>
      <c r="I4880" t="s">
        <v>14</v>
      </c>
      <c r="J4880" t="s">
        <v>14</v>
      </c>
      <c r="K4880">
        <v>24</v>
      </c>
      <c r="L4880" t="str">
        <f>IF(AND(CallLog[[#This Row],[Answered (Y/N)]]="Y", CallLog[[#This Row],[Speed of answer in seconds]]&lt;=20),
    "Within",
    "Breach")</f>
        <v>Breach</v>
      </c>
      <c r="M4880" s="1">
        <v>5.9027777777777778E-4</v>
      </c>
      <c r="N4880">
        <v>3</v>
      </c>
    </row>
    <row r="4881" spans="1:14" x14ac:dyDescent="0.3">
      <c r="A4881" t="s">
        <v>4991</v>
      </c>
      <c r="B4881" t="s">
        <v>34</v>
      </c>
      <c r="C4881" t="s">
        <v>4962</v>
      </c>
      <c r="D4881" s="1">
        <v>0.7120023148148148</v>
      </c>
      <c r="E4881" s="2">
        <f>CallLog[[#This Row],[Date]]+CallLog[[#This Row],[Time]]</f>
        <v>44283.712002314816</v>
      </c>
      <c r="F4881" s="1" t="str">
        <f>TEXT(CallLog[[#This Row],[Date]],"dddd")</f>
        <v>Sunday</v>
      </c>
      <c r="G4881" s="3">
        <f>HOUR(CallLog[[#This Row],[Time]])</f>
        <v>17</v>
      </c>
      <c r="H4881" t="s">
        <v>13</v>
      </c>
      <c r="I4881" t="s">
        <v>14</v>
      </c>
      <c r="J4881" t="s">
        <v>14</v>
      </c>
      <c r="K4881">
        <v>70</v>
      </c>
      <c r="L4881" t="str">
        <f>IF(AND(CallLog[[#This Row],[Answered (Y/N)]]="Y", CallLog[[#This Row],[Speed of answer in seconds]]&lt;=20),
    "Within",
    "Breach")</f>
        <v>Breach</v>
      </c>
      <c r="M4881" s="1">
        <v>2.2916666666666667E-3</v>
      </c>
      <c r="N4881">
        <v>3</v>
      </c>
    </row>
    <row r="4882" spans="1:14" x14ac:dyDescent="0.3">
      <c r="A4882" t="s">
        <v>4992</v>
      </c>
      <c r="B4882" t="s">
        <v>22</v>
      </c>
      <c r="C4882" t="s">
        <v>4962</v>
      </c>
      <c r="D4882" s="1">
        <v>0.71499999999999997</v>
      </c>
      <c r="E4882" s="2">
        <f>CallLog[[#This Row],[Date]]+CallLog[[#This Row],[Time]]</f>
        <v>44283.714999999997</v>
      </c>
      <c r="F4882" s="1" t="str">
        <f>TEXT(CallLog[[#This Row],[Date]],"dddd")</f>
        <v>Sunday</v>
      </c>
      <c r="G4882" s="3">
        <f>HOUR(CallLog[[#This Row],[Time]])</f>
        <v>17</v>
      </c>
      <c r="H4882" t="s">
        <v>29</v>
      </c>
      <c r="I4882" t="s">
        <v>18</v>
      </c>
      <c r="J4882" t="s">
        <v>18</v>
      </c>
      <c r="L4882" t="str">
        <f>IF(AND(CallLog[[#This Row],[Answered (Y/N)]]="Y", CallLog[[#This Row],[Speed of answer in seconds]]&lt;=20),
    "Within",
    "Breach")</f>
        <v>Breach</v>
      </c>
    </row>
    <row r="4883" spans="1:14" x14ac:dyDescent="0.3">
      <c r="A4883" t="s">
        <v>4993</v>
      </c>
      <c r="B4883" t="s">
        <v>22</v>
      </c>
      <c r="C4883" t="s">
        <v>4962</v>
      </c>
      <c r="D4883" s="1">
        <v>0.71499999999999997</v>
      </c>
      <c r="E4883" s="2">
        <f>CallLog[[#This Row],[Date]]+CallLog[[#This Row],[Time]]</f>
        <v>44283.714999999997</v>
      </c>
      <c r="F4883" s="1" t="str">
        <f>TEXT(CallLog[[#This Row],[Date]],"dddd")</f>
        <v>Sunday</v>
      </c>
      <c r="G4883" s="3">
        <f>HOUR(CallLog[[#This Row],[Time]])</f>
        <v>17</v>
      </c>
      <c r="H4883" t="s">
        <v>32</v>
      </c>
      <c r="I4883" t="s">
        <v>14</v>
      </c>
      <c r="J4883" t="s">
        <v>14</v>
      </c>
      <c r="K4883">
        <v>120</v>
      </c>
      <c r="L4883" t="str">
        <f>IF(AND(CallLog[[#This Row],[Answered (Y/N)]]="Y", CallLog[[#This Row],[Speed of answer in seconds]]&lt;=20),
    "Within",
    "Breach")</f>
        <v>Breach</v>
      </c>
      <c r="M4883" s="1">
        <v>4.363425925925926E-3</v>
      </c>
      <c r="N4883">
        <v>2</v>
      </c>
    </row>
    <row r="4884" spans="1:14" x14ac:dyDescent="0.3">
      <c r="A4884" t="s">
        <v>4994</v>
      </c>
      <c r="B4884" t="s">
        <v>31</v>
      </c>
      <c r="C4884" t="s">
        <v>4962</v>
      </c>
      <c r="D4884" s="1">
        <v>0.72200231481481481</v>
      </c>
      <c r="E4884" s="2">
        <f>CallLog[[#This Row],[Date]]+CallLog[[#This Row],[Time]]</f>
        <v>44283.722002314818</v>
      </c>
      <c r="F4884" s="1" t="str">
        <f>TEXT(CallLog[[#This Row],[Date]],"dddd")</f>
        <v>Sunday</v>
      </c>
      <c r="G4884" s="3">
        <f>HOUR(CallLog[[#This Row],[Time]])</f>
        <v>17</v>
      </c>
      <c r="H4884" t="s">
        <v>17</v>
      </c>
      <c r="I4884" t="s">
        <v>14</v>
      </c>
      <c r="J4884" t="s">
        <v>14</v>
      </c>
      <c r="K4884">
        <v>46</v>
      </c>
      <c r="L4884" t="str">
        <f>IF(AND(CallLog[[#This Row],[Answered (Y/N)]]="Y", CallLog[[#This Row],[Speed of answer in seconds]]&lt;=20),
    "Within",
    "Breach")</f>
        <v>Breach</v>
      </c>
      <c r="M4884" s="1">
        <v>2.8819444444444444E-3</v>
      </c>
      <c r="N4884">
        <v>3</v>
      </c>
    </row>
    <row r="4885" spans="1:14" x14ac:dyDescent="0.3">
      <c r="A4885" t="s">
        <v>4995</v>
      </c>
      <c r="B4885" t="s">
        <v>22</v>
      </c>
      <c r="C4885" t="s">
        <v>4962</v>
      </c>
      <c r="D4885" s="1">
        <v>0.72200231481481481</v>
      </c>
      <c r="E4885" s="2">
        <f>CallLog[[#This Row],[Date]]+CallLog[[#This Row],[Time]]</f>
        <v>44283.722002314818</v>
      </c>
      <c r="F4885" s="1" t="str">
        <f>TEXT(CallLog[[#This Row],[Date]],"dddd")</f>
        <v>Sunday</v>
      </c>
      <c r="G4885" s="3">
        <f>HOUR(CallLog[[#This Row],[Time]])</f>
        <v>17</v>
      </c>
      <c r="H4885" t="s">
        <v>24</v>
      </c>
      <c r="I4885" t="s">
        <v>14</v>
      </c>
      <c r="J4885" t="s">
        <v>14</v>
      </c>
      <c r="K4885">
        <v>10</v>
      </c>
      <c r="L4885" t="str">
        <f>IF(AND(CallLog[[#This Row],[Answered (Y/N)]]="Y", CallLog[[#This Row],[Speed of answer in seconds]]&lt;=20),
    "Within",
    "Breach")</f>
        <v>Within</v>
      </c>
      <c r="M4885" s="1">
        <v>1.7592592592592592E-3</v>
      </c>
      <c r="N4885">
        <v>2</v>
      </c>
    </row>
    <row r="4886" spans="1:14" x14ac:dyDescent="0.3">
      <c r="A4886" t="s">
        <v>4996</v>
      </c>
      <c r="B4886" t="s">
        <v>47</v>
      </c>
      <c r="C4886" t="s">
        <v>4962</v>
      </c>
      <c r="D4886" s="1">
        <v>0.745</v>
      </c>
      <c r="E4886" s="2">
        <f>CallLog[[#This Row],[Date]]+CallLog[[#This Row],[Time]]</f>
        <v>44283.745000000003</v>
      </c>
      <c r="F4886" s="1" t="str">
        <f>TEXT(CallLog[[#This Row],[Date]],"dddd")</f>
        <v>Sunday</v>
      </c>
      <c r="G4886" s="3">
        <f>HOUR(CallLog[[#This Row],[Time]])</f>
        <v>17</v>
      </c>
      <c r="H4886" t="s">
        <v>13</v>
      </c>
      <c r="I4886" t="s">
        <v>14</v>
      </c>
      <c r="J4886" t="s">
        <v>14</v>
      </c>
      <c r="K4886">
        <v>32</v>
      </c>
      <c r="L4886" t="str">
        <f>IF(AND(CallLog[[#This Row],[Answered (Y/N)]]="Y", CallLog[[#This Row],[Speed of answer in seconds]]&lt;=20),
    "Within",
    "Breach")</f>
        <v>Breach</v>
      </c>
      <c r="M4886" s="1">
        <v>5.4398148148148144E-4</v>
      </c>
      <c r="N4886">
        <v>3</v>
      </c>
    </row>
    <row r="4887" spans="1:14" x14ac:dyDescent="0.3">
      <c r="A4887" t="s">
        <v>4997</v>
      </c>
      <c r="B4887" t="s">
        <v>20</v>
      </c>
      <c r="C4887" t="s">
        <v>4962</v>
      </c>
      <c r="D4887" s="1">
        <v>0.745</v>
      </c>
      <c r="E4887" s="2">
        <f>CallLog[[#This Row],[Date]]+CallLog[[#This Row],[Time]]</f>
        <v>44283.745000000003</v>
      </c>
      <c r="F4887" s="1" t="str">
        <f>TEXT(CallLog[[#This Row],[Date]],"dddd")</f>
        <v>Sunday</v>
      </c>
      <c r="G4887" s="3">
        <f>HOUR(CallLog[[#This Row],[Time]])</f>
        <v>17</v>
      </c>
      <c r="H4887" t="s">
        <v>32</v>
      </c>
      <c r="I4887" t="s">
        <v>14</v>
      </c>
      <c r="J4887" t="s">
        <v>14</v>
      </c>
      <c r="K4887">
        <v>16</v>
      </c>
      <c r="L4887" t="str">
        <f>IF(AND(CallLog[[#This Row],[Answered (Y/N)]]="Y", CallLog[[#This Row],[Speed of answer in seconds]]&lt;=20),
    "Within",
    "Breach")</f>
        <v>Within</v>
      </c>
      <c r="M4887" s="1">
        <v>9.6064814814814819E-4</v>
      </c>
      <c r="N4887">
        <v>4</v>
      </c>
    </row>
    <row r="4888" spans="1:14" x14ac:dyDescent="0.3">
      <c r="A4888" t="s">
        <v>4998</v>
      </c>
      <c r="B4888" t="s">
        <v>34</v>
      </c>
      <c r="C4888" t="s">
        <v>4962</v>
      </c>
      <c r="D4888" s="1">
        <v>0.74900462962962966</v>
      </c>
      <c r="E4888" s="2">
        <f>CallLog[[#This Row],[Date]]+CallLog[[#This Row],[Time]]</f>
        <v>44283.74900462963</v>
      </c>
      <c r="F4888" s="1" t="str">
        <f>TEXT(CallLog[[#This Row],[Date]],"dddd")</f>
        <v>Sunday</v>
      </c>
      <c r="G4888" s="3">
        <f>HOUR(CallLog[[#This Row],[Time]])</f>
        <v>17</v>
      </c>
      <c r="H4888" t="s">
        <v>24</v>
      </c>
      <c r="I4888" t="s">
        <v>14</v>
      </c>
      <c r="J4888" t="s">
        <v>14</v>
      </c>
      <c r="K4888">
        <v>64</v>
      </c>
      <c r="L4888" t="str">
        <f>IF(AND(CallLog[[#This Row],[Answered (Y/N)]]="Y", CallLog[[#This Row],[Speed of answer in seconds]]&lt;=20),
    "Within",
    "Breach")</f>
        <v>Breach</v>
      </c>
      <c r="M4888" s="1">
        <v>2.9629629629629628E-3</v>
      </c>
      <c r="N4888">
        <v>3</v>
      </c>
    </row>
    <row r="4889" spans="1:14" x14ac:dyDescent="0.3">
      <c r="A4889" t="s">
        <v>4999</v>
      </c>
      <c r="B4889" t="s">
        <v>11</v>
      </c>
      <c r="C4889" t="s">
        <v>4962</v>
      </c>
      <c r="D4889" s="1">
        <v>0.74900462962962966</v>
      </c>
      <c r="E4889" s="2">
        <f>CallLog[[#This Row],[Date]]+CallLog[[#This Row],[Time]]</f>
        <v>44283.74900462963</v>
      </c>
      <c r="F4889" s="1" t="str">
        <f>TEXT(CallLog[[#This Row],[Date]],"dddd")</f>
        <v>Sunday</v>
      </c>
      <c r="G4889" s="3">
        <f>HOUR(CallLog[[#This Row],[Time]])</f>
        <v>17</v>
      </c>
      <c r="H4889" t="s">
        <v>13</v>
      </c>
      <c r="I4889" t="s">
        <v>14</v>
      </c>
      <c r="J4889" t="s">
        <v>14</v>
      </c>
      <c r="K4889">
        <v>103</v>
      </c>
      <c r="L4889" t="str">
        <f>IF(AND(CallLog[[#This Row],[Answered (Y/N)]]="Y", CallLog[[#This Row],[Speed of answer in seconds]]&lt;=20),
    "Within",
    "Breach")</f>
        <v>Breach</v>
      </c>
      <c r="M4889" s="1">
        <v>4.5370370370370373E-3</v>
      </c>
      <c r="N4889">
        <v>5</v>
      </c>
    </row>
    <row r="4890" spans="1:14" x14ac:dyDescent="0.3">
      <c r="A4890" t="s">
        <v>5000</v>
      </c>
      <c r="B4890" t="s">
        <v>38</v>
      </c>
      <c r="C4890" t="s">
        <v>5001</v>
      </c>
      <c r="D4890" s="1">
        <v>0.38299768518518518</v>
      </c>
      <c r="E4890" s="2">
        <f>CallLog[[#This Row],[Date]]+CallLog[[#This Row],[Time]]</f>
        <v>44284.382997685185</v>
      </c>
      <c r="F4890" s="1" t="str">
        <f>TEXT(CallLog[[#This Row],[Date]],"dddd")</f>
        <v>Monday</v>
      </c>
      <c r="G4890" s="3">
        <f>HOUR(CallLog[[#This Row],[Time]])</f>
        <v>9</v>
      </c>
      <c r="H4890" t="s">
        <v>29</v>
      </c>
      <c r="I4890" t="s">
        <v>14</v>
      </c>
      <c r="J4890" t="s">
        <v>14</v>
      </c>
      <c r="K4890">
        <v>109</v>
      </c>
      <c r="L4890" t="str">
        <f>IF(AND(CallLog[[#This Row],[Answered (Y/N)]]="Y", CallLog[[#This Row],[Speed of answer in seconds]]&lt;=20),
    "Within",
    "Breach")</f>
        <v>Breach</v>
      </c>
      <c r="M4890" s="1">
        <v>4.409722222222222E-3</v>
      </c>
      <c r="N4890">
        <v>5</v>
      </c>
    </row>
    <row r="4891" spans="1:14" x14ac:dyDescent="0.3">
      <c r="A4891" t="s">
        <v>5002</v>
      </c>
      <c r="B4891" t="s">
        <v>38</v>
      </c>
      <c r="C4891" t="s">
        <v>5001</v>
      </c>
      <c r="D4891" s="1">
        <v>0.38299768518518518</v>
      </c>
      <c r="E4891" s="2">
        <f>CallLog[[#This Row],[Date]]+CallLog[[#This Row],[Time]]</f>
        <v>44284.382997685185</v>
      </c>
      <c r="F4891" s="1" t="str">
        <f>TEXT(CallLog[[#This Row],[Date]],"dddd")</f>
        <v>Monday</v>
      </c>
      <c r="G4891" s="3">
        <f>HOUR(CallLog[[#This Row],[Time]])</f>
        <v>9</v>
      </c>
      <c r="H4891" t="s">
        <v>17</v>
      </c>
      <c r="I4891" t="s">
        <v>14</v>
      </c>
      <c r="J4891" t="s">
        <v>14</v>
      </c>
      <c r="K4891">
        <v>61</v>
      </c>
      <c r="L4891" t="str">
        <f>IF(AND(CallLog[[#This Row],[Answered (Y/N)]]="Y", CallLog[[#This Row],[Speed of answer in seconds]]&lt;=20),
    "Within",
    "Breach")</f>
        <v>Breach</v>
      </c>
      <c r="M4891" s="1">
        <v>1.8749999999999999E-3</v>
      </c>
      <c r="N4891">
        <v>5</v>
      </c>
    </row>
    <row r="4892" spans="1:14" x14ac:dyDescent="0.3">
      <c r="A4892" t="s">
        <v>5003</v>
      </c>
      <c r="B4892" t="s">
        <v>38</v>
      </c>
      <c r="C4892" t="s">
        <v>5001</v>
      </c>
      <c r="D4892" s="1">
        <v>0.41</v>
      </c>
      <c r="E4892" s="2">
        <f>CallLog[[#This Row],[Date]]+CallLog[[#This Row],[Time]]</f>
        <v>44284.41</v>
      </c>
      <c r="F4892" s="1" t="str">
        <f>TEXT(CallLog[[#This Row],[Date]],"dddd")</f>
        <v>Monday</v>
      </c>
      <c r="G4892" s="3">
        <f>HOUR(CallLog[[#This Row],[Time]])</f>
        <v>9</v>
      </c>
      <c r="H4892" t="s">
        <v>32</v>
      </c>
      <c r="I4892" t="s">
        <v>18</v>
      </c>
      <c r="J4892" t="s">
        <v>18</v>
      </c>
      <c r="L4892" t="str">
        <f>IF(AND(CallLog[[#This Row],[Answered (Y/N)]]="Y", CallLog[[#This Row],[Speed of answer in seconds]]&lt;=20),
    "Within",
    "Breach")</f>
        <v>Breach</v>
      </c>
    </row>
    <row r="4893" spans="1:14" x14ac:dyDescent="0.3">
      <c r="A4893" t="s">
        <v>5004</v>
      </c>
      <c r="B4893" t="s">
        <v>34</v>
      </c>
      <c r="C4893" t="s">
        <v>5001</v>
      </c>
      <c r="D4893" s="1">
        <v>0.41</v>
      </c>
      <c r="E4893" s="2">
        <f>CallLog[[#This Row],[Date]]+CallLog[[#This Row],[Time]]</f>
        <v>44284.41</v>
      </c>
      <c r="F4893" s="1" t="str">
        <f>TEXT(CallLog[[#This Row],[Date]],"dddd")</f>
        <v>Monday</v>
      </c>
      <c r="G4893" s="3">
        <f>HOUR(CallLog[[#This Row],[Time]])</f>
        <v>9</v>
      </c>
      <c r="H4893" t="s">
        <v>24</v>
      </c>
      <c r="I4893" t="s">
        <v>14</v>
      </c>
      <c r="J4893" t="s">
        <v>14</v>
      </c>
      <c r="K4893">
        <v>23</v>
      </c>
      <c r="L4893" t="str">
        <f>IF(AND(CallLog[[#This Row],[Answered (Y/N)]]="Y", CallLog[[#This Row],[Speed of answer in seconds]]&lt;=20),
    "Within",
    "Breach")</f>
        <v>Breach</v>
      </c>
      <c r="M4893" s="1">
        <v>2.2222222222222222E-3</v>
      </c>
      <c r="N4893">
        <v>5</v>
      </c>
    </row>
    <row r="4894" spans="1:14" x14ac:dyDescent="0.3">
      <c r="A4894" t="s">
        <v>5005</v>
      </c>
      <c r="B4894" t="s">
        <v>11</v>
      </c>
      <c r="C4894" t="s">
        <v>5001</v>
      </c>
      <c r="D4894" s="1">
        <v>0.42</v>
      </c>
      <c r="E4894" s="2">
        <f>CallLog[[#This Row],[Date]]+CallLog[[#This Row],[Time]]</f>
        <v>44284.42</v>
      </c>
      <c r="F4894" s="1" t="str">
        <f>TEXT(CallLog[[#This Row],[Date]],"dddd")</f>
        <v>Monday</v>
      </c>
      <c r="G4894" s="3">
        <f>HOUR(CallLog[[#This Row],[Time]])</f>
        <v>10</v>
      </c>
      <c r="H4894" t="s">
        <v>13</v>
      </c>
      <c r="I4894" t="s">
        <v>14</v>
      </c>
      <c r="J4894" t="s">
        <v>14</v>
      </c>
      <c r="K4894">
        <v>63</v>
      </c>
      <c r="L4894" t="str">
        <f>IF(AND(CallLog[[#This Row],[Answered (Y/N)]]="Y", CallLog[[#This Row],[Speed of answer in seconds]]&lt;=20),
    "Within",
    "Breach")</f>
        <v>Breach</v>
      </c>
      <c r="M4894" s="1">
        <v>2.1064814814814813E-3</v>
      </c>
      <c r="N4894">
        <v>4</v>
      </c>
    </row>
    <row r="4895" spans="1:14" x14ac:dyDescent="0.3">
      <c r="A4895" t="s">
        <v>5006</v>
      </c>
      <c r="B4895" t="s">
        <v>11</v>
      </c>
      <c r="C4895" t="s">
        <v>5001</v>
      </c>
      <c r="D4895" s="1">
        <v>0.42</v>
      </c>
      <c r="E4895" s="2">
        <f>CallLog[[#This Row],[Date]]+CallLog[[#This Row],[Time]]</f>
        <v>44284.42</v>
      </c>
      <c r="F4895" s="1" t="str">
        <f>TEXT(CallLog[[#This Row],[Date]],"dddd")</f>
        <v>Monday</v>
      </c>
      <c r="G4895" s="3">
        <f>HOUR(CallLog[[#This Row],[Time]])</f>
        <v>10</v>
      </c>
      <c r="H4895" t="s">
        <v>13</v>
      </c>
      <c r="I4895" t="s">
        <v>14</v>
      </c>
      <c r="J4895" t="s">
        <v>14</v>
      </c>
      <c r="K4895">
        <v>117</v>
      </c>
      <c r="L4895" t="str">
        <f>IF(AND(CallLog[[#This Row],[Answered (Y/N)]]="Y", CallLog[[#This Row],[Speed of answer in seconds]]&lt;=20),
    "Within",
    "Breach")</f>
        <v>Breach</v>
      </c>
      <c r="M4895" s="1">
        <v>4.2361111111111115E-3</v>
      </c>
      <c r="N4895">
        <v>5</v>
      </c>
    </row>
    <row r="4896" spans="1:14" x14ac:dyDescent="0.3">
      <c r="A4896" t="s">
        <v>5007</v>
      </c>
      <c r="B4896" t="s">
        <v>20</v>
      </c>
      <c r="C4896" t="s">
        <v>5001</v>
      </c>
      <c r="D4896" s="1">
        <v>0.44400462962962961</v>
      </c>
      <c r="E4896" s="2">
        <f>CallLog[[#This Row],[Date]]+CallLog[[#This Row],[Time]]</f>
        <v>44284.444004629629</v>
      </c>
      <c r="F4896" s="1" t="str">
        <f>TEXT(CallLog[[#This Row],[Date]],"dddd")</f>
        <v>Monday</v>
      </c>
      <c r="G4896" s="3">
        <f>HOUR(CallLog[[#This Row],[Time]])</f>
        <v>10</v>
      </c>
      <c r="H4896" t="s">
        <v>17</v>
      </c>
      <c r="I4896" t="s">
        <v>14</v>
      </c>
      <c r="J4896" t="s">
        <v>14</v>
      </c>
      <c r="K4896">
        <v>122</v>
      </c>
      <c r="L4896" t="str">
        <f>IF(AND(CallLog[[#This Row],[Answered (Y/N)]]="Y", CallLog[[#This Row],[Speed of answer in seconds]]&lt;=20),
    "Within",
    "Breach")</f>
        <v>Breach</v>
      </c>
      <c r="M4896" s="1">
        <v>3.9467592592592592E-3</v>
      </c>
      <c r="N4896">
        <v>1</v>
      </c>
    </row>
    <row r="4897" spans="1:14" x14ac:dyDescent="0.3">
      <c r="A4897" t="s">
        <v>5008</v>
      </c>
      <c r="B4897" t="s">
        <v>38</v>
      </c>
      <c r="C4897" t="s">
        <v>5001</v>
      </c>
      <c r="D4897" s="1">
        <v>0.44400462962962961</v>
      </c>
      <c r="E4897" s="2">
        <f>CallLog[[#This Row],[Date]]+CallLog[[#This Row],[Time]]</f>
        <v>44284.444004629629</v>
      </c>
      <c r="F4897" s="1" t="str">
        <f>TEXT(CallLog[[#This Row],[Date]],"dddd")</f>
        <v>Monday</v>
      </c>
      <c r="G4897" s="3">
        <f>HOUR(CallLog[[#This Row],[Time]])</f>
        <v>10</v>
      </c>
      <c r="H4897" t="s">
        <v>17</v>
      </c>
      <c r="I4897" t="s">
        <v>18</v>
      </c>
      <c r="J4897" t="s">
        <v>18</v>
      </c>
      <c r="L4897" t="str">
        <f>IF(AND(CallLog[[#This Row],[Answered (Y/N)]]="Y", CallLog[[#This Row],[Speed of answer in seconds]]&lt;=20),
    "Within",
    "Breach")</f>
        <v>Breach</v>
      </c>
    </row>
    <row r="4898" spans="1:14" x14ac:dyDescent="0.3">
      <c r="A4898" t="s">
        <v>5009</v>
      </c>
      <c r="B4898" t="s">
        <v>16</v>
      </c>
      <c r="C4898" t="s">
        <v>5001</v>
      </c>
      <c r="D4898" s="1">
        <v>0.44799768518518518</v>
      </c>
      <c r="E4898" s="2">
        <f>CallLog[[#This Row],[Date]]+CallLog[[#This Row],[Time]]</f>
        <v>44284.447997685187</v>
      </c>
      <c r="F4898" s="1" t="str">
        <f>TEXT(CallLog[[#This Row],[Date]],"dddd")</f>
        <v>Monday</v>
      </c>
      <c r="G4898" s="3">
        <f>HOUR(CallLog[[#This Row],[Time]])</f>
        <v>10</v>
      </c>
      <c r="H4898" t="s">
        <v>29</v>
      </c>
      <c r="I4898" t="s">
        <v>14</v>
      </c>
      <c r="J4898" t="s">
        <v>14</v>
      </c>
      <c r="K4898">
        <v>77</v>
      </c>
      <c r="L4898" t="str">
        <f>IF(AND(CallLog[[#This Row],[Answered (Y/N)]]="Y", CallLog[[#This Row],[Speed of answer in seconds]]&lt;=20),
    "Within",
    "Breach")</f>
        <v>Breach</v>
      </c>
      <c r="M4898" s="1">
        <v>1.0532407407407407E-3</v>
      </c>
      <c r="N4898">
        <v>4</v>
      </c>
    </row>
    <row r="4899" spans="1:14" x14ac:dyDescent="0.3">
      <c r="A4899" t="s">
        <v>5010</v>
      </c>
      <c r="B4899" t="s">
        <v>11</v>
      </c>
      <c r="C4899" t="s">
        <v>5001</v>
      </c>
      <c r="D4899" s="1">
        <v>0.44799768518518518</v>
      </c>
      <c r="E4899" s="2">
        <f>CallLog[[#This Row],[Date]]+CallLog[[#This Row],[Time]]</f>
        <v>44284.447997685187</v>
      </c>
      <c r="F4899" s="1" t="str">
        <f>TEXT(CallLog[[#This Row],[Date]],"dddd")</f>
        <v>Monday</v>
      </c>
      <c r="G4899" s="3">
        <f>HOUR(CallLog[[#This Row],[Time]])</f>
        <v>10</v>
      </c>
      <c r="H4899" t="s">
        <v>13</v>
      </c>
      <c r="I4899" t="s">
        <v>14</v>
      </c>
      <c r="J4899" t="s">
        <v>14</v>
      </c>
      <c r="K4899">
        <v>93</v>
      </c>
      <c r="L4899" t="str">
        <f>IF(AND(CallLog[[#This Row],[Answered (Y/N)]]="Y", CallLog[[#This Row],[Speed of answer in seconds]]&lt;=20),
    "Within",
    "Breach")</f>
        <v>Breach</v>
      </c>
      <c r="M4899" s="1">
        <v>3.3680555555555556E-3</v>
      </c>
      <c r="N4899">
        <v>2</v>
      </c>
    </row>
    <row r="4900" spans="1:14" x14ac:dyDescent="0.3">
      <c r="A4900" t="s">
        <v>5011</v>
      </c>
      <c r="B4900" t="s">
        <v>20</v>
      </c>
      <c r="C4900" t="s">
        <v>5001</v>
      </c>
      <c r="D4900" s="1">
        <v>0.45099537037037035</v>
      </c>
      <c r="E4900" s="2">
        <f>CallLog[[#This Row],[Date]]+CallLog[[#This Row],[Time]]</f>
        <v>44284.450995370367</v>
      </c>
      <c r="F4900" s="1" t="str">
        <f>TEXT(CallLog[[#This Row],[Date]],"dddd")</f>
        <v>Monday</v>
      </c>
      <c r="G4900" s="3">
        <f>HOUR(CallLog[[#This Row],[Time]])</f>
        <v>10</v>
      </c>
      <c r="H4900" t="s">
        <v>17</v>
      </c>
      <c r="I4900" t="s">
        <v>14</v>
      </c>
      <c r="J4900" t="s">
        <v>14</v>
      </c>
      <c r="K4900">
        <v>53</v>
      </c>
      <c r="L4900" t="str">
        <f>IF(AND(CallLog[[#This Row],[Answered (Y/N)]]="Y", CallLog[[#This Row],[Speed of answer in seconds]]&lt;=20),
    "Within",
    "Breach")</f>
        <v>Breach</v>
      </c>
      <c r="M4900" s="1">
        <v>3.8657407407407408E-3</v>
      </c>
      <c r="N4900">
        <v>2</v>
      </c>
    </row>
    <row r="4901" spans="1:14" x14ac:dyDescent="0.3">
      <c r="A4901" t="s">
        <v>5012</v>
      </c>
      <c r="B4901" t="s">
        <v>22</v>
      </c>
      <c r="C4901" t="s">
        <v>5001</v>
      </c>
      <c r="D4901" s="1">
        <v>0.45099537037037035</v>
      </c>
      <c r="E4901" s="2">
        <f>CallLog[[#This Row],[Date]]+CallLog[[#This Row],[Time]]</f>
        <v>44284.450995370367</v>
      </c>
      <c r="F4901" s="1" t="str">
        <f>TEXT(CallLog[[#This Row],[Date]],"dddd")</f>
        <v>Monday</v>
      </c>
      <c r="G4901" s="3">
        <f>HOUR(CallLog[[#This Row],[Time]])</f>
        <v>10</v>
      </c>
      <c r="H4901" t="s">
        <v>17</v>
      </c>
      <c r="I4901" t="s">
        <v>18</v>
      </c>
      <c r="J4901" t="s">
        <v>18</v>
      </c>
      <c r="L4901" t="str">
        <f>IF(AND(CallLog[[#This Row],[Answered (Y/N)]]="Y", CallLog[[#This Row],[Speed of answer in seconds]]&lt;=20),
    "Within",
    "Breach")</f>
        <v>Breach</v>
      </c>
    </row>
    <row r="4902" spans="1:14" x14ac:dyDescent="0.3">
      <c r="A4902" t="s">
        <v>5013</v>
      </c>
      <c r="B4902" t="s">
        <v>38</v>
      </c>
      <c r="C4902" t="s">
        <v>5001</v>
      </c>
      <c r="D4902" s="1">
        <v>0.4620023148148148</v>
      </c>
      <c r="E4902" s="2">
        <f>CallLog[[#This Row],[Date]]+CallLog[[#This Row],[Time]]</f>
        <v>44284.462002314816</v>
      </c>
      <c r="F4902" s="1" t="str">
        <f>TEXT(CallLog[[#This Row],[Date]],"dddd")</f>
        <v>Monday</v>
      </c>
      <c r="G4902" s="3">
        <f>HOUR(CallLog[[#This Row],[Time]])</f>
        <v>11</v>
      </c>
      <c r="H4902" t="s">
        <v>17</v>
      </c>
      <c r="I4902" t="s">
        <v>14</v>
      </c>
      <c r="J4902" t="s">
        <v>14</v>
      </c>
      <c r="K4902">
        <v>27</v>
      </c>
      <c r="L4902" t="str">
        <f>IF(AND(CallLog[[#This Row],[Answered (Y/N)]]="Y", CallLog[[#This Row],[Speed of answer in seconds]]&lt;=20),
    "Within",
    "Breach")</f>
        <v>Breach</v>
      </c>
      <c r="M4902" s="1">
        <v>4.8495370370370368E-3</v>
      </c>
      <c r="N4902">
        <v>2</v>
      </c>
    </row>
    <row r="4903" spans="1:14" x14ac:dyDescent="0.3">
      <c r="A4903" t="s">
        <v>5014</v>
      </c>
      <c r="B4903" t="s">
        <v>38</v>
      </c>
      <c r="C4903" t="s">
        <v>5001</v>
      </c>
      <c r="D4903" s="1">
        <v>0.4620023148148148</v>
      </c>
      <c r="E4903" s="2">
        <f>CallLog[[#This Row],[Date]]+CallLog[[#This Row],[Time]]</f>
        <v>44284.462002314816</v>
      </c>
      <c r="F4903" s="1" t="str">
        <f>TEXT(CallLog[[#This Row],[Date]],"dddd")</f>
        <v>Monday</v>
      </c>
      <c r="G4903" s="3">
        <f>HOUR(CallLog[[#This Row],[Time]])</f>
        <v>11</v>
      </c>
      <c r="H4903" t="s">
        <v>24</v>
      </c>
      <c r="I4903" t="s">
        <v>14</v>
      </c>
      <c r="J4903" t="s">
        <v>14</v>
      </c>
      <c r="K4903">
        <v>111</v>
      </c>
      <c r="L4903" t="str">
        <f>IF(AND(CallLog[[#This Row],[Answered (Y/N)]]="Y", CallLog[[#This Row],[Speed of answer in seconds]]&lt;=20),
    "Within",
    "Breach")</f>
        <v>Breach</v>
      </c>
      <c r="M4903" s="1">
        <v>7.291666666666667E-4</v>
      </c>
      <c r="N4903">
        <v>5</v>
      </c>
    </row>
    <row r="4904" spans="1:14" x14ac:dyDescent="0.3">
      <c r="A4904" t="s">
        <v>5015</v>
      </c>
      <c r="B4904" t="s">
        <v>20</v>
      </c>
      <c r="C4904" t="s">
        <v>5001</v>
      </c>
      <c r="D4904" s="1">
        <v>0.4670023148148148</v>
      </c>
      <c r="E4904" s="2">
        <f>CallLog[[#This Row],[Date]]+CallLog[[#This Row],[Time]]</f>
        <v>44284.467002314814</v>
      </c>
      <c r="F4904" s="1" t="str">
        <f>TEXT(CallLog[[#This Row],[Date]],"dddd")</f>
        <v>Monday</v>
      </c>
      <c r="G4904" s="3">
        <f>HOUR(CallLog[[#This Row],[Time]])</f>
        <v>11</v>
      </c>
      <c r="H4904" t="s">
        <v>24</v>
      </c>
      <c r="I4904" t="s">
        <v>14</v>
      </c>
      <c r="J4904" t="s">
        <v>14</v>
      </c>
      <c r="K4904">
        <v>87</v>
      </c>
      <c r="L4904" t="str">
        <f>IF(AND(CallLog[[#This Row],[Answered (Y/N)]]="Y", CallLog[[#This Row],[Speed of answer in seconds]]&lt;=20),
    "Within",
    "Breach")</f>
        <v>Breach</v>
      </c>
      <c r="M4904" s="1">
        <v>2.673611111111111E-3</v>
      </c>
      <c r="N4904">
        <v>3</v>
      </c>
    </row>
    <row r="4905" spans="1:14" x14ac:dyDescent="0.3">
      <c r="A4905" t="s">
        <v>5016</v>
      </c>
      <c r="B4905" t="s">
        <v>38</v>
      </c>
      <c r="C4905" t="s">
        <v>5001</v>
      </c>
      <c r="D4905" s="1">
        <v>0.4670023148148148</v>
      </c>
      <c r="E4905" s="2">
        <f>CallLog[[#This Row],[Date]]+CallLog[[#This Row],[Time]]</f>
        <v>44284.467002314814</v>
      </c>
      <c r="F4905" s="1" t="str">
        <f>TEXT(CallLog[[#This Row],[Date]],"dddd")</f>
        <v>Monday</v>
      </c>
      <c r="G4905" s="3">
        <f>HOUR(CallLog[[#This Row],[Time]])</f>
        <v>11</v>
      </c>
      <c r="H4905" t="s">
        <v>13</v>
      </c>
      <c r="I4905" t="s">
        <v>14</v>
      </c>
      <c r="J4905" t="s">
        <v>14</v>
      </c>
      <c r="K4905">
        <v>78</v>
      </c>
      <c r="L4905" t="str">
        <f>IF(AND(CallLog[[#This Row],[Answered (Y/N)]]="Y", CallLog[[#This Row],[Speed of answer in seconds]]&lt;=20),
    "Within",
    "Breach")</f>
        <v>Breach</v>
      </c>
      <c r="M4905" s="1">
        <v>3.5879629629629629E-4</v>
      </c>
      <c r="N4905">
        <v>4</v>
      </c>
    </row>
    <row r="4906" spans="1:14" x14ac:dyDescent="0.3">
      <c r="A4906" t="s">
        <v>5017</v>
      </c>
      <c r="B4906" t="s">
        <v>22</v>
      </c>
      <c r="C4906" t="s">
        <v>5001</v>
      </c>
      <c r="D4906" s="1">
        <v>0.48200231481481481</v>
      </c>
      <c r="E4906" s="2">
        <f>CallLog[[#This Row],[Date]]+CallLog[[#This Row],[Time]]</f>
        <v>44284.482002314813</v>
      </c>
      <c r="F4906" s="1" t="str">
        <f>TEXT(CallLog[[#This Row],[Date]],"dddd")</f>
        <v>Monday</v>
      </c>
      <c r="G4906" s="3">
        <f>HOUR(CallLog[[#This Row],[Time]])</f>
        <v>11</v>
      </c>
      <c r="H4906" t="s">
        <v>13</v>
      </c>
      <c r="I4906" t="s">
        <v>14</v>
      </c>
      <c r="J4906" t="s">
        <v>14</v>
      </c>
      <c r="K4906">
        <v>78</v>
      </c>
      <c r="L4906" t="str">
        <f>IF(AND(CallLog[[#This Row],[Answered (Y/N)]]="Y", CallLog[[#This Row],[Speed of answer in seconds]]&lt;=20),
    "Within",
    "Breach")</f>
        <v>Breach</v>
      </c>
      <c r="M4906" s="1">
        <v>2.1412037037037038E-3</v>
      </c>
      <c r="N4906">
        <v>1</v>
      </c>
    </row>
    <row r="4907" spans="1:14" x14ac:dyDescent="0.3">
      <c r="A4907" t="s">
        <v>5018</v>
      </c>
      <c r="B4907" t="s">
        <v>38</v>
      </c>
      <c r="C4907" t="s">
        <v>5001</v>
      </c>
      <c r="D4907" s="1">
        <v>0.48200231481481481</v>
      </c>
      <c r="E4907" s="2">
        <f>CallLog[[#This Row],[Date]]+CallLog[[#This Row],[Time]]</f>
        <v>44284.482002314813</v>
      </c>
      <c r="F4907" s="1" t="str">
        <f>TEXT(CallLog[[#This Row],[Date]],"dddd")</f>
        <v>Monday</v>
      </c>
      <c r="G4907" s="3">
        <f>HOUR(CallLog[[#This Row],[Time]])</f>
        <v>11</v>
      </c>
      <c r="H4907" t="s">
        <v>13</v>
      </c>
      <c r="I4907" t="s">
        <v>14</v>
      </c>
      <c r="J4907" t="s">
        <v>14</v>
      </c>
      <c r="K4907">
        <v>116</v>
      </c>
      <c r="L4907" t="str">
        <f>IF(AND(CallLog[[#This Row],[Answered (Y/N)]]="Y", CallLog[[#This Row],[Speed of answer in seconds]]&lt;=20),
    "Within",
    "Breach")</f>
        <v>Breach</v>
      </c>
      <c r="M4907" s="1">
        <v>3.414351851851852E-3</v>
      </c>
      <c r="N4907">
        <v>3</v>
      </c>
    </row>
    <row r="4908" spans="1:14" x14ac:dyDescent="0.3">
      <c r="A4908" t="s">
        <v>5019</v>
      </c>
      <c r="B4908" t="s">
        <v>20</v>
      </c>
      <c r="C4908" t="s">
        <v>5001</v>
      </c>
      <c r="D4908" s="1">
        <v>0.495</v>
      </c>
      <c r="E4908" s="2">
        <f>CallLog[[#This Row],[Date]]+CallLog[[#This Row],[Time]]</f>
        <v>44284.495000000003</v>
      </c>
      <c r="F4908" s="1" t="str">
        <f>TEXT(CallLog[[#This Row],[Date]],"dddd")</f>
        <v>Monday</v>
      </c>
      <c r="G4908" s="3">
        <f>HOUR(CallLog[[#This Row],[Time]])</f>
        <v>11</v>
      </c>
      <c r="H4908" t="s">
        <v>17</v>
      </c>
      <c r="I4908" t="s">
        <v>14</v>
      </c>
      <c r="J4908" t="s">
        <v>14</v>
      </c>
      <c r="K4908">
        <v>84</v>
      </c>
      <c r="L4908" t="str">
        <f>IF(AND(CallLog[[#This Row],[Answered (Y/N)]]="Y", CallLog[[#This Row],[Speed of answer in seconds]]&lt;=20),
    "Within",
    "Breach")</f>
        <v>Breach</v>
      </c>
      <c r="M4908" s="1">
        <v>1.3078703703703703E-3</v>
      </c>
      <c r="N4908">
        <v>3</v>
      </c>
    </row>
    <row r="4909" spans="1:14" x14ac:dyDescent="0.3">
      <c r="A4909" t="s">
        <v>5020</v>
      </c>
      <c r="B4909" t="s">
        <v>16</v>
      </c>
      <c r="C4909" t="s">
        <v>5001</v>
      </c>
      <c r="D4909" s="1">
        <v>0.495</v>
      </c>
      <c r="E4909" s="2">
        <f>CallLog[[#This Row],[Date]]+CallLog[[#This Row],[Time]]</f>
        <v>44284.495000000003</v>
      </c>
      <c r="F4909" s="1" t="str">
        <f>TEXT(CallLog[[#This Row],[Date]],"dddd")</f>
        <v>Monday</v>
      </c>
      <c r="G4909" s="3">
        <f>HOUR(CallLog[[#This Row],[Time]])</f>
        <v>11</v>
      </c>
      <c r="H4909" t="s">
        <v>29</v>
      </c>
      <c r="I4909" t="s">
        <v>14</v>
      </c>
      <c r="J4909" t="s">
        <v>14</v>
      </c>
      <c r="K4909">
        <v>44</v>
      </c>
      <c r="L4909" t="str">
        <f>IF(AND(CallLog[[#This Row],[Answered (Y/N)]]="Y", CallLog[[#This Row],[Speed of answer in seconds]]&lt;=20),
    "Within",
    "Breach")</f>
        <v>Breach</v>
      </c>
      <c r="M4909" s="1">
        <v>1.7708333333333332E-3</v>
      </c>
      <c r="N4909">
        <v>2</v>
      </c>
    </row>
    <row r="4910" spans="1:14" x14ac:dyDescent="0.3">
      <c r="A4910" t="s">
        <v>5021</v>
      </c>
      <c r="B4910" t="s">
        <v>31</v>
      </c>
      <c r="C4910" t="s">
        <v>5001</v>
      </c>
      <c r="D4910" s="1">
        <v>0.5</v>
      </c>
      <c r="E4910" s="2">
        <f>CallLog[[#This Row],[Date]]+CallLog[[#This Row],[Time]]</f>
        <v>44284.5</v>
      </c>
      <c r="F4910" s="1" t="str">
        <f>TEXT(CallLog[[#This Row],[Date]],"dddd")</f>
        <v>Monday</v>
      </c>
      <c r="G4910" s="3">
        <f>HOUR(CallLog[[#This Row],[Time]])</f>
        <v>12</v>
      </c>
      <c r="H4910" t="s">
        <v>13</v>
      </c>
      <c r="I4910" t="s">
        <v>14</v>
      </c>
      <c r="J4910" t="s">
        <v>18</v>
      </c>
      <c r="K4910">
        <v>121</v>
      </c>
      <c r="L4910" t="str">
        <f>IF(AND(CallLog[[#This Row],[Answered (Y/N)]]="Y", CallLog[[#This Row],[Speed of answer in seconds]]&lt;=20),
    "Within",
    "Breach")</f>
        <v>Breach</v>
      </c>
      <c r="M4910" s="1">
        <v>3.8657407407407408E-3</v>
      </c>
      <c r="N4910">
        <v>3</v>
      </c>
    </row>
    <row r="4911" spans="1:14" x14ac:dyDescent="0.3">
      <c r="A4911" t="s">
        <v>5022</v>
      </c>
      <c r="B4911" t="s">
        <v>31</v>
      </c>
      <c r="C4911" t="s">
        <v>5001</v>
      </c>
      <c r="D4911" s="1">
        <v>0.5</v>
      </c>
      <c r="E4911" s="2">
        <f>CallLog[[#This Row],[Date]]+CallLog[[#This Row],[Time]]</f>
        <v>44284.5</v>
      </c>
      <c r="F4911" s="1" t="str">
        <f>TEXT(CallLog[[#This Row],[Date]],"dddd")</f>
        <v>Monday</v>
      </c>
      <c r="G4911" s="3">
        <f>HOUR(CallLog[[#This Row],[Time]])</f>
        <v>12</v>
      </c>
      <c r="H4911" t="s">
        <v>24</v>
      </c>
      <c r="I4911" t="s">
        <v>14</v>
      </c>
      <c r="J4911" t="s">
        <v>14</v>
      </c>
      <c r="K4911">
        <v>92</v>
      </c>
      <c r="L4911" t="str">
        <f>IF(AND(CallLog[[#This Row],[Answered (Y/N)]]="Y", CallLog[[#This Row],[Speed of answer in seconds]]&lt;=20),
    "Within",
    "Breach")</f>
        <v>Breach</v>
      </c>
      <c r="M4911" s="1">
        <v>7.1759259259259259E-4</v>
      </c>
      <c r="N4911">
        <v>3</v>
      </c>
    </row>
    <row r="4912" spans="1:14" x14ac:dyDescent="0.3">
      <c r="A4912" t="s">
        <v>5023</v>
      </c>
      <c r="B4912" t="s">
        <v>20</v>
      </c>
      <c r="C4912" t="s">
        <v>5001</v>
      </c>
      <c r="D4912" s="1">
        <v>0.54099537037037038</v>
      </c>
      <c r="E4912" s="2">
        <f>CallLog[[#This Row],[Date]]+CallLog[[#This Row],[Time]]</f>
        <v>44284.540995370371</v>
      </c>
      <c r="F4912" s="1" t="str">
        <f>TEXT(CallLog[[#This Row],[Date]],"dddd")</f>
        <v>Monday</v>
      </c>
      <c r="G4912" s="3">
        <f>HOUR(CallLog[[#This Row],[Time]])</f>
        <v>12</v>
      </c>
      <c r="H4912" t="s">
        <v>13</v>
      </c>
      <c r="I4912" t="s">
        <v>14</v>
      </c>
      <c r="J4912" t="s">
        <v>14</v>
      </c>
      <c r="K4912">
        <v>83</v>
      </c>
      <c r="L4912" t="str">
        <f>IF(AND(CallLog[[#This Row],[Answered (Y/N)]]="Y", CallLog[[#This Row],[Speed of answer in seconds]]&lt;=20),
    "Within",
    "Breach")</f>
        <v>Breach</v>
      </c>
      <c r="M4912" s="1">
        <v>1.7939814814814815E-3</v>
      </c>
      <c r="N4912">
        <v>3</v>
      </c>
    </row>
    <row r="4913" spans="1:14" x14ac:dyDescent="0.3">
      <c r="A4913" t="s">
        <v>5024</v>
      </c>
      <c r="B4913" t="s">
        <v>20</v>
      </c>
      <c r="C4913" t="s">
        <v>5001</v>
      </c>
      <c r="D4913" s="1">
        <v>0.54099537037037038</v>
      </c>
      <c r="E4913" s="2">
        <f>CallLog[[#This Row],[Date]]+CallLog[[#This Row],[Time]]</f>
        <v>44284.540995370371</v>
      </c>
      <c r="F4913" s="1" t="str">
        <f>TEXT(CallLog[[#This Row],[Date]],"dddd")</f>
        <v>Monday</v>
      </c>
      <c r="G4913" s="3">
        <f>HOUR(CallLog[[#This Row],[Time]])</f>
        <v>12</v>
      </c>
      <c r="H4913" t="s">
        <v>13</v>
      </c>
      <c r="I4913" t="s">
        <v>14</v>
      </c>
      <c r="J4913" t="s">
        <v>14</v>
      </c>
      <c r="K4913">
        <v>12</v>
      </c>
      <c r="L4913" t="str">
        <f>IF(AND(CallLog[[#This Row],[Answered (Y/N)]]="Y", CallLog[[#This Row],[Speed of answer in seconds]]&lt;=20),
    "Within",
    "Breach")</f>
        <v>Within</v>
      </c>
      <c r="M4913" s="1">
        <v>9.4907407407407408E-4</v>
      </c>
      <c r="N4913">
        <v>4</v>
      </c>
    </row>
    <row r="4914" spans="1:14" x14ac:dyDescent="0.3">
      <c r="A4914" t="s">
        <v>5025</v>
      </c>
      <c r="B4914" t="s">
        <v>47</v>
      </c>
      <c r="C4914" t="s">
        <v>5001</v>
      </c>
      <c r="D4914" s="1">
        <v>0.54299768518518521</v>
      </c>
      <c r="E4914" s="2">
        <f>CallLog[[#This Row],[Date]]+CallLog[[#This Row],[Time]]</f>
        <v>44284.542997685188</v>
      </c>
      <c r="F4914" s="1" t="str">
        <f>TEXT(CallLog[[#This Row],[Date]],"dddd")</f>
        <v>Monday</v>
      </c>
      <c r="G4914" s="3">
        <f>HOUR(CallLog[[#This Row],[Time]])</f>
        <v>13</v>
      </c>
      <c r="H4914" t="s">
        <v>29</v>
      </c>
      <c r="I4914" t="s">
        <v>14</v>
      </c>
      <c r="J4914" t="s">
        <v>18</v>
      </c>
      <c r="K4914">
        <v>27</v>
      </c>
      <c r="L4914" t="str">
        <f>IF(AND(CallLog[[#This Row],[Answered (Y/N)]]="Y", CallLog[[#This Row],[Speed of answer in seconds]]&lt;=20),
    "Within",
    "Breach")</f>
        <v>Breach</v>
      </c>
      <c r="M4914" s="1">
        <v>1.4583333333333334E-3</v>
      </c>
      <c r="N4914">
        <v>3</v>
      </c>
    </row>
    <row r="4915" spans="1:14" x14ac:dyDescent="0.3">
      <c r="A4915" t="s">
        <v>5026</v>
      </c>
      <c r="B4915" t="s">
        <v>31</v>
      </c>
      <c r="C4915" t="s">
        <v>5001</v>
      </c>
      <c r="D4915" s="1">
        <v>0.54299768518518521</v>
      </c>
      <c r="E4915" s="2">
        <f>CallLog[[#This Row],[Date]]+CallLog[[#This Row],[Time]]</f>
        <v>44284.542997685188</v>
      </c>
      <c r="F4915" s="1" t="str">
        <f>TEXT(CallLog[[#This Row],[Date]],"dddd")</f>
        <v>Monday</v>
      </c>
      <c r="G4915" s="3">
        <f>HOUR(CallLog[[#This Row],[Time]])</f>
        <v>13</v>
      </c>
      <c r="H4915" t="s">
        <v>32</v>
      </c>
      <c r="I4915" t="s">
        <v>14</v>
      </c>
      <c r="J4915" t="s">
        <v>14</v>
      </c>
      <c r="K4915">
        <v>56</v>
      </c>
      <c r="L4915" t="str">
        <f>IF(AND(CallLog[[#This Row],[Answered (Y/N)]]="Y", CallLog[[#This Row],[Speed of answer in seconds]]&lt;=20),
    "Within",
    "Breach")</f>
        <v>Breach</v>
      </c>
      <c r="M4915" s="1">
        <v>1.3657407407407407E-3</v>
      </c>
      <c r="N4915">
        <v>3</v>
      </c>
    </row>
    <row r="4916" spans="1:14" x14ac:dyDescent="0.3">
      <c r="A4916" t="s">
        <v>5027</v>
      </c>
      <c r="B4916" t="s">
        <v>20</v>
      </c>
      <c r="C4916" t="s">
        <v>5001</v>
      </c>
      <c r="D4916" s="1">
        <v>0.56299768518518523</v>
      </c>
      <c r="E4916" s="2">
        <f>CallLog[[#This Row],[Date]]+CallLog[[#This Row],[Time]]</f>
        <v>44284.562997685185</v>
      </c>
      <c r="F4916" s="1" t="str">
        <f>TEXT(CallLog[[#This Row],[Date]],"dddd")</f>
        <v>Monday</v>
      </c>
      <c r="G4916" s="3">
        <f>HOUR(CallLog[[#This Row],[Time]])</f>
        <v>13</v>
      </c>
      <c r="H4916" t="s">
        <v>32</v>
      </c>
      <c r="I4916" t="s">
        <v>14</v>
      </c>
      <c r="J4916" t="s">
        <v>14</v>
      </c>
      <c r="K4916">
        <v>45</v>
      </c>
      <c r="L4916" t="str">
        <f>IF(AND(CallLog[[#This Row],[Answered (Y/N)]]="Y", CallLog[[#This Row],[Speed of answer in seconds]]&lt;=20),
    "Within",
    "Breach")</f>
        <v>Breach</v>
      </c>
      <c r="M4916" s="1">
        <v>4.6643518518518518E-3</v>
      </c>
      <c r="N4916">
        <v>4</v>
      </c>
    </row>
    <row r="4917" spans="1:14" x14ac:dyDescent="0.3">
      <c r="A4917" t="s">
        <v>5028</v>
      </c>
      <c r="B4917" t="s">
        <v>16</v>
      </c>
      <c r="C4917" t="s">
        <v>5001</v>
      </c>
      <c r="D4917" s="1">
        <v>0.56299768518518523</v>
      </c>
      <c r="E4917" s="2">
        <f>CallLog[[#This Row],[Date]]+CallLog[[#This Row],[Time]]</f>
        <v>44284.562997685185</v>
      </c>
      <c r="F4917" s="1" t="str">
        <f>TEXT(CallLog[[#This Row],[Date]],"dddd")</f>
        <v>Monday</v>
      </c>
      <c r="G4917" s="3">
        <f>HOUR(CallLog[[#This Row],[Time]])</f>
        <v>13</v>
      </c>
      <c r="H4917" t="s">
        <v>32</v>
      </c>
      <c r="I4917" t="s">
        <v>18</v>
      </c>
      <c r="J4917" t="s">
        <v>18</v>
      </c>
      <c r="L4917" t="str">
        <f>IF(AND(CallLog[[#This Row],[Answered (Y/N)]]="Y", CallLog[[#This Row],[Speed of answer in seconds]]&lt;=20),
    "Within",
    "Breach")</f>
        <v>Breach</v>
      </c>
    </row>
    <row r="4918" spans="1:14" x14ac:dyDescent="0.3">
      <c r="A4918" t="s">
        <v>5029</v>
      </c>
      <c r="B4918" t="s">
        <v>16</v>
      </c>
      <c r="C4918" t="s">
        <v>5001</v>
      </c>
      <c r="D4918" s="1">
        <v>0.57299768518518523</v>
      </c>
      <c r="E4918" s="2">
        <f>CallLog[[#This Row],[Date]]+CallLog[[#This Row],[Time]]</f>
        <v>44284.572997685187</v>
      </c>
      <c r="F4918" s="1" t="str">
        <f>TEXT(CallLog[[#This Row],[Date]],"dddd")</f>
        <v>Monday</v>
      </c>
      <c r="G4918" s="3">
        <f>HOUR(CallLog[[#This Row],[Time]])</f>
        <v>13</v>
      </c>
      <c r="H4918" t="s">
        <v>17</v>
      </c>
      <c r="I4918" t="s">
        <v>18</v>
      </c>
      <c r="J4918" t="s">
        <v>18</v>
      </c>
      <c r="L4918" t="str">
        <f>IF(AND(CallLog[[#This Row],[Answered (Y/N)]]="Y", CallLog[[#This Row],[Speed of answer in seconds]]&lt;=20),
    "Within",
    "Breach")</f>
        <v>Breach</v>
      </c>
    </row>
    <row r="4919" spans="1:14" x14ac:dyDescent="0.3">
      <c r="A4919" t="s">
        <v>5030</v>
      </c>
      <c r="B4919" t="s">
        <v>16</v>
      </c>
      <c r="C4919" t="s">
        <v>5001</v>
      </c>
      <c r="D4919" s="1">
        <v>0.57299768518518523</v>
      </c>
      <c r="E4919" s="2">
        <f>CallLog[[#This Row],[Date]]+CallLog[[#This Row],[Time]]</f>
        <v>44284.572997685187</v>
      </c>
      <c r="F4919" s="1" t="str">
        <f>TEXT(CallLog[[#This Row],[Date]],"dddd")</f>
        <v>Monday</v>
      </c>
      <c r="G4919" s="3">
        <f>HOUR(CallLog[[#This Row],[Time]])</f>
        <v>13</v>
      </c>
      <c r="H4919" t="s">
        <v>29</v>
      </c>
      <c r="I4919" t="s">
        <v>14</v>
      </c>
      <c r="J4919" t="s">
        <v>14</v>
      </c>
      <c r="K4919">
        <v>91</v>
      </c>
      <c r="L4919" t="str">
        <f>IF(AND(CallLog[[#This Row],[Answered (Y/N)]]="Y", CallLog[[#This Row],[Speed of answer in seconds]]&lt;=20),
    "Within",
    "Breach")</f>
        <v>Breach</v>
      </c>
      <c r="M4919" s="1">
        <v>3.4722222222222218E-4</v>
      </c>
      <c r="N4919">
        <v>4</v>
      </c>
    </row>
    <row r="4920" spans="1:14" x14ac:dyDescent="0.3">
      <c r="A4920" t="s">
        <v>5031</v>
      </c>
      <c r="B4920" t="s">
        <v>34</v>
      </c>
      <c r="C4920" t="s">
        <v>5001</v>
      </c>
      <c r="D4920" s="1">
        <v>0.58299768518518513</v>
      </c>
      <c r="E4920" s="2">
        <f>CallLog[[#This Row],[Date]]+CallLog[[#This Row],[Time]]</f>
        <v>44284.582997685182</v>
      </c>
      <c r="F4920" s="1" t="str">
        <f>TEXT(CallLog[[#This Row],[Date]],"dddd")</f>
        <v>Monday</v>
      </c>
      <c r="G4920" s="3">
        <f>HOUR(CallLog[[#This Row],[Time]])</f>
        <v>13</v>
      </c>
      <c r="H4920" t="s">
        <v>17</v>
      </c>
      <c r="I4920" t="s">
        <v>14</v>
      </c>
      <c r="J4920" t="s">
        <v>14</v>
      </c>
      <c r="K4920">
        <v>84</v>
      </c>
      <c r="L4920" t="str">
        <f>IF(AND(CallLog[[#This Row],[Answered (Y/N)]]="Y", CallLog[[#This Row],[Speed of answer in seconds]]&lt;=20),
    "Within",
    "Breach")</f>
        <v>Breach</v>
      </c>
      <c r="M4920" s="1">
        <v>1.8287037037037037E-3</v>
      </c>
      <c r="N4920">
        <v>1</v>
      </c>
    </row>
    <row r="4921" spans="1:14" x14ac:dyDescent="0.3">
      <c r="A4921" t="s">
        <v>5032</v>
      </c>
      <c r="B4921" t="s">
        <v>34</v>
      </c>
      <c r="C4921" t="s">
        <v>5001</v>
      </c>
      <c r="D4921" s="1">
        <v>0.58299768518518513</v>
      </c>
      <c r="E4921" s="2">
        <f>CallLog[[#This Row],[Date]]+CallLog[[#This Row],[Time]]</f>
        <v>44284.582997685182</v>
      </c>
      <c r="F4921" s="1" t="str">
        <f>TEXT(CallLog[[#This Row],[Date]],"dddd")</f>
        <v>Monday</v>
      </c>
      <c r="G4921" s="3">
        <f>HOUR(CallLog[[#This Row],[Time]])</f>
        <v>13</v>
      </c>
      <c r="H4921" t="s">
        <v>24</v>
      </c>
      <c r="I4921" t="s">
        <v>14</v>
      </c>
      <c r="J4921" t="s">
        <v>14</v>
      </c>
      <c r="K4921">
        <v>15</v>
      </c>
      <c r="L4921" t="str">
        <f>IF(AND(CallLog[[#This Row],[Answered (Y/N)]]="Y", CallLog[[#This Row],[Speed of answer in seconds]]&lt;=20),
    "Within",
    "Breach")</f>
        <v>Within</v>
      </c>
      <c r="M4921" s="1">
        <v>1.9328703703703704E-3</v>
      </c>
      <c r="N4921">
        <v>1</v>
      </c>
    </row>
    <row r="4922" spans="1:14" x14ac:dyDescent="0.3">
      <c r="A4922" t="s">
        <v>5033</v>
      </c>
      <c r="B4922" t="s">
        <v>34</v>
      </c>
      <c r="C4922" t="s">
        <v>5001</v>
      </c>
      <c r="D4922" s="1">
        <v>0.61299768518518516</v>
      </c>
      <c r="E4922" s="2">
        <f>CallLog[[#This Row],[Date]]+CallLog[[#This Row],[Time]]</f>
        <v>44284.612997685188</v>
      </c>
      <c r="F4922" s="1" t="str">
        <f>TEXT(CallLog[[#This Row],[Date]],"dddd")</f>
        <v>Monday</v>
      </c>
      <c r="G4922" s="3">
        <f>HOUR(CallLog[[#This Row],[Time]])</f>
        <v>14</v>
      </c>
      <c r="H4922" t="s">
        <v>17</v>
      </c>
      <c r="I4922" t="s">
        <v>14</v>
      </c>
      <c r="J4922" t="s">
        <v>14</v>
      </c>
      <c r="K4922">
        <v>31</v>
      </c>
      <c r="L4922" t="str">
        <f>IF(AND(CallLog[[#This Row],[Answered (Y/N)]]="Y", CallLog[[#This Row],[Speed of answer in seconds]]&lt;=20),
    "Within",
    "Breach")</f>
        <v>Breach</v>
      </c>
      <c r="M4922" s="1">
        <v>4.0162037037037041E-3</v>
      </c>
      <c r="N4922">
        <v>5</v>
      </c>
    </row>
    <row r="4923" spans="1:14" x14ac:dyDescent="0.3">
      <c r="A4923" t="s">
        <v>5034</v>
      </c>
      <c r="B4923" t="s">
        <v>31</v>
      </c>
      <c r="C4923" t="s">
        <v>5001</v>
      </c>
      <c r="D4923" s="1">
        <v>0.61299768518518516</v>
      </c>
      <c r="E4923" s="2">
        <f>CallLog[[#This Row],[Date]]+CallLog[[#This Row],[Time]]</f>
        <v>44284.612997685188</v>
      </c>
      <c r="F4923" s="1" t="str">
        <f>TEXT(CallLog[[#This Row],[Date]],"dddd")</f>
        <v>Monday</v>
      </c>
      <c r="G4923" s="3">
        <f>HOUR(CallLog[[#This Row],[Time]])</f>
        <v>14</v>
      </c>
      <c r="H4923" t="s">
        <v>17</v>
      </c>
      <c r="I4923" t="s">
        <v>14</v>
      </c>
      <c r="J4923" t="s">
        <v>14</v>
      </c>
      <c r="K4923">
        <v>100</v>
      </c>
      <c r="L4923" t="str">
        <f>IF(AND(CallLog[[#This Row],[Answered (Y/N)]]="Y", CallLog[[#This Row],[Speed of answer in seconds]]&lt;=20),
    "Within",
    "Breach")</f>
        <v>Breach</v>
      </c>
      <c r="M4923" s="1">
        <v>3.7962962962962963E-3</v>
      </c>
      <c r="N4923">
        <v>4</v>
      </c>
    </row>
    <row r="4924" spans="1:14" x14ac:dyDescent="0.3">
      <c r="A4924" t="s">
        <v>5035</v>
      </c>
      <c r="B4924" t="s">
        <v>31</v>
      </c>
      <c r="C4924" t="s">
        <v>5001</v>
      </c>
      <c r="D4924" s="1">
        <v>0.62</v>
      </c>
      <c r="E4924" s="2">
        <f>CallLog[[#This Row],[Date]]+CallLog[[#This Row],[Time]]</f>
        <v>44284.62</v>
      </c>
      <c r="F4924" s="1" t="str">
        <f>TEXT(CallLog[[#This Row],[Date]],"dddd")</f>
        <v>Monday</v>
      </c>
      <c r="G4924" s="3">
        <f>HOUR(CallLog[[#This Row],[Time]])</f>
        <v>14</v>
      </c>
      <c r="H4924" t="s">
        <v>29</v>
      </c>
      <c r="I4924" t="s">
        <v>14</v>
      </c>
      <c r="J4924" t="s">
        <v>14</v>
      </c>
      <c r="K4924">
        <v>75</v>
      </c>
      <c r="L4924" t="str">
        <f>IF(AND(CallLog[[#This Row],[Answered (Y/N)]]="Y", CallLog[[#This Row],[Speed of answer in seconds]]&lt;=20),
    "Within",
    "Breach")</f>
        <v>Breach</v>
      </c>
      <c r="M4924" s="1">
        <v>2.476851851851852E-3</v>
      </c>
      <c r="N4924">
        <v>3</v>
      </c>
    </row>
    <row r="4925" spans="1:14" x14ac:dyDescent="0.3">
      <c r="A4925" t="s">
        <v>5036</v>
      </c>
      <c r="B4925" t="s">
        <v>16</v>
      </c>
      <c r="C4925" t="s">
        <v>5001</v>
      </c>
      <c r="D4925" s="1">
        <v>0.62</v>
      </c>
      <c r="E4925" s="2">
        <f>CallLog[[#This Row],[Date]]+CallLog[[#This Row],[Time]]</f>
        <v>44284.62</v>
      </c>
      <c r="F4925" s="1" t="str">
        <f>TEXT(CallLog[[#This Row],[Date]],"dddd")</f>
        <v>Monday</v>
      </c>
      <c r="G4925" s="3">
        <f>HOUR(CallLog[[#This Row],[Time]])</f>
        <v>14</v>
      </c>
      <c r="H4925" t="s">
        <v>13</v>
      </c>
      <c r="I4925" t="s">
        <v>18</v>
      </c>
      <c r="J4925" t="s">
        <v>18</v>
      </c>
      <c r="L4925" t="str">
        <f>IF(AND(CallLog[[#This Row],[Answered (Y/N)]]="Y", CallLog[[#This Row],[Speed of answer in seconds]]&lt;=20),
    "Within",
    "Breach")</f>
        <v>Breach</v>
      </c>
    </row>
    <row r="4926" spans="1:14" x14ac:dyDescent="0.3">
      <c r="A4926" t="s">
        <v>5037</v>
      </c>
      <c r="B4926" t="s">
        <v>16</v>
      </c>
      <c r="C4926" t="s">
        <v>5001</v>
      </c>
      <c r="D4926" s="1">
        <v>0.62400462962962966</v>
      </c>
      <c r="E4926" s="2">
        <f>CallLog[[#This Row],[Date]]+CallLog[[#This Row],[Time]]</f>
        <v>44284.62400462963</v>
      </c>
      <c r="F4926" s="1" t="str">
        <f>TEXT(CallLog[[#This Row],[Date]],"dddd")</f>
        <v>Monday</v>
      </c>
      <c r="G4926" s="3">
        <f>HOUR(CallLog[[#This Row],[Time]])</f>
        <v>14</v>
      </c>
      <c r="H4926" t="s">
        <v>29</v>
      </c>
      <c r="I4926" t="s">
        <v>14</v>
      </c>
      <c r="J4926" t="s">
        <v>14</v>
      </c>
      <c r="K4926">
        <v>47</v>
      </c>
      <c r="L4926" t="str">
        <f>IF(AND(CallLog[[#This Row],[Answered (Y/N)]]="Y", CallLog[[#This Row],[Speed of answer in seconds]]&lt;=20),
    "Within",
    "Breach")</f>
        <v>Breach</v>
      </c>
      <c r="M4926" s="1">
        <v>2.8935185185185184E-3</v>
      </c>
      <c r="N4926">
        <v>5</v>
      </c>
    </row>
    <row r="4927" spans="1:14" x14ac:dyDescent="0.3">
      <c r="A4927" t="s">
        <v>5038</v>
      </c>
      <c r="B4927" t="s">
        <v>47</v>
      </c>
      <c r="C4927" t="s">
        <v>5001</v>
      </c>
      <c r="D4927" s="1">
        <v>0.62400462962962966</v>
      </c>
      <c r="E4927" s="2">
        <f>CallLog[[#This Row],[Date]]+CallLog[[#This Row],[Time]]</f>
        <v>44284.62400462963</v>
      </c>
      <c r="F4927" s="1" t="str">
        <f>TEXT(CallLog[[#This Row],[Date]],"dddd")</f>
        <v>Monday</v>
      </c>
      <c r="G4927" s="3">
        <f>HOUR(CallLog[[#This Row],[Time]])</f>
        <v>14</v>
      </c>
      <c r="H4927" t="s">
        <v>32</v>
      </c>
      <c r="I4927" t="s">
        <v>18</v>
      </c>
      <c r="J4927" t="s">
        <v>18</v>
      </c>
      <c r="L4927" t="str">
        <f>IF(AND(CallLog[[#This Row],[Answered (Y/N)]]="Y", CallLog[[#This Row],[Speed of answer in seconds]]&lt;=20),
    "Within",
    "Breach")</f>
        <v>Breach</v>
      </c>
    </row>
    <row r="4928" spans="1:14" x14ac:dyDescent="0.3">
      <c r="A4928" t="s">
        <v>5039</v>
      </c>
      <c r="B4928" t="s">
        <v>47</v>
      </c>
      <c r="C4928" t="s">
        <v>5001</v>
      </c>
      <c r="D4928" s="1">
        <v>0.62799768518518517</v>
      </c>
      <c r="E4928" s="2">
        <f>CallLog[[#This Row],[Date]]+CallLog[[#This Row],[Time]]</f>
        <v>44284.627997685187</v>
      </c>
      <c r="F4928" s="1" t="str">
        <f>TEXT(CallLog[[#This Row],[Date]],"dddd")</f>
        <v>Monday</v>
      </c>
      <c r="G4928" s="3">
        <f>HOUR(CallLog[[#This Row],[Time]])</f>
        <v>15</v>
      </c>
      <c r="H4928" t="s">
        <v>17</v>
      </c>
      <c r="I4928" t="s">
        <v>14</v>
      </c>
      <c r="J4928" t="s">
        <v>14</v>
      </c>
      <c r="K4928">
        <v>73</v>
      </c>
      <c r="L4928" t="str">
        <f>IF(AND(CallLog[[#This Row],[Answered (Y/N)]]="Y", CallLog[[#This Row],[Speed of answer in seconds]]&lt;=20),
    "Within",
    "Breach")</f>
        <v>Breach</v>
      </c>
      <c r="M4928" s="1">
        <v>2.2569444444444442E-3</v>
      </c>
      <c r="N4928">
        <v>3</v>
      </c>
    </row>
    <row r="4929" spans="1:14" x14ac:dyDescent="0.3">
      <c r="A4929" t="s">
        <v>5040</v>
      </c>
      <c r="B4929" t="s">
        <v>31</v>
      </c>
      <c r="C4929" t="s">
        <v>5001</v>
      </c>
      <c r="D4929" s="1">
        <v>0.62799768518518517</v>
      </c>
      <c r="E4929" s="2">
        <f>CallLog[[#This Row],[Date]]+CallLog[[#This Row],[Time]]</f>
        <v>44284.627997685187</v>
      </c>
      <c r="F4929" s="1" t="str">
        <f>TEXT(CallLog[[#This Row],[Date]],"dddd")</f>
        <v>Monday</v>
      </c>
      <c r="G4929" s="3">
        <f>HOUR(CallLog[[#This Row],[Time]])</f>
        <v>15</v>
      </c>
      <c r="H4929" t="s">
        <v>32</v>
      </c>
      <c r="I4929" t="s">
        <v>14</v>
      </c>
      <c r="J4929" t="s">
        <v>14</v>
      </c>
      <c r="K4929">
        <v>33</v>
      </c>
      <c r="L4929" t="str">
        <f>IF(AND(CallLog[[#This Row],[Answered (Y/N)]]="Y", CallLog[[#This Row],[Speed of answer in seconds]]&lt;=20),
    "Within",
    "Breach")</f>
        <v>Breach</v>
      </c>
      <c r="M4929" s="1">
        <v>2.5578703703703705E-3</v>
      </c>
      <c r="N4929">
        <v>3</v>
      </c>
    </row>
    <row r="4930" spans="1:14" x14ac:dyDescent="0.3">
      <c r="A4930" t="s">
        <v>5041</v>
      </c>
      <c r="B4930" t="s">
        <v>34</v>
      </c>
      <c r="C4930" t="s">
        <v>5001</v>
      </c>
      <c r="D4930" s="1">
        <v>0.62900462962962966</v>
      </c>
      <c r="E4930" s="2">
        <f>CallLog[[#This Row],[Date]]+CallLog[[#This Row],[Time]]</f>
        <v>44284.629004629627</v>
      </c>
      <c r="F4930" s="1" t="str">
        <f>TEXT(CallLog[[#This Row],[Date]],"dddd")</f>
        <v>Monday</v>
      </c>
      <c r="G4930" s="3">
        <f>HOUR(CallLog[[#This Row],[Time]])</f>
        <v>15</v>
      </c>
      <c r="H4930" t="s">
        <v>29</v>
      </c>
      <c r="I4930" t="s">
        <v>18</v>
      </c>
      <c r="J4930" t="s">
        <v>18</v>
      </c>
      <c r="L4930" t="str">
        <f>IF(AND(CallLog[[#This Row],[Answered (Y/N)]]="Y", CallLog[[#This Row],[Speed of answer in seconds]]&lt;=20),
    "Within",
    "Breach")</f>
        <v>Breach</v>
      </c>
    </row>
    <row r="4931" spans="1:14" x14ac:dyDescent="0.3">
      <c r="A4931" t="s">
        <v>5042</v>
      </c>
      <c r="B4931" t="s">
        <v>20</v>
      </c>
      <c r="C4931" t="s">
        <v>5001</v>
      </c>
      <c r="D4931" s="1">
        <v>0.62900462962962966</v>
      </c>
      <c r="E4931" s="2">
        <f>CallLog[[#This Row],[Date]]+CallLog[[#This Row],[Time]]</f>
        <v>44284.629004629627</v>
      </c>
      <c r="F4931" s="1" t="str">
        <f>TEXT(CallLog[[#This Row],[Date]],"dddd")</f>
        <v>Monday</v>
      </c>
      <c r="G4931" s="3">
        <f>HOUR(CallLog[[#This Row],[Time]])</f>
        <v>15</v>
      </c>
      <c r="H4931" t="s">
        <v>13</v>
      </c>
      <c r="I4931" t="s">
        <v>14</v>
      </c>
      <c r="J4931" t="s">
        <v>14</v>
      </c>
      <c r="K4931">
        <v>103</v>
      </c>
      <c r="L4931" t="str">
        <f>IF(AND(CallLog[[#This Row],[Answered (Y/N)]]="Y", CallLog[[#This Row],[Speed of answer in seconds]]&lt;=20),
    "Within",
    "Breach")</f>
        <v>Breach</v>
      </c>
      <c r="M4931" s="1">
        <v>3.414351851851852E-3</v>
      </c>
      <c r="N4931">
        <v>1</v>
      </c>
    </row>
    <row r="4932" spans="1:14" x14ac:dyDescent="0.3">
      <c r="A4932" t="s">
        <v>5043</v>
      </c>
      <c r="B4932" t="s">
        <v>16</v>
      </c>
      <c r="C4932" t="s">
        <v>5001</v>
      </c>
      <c r="D4932" s="1">
        <v>0.63299768518518518</v>
      </c>
      <c r="E4932" s="2">
        <f>CallLog[[#This Row],[Date]]+CallLog[[#This Row],[Time]]</f>
        <v>44284.632997685185</v>
      </c>
      <c r="F4932" s="1" t="str">
        <f>TEXT(CallLog[[#This Row],[Date]],"dddd")</f>
        <v>Monday</v>
      </c>
      <c r="G4932" s="3">
        <f>HOUR(CallLog[[#This Row],[Time]])</f>
        <v>15</v>
      </c>
      <c r="H4932" t="s">
        <v>13</v>
      </c>
      <c r="I4932" t="s">
        <v>14</v>
      </c>
      <c r="J4932" t="s">
        <v>14</v>
      </c>
      <c r="K4932">
        <v>75</v>
      </c>
      <c r="L4932" t="str">
        <f>IF(AND(CallLog[[#This Row],[Answered (Y/N)]]="Y", CallLog[[#This Row],[Speed of answer in seconds]]&lt;=20),
    "Within",
    "Breach")</f>
        <v>Breach</v>
      </c>
      <c r="M4932" s="1">
        <v>2.1875000000000002E-3</v>
      </c>
      <c r="N4932">
        <v>4</v>
      </c>
    </row>
    <row r="4933" spans="1:14" x14ac:dyDescent="0.3">
      <c r="A4933" t="s">
        <v>5044</v>
      </c>
      <c r="B4933" t="s">
        <v>11</v>
      </c>
      <c r="C4933" t="s">
        <v>5001</v>
      </c>
      <c r="D4933" s="1">
        <v>0.63299768518518518</v>
      </c>
      <c r="E4933" s="2">
        <f>CallLog[[#This Row],[Date]]+CallLog[[#This Row],[Time]]</f>
        <v>44284.632997685185</v>
      </c>
      <c r="F4933" s="1" t="str">
        <f>TEXT(CallLog[[#This Row],[Date]],"dddd")</f>
        <v>Monday</v>
      </c>
      <c r="G4933" s="3">
        <f>HOUR(CallLog[[#This Row],[Time]])</f>
        <v>15</v>
      </c>
      <c r="H4933" t="s">
        <v>24</v>
      </c>
      <c r="I4933" t="s">
        <v>14</v>
      </c>
      <c r="J4933" t="s">
        <v>14</v>
      </c>
      <c r="K4933">
        <v>65</v>
      </c>
      <c r="L4933" t="str">
        <f>IF(AND(CallLog[[#This Row],[Answered (Y/N)]]="Y", CallLog[[#This Row],[Speed of answer in seconds]]&lt;=20),
    "Within",
    "Breach")</f>
        <v>Breach</v>
      </c>
      <c r="M4933" s="1">
        <v>2.1527777777777778E-3</v>
      </c>
      <c r="N4933">
        <v>4</v>
      </c>
    </row>
    <row r="4934" spans="1:14" x14ac:dyDescent="0.3">
      <c r="A4934" t="s">
        <v>5045</v>
      </c>
      <c r="B4934" t="s">
        <v>34</v>
      </c>
      <c r="C4934" t="s">
        <v>5001</v>
      </c>
      <c r="D4934" s="1">
        <v>0.63299768518518518</v>
      </c>
      <c r="E4934" s="2">
        <f>CallLog[[#This Row],[Date]]+CallLog[[#This Row],[Time]]</f>
        <v>44284.632997685185</v>
      </c>
      <c r="F4934" s="1" t="str">
        <f>TEXT(CallLog[[#This Row],[Date]],"dddd")</f>
        <v>Monday</v>
      </c>
      <c r="G4934" s="3">
        <f>HOUR(CallLog[[#This Row],[Time]])</f>
        <v>15</v>
      </c>
      <c r="H4934" t="s">
        <v>32</v>
      </c>
      <c r="I4934" t="s">
        <v>14</v>
      </c>
      <c r="J4934" t="s">
        <v>14</v>
      </c>
      <c r="K4934">
        <v>110</v>
      </c>
      <c r="L4934" t="str">
        <f>IF(AND(CallLog[[#This Row],[Answered (Y/N)]]="Y", CallLog[[#This Row],[Speed of answer in seconds]]&lt;=20),
    "Within",
    "Breach")</f>
        <v>Breach</v>
      </c>
      <c r="M4934" s="1">
        <v>4.31712962962963E-3</v>
      </c>
      <c r="N4934">
        <v>3</v>
      </c>
    </row>
    <row r="4935" spans="1:14" x14ac:dyDescent="0.3">
      <c r="A4935" t="s">
        <v>5046</v>
      </c>
      <c r="B4935" t="s">
        <v>11</v>
      </c>
      <c r="C4935" t="s">
        <v>5001</v>
      </c>
      <c r="D4935" s="1">
        <v>0.63299768518518518</v>
      </c>
      <c r="E4935" s="2">
        <f>CallLog[[#This Row],[Date]]+CallLog[[#This Row],[Time]]</f>
        <v>44284.632997685185</v>
      </c>
      <c r="F4935" s="1" t="str">
        <f>TEXT(CallLog[[#This Row],[Date]],"dddd")</f>
        <v>Monday</v>
      </c>
      <c r="G4935" s="3">
        <f>HOUR(CallLog[[#This Row],[Time]])</f>
        <v>15</v>
      </c>
      <c r="H4935" t="s">
        <v>24</v>
      </c>
      <c r="I4935" t="s">
        <v>14</v>
      </c>
      <c r="J4935" t="s">
        <v>14</v>
      </c>
      <c r="K4935">
        <v>109</v>
      </c>
      <c r="L4935" t="str">
        <f>IF(AND(CallLog[[#This Row],[Answered (Y/N)]]="Y", CallLog[[#This Row],[Speed of answer in seconds]]&lt;=20),
    "Within",
    "Breach")</f>
        <v>Breach</v>
      </c>
      <c r="M4935" s="1">
        <v>2.9398148148148148E-3</v>
      </c>
      <c r="N4935">
        <v>5</v>
      </c>
    </row>
    <row r="4936" spans="1:14" x14ac:dyDescent="0.3">
      <c r="A4936" t="s">
        <v>5047</v>
      </c>
      <c r="B4936" t="s">
        <v>16</v>
      </c>
      <c r="C4936" t="s">
        <v>5001</v>
      </c>
      <c r="D4936" s="1">
        <v>0.65</v>
      </c>
      <c r="E4936" s="2">
        <f>CallLog[[#This Row],[Date]]+CallLog[[#This Row],[Time]]</f>
        <v>44284.65</v>
      </c>
      <c r="F4936" s="1" t="str">
        <f>TEXT(CallLog[[#This Row],[Date]],"dddd")</f>
        <v>Monday</v>
      </c>
      <c r="G4936" s="3">
        <f>HOUR(CallLog[[#This Row],[Time]])</f>
        <v>15</v>
      </c>
      <c r="H4936" t="s">
        <v>17</v>
      </c>
      <c r="I4936" t="s">
        <v>14</v>
      </c>
      <c r="J4936" t="s">
        <v>14</v>
      </c>
      <c r="K4936">
        <v>96</v>
      </c>
      <c r="L4936" t="str">
        <f>IF(AND(CallLog[[#This Row],[Answered (Y/N)]]="Y", CallLog[[#This Row],[Speed of answer in seconds]]&lt;=20),
    "Within",
    "Breach")</f>
        <v>Breach</v>
      </c>
      <c r="M4936" s="1">
        <v>3.6805555555555554E-3</v>
      </c>
      <c r="N4936">
        <v>5</v>
      </c>
    </row>
    <row r="4937" spans="1:14" x14ac:dyDescent="0.3">
      <c r="A4937" t="s">
        <v>5048</v>
      </c>
      <c r="B4937" t="s">
        <v>31</v>
      </c>
      <c r="C4937" t="s">
        <v>5001</v>
      </c>
      <c r="D4937" s="1">
        <v>0.65</v>
      </c>
      <c r="E4937" s="2">
        <f>CallLog[[#This Row],[Date]]+CallLog[[#This Row],[Time]]</f>
        <v>44284.65</v>
      </c>
      <c r="F4937" s="1" t="str">
        <f>TEXT(CallLog[[#This Row],[Date]],"dddd")</f>
        <v>Monday</v>
      </c>
      <c r="G4937" s="3">
        <f>HOUR(CallLog[[#This Row],[Time]])</f>
        <v>15</v>
      </c>
      <c r="H4937" t="s">
        <v>13</v>
      </c>
      <c r="I4937" t="s">
        <v>14</v>
      </c>
      <c r="J4937" t="s">
        <v>14</v>
      </c>
      <c r="K4937">
        <v>80</v>
      </c>
      <c r="L4937" t="str">
        <f>IF(AND(CallLog[[#This Row],[Answered (Y/N)]]="Y", CallLog[[#This Row],[Speed of answer in seconds]]&lt;=20),
    "Within",
    "Breach")</f>
        <v>Breach</v>
      </c>
      <c r="M4937" s="1">
        <v>4.3981481481481481E-4</v>
      </c>
      <c r="N4937">
        <v>4</v>
      </c>
    </row>
    <row r="4938" spans="1:14" x14ac:dyDescent="0.3">
      <c r="A4938" t="s">
        <v>5049</v>
      </c>
      <c r="B4938" t="s">
        <v>31</v>
      </c>
      <c r="C4938" t="s">
        <v>5001</v>
      </c>
      <c r="D4938" s="1">
        <v>0.65299768518518519</v>
      </c>
      <c r="E4938" s="2">
        <f>CallLog[[#This Row],[Date]]+CallLog[[#This Row],[Time]]</f>
        <v>44284.652997685182</v>
      </c>
      <c r="F4938" s="1" t="str">
        <f>TEXT(CallLog[[#This Row],[Date]],"dddd")</f>
        <v>Monday</v>
      </c>
      <c r="G4938" s="3">
        <f>HOUR(CallLog[[#This Row],[Time]])</f>
        <v>15</v>
      </c>
      <c r="H4938" t="s">
        <v>32</v>
      </c>
      <c r="I4938" t="s">
        <v>14</v>
      </c>
      <c r="J4938" t="s">
        <v>14</v>
      </c>
      <c r="K4938">
        <v>82</v>
      </c>
      <c r="L4938" t="str">
        <f>IF(AND(CallLog[[#This Row],[Answered (Y/N)]]="Y", CallLog[[#This Row],[Speed of answer in seconds]]&lt;=20),
    "Within",
    "Breach")</f>
        <v>Breach</v>
      </c>
      <c r="M4938" s="1">
        <v>1.4814814814814814E-3</v>
      </c>
      <c r="N4938">
        <v>4</v>
      </c>
    </row>
    <row r="4939" spans="1:14" x14ac:dyDescent="0.3">
      <c r="A4939" t="s">
        <v>5050</v>
      </c>
      <c r="B4939" t="s">
        <v>20</v>
      </c>
      <c r="C4939" t="s">
        <v>5001</v>
      </c>
      <c r="D4939" s="1">
        <v>0.65299768518518519</v>
      </c>
      <c r="E4939" s="2">
        <f>CallLog[[#This Row],[Date]]+CallLog[[#This Row],[Time]]</f>
        <v>44284.652997685182</v>
      </c>
      <c r="F4939" s="1" t="str">
        <f>TEXT(CallLog[[#This Row],[Date]],"dddd")</f>
        <v>Monday</v>
      </c>
      <c r="G4939" s="3">
        <f>HOUR(CallLog[[#This Row],[Time]])</f>
        <v>15</v>
      </c>
      <c r="H4939" t="s">
        <v>29</v>
      </c>
      <c r="I4939" t="s">
        <v>14</v>
      </c>
      <c r="J4939" t="s">
        <v>18</v>
      </c>
      <c r="K4939">
        <v>26</v>
      </c>
      <c r="L4939" t="str">
        <f>IF(AND(CallLog[[#This Row],[Answered (Y/N)]]="Y", CallLog[[#This Row],[Speed of answer in seconds]]&lt;=20),
    "Within",
    "Breach")</f>
        <v>Breach</v>
      </c>
      <c r="M4939" s="1">
        <v>6.5972222222222224E-4</v>
      </c>
      <c r="N4939">
        <v>2</v>
      </c>
    </row>
    <row r="4940" spans="1:14" x14ac:dyDescent="0.3">
      <c r="A4940" t="s">
        <v>5051</v>
      </c>
      <c r="B4940" t="s">
        <v>47</v>
      </c>
      <c r="C4940" t="s">
        <v>5001</v>
      </c>
      <c r="D4940" s="1">
        <v>0.65500000000000003</v>
      </c>
      <c r="E4940" s="2">
        <f>CallLog[[#This Row],[Date]]+CallLog[[#This Row],[Time]]</f>
        <v>44284.654999999999</v>
      </c>
      <c r="F4940" s="1" t="str">
        <f>TEXT(CallLog[[#This Row],[Date]],"dddd")</f>
        <v>Monday</v>
      </c>
      <c r="G4940" s="3">
        <f>HOUR(CallLog[[#This Row],[Time]])</f>
        <v>15</v>
      </c>
      <c r="H4940" t="s">
        <v>13</v>
      </c>
      <c r="I4940" t="s">
        <v>14</v>
      </c>
      <c r="J4940" t="s">
        <v>14</v>
      </c>
      <c r="K4940">
        <v>109</v>
      </c>
      <c r="L4940" t="str">
        <f>IF(AND(CallLog[[#This Row],[Answered (Y/N)]]="Y", CallLog[[#This Row],[Speed of answer in seconds]]&lt;=20),
    "Within",
    "Breach")</f>
        <v>Breach</v>
      </c>
      <c r="M4940" s="1">
        <v>2.3958333333333331E-3</v>
      </c>
      <c r="N4940">
        <v>2</v>
      </c>
    </row>
    <row r="4941" spans="1:14" x14ac:dyDescent="0.3">
      <c r="A4941" t="s">
        <v>5052</v>
      </c>
      <c r="B4941" t="s">
        <v>34</v>
      </c>
      <c r="C4941" t="s">
        <v>5001</v>
      </c>
      <c r="D4941" s="1">
        <v>0.65500000000000003</v>
      </c>
      <c r="E4941" s="2">
        <f>CallLog[[#This Row],[Date]]+CallLog[[#This Row],[Time]]</f>
        <v>44284.654999999999</v>
      </c>
      <c r="F4941" s="1" t="str">
        <f>TEXT(CallLog[[#This Row],[Date]],"dddd")</f>
        <v>Monday</v>
      </c>
      <c r="G4941" s="3">
        <f>HOUR(CallLog[[#This Row],[Time]])</f>
        <v>15</v>
      </c>
      <c r="H4941" t="s">
        <v>17</v>
      </c>
      <c r="I4941" t="s">
        <v>14</v>
      </c>
      <c r="J4941" t="s">
        <v>18</v>
      </c>
      <c r="K4941">
        <v>27</v>
      </c>
      <c r="L4941" t="str">
        <f>IF(AND(CallLog[[#This Row],[Answered (Y/N)]]="Y", CallLog[[#This Row],[Speed of answer in seconds]]&lt;=20),
    "Within",
    "Breach")</f>
        <v>Breach</v>
      </c>
      <c r="M4941" s="1">
        <v>4.7222222222222223E-3</v>
      </c>
      <c r="N4941">
        <v>1</v>
      </c>
    </row>
    <row r="4942" spans="1:14" x14ac:dyDescent="0.3">
      <c r="A4942" t="s">
        <v>5053</v>
      </c>
      <c r="B4942" t="s">
        <v>47</v>
      </c>
      <c r="C4942" t="s">
        <v>5001</v>
      </c>
      <c r="D4942" s="1">
        <v>0.65599537037037037</v>
      </c>
      <c r="E4942" s="2">
        <f>CallLog[[#This Row],[Date]]+CallLog[[#This Row],[Time]]</f>
        <v>44284.655995370369</v>
      </c>
      <c r="F4942" s="1" t="str">
        <f>TEXT(CallLog[[#This Row],[Date]],"dddd")</f>
        <v>Monday</v>
      </c>
      <c r="G4942" s="3">
        <f>HOUR(CallLog[[#This Row],[Time]])</f>
        <v>15</v>
      </c>
      <c r="H4942" t="s">
        <v>17</v>
      </c>
      <c r="I4942" t="s">
        <v>14</v>
      </c>
      <c r="J4942" t="s">
        <v>14</v>
      </c>
      <c r="K4942">
        <v>63</v>
      </c>
      <c r="L4942" t="str">
        <f>IF(AND(CallLog[[#This Row],[Answered (Y/N)]]="Y", CallLog[[#This Row],[Speed of answer in seconds]]&lt;=20),
    "Within",
    "Breach")</f>
        <v>Breach</v>
      </c>
      <c r="M4942" s="1">
        <v>2.2685185185185187E-3</v>
      </c>
      <c r="N4942">
        <v>5</v>
      </c>
    </row>
    <row r="4943" spans="1:14" x14ac:dyDescent="0.3">
      <c r="A4943" t="s">
        <v>5054</v>
      </c>
      <c r="B4943" t="s">
        <v>38</v>
      </c>
      <c r="C4943" t="s">
        <v>5001</v>
      </c>
      <c r="D4943" s="1">
        <v>0.65599537037037037</v>
      </c>
      <c r="E4943" s="2">
        <f>CallLog[[#This Row],[Date]]+CallLog[[#This Row],[Time]]</f>
        <v>44284.655995370369</v>
      </c>
      <c r="F4943" s="1" t="str">
        <f>TEXT(CallLog[[#This Row],[Date]],"dddd")</f>
        <v>Monday</v>
      </c>
      <c r="G4943" s="3">
        <f>HOUR(CallLog[[#This Row],[Time]])</f>
        <v>15</v>
      </c>
      <c r="H4943" t="s">
        <v>29</v>
      </c>
      <c r="I4943" t="s">
        <v>18</v>
      </c>
      <c r="J4943" t="s">
        <v>18</v>
      </c>
      <c r="L4943" t="str">
        <f>IF(AND(CallLog[[#This Row],[Answered (Y/N)]]="Y", CallLog[[#This Row],[Speed of answer in seconds]]&lt;=20),
    "Within",
    "Breach")</f>
        <v>Breach</v>
      </c>
    </row>
    <row r="4944" spans="1:14" x14ac:dyDescent="0.3">
      <c r="A4944" t="s">
        <v>5055</v>
      </c>
      <c r="B4944" t="s">
        <v>31</v>
      </c>
      <c r="C4944" t="s">
        <v>5001</v>
      </c>
      <c r="D4944" s="1">
        <v>0.67400462962962959</v>
      </c>
      <c r="E4944" s="2">
        <f>CallLog[[#This Row],[Date]]+CallLog[[#This Row],[Time]]</f>
        <v>44284.674004629633</v>
      </c>
      <c r="F4944" s="1" t="str">
        <f>TEXT(CallLog[[#This Row],[Date]],"dddd")</f>
        <v>Monday</v>
      </c>
      <c r="G4944" s="3">
        <f>HOUR(CallLog[[#This Row],[Time]])</f>
        <v>16</v>
      </c>
      <c r="H4944" t="s">
        <v>13</v>
      </c>
      <c r="I4944" t="s">
        <v>14</v>
      </c>
      <c r="J4944" t="s">
        <v>14</v>
      </c>
      <c r="K4944">
        <v>76</v>
      </c>
      <c r="L4944" t="str">
        <f>IF(AND(CallLog[[#This Row],[Answered (Y/N)]]="Y", CallLog[[#This Row],[Speed of answer in seconds]]&lt;=20),
    "Within",
    "Breach")</f>
        <v>Breach</v>
      </c>
      <c r="M4944" s="1">
        <v>2.8703703703703703E-3</v>
      </c>
      <c r="N4944">
        <v>4</v>
      </c>
    </row>
    <row r="4945" spans="1:14" x14ac:dyDescent="0.3">
      <c r="A4945" t="s">
        <v>5056</v>
      </c>
      <c r="B4945" t="s">
        <v>47</v>
      </c>
      <c r="C4945" t="s">
        <v>5001</v>
      </c>
      <c r="D4945" s="1">
        <v>0.67400462962962959</v>
      </c>
      <c r="E4945" s="2">
        <f>CallLog[[#This Row],[Date]]+CallLog[[#This Row],[Time]]</f>
        <v>44284.674004629633</v>
      </c>
      <c r="F4945" s="1" t="str">
        <f>TEXT(CallLog[[#This Row],[Date]],"dddd")</f>
        <v>Monday</v>
      </c>
      <c r="G4945" s="3">
        <f>HOUR(CallLog[[#This Row],[Time]])</f>
        <v>16</v>
      </c>
      <c r="H4945" t="s">
        <v>29</v>
      </c>
      <c r="I4945" t="s">
        <v>14</v>
      </c>
      <c r="J4945" t="s">
        <v>14</v>
      </c>
      <c r="K4945">
        <v>91</v>
      </c>
      <c r="L4945" t="str">
        <f>IF(AND(CallLog[[#This Row],[Answered (Y/N)]]="Y", CallLog[[#This Row],[Speed of answer in seconds]]&lt;=20),
    "Within",
    "Breach")</f>
        <v>Breach</v>
      </c>
      <c r="M4945" s="1">
        <v>4.8495370370370368E-3</v>
      </c>
      <c r="N4945">
        <v>3</v>
      </c>
    </row>
    <row r="4946" spans="1:14" x14ac:dyDescent="0.3">
      <c r="A4946" t="s">
        <v>5057</v>
      </c>
      <c r="B4946" t="s">
        <v>11</v>
      </c>
      <c r="C4946" t="s">
        <v>5001</v>
      </c>
      <c r="D4946" s="1">
        <v>0.7</v>
      </c>
      <c r="E4946" s="2">
        <f>CallLog[[#This Row],[Date]]+CallLog[[#This Row],[Time]]</f>
        <v>44284.7</v>
      </c>
      <c r="F4946" s="1" t="str">
        <f>TEXT(CallLog[[#This Row],[Date]],"dddd")</f>
        <v>Monday</v>
      </c>
      <c r="G4946" s="3">
        <f>HOUR(CallLog[[#This Row],[Time]])</f>
        <v>16</v>
      </c>
      <c r="H4946" t="s">
        <v>13</v>
      </c>
      <c r="I4946" t="s">
        <v>14</v>
      </c>
      <c r="J4946" t="s">
        <v>14</v>
      </c>
      <c r="K4946">
        <v>68</v>
      </c>
      <c r="L4946" t="str">
        <f>IF(AND(CallLog[[#This Row],[Answered (Y/N)]]="Y", CallLog[[#This Row],[Speed of answer in seconds]]&lt;=20),
    "Within",
    "Breach")</f>
        <v>Breach</v>
      </c>
      <c r="M4946" s="1">
        <v>2.7430555555555554E-3</v>
      </c>
      <c r="N4946">
        <v>4</v>
      </c>
    </row>
    <row r="4947" spans="1:14" x14ac:dyDescent="0.3">
      <c r="A4947" t="s">
        <v>5058</v>
      </c>
      <c r="B4947" t="s">
        <v>34</v>
      </c>
      <c r="C4947" t="s">
        <v>5001</v>
      </c>
      <c r="D4947" s="1">
        <v>0.7</v>
      </c>
      <c r="E4947" s="2">
        <f>CallLog[[#This Row],[Date]]+CallLog[[#This Row],[Time]]</f>
        <v>44284.7</v>
      </c>
      <c r="F4947" s="1" t="str">
        <f>TEXT(CallLog[[#This Row],[Date]],"dddd")</f>
        <v>Monday</v>
      </c>
      <c r="G4947" s="3">
        <f>HOUR(CallLog[[#This Row],[Time]])</f>
        <v>16</v>
      </c>
      <c r="H4947" t="s">
        <v>32</v>
      </c>
      <c r="I4947" t="s">
        <v>14</v>
      </c>
      <c r="J4947" t="s">
        <v>14</v>
      </c>
      <c r="K4947">
        <v>123</v>
      </c>
      <c r="L4947" t="str">
        <f>IF(AND(CallLog[[#This Row],[Answered (Y/N)]]="Y", CallLog[[#This Row],[Speed of answer in seconds]]&lt;=20),
    "Within",
    "Breach")</f>
        <v>Breach</v>
      </c>
      <c r="M4947" s="1">
        <v>2.1064814814814813E-3</v>
      </c>
      <c r="N4947">
        <v>4</v>
      </c>
    </row>
    <row r="4948" spans="1:14" x14ac:dyDescent="0.3">
      <c r="A4948" t="s">
        <v>5059</v>
      </c>
      <c r="B4948" t="s">
        <v>22</v>
      </c>
      <c r="C4948" t="s">
        <v>5001</v>
      </c>
      <c r="D4948" s="1">
        <v>0.74799768518518517</v>
      </c>
      <c r="E4948" s="2">
        <f>CallLog[[#This Row],[Date]]+CallLog[[#This Row],[Time]]</f>
        <v>44284.747997685183</v>
      </c>
      <c r="F4948" s="1" t="str">
        <f>TEXT(CallLog[[#This Row],[Date]],"dddd")</f>
        <v>Monday</v>
      </c>
      <c r="G4948" s="3">
        <f>HOUR(CallLog[[#This Row],[Time]])</f>
        <v>17</v>
      </c>
      <c r="H4948" t="s">
        <v>29</v>
      </c>
      <c r="I4948" t="s">
        <v>14</v>
      </c>
      <c r="J4948" t="s">
        <v>14</v>
      </c>
      <c r="K4948">
        <v>74</v>
      </c>
      <c r="L4948" t="str">
        <f>IF(AND(CallLog[[#This Row],[Answered (Y/N)]]="Y", CallLog[[#This Row],[Speed of answer in seconds]]&lt;=20),
    "Within",
    "Breach")</f>
        <v>Breach</v>
      </c>
      <c r="M4948" s="1">
        <v>4.2592592592592595E-3</v>
      </c>
      <c r="N4948">
        <v>3</v>
      </c>
    </row>
    <row r="4949" spans="1:14" x14ac:dyDescent="0.3">
      <c r="A4949" t="s">
        <v>5060</v>
      </c>
      <c r="B4949" t="s">
        <v>34</v>
      </c>
      <c r="C4949" t="s">
        <v>5001</v>
      </c>
      <c r="D4949" s="1">
        <v>0.74799768518518517</v>
      </c>
      <c r="E4949" s="2">
        <f>CallLog[[#This Row],[Date]]+CallLog[[#This Row],[Time]]</f>
        <v>44284.747997685183</v>
      </c>
      <c r="F4949" s="1" t="str">
        <f>TEXT(CallLog[[#This Row],[Date]],"dddd")</f>
        <v>Monday</v>
      </c>
      <c r="G4949" s="3">
        <f>HOUR(CallLog[[#This Row],[Time]])</f>
        <v>17</v>
      </c>
      <c r="H4949" t="s">
        <v>13</v>
      </c>
      <c r="I4949" t="s">
        <v>18</v>
      </c>
      <c r="J4949" t="s">
        <v>18</v>
      </c>
      <c r="L4949" t="str">
        <f>IF(AND(CallLog[[#This Row],[Answered (Y/N)]]="Y", CallLog[[#This Row],[Speed of answer in seconds]]&lt;=20),
    "Within",
    "Breach")</f>
        <v>Breach</v>
      </c>
    </row>
    <row r="4950" spans="1:14" x14ac:dyDescent="0.3">
      <c r="A4950" t="s">
        <v>5061</v>
      </c>
      <c r="B4950" t="s">
        <v>31</v>
      </c>
      <c r="C4950" t="s">
        <v>5062</v>
      </c>
      <c r="D4950" s="1">
        <v>0.37900462962962961</v>
      </c>
      <c r="E4950" s="2">
        <f>CallLog[[#This Row],[Date]]+CallLog[[#This Row],[Time]]</f>
        <v>44285.379004629627</v>
      </c>
      <c r="F4950" s="1" t="str">
        <f>TEXT(CallLog[[#This Row],[Date]],"dddd")</f>
        <v>Tuesday</v>
      </c>
      <c r="G4950" s="3">
        <f>HOUR(CallLog[[#This Row],[Time]])</f>
        <v>9</v>
      </c>
      <c r="H4950" t="s">
        <v>24</v>
      </c>
      <c r="I4950" t="s">
        <v>14</v>
      </c>
      <c r="J4950" t="s">
        <v>14</v>
      </c>
      <c r="K4950">
        <v>92</v>
      </c>
      <c r="L4950" t="str">
        <f>IF(AND(CallLog[[#This Row],[Answered (Y/N)]]="Y", CallLog[[#This Row],[Speed of answer in seconds]]&lt;=20),
    "Within",
    "Breach")</f>
        <v>Breach</v>
      </c>
      <c r="M4950" s="1">
        <v>8.4490740740740739E-4</v>
      </c>
      <c r="N4950">
        <v>2</v>
      </c>
    </row>
    <row r="4951" spans="1:14" x14ac:dyDescent="0.3">
      <c r="A4951" t="s">
        <v>5063</v>
      </c>
      <c r="B4951" t="s">
        <v>11</v>
      </c>
      <c r="C4951" t="s">
        <v>5062</v>
      </c>
      <c r="D4951" s="1">
        <v>0.39</v>
      </c>
      <c r="E4951" s="2">
        <f>CallLog[[#This Row],[Date]]+CallLog[[#This Row],[Time]]</f>
        <v>44285.39</v>
      </c>
      <c r="F4951" s="1" t="str">
        <f>TEXT(CallLog[[#This Row],[Date]],"dddd")</f>
        <v>Tuesday</v>
      </c>
      <c r="G4951" s="3">
        <f>HOUR(CallLog[[#This Row],[Time]])</f>
        <v>9</v>
      </c>
      <c r="H4951" t="s">
        <v>24</v>
      </c>
      <c r="I4951" t="s">
        <v>14</v>
      </c>
      <c r="J4951" t="s">
        <v>14</v>
      </c>
      <c r="K4951">
        <v>108</v>
      </c>
      <c r="L4951" t="str">
        <f>IF(AND(CallLog[[#This Row],[Answered (Y/N)]]="Y", CallLog[[#This Row],[Speed of answer in seconds]]&lt;=20),
    "Within",
    "Breach")</f>
        <v>Breach</v>
      </c>
      <c r="M4951" s="1">
        <v>8.4490740740740739E-4</v>
      </c>
      <c r="N4951">
        <v>3</v>
      </c>
    </row>
    <row r="4952" spans="1:14" x14ac:dyDescent="0.3">
      <c r="A4952" t="s">
        <v>5064</v>
      </c>
      <c r="B4952" t="s">
        <v>16</v>
      </c>
      <c r="C4952" t="s">
        <v>5062</v>
      </c>
      <c r="D4952" s="1">
        <v>0.39299768518518519</v>
      </c>
      <c r="E4952" s="2">
        <f>CallLog[[#This Row],[Date]]+CallLog[[#This Row],[Time]]</f>
        <v>44285.392997685187</v>
      </c>
      <c r="F4952" s="1" t="str">
        <f>TEXT(CallLog[[#This Row],[Date]],"dddd")</f>
        <v>Tuesday</v>
      </c>
      <c r="G4952" s="3">
        <f>HOUR(CallLog[[#This Row],[Time]])</f>
        <v>9</v>
      </c>
      <c r="H4952" t="s">
        <v>13</v>
      </c>
      <c r="I4952" t="s">
        <v>14</v>
      </c>
      <c r="J4952" t="s">
        <v>14</v>
      </c>
      <c r="K4952">
        <v>63</v>
      </c>
      <c r="L4952" t="str">
        <f>IF(AND(CallLog[[#This Row],[Answered (Y/N)]]="Y", CallLog[[#This Row],[Speed of answer in seconds]]&lt;=20),
    "Within",
    "Breach")</f>
        <v>Breach</v>
      </c>
      <c r="M4952" s="1">
        <v>2.0949074074074073E-3</v>
      </c>
      <c r="N4952">
        <v>5</v>
      </c>
    </row>
    <row r="4953" spans="1:14" x14ac:dyDescent="0.3">
      <c r="A4953" t="s">
        <v>5065</v>
      </c>
      <c r="B4953" t="s">
        <v>11</v>
      </c>
      <c r="C4953" t="s">
        <v>5062</v>
      </c>
      <c r="D4953" s="1">
        <v>0.47499999999999998</v>
      </c>
      <c r="E4953" s="2">
        <f>CallLog[[#This Row],[Date]]+CallLog[[#This Row],[Time]]</f>
        <v>44285.474999999999</v>
      </c>
      <c r="F4953" s="1" t="str">
        <f>TEXT(CallLog[[#This Row],[Date]],"dddd")</f>
        <v>Tuesday</v>
      </c>
      <c r="G4953" s="3">
        <f>HOUR(CallLog[[#This Row],[Time]])</f>
        <v>11</v>
      </c>
      <c r="H4953" t="s">
        <v>29</v>
      </c>
      <c r="I4953" t="s">
        <v>14</v>
      </c>
      <c r="J4953" t="s">
        <v>14</v>
      </c>
      <c r="K4953">
        <v>120</v>
      </c>
      <c r="L4953" t="str">
        <f>IF(AND(CallLog[[#This Row],[Answered (Y/N)]]="Y", CallLog[[#This Row],[Speed of answer in seconds]]&lt;=20),
    "Within",
    "Breach")</f>
        <v>Breach</v>
      </c>
      <c r="M4953" s="1">
        <v>2.4537037037037036E-3</v>
      </c>
      <c r="N4953">
        <v>3</v>
      </c>
    </row>
    <row r="4954" spans="1:14" x14ac:dyDescent="0.3">
      <c r="A4954" t="s">
        <v>5066</v>
      </c>
      <c r="B4954" t="s">
        <v>31</v>
      </c>
      <c r="C4954" t="s">
        <v>5062</v>
      </c>
      <c r="D4954" s="1">
        <v>0.47499999999999998</v>
      </c>
      <c r="E4954" s="2">
        <f>CallLog[[#This Row],[Date]]+CallLog[[#This Row],[Time]]</f>
        <v>44285.474999999999</v>
      </c>
      <c r="F4954" s="1" t="str">
        <f>TEXT(CallLog[[#This Row],[Date]],"dddd")</f>
        <v>Tuesday</v>
      </c>
      <c r="G4954" s="3">
        <f>HOUR(CallLog[[#This Row],[Time]])</f>
        <v>11</v>
      </c>
      <c r="H4954" t="s">
        <v>32</v>
      </c>
      <c r="I4954" t="s">
        <v>14</v>
      </c>
      <c r="J4954" t="s">
        <v>14</v>
      </c>
      <c r="K4954">
        <v>50</v>
      </c>
      <c r="L4954" t="str">
        <f>IF(AND(CallLog[[#This Row],[Answered (Y/N)]]="Y", CallLog[[#This Row],[Speed of answer in seconds]]&lt;=20),
    "Within",
    "Breach")</f>
        <v>Breach</v>
      </c>
      <c r="M4954" s="1">
        <v>3.7152777777777778E-3</v>
      </c>
      <c r="N4954">
        <v>3</v>
      </c>
    </row>
    <row r="4955" spans="1:14" x14ac:dyDescent="0.3">
      <c r="A4955" t="s">
        <v>5067</v>
      </c>
      <c r="B4955" t="s">
        <v>47</v>
      </c>
      <c r="C4955" t="s">
        <v>5062</v>
      </c>
      <c r="D4955" s="1">
        <v>0.50099537037037034</v>
      </c>
      <c r="E4955" s="2">
        <f>CallLog[[#This Row],[Date]]+CallLog[[#This Row],[Time]]</f>
        <v>44285.50099537037</v>
      </c>
      <c r="F4955" s="1" t="str">
        <f>TEXT(CallLog[[#This Row],[Date]],"dddd")</f>
        <v>Tuesday</v>
      </c>
      <c r="G4955" s="3">
        <f>HOUR(CallLog[[#This Row],[Time]])</f>
        <v>12</v>
      </c>
      <c r="H4955" t="s">
        <v>32</v>
      </c>
      <c r="I4955" t="s">
        <v>18</v>
      </c>
      <c r="J4955" t="s">
        <v>18</v>
      </c>
      <c r="L4955" t="str">
        <f>IF(AND(CallLog[[#This Row],[Answered (Y/N)]]="Y", CallLog[[#This Row],[Speed of answer in seconds]]&lt;=20),
    "Within",
    "Breach")</f>
        <v>Breach</v>
      </c>
    </row>
    <row r="4956" spans="1:14" x14ac:dyDescent="0.3">
      <c r="A4956" t="s">
        <v>5068</v>
      </c>
      <c r="B4956" t="s">
        <v>34</v>
      </c>
      <c r="C4956" t="s">
        <v>5062</v>
      </c>
      <c r="D4956" s="1">
        <v>0.50299768518518517</v>
      </c>
      <c r="E4956" s="2">
        <f>CallLog[[#This Row],[Date]]+CallLog[[#This Row],[Time]]</f>
        <v>44285.502997685187</v>
      </c>
      <c r="F4956" s="1" t="str">
        <f>TEXT(CallLog[[#This Row],[Date]],"dddd")</f>
        <v>Tuesday</v>
      </c>
      <c r="G4956" s="3">
        <f>HOUR(CallLog[[#This Row],[Time]])</f>
        <v>12</v>
      </c>
      <c r="H4956" t="s">
        <v>29</v>
      </c>
      <c r="I4956" t="s">
        <v>14</v>
      </c>
      <c r="J4956" t="s">
        <v>14</v>
      </c>
      <c r="K4956">
        <v>18</v>
      </c>
      <c r="L4956" t="str">
        <f>IF(AND(CallLog[[#This Row],[Answered (Y/N)]]="Y", CallLog[[#This Row],[Speed of answer in seconds]]&lt;=20),
    "Within",
    "Breach")</f>
        <v>Within</v>
      </c>
      <c r="M4956" s="1">
        <v>2.9976851851851853E-3</v>
      </c>
      <c r="N4956">
        <v>3</v>
      </c>
    </row>
    <row r="4957" spans="1:14" x14ac:dyDescent="0.3">
      <c r="A4957" t="s">
        <v>5069</v>
      </c>
      <c r="B4957" t="s">
        <v>20</v>
      </c>
      <c r="C4957" t="s">
        <v>5062</v>
      </c>
      <c r="D4957" s="1">
        <v>0.52099537037037036</v>
      </c>
      <c r="E4957" s="2">
        <f>CallLog[[#This Row],[Date]]+CallLog[[#This Row],[Time]]</f>
        <v>44285.520995370367</v>
      </c>
      <c r="F4957" s="1" t="str">
        <f>TEXT(CallLog[[#This Row],[Date]],"dddd")</f>
        <v>Tuesday</v>
      </c>
      <c r="G4957" s="3">
        <f>HOUR(CallLog[[#This Row],[Time]])</f>
        <v>12</v>
      </c>
      <c r="H4957" t="s">
        <v>29</v>
      </c>
      <c r="I4957" t="s">
        <v>18</v>
      </c>
      <c r="J4957" t="s">
        <v>18</v>
      </c>
      <c r="L4957" t="str">
        <f>IF(AND(CallLog[[#This Row],[Answered (Y/N)]]="Y", CallLog[[#This Row],[Speed of answer in seconds]]&lt;=20),
    "Within",
    "Breach")</f>
        <v>Breach</v>
      </c>
    </row>
    <row r="4958" spans="1:14" x14ac:dyDescent="0.3">
      <c r="A4958" t="s">
        <v>5070</v>
      </c>
      <c r="B4958" t="s">
        <v>47</v>
      </c>
      <c r="C4958" t="s">
        <v>5062</v>
      </c>
      <c r="D4958" s="1">
        <v>0.52500000000000002</v>
      </c>
      <c r="E4958" s="2">
        <f>CallLog[[#This Row],[Date]]+CallLog[[#This Row],[Time]]</f>
        <v>44285.525000000001</v>
      </c>
      <c r="F4958" s="1" t="str">
        <f>TEXT(CallLog[[#This Row],[Date]],"dddd")</f>
        <v>Tuesday</v>
      </c>
      <c r="G4958" s="3">
        <f>HOUR(CallLog[[#This Row],[Time]])</f>
        <v>12</v>
      </c>
      <c r="H4958" t="s">
        <v>29</v>
      </c>
      <c r="I4958" t="s">
        <v>14</v>
      </c>
      <c r="J4958" t="s">
        <v>14</v>
      </c>
      <c r="K4958">
        <v>114</v>
      </c>
      <c r="L4958" t="str">
        <f>IF(AND(CallLog[[#This Row],[Answered (Y/N)]]="Y", CallLog[[#This Row],[Speed of answer in seconds]]&lt;=20),
    "Within",
    "Breach")</f>
        <v>Breach</v>
      </c>
      <c r="M4958" s="1">
        <v>4.7916666666666663E-3</v>
      </c>
      <c r="N4958">
        <v>4</v>
      </c>
    </row>
    <row r="4959" spans="1:14" x14ac:dyDescent="0.3">
      <c r="A4959" t="s">
        <v>5071</v>
      </c>
      <c r="B4959" t="s">
        <v>16</v>
      </c>
      <c r="C4959" t="s">
        <v>5062</v>
      </c>
      <c r="D4959" s="1">
        <v>0.53200231481481486</v>
      </c>
      <c r="E4959" s="2">
        <f>CallLog[[#This Row],[Date]]+CallLog[[#This Row],[Time]]</f>
        <v>44285.532002314816</v>
      </c>
      <c r="F4959" s="1" t="str">
        <f>TEXT(CallLog[[#This Row],[Date]],"dddd")</f>
        <v>Tuesday</v>
      </c>
      <c r="G4959" s="3">
        <f>HOUR(CallLog[[#This Row],[Time]])</f>
        <v>12</v>
      </c>
      <c r="H4959" t="s">
        <v>24</v>
      </c>
      <c r="I4959" t="s">
        <v>14</v>
      </c>
      <c r="J4959" t="s">
        <v>18</v>
      </c>
      <c r="K4959">
        <v>116</v>
      </c>
      <c r="L4959" t="str">
        <f>IF(AND(CallLog[[#This Row],[Answered (Y/N)]]="Y", CallLog[[#This Row],[Speed of answer in seconds]]&lt;=20),
    "Within",
    "Breach")</f>
        <v>Breach</v>
      </c>
      <c r="M4959" s="1">
        <v>2.1412037037037038E-3</v>
      </c>
      <c r="N4959">
        <v>4</v>
      </c>
    </row>
    <row r="4960" spans="1:14" x14ac:dyDescent="0.3">
      <c r="A4960" t="s">
        <v>5072</v>
      </c>
      <c r="B4960" t="s">
        <v>11</v>
      </c>
      <c r="C4960" t="s">
        <v>5062</v>
      </c>
      <c r="D4960" s="1">
        <v>0.56099537037037039</v>
      </c>
      <c r="E4960" s="2">
        <f>CallLog[[#This Row],[Date]]+CallLog[[#This Row],[Time]]</f>
        <v>44285.560995370368</v>
      </c>
      <c r="F4960" s="1" t="str">
        <f>TEXT(CallLog[[#This Row],[Date]],"dddd")</f>
        <v>Tuesday</v>
      </c>
      <c r="G4960" s="3">
        <f>HOUR(CallLog[[#This Row],[Time]])</f>
        <v>13</v>
      </c>
      <c r="H4960" t="s">
        <v>24</v>
      </c>
      <c r="I4960" t="s">
        <v>14</v>
      </c>
      <c r="J4960" t="s">
        <v>14</v>
      </c>
      <c r="K4960">
        <v>124</v>
      </c>
      <c r="L4960" t="str">
        <f>IF(AND(CallLog[[#This Row],[Answered (Y/N)]]="Y", CallLog[[#This Row],[Speed of answer in seconds]]&lt;=20),
    "Within",
    "Breach")</f>
        <v>Breach</v>
      </c>
      <c r="M4960" s="1">
        <v>3.0092592592592593E-3</v>
      </c>
      <c r="N4960">
        <v>4</v>
      </c>
    </row>
    <row r="4961" spans="1:14" x14ac:dyDescent="0.3">
      <c r="A4961" t="s">
        <v>5073</v>
      </c>
      <c r="B4961" t="s">
        <v>38</v>
      </c>
      <c r="C4961" t="s">
        <v>5062</v>
      </c>
      <c r="D4961" s="1">
        <v>0.56499999999999995</v>
      </c>
      <c r="E4961" s="2">
        <f>CallLog[[#This Row],[Date]]+CallLog[[#This Row],[Time]]</f>
        <v>44285.565000000002</v>
      </c>
      <c r="F4961" s="1" t="str">
        <f>TEXT(CallLog[[#This Row],[Date]],"dddd")</f>
        <v>Tuesday</v>
      </c>
      <c r="G4961" s="3">
        <f>HOUR(CallLog[[#This Row],[Time]])</f>
        <v>13</v>
      </c>
      <c r="H4961" t="s">
        <v>13</v>
      </c>
      <c r="I4961" t="s">
        <v>14</v>
      </c>
      <c r="J4961" t="s">
        <v>14</v>
      </c>
      <c r="K4961">
        <v>27</v>
      </c>
      <c r="L4961" t="str">
        <f>IF(AND(CallLog[[#This Row],[Answered (Y/N)]]="Y", CallLog[[#This Row],[Speed of answer in seconds]]&lt;=20),
    "Within",
    "Breach")</f>
        <v>Breach</v>
      </c>
      <c r="M4961" s="1">
        <v>3.1365740740740742E-3</v>
      </c>
      <c r="N4961">
        <v>5</v>
      </c>
    </row>
    <row r="4962" spans="1:14" x14ac:dyDescent="0.3">
      <c r="A4962" t="s">
        <v>5074</v>
      </c>
      <c r="B4962" t="s">
        <v>47</v>
      </c>
      <c r="C4962" t="s">
        <v>5062</v>
      </c>
      <c r="D4962" s="1">
        <v>0.57700231481481479</v>
      </c>
      <c r="E4962" s="2">
        <f>CallLog[[#This Row],[Date]]+CallLog[[#This Row],[Time]]</f>
        <v>44285.577002314814</v>
      </c>
      <c r="F4962" s="1" t="str">
        <f>TEXT(CallLog[[#This Row],[Date]],"dddd")</f>
        <v>Tuesday</v>
      </c>
      <c r="G4962" s="3">
        <f>HOUR(CallLog[[#This Row],[Time]])</f>
        <v>13</v>
      </c>
      <c r="H4962" t="s">
        <v>13</v>
      </c>
      <c r="I4962" t="s">
        <v>18</v>
      </c>
      <c r="J4962" t="s">
        <v>18</v>
      </c>
      <c r="L4962" t="str">
        <f>IF(AND(CallLog[[#This Row],[Answered (Y/N)]]="Y", CallLog[[#This Row],[Speed of answer in seconds]]&lt;=20),
    "Within",
    "Breach")</f>
        <v>Breach</v>
      </c>
    </row>
    <row r="4963" spans="1:14" x14ac:dyDescent="0.3">
      <c r="A4963" t="s">
        <v>5075</v>
      </c>
      <c r="B4963" t="s">
        <v>31</v>
      </c>
      <c r="C4963" t="s">
        <v>5062</v>
      </c>
      <c r="D4963" s="1">
        <v>0.63099537037037035</v>
      </c>
      <c r="E4963" s="2">
        <f>CallLog[[#This Row],[Date]]+CallLog[[#This Row],[Time]]</f>
        <v>44285.630995370368</v>
      </c>
      <c r="F4963" s="1" t="str">
        <f>TEXT(CallLog[[#This Row],[Date]],"dddd")</f>
        <v>Tuesday</v>
      </c>
      <c r="G4963" s="3">
        <f>HOUR(CallLog[[#This Row],[Time]])</f>
        <v>15</v>
      </c>
      <c r="H4963" t="s">
        <v>32</v>
      </c>
      <c r="I4963" t="s">
        <v>18</v>
      </c>
      <c r="J4963" t="s">
        <v>18</v>
      </c>
      <c r="L4963" t="str">
        <f>IF(AND(CallLog[[#This Row],[Answered (Y/N)]]="Y", CallLog[[#This Row],[Speed of answer in seconds]]&lt;=20),
    "Within",
    "Breach")</f>
        <v>Breach</v>
      </c>
    </row>
    <row r="4964" spans="1:14" x14ac:dyDescent="0.3">
      <c r="A4964" t="s">
        <v>5076</v>
      </c>
      <c r="B4964" t="s">
        <v>22</v>
      </c>
      <c r="C4964" t="s">
        <v>5062</v>
      </c>
      <c r="D4964" s="1">
        <v>0.65</v>
      </c>
      <c r="E4964" s="2">
        <f>CallLog[[#This Row],[Date]]+CallLog[[#This Row],[Time]]</f>
        <v>44285.65</v>
      </c>
      <c r="F4964" s="1" t="str">
        <f>TEXT(CallLog[[#This Row],[Date]],"dddd")</f>
        <v>Tuesday</v>
      </c>
      <c r="G4964" s="3">
        <f>HOUR(CallLog[[#This Row],[Time]])</f>
        <v>15</v>
      </c>
      <c r="H4964" t="s">
        <v>29</v>
      </c>
      <c r="I4964" t="s">
        <v>14</v>
      </c>
      <c r="J4964" t="s">
        <v>18</v>
      </c>
      <c r="K4964">
        <v>22</v>
      </c>
      <c r="L4964" t="str">
        <f>IF(AND(CallLog[[#This Row],[Answered (Y/N)]]="Y", CallLog[[#This Row],[Speed of answer in seconds]]&lt;=20),
    "Within",
    "Breach")</f>
        <v>Breach</v>
      </c>
      <c r="M4964" s="1">
        <v>3.2986111111111111E-3</v>
      </c>
      <c r="N4964">
        <v>4</v>
      </c>
    </row>
    <row r="4965" spans="1:14" x14ac:dyDescent="0.3">
      <c r="A4965" t="s">
        <v>5077</v>
      </c>
      <c r="B4965" t="s">
        <v>11</v>
      </c>
      <c r="C4965" t="s">
        <v>5062</v>
      </c>
      <c r="D4965" s="1">
        <v>0.65700231481481486</v>
      </c>
      <c r="E4965" s="2">
        <f>CallLog[[#This Row],[Date]]+CallLog[[#This Row],[Time]]</f>
        <v>44285.657002314816</v>
      </c>
      <c r="F4965" s="1" t="str">
        <f>TEXT(CallLog[[#This Row],[Date]],"dddd")</f>
        <v>Tuesday</v>
      </c>
      <c r="G4965" s="3">
        <f>HOUR(CallLog[[#This Row],[Time]])</f>
        <v>15</v>
      </c>
      <c r="H4965" t="s">
        <v>17</v>
      </c>
      <c r="I4965" t="s">
        <v>14</v>
      </c>
      <c r="J4965" t="s">
        <v>14</v>
      </c>
      <c r="K4965">
        <v>55</v>
      </c>
      <c r="L4965" t="str">
        <f>IF(AND(CallLog[[#This Row],[Answered (Y/N)]]="Y", CallLog[[#This Row],[Speed of answer in seconds]]&lt;=20),
    "Within",
    "Breach")</f>
        <v>Breach</v>
      </c>
      <c r="M4965" s="1">
        <v>3.7499999999999999E-3</v>
      </c>
      <c r="N4965">
        <v>2</v>
      </c>
    </row>
    <row r="4966" spans="1:14" x14ac:dyDescent="0.3">
      <c r="A4966" t="s">
        <v>5078</v>
      </c>
      <c r="B4966" t="s">
        <v>16</v>
      </c>
      <c r="C4966" t="s">
        <v>5062</v>
      </c>
      <c r="D4966" s="1">
        <v>0.66</v>
      </c>
      <c r="E4966" s="2">
        <f>CallLog[[#This Row],[Date]]+CallLog[[#This Row],[Time]]</f>
        <v>44285.66</v>
      </c>
      <c r="F4966" s="1" t="str">
        <f>TEXT(CallLog[[#This Row],[Date]],"dddd")</f>
        <v>Tuesday</v>
      </c>
      <c r="G4966" s="3">
        <f>HOUR(CallLog[[#This Row],[Time]])</f>
        <v>15</v>
      </c>
      <c r="H4966" t="s">
        <v>29</v>
      </c>
      <c r="I4966" t="s">
        <v>18</v>
      </c>
      <c r="J4966" t="s">
        <v>18</v>
      </c>
      <c r="L4966" t="str">
        <f>IF(AND(CallLog[[#This Row],[Answered (Y/N)]]="Y", CallLog[[#This Row],[Speed of answer in seconds]]&lt;=20),
    "Within",
    "Breach")</f>
        <v>Breach</v>
      </c>
    </row>
    <row r="4967" spans="1:14" x14ac:dyDescent="0.3">
      <c r="A4967" t="s">
        <v>5079</v>
      </c>
      <c r="B4967" t="s">
        <v>31</v>
      </c>
      <c r="C4967" t="s">
        <v>5062</v>
      </c>
      <c r="D4967" s="1">
        <v>0.67</v>
      </c>
      <c r="E4967" s="2">
        <f>CallLog[[#This Row],[Date]]+CallLog[[#This Row],[Time]]</f>
        <v>44285.67</v>
      </c>
      <c r="F4967" s="1" t="str">
        <f>TEXT(CallLog[[#This Row],[Date]],"dddd")</f>
        <v>Tuesday</v>
      </c>
      <c r="G4967" s="3">
        <f>HOUR(CallLog[[#This Row],[Time]])</f>
        <v>16</v>
      </c>
      <c r="H4967" t="s">
        <v>32</v>
      </c>
      <c r="I4967" t="s">
        <v>18</v>
      </c>
      <c r="J4967" t="s">
        <v>18</v>
      </c>
      <c r="L4967" t="str">
        <f>IF(AND(CallLog[[#This Row],[Answered (Y/N)]]="Y", CallLog[[#This Row],[Speed of answer in seconds]]&lt;=20),
    "Within",
    "Breach")</f>
        <v>Breach</v>
      </c>
    </row>
    <row r="4968" spans="1:14" x14ac:dyDescent="0.3">
      <c r="A4968" t="s">
        <v>5080</v>
      </c>
      <c r="B4968" t="s">
        <v>34</v>
      </c>
      <c r="C4968" t="s">
        <v>5062</v>
      </c>
      <c r="D4968" s="1">
        <v>0.67599537037037039</v>
      </c>
      <c r="E4968" s="2">
        <f>CallLog[[#This Row],[Date]]+CallLog[[#This Row],[Time]]</f>
        <v>44285.675995370373</v>
      </c>
      <c r="F4968" s="1" t="str">
        <f>TEXT(CallLog[[#This Row],[Date]],"dddd")</f>
        <v>Tuesday</v>
      </c>
      <c r="G4968" s="3">
        <f>HOUR(CallLog[[#This Row],[Time]])</f>
        <v>16</v>
      </c>
      <c r="H4968" t="s">
        <v>13</v>
      </c>
      <c r="I4968" t="s">
        <v>18</v>
      </c>
      <c r="J4968" t="s">
        <v>18</v>
      </c>
      <c r="L4968" t="str">
        <f>IF(AND(CallLog[[#This Row],[Answered (Y/N)]]="Y", CallLog[[#This Row],[Speed of answer in seconds]]&lt;=20),
    "Within",
    "Breach")</f>
        <v>Breach</v>
      </c>
    </row>
    <row r="4969" spans="1:14" x14ac:dyDescent="0.3">
      <c r="A4969" t="s">
        <v>5081</v>
      </c>
      <c r="B4969" t="s">
        <v>31</v>
      </c>
      <c r="C4969" t="s">
        <v>5062</v>
      </c>
      <c r="D4969" s="1">
        <v>0.68700231481481477</v>
      </c>
      <c r="E4969" s="2">
        <f>CallLog[[#This Row],[Date]]+CallLog[[#This Row],[Time]]</f>
        <v>44285.687002314815</v>
      </c>
      <c r="F4969" s="1" t="str">
        <f>TEXT(CallLog[[#This Row],[Date]],"dddd")</f>
        <v>Tuesday</v>
      </c>
      <c r="G4969" s="3">
        <f>HOUR(CallLog[[#This Row],[Time]])</f>
        <v>16</v>
      </c>
      <c r="H4969" t="s">
        <v>17</v>
      </c>
      <c r="I4969" t="s">
        <v>18</v>
      </c>
      <c r="J4969" t="s">
        <v>18</v>
      </c>
      <c r="L4969" t="str">
        <f>IF(AND(CallLog[[#This Row],[Answered (Y/N)]]="Y", CallLog[[#This Row],[Speed of answer in seconds]]&lt;=20),
    "Within",
    "Breach")</f>
        <v>Breach</v>
      </c>
    </row>
    <row r="4970" spans="1:14" x14ac:dyDescent="0.3">
      <c r="A4970" t="s">
        <v>5082</v>
      </c>
      <c r="B4970" t="s">
        <v>22</v>
      </c>
      <c r="C4970" t="s">
        <v>5062</v>
      </c>
      <c r="D4970" s="1">
        <v>0.68900462962962961</v>
      </c>
      <c r="E4970" s="2">
        <f>CallLog[[#This Row],[Date]]+CallLog[[#This Row],[Time]]</f>
        <v>44285.689004629632</v>
      </c>
      <c r="F4970" s="1" t="str">
        <f>TEXT(CallLog[[#This Row],[Date]],"dddd")</f>
        <v>Tuesday</v>
      </c>
      <c r="G4970" s="3">
        <f>HOUR(CallLog[[#This Row],[Time]])</f>
        <v>16</v>
      </c>
      <c r="H4970" t="s">
        <v>17</v>
      </c>
      <c r="I4970" t="s">
        <v>14</v>
      </c>
      <c r="J4970" t="s">
        <v>14</v>
      </c>
      <c r="K4970">
        <v>105</v>
      </c>
      <c r="L4970" t="str">
        <f>IF(AND(CallLog[[#This Row],[Answered (Y/N)]]="Y", CallLog[[#This Row],[Speed of answer in seconds]]&lt;=20),
    "Within",
    "Breach")</f>
        <v>Breach</v>
      </c>
      <c r="M4970" s="1">
        <v>3.3912037037037036E-3</v>
      </c>
      <c r="N4970">
        <v>4</v>
      </c>
    </row>
    <row r="4971" spans="1:14" x14ac:dyDescent="0.3">
      <c r="A4971" t="s">
        <v>5083</v>
      </c>
      <c r="B4971" t="s">
        <v>47</v>
      </c>
      <c r="C4971" t="s">
        <v>5062</v>
      </c>
      <c r="D4971" s="1">
        <v>0.69900462962962961</v>
      </c>
      <c r="E4971" s="2">
        <f>CallLog[[#This Row],[Date]]+CallLog[[#This Row],[Time]]</f>
        <v>44285.699004629627</v>
      </c>
      <c r="F4971" s="1" t="str">
        <f>TEXT(CallLog[[#This Row],[Date]],"dddd")</f>
        <v>Tuesday</v>
      </c>
      <c r="G4971" s="3">
        <f>HOUR(CallLog[[#This Row],[Time]])</f>
        <v>16</v>
      </c>
      <c r="H4971" t="s">
        <v>17</v>
      </c>
      <c r="I4971" t="s">
        <v>14</v>
      </c>
      <c r="J4971" t="s">
        <v>14</v>
      </c>
      <c r="K4971">
        <v>41</v>
      </c>
      <c r="L4971" t="str">
        <f>IF(AND(CallLog[[#This Row],[Answered (Y/N)]]="Y", CallLog[[#This Row],[Speed of answer in seconds]]&lt;=20),
    "Within",
    "Breach")</f>
        <v>Breach</v>
      </c>
      <c r="M4971" s="1">
        <v>1.4583333333333334E-3</v>
      </c>
      <c r="N4971">
        <v>5</v>
      </c>
    </row>
    <row r="4972" spans="1:14" x14ac:dyDescent="0.3">
      <c r="A4972" t="s">
        <v>5084</v>
      </c>
      <c r="B4972" t="s">
        <v>22</v>
      </c>
      <c r="C4972" t="s">
        <v>5062</v>
      </c>
      <c r="D4972" s="1">
        <v>0.71799768518518514</v>
      </c>
      <c r="E4972" s="2">
        <f>CallLog[[#This Row],[Date]]+CallLog[[#This Row],[Time]]</f>
        <v>44285.717997685184</v>
      </c>
      <c r="F4972" s="1" t="str">
        <f>TEXT(CallLog[[#This Row],[Date]],"dddd")</f>
        <v>Tuesday</v>
      </c>
      <c r="G4972" s="3">
        <f>HOUR(CallLog[[#This Row],[Time]])</f>
        <v>17</v>
      </c>
      <c r="H4972" t="s">
        <v>32</v>
      </c>
      <c r="I4972" t="s">
        <v>18</v>
      </c>
      <c r="J4972" t="s">
        <v>18</v>
      </c>
      <c r="L4972" t="str">
        <f>IF(AND(CallLog[[#This Row],[Answered (Y/N)]]="Y", CallLog[[#This Row],[Speed of answer in seconds]]&lt;=20),
    "Within",
    "Breach")</f>
        <v>Breach</v>
      </c>
    </row>
    <row r="4973" spans="1:14" x14ac:dyDescent="0.3">
      <c r="A4973" t="s">
        <v>5085</v>
      </c>
      <c r="B4973" t="s">
        <v>34</v>
      </c>
      <c r="C4973" t="s">
        <v>5062</v>
      </c>
      <c r="D4973" s="1">
        <v>0.72599537037037032</v>
      </c>
      <c r="E4973" s="2">
        <f>CallLog[[#This Row],[Date]]+CallLog[[#This Row],[Time]]</f>
        <v>44285.725995370369</v>
      </c>
      <c r="F4973" s="1" t="str">
        <f>TEXT(CallLog[[#This Row],[Date]],"dddd")</f>
        <v>Tuesday</v>
      </c>
      <c r="G4973" s="3">
        <f>HOUR(CallLog[[#This Row],[Time]])</f>
        <v>17</v>
      </c>
      <c r="H4973" t="s">
        <v>13</v>
      </c>
      <c r="I4973" t="s">
        <v>14</v>
      </c>
      <c r="J4973" t="s">
        <v>14</v>
      </c>
      <c r="K4973">
        <v>42</v>
      </c>
      <c r="L4973" t="str">
        <f>IF(AND(CallLog[[#This Row],[Answered (Y/N)]]="Y", CallLog[[#This Row],[Speed of answer in seconds]]&lt;=20),
    "Within",
    "Breach")</f>
        <v>Breach</v>
      </c>
      <c r="M4973" s="1">
        <v>4.0509259259259258E-4</v>
      </c>
      <c r="N4973">
        <v>5</v>
      </c>
    </row>
    <row r="4974" spans="1:14" x14ac:dyDescent="0.3">
      <c r="A4974" t="s">
        <v>5086</v>
      </c>
      <c r="B4974" t="s">
        <v>34</v>
      </c>
      <c r="C4974" t="s">
        <v>5062</v>
      </c>
      <c r="D4974" s="1">
        <v>0.73400462962962965</v>
      </c>
      <c r="E4974" s="2">
        <f>CallLog[[#This Row],[Date]]+CallLog[[#This Row],[Time]]</f>
        <v>44285.73400462963</v>
      </c>
      <c r="F4974" s="1" t="str">
        <f>TEXT(CallLog[[#This Row],[Date]],"dddd")</f>
        <v>Tuesday</v>
      </c>
      <c r="G4974" s="3">
        <f>HOUR(CallLog[[#This Row],[Time]])</f>
        <v>17</v>
      </c>
      <c r="H4974" t="s">
        <v>29</v>
      </c>
      <c r="I4974" t="s">
        <v>14</v>
      </c>
      <c r="J4974" t="s">
        <v>14</v>
      </c>
      <c r="K4974">
        <v>103</v>
      </c>
      <c r="L4974" t="str">
        <f>IF(AND(CallLog[[#This Row],[Answered (Y/N)]]="Y", CallLog[[#This Row],[Speed of answer in seconds]]&lt;=20),
    "Within",
    "Breach")</f>
        <v>Breach</v>
      </c>
      <c r="M4974" s="1">
        <v>1.6550925925925926E-3</v>
      </c>
      <c r="N4974">
        <v>3</v>
      </c>
    </row>
    <row r="4975" spans="1:14" x14ac:dyDescent="0.3">
      <c r="A4975" t="s">
        <v>5087</v>
      </c>
      <c r="B4975" t="s">
        <v>38</v>
      </c>
      <c r="C4975" t="s">
        <v>5088</v>
      </c>
      <c r="D4975" s="1">
        <v>0.3759953703703704</v>
      </c>
      <c r="E4975" s="2">
        <f>CallLog[[#This Row],[Date]]+CallLog[[#This Row],[Time]]</f>
        <v>44286.37599537037</v>
      </c>
      <c r="F4975" s="1" t="str">
        <f>TEXT(CallLog[[#This Row],[Date]],"dddd")</f>
        <v>Wednesday</v>
      </c>
      <c r="G4975" s="3">
        <f>HOUR(CallLog[[#This Row],[Time]])</f>
        <v>9</v>
      </c>
      <c r="H4975" t="s">
        <v>24</v>
      </c>
      <c r="I4975" t="s">
        <v>14</v>
      </c>
      <c r="J4975" t="s">
        <v>14</v>
      </c>
      <c r="K4975">
        <v>124</v>
      </c>
      <c r="L4975" t="str">
        <f>IF(AND(CallLog[[#This Row],[Answered (Y/N)]]="Y", CallLog[[#This Row],[Speed of answer in seconds]]&lt;=20),
    "Within",
    "Breach")</f>
        <v>Breach</v>
      </c>
      <c r="M4975" s="1">
        <v>4.4444444444444444E-3</v>
      </c>
      <c r="N4975">
        <v>3</v>
      </c>
    </row>
    <row r="4976" spans="1:14" x14ac:dyDescent="0.3">
      <c r="A4976" t="s">
        <v>5089</v>
      </c>
      <c r="B4976" t="s">
        <v>47</v>
      </c>
      <c r="C4976" t="s">
        <v>5088</v>
      </c>
      <c r="D4976" s="1">
        <v>0.38200231481481484</v>
      </c>
      <c r="E4976" s="2">
        <f>CallLog[[#This Row],[Date]]+CallLog[[#This Row],[Time]]</f>
        <v>44286.382002314815</v>
      </c>
      <c r="F4976" s="1" t="str">
        <f>TEXT(CallLog[[#This Row],[Date]],"dddd")</f>
        <v>Wednesday</v>
      </c>
      <c r="G4976" s="3">
        <f>HOUR(CallLog[[#This Row],[Time]])</f>
        <v>9</v>
      </c>
      <c r="H4976" t="s">
        <v>17</v>
      </c>
      <c r="I4976" t="s">
        <v>14</v>
      </c>
      <c r="J4976" t="s">
        <v>14</v>
      </c>
      <c r="K4976">
        <v>102</v>
      </c>
      <c r="L4976" t="str">
        <f>IF(AND(CallLog[[#This Row],[Answered (Y/N)]]="Y", CallLog[[#This Row],[Speed of answer in seconds]]&lt;=20),
    "Within",
    "Breach")</f>
        <v>Breach</v>
      </c>
      <c r="M4976" s="1">
        <v>1.6898148148148148E-3</v>
      </c>
      <c r="N4976">
        <v>5</v>
      </c>
    </row>
    <row r="4977" spans="1:14" x14ac:dyDescent="0.3">
      <c r="A4977" t="s">
        <v>5090</v>
      </c>
      <c r="B4977" t="s">
        <v>38</v>
      </c>
      <c r="C4977" t="s">
        <v>5088</v>
      </c>
      <c r="D4977" s="1">
        <v>0.38900462962962962</v>
      </c>
      <c r="E4977" s="2">
        <f>CallLog[[#This Row],[Date]]+CallLog[[#This Row],[Time]]</f>
        <v>44286.389004629629</v>
      </c>
      <c r="F4977" s="1" t="str">
        <f>TEXT(CallLog[[#This Row],[Date]],"dddd")</f>
        <v>Wednesday</v>
      </c>
      <c r="G4977" s="3">
        <f>HOUR(CallLog[[#This Row],[Time]])</f>
        <v>9</v>
      </c>
      <c r="H4977" t="s">
        <v>17</v>
      </c>
      <c r="I4977" t="s">
        <v>14</v>
      </c>
      <c r="J4977" t="s">
        <v>14</v>
      </c>
      <c r="K4977">
        <v>87</v>
      </c>
      <c r="L4977" t="str">
        <f>IF(AND(CallLog[[#This Row],[Answered (Y/N)]]="Y", CallLog[[#This Row],[Speed of answer in seconds]]&lt;=20),
    "Within",
    "Breach")</f>
        <v>Breach</v>
      </c>
      <c r="M4977" s="1">
        <v>4.8263888888888887E-3</v>
      </c>
      <c r="N4977">
        <v>4</v>
      </c>
    </row>
    <row r="4978" spans="1:14" x14ac:dyDescent="0.3">
      <c r="A4978" t="s">
        <v>5091</v>
      </c>
      <c r="B4978" t="s">
        <v>22</v>
      </c>
      <c r="C4978" t="s">
        <v>5088</v>
      </c>
      <c r="D4978" s="1">
        <v>0.39200231481481479</v>
      </c>
      <c r="E4978" s="2">
        <f>CallLog[[#This Row],[Date]]+CallLog[[#This Row],[Time]]</f>
        <v>44286.392002314817</v>
      </c>
      <c r="F4978" s="1" t="str">
        <f>TEXT(CallLog[[#This Row],[Date]],"dddd")</f>
        <v>Wednesday</v>
      </c>
      <c r="G4978" s="3">
        <f>HOUR(CallLog[[#This Row],[Time]])</f>
        <v>9</v>
      </c>
      <c r="H4978" t="s">
        <v>32</v>
      </c>
      <c r="I4978" t="s">
        <v>14</v>
      </c>
      <c r="J4978" t="s">
        <v>14</v>
      </c>
      <c r="K4978">
        <v>40</v>
      </c>
      <c r="L4978" t="str">
        <f>IF(AND(CallLog[[#This Row],[Answered (Y/N)]]="Y", CallLog[[#This Row],[Speed of answer in seconds]]&lt;=20),
    "Within",
    "Breach")</f>
        <v>Breach</v>
      </c>
      <c r="M4978" s="1">
        <v>2.0254629629629629E-3</v>
      </c>
      <c r="N4978">
        <v>4</v>
      </c>
    </row>
    <row r="4979" spans="1:14" x14ac:dyDescent="0.3">
      <c r="A4979" t="s">
        <v>5092</v>
      </c>
      <c r="B4979" t="s">
        <v>22</v>
      </c>
      <c r="C4979" t="s">
        <v>5088</v>
      </c>
      <c r="D4979" s="1">
        <v>0.42599537037037039</v>
      </c>
      <c r="E4979" s="2">
        <f>CallLog[[#This Row],[Date]]+CallLog[[#This Row],[Time]]</f>
        <v>44286.425995370373</v>
      </c>
      <c r="F4979" s="1" t="str">
        <f>TEXT(CallLog[[#This Row],[Date]],"dddd")</f>
        <v>Wednesday</v>
      </c>
      <c r="G4979" s="3">
        <f>HOUR(CallLog[[#This Row],[Time]])</f>
        <v>10</v>
      </c>
      <c r="H4979" t="s">
        <v>13</v>
      </c>
      <c r="I4979" t="s">
        <v>14</v>
      </c>
      <c r="J4979" t="s">
        <v>14</v>
      </c>
      <c r="K4979">
        <v>94</v>
      </c>
      <c r="L4979" t="str">
        <f>IF(AND(CallLog[[#This Row],[Answered (Y/N)]]="Y", CallLog[[#This Row],[Speed of answer in seconds]]&lt;=20),
    "Within",
    "Breach")</f>
        <v>Breach</v>
      </c>
      <c r="M4979" s="1">
        <v>4.6296296296296298E-4</v>
      </c>
      <c r="N4979">
        <v>4</v>
      </c>
    </row>
    <row r="4980" spans="1:14" x14ac:dyDescent="0.3">
      <c r="A4980" t="s">
        <v>5093</v>
      </c>
      <c r="B4980" t="s">
        <v>22</v>
      </c>
      <c r="C4980" t="s">
        <v>5088</v>
      </c>
      <c r="D4980" s="1">
        <v>0.44400462962962961</v>
      </c>
      <c r="E4980" s="2">
        <f>CallLog[[#This Row],[Date]]+CallLog[[#This Row],[Time]]</f>
        <v>44286.444004629629</v>
      </c>
      <c r="F4980" s="1" t="str">
        <f>TEXT(CallLog[[#This Row],[Date]],"dddd")</f>
        <v>Wednesday</v>
      </c>
      <c r="G4980" s="3">
        <f>HOUR(CallLog[[#This Row],[Time]])</f>
        <v>10</v>
      </c>
      <c r="H4980" t="s">
        <v>17</v>
      </c>
      <c r="I4980" t="s">
        <v>18</v>
      </c>
      <c r="J4980" t="s">
        <v>18</v>
      </c>
      <c r="L4980" t="str">
        <f>IF(AND(CallLog[[#This Row],[Answered (Y/N)]]="Y", CallLog[[#This Row],[Speed of answer in seconds]]&lt;=20),
    "Within",
    "Breach")</f>
        <v>Breach</v>
      </c>
    </row>
    <row r="4981" spans="1:14" x14ac:dyDescent="0.3">
      <c r="A4981" t="s">
        <v>5094</v>
      </c>
      <c r="B4981" t="s">
        <v>16</v>
      </c>
      <c r="C4981" t="s">
        <v>5088</v>
      </c>
      <c r="D4981" s="1">
        <v>0.45099537037037035</v>
      </c>
      <c r="E4981" s="2">
        <f>CallLog[[#This Row],[Date]]+CallLog[[#This Row],[Time]]</f>
        <v>44286.450995370367</v>
      </c>
      <c r="F4981" s="1" t="str">
        <f>TEXT(CallLog[[#This Row],[Date]],"dddd")</f>
        <v>Wednesday</v>
      </c>
      <c r="G4981" s="3">
        <f>HOUR(CallLog[[#This Row],[Time]])</f>
        <v>10</v>
      </c>
      <c r="H4981" t="s">
        <v>29</v>
      </c>
      <c r="I4981" t="s">
        <v>14</v>
      </c>
      <c r="J4981" t="s">
        <v>14</v>
      </c>
      <c r="K4981">
        <v>37</v>
      </c>
      <c r="L4981" t="str">
        <f>IF(AND(CallLog[[#This Row],[Answered (Y/N)]]="Y", CallLog[[#This Row],[Speed of answer in seconds]]&lt;=20),
    "Within",
    "Breach")</f>
        <v>Breach</v>
      </c>
      <c r="M4981" s="1">
        <v>2.9976851851851853E-3</v>
      </c>
      <c r="N4981">
        <v>5</v>
      </c>
    </row>
    <row r="4982" spans="1:14" x14ac:dyDescent="0.3">
      <c r="A4982" t="s">
        <v>5095</v>
      </c>
      <c r="B4982" t="s">
        <v>16</v>
      </c>
      <c r="C4982" t="s">
        <v>5088</v>
      </c>
      <c r="D4982" s="1">
        <v>0.46400462962962963</v>
      </c>
      <c r="E4982" s="2">
        <f>CallLog[[#This Row],[Date]]+CallLog[[#This Row],[Time]]</f>
        <v>44286.464004629626</v>
      </c>
      <c r="F4982" s="1" t="str">
        <f>TEXT(CallLog[[#This Row],[Date]],"dddd")</f>
        <v>Wednesday</v>
      </c>
      <c r="G4982" s="3">
        <f>HOUR(CallLog[[#This Row],[Time]])</f>
        <v>11</v>
      </c>
      <c r="H4982" t="s">
        <v>29</v>
      </c>
      <c r="I4982" t="s">
        <v>14</v>
      </c>
      <c r="J4982" t="s">
        <v>14</v>
      </c>
      <c r="K4982">
        <v>23</v>
      </c>
      <c r="L4982" t="str">
        <f>IF(AND(CallLog[[#This Row],[Answered (Y/N)]]="Y", CallLog[[#This Row],[Speed of answer in seconds]]&lt;=20),
    "Within",
    "Breach")</f>
        <v>Breach</v>
      </c>
      <c r="M4982" s="1">
        <v>3.3217592592592591E-3</v>
      </c>
      <c r="N4982">
        <v>4</v>
      </c>
    </row>
    <row r="4983" spans="1:14" x14ac:dyDescent="0.3">
      <c r="A4983" t="s">
        <v>5096</v>
      </c>
      <c r="B4983" t="s">
        <v>31</v>
      </c>
      <c r="C4983" t="s">
        <v>5088</v>
      </c>
      <c r="D4983" s="1">
        <v>0.4729976851851852</v>
      </c>
      <c r="E4983" s="2">
        <f>CallLog[[#This Row],[Date]]+CallLog[[#This Row],[Time]]</f>
        <v>44286.472997685189</v>
      </c>
      <c r="F4983" s="1" t="str">
        <f>TEXT(CallLog[[#This Row],[Date]],"dddd")</f>
        <v>Wednesday</v>
      </c>
      <c r="G4983" s="3">
        <f>HOUR(CallLog[[#This Row],[Time]])</f>
        <v>11</v>
      </c>
      <c r="H4983" t="s">
        <v>13</v>
      </c>
      <c r="I4983" t="s">
        <v>14</v>
      </c>
      <c r="J4983" t="s">
        <v>14</v>
      </c>
      <c r="K4983">
        <v>80</v>
      </c>
      <c r="L4983" t="str">
        <f>IF(AND(CallLog[[#This Row],[Answered (Y/N)]]="Y", CallLog[[#This Row],[Speed of answer in seconds]]&lt;=20),
    "Within",
    "Breach")</f>
        <v>Breach</v>
      </c>
      <c r="M4983" s="1">
        <v>1.7939814814814815E-3</v>
      </c>
      <c r="N4983">
        <v>3</v>
      </c>
    </row>
    <row r="4984" spans="1:14" x14ac:dyDescent="0.3">
      <c r="A4984" t="s">
        <v>5097</v>
      </c>
      <c r="B4984" t="s">
        <v>20</v>
      </c>
      <c r="C4984" t="s">
        <v>5088</v>
      </c>
      <c r="D4984" s="1">
        <v>0.48099537037037038</v>
      </c>
      <c r="E4984" s="2">
        <f>CallLog[[#This Row],[Date]]+CallLog[[#This Row],[Time]]</f>
        <v>44286.480995370373</v>
      </c>
      <c r="F4984" s="1" t="str">
        <f>TEXT(CallLog[[#This Row],[Date]],"dddd")</f>
        <v>Wednesday</v>
      </c>
      <c r="G4984" s="3">
        <f>HOUR(CallLog[[#This Row],[Time]])</f>
        <v>11</v>
      </c>
      <c r="H4984" t="s">
        <v>24</v>
      </c>
      <c r="I4984" t="s">
        <v>14</v>
      </c>
      <c r="J4984" t="s">
        <v>14</v>
      </c>
      <c r="K4984">
        <v>81</v>
      </c>
      <c r="L4984" t="str">
        <f>IF(AND(CallLog[[#This Row],[Answered (Y/N)]]="Y", CallLog[[#This Row],[Speed of answer in seconds]]&lt;=20),
    "Within",
    "Breach")</f>
        <v>Breach</v>
      </c>
      <c r="M4984" s="1">
        <v>3.3449074074074076E-3</v>
      </c>
      <c r="N4984">
        <v>1</v>
      </c>
    </row>
    <row r="4985" spans="1:14" x14ac:dyDescent="0.3">
      <c r="A4985" t="s">
        <v>5098</v>
      </c>
      <c r="B4985" t="s">
        <v>34</v>
      </c>
      <c r="C4985" t="s">
        <v>5088</v>
      </c>
      <c r="D4985" s="1">
        <v>0.48400462962962965</v>
      </c>
      <c r="E4985" s="2">
        <f>CallLog[[#This Row],[Date]]+CallLog[[#This Row],[Time]]</f>
        <v>44286.48400462963</v>
      </c>
      <c r="F4985" s="1" t="str">
        <f>TEXT(CallLog[[#This Row],[Date]],"dddd")</f>
        <v>Wednesday</v>
      </c>
      <c r="G4985" s="3">
        <f>HOUR(CallLog[[#This Row],[Time]])</f>
        <v>11</v>
      </c>
      <c r="H4985" t="s">
        <v>13</v>
      </c>
      <c r="I4985" t="s">
        <v>14</v>
      </c>
      <c r="J4985" t="s">
        <v>14</v>
      </c>
      <c r="K4985">
        <v>53</v>
      </c>
      <c r="L4985" t="str">
        <f>IF(AND(CallLog[[#This Row],[Answered (Y/N)]]="Y", CallLog[[#This Row],[Speed of answer in seconds]]&lt;=20),
    "Within",
    "Breach")</f>
        <v>Breach</v>
      </c>
      <c r="M4985" s="1">
        <v>2.1643518518518518E-3</v>
      </c>
      <c r="N4985">
        <v>4</v>
      </c>
    </row>
    <row r="4986" spans="1:14" x14ac:dyDescent="0.3">
      <c r="A4986" t="s">
        <v>5099</v>
      </c>
      <c r="B4986" t="s">
        <v>31</v>
      </c>
      <c r="C4986" t="s">
        <v>5088</v>
      </c>
      <c r="D4986" s="1">
        <v>0.53500000000000003</v>
      </c>
      <c r="E4986" s="2">
        <f>CallLog[[#This Row],[Date]]+CallLog[[#This Row],[Time]]</f>
        <v>44286.535000000003</v>
      </c>
      <c r="F4986" s="1" t="str">
        <f>TEXT(CallLog[[#This Row],[Date]],"dddd")</f>
        <v>Wednesday</v>
      </c>
      <c r="G4986" s="3">
        <f>HOUR(CallLog[[#This Row],[Time]])</f>
        <v>12</v>
      </c>
      <c r="H4986" t="s">
        <v>24</v>
      </c>
      <c r="I4986" t="s">
        <v>18</v>
      </c>
      <c r="J4986" t="s">
        <v>18</v>
      </c>
      <c r="L4986" t="str">
        <f>IF(AND(CallLog[[#This Row],[Answered (Y/N)]]="Y", CallLog[[#This Row],[Speed of answer in seconds]]&lt;=20),
    "Within",
    "Breach")</f>
        <v>Breach</v>
      </c>
    </row>
    <row r="4987" spans="1:14" x14ac:dyDescent="0.3">
      <c r="A4987" t="s">
        <v>5100</v>
      </c>
      <c r="B4987" t="s">
        <v>11</v>
      </c>
      <c r="C4987" t="s">
        <v>5088</v>
      </c>
      <c r="D4987" s="1">
        <v>0.53500000000000003</v>
      </c>
      <c r="E4987" s="2">
        <f>CallLog[[#This Row],[Date]]+CallLog[[#This Row],[Time]]</f>
        <v>44286.535000000003</v>
      </c>
      <c r="F4987" s="1" t="str">
        <f>TEXT(CallLog[[#This Row],[Date]],"dddd")</f>
        <v>Wednesday</v>
      </c>
      <c r="G4987" s="3">
        <f>HOUR(CallLog[[#This Row],[Time]])</f>
        <v>12</v>
      </c>
      <c r="H4987" t="s">
        <v>32</v>
      </c>
      <c r="I4987" t="s">
        <v>14</v>
      </c>
      <c r="J4987" t="s">
        <v>18</v>
      </c>
      <c r="K4987">
        <v>55</v>
      </c>
      <c r="L4987" t="str">
        <f>IF(AND(CallLog[[#This Row],[Answered (Y/N)]]="Y", CallLog[[#This Row],[Speed of answer in seconds]]&lt;=20),
    "Within",
    "Breach")</f>
        <v>Breach</v>
      </c>
      <c r="M4987" s="1">
        <v>1.4004629629629629E-3</v>
      </c>
      <c r="N4987">
        <v>1</v>
      </c>
    </row>
    <row r="4988" spans="1:14" x14ac:dyDescent="0.3">
      <c r="A4988" t="s">
        <v>5101</v>
      </c>
      <c r="B4988" t="s">
        <v>20</v>
      </c>
      <c r="C4988" t="s">
        <v>5088</v>
      </c>
      <c r="D4988" s="1">
        <v>0.54299768518518521</v>
      </c>
      <c r="E4988" s="2">
        <f>CallLog[[#This Row],[Date]]+CallLog[[#This Row],[Time]]</f>
        <v>44286.542997685188</v>
      </c>
      <c r="F4988" s="1" t="str">
        <f>TEXT(CallLog[[#This Row],[Date]],"dddd")</f>
        <v>Wednesday</v>
      </c>
      <c r="G4988" s="3">
        <f>HOUR(CallLog[[#This Row],[Time]])</f>
        <v>13</v>
      </c>
      <c r="H4988" t="s">
        <v>24</v>
      </c>
      <c r="I4988" t="s">
        <v>14</v>
      </c>
      <c r="J4988" t="s">
        <v>18</v>
      </c>
      <c r="K4988">
        <v>10</v>
      </c>
      <c r="L4988" t="str">
        <f>IF(AND(CallLog[[#This Row],[Answered (Y/N)]]="Y", CallLog[[#This Row],[Speed of answer in seconds]]&lt;=20),
    "Within",
    "Breach")</f>
        <v>Within</v>
      </c>
      <c r="M4988" s="1">
        <v>1.6898148148148148E-3</v>
      </c>
      <c r="N4988">
        <v>4</v>
      </c>
    </row>
    <row r="4989" spans="1:14" x14ac:dyDescent="0.3">
      <c r="A4989" t="s">
        <v>5102</v>
      </c>
      <c r="B4989" t="s">
        <v>20</v>
      </c>
      <c r="C4989" t="s">
        <v>5088</v>
      </c>
      <c r="D4989" s="1">
        <v>0.55500000000000005</v>
      </c>
      <c r="E4989" s="2">
        <f>CallLog[[#This Row],[Date]]+CallLog[[#This Row],[Time]]</f>
        <v>44286.555</v>
      </c>
      <c r="F4989" s="1" t="str">
        <f>TEXT(CallLog[[#This Row],[Date]],"dddd")</f>
        <v>Wednesday</v>
      </c>
      <c r="G4989" s="3">
        <f>HOUR(CallLog[[#This Row],[Time]])</f>
        <v>13</v>
      </c>
      <c r="H4989" t="s">
        <v>13</v>
      </c>
      <c r="I4989" t="s">
        <v>14</v>
      </c>
      <c r="J4989" t="s">
        <v>14</v>
      </c>
      <c r="K4989">
        <v>14</v>
      </c>
      <c r="L4989" t="str">
        <f>IF(AND(CallLog[[#This Row],[Answered (Y/N)]]="Y", CallLog[[#This Row],[Speed of answer in seconds]]&lt;=20),
    "Within",
    "Breach")</f>
        <v>Within</v>
      </c>
      <c r="M4989" s="1">
        <v>3.8425925925925928E-3</v>
      </c>
      <c r="N4989">
        <v>4</v>
      </c>
    </row>
    <row r="4990" spans="1:14" x14ac:dyDescent="0.3">
      <c r="A4990" t="s">
        <v>5103</v>
      </c>
      <c r="B4990" t="s">
        <v>38</v>
      </c>
      <c r="C4990" t="s">
        <v>5088</v>
      </c>
      <c r="D4990" s="1">
        <v>0.55700231481481477</v>
      </c>
      <c r="E4990" s="2">
        <f>CallLog[[#This Row],[Date]]+CallLog[[#This Row],[Time]]</f>
        <v>44286.557002314818</v>
      </c>
      <c r="F4990" s="1" t="str">
        <f>TEXT(CallLog[[#This Row],[Date]],"dddd")</f>
        <v>Wednesday</v>
      </c>
      <c r="G4990" s="3">
        <f>HOUR(CallLog[[#This Row],[Time]])</f>
        <v>13</v>
      </c>
      <c r="H4990" t="s">
        <v>13</v>
      </c>
      <c r="I4990" t="s">
        <v>14</v>
      </c>
      <c r="J4990" t="s">
        <v>14</v>
      </c>
      <c r="K4990">
        <v>62</v>
      </c>
      <c r="L4990" t="str">
        <f>IF(AND(CallLog[[#This Row],[Answered (Y/N)]]="Y", CallLog[[#This Row],[Speed of answer in seconds]]&lt;=20),
    "Within",
    "Breach")</f>
        <v>Breach</v>
      </c>
      <c r="M4990" s="1">
        <v>4.0393518518518521E-3</v>
      </c>
      <c r="N4990">
        <v>5</v>
      </c>
    </row>
    <row r="4991" spans="1:14" x14ac:dyDescent="0.3">
      <c r="A4991" t="s">
        <v>5104</v>
      </c>
      <c r="B4991" t="s">
        <v>16</v>
      </c>
      <c r="C4991" t="s">
        <v>5088</v>
      </c>
      <c r="D4991" s="1">
        <v>0.5709953703703704</v>
      </c>
      <c r="E4991" s="2">
        <f>CallLog[[#This Row],[Date]]+CallLog[[#This Row],[Time]]</f>
        <v>44286.57099537037</v>
      </c>
      <c r="F4991" s="1" t="str">
        <f>TEXT(CallLog[[#This Row],[Date]],"dddd")</f>
        <v>Wednesday</v>
      </c>
      <c r="G4991" s="3">
        <f>HOUR(CallLog[[#This Row],[Time]])</f>
        <v>13</v>
      </c>
      <c r="H4991" t="s">
        <v>24</v>
      </c>
      <c r="I4991" t="s">
        <v>14</v>
      </c>
      <c r="J4991" t="s">
        <v>14</v>
      </c>
      <c r="K4991">
        <v>122</v>
      </c>
      <c r="L4991" t="str">
        <f>IF(AND(CallLog[[#This Row],[Answered (Y/N)]]="Y", CallLog[[#This Row],[Speed of answer in seconds]]&lt;=20),
    "Within",
    "Breach")</f>
        <v>Breach</v>
      </c>
      <c r="M4991" s="1">
        <v>3.460648148148148E-3</v>
      </c>
      <c r="N4991">
        <v>4</v>
      </c>
    </row>
    <row r="4992" spans="1:14" x14ac:dyDescent="0.3">
      <c r="A4992" t="s">
        <v>5105</v>
      </c>
      <c r="B4992" t="s">
        <v>20</v>
      </c>
      <c r="C4992" t="s">
        <v>5088</v>
      </c>
      <c r="D4992" s="1">
        <v>0.57400462962962961</v>
      </c>
      <c r="E4992" s="2">
        <f>CallLog[[#This Row],[Date]]+CallLog[[#This Row],[Time]]</f>
        <v>44286.574004629627</v>
      </c>
      <c r="F4992" s="1" t="str">
        <f>TEXT(CallLog[[#This Row],[Date]],"dddd")</f>
        <v>Wednesday</v>
      </c>
      <c r="G4992" s="3">
        <f>HOUR(CallLog[[#This Row],[Time]])</f>
        <v>13</v>
      </c>
      <c r="H4992" t="s">
        <v>32</v>
      </c>
      <c r="I4992" t="s">
        <v>14</v>
      </c>
      <c r="J4992" t="s">
        <v>14</v>
      </c>
      <c r="K4992">
        <v>73</v>
      </c>
      <c r="L4992" t="str">
        <f>IF(AND(CallLog[[#This Row],[Answered (Y/N)]]="Y", CallLog[[#This Row],[Speed of answer in seconds]]&lt;=20),
    "Within",
    "Breach")</f>
        <v>Breach</v>
      </c>
      <c r="M4992" s="1">
        <v>4.4675925925925924E-3</v>
      </c>
      <c r="N4992">
        <v>1</v>
      </c>
    </row>
    <row r="4993" spans="1:14" x14ac:dyDescent="0.3">
      <c r="A4993" t="s">
        <v>5106</v>
      </c>
      <c r="B4993" t="s">
        <v>34</v>
      </c>
      <c r="C4993" t="s">
        <v>5088</v>
      </c>
      <c r="D4993" s="1">
        <v>0.59299768518518514</v>
      </c>
      <c r="E4993" s="2">
        <f>CallLog[[#This Row],[Date]]+CallLog[[#This Row],[Time]]</f>
        <v>44286.592997685184</v>
      </c>
      <c r="F4993" s="1" t="str">
        <f>TEXT(CallLog[[#This Row],[Date]],"dddd")</f>
        <v>Wednesday</v>
      </c>
      <c r="G4993" s="3">
        <f>HOUR(CallLog[[#This Row],[Time]])</f>
        <v>14</v>
      </c>
      <c r="H4993" t="s">
        <v>32</v>
      </c>
      <c r="I4993" t="s">
        <v>18</v>
      </c>
      <c r="J4993" t="s">
        <v>18</v>
      </c>
      <c r="L4993" t="str">
        <f>IF(AND(CallLog[[#This Row],[Answered (Y/N)]]="Y", CallLog[[#This Row],[Speed of answer in seconds]]&lt;=20),
    "Within",
    "Breach")</f>
        <v>Breach</v>
      </c>
    </row>
    <row r="4994" spans="1:14" x14ac:dyDescent="0.3">
      <c r="A4994" t="s">
        <v>5107</v>
      </c>
      <c r="B4994" t="s">
        <v>34</v>
      </c>
      <c r="C4994" t="s">
        <v>5088</v>
      </c>
      <c r="D4994" s="1">
        <v>0.59599537037037043</v>
      </c>
      <c r="E4994" s="2">
        <f>CallLog[[#This Row],[Date]]+CallLog[[#This Row],[Time]]</f>
        <v>44286.595995370371</v>
      </c>
      <c r="F4994" s="1" t="str">
        <f>TEXT(CallLog[[#This Row],[Date]],"dddd")</f>
        <v>Wednesday</v>
      </c>
      <c r="G4994" s="3">
        <f>HOUR(CallLog[[#This Row],[Time]])</f>
        <v>14</v>
      </c>
      <c r="H4994" t="s">
        <v>29</v>
      </c>
      <c r="I4994" t="s">
        <v>18</v>
      </c>
      <c r="J4994" t="s">
        <v>18</v>
      </c>
      <c r="L4994" t="str">
        <f>IF(AND(CallLog[[#This Row],[Answered (Y/N)]]="Y", CallLog[[#This Row],[Speed of answer in seconds]]&lt;=20),
    "Within",
    "Breach")</f>
        <v>Breach</v>
      </c>
    </row>
    <row r="4995" spans="1:14" x14ac:dyDescent="0.3">
      <c r="A4995" t="s">
        <v>5108</v>
      </c>
      <c r="B4995" t="s">
        <v>22</v>
      </c>
      <c r="C4995" t="s">
        <v>5088</v>
      </c>
      <c r="D4995" s="1">
        <v>0.62400462962962966</v>
      </c>
      <c r="E4995" s="2">
        <f>CallLog[[#This Row],[Date]]+CallLog[[#This Row],[Time]]</f>
        <v>44286.62400462963</v>
      </c>
      <c r="F4995" s="1" t="str">
        <f>TEXT(CallLog[[#This Row],[Date]],"dddd")</f>
        <v>Wednesday</v>
      </c>
      <c r="G4995" s="3">
        <f>HOUR(CallLog[[#This Row],[Time]])</f>
        <v>14</v>
      </c>
      <c r="H4995" t="s">
        <v>13</v>
      </c>
      <c r="I4995" t="s">
        <v>18</v>
      </c>
      <c r="J4995" t="s">
        <v>18</v>
      </c>
      <c r="L4995" t="str">
        <f>IF(AND(CallLog[[#This Row],[Answered (Y/N)]]="Y", CallLog[[#This Row],[Speed of answer in seconds]]&lt;=20),
    "Within",
    "Breach")</f>
        <v>Breach</v>
      </c>
    </row>
    <row r="4996" spans="1:14" x14ac:dyDescent="0.3">
      <c r="A4996" t="s">
        <v>5109</v>
      </c>
      <c r="B4996" t="s">
        <v>47</v>
      </c>
      <c r="C4996" t="s">
        <v>5088</v>
      </c>
      <c r="D4996" s="1">
        <v>0.64799768518518519</v>
      </c>
      <c r="E4996" s="2">
        <f>CallLog[[#This Row],[Date]]+CallLog[[#This Row],[Time]]</f>
        <v>44286.647997685184</v>
      </c>
      <c r="F4996" s="1" t="str">
        <f>TEXT(CallLog[[#This Row],[Date]],"dddd")</f>
        <v>Wednesday</v>
      </c>
      <c r="G4996" s="3">
        <f>HOUR(CallLog[[#This Row],[Time]])</f>
        <v>15</v>
      </c>
      <c r="H4996" t="s">
        <v>24</v>
      </c>
      <c r="I4996" t="s">
        <v>18</v>
      </c>
      <c r="J4996" t="s">
        <v>18</v>
      </c>
      <c r="L4996" t="str">
        <f>IF(AND(CallLog[[#This Row],[Answered (Y/N)]]="Y", CallLog[[#This Row],[Speed of answer in seconds]]&lt;=20),
    "Within",
    "Breach")</f>
        <v>Breach</v>
      </c>
    </row>
    <row r="4997" spans="1:14" x14ac:dyDescent="0.3">
      <c r="A4997" t="s">
        <v>5110</v>
      </c>
      <c r="B4997" t="s">
        <v>31</v>
      </c>
      <c r="C4997" t="s">
        <v>5088</v>
      </c>
      <c r="D4997" s="1">
        <v>0.69299768518518523</v>
      </c>
      <c r="E4997" s="2">
        <f>CallLog[[#This Row],[Date]]+CallLog[[#This Row],[Time]]</f>
        <v>44286.692997685182</v>
      </c>
      <c r="F4997" s="1" t="str">
        <f>TEXT(CallLog[[#This Row],[Date]],"dddd")</f>
        <v>Wednesday</v>
      </c>
      <c r="G4997" s="3">
        <f>HOUR(CallLog[[#This Row],[Time]])</f>
        <v>16</v>
      </c>
      <c r="H4997" t="s">
        <v>24</v>
      </c>
      <c r="I4997" t="s">
        <v>14</v>
      </c>
      <c r="J4997" t="s">
        <v>14</v>
      </c>
      <c r="K4997">
        <v>22</v>
      </c>
      <c r="L4997" t="str">
        <f>IF(AND(CallLog[[#This Row],[Answered (Y/N)]]="Y", CallLog[[#This Row],[Speed of answer in seconds]]&lt;=20),
    "Within",
    "Breach")</f>
        <v>Breach</v>
      </c>
      <c r="M4997" s="1">
        <v>3.9351851851851848E-3</v>
      </c>
      <c r="N4997">
        <v>1</v>
      </c>
    </row>
    <row r="4998" spans="1:14" x14ac:dyDescent="0.3">
      <c r="A4998" t="s">
        <v>5111</v>
      </c>
      <c r="B4998" t="s">
        <v>11</v>
      </c>
      <c r="C4998" t="s">
        <v>5088</v>
      </c>
      <c r="D4998" s="1">
        <v>0.69799768518518523</v>
      </c>
      <c r="E4998" s="2">
        <f>CallLog[[#This Row],[Date]]+CallLog[[#This Row],[Time]]</f>
        <v>44286.697997685187</v>
      </c>
      <c r="F4998" s="1" t="str">
        <f>TEXT(CallLog[[#This Row],[Date]],"dddd")</f>
        <v>Wednesday</v>
      </c>
      <c r="G4998" s="3">
        <f>HOUR(CallLog[[#This Row],[Time]])</f>
        <v>16</v>
      </c>
      <c r="H4998" t="s">
        <v>24</v>
      </c>
      <c r="I4998" t="s">
        <v>14</v>
      </c>
      <c r="J4998" t="s">
        <v>14</v>
      </c>
      <c r="K4998">
        <v>100</v>
      </c>
      <c r="L4998" t="str">
        <f>IF(AND(CallLog[[#This Row],[Answered (Y/N)]]="Y", CallLog[[#This Row],[Speed of answer in seconds]]&lt;=20),
    "Within",
    "Breach")</f>
        <v>Breach</v>
      </c>
      <c r="M4998" s="1">
        <v>2.2685185185185187E-3</v>
      </c>
      <c r="N4998">
        <v>3</v>
      </c>
    </row>
    <row r="4999" spans="1:14" x14ac:dyDescent="0.3">
      <c r="A4999" t="s">
        <v>5112</v>
      </c>
      <c r="B4999" t="s">
        <v>11</v>
      </c>
      <c r="C4999" t="s">
        <v>5088</v>
      </c>
      <c r="D4999" s="1">
        <v>0.70400462962962962</v>
      </c>
      <c r="E4999" s="2">
        <f>CallLog[[#This Row],[Date]]+CallLog[[#This Row],[Time]]</f>
        <v>44286.704004629632</v>
      </c>
      <c r="F4999" s="1" t="str">
        <f>TEXT(CallLog[[#This Row],[Date]],"dddd")</f>
        <v>Wednesday</v>
      </c>
      <c r="G4999" s="3">
        <f>HOUR(CallLog[[#This Row],[Time]])</f>
        <v>16</v>
      </c>
      <c r="H4999" t="s">
        <v>24</v>
      </c>
      <c r="I4999" t="s">
        <v>14</v>
      </c>
      <c r="J4999" t="s">
        <v>14</v>
      </c>
      <c r="K4999">
        <v>84</v>
      </c>
      <c r="L4999" t="str">
        <f>IF(AND(CallLog[[#This Row],[Answered (Y/N)]]="Y", CallLog[[#This Row],[Speed of answer in seconds]]&lt;=20),
    "Within",
    "Breach")</f>
        <v>Breach</v>
      </c>
      <c r="M4999" s="1">
        <v>1.261574074074074E-3</v>
      </c>
      <c r="N4999">
        <v>4</v>
      </c>
    </row>
    <row r="5000" spans="1:14" x14ac:dyDescent="0.3">
      <c r="A5000" t="s">
        <v>5113</v>
      </c>
      <c r="B5000" t="s">
        <v>31</v>
      </c>
      <c r="C5000" t="s">
        <v>5088</v>
      </c>
      <c r="D5000" s="1">
        <v>0.71</v>
      </c>
      <c r="E5000" s="2">
        <f>CallLog[[#This Row],[Date]]+CallLog[[#This Row],[Time]]</f>
        <v>44286.71</v>
      </c>
      <c r="F5000" s="1" t="str">
        <f>TEXT(CallLog[[#This Row],[Date]],"dddd")</f>
        <v>Wednesday</v>
      </c>
      <c r="G5000" s="3">
        <f>HOUR(CallLog[[#This Row],[Time]])</f>
        <v>17</v>
      </c>
      <c r="H5000" t="s">
        <v>32</v>
      </c>
      <c r="I5000" t="s">
        <v>14</v>
      </c>
      <c r="J5000" t="s">
        <v>14</v>
      </c>
      <c r="K5000">
        <v>98</v>
      </c>
      <c r="L5000" t="str">
        <f>IF(AND(CallLog[[#This Row],[Answered (Y/N)]]="Y", CallLog[[#This Row],[Speed of answer in seconds]]&lt;=20),
    "Within",
    "Breach")</f>
        <v>Breach</v>
      </c>
      <c r="M5000" s="1">
        <v>6.7129629629629625E-4</v>
      </c>
      <c r="N5000">
        <v>5</v>
      </c>
    </row>
    <row r="5001" spans="1:14" x14ac:dyDescent="0.3">
      <c r="A5001" t="s">
        <v>5114</v>
      </c>
      <c r="B5001" t="s">
        <v>11</v>
      </c>
      <c r="C5001" t="s">
        <v>5088</v>
      </c>
      <c r="D5001" s="1">
        <v>0.73599537037037033</v>
      </c>
      <c r="E5001" s="2">
        <f>CallLog[[#This Row],[Date]]+CallLog[[#This Row],[Time]]</f>
        <v>44286.735995370371</v>
      </c>
      <c r="F5001" s="1" t="str">
        <f>TEXT(CallLog[[#This Row],[Date]],"dddd")</f>
        <v>Wednesday</v>
      </c>
      <c r="G5001" s="3">
        <f>HOUR(CallLog[[#This Row],[Time]])</f>
        <v>17</v>
      </c>
      <c r="H5001" t="s">
        <v>13</v>
      </c>
      <c r="I5001" t="s">
        <v>18</v>
      </c>
      <c r="J5001" t="s">
        <v>18</v>
      </c>
      <c r="L5001" t="str">
        <f>IF(AND(CallLog[[#This Row],[Answered (Y/N)]]="Y", CallLog[[#This Row],[Speed of answer in seconds]]&lt;=20),
    "Within",
    "Breach")</f>
        <v>Breach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01AD-A6D1-C949-9489-AFAA96363512}">
  <dimension ref="B2:D869"/>
  <sheetViews>
    <sheetView zoomScale="115" zoomScaleNormal="115" workbookViewId="0">
      <selection activeCell="D2" sqref="D2"/>
    </sheetView>
  </sheetViews>
  <sheetFormatPr defaultColWidth="11.5546875" defaultRowHeight="14.4" x14ac:dyDescent="0.3"/>
  <cols>
    <col min="2" max="2" width="12.77734375" bestFit="1" customWidth="1"/>
    <col min="3" max="3" width="13.77734375" bestFit="1" customWidth="1"/>
    <col min="4" max="4" width="20.6640625" bestFit="1" customWidth="1"/>
    <col min="5" max="5" width="30.109375" customWidth="1"/>
  </cols>
  <sheetData>
    <row r="2" spans="2:4" x14ac:dyDescent="0.3">
      <c r="B2" s="6" t="s">
        <v>5136</v>
      </c>
      <c r="C2" t="s">
        <v>5141</v>
      </c>
      <c r="D2" t="s">
        <v>5140</v>
      </c>
    </row>
    <row r="3" spans="2:4" x14ac:dyDescent="0.3">
      <c r="B3" s="7" t="s">
        <v>12</v>
      </c>
      <c r="C3" s="8"/>
      <c r="D3" s="8"/>
    </row>
    <row r="4" spans="2:4" x14ac:dyDescent="0.3">
      <c r="B4" s="10">
        <v>9</v>
      </c>
      <c r="C4" s="8">
        <v>242</v>
      </c>
      <c r="D4" s="8">
        <v>4</v>
      </c>
    </row>
    <row r="5" spans="2:4" x14ac:dyDescent="0.3">
      <c r="B5" s="10">
        <v>10</v>
      </c>
      <c r="C5" s="8">
        <v>141</v>
      </c>
      <c r="D5" s="8">
        <v>3</v>
      </c>
    </row>
    <row r="6" spans="2:4" x14ac:dyDescent="0.3">
      <c r="B6" s="10">
        <v>11</v>
      </c>
      <c r="C6" s="8">
        <v>472</v>
      </c>
      <c r="D6" s="8">
        <v>5</v>
      </c>
    </row>
    <row r="7" spans="2:4" x14ac:dyDescent="0.3">
      <c r="B7" s="10">
        <v>12</v>
      </c>
      <c r="C7" s="8">
        <v>732</v>
      </c>
      <c r="D7" s="8">
        <v>6</v>
      </c>
    </row>
    <row r="8" spans="2:4" x14ac:dyDescent="0.3">
      <c r="B8" s="10">
        <v>13</v>
      </c>
      <c r="C8" s="8">
        <v>445</v>
      </c>
      <c r="D8" s="8">
        <v>5</v>
      </c>
    </row>
    <row r="9" spans="2:4" x14ac:dyDescent="0.3">
      <c r="B9" s="10">
        <v>14</v>
      </c>
      <c r="C9" s="8">
        <v>393</v>
      </c>
      <c r="D9" s="8">
        <v>5</v>
      </c>
    </row>
    <row r="10" spans="2:4" x14ac:dyDescent="0.3">
      <c r="B10" s="10">
        <v>15</v>
      </c>
      <c r="C10" s="8">
        <v>25</v>
      </c>
      <c r="D10" s="8">
        <v>2</v>
      </c>
    </row>
    <row r="11" spans="2:4" x14ac:dyDescent="0.3">
      <c r="B11" s="10">
        <v>17</v>
      </c>
      <c r="C11" s="8">
        <v>554</v>
      </c>
      <c r="D11" s="8">
        <v>6</v>
      </c>
    </row>
    <row r="12" spans="2:4" x14ac:dyDescent="0.3">
      <c r="B12" s="7" t="s">
        <v>85</v>
      </c>
      <c r="C12" s="8"/>
      <c r="D12" s="8"/>
    </row>
    <row r="13" spans="2:4" x14ac:dyDescent="0.3">
      <c r="B13" s="10">
        <v>9</v>
      </c>
      <c r="C13" s="8">
        <v>506</v>
      </c>
      <c r="D13" s="8">
        <v>5</v>
      </c>
    </row>
    <row r="14" spans="2:4" x14ac:dyDescent="0.3">
      <c r="B14" s="10">
        <v>10</v>
      </c>
      <c r="C14" s="8">
        <v>237</v>
      </c>
      <c r="D14" s="8">
        <v>2</v>
      </c>
    </row>
    <row r="15" spans="2:4" x14ac:dyDescent="0.3">
      <c r="B15" s="10">
        <v>11</v>
      </c>
      <c r="C15" s="8">
        <v>753</v>
      </c>
      <c r="D15" s="8">
        <v>7</v>
      </c>
    </row>
    <row r="16" spans="2:4" x14ac:dyDescent="0.3">
      <c r="B16" s="10">
        <v>12</v>
      </c>
      <c r="C16" s="8">
        <v>595</v>
      </c>
      <c r="D16" s="8">
        <v>8</v>
      </c>
    </row>
    <row r="17" spans="2:4" x14ac:dyDescent="0.3">
      <c r="B17" s="10">
        <v>13</v>
      </c>
      <c r="C17" s="8">
        <v>895</v>
      </c>
      <c r="D17" s="8">
        <v>7</v>
      </c>
    </row>
    <row r="18" spans="2:4" x14ac:dyDescent="0.3">
      <c r="B18" s="10">
        <v>14</v>
      </c>
      <c r="C18" s="8">
        <v>74</v>
      </c>
      <c r="D18" s="8">
        <v>3</v>
      </c>
    </row>
    <row r="19" spans="2:4" x14ac:dyDescent="0.3">
      <c r="B19" s="10">
        <v>15</v>
      </c>
      <c r="C19" s="8">
        <v>150</v>
      </c>
      <c r="D19" s="8">
        <v>4</v>
      </c>
    </row>
    <row r="20" spans="2:4" x14ac:dyDescent="0.3">
      <c r="B20" s="10">
        <v>17</v>
      </c>
      <c r="C20" s="8">
        <v>78</v>
      </c>
      <c r="D20" s="8">
        <v>4</v>
      </c>
    </row>
    <row r="21" spans="2:4" x14ac:dyDescent="0.3">
      <c r="B21" s="7" t="s">
        <v>146</v>
      </c>
      <c r="C21" s="8"/>
      <c r="D21" s="8"/>
    </row>
    <row r="22" spans="2:4" x14ac:dyDescent="0.3">
      <c r="B22" s="10">
        <v>9</v>
      </c>
      <c r="C22" s="8">
        <v>296</v>
      </c>
      <c r="D22" s="8">
        <v>2</v>
      </c>
    </row>
    <row r="23" spans="2:4" x14ac:dyDescent="0.3">
      <c r="B23" s="10">
        <v>10</v>
      </c>
      <c r="C23" s="8">
        <v>620</v>
      </c>
      <c r="D23" s="8">
        <v>5</v>
      </c>
    </row>
    <row r="24" spans="2:4" x14ac:dyDescent="0.3">
      <c r="B24" s="10">
        <v>11</v>
      </c>
      <c r="C24" s="8">
        <v>1050</v>
      </c>
      <c r="D24" s="8">
        <v>8</v>
      </c>
    </row>
    <row r="25" spans="2:4" x14ac:dyDescent="0.3">
      <c r="B25" s="10">
        <v>12</v>
      </c>
      <c r="C25" s="8">
        <v>243</v>
      </c>
      <c r="D25" s="8">
        <v>3</v>
      </c>
    </row>
    <row r="26" spans="2:4" x14ac:dyDescent="0.3">
      <c r="B26" s="10">
        <v>13</v>
      </c>
      <c r="C26" s="8">
        <v>918</v>
      </c>
      <c r="D26" s="8">
        <v>7</v>
      </c>
    </row>
    <row r="27" spans="2:4" x14ac:dyDescent="0.3">
      <c r="B27" s="10">
        <v>14</v>
      </c>
      <c r="C27" s="8">
        <v>249</v>
      </c>
      <c r="D27" s="8">
        <v>3</v>
      </c>
    </row>
    <row r="28" spans="2:4" x14ac:dyDescent="0.3">
      <c r="B28" s="10">
        <v>15</v>
      </c>
      <c r="C28" s="8">
        <v>25</v>
      </c>
      <c r="D28" s="8">
        <v>2</v>
      </c>
    </row>
    <row r="29" spans="2:4" x14ac:dyDescent="0.3">
      <c r="B29" s="10">
        <v>16</v>
      </c>
      <c r="C29" s="8">
        <v>117</v>
      </c>
      <c r="D29" s="8">
        <v>2</v>
      </c>
    </row>
    <row r="30" spans="2:4" x14ac:dyDescent="0.3">
      <c r="B30" s="10">
        <v>17</v>
      </c>
      <c r="C30" s="8">
        <v>176</v>
      </c>
      <c r="D30" s="8">
        <v>2</v>
      </c>
    </row>
    <row r="31" spans="2:4" x14ac:dyDescent="0.3">
      <c r="B31" s="7" t="s">
        <v>205</v>
      </c>
      <c r="C31" s="8"/>
      <c r="D31" s="8"/>
    </row>
    <row r="32" spans="2:4" x14ac:dyDescent="0.3">
      <c r="B32" s="10">
        <v>9</v>
      </c>
      <c r="C32" s="8">
        <v>271</v>
      </c>
      <c r="D32" s="8">
        <v>5</v>
      </c>
    </row>
    <row r="33" spans="2:4" x14ac:dyDescent="0.3">
      <c r="B33" s="10">
        <v>10</v>
      </c>
      <c r="C33" s="8">
        <v>263</v>
      </c>
      <c r="D33" s="8">
        <v>4</v>
      </c>
    </row>
    <row r="34" spans="2:4" x14ac:dyDescent="0.3">
      <c r="B34" s="10">
        <v>11</v>
      </c>
      <c r="C34" s="8">
        <v>445</v>
      </c>
      <c r="D34" s="8">
        <v>6</v>
      </c>
    </row>
    <row r="35" spans="2:4" x14ac:dyDescent="0.3">
      <c r="B35" s="10">
        <v>12</v>
      </c>
      <c r="C35" s="8">
        <v>389</v>
      </c>
      <c r="D35" s="8">
        <v>5</v>
      </c>
    </row>
    <row r="36" spans="2:4" x14ac:dyDescent="0.3">
      <c r="B36" s="10">
        <v>13</v>
      </c>
      <c r="C36" s="8">
        <v>359</v>
      </c>
      <c r="D36" s="8">
        <v>5</v>
      </c>
    </row>
    <row r="37" spans="2:4" x14ac:dyDescent="0.3">
      <c r="B37" s="10">
        <v>14</v>
      </c>
      <c r="C37" s="8">
        <v>376</v>
      </c>
      <c r="D37" s="8">
        <v>5</v>
      </c>
    </row>
    <row r="38" spans="2:4" x14ac:dyDescent="0.3">
      <c r="B38" s="10">
        <v>15</v>
      </c>
      <c r="C38" s="8">
        <v>211</v>
      </c>
      <c r="D38" s="8">
        <v>3</v>
      </c>
    </row>
    <row r="39" spans="2:4" x14ac:dyDescent="0.3">
      <c r="B39" s="10">
        <v>16</v>
      </c>
      <c r="C39" s="8">
        <v>392</v>
      </c>
      <c r="D39" s="8">
        <v>4</v>
      </c>
    </row>
    <row r="40" spans="2:4" x14ac:dyDescent="0.3">
      <c r="B40" s="10">
        <v>17</v>
      </c>
      <c r="C40" s="8">
        <v>379</v>
      </c>
      <c r="D40" s="8">
        <v>4</v>
      </c>
    </row>
    <row r="41" spans="2:4" x14ac:dyDescent="0.3">
      <c r="B41" s="7" t="s">
        <v>260</v>
      </c>
      <c r="C41" s="8"/>
      <c r="D41" s="8"/>
    </row>
    <row r="42" spans="2:4" x14ac:dyDescent="0.3">
      <c r="B42" s="10">
        <v>9</v>
      </c>
      <c r="C42" s="8">
        <v>302</v>
      </c>
      <c r="D42" s="8">
        <v>3</v>
      </c>
    </row>
    <row r="43" spans="2:4" x14ac:dyDescent="0.3">
      <c r="B43" s="10">
        <v>10</v>
      </c>
      <c r="C43" s="8">
        <v>275</v>
      </c>
      <c r="D43" s="8">
        <v>4</v>
      </c>
    </row>
    <row r="44" spans="2:4" x14ac:dyDescent="0.3">
      <c r="B44" s="10">
        <v>11</v>
      </c>
      <c r="C44" s="8">
        <v>362</v>
      </c>
      <c r="D44" s="8">
        <v>5</v>
      </c>
    </row>
    <row r="45" spans="2:4" x14ac:dyDescent="0.3">
      <c r="B45" s="10">
        <v>12</v>
      </c>
      <c r="C45" s="8">
        <v>302</v>
      </c>
      <c r="D45" s="8">
        <v>4</v>
      </c>
    </row>
    <row r="46" spans="2:4" x14ac:dyDescent="0.3">
      <c r="B46" s="10">
        <v>13</v>
      </c>
      <c r="C46" s="8">
        <v>324</v>
      </c>
      <c r="D46" s="8">
        <v>2</v>
      </c>
    </row>
    <row r="47" spans="2:4" x14ac:dyDescent="0.3">
      <c r="B47" s="10">
        <v>14</v>
      </c>
      <c r="C47" s="8">
        <v>220</v>
      </c>
      <c r="D47" s="8">
        <v>2</v>
      </c>
    </row>
    <row r="48" spans="2:4" x14ac:dyDescent="0.3">
      <c r="B48" s="10">
        <v>15</v>
      </c>
      <c r="C48" s="8">
        <v>869</v>
      </c>
      <c r="D48" s="8">
        <v>7</v>
      </c>
    </row>
    <row r="49" spans="2:4" x14ac:dyDescent="0.3">
      <c r="B49" s="10">
        <v>16</v>
      </c>
      <c r="C49" s="8">
        <v>493</v>
      </c>
      <c r="D49" s="8">
        <v>3</v>
      </c>
    </row>
    <row r="50" spans="2:4" x14ac:dyDescent="0.3">
      <c r="B50" s="10">
        <v>17</v>
      </c>
      <c r="C50" s="8">
        <v>293</v>
      </c>
      <c r="D50" s="8">
        <v>6</v>
      </c>
    </row>
    <row r="51" spans="2:4" x14ac:dyDescent="0.3">
      <c r="B51" s="7" t="s">
        <v>317</v>
      </c>
      <c r="C51" s="8"/>
      <c r="D51" s="8"/>
    </row>
    <row r="52" spans="2:4" x14ac:dyDescent="0.3">
      <c r="B52" s="10">
        <v>9</v>
      </c>
      <c r="C52" s="8">
        <v>43</v>
      </c>
      <c r="D52" s="8">
        <v>2</v>
      </c>
    </row>
    <row r="53" spans="2:4" x14ac:dyDescent="0.3">
      <c r="B53" s="10">
        <v>10</v>
      </c>
      <c r="C53" s="8">
        <v>564</v>
      </c>
      <c r="D53" s="8">
        <v>3</v>
      </c>
    </row>
    <row r="54" spans="2:4" x14ac:dyDescent="0.3">
      <c r="B54" s="10">
        <v>11</v>
      </c>
      <c r="C54" s="8">
        <v>400</v>
      </c>
      <c r="D54" s="8">
        <v>7</v>
      </c>
    </row>
    <row r="55" spans="2:4" x14ac:dyDescent="0.3">
      <c r="B55" s="10">
        <v>12</v>
      </c>
      <c r="C55" s="8">
        <v>401</v>
      </c>
      <c r="D55" s="8">
        <v>4</v>
      </c>
    </row>
    <row r="56" spans="2:4" x14ac:dyDescent="0.3">
      <c r="B56" s="10">
        <v>13</v>
      </c>
      <c r="C56" s="8">
        <v>192</v>
      </c>
      <c r="D56" s="8">
        <v>4</v>
      </c>
    </row>
    <row r="57" spans="2:4" x14ac:dyDescent="0.3">
      <c r="B57" s="10">
        <v>14</v>
      </c>
      <c r="C57" s="8">
        <v>501</v>
      </c>
      <c r="D57" s="8">
        <v>5</v>
      </c>
    </row>
    <row r="58" spans="2:4" x14ac:dyDescent="0.3">
      <c r="B58" s="10">
        <v>15</v>
      </c>
      <c r="C58" s="8">
        <v>247</v>
      </c>
      <c r="D58" s="8">
        <v>3</v>
      </c>
    </row>
    <row r="59" spans="2:4" x14ac:dyDescent="0.3">
      <c r="B59" s="10">
        <v>16</v>
      </c>
      <c r="C59" s="8">
        <v>363</v>
      </c>
      <c r="D59" s="8">
        <v>6</v>
      </c>
    </row>
    <row r="60" spans="2:4" x14ac:dyDescent="0.3">
      <c r="B60" s="10">
        <v>17</v>
      </c>
      <c r="C60" s="8">
        <v>564</v>
      </c>
      <c r="D60" s="8">
        <v>5</v>
      </c>
    </row>
    <row r="61" spans="2:4" x14ac:dyDescent="0.3">
      <c r="B61" s="7" t="s">
        <v>376</v>
      </c>
      <c r="C61" s="8"/>
      <c r="D61" s="8"/>
    </row>
    <row r="62" spans="2:4" x14ac:dyDescent="0.3">
      <c r="B62" s="10">
        <v>9</v>
      </c>
      <c r="C62" s="8">
        <v>214</v>
      </c>
      <c r="D62" s="8">
        <v>5</v>
      </c>
    </row>
    <row r="63" spans="2:4" x14ac:dyDescent="0.3">
      <c r="B63" s="10">
        <v>10</v>
      </c>
      <c r="C63" s="8">
        <v>412</v>
      </c>
      <c r="D63" s="8">
        <v>5</v>
      </c>
    </row>
    <row r="64" spans="2:4" x14ac:dyDescent="0.3">
      <c r="B64" s="10">
        <v>11</v>
      </c>
      <c r="C64" s="8">
        <v>369</v>
      </c>
      <c r="D64" s="8">
        <v>5</v>
      </c>
    </row>
    <row r="65" spans="2:4" x14ac:dyDescent="0.3">
      <c r="B65" s="10">
        <v>12</v>
      </c>
      <c r="C65" s="8">
        <v>236</v>
      </c>
      <c r="D65" s="8">
        <v>5</v>
      </c>
    </row>
    <row r="66" spans="2:4" x14ac:dyDescent="0.3">
      <c r="B66" s="10">
        <v>13</v>
      </c>
      <c r="C66" s="8">
        <v>254</v>
      </c>
      <c r="D66" s="8">
        <v>5</v>
      </c>
    </row>
    <row r="67" spans="2:4" x14ac:dyDescent="0.3">
      <c r="B67" s="10">
        <v>14</v>
      </c>
      <c r="C67" s="8">
        <v>105</v>
      </c>
      <c r="D67" s="8">
        <v>2</v>
      </c>
    </row>
    <row r="68" spans="2:4" x14ac:dyDescent="0.3">
      <c r="B68" s="10">
        <v>15</v>
      </c>
      <c r="C68" s="8">
        <v>81</v>
      </c>
      <c r="D68" s="8">
        <v>2</v>
      </c>
    </row>
    <row r="69" spans="2:4" x14ac:dyDescent="0.3">
      <c r="B69" s="10">
        <v>16</v>
      </c>
      <c r="C69" s="8">
        <v>438</v>
      </c>
      <c r="D69" s="8">
        <v>6</v>
      </c>
    </row>
    <row r="70" spans="2:4" x14ac:dyDescent="0.3">
      <c r="B70" s="10">
        <v>17</v>
      </c>
      <c r="C70" s="8">
        <v>706</v>
      </c>
      <c r="D70" s="8">
        <v>5</v>
      </c>
    </row>
    <row r="71" spans="2:4" x14ac:dyDescent="0.3">
      <c r="B71" s="7" t="s">
        <v>431</v>
      </c>
      <c r="C71" s="8"/>
      <c r="D71" s="8"/>
    </row>
    <row r="72" spans="2:4" x14ac:dyDescent="0.3">
      <c r="B72" s="10">
        <v>9</v>
      </c>
      <c r="C72" s="8">
        <v>350</v>
      </c>
      <c r="D72" s="8">
        <v>6</v>
      </c>
    </row>
    <row r="73" spans="2:4" x14ac:dyDescent="0.3">
      <c r="B73" s="10">
        <v>10</v>
      </c>
      <c r="C73" s="8">
        <v>294</v>
      </c>
      <c r="D73" s="8">
        <v>5</v>
      </c>
    </row>
    <row r="74" spans="2:4" x14ac:dyDescent="0.3">
      <c r="B74" s="10">
        <v>11</v>
      </c>
      <c r="C74" s="8">
        <v>409</v>
      </c>
      <c r="D74" s="8">
        <v>3</v>
      </c>
    </row>
    <row r="75" spans="2:4" x14ac:dyDescent="0.3">
      <c r="B75" s="10">
        <v>12</v>
      </c>
      <c r="C75" s="8">
        <v>434</v>
      </c>
      <c r="D75" s="8">
        <v>5</v>
      </c>
    </row>
    <row r="76" spans="2:4" x14ac:dyDescent="0.3">
      <c r="B76" s="10">
        <v>13</v>
      </c>
      <c r="C76" s="8">
        <v>305</v>
      </c>
      <c r="D76" s="8">
        <v>5</v>
      </c>
    </row>
    <row r="77" spans="2:4" x14ac:dyDescent="0.3">
      <c r="B77" s="10">
        <v>15</v>
      </c>
      <c r="C77" s="8">
        <v>444</v>
      </c>
      <c r="D77" s="8">
        <v>4</v>
      </c>
    </row>
    <row r="78" spans="2:4" x14ac:dyDescent="0.3">
      <c r="B78" s="10">
        <v>16</v>
      </c>
      <c r="C78" s="8">
        <v>165</v>
      </c>
      <c r="D78" s="8">
        <v>1</v>
      </c>
    </row>
    <row r="79" spans="2:4" x14ac:dyDescent="0.3">
      <c r="B79" s="10">
        <v>18</v>
      </c>
      <c r="C79" s="8">
        <v>189</v>
      </c>
      <c r="D79" s="8">
        <v>2</v>
      </c>
    </row>
    <row r="80" spans="2:4" x14ac:dyDescent="0.3">
      <c r="B80" s="7" t="s">
        <v>480</v>
      </c>
      <c r="C80" s="8"/>
      <c r="D80" s="8"/>
    </row>
    <row r="81" spans="2:4" x14ac:dyDescent="0.3">
      <c r="B81" s="10">
        <v>9</v>
      </c>
      <c r="C81" s="8">
        <v>473</v>
      </c>
      <c r="D81" s="8">
        <v>4</v>
      </c>
    </row>
    <row r="82" spans="2:4" x14ac:dyDescent="0.3">
      <c r="B82" s="10">
        <v>10</v>
      </c>
      <c r="C82" s="8">
        <v>482</v>
      </c>
      <c r="D82" s="8">
        <v>7</v>
      </c>
    </row>
    <row r="83" spans="2:4" x14ac:dyDescent="0.3">
      <c r="B83" s="10">
        <v>11</v>
      </c>
      <c r="C83" s="8">
        <v>981</v>
      </c>
      <c r="D83" s="8">
        <v>7</v>
      </c>
    </row>
    <row r="84" spans="2:4" x14ac:dyDescent="0.3">
      <c r="B84" s="10">
        <v>12</v>
      </c>
      <c r="C84" s="8">
        <v>369</v>
      </c>
      <c r="D84" s="8">
        <v>6</v>
      </c>
    </row>
    <row r="85" spans="2:4" x14ac:dyDescent="0.3">
      <c r="B85" s="10">
        <v>13</v>
      </c>
      <c r="C85" s="8">
        <v>410</v>
      </c>
      <c r="D85" s="8">
        <v>3</v>
      </c>
    </row>
    <row r="86" spans="2:4" x14ac:dyDescent="0.3">
      <c r="B86" s="10">
        <v>14</v>
      </c>
      <c r="C86" s="8">
        <v>305</v>
      </c>
      <c r="D86" s="8">
        <v>4</v>
      </c>
    </row>
    <row r="87" spans="2:4" x14ac:dyDescent="0.3">
      <c r="B87" s="10">
        <v>15</v>
      </c>
      <c r="C87" s="8">
        <v>43</v>
      </c>
      <c r="D87" s="8">
        <v>2</v>
      </c>
    </row>
    <row r="88" spans="2:4" x14ac:dyDescent="0.3">
      <c r="B88" s="10">
        <v>16</v>
      </c>
      <c r="C88" s="8"/>
      <c r="D88" s="8">
        <v>2</v>
      </c>
    </row>
    <row r="89" spans="2:4" x14ac:dyDescent="0.3">
      <c r="B89" s="10">
        <v>17</v>
      </c>
      <c r="C89" s="8">
        <v>825</v>
      </c>
      <c r="D89" s="8">
        <v>8</v>
      </c>
    </row>
    <row r="90" spans="2:4" x14ac:dyDescent="0.3">
      <c r="B90" s="7" t="s">
        <v>549</v>
      </c>
      <c r="C90" s="8"/>
      <c r="D90" s="8"/>
    </row>
    <row r="91" spans="2:4" x14ac:dyDescent="0.3">
      <c r="B91" s="10">
        <v>9</v>
      </c>
      <c r="C91" s="8">
        <v>186</v>
      </c>
      <c r="D91" s="8">
        <v>4</v>
      </c>
    </row>
    <row r="92" spans="2:4" x14ac:dyDescent="0.3">
      <c r="B92" s="10">
        <v>10</v>
      </c>
      <c r="C92" s="8">
        <v>295</v>
      </c>
      <c r="D92" s="8">
        <v>3</v>
      </c>
    </row>
    <row r="93" spans="2:4" x14ac:dyDescent="0.3">
      <c r="B93" s="10">
        <v>11</v>
      </c>
      <c r="C93" s="8">
        <v>629</v>
      </c>
      <c r="D93" s="8">
        <v>7</v>
      </c>
    </row>
    <row r="94" spans="2:4" x14ac:dyDescent="0.3">
      <c r="B94" s="10">
        <v>12</v>
      </c>
      <c r="C94" s="8">
        <v>311</v>
      </c>
      <c r="D94" s="8">
        <v>5</v>
      </c>
    </row>
    <row r="95" spans="2:4" x14ac:dyDescent="0.3">
      <c r="B95" s="10">
        <v>13</v>
      </c>
      <c r="C95" s="8">
        <v>309</v>
      </c>
      <c r="D95" s="8">
        <v>4</v>
      </c>
    </row>
    <row r="96" spans="2:4" x14ac:dyDescent="0.3">
      <c r="B96" s="10">
        <v>14</v>
      </c>
      <c r="C96" s="8">
        <v>600</v>
      </c>
      <c r="D96" s="8">
        <v>6</v>
      </c>
    </row>
    <row r="97" spans="2:4" x14ac:dyDescent="0.3">
      <c r="B97" s="10">
        <v>15</v>
      </c>
      <c r="C97" s="8">
        <v>160</v>
      </c>
      <c r="D97" s="8">
        <v>2</v>
      </c>
    </row>
    <row r="98" spans="2:4" x14ac:dyDescent="0.3">
      <c r="B98" s="10">
        <v>16</v>
      </c>
      <c r="C98" s="8">
        <v>789</v>
      </c>
      <c r="D98" s="8">
        <v>5</v>
      </c>
    </row>
    <row r="99" spans="2:4" x14ac:dyDescent="0.3">
      <c r="B99" s="10">
        <v>17</v>
      </c>
      <c r="C99" s="8">
        <v>801</v>
      </c>
      <c r="D99" s="8">
        <v>7</v>
      </c>
    </row>
    <row r="100" spans="2:4" x14ac:dyDescent="0.3">
      <c r="B100" s="7" t="s">
        <v>614</v>
      </c>
      <c r="C100" s="8"/>
      <c r="D100" s="8"/>
    </row>
    <row r="101" spans="2:4" x14ac:dyDescent="0.3">
      <c r="B101" s="10">
        <v>9</v>
      </c>
      <c r="C101" s="8">
        <v>576</v>
      </c>
      <c r="D101" s="8">
        <v>7</v>
      </c>
    </row>
    <row r="102" spans="2:4" x14ac:dyDescent="0.3">
      <c r="B102" s="10">
        <v>10</v>
      </c>
      <c r="C102" s="8">
        <v>657</v>
      </c>
      <c r="D102" s="8">
        <v>6</v>
      </c>
    </row>
    <row r="103" spans="2:4" x14ac:dyDescent="0.3">
      <c r="B103" s="10">
        <v>11</v>
      </c>
      <c r="C103" s="8">
        <v>521</v>
      </c>
      <c r="D103" s="8">
        <v>5</v>
      </c>
    </row>
    <row r="104" spans="2:4" x14ac:dyDescent="0.3">
      <c r="B104" s="10">
        <v>12</v>
      </c>
      <c r="C104" s="8">
        <v>592</v>
      </c>
      <c r="D104" s="8">
        <v>6</v>
      </c>
    </row>
    <row r="105" spans="2:4" x14ac:dyDescent="0.3">
      <c r="B105" s="10">
        <v>13</v>
      </c>
      <c r="C105" s="8">
        <v>134</v>
      </c>
      <c r="D105" s="8">
        <v>3</v>
      </c>
    </row>
    <row r="106" spans="2:4" x14ac:dyDescent="0.3">
      <c r="B106" s="10">
        <v>14</v>
      </c>
      <c r="C106" s="8">
        <v>689</v>
      </c>
      <c r="D106" s="8">
        <v>7</v>
      </c>
    </row>
    <row r="107" spans="2:4" x14ac:dyDescent="0.3">
      <c r="B107" s="10">
        <v>15</v>
      </c>
      <c r="C107" s="8">
        <v>228</v>
      </c>
      <c r="D107" s="8">
        <v>5</v>
      </c>
    </row>
    <row r="108" spans="2:4" x14ac:dyDescent="0.3">
      <c r="B108" s="10">
        <v>16</v>
      </c>
      <c r="C108" s="8">
        <v>274</v>
      </c>
      <c r="D108" s="8">
        <v>3</v>
      </c>
    </row>
    <row r="109" spans="2:4" x14ac:dyDescent="0.3">
      <c r="B109" s="10">
        <v>17</v>
      </c>
      <c r="C109" s="8">
        <v>673</v>
      </c>
      <c r="D109" s="8">
        <v>5</v>
      </c>
    </row>
    <row r="110" spans="2:4" x14ac:dyDescent="0.3">
      <c r="B110" s="7" t="s">
        <v>699</v>
      </c>
      <c r="C110" s="8"/>
      <c r="D110" s="8"/>
    </row>
    <row r="111" spans="2:4" x14ac:dyDescent="0.3">
      <c r="B111" s="10">
        <v>9</v>
      </c>
      <c r="C111" s="8">
        <v>320</v>
      </c>
      <c r="D111" s="8">
        <v>4</v>
      </c>
    </row>
    <row r="112" spans="2:4" x14ac:dyDescent="0.3">
      <c r="B112" s="10">
        <v>10</v>
      </c>
      <c r="C112" s="8">
        <v>337</v>
      </c>
      <c r="D112" s="8">
        <v>6</v>
      </c>
    </row>
    <row r="113" spans="2:4" x14ac:dyDescent="0.3">
      <c r="B113" s="10">
        <v>11</v>
      </c>
      <c r="C113" s="8">
        <v>236</v>
      </c>
      <c r="D113" s="8">
        <v>4</v>
      </c>
    </row>
    <row r="114" spans="2:4" x14ac:dyDescent="0.3">
      <c r="B114" s="10">
        <v>12</v>
      </c>
      <c r="C114" s="8">
        <v>129</v>
      </c>
      <c r="D114" s="8">
        <v>2</v>
      </c>
    </row>
    <row r="115" spans="2:4" x14ac:dyDescent="0.3">
      <c r="B115" s="10">
        <v>13</v>
      </c>
      <c r="C115" s="8">
        <v>365</v>
      </c>
      <c r="D115" s="8">
        <v>5</v>
      </c>
    </row>
    <row r="116" spans="2:4" x14ac:dyDescent="0.3">
      <c r="B116" s="10">
        <v>14</v>
      </c>
      <c r="C116" s="8">
        <v>226</v>
      </c>
      <c r="D116" s="8">
        <v>4</v>
      </c>
    </row>
    <row r="117" spans="2:4" x14ac:dyDescent="0.3">
      <c r="B117" s="10">
        <v>15</v>
      </c>
      <c r="C117" s="8">
        <v>626</v>
      </c>
      <c r="D117" s="8">
        <v>5</v>
      </c>
    </row>
    <row r="118" spans="2:4" x14ac:dyDescent="0.3">
      <c r="B118" s="10">
        <v>16</v>
      </c>
      <c r="C118" s="8">
        <v>784</v>
      </c>
      <c r="D118" s="8">
        <v>7</v>
      </c>
    </row>
    <row r="119" spans="2:4" x14ac:dyDescent="0.3">
      <c r="B119" s="10">
        <v>17</v>
      </c>
      <c r="C119" s="8">
        <v>123</v>
      </c>
      <c r="D119" s="8">
        <v>2</v>
      </c>
    </row>
    <row r="120" spans="2:4" x14ac:dyDescent="0.3">
      <c r="B120" s="10">
        <v>18</v>
      </c>
      <c r="C120" s="8">
        <v>71</v>
      </c>
      <c r="D120" s="8">
        <v>2</v>
      </c>
    </row>
    <row r="121" spans="2:4" x14ac:dyDescent="0.3">
      <c r="B121" s="7" t="s">
        <v>756</v>
      </c>
      <c r="C121" s="8"/>
      <c r="D121" s="8"/>
    </row>
    <row r="122" spans="2:4" x14ac:dyDescent="0.3">
      <c r="B122" s="10">
        <v>9</v>
      </c>
      <c r="C122" s="8">
        <v>444</v>
      </c>
      <c r="D122" s="8">
        <v>5</v>
      </c>
    </row>
    <row r="123" spans="2:4" x14ac:dyDescent="0.3">
      <c r="B123" s="10">
        <v>10</v>
      </c>
      <c r="C123" s="8">
        <v>185</v>
      </c>
      <c r="D123" s="8">
        <v>1</v>
      </c>
    </row>
    <row r="124" spans="2:4" x14ac:dyDescent="0.3">
      <c r="B124" s="10">
        <v>11</v>
      </c>
      <c r="C124" s="8">
        <v>433</v>
      </c>
      <c r="D124" s="8">
        <v>7</v>
      </c>
    </row>
    <row r="125" spans="2:4" x14ac:dyDescent="0.3">
      <c r="B125" s="10">
        <v>12</v>
      </c>
      <c r="C125" s="8">
        <v>363</v>
      </c>
      <c r="D125" s="8">
        <v>6</v>
      </c>
    </row>
    <row r="126" spans="2:4" x14ac:dyDescent="0.3">
      <c r="B126" s="10">
        <v>14</v>
      </c>
      <c r="C126" s="8">
        <v>473</v>
      </c>
      <c r="D126" s="8">
        <v>5</v>
      </c>
    </row>
    <row r="127" spans="2:4" x14ac:dyDescent="0.3">
      <c r="B127" s="10">
        <v>15</v>
      </c>
      <c r="C127" s="8">
        <v>377</v>
      </c>
      <c r="D127" s="8">
        <v>6</v>
      </c>
    </row>
    <row r="128" spans="2:4" x14ac:dyDescent="0.3">
      <c r="B128" s="10">
        <v>17</v>
      </c>
      <c r="C128" s="8">
        <v>205</v>
      </c>
      <c r="D128" s="8">
        <v>2</v>
      </c>
    </row>
    <row r="129" spans="2:4" x14ac:dyDescent="0.3">
      <c r="B129" s="7" t="s">
        <v>797</v>
      </c>
      <c r="C129" s="8"/>
      <c r="D129" s="8"/>
    </row>
    <row r="130" spans="2:4" x14ac:dyDescent="0.3">
      <c r="B130" s="10">
        <v>9</v>
      </c>
      <c r="C130" s="8">
        <v>400</v>
      </c>
      <c r="D130" s="8">
        <v>6</v>
      </c>
    </row>
    <row r="131" spans="2:4" x14ac:dyDescent="0.3">
      <c r="B131" s="10">
        <v>10</v>
      </c>
      <c r="C131" s="8">
        <v>271</v>
      </c>
      <c r="D131" s="8">
        <v>4</v>
      </c>
    </row>
    <row r="132" spans="2:4" x14ac:dyDescent="0.3">
      <c r="B132" s="10">
        <v>11</v>
      </c>
      <c r="C132" s="8">
        <v>316</v>
      </c>
      <c r="D132" s="8">
        <v>5</v>
      </c>
    </row>
    <row r="133" spans="2:4" x14ac:dyDescent="0.3">
      <c r="B133" s="10">
        <v>12</v>
      </c>
      <c r="C133" s="8">
        <v>521</v>
      </c>
      <c r="D133" s="8">
        <v>6</v>
      </c>
    </row>
    <row r="134" spans="2:4" x14ac:dyDescent="0.3">
      <c r="B134" s="10">
        <v>13</v>
      </c>
      <c r="C134" s="8">
        <v>386</v>
      </c>
      <c r="D134" s="8">
        <v>4</v>
      </c>
    </row>
    <row r="135" spans="2:4" x14ac:dyDescent="0.3">
      <c r="B135" s="10">
        <v>14</v>
      </c>
      <c r="C135" s="8">
        <v>338</v>
      </c>
      <c r="D135" s="8">
        <v>5</v>
      </c>
    </row>
    <row r="136" spans="2:4" x14ac:dyDescent="0.3">
      <c r="B136" s="10">
        <v>15</v>
      </c>
      <c r="C136" s="8">
        <v>107</v>
      </c>
      <c r="D136" s="8">
        <v>5</v>
      </c>
    </row>
    <row r="137" spans="2:4" x14ac:dyDescent="0.3">
      <c r="B137" s="10">
        <v>16</v>
      </c>
      <c r="C137" s="8">
        <v>106</v>
      </c>
      <c r="D137" s="8">
        <v>4</v>
      </c>
    </row>
    <row r="138" spans="2:4" x14ac:dyDescent="0.3">
      <c r="B138" s="10">
        <v>17</v>
      </c>
      <c r="C138" s="8">
        <v>562</v>
      </c>
      <c r="D138" s="8">
        <v>7</v>
      </c>
    </row>
    <row r="139" spans="2:4" x14ac:dyDescent="0.3">
      <c r="B139" s="7" t="s">
        <v>856</v>
      </c>
      <c r="C139" s="8"/>
      <c r="D139" s="8"/>
    </row>
    <row r="140" spans="2:4" x14ac:dyDescent="0.3">
      <c r="B140" s="10">
        <v>9</v>
      </c>
      <c r="C140" s="8">
        <v>384</v>
      </c>
      <c r="D140" s="8">
        <v>4</v>
      </c>
    </row>
    <row r="141" spans="2:4" x14ac:dyDescent="0.3">
      <c r="B141" s="10">
        <v>10</v>
      </c>
      <c r="C141" s="8">
        <v>112</v>
      </c>
      <c r="D141" s="8">
        <v>2</v>
      </c>
    </row>
    <row r="142" spans="2:4" x14ac:dyDescent="0.3">
      <c r="B142" s="10">
        <v>11</v>
      </c>
      <c r="C142" s="8">
        <v>488</v>
      </c>
      <c r="D142" s="8">
        <v>5</v>
      </c>
    </row>
    <row r="143" spans="2:4" x14ac:dyDescent="0.3">
      <c r="B143" s="10">
        <v>13</v>
      </c>
      <c r="C143" s="8">
        <v>145</v>
      </c>
      <c r="D143" s="8">
        <v>4</v>
      </c>
    </row>
    <row r="144" spans="2:4" x14ac:dyDescent="0.3">
      <c r="B144" s="10">
        <v>14</v>
      </c>
      <c r="C144" s="8">
        <v>303</v>
      </c>
      <c r="D144" s="8">
        <v>3</v>
      </c>
    </row>
    <row r="145" spans="2:4" x14ac:dyDescent="0.3">
      <c r="B145" s="10">
        <v>15</v>
      </c>
      <c r="C145" s="8">
        <v>376</v>
      </c>
      <c r="D145" s="8">
        <v>4</v>
      </c>
    </row>
    <row r="146" spans="2:4" x14ac:dyDescent="0.3">
      <c r="B146" s="10">
        <v>16</v>
      </c>
      <c r="C146" s="8">
        <v>496</v>
      </c>
      <c r="D146" s="8">
        <v>6</v>
      </c>
    </row>
    <row r="147" spans="2:4" x14ac:dyDescent="0.3">
      <c r="B147" s="10">
        <v>17</v>
      </c>
      <c r="C147" s="8">
        <v>233</v>
      </c>
      <c r="D147" s="8">
        <v>4</v>
      </c>
    </row>
    <row r="148" spans="2:4" x14ac:dyDescent="0.3">
      <c r="B148" s="10">
        <v>18</v>
      </c>
      <c r="C148" s="8">
        <v>105</v>
      </c>
      <c r="D148" s="8">
        <v>2</v>
      </c>
    </row>
    <row r="149" spans="2:4" x14ac:dyDescent="0.3">
      <c r="B149" s="7" t="s">
        <v>903</v>
      </c>
      <c r="C149" s="8"/>
      <c r="D149" s="8"/>
    </row>
    <row r="150" spans="2:4" x14ac:dyDescent="0.3">
      <c r="B150" s="10">
        <v>9</v>
      </c>
      <c r="C150" s="8">
        <v>126</v>
      </c>
      <c r="D150" s="8">
        <v>2</v>
      </c>
    </row>
    <row r="151" spans="2:4" x14ac:dyDescent="0.3">
      <c r="B151" s="10">
        <v>10</v>
      </c>
      <c r="C151" s="8">
        <v>349</v>
      </c>
      <c r="D151" s="8">
        <v>4</v>
      </c>
    </row>
    <row r="152" spans="2:4" x14ac:dyDescent="0.3">
      <c r="B152" s="10">
        <v>11</v>
      </c>
      <c r="C152" s="8">
        <v>83</v>
      </c>
      <c r="D152" s="8">
        <v>2</v>
      </c>
    </row>
    <row r="153" spans="2:4" x14ac:dyDescent="0.3">
      <c r="B153" s="10">
        <v>12</v>
      </c>
      <c r="C153" s="8">
        <v>468</v>
      </c>
      <c r="D153" s="8">
        <v>6</v>
      </c>
    </row>
    <row r="154" spans="2:4" x14ac:dyDescent="0.3">
      <c r="B154" s="10">
        <v>13</v>
      </c>
      <c r="C154" s="8">
        <v>116</v>
      </c>
      <c r="D154" s="8">
        <v>6</v>
      </c>
    </row>
    <row r="155" spans="2:4" x14ac:dyDescent="0.3">
      <c r="B155" s="10">
        <v>14</v>
      </c>
      <c r="C155" s="8">
        <v>623</v>
      </c>
      <c r="D155" s="8">
        <v>6</v>
      </c>
    </row>
    <row r="156" spans="2:4" x14ac:dyDescent="0.3">
      <c r="B156" s="10">
        <v>15</v>
      </c>
      <c r="C156" s="8">
        <v>340</v>
      </c>
      <c r="D156" s="8">
        <v>5</v>
      </c>
    </row>
    <row r="157" spans="2:4" x14ac:dyDescent="0.3">
      <c r="B157" s="10">
        <v>16</v>
      </c>
      <c r="C157" s="8">
        <v>358</v>
      </c>
      <c r="D157" s="8">
        <v>4</v>
      </c>
    </row>
    <row r="158" spans="2:4" x14ac:dyDescent="0.3">
      <c r="B158" s="10">
        <v>17</v>
      </c>
      <c r="C158" s="8">
        <v>343</v>
      </c>
      <c r="D158" s="8">
        <v>4</v>
      </c>
    </row>
    <row r="159" spans="2:4" x14ac:dyDescent="0.3">
      <c r="B159" s="10">
        <v>18</v>
      </c>
      <c r="C159" s="8">
        <v>53</v>
      </c>
      <c r="D159" s="8">
        <v>2</v>
      </c>
    </row>
    <row r="160" spans="2:4" x14ac:dyDescent="0.3">
      <c r="B160" s="7" t="s">
        <v>960</v>
      </c>
      <c r="C160" s="8"/>
      <c r="D160" s="8"/>
    </row>
    <row r="161" spans="2:4" x14ac:dyDescent="0.3">
      <c r="B161" s="10">
        <v>9</v>
      </c>
      <c r="C161" s="8">
        <v>205</v>
      </c>
      <c r="D161" s="8">
        <v>2</v>
      </c>
    </row>
    <row r="162" spans="2:4" x14ac:dyDescent="0.3">
      <c r="B162" s="10">
        <v>10</v>
      </c>
      <c r="C162" s="8">
        <v>103</v>
      </c>
      <c r="D162" s="8">
        <v>2</v>
      </c>
    </row>
    <row r="163" spans="2:4" x14ac:dyDescent="0.3">
      <c r="B163" s="10">
        <v>11</v>
      </c>
      <c r="C163" s="8">
        <v>356</v>
      </c>
      <c r="D163" s="8">
        <v>4</v>
      </c>
    </row>
    <row r="164" spans="2:4" x14ac:dyDescent="0.3">
      <c r="B164" s="10">
        <v>12</v>
      </c>
      <c r="C164" s="8">
        <v>111</v>
      </c>
      <c r="D164" s="8">
        <v>3</v>
      </c>
    </row>
    <row r="165" spans="2:4" x14ac:dyDescent="0.3">
      <c r="B165" s="10">
        <v>13</v>
      </c>
      <c r="C165" s="8">
        <v>654</v>
      </c>
      <c r="D165" s="8">
        <v>5</v>
      </c>
    </row>
    <row r="166" spans="2:4" x14ac:dyDescent="0.3">
      <c r="B166" s="10">
        <v>14</v>
      </c>
      <c r="C166" s="8">
        <v>429</v>
      </c>
      <c r="D166" s="8">
        <v>6</v>
      </c>
    </row>
    <row r="167" spans="2:4" x14ac:dyDescent="0.3">
      <c r="B167" s="10">
        <v>15</v>
      </c>
      <c r="C167" s="8">
        <v>336</v>
      </c>
      <c r="D167" s="8">
        <v>4</v>
      </c>
    </row>
    <row r="168" spans="2:4" x14ac:dyDescent="0.3">
      <c r="B168" s="10">
        <v>16</v>
      </c>
      <c r="C168" s="8">
        <v>277</v>
      </c>
      <c r="D168" s="8">
        <v>4</v>
      </c>
    </row>
    <row r="169" spans="2:4" x14ac:dyDescent="0.3">
      <c r="B169" s="10">
        <v>17</v>
      </c>
      <c r="C169" s="8">
        <v>470</v>
      </c>
      <c r="D169" s="8">
        <v>5</v>
      </c>
    </row>
    <row r="170" spans="2:4" x14ac:dyDescent="0.3">
      <c r="B170" s="7" t="s">
        <v>1011</v>
      </c>
      <c r="C170" s="8"/>
      <c r="D170" s="8"/>
    </row>
    <row r="171" spans="2:4" x14ac:dyDescent="0.3">
      <c r="B171" s="10">
        <v>9</v>
      </c>
      <c r="C171" s="8">
        <v>303</v>
      </c>
      <c r="D171" s="8">
        <v>5</v>
      </c>
    </row>
    <row r="172" spans="2:4" x14ac:dyDescent="0.3">
      <c r="B172" s="10">
        <v>10</v>
      </c>
      <c r="C172" s="8">
        <v>140</v>
      </c>
      <c r="D172" s="8">
        <v>2</v>
      </c>
    </row>
    <row r="173" spans="2:4" x14ac:dyDescent="0.3">
      <c r="B173" s="10">
        <v>11</v>
      </c>
      <c r="C173" s="8">
        <v>628</v>
      </c>
      <c r="D173" s="8">
        <v>7</v>
      </c>
    </row>
    <row r="174" spans="2:4" x14ac:dyDescent="0.3">
      <c r="B174" s="10">
        <v>12</v>
      </c>
      <c r="C174" s="8">
        <v>613</v>
      </c>
      <c r="D174" s="8">
        <v>7</v>
      </c>
    </row>
    <row r="175" spans="2:4" x14ac:dyDescent="0.3">
      <c r="B175" s="10">
        <v>13</v>
      </c>
      <c r="C175" s="8">
        <v>231</v>
      </c>
      <c r="D175" s="8">
        <v>3</v>
      </c>
    </row>
    <row r="176" spans="2:4" x14ac:dyDescent="0.3">
      <c r="B176" s="10">
        <v>14</v>
      </c>
      <c r="C176" s="8">
        <v>36</v>
      </c>
      <c r="D176" s="8">
        <v>2</v>
      </c>
    </row>
    <row r="177" spans="2:4" x14ac:dyDescent="0.3">
      <c r="B177" s="10">
        <v>15</v>
      </c>
      <c r="C177" s="8">
        <v>57</v>
      </c>
      <c r="D177" s="8">
        <v>4</v>
      </c>
    </row>
    <row r="178" spans="2:4" x14ac:dyDescent="0.3">
      <c r="B178" s="10">
        <v>16</v>
      </c>
      <c r="C178" s="8">
        <v>197</v>
      </c>
      <c r="D178" s="8">
        <v>2</v>
      </c>
    </row>
    <row r="179" spans="2:4" x14ac:dyDescent="0.3">
      <c r="B179" s="10">
        <v>17</v>
      </c>
      <c r="C179" s="8">
        <v>794</v>
      </c>
      <c r="D179" s="8">
        <v>6</v>
      </c>
    </row>
    <row r="180" spans="2:4" x14ac:dyDescent="0.3">
      <c r="B180" s="7" t="s">
        <v>1074</v>
      </c>
      <c r="C180" s="8"/>
      <c r="D180" s="8"/>
    </row>
    <row r="181" spans="2:4" x14ac:dyDescent="0.3">
      <c r="B181" s="10">
        <v>9</v>
      </c>
      <c r="C181" s="8">
        <v>588</v>
      </c>
      <c r="D181" s="8">
        <v>6</v>
      </c>
    </row>
    <row r="182" spans="2:4" x14ac:dyDescent="0.3">
      <c r="B182" s="10">
        <v>10</v>
      </c>
      <c r="C182" s="8">
        <v>392</v>
      </c>
      <c r="D182" s="8">
        <v>6</v>
      </c>
    </row>
    <row r="183" spans="2:4" x14ac:dyDescent="0.3">
      <c r="B183" s="10">
        <v>11</v>
      </c>
      <c r="C183" s="8">
        <v>428</v>
      </c>
      <c r="D183" s="8">
        <v>3</v>
      </c>
    </row>
    <row r="184" spans="2:4" x14ac:dyDescent="0.3">
      <c r="B184" s="10">
        <v>12</v>
      </c>
      <c r="C184" s="8">
        <v>218</v>
      </c>
      <c r="D184" s="8">
        <v>4</v>
      </c>
    </row>
    <row r="185" spans="2:4" x14ac:dyDescent="0.3">
      <c r="B185" s="10">
        <v>13</v>
      </c>
      <c r="C185" s="8">
        <v>667</v>
      </c>
      <c r="D185" s="8">
        <v>6</v>
      </c>
    </row>
    <row r="186" spans="2:4" x14ac:dyDescent="0.3">
      <c r="B186" s="10">
        <v>14</v>
      </c>
      <c r="C186" s="8">
        <v>135</v>
      </c>
      <c r="D186" s="8">
        <v>2</v>
      </c>
    </row>
    <row r="187" spans="2:4" x14ac:dyDescent="0.3">
      <c r="B187" s="10">
        <v>15</v>
      </c>
      <c r="C187" s="8">
        <v>419</v>
      </c>
      <c r="D187" s="8">
        <v>5</v>
      </c>
    </row>
    <row r="188" spans="2:4" x14ac:dyDescent="0.3">
      <c r="B188" s="10">
        <v>16</v>
      </c>
      <c r="C188" s="8">
        <v>518</v>
      </c>
      <c r="D188" s="8">
        <v>4</v>
      </c>
    </row>
    <row r="189" spans="2:4" x14ac:dyDescent="0.3">
      <c r="B189" s="10">
        <v>17</v>
      </c>
      <c r="C189" s="8">
        <v>139</v>
      </c>
      <c r="D189" s="8">
        <v>3</v>
      </c>
    </row>
    <row r="190" spans="2:4" x14ac:dyDescent="0.3">
      <c r="B190" s="7" t="s">
        <v>1137</v>
      </c>
      <c r="C190" s="8"/>
      <c r="D190" s="8"/>
    </row>
    <row r="191" spans="2:4" x14ac:dyDescent="0.3">
      <c r="B191" s="10">
        <v>9</v>
      </c>
      <c r="C191" s="8">
        <v>340</v>
      </c>
      <c r="D191" s="8">
        <v>5</v>
      </c>
    </row>
    <row r="192" spans="2:4" x14ac:dyDescent="0.3">
      <c r="B192" s="10">
        <v>10</v>
      </c>
      <c r="C192" s="8">
        <v>118</v>
      </c>
      <c r="D192" s="8">
        <v>2</v>
      </c>
    </row>
    <row r="193" spans="2:4" x14ac:dyDescent="0.3">
      <c r="B193" s="10">
        <v>11</v>
      </c>
      <c r="C193" s="8">
        <v>43</v>
      </c>
      <c r="D193" s="8">
        <v>2</v>
      </c>
    </row>
    <row r="194" spans="2:4" x14ac:dyDescent="0.3">
      <c r="B194" s="10">
        <v>12</v>
      </c>
      <c r="C194" s="8">
        <v>549</v>
      </c>
      <c r="D194" s="8">
        <v>5</v>
      </c>
    </row>
    <row r="195" spans="2:4" x14ac:dyDescent="0.3">
      <c r="B195" s="10">
        <v>13</v>
      </c>
      <c r="C195" s="8">
        <v>430</v>
      </c>
      <c r="D195" s="8">
        <v>5</v>
      </c>
    </row>
    <row r="196" spans="2:4" x14ac:dyDescent="0.3">
      <c r="B196" s="10">
        <v>14</v>
      </c>
      <c r="C196" s="8">
        <v>71</v>
      </c>
      <c r="D196" s="8">
        <v>1</v>
      </c>
    </row>
    <row r="197" spans="2:4" x14ac:dyDescent="0.3">
      <c r="B197" s="10">
        <v>16</v>
      </c>
      <c r="C197" s="8">
        <v>184</v>
      </c>
      <c r="D197" s="8">
        <v>2</v>
      </c>
    </row>
    <row r="198" spans="2:4" x14ac:dyDescent="0.3">
      <c r="B198" s="10">
        <v>17</v>
      </c>
      <c r="C198" s="8">
        <v>400</v>
      </c>
      <c r="D198" s="8">
        <v>3</v>
      </c>
    </row>
    <row r="199" spans="2:4" x14ac:dyDescent="0.3">
      <c r="B199" s="7" t="s">
        <v>1178</v>
      </c>
      <c r="C199" s="8"/>
      <c r="D199" s="8"/>
    </row>
    <row r="200" spans="2:4" x14ac:dyDescent="0.3">
      <c r="B200" s="10">
        <v>9</v>
      </c>
      <c r="C200" s="8">
        <v>328</v>
      </c>
      <c r="D200" s="8">
        <v>6</v>
      </c>
    </row>
    <row r="201" spans="2:4" x14ac:dyDescent="0.3">
      <c r="B201" s="10">
        <v>10</v>
      </c>
      <c r="C201" s="8">
        <v>738</v>
      </c>
      <c r="D201" s="8">
        <v>4</v>
      </c>
    </row>
    <row r="202" spans="2:4" x14ac:dyDescent="0.3">
      <c r="B202" s="10">
        <v>11</v>
      </c>
      <c r="C202" s="8">
        <v>114</v>
      </c>
      <c r="D202" s="8">
        <v>2</v>
      </c>
    </row>
    <row r="203" spans="2:4" x14ac:dyDescent="0.3">
      <c r="B203" s="10">
        <v>12</v>
      </c>
      <c r="C203" s="8">
        <v>277</v>
      </c>
      <c r="D203" s="8">
        <v>5</v>
      </c>
    </row>
    <row r="204" spans="2:4" x14ac:dyDescent="0.3">
      <c r="B204" s="10">
        <v>15</v>
      </c>
      <c r="C204" s="8">
        <v>99</v>
      </c>
      <c r="D204" s="8">
        <v>3</v>
      </c>
    </row>
    <row r="205" spans="2:4" x14ac:dyDescent="0.3">
      <c r="B205" s="10">
        <v>16</v>
      </c>
      <c r="C205" s="8">
        <v>396</v>
      </c>
      <c r="D205" s="8">
        <v>6</v>
      </c>
    </row>
    <row r="206" spans="2:4" x14ac:dyDescent="0.3">
      <c r="B206" s="10">
        <v>17</v>
      </c>
      <c r="C206" s="8">
        <v>712</v>
      </c>
      <c r="D206" s="8">
        <v>6</v>
      </c>
    </row>
    <row r="207" spans="2:4" x14ac:dyDescent="0.3">
      <c r="B207" s="7" t="s">
        <v>1227</v>
      </c>
      <c r="C207" s="8"/>
      <c r="D207" s="8"/>
    </row>
    <row r="208" spans="2:4" x14ac:dyDescent="0.3">
      <c r="B208" s="10">
        <v>9</v>
      </c>
      <c r="C208" s="8">
        <v>581</v>
      </c>
      <c r="D208" s="8">
        <v>4</v>
      </c>
    </row>
    <row r="209" spans="2:4" x14ac:dyDescent="0.3">
      <c r="B209" s="10">
        <v>10</v>
      </c>
      <c r="C209" s="8">
        <v>55</v>
      </c>
      <c r="D209" s="8">
        <v>2</v>
      </c>
    </row>
    <row r="210" spans="2:4" x14ac:dyDescent="0.3">
      <c r="B210" s="10">
        <v>11</v>
      </c>
      <c r="C210" s="8">
        <v>351</v>
      </c>
      <c r="D210" s="8">
        <v>5</v>
      </c>
    </row>
    <row r="211" spans="2:4" x14ac:dyDescent="0.3">
      <c r="B211" s="10">
        <v>12</v>
      </c>
      <c r="C211" s="8"/>
      <c r="D211" s="8">
        <v>2</v>
      </c>
    </row>
    <row r="212" spans="2:4" x14ac:dyDescent="0.3">
      <c r="B212" s="10">
        <v>14</v>
      </c>
      <c r="C212" s="8">
        <v>513</v>
      </c>
      <c r="D212" s="8">
        <v>7</v>
      </c>
    </row>
    <row r="213" spans="2:4" x14ac:dyDescent="0.3">
      <c r="B213" s="10">
        <v>15</v>
      </c>
      <c r="C213" s="8"/>
      <c r="D213" s="8">
        <v>2</v>
      </c>
    </row>
    <row r="214" spans="2:4" x14ac:dyDescent="0.3">
      <c r="B214" s="10">
        <v>16</v>
      </c>
      <c r="C214" s="8">
        <v>300</v>
      </c>
      <c r="D214" s="8">
        <v>6</v>
      </c>
    </row>
    <row r="215" spans="2:4" x14ac:dyDescent="0.3">
      <c r="B215" s="10">
        <v>17</v>
      </c>
      <c r="C215" s="8">
        <v>300</v>
      </c>
      <c r="D215" s="8">
        <v>5</v>
      </c>
    </row>
    <row r="216" spans="2:4" x14ac:dyDescent="0.3">
      <c r="B216" s="7" t="s">
        <v>1278</v>
      </c>
      <c r="C216" s="8"/>
      <c r="D216" s="8"/>
    </row>
    <row r="217" spans="2:4" x14ac:dyDescent="0.3">
      <c r="B217" s="10">
        <v>9</v>
      </c>
      <c r="C217" s="8">
        <v>693</v>
      </c>
      <c r="D217" s="8">
        <v>7</v>
      </c>
    </row>
    <row r="218" spans="2:4" x14ac:dyDescent="0.3">
      <c r="B218" s="10">
        <v>10</v>
      </c>
      <c r="C218" s="8">
        <v>118</v>
      </c>
      <c r="D218" s="8">
        <v>2</v>
      </c>
    </row>
    <row r="219" spans="2:4" x14ac:dyDescent="0.3">
      <c r="B219" s="10">
        <v>11</v>
      </c>
      <c r="C219" s="8">
        <v>881</v>
      </c>
      <c r="D219" s="8">
        <v>8</v>
      </c>
    </row>
    <row r="220" spans="2:4" x14ac:dyDescent="0.3">
      <c r="B220" s="10">
        <v>12</v>
      </c>
      <c r="C220" s="8">
        <v>195</v>
      </c>
      <c r="D220" s="8">
        <v>4</v>
      </c>
    </row>
    <row r="221" spans="2:4" x14ac:dyDescent="0.3">
      <c r="B221" s="10">
        <v>13</v>
      </c>
      <c r="C221" s="8">
        <v>145</v>
      </c>
      <c r="D221" s="8">
        <v>3</v>
      </c>
    </row>
    <row r="222" spans="2:4" x14ac:dyDescent="0.3">
      <c r="B222" s="10">
        <v>14</v>
      </c>
      <c r="C222" s="8">
        <v>108</v>
      </c>
      <c r="D222" s="8">
        <v>3</v>
      </c>
    </row>
    <row r="223" spans="2:4" x14ac:dyDescent="0.3">
      <c r="B223" s="10">
        <v>16</v>
      </c>
      <c r="C223" s="8">
        <v>377</v>
      </c>
      <c r="D223" s="8">
        <v>6</v>
      </c>
    </row>
    <row r="224" spans="2:4" x14ac:dyDescent="0.3">
      <c r="B224" s="10">
        <v>17</v>
      </c>
      <c r="C224" s="8">
        <v>178</v>
      </c>
      <c r="D224" s="8">
        <v>4</v>
      </c>
    </row>
    <row r="225" spans="2:4" x14ac:dyDescent="0.3">
      <c r="B225" s="7" t="s">
        <v>1333</v>
      </c>
      <c r="C225" s="8"/>
      <c r="D225" s="8"/>
    </row>
    <row r="226" spans="2:4" x14ac:dyDescent="0.3">
      <c r="B226" s="10">
        <v>9</v>
      </c>
      <c r="C226" s="8">
        <v>661</v>
      </c>
      <c r="D226" s="8">
        <v>6</v>
      </c>
    </row>
    <row r="227" spans="2:4" x14ac:dyDescent="0.3">
      <c r="B227" s="10">
        <v>10</v>
      </c>
      <c r="C227" s="8">
        <v>592</v>
      </c>
      <c r="D227" s="8">
        <v>7</v>
      </c>
    </row>
    <row r="228" spans="2:4" x14ac:dyDescent="0.3">
      <c r="B228" s="10">
        <v>11</v>
      </c>
      <c r="C228" s="8">
        <v>238</v>
      </c>
      <c r="D228" s="8">
        <v>4</v>
      </c>
    </row>
    <row r="229" spans="2:4" x14ac:dyDescent="0.3">
      <c r="B229" s="10">
        <v>12</v>
      </c>
      <c r="C229" s="8">
        <v>282</v>
      </c>
      <c r="D229" s="8">
        <v>4</v>
      </c>
    </row>
    <row r="230" spans="2:4" x14ac:dyDescent="0.3">
      <c r="B230" s="10">
        <v>13</v>
      </c>
      <c r="C230" s="8">
        <v>267</v>
      </c>
      <c r="D230" s="8">
        <v>3</v>
      </c>
    </row>
    <row r="231" spans="2:4" x14ac:dyDescent="0.3">
      <c r="B231" s="10">
        <v>14</v>
      </c>
      <c r="C231" s="8">
        <v>480</v>
      </c>
      <c r="D231" s="8">
        <v>5</v>
      </c>
    </row>
    <row r="232" spans="2:4" x14ac:dyDescent="0.3">
      <c r="B232" s="10">
        <v>15</v>
      </c>
      <c r="C232" s="8">
        <v>220</v>
      </c>
      <c r="D232" s="8">
        <v>3</v>
      </c>
    </row>
    <row r="233" spans="2:4" x14ac:dyDescent="0.3">
      <c r="B233" s="10">
        <v>16</v>
      </c>
      <c r="C233" s="8">
        <v>177</v>
      </c>
      <c r="D233" s="8">
        <v>2</v>
      </c>
    </row>
    <row r="234" spans="2:4" x14ac:dyDescent="0.3">
      <c r="B234" s="10">
        <v>17</v>
      </c>
      <c r="C234" s="8">
        <v>249</v>
      </c>
      <c r="D234" s="8">
        <v>4</v>
      </c>
    </row>
    <row r="235" spans="2:4" x14ac:dyDescent="0.3">
      <c r="B235" s="7" t="s">
        <v>1388</v>
      </c>
      <c r="C235" s="8"/>
      <c r="D235" s="8"/>
    </row>
    <row r="236" spans="2:4" x14ac:dyDescent="0.3">
      <c r="B236" s="10">
        <v>9</v>
      </c>
      <c r="C236" s="8">
        <v>419</v>
      </c>
      <c r="D236" s="8">
        <v>6</v>
      </c>
    </row>
    <row r="237" spans="2:4" x14ac:dyDescent="0.3">
      <c r="B237" s="10">
        <v>10</v>
      </c>
      <c r="C237" s="8">
        <v>393</v>
      </c>
      <c r="D237" s="8">
        <v>4</v>
      </c>
    </row>
    <row r="238" spans="2:4" x14ac:dyDescent="0.3">
      <c r="B238" s="10">
        <v>11</v>
      </c>
      <c r="C238" s="8">
        <v>641</v>
      </c>
      <c r="D238" s="8">
        <v>5</v>
      </c>
    </row>
    <row r="239" spans="2:4" x14ac:dyDescent="0.3">
      <c r="B239" s="10">
        <v>12</v>
      </c>
      <c r="C239" s="8">
        <v>745</v>
      </c>
      <c r="D239" s="8">
        <v>7</v>
      </c>
    </row>
    <row r="240" spans="2:4" x14ac:dyDescent="0.3">
      <c r="B240" s="10">
        <v>14</v>
      </c>
      <c r="C240" s="8">
        <v>553</v>
      </c>
      <c r="D240" s="8">
        <v>4</v>
      </c>
    </row>
    <row r="241" spans="2:4" x14ac:dyDescent="0.3">
      <c r="B241" s="10">
        <v>15</v>
      </c>
      <c r="C241" s="8">
        <v>418</v>
      </c>
      <c r="D241" s="8">
        <v>7</v>
      </c>
    </row>
    <row r="242" spans="2:4" x14ac:dyDescent="0.3">
      <c r="B242" s="10">
        <v>16</v>
      </c>
      <c r="C242" s="8">
        <v>122</v>
      </c>
      <c r="D242" s="8">
        <v>2</v>
      </c>
    </row>
    <row r="243" spans="2:4" x14ac:dyDescent="0.3">
      <c r="B243" s="10">
        <v>17</v>
      </c>
      <c r="C243" s="8">
        <v>95</v>
      </c>
      <c r="D243" s="8">
        <v>2</v>
      </c>
    </row>
    <row r="244" spans="2:4" x14ac:dyDescent="0.3">
      <c r="B244" s="7" t="s">
        <v>1453</v>
      </c>
      <c r="C244" s="8"/>
      <c r="D244" s="8"/>
    </row>
    <row r="245" spans="2:4" x14ac:dyDescent="0.3">
      <c r="B245" s="10">
        <v>9</v>
      </c>
      <c r="C245" s="8">
        <v>479</v>
      </c>
      <c r="D245" s="8">
        <v>6</v>
      </c>
    </row>
    <row r="246" spans="2:4" x14ac:dyDescent="0.3">
      <c r="B246" s="10">
        <v>10</v>
      </c>
      <c r="C246" s="8">
        <v>564</v>
      </c>
      <c r="D246" s="8">
        <v>4</v>
      </c>
    </row>
    <row r="247" spans="2:4" x14ac:dyDescent="0.3">
      <c r="B247" s="10">
        <v>11</v>
      </c>
      <c r="C247" s="8">
        <v>185</v>
      </c>
      <c r="D247" s="8">
        <v>3</v>
      </c>
    </row>
    <row r="248" spans="2:4" x14ac:dyDescent="0.3">
      <c r="B248" s="10">
        <v>12</v>
      </c>
      <c r="C248" s="8">
        <v>435</v>
      </c>
      <c r="D248" s="8">
        <v>5</v>
      </c>
    </row>
    <row r="249" spans="2:4" x14ac:dyDescent="0.3">
      <c r="B249" s="10">
        <v>13</v>
      </c>
      <c r="C249" s="8">
        <v>364</v>
      </c>
      <c r="D249" s="8">
        <v>3</v>
      </c>
    </row>
    <row r="250" spans="2:4" x14ac:dyDescent="0.3">
      <c r="B250" s="10">
        <v>14</v>
      </c>
      <c r="C250" s="8">
        <v>508</v>
      </c>
      <c r="D250" s="8">
        <v>5</v>
      </c>
    </row>
    <row r="251" spans="2:4" x14ac:dyDescent="0.3">
      <c r="B251" s="10">
        <v>15</v>
      </c>
      <c r="C251" s="8">
        <v>908</v>
      </c>
      <c r="D251" s="8">
        <v>5</v>
      </c>
    </row>
    <row r="252" spans="2:4" x14ac:dyDescent="0.3">
      <c r="B252" s="10">
        <v>16</v>
      </c>
      <c r="C252" s="8">
        <v>146</v>
      </c>
      <c r="D252" s="8">
        <v>4</v>
      </c>
    </row>
    <row r="253" spans="2:4" x14ac:dyDescent="0.3">
      <c r="B253" s="10">
        <v>17</v>
      </c>
      <c r="C253" s="8">
        <v>269</v>
      </c>
      <c r="D253" s="8">
        <v>3</v>
      </c>
    </row>
    <row r="254" spans="2:4" x14ac:dyDescent="0.3">
      <c r="B254" s="7" t="s">
        <v>1514</v>
      </c>
      <c r="C254" s="8"/>
      <c r="D254" s="8"/>
    </row>
    <row r="255" spans="2:4" x14ac:dyDescent="0.3">
      <c r="B255" s="10">
        <v>9</v>
      </c>
      <c r="C255" s="8">
        <v>430</v>
      </c>
      <c r="D255" s="8">
        <v>6</v>
      </c>
    </row>
    <row r="256" spans="2:4" x14ac:dyDescent="0.3">
      <c r="B256" s="10">
        <v>10</v>
      </c>
      <c r="C256" s="8">
        <v>172</v>
      </c>
      <c r="D256" s="8">
        <v>2</v>
      </c>
    </row>
    <row r="257" spans="2:4" x14ac:dyDescent="0.3">
      <c r="B257" s="10">
        <v>11</v>
      </c>
      <c r="C257" s="8">
        <v>186</v>
      </c>
      <c r="D257" s="8">
        <v>1</v>
      </c>
    </row>
    <row r="258" spans="2:4" x14ac:dyDescent="0.3">
      <c r="B258" s="10">
        <v>12</v>
      </c>
      <c r="C258" s="8">
        <v>33</v>
      </c>
      <c r="D258" s="8">
        <v>2</v>
      </c>
    </row>
    <row r="259" spans="2:4" x14ac:dyDescent="0.3">
      <c r="B259" s="10">
        <v>13</v>
      </c>
      <c r="C259" s="8">
        <v>712</v>
      </c>
      <c r="D259" s="8">
        <v>7</v>
      </c>
    </row>
    <row r="260" spans="2:4" x14ac:dyDescent="0.3">
      <c r="B260" s="10">
        <v>14</v>
      </c>
      <c r="C260" s="8">
        <v>257</v>
      </c>
      <c r="D260" s="8">
        <v>3</v>
      </c>
    </row>
    <row r="261" spans="2:4" x14ac:dyDescent="0.3">
      <c r="B261" s="10">
        <v>15</v>
      </c>
      <c r="C261" s="8">
        <v>161</v>
      </c>
      <c r="D261" s="8">
        <v>4</v>
      </c>
    </row>
    <row r="262" spans="2:4" x14ac:dyDescent="0.3">
      <c r="B262" s="10">
        <v>16</v>
      </c>
      <c r="C262" s="8">
        <v>441</v>
      </c>
      <c r="D262" s="8">
        <v>5</v>
      </c>
    </row>
    <row r="263" spans="2:4" x14ac:dyDescent="0.3">
      <c r="B263" s="10">
        <v>17</v>
      </c>
      <c r="C263" s="8">
        <v>369</v>
      </c>
      <c r="D263" s="8">
        <v>6</v>
      </c>
    </row>
    <row r="264" spans="2:4" x14ac:dyDescent="0.3">
      <c r="B264" s="7" t="s">
        <v>1571</v>
      </c>
      <c r="C264" s="8"/>
      <c r="D264" s="8"/>
    </row>
    <row r="265" spans="2:4" x14ac:dyDescent="0.3">
      <c r="B265" s="10">
        <v>9</v>
      </c>
      <c r="C265" s="8">
        <v>369</v>
      </c>
      <c r="D265" s="8">
        <v>5</v>
      </c>
    </row>
    <row r="266" spans="2:4" x14ac:dyDescent="0.3">
      <c r="B266" s="10">
        <v>10</v>
      </c>
      <c r="C266" s="8">
        <v>543</v>
      </c>
      <c r="D266" s="8">
        <v>4</v>
      </c>
    </row>
    <row r="267" spans="2:4" x14ac:dyDescent="0.3">
      <c r="B267" s="10">
        <v>11</v>
      </c>
      <c r="C267" s="8">
        <v>659</v>
      </c>
      <c r="D267" s="8">
        <v>6</v>
      </c>
    </row>
    <row r="268" spans="2:4" x14ac:dyDescent="0.3">
      <c r="B268" s="10">
        <v>12</v>
      </c>
      <c r="C268" s="8">
        <v>234</v>
      </c>
      <c r="D268" s="8">
        <v>2</v>
      </c>
    </row>
    <row r="269" spans="2:4" x14ac:dyDescent="0.3">
      <c r="B269" s="10">
        <v>13</v>
      </c>
      <c r="C269" s="8">
        <v>224</v>
      </c>
      <c r="D269" s="8">
        <v>5</v>
      </c>
    </row>
    <row r="270" spans="2:4" x14ac:dyDescent="0.3">
      <c r="B270" s="10">
        <v>14</v>
      </c>
      <c r="C270" s="8">
        <v>396</v>
      </c>
      <c r="D270" s="8">
        <v>6</v>
      </c>
    </row>
    <row r="271" spans="2:4" x14ac:dyDescent="0.3">
      <c r="B271" s="10">
        <v>15</v>
      </c>
      <c r="C271" s="8">
        <v>154</v>
      </c>
      <c r="D271" s="8">
        <v>2</v>
      </c>
    </row>
    <row r="272" spans="2:4" x14ac:dyDescent="0.3">
      <c r="B272" s="10">
        <v>16</v>
      </c>
      <c r="C272" s="8">
        <v>336</v>
      </c>
      <c r="D272" s="8">
        <v>5</v>
      </c>
    </row>
    <row r="273" spans="2:4" x14ac:dyDescent="0.3">
      <c r="B273" s="10">
        <v>17</v>
      </c>
      <c r="C273" s="8">
        <v>334</v>
      </c>
      <c r="D273" s="8">
        <v>4</v>
      </c>
    </row>
    <row r="274" spans="2:4" x14ac:dyDescent="0.3">
      <c r="B274" s="10">
        <v>18</v>
      </c>
      <c r="C274" s="8">
        <v>136</v>
      </c>
      <c r="D274" s="8">
        <v>2</v>
      </c>
    </row>
    <row r="275" spans="2:4" x14ac:dyDescent="0.3">
      <c r="B275" s="7" t="s">
        <v>1628</v>
      </c>
      <c r="C275" s="8"/>
      <c r="D275" s="8"/>
    </row>
    <row r="276" spans="2:4" x14ac:dyDescent="0.3">
      <c r="B276" s="10">
        <v>9</v>
      </c>
      <c r="C276" s="8">
        <v>282</v>
      </c>
      <c r="D276" s="8">
        <v>4</v>
      </c>
    </row>
    <row r="277" spans="2:4" x14ac:dyDescent="0.3">
      <c r="B277" s="10">
        <v>10</v>
      </c>
      <c r="C277" s="8">
        <v>457</v>
      </c>
      <c r="D277" s="8">
        <v>6</v>
      </c>
    </row>
    <row r="278" spans="2:4" x14ac:dyDescent="0.3">
      <c r="B278" s="10">
        <v>11</v>
      </c>
      <c r="C278" s="8">
        <v>11</v>
      </c>
      <c r="D278" s="8">
        <v>2</v>
      </c>
    </row>
    <row r="279" spans="2:4" x14ac:dyDescent="0.3">
      <c r="B279" s="10">
        <v>12</v>
      </c>
      <c r="C279" s="8">
        <v>656</v>
      </c>
      <c r="D279" s="8">
        <v>5</v>
      </c>
    </row>
    <row r="280" spans="2:4" x14ac:dyDescent="0.3">
      <c r="B280" s="10">
        <v>13</v>
      </c>
      <c r="C280" s="8">
        <v>415</v>
      </c>
      <c r="D280" s="8">
        <v>6</v>
      </c>
    </row>
    <row r="281" spans="2:4" x14ac:dyDescent="0.3">
      <c r="B281" s="10">
        <v>14</v>
      </c>
      <c r="C281" s="8">
        <v>205</v>
      </c>
      <c r="D281" s="8">
        <v>5</v>
      </c>
    </row>
    <row r="282" spans="2:4" x14ac:dyDescent="0.3">
      <c r="B282" s="10">
        <v>15</v>
      </c>
      <c r="C282" s="8">
        <v>604</v>
      </c>
      <c r="D282" s="8">
        <v>7</v>
      </c>
    </row>
    <row r="283" spans="2:4" x14ac:dyDescent="0.3">
      <c r="B283" s="10">
        <v>16</v>
      </c>
      <c r="C283" s="8"/>
      <c r="D283" s="8">
        <v>1</v>
      </c>
    </row>
    <row r="284" spans="2:4" x14ac:dyDescent="0.3">
      <c r="B284" s="10">
        <v>17</v>
      </c>
      <c r="C284" s="8">
        <v>292</v>
      </c>
      <c r="D284" s="8">
        <v>4</v>
      </c>
    </row>
    <row r="285" spans="2:4" x14ac:dyDescent="0.3">
      <c r="B285" s="7" t="s">
        <v>1687</v>
      </c>
      <c r="C285" s="8"/>
      <c r="D285" s="8"/>
    </row>
    <row r="286" spans="2:4" x14ac:dyDescent="0.3">
      <c r="B286" s="10">
        <v>9</v>
      </c>
      <c r="C286" s="8">
        <v>481</v>
      </c>
      <c r="D286" s="8">
        <v>4</v>
      </c>
    </row>
    <row r="287" spans="2:4" x14ac:dyDescent="0.3">
      <c r="B287" s="10">
        <v>10</v>
      </c>
      <c r="C287" s="8">
        <v>622</v>
      </c>
      <c r="D287" s="8">
        <v>7</v>
      </c>
    </row>
    <row r="288" spans="2:4" x14ac:dyDescent="0.3">
      <c r="B288" s="10">
        <v>11</v>
      </c>
      <c r="C288" s="8">
        <v>382</v>
      </c>
      <c r="D288" s="8">
        <v>4</v>
      </c>
    </row>
    <row r="289" spans="2:4" x14ac:dyDescent="0.3">
      <c r="B289" s="10">
        <v>12</v>
      </c>
      <c r="C289" s="8">
        <v>715</v>
      </c>
      <c r="D289" s="8">
        <v>7</v>
      </c>
    </row>
    <row r="290" spans="2:4" x14ac:dyDescent="0.3">
      <c r="B290" s="10">
        <v>13</v>
      </c>
      <c r="C290" s="8">
        <v>177</v>
      </c>
      <c r="D290" s="8">
        <v>2</v>
      </c>
    </row>
    <row r="291" spans="2:4" x14ac:dyDescent="0.3">
      <c r="B291" s="10">
        <v>14</v>
      </c>
      <c r="C291" s="8">
        <v>405</v>
      </c>
      <c r="D291" s="8">
        <v>4</v>
      </c>
    </row>
    <row r="292" spans="2:4" x14ac:dyDescent="0.3">
      <c r="B292" s="10">
        <v>15</v>
      </c>
      <c r="C292" s="8">
        <v>538</v>
      </c>
      <c r="D292" s="8">
        <v>7</v>
      </c>
    </row>
    <row r="293" spans="2:4" x14ac:dyDescent="0.3">
      <c r="B293" s="10">
        <v>16</v>
      </c>
      <c r="C293" s="8">
        <v>482</v>
      </c>
      <c r="D293" s="8">
        <v>5</v>
      </c>
    </row>
    <row r="294" spans="2:4" x14ac:dyDescent="0.3">
      <c r="B294" s="10">
        <v>17</v>
      </c>
      <c r="C294" s="8">
        <v>537</v>
      </c>
      <c r="D294" s="8">
        <v>7</v>
      </c>
    </row>
    <row r="295" spans="2:4" x14ac:dyDescent="0.3">
      <c r="B295" s="7" t="s">
        <v>1768</v>
      </c>
      <c r="C295" s="8"/>
      <c r="D295" s="8"/>
    </row>
    <row r="296" spans="2:4" x14ac:dyDescent="0.3">
      <c r="B296" s="10">
        <v>9</v>
      </c>
      <c r="C296" s="8">
        <v>721</v>
      </c>
      <c r="D296" s="8">
        <v>6</v>
      </c>
    </row>
    <row r="297" spans="2:4" x14ac:dyDescent="0.3">
      <c r="B297" s="10">
        <v>11</v>
      </c>
      <c r="C297" s="8">
        <v>247</v>
      </c>
      <c r="D297" s="8">
        <v>5</v>
      </c>
    </row>
    <row r="298" spans="2:4" x14ac:dyDescent="0.3">
      <c r="B298" s="10">
        <v>12</v>
      </c>
      <c r="C298" s="8">
        <v>664</v>
      </c>
      <c r="D298" s="8">
        <v>6</v>
      </c>
    </row>
    <row r="299" spans="2:4" x14ac:dyDescent="0.3">
      <c r="B299" s="10">
        <v>14</v>
      </c>
      <c r="C299" s="8">
        <v>402</v>
      </c>
      <c r="D299" s="8">
        <v>5</v>
      </c>
    </row>
    <row r="300" spans="2:4" x14ac:dyDescent="0.3">
      <c r="B300" s="10">
        <v>15</v>
      </c>
      <c r="C300" s="8">
        <v>392</v>
      </c>
      <c r="D300" s="8">
        <v>4</v>
      </c>
    </row>
    <row r="301" spans="2:4" x14ac:dyDescent="0.3">
      <c r="B301" s="10">
        <v>16</v>
      </c>
      <c r="C301" s="8">
        <v>526</v>
      </c>
      <c r="D301" s="8">
        <v>4</v>
      </c>
    </row>
    <row r="302" spans="2:4" x14ac:dyDescent="0.3">
      <c r="B302" s="10">
        <v>17</v>
      </c>
      <c r="C302" s="8">
        <v>290</v>
      </c>
      <c r="D302" s="8">
        <v>4</v>
      </c>
    </row>
    <row r="303" spans="2:4" x14ac:dyDescent="0.3">
      <c r="B303" s="7" t="s">
        <v>1829</v>
      </c>
      <c r="C303" s="8"/>
      <c r="D303" s="8"/>
    </row>
    <row r="304" spans="2:4" x14ac:dyDescent="0.3">
      <c r="B304" s="10">
        <v>9</v>
      </c>
      <c r="C304" s="8">
        <v>434</v>
      </c>
      <c r="D304" s="8">
        <v>5</v>
      </c>
    </row>
    <row r="305" spans="2:4" x14ac:dyDescent="0.3">
      <c r="B305" s="10">
        <v>10</v>
      </c>
      <c r="C305" s="8">
        <v>183</v>
      </c>
      <c r="D305" s="8">
        <v>3</v>
      </c>
    </row>
    <row r="306" spans="2:4" x14ac:dyDescent="0.3">
      <c r="B306" s="10">
        <v>11</v>
      </c>
      <c r="C306" s="8">
        <v>134</v>
      </c>
      <c r="D306" s="8">
        <v>2</v>
      </c>
    </row>
    <row r="307" spans="2:4" x14ac:dyDescent="0.3">
      <c r="B307" s="10">
        <v>12</v>
      </c>
      <c r="C307" s="8">
        <v>430</v>
      </c>
      <c r="D307" s="8">
        <v>4</v>
      </c>
    </row>
    <row r="308" spans="2:4" x14ac:dyDescent="0.3">
      <c r="B308" s="10">
        <v>13</v>
      </c>
      <c r="C308" s="8">
        <v>1221</v>
      </c>
      <c r="D308" s="8">
        <v>8</v>
      </c>
    </row>
    <row r="309" spans="2:4" x14ac:dyDescent="0.3">
      <c r="B309" s="10">
        <v>14</v>
      </c>
      <c r="C309" s="8">
        <v>361</v>
      </c>
      <c r="D309" s="8">
        <v>4</v>
      </c>
    </row>
    <row r="310" spans="2:4" x14ac:dyDescent="0.3">
      <c r="B310" s="10">
        <v>15</v>
      </c>
      <c r="C310" s="8">
        <v>164</v>
      </c>
      <c r="D310" s="8">
        <v>1</v>
      </c>
    </row>
    <row r="311" spans="2:4" x14ac:dyDescent="0.3">
      <c r="B311" s="10">
        <v>16</v>
      </c>
      <c r="C311" s="8">
        <v>445</v>
      </c>
      <c r="D311" s="8">
        <v>4</v>
      </c>
    </row>
    <row r="312" spans="2:4" x14ac:dyDescent="0.3">
      <c r="B312" s="10">
        <v>17</v>
      </c>
      <c r="C312" s="8">
        <v>751</v>
      </c>
      <c r="D312" s="8">
        <v>8</v>
      </c>
    </row>
    <row r="313" spans="2:4" x14ac:dyDescent="0.3">
      <c r="B313" s="7" t="s">
        <v>1902</v>
      </c>
      <c r="C313" s="8"/>
      <c r="D313" s="8"/>
    </row>
    <row r="314" spans="2:4" x14ac:dyDescent="0.3">
      <c r="B314" s="10">
        <v>9</v>
      </c>
      <c r="C314" s="8">
        <v>269</v>
      </c>
      <c r="D314" s="8">
        <v>6</v>
      </c>
    </row>
    <row r="315" spans="2:4" x14ac:dyDescent="0.3">
      <c r="B315" s="10">
        <v>10</v>
      </c>
      <c r="C315" s="8">
        <v>165</v>
      </c>
      <c r="D315" s="8">
        <v>2</v>
      </c>
    </row>
    <row r="316" spans="2:4" x14ac:dyDescent="0.3">
      <c r="B316" s="10">
        <v>11</v>
      </c>
      <c r="C316" s="8">
        <v>228</v>
      </c>
      <c r="D316" s="8">
        <v>3</v>
      </c>
    </row>
    <row r="317" spans="2:4" x14ac:dyDescent="0.3">
      <c r="B317" s="10">
        <v>13</v>
      </c>
      <c r="C317" s="8">
        <v>220</v>
      </c>
      <c r="D317" s="8">
        <v>6</v>
      </c>
    </row>
    <row r="318" spans="2:4" x14ac:dyDescent="0.3">
      <c r="B318" s="10">
        <v>14</v>
      </c>
      <c r="C318" s="8">
        <v>129</v>
      </c>
      <c r="D318" s="8">
        <v>2</v>
      </c>
    </row>
    <row r="319" spans="2:4" x14ac:dyDescent="0.3">
      <c r="B319" s="10">
        <v>15</v>
      </c>
      <c r="C319" s="8">
        <v>549</v>
      </c>
      <c r="D319" s="8">
        <v>4</v>
      </c>
    </row>
    <row r="320" spans="2:4" x14ac:dyDescent="0.3">
      <c r="B320" s="10">
        <v>16</v>
      </c>
      <c r="C320" s="8">
        <v>271</v>
      </c>
      <c r="D320" s="8">
        <v>3</v>
      </c>
    </row>
    <row r="321" spans="2:4" x14ac:dyDescent="0.3">
      <c r="B321" s="10">
        <v>17</v>
      </c>
      <c r="C321" s="8">
        <v>24</v>
      </c>
      <c r="D321" s="8">
        <v>2</v>
      </c>
    </row>
    <row r="322" spans="2:4" x14ac:dyDescent="0.3">
      <c r="B322" s="7" t="s">
        <v>1939</v>
      </c>
      <c r="C322" s="8"/>
      <c r="D322" s="8"/>
    </row>
    <row r="323" spans="2:4" x14ac:dyDescent="0.3">
      <c r="B323" s="10">
        <v>9</v>
      </c>
      <c r="C323" s="8">
        <v>375</v>
      </c>
      <c r="D323" s="8">
        <v>6</v>
      </c>
    </row>
    <row r="324" spans="2:4" x14ac:dyDescent="0.3">
      <c r="B324" s="10">
        <v>10</v>
      </c>
      <c r="C324" s="8">
        <v>451</v>
      </c>
      <c r="D324" s="8">
        <v>6</v>
      </c>
    </row>
    <row r="325" spans="2:4" x14ac:dyDescent="0.3">
      <c r="B325" s="10">
        <v>11</v>
      </c>
      <c r="C325" s="8">
        <v>342</v>
      </c>
      <c r="D325" s="8">
        <v>5</v>
      </c>
    </row>
    <row r="326" spans="2:4" x14ac:dyDescent="0.3">
      <c r="B326" s="10">
        <v>12</v>
      </c>
      <c r="C326" s="8">
        <v>530</v>
      </c>
      <c r="D326" s="8">
        <v>5</v>
      </c>
    </row>
    <row r="327" spans="2:4" x14ac:dyDescent="0.3">
      <c r="B327" s="10">
        <v>13</v>
      </c>
      <c r="C327" s="8">
        <v>870</v>
      </c>
      <c r="D327" s="8">
        <v>7</v>
      </c>
    </row>
    <row r="328" spans="2:4" x14ac:dyDescent="0.3">
      <c r="B328" s="10">
        <v>14</v>
      </c>
      <c r="C328" s="8">
        <v>371</v>
      </c>
      <c r="D328" s="8">
        <v>4</v>
      </c>
    </row>
    <row r="329" spans="2:4" x14ac:dyDescent="0.3">
      <c r="B329" s="10">
        <v>15</v>
      </c>
      <c r="C329" s="8">
        <v>172</v>
      </c>
      <c r="D329" s="8">
        <v>2</v>
      </c>
    </row>
    <row r="330" spans="2:4" x14ac:dyDescent="0.3">
      <c r="B330" s="10">
        <v>16</v>
      </c>
      <c r="C330" s="8">
        <v>343</v>
      </c>
      <c r="D330" s="8">
        <v>6</v>
      </c>
    </row>
    <row r="331" spans="2:4" x14ac:dyDescent="0.3">
      <c r="B331" s="10">
        <v>17</v>
      </c>
      <c r="C331" s="8">
        <v>390</v>
      </c>
      <c r="D331" s="8">
        <v>3</v>
      </c>
    </row>
    <row r="332" spans="2:4" x14ac:dyDescent="0.3">
      <c r="B332" s="7" t="s">
        <v>2014</v>
      </c>
      <c r="C332" s="8"/>
      <c r="D332" s="8"/>
    </row>
    <row r="333" spans="2:4" x14ac:dyDescent="0.3">
      <c r="B333" s="10">
        <v>9</v>
      </c>
      <c r="C333" s="8">
        <v>170</v>
      </c>
      <c r="D333" s="8">
        <v>5</v>
      </c>
    </row>
    <row r="334" spans="2:4" x14ac:dyDescent="0.3">
      <c r="B334" s="10">
        <v>10</v>
      </c>
      <c r="C334" s="8">
        <v>620</v>
      </c>
      <c r="D334" s="8">
        <v>5</v>
      </c>
    </row>
    <row r="335" spans="2:4" x14ac:dyDescent="0.3">
      <c r="B335" s="10">
        <v>11</v>
      </c>
      <c r="C335" s="8">
        <v>102</v>
      </c>
      <c r="D335" s="8">
        <v>4</v>
      </c>
    </row>
    <row r="336" spans="2:4" x14ac:dyDescent="0.3">
      <c r="B336" s="10">
        <v>12</v>
      </c>
      <c r="C336" s="8">
        <v>869</v>
      </c>
      <c r="D336" s="8">
        <v>7</v>
      </c>
    </row>
    <row r="337" spans="2:4" x14ac:dyDescent="0.3">
      <c r="B337" s="10">
        <v>13</v>
      </c>
      <c r="C337" s="8">
        <v>504</v>
      </c>
      <c r="D337" s="8">
        <v>5</v>
      </c>
    </row>
    <row r="338" spans="2:4" x14ac:dyDescent="0.3">
      <c r="B338" s="10">
        <v>14</v>
      </c>
      <c r="C338" s="8">
        <v>245</v>
      </c>
      <c r="D338" s="8">
        <v>5</v>
      </c>
    </row>
    <row r="339" spans="2:4" x14ac:dyDescent="0.3">
      <c r="B339" s="10">
        <v>15</v>
      </c>
      <c r="C339" s="8">
        <v>413</v>
      </c>
      <c r="D339" s="8">
        <v>6</v>
      </c>
    </row>
    <row r="340" spans="2:4" x14ac:dyDescent="0.3">
      <c r="B340" s="10">
        <v>16</v>
      </c>
      <c r="C340" s="8">
        <v>228</v>
      </c>
      <c r="D340" s="8">
        <v>2</v>
      </c>
    </row>
    <row r="341" spans="2:4" x14ac:dyDescent="0.3">
      <c r="B341" s="10">
        <v>17</v>
      </c>
      <c r="C341" s="8">
        <v>498</v>
      </c>
      <c r="D341" s="8">
        <v>7</v>
      </c>
    </row>
    <row r="342" spans="2:4" x14ac:dyDescent="0.3">
      <c r="B342" s="7" t="s">
        <v>2087</v>
      </c>
      <c r="C342" s="8"/>
      <c r="D342" s="8"/>
    </row>
    <row r="343" spans="2:4" x14ac:dyDescent="0.3">
      <c r="B343" s="10">
        <v>9</v>
      </c>
      <c r="C343" s="8">
        <v>317</v>
      </c>
      <c r="D343" s="8">
        <v>7</v>
      </c>
    </row>
    <row r="344" spans="2:4" x14ac:dyDescent="0.3">
      <c r="B344" s="10">
        <v>10</v>
      </c>
      <c r="C344" s="8">
        <v>433</v>
      </c>
      <c r="D344" s="8">
        <v>5</v>
      </c>
    </row>
    <row r="345" spans="2:4" x14ac:dyDescent="0.3">
      <c r="B345" s="10">
        <v>11</v>
      </c>
      <c r="C345" s="8">
        <v>754</v>
      </c>
      <c r="D345" s="8">
        <v>7</v>
      </c>
    </row>
    <row r="346" spans="2:4" x14ac:dyDescent="0.3">
      <c r="B346" s="10">
        <v>12</v>
      </c>
      <c r="C346" s="8">
        <v>45</v>
      </c>
      <c r="D346" s="8">
        <v>2</v>
      </c>
    </row>
    <row r="347" spans="2:4" x14ac:dyDescent="0.3">
      <c r="B347" s="10">
        <v>13</v>
      </c>
      <c r="C347" s="8">
        <v>533</v>
      </c>
      <c r="D347" s="8">
        <v>5</v>
      </c>
    </row>
    <row r="348" spans="2:4" x14ac:dyDescent="0.3">
      <c r="B348" s="10">
        <v>14</v>
      </c>
      <c r="C348" s="8">
        <v>1139</v>
      </c>
      <c r="D348" s="8">
        <v>8</v>
      </c>
    </row>
    <row r="349" spans="2:4" x14ac:dyDescent="0.3">
      <c r="B349" s="10">
        <v>15</v>
      </c>
      <c r="C349" s="8">
        <v>213</v>
      </c>
      <c r="D349" s="8">
        <v>4</v>
      </c>
    </row>
    <row r="350" spans="2:4" x14ac:dyDescent="0.3">
      <c r="B350" s="10">
        <v>16</v>
      </c>
      <c r="C350" s="8">
        <v>339</v>
      </c>
      <c r="D350" s="8">
        <v>6</v>
      </c>
    </row>
    <row r="351" spans="2:4" x14ac:dyDescent="0.3">
      <c r="B351" s="10">
        <v>17</v>
      </c>
      <c r="C351" s="8">
        <v>187</v>
      </c>
      <c r="D351" s="8">
        <v>4</v>
      </c>
    </row>
    <row r="352" spans="2:4" x14ac:dyDescent="0.3">
      <c r="B352" s="7" t="s">
        <v>2160</v>
      </c>
      <c r="C352" s="8"/>
      <c r="D352" s="8"/>
    </row>
    <row r="353" spans="2:4" x14ac:dyDescent="0.3">
      <c r="B353" s="10">
        <v>9</v>
      </c>
      <c r="C353" s="8">
        <v>509</v>
      </c>
      <c r="D353" s="8">
        <v>4</v>
      </c>
    </row>
    <row r="354" spans="2:4" x14ac:dyDescent="0.3">
      <c r="B354" s="10">
        <v>10</v>
      </c>
      <c r="C354" s="8">
        <v>318</v>
      </c>
      <c r="D354" s="8">
        <v>3</v>
      </c>
    </row>
    <row r="355" spans="2:4" x14ac:dyDescent="0.3">
      <c r="B355" s="10">
        <v>11</v>
      </c>
      <c r="C355" s="8">
        <v>371</v>
      </c>
      <c r="D355" s="8">
        <v>6</v>
      </c>
    </row>
    <row r="356" spans="2:4" x14ac:dyDescent="0.3">
      <c r="B356" s="10">
        <v>12</v>
      </c>
      <c r="C356" s="8">
        <v>551</v>
      </c>
      <c r="D356" s="8">
        <v>6</v>
      </c>
    </row>
    <row r="357" spans="2:4" x14ac:dyDescent="0.3">
      <c r="B357" s="10">
        <v>13</v>
      </c>
      <c r="C357" s="8">
        <v>268</v>
      </c>
      <c r="D357" s="8">
        <v>5</v>
      </c>
    </row>
    <row r="358" spans="2:4" x14ac:dyDescent="0.3">
      <c r="B358" s="10">
        <v>14</v>
      </c>
      <c r="C358" s="8">
        <v>172</v>
      </c>
      <c r="D358" s="8">
        <v>3</v>
      </c>
    </row>
    <row r="359" spans="2:4" x14ac:dyDescent="0.3">
      <c r="B359" s="10">
        <v>15</v>
      </c>
      <c r="C359" s="8">
        <v>63</v>
      </c>
      <c r="D359" s="8">
        <v>2</v>
      </c>
    </row>
    <row r="360" spans="2:4" x14ac:dyDescent="0.3">
      <c r="B360" s="10">
        <v>16</v>
      </c>
      <c r="C360" s="8">
        <v>195</v>
      </c>
      <c r="D360" s="8">
        <v>2</v>
      </c>
    </row>
    <row r="361" spans="2:4" x14ac:dyDescent="0.3">
      <c r="B361" s="10">
        <v>17</v>
      </c>
      <c r="C361" s="8">
        <v>546</v>
      </c>
      <c r="D361" s="8">
        <v>6</v>
      </c>
    </row>
    <row r="362" spans="2:4" x14ac:dyDescent="0.3">
      <c r="B362" s="7" t="s">
        <v>2211</v>
      </c>
      <c r="C362" s="8"/>
      <c r="D362" s="8"/>
    </row>
    <row r="363" spans="2:4" x14ac:dyDescent="0.3">
      <c r="B363" s="10">
        <v>9</v>
      </c>
      <c r="C363" s="8">
        <v>239</v>
      </c>
      <c r="D363" s="8">
        <v>5</v>
      </c>
    </row>
    <row r="364" spans="2:4" x14ac:dyDescent="0.3">
      <c r="B364" s="10">
        <v>10</v>
      </c>
      <c r="C364" s="8">
        <v>509</v>
      </c>
      <c r="D364" s="8">
        <v>6</v>
      </c>
    </row>
    <row r="365" spans="2:4" x14ac:dyDescent="0.3">
      <c r="B365" s="10">
        <v>11</v>
      </c>
      <c r="C365" s="8">
        <v>271</v>
      </c>
      <c r="D365" s="8">
        <v>3</v>
      </c>
    </row>
    <row r="366" spans="2:4" x14ac:dyDescent="0.3">
      <c r="B366" s="10">
        <v>12</v>
      </c>
      <c r="C366" s="8">
        <v>150</v>
      </c>
      <c r="D366" s="8">
        <v>2</v>
      </c>
    </row>
    <row r="367" spans="2:4" x14ac:dyDescent="0.3">
      <c r="B367" s="10">
        <v>13</v>
      </c>
      <c r="C367" s="8">
        <v>549</v>
      </c>
      <c r="D367" s="8">
        <v>6</v>
      </c>
    </row>
    <row r="368" spans="2:4" x14ac:dyDescent="0.3">
      <c r="B368" s="10">
        <v>14</v>
      </c>
      <c r="C368" s="8">
        <v>162</v>
      </c>
      <c r="D368" s="8">
        <v>3</v>
      </c>
    </row>
    <row r="369" spans="2:4" x14ac:dyDescent="0.3">
      <c r="B369" s="10">
        <v>15</v>
      </c>
      <c r="C369" s="8">
        <v>182</v>
      </c>
      <c r="D369" s="8">
        <v>2</v>
      </c>
    </row>
    <row r="370" spans="2:4" x14ac:dyDescent="0.3">
      <c r="B370" s="10">
        <v>16</v>
      </c>
      <c r="C370" s="8">
        <v>791</v>
      </c>
      <c r="D370" s="8">
        <v>7</v>
      </c>
    </row>
    <row r="371" spans="2:4" x14ac:dyDescent="0.3">
      <c r="B371" s="10">
        <v>17</v>
      </c>
      <c r="C371" s="8">
        <v>97</v>
      </c>
      <c r="D371" s="8">
        <v>2</v>
      </c>
    </row>
    <row r="372" spans="2:4" x14ac:dyDescent="0.3">
      <c r="B372" s="7" t="s">
        <v>2268</v>
      </c>
      <c r="C372" s="8"/>
      <c r="D372" s="8"/>
    </row>
    <row r="373" spans="2:4" x14ac:dyDescent="0.3">
      <c r="B373" s="10">
        <v>9</v>
      </c>
      <c r="C373" s="8">
        <v>405</v>
      </c>
      <c r="D373" s="8">
        <v>4</v>
      </c>
    </row>
    <row r="374" spans="2:4" x14ac:dyDescent="0.3">
      <c r="B374" s="10">
        <v>10</v>
      </c>
      <c r="C374" s="8">
        <v>167</v>
      </c>
      <c r="D374" s="8">
        <v>3</v>
      </c>
    </row>
    <row r="375" spans="2:4" x14ac:dyDescent="0.3">
      <c r="B375" s="10">
        <v>12</v>
      </c>
      <c r="C375" s="8">
        <v>16</v>
      </c>
      <c r="D375" s="8">
        <v>2</v>
      </c>
    </row>
    <row r="376" spans="2:4" x14ac:dyDescent="0.3">
      <c r="B376" s="10">
        <v>13</v>
      </c>
      <c r="C376" s="8">
        <v>257</v>
      </c>
      <c r="D376" s="8">
        <v>3</v>
      </c>
    </row>
    <row r="377" spans="2:4" x14ac:dyDescent="0.3">
      <c r="B377" s="10">
        <v>14</v>
      </c>
      <c r="C377" s="8">
        <v>706</v>
      </c>
      <c r="D377" s="8">
        <v>6</v>
      </c>
    </row>
    <row r="378" spans="2:4" x14ac:dyDescent="0.3">
      <c r="B378" s="10">
        <v>16</v>
      </c>
      <c r="C378" s="8">
        <v>539</v>
      </c>
      <c r="D378" s="8">
        <v>5</v>
      </c>
    </row>
    <row r="379" spans="2:4" x14ac:dyDescent="0.3">
      <c r="B379" s="10">
        <v>17</v>
      </c>
      <c r="C379" s="8">
        <v>251</v>
      </c>
      <c r="D379" s="8">
        <v>4</v>
      </c>
    </row>
    <row r="380" spans="2:4" x14ac:dyDescent="0.3">
      <c r="B380" s="7" t="s">
        <v>2311</v>
      </c>
      <c r="C380" s="8"/>
      <c r="D380" s="8"/>
    </row>
    <row r="381" spans="2:4" x14ac:dyDescent="0.3">
      <c r="B381" s="10">
        <v>9</v>
      </c>
      <c r="C381" s="8">
        <v>317</v>
      </c>
      <c r="D381" s="8">
        <v>4</v>
      </c>
    </row>
    <row r="382" spans="2:4" x14ac:dyDescent="0.3">
      <c r="B382" s="10">
        <v>10</v>
      </c>
      <c r="C382" s="8">
        <v>365</v>
      </c>
      <c r="D382" s="8">
        <v>5</v>
      </c>
    </row>
    <row r="383" spans="2:4" x14ac:dyDescent="0.3">
      <c r="B383" s="10">
        <v>11</v>
      </c>
      <c r="C383" s="8">
        <v>208</v>
      </c>
      <c r="D383" s="8">
        <v>2</v>
      </c>
    </row>
    <row r="384" spans="2:4" x14ac:dyDescent="0.3">
      <c r="B384" s="10">
        <v>12</v>
      </c>
      <c r="C384" s="8">
        <v>500</v>
      </c>
      <c r="D384" s="8">
        <v>6</v>
      </c>
    </row>
    <row r="385" spans="2:4" x14ac:dyDescent="0.3">
      <c r="B385" s="10">
        <v>13</v>
      </c>
      <c r="C385" s="8">
        <v>442</v>
      </c>
      <c r="D385" s="8">
        <v>5</v>
      </c>
    </row>
    <row r="386" spans="2:4" x14ac:dyDescent="0.3">
      <c r="B386" s="10">
        <v>14</v>
      </c>
      <c r="C386" s="8">
        <v>158</v>
      </c>
      <c r="D386" s="8">
        <v>4</v>
      </c>
    </row>
    <row r="387" spans="2:4" x14ac:dyDescent="0.3">
      <c r="B387" s="10">
        <v>15</v>
      </c>
      <c r="C387" s="8">
        <v>158</v>
      </c>
      <c r="D387" s="8">
        <v>4</v>
      </c>
    </row>
    <row r="388" spans="2:4" x14ac:dyDescent="0.3">
      <c r="B388" s="10">
        <v>16</v>
      </c>
      <c r="C388" s="8">
        <v>668</v>
      </c>
      <c r="D388" s="8">
        <v>8</v>
      </c>
    </row>
    <row r="389" spans="2:4" x14ac:dyDescent="0.3">
      <c r="B389" s="10">
        <v>17</v>
      </c>
      <c r="C389" s="8">
        <v>386</v>
      </c>
      <c r="D389" s="8">
        <v>6</v>
      </c>
    </row>
    <row r="390" spans="2:4" x14ac:dyDescent="0.3">
      <c r="B390" s="7" t="s">
        <v>2368</v>
      </c>
      <c r="C390" s="8"/>
      <c r="D390" s="8"/>
    </row>
    <row r="391" spans="2:4" x14ac:dyDescent="0.3">
      <c r="B391" s="10">
        <v>9</v>
      </c>
      <c r="C391" s="8">
        <v>349</v>
      </c>
      <c r="D391" s="8">
        <v>5</v>
      </c>
    </row>
    <row r="392" spans="2:4" x14ac:dyDescent="0.3">
      <c r="B392" s="10">
        <v>10</v>
      </c>
      <c r="C392" s="8">
        <v>87</v>
      </c>
      <c r="D392" s="8">
        <v>2</v>
      </c>
    </row>
    <row r="393" spans="2:4" x14ac:dyDescent="0.3">
      <c r="B393" s="10">
        <v>11</v>
      </c>
      <c r="C393" s="8">
        <v>678</v>
      </c>
      <c r="D393" s="8">
        <v>6</v>
      </c>
    </row>
    <row r="394" spans="2:4" x14ac:dyDescent="0.3">
      <c r="B394" s="10">
        <v>12</v>
      </c>
      <c r="C394" s="8">
        <v>375</v>
      </c>
      <c r="D394" s="8">
        <v>5</v>
      </c>
    </row>
    <row r="395" spans="2:4" x14ac:dyDescent="0.3">
      <c r="B395" s="10">
        <v>13</v>
      </c>
      <c r="C395" s="8">
        <v>324</v>
      </c>
      <c r="D395" s="8">
        <v>5</v>
      </c>
    </row>
    <row r="396" spans="2:4" x14ac:dyDescent="0.3">
      <c r="B396" s="10">
        <v>14</v>
      </c>
      <c r="C396" s="8">
        <v>19</v>
      </c>
      <c r="D396" s="8">
        <v>2</v>
      </c>
    </row>
    <row r="397" spans="2:4" x14ac:dyDescent="0.3">
      <c r="B397" s="10">
        <v>15</v>
      </c>
      <c r="C397" s="8">
        <v>316</v>
      </c>
      <c r="D397" s="8">
        <v>4</v>
      </c>
    </row>
    <row r="398" spans="2:4" x14ac:dyDescent="0.3">
      <c r="B398" s="10">
        <v>16</v>
      </c>
      <c r="C398" s="8">
        <v>259</v>
      </c>
      <c r="D398" s="8">
        <v>5</v>
      </c>
    </row>
    <row r="399" spans="2:4" x14ac:dyDescent="0.3">
      <c r="B399" s="10">
        <v>17</v>
      </c>
      <c r="C399" s="8">
        <v>704</v>
      </c>
      <c r="D399" s="8">
        <v>7</v>
      </c>
    </row>
    <row r="400" spans="2:4" x14ac:dyDescent="0.3">
      <c r="B400" s="7" t="s">
        <v>2431</v>
      </c>
      <c r="C400" s="8"/>
      <c r="D400" s="8"/>
    </row>
    <row r="401" spans="2:4" x14ac:dyDescent="0.3">
      <c r="B401" s="10">
        <v>9</v>
      </c>
      <c r="C401" s="8">
        <v>508</v>
      </c>
      <c r="D401" s="8">
        <v>5</v>
      </c>
    </row>
    <row r="402" spans="2:4" x14ac:dyDescent="0.3">
      <c r="B402" s="10">
        <v>10</v>
      </c>
      <c r="C402" s="8">
        <v>373</v>
      </c>
      <c r="D402" s="8">
        <v>6</v>
      </c>
    </row>
    <row r="403" spans="2:4" x14ac:dyDescent="0.3">
      <c r="B403" s="10">
        <v>11</v>
      </c>
      <c r="C403" s="8">
        <v>453</v>
      </c>
      <c r="D403" s="8">
        <v>5</v>
      </c>
    </row>
    <row r="404" spans="2:4" x14ac:dyDescent="0.3">
      <c r="B404" s="10">
        <v>12</v>
      </c>
      <c r="C404" s="8">
        <v>692</v>
      </c>
      <c r="D404" s="8">
        <v>7</v>
      </c>
    </row>
    <row r="405" spans="2:4" x14ac:dyDescent="0.3">
      <c r="B405" s="10">
        <v>13</v>
      </c>
      <c r="C405" s="8">
        <v>637</v>
      </c>
      <c r="D405" s="8">
        <v>7</v>
      </c>
    </row>
    <row r="406" spans="2:4" x14ac:dyDescent="0.3">
      <c r="B406" s="10">
        <v>14</v>
      </c>
      <c r="C406" s="8">
        <v>563</v>
      </c>
      <c r="D406" s="8">
        <v>4</v>
      </c>
    </row>
    <row r="407" spans="2:4" x14ac:dyDescent="0.3">
      <c r="B407" s="10">
        <v>15</v>
      </c>
      <c r="C407" s="8">
        <v>365</v>
      </c>
      <c r="D407" s="8">
        <v>5</v>
      </c>
    </row>
    <row r="408" spans="2:4" x14ac:dyDescent="0.3">
      <c r="B408" s="10">
        <v>16</v>
      </c>
      <c r="C408" s="8">
        <v>360</v>
      </c>
      <c r="D408" s="8">
        <v>4</v>
      </c>
    </row>
    <row r="409" spans="2:4" x14ac:dyDescent="0.3">
      <c r="B409" s="10">
        <v>17</v>
      </c>
      <c r="C409" s="8">
        <v>281</v>
      </c>
      <c r="D409" s="8">
        <v>3</v>
      </c>
    </row>
    <row r="410" spans="2:4" x14ac:dyDescent="0.3">
      <c r="B410" s="7" t="s">
        <v>2504</v>
      </c>
      <c r="C410" s="8"/>
      <c r="D410" s="8"/>
    </row>
    <row r="411" spans="2:4" x14ac:dyDescent="0.3">
      <c r="B411" s="10">
        <v>9</v>
      </c>
      <c r="C411" s="8"/>
      <c r="D411" s="8">
        <v>2</v>
      </c>
    </row>
    <row r="412" spans="2:4" x14ac:dyDescent="0.3">
      <c r="B412" s="10">
        <v>10</v>
      </c>
      <c r="C412" s="8">
        <v>895</v>
      </c>
      <c r="D412" s="8">
        <v>6</v>
      </c>
    </row>
    <row r="413" spans="2:4" x14ac:dyDescent="0.3">
      <c r="B413" s="10">
        <v>11</v>
      </c>
      <c r="C413" s="8">
        <v>372</v>
      </c>
      <c r="D413" s="8">
        <v>5</v>
      </c>
    </row>
    <row r="414" spans="2:4" x14ac:dyDescent="0.3">
      <c r="B414" s="10">
        <v>12</v>
      </c>
      <c r="C414" s="8">
        <v>321</v>
      </c>
      <c r="D414" s="8">
        <v>5</v>
      </c>
    </row>
    <row r="415" spans="2:4" x14ac:dyDescent="0.3">
      <c r="B415" s="10">
        <v>13</v>
      </c>
      <c r="C415" s="8">
        <v>259</v>
      </c>
      <c r="D415" s="8">
        <v>4</v>
      </c>
    </row>
    <row r="416" spans="2:4" x14ac:dyDescent="0.3">
      <c r="B416" s="10">
        <v>15</v>
      </c>
      <c r="C416" s="8">
        <v>83</v>
      </c>
      <c r="D416" s="8">
        <v>1</v>
      </c>
    </row>
    <row r="417" spans="2:4" x14ac:dyDescent="0.3">
      <c r="B417" s="10">
        <v>17</v>
      </c>
      <c r="C417" s="8">
        <v>438</v>
      </c>
      <c r="D417" s="8">
        <v>4</v>
      </c>
    </row>
    <row r="418" spans="2:4" x14ac:dyDescent="0.3">
      <c r="B418" s="7" t="s">
        <v>2549</v>
      </c>
      <c r="C418" s="8"/>
      <c r="D418" s="8"/>
    </row>
    <row r="419" spans="2:4" x14ac:dyDescent="0.3">
      <c r="B419" s="10">
        <v>9</v>
      </c>
      <c r="C419" s="8">
        <v>292</v>
      </c>
      <c r="D419" s="8">
        <v>6</v>
      </c>
    </row>
    <row r="420" spans="2:4" x14ac:dyDescent="0.3">
      <c r="B420" s="10">
        <v>10</v>
      </c>
      <c r="C420" s="8">
        <v>334</v>
      </c>
      <c r="D420" s="8">
        <v>3</v>
      </c>
    </row>
    <row r="421" spans="2:4" x14ac:dyDescent="0.3">
      <c r="B421" s="10">
        <v>11</v>
      </c>
      <c r="C421" s="8">
        <v>311</v>
      </c>
      <c r="D421" s="8">
        <v>4</v>
      </c>
    </row>
    <row r="422" spans="2:4" x14ac:dyDescent="0.3">
      <c r="B422" s="10">
        <v>12</v>
      </c>
      <c r="C422" s="8">
        <v>725</v>
      </c>
      <c r="D422" s="8">
        <v>5</v>
      </c>
    </row>
    <row r="423" spans="2:4" x14ac:dyDescent="0.3">
      <c r="B423" s="10">
        <v>13</v>
      </c>
      <c r="C423" s="8">
        <v>352</v>
      </c>
      <c r="D423" s="8">
        <v>4</v>
      </c>
    </row>
    <row r="424" spans="2:4" x14ac:dyDescent="0.3">
      <c r="B424" s="10">
        <v>14</v>
      </c>
      <c r="C424" s="8">
        <v>210</v>
      </c>
      <c r="D424" s="8">
        <v>4</v>
      </c>
    </row>
    <row r="425" spans="2:4" x14ac:dyDescent="0.3">
      <c r="B425" s="10">
        <v>15</v>
      </c>
      <c r="C425" s="8">
        <v>523</v>
      </c>
      <c r="D425" s="8">
        <v>5</v>
      </c>
    </row>
    <row r="426" spans="2:4" x14ac:dyDescent="0.3">
      <c r="B426" s="10">
        <v>16</v>
      </c>
      <c r="C426" s="8">
        <v>159</v>
      </c>
      <c r="D426" s="8">
        <v>4</v>
      </c>
    </row>
    <row r="427" spans="2:4" x14ac:dyDescent="0.3">
      <c r="B427" s="10">
        <v>17</v>
      </c>
      <c r="C427" s="8">
        <v>138</v>
      </c>
      <c r="D427" s="8">
        <v>1</v>
      </c>
    </row>
    <row r="428" spans="2:4" x14ac:dyDescent="0.3">
      <c r="B428" s="7" t="s">
        <v>2604</v>
      </c>
      <c r="C428" s="8"/>
      <c r="D428" s="8"/>
    </row>
    <row r="429" spans="2:4" x14ac:dyDescent="0.3">
      <c r="B429" s="10">
        <v>9</v>
      </c>
      <c r="C429" s="8">
        <v>511</v>
      </c>
      <c r="D429" s="8">
        <v>5</v>
      </c>
    </row>
    <row r="430" spans="2:4" x14ac:dyDescent="0.3">
      <c r="B430" s="10">
        <v>10</v>
      </c>
      <c r="C430" s="8">
        <v>296</v>
      </c>
      <c r="D430" s="8">
        <v>5</v>
      </c>
    </row>
    <row r="431" spans="2:4" x14ac:dyDescent="0.3">
      <c r="B431" s="10">
        <v>11</v>
      </c>
      <c r="C431" s="8">
        <v>54</v>
      </c>
      <c r="D431" s="8">
        <v>2</v>
      </c>
    </row>
    <row r="432" spans="2:4" x14ac:dyDescent="0.3">
      <c r="B432" s="10">
        <v>12</v>
      </c>
      <c r="C432" s="8">
        <v>183</v>
      </c>
      <c r="D432" s="8">
        <v>5</v>
      </c>
    </row>
    <row r="433" spans="2:4" x14ac:dyDescent="0.3">
      <c r="B433" s="10">
        <v>13</v>
      </c>
      <c r="C433" s="8">
        <v>404</v>
      </c>
      <c r="D433" s="8">
        <v>5</v>
      </c>
    </row>
    <row r="434" spans="2:4" x14ac:dyDescent="0.3">
      <c r="B434" s="10">
        <v>14</v>
      </c>
      <c r="C434" s="8">
        <v>448</v>
      </c>
      <c r="D434" s="8">
        <v>6</v>
      </c>
    </row>
    <row r="435" spans="2:4" x14ac:dyDescent="0.3">
      <c r="B435" s="10">
        <v>15</v>
      </c>
      <c r="C435" s="8">
        <v>66</v>
      </c>
      <c r="D435" s="8">
        <v>2</v>
      </c>
    </row>
    <row r="436" spans="2:4" x14ac:dyDescent="0.3">
      <c r="B436" s="10">
        <v>16</v>
      </c>
      <c r="C436" s="8">
        <v>556</v>
      </c>
      <c r="D436" s="8">
        <v>6</v>
      </c>
    </row>
    <row r="437" spans="2:4" x14ac:dyDescent="0.3">
      <c r="B437" s="10">
        <v>17</v>
      </c>
      <c r="C437" s="8">
        <v>677</v>
      </c>
      <c r="D437" s="8">
        <v>6</v>
      </c>
    </row>
    <row r="438" spans="2:4" x14ac:dyDescent="0.3">
      <c r="B438" s="7" t="s">
        <v>2665</v>
      </c>
      <c r="C438" s="8"/>
      <c r="D438" s="8"/>
    </row>
    <row r="439" spans="2:4" x14ac:dyDescent="0.3">
      <c r="B439" s="10">
        <v>9</v>
      </c>
      <c r="C439" s="8">
        <v>132</v>
      </c>
      <c r="D439" s="8">
        <v>2</v>
      </c>
    </row>
    <row r="440" spans="2:4" x14ac:dyDescent="0.3">
      <c r="B440" s="10">
        <v>10</v>
      </c>
      <c r="C440" s="8">
        <v>467</v>
      </c>
      <c r="D440" s="8">
        <v>5</v>
      </c>
    </row>
    <row r="441" spans="2:4" x14ac:dyDescent="0.3">
      <c r="B441" s="10">
        <v>11</v>
      </c>
      <c r="C441" s="8">
        <v>603</v>
      </c>
      <c r="D441" s="8">
        <v>6</v>
      </c>
    </row>
    <row r="442" spans="2:4" x14ac:dyDescent="0.3">
      <c r="B442" s="10">
        <v>12</v>
      </c>
      <c r="C442" s="8">
        <v>399</v>
      </c>
      <c r="D442" s="8">
        <v>5</v>
      </c>
    </row>
    <row r="443" spans="2:4" x14ac:dyDescent="0.3">
      <c r="B443" s="10">
        <v>13</v>
      </c>
      <c r="C443" s="8">
        <v>429</v>
      </c>
      <c r="D443" s="8">
        <v>5</v>
      </c>
    </row>
    <row r="444" spans="2:4" x14ac:dyDescent="0.3">
      <c r="B444" s="10">
        <v>14</v>
      </c>
      <c r="C444" s="8">
        <v>458</v>
      </c>
      <c r="D444" s="8">
        <v>6</v>
      </c>
    </row>
    <row r="445" spans="2:4" x14ac:dyDescent="0.3">
      <c r="B445" s="10">
        <v>15</v>
      </c>
      <c r="C445" s="8">
        <v>156</v>
      </c>
      <c r="D445" s="8">
        <v>4</v>
      </c>
    </row>
    <row r="446" spans="2:4" x14ac:dyDescent="0.3">
      <c r="B446" s="10">
        <v>16</v>
      </c>
      <c r="C446" s="8">
        <v>120</v>
      </c>
      <c r="D446" s="8">
        <v>2</v>
      </c>
    </row>
    <row r="447" spans="2:4" x14ac:dyDescent="0.3">
      <c r="B447" s="10">
        <v>17</v>
      </c>
      <c r="C447" s="8">
        <v>444</v>
      </c>
      <c r="D447" s="8">
        <v>6</v>
      </c>
    </row>
    <row r="448" spans="2:4" x14ac:dyDescent="0.3">
      <c r="B448" s="7" t="s">
        <v>2724</v>
      </c>
      <c r="C448" s="8"/>
      <c r="D448" s="8"/>
    </row>
    <row r="449" spans="2:4" x14ac:dyDescent="0.3">
      <c r="B449" s="10">
        <v>9</v>
      </c>
      <c r="C449" s="8">
        <v>146</v>
      </c>
      <c r="D449" s="8">
        <v>2</v>
      </c>
    </row>
    <row r="450" spans="2:4" x14ac:dyDescent="0.3">
      <c r="B450" s="10">
        <v>10</v>
      </c>
      <c r="C450" s="8">
        <v>460</v>
      </c>
      <c r="D450" s="8">
        <v>5</v>
      </c>
    </row>
    <row r="451" spans="2:4" x14ac:dyDescent="0.3">
      <c r="B451" s="10">
        <v>11</v>
      </c>
      <c r="C451" s="8">
        <v>365</v>
      </c>
      <c r="D451" s="8">
        <v>6</v>
      </c>
    </row>
    <row r="452" spans="2:4" x14ac:dyDescent="0.3">
      <c r="B452" s="10">
        <v>12</v>
      </c>
      <c r="C452" s="8">
        <v>267</v>
      </c>
      <c r="D452" s="8">
        <v>3</v>
      </c>
    </row>
    <row r="453" spans="2:4" x14ac:dyDescent="0.3">
      <c r="B453" s="10">
        <v>13</v>
      </c>
      <c r="C453" s="8">
        <v>194</v>
      </c>
      <c r="D453" s="8">
        <v>2</v>
      </c>
    </row>
    <row r="454" spans="2:4" x14ac:dyDescent="0.3">
      <c r="B454" s="10">
        <v>14</v>
      </c>
      <c r="C454" s="8">
        <v>401</v>
      </c>
      <c r="D454" s="8">
        <v>5</v>
      </c>
    </row>
    <row r="455" spans="2:4" x14ac:dyDescent="0.3">
      <c r="B455" s="10">
        <v>15</v>
      </c>
      <c r="C455" s="8">
        <v>389</v>
      </c>
      <c r="D455" s="8">
        <v>5</v>
      </c>
    </row>
    <row r="456" spans="2:4" x14ac:dyDescent="0.3">
      <c r="B456" s="10">
        <v>16</v>
      </c>
      <c r="C456" s="8">
        <v>470</v>
      </c>
      <c r="D456" s="8">
        <v>6</v>
      </c>
    </row>
    <row r="457" spans="2:4" x14ac:dyDescent="0.3">
      <c r="B457" s="10">
        <v>17</v>
      </c>
      <c r="C457" s="8">
        <v>651</v>
      </c>
      <c r="D457" s="8">
        <v>6</v>
      </c>
    </row>
    <row r="458" spans="2:4" x14ac:dyDescent="0.3">
      <c r="B458" s="7" t="s">
        <v>2781</v>
      </c>
      <c r="C458" s="8"/>
      <c r="D458" s="8"/>
    </row>
    <row r="459" spans="2:4" x14ac:dyDescent="0.3">
      <c r="B459" s="10">
        <v>9</v>
      </c>
      <c r="C459" s="8">
        <v>591</v>
      </c>
      <c r="D459" s="8">
        <v>7</v>
      </c>
    </row>
    <row r="460" spans="2:4" x14ac:dyDescent="0.3">
      <c r="B460" s="10">
        <v>10</v>
      </c>
      <c r="C460" s="8">
        <v>347</v>
      </c>
      <c r="D460" s="8">
        <v>4</v>
      </c>
    </row>
    <row r="461" spans="2:4" x14ac:dyDescent="0.3">
      <c r="B461" s="10">
        <v>11</v>
      </c>
      <c r="C461" s="8">
        <v>448</v>
      </c>
      <c r="D461" s="8">
        <v>5</v>
      </c>
    </row>
    <row r="462" spans="2:4" x14ac:dyDescent="0.3">
      <c r="B462" s="10">
        <v>12</v>
      </c>
      <c r="C462" s="8">
        <v>455</v>
      </c>
      <c r="D462" s="8">
        <v>6</v>
      </c>
    </row>
    <row r="463" spans="2:4" x14ac:dyDescent="0.3">
      <c r="B463" s="10">
        <v>13</v>
      </c>
      <c r="C463" s="8">
        <v>349</v>
      </c>
      <c r="D463" s="8">
        <v>4</v>
      </c>
    </row>
    <row r="464" spans="2:4" x14ac:dyDescent="0.3">
      <c r="B464" s="10">
        <v>14</v>
      </c>
      <c r="C464" s="8">
        <v>297</v>
      </c>
      <c r="D464" s="8">
        <v>6</v>
      </c>
    </row>
    <row r="465" spans="2:4" x14ac:dyDescent="0.3">
      <c r="B465" s="10">
        <v>15</v>
      </c>
      <c r="C465" s="8">
        <v>421</v>
      </c>
      <c r="D465" s="8">
        <v>6</v>
      </c>
    </row>
    <row r="466" spans="2:4" x14ac:dyDescent="0.3">
      <c r="B466" s="10">
        <v>16</v>
      </c>
      <c r="C466" s="8">
        <v>341</v>
      </c>
      <c r="D466" s="8">
        <v>6</v>
      </c>
    </row>
    <row r="467" spans="2:4" x14ac:dyDescent="0.3">
      <c r="B467" s="10">
        <v>17</v>
      </c>
      <c r="C467" s="8">
        <v>427</v>
      </c>
      <c r="D467" s="8">
        <v>4</v>
      </c>
    </row>
    <row r="468" spans="2:4" x14ac:dyDescent="0.3">
      <c r="B468" s="7" t="s">
        <v>2850</v>
      </c>
      <c r="C468" s="8"/>
      <c r="D468" s="8"/>
    </row>
    <row r="469" spans="2:4" x14ac:dyDescent="0.3">
      <c r="B469" s="10">
        <v>9</v>
      </c>
      <c r="C469" s="8">
        <v>346</v>
      </c>
      <c r="D469" s="8">
        <v>3</v>
      </c>
    </row>
    <row r="470" spans="2:4" x14ac:dyDescent="0.3">
      <c r="B470" s="10">
        <v>10</v>
      </c>
      <c r="C470" s="8">
        <v>664</v>
      </c>
      <c r="D470" s="8">
        <v>5</v>
      </c>
    </row>
    <row r="471" spans="2:4" x14ac:dyDescent="0.3">
      <c r="B471" s="10">
        <v>11</v>
      </c>
      <c r="C471" s="8">
        <v>445</v>
      </c>
      <c r="D471" s="8">
        <v>5</v>
      </c>
    </row>
    <row r="472" spans="2:4" x14ac:dyDescent="0.3">
      <c r="B472" s="10">
        <v>13</v>
      </c>
      <c r="C472" s="8">
        <v>639</v>
      </c>
      <c r="D472" s="8">
        <v>6</v>
      </c>
    </row>
    <row r="473" spans="2:4" x14ac:dyDescent="0.3">
      <c r="B473" s="10">
        <v>14</v>
      </c>
      <c r="C473" s="8">
        <v>121</v>
      </c>
      <c r="D473" s="8">
        <v>4</v>
      </c>
    </row>
    <row r="474" spans="2:4" x14ac:dyDescent="0.3">
      <c r="B474" s="10">
        <v>15</v>
      </c>
      <c r="C474" s="8">
        <v>114</v>
      </c>
      <c r="D474" s="8">
        <v>2</v>
      </c>
    </row>
    <row r="475" spans="2:4" x14ac:dyDescent="0.3">
      <c r="B475" s="10">
        <v>16</v>
      </c>
      <c r="C475" s="8">
        <v>382</v>
      </c>
      <c r="D475" s="8">
        <v>5</v>
      </c>
    </row>
    <row r="476" spans="2:4" x14ac:dyDescent="0.3">
      <c r="B476" s="7" t="s">
        <v>2901</v>
      </c>
      <c r="C476" s="8"/>
      <c r="D476" s="8"/>
    </row>
    <row r="477" spans="2:4" x14ac:dyDescent="0.3">
      <c r="B477" s="10">
        <v>9</v>
      </c>
      <c r="C477" s="8">
        <v>375</v>
      </c>
      <c r="D477" s="8">
        <v>5</v>
      </c>
    </row>
    <row r="478" spans="2:4" x14ac:dyDescent="0.3">
      <c r="B478" s="10">
        <v>10</v>
      </c>
      <c r="C478" s="8"/>
      <c r="D478" s="8">
        <v>2</v>
      </c>
    </row>
    <row r="479" spans="2:4" x14ac:dyDescent="0.3">
      <c r="B479" s="10">
        <v>11</v>
      </c>
      <c r="C479" s="8">
        <v>339</v>
      </c>
      <c r="D479" s="8">
        <v>5</v>
      </c>
    </row>
    <row r="480" spans="2:4" x14ac:dyDescent="0.3">
      <c r="B480" s="10">
        <v>12</v>
      </c>
      <c r="C480" s="8"/>
      <c r="D480" s="8">
        <v>2</v>
      </c>
    </row>
    <row r="481" spans="2:4" x14ac:dyDescent="0.3">
      <c r="B481" s="10">
        <v>13</v>
      </c>
      <c r="C481" s="8">
        <v>390</v>
      </c>
      <c r="D481" s="8">
        <v>3</v>
      </c>
    </row>
    <row r="482" spans="2:4" x14ac:dyDescent="0.3">
      <c r="B482" s="10">
        <v>14</v>
      </c>
      <c r="C482" s="8">
        <v>513</v>
      </c>
      <c r="D482" s="8">
        <v>6</v>
      </c>
    </row>
    <row r="483" spans="2:4" x14ac:dyDescent="0.3">
      <c r="B483" s="10">
        <v>15</v>
      </c>
      <c r="C483" s="8">
        <v>263</v>
      </c>
      <c r="D483" s="8">
        <v>4</v>
      </c>
    </row>
    <row r="484" spans="2:4" x14ac:dyDescent="0.3">
      <c r="B484" s="10">
        <v>16</v>
      </c>
      <c r="C484" s="8">
        <v>285</v>
      </c>
      <c r="D484" s="8">
        <v>3</v>
      </c>
    </row>
    <row r="485" spans="2:4" x14ac:dyDescent="0.3">
      <c r="B485" s="10">
        <v>17</v>
      </c>
      <c r="C485" s="8">
        <v>323</v>
      </c>
      <c r="D485" s="8">
        <v>6</v>
      </c>
    </row>
    <row r="486" spans="2:4" x14ac:dyDescent="0.3">
      <c r="B486" s="7" t="s">
        <v>2950</v>
      </c>
      <c r="C486" s="8"/>
      <c r="D486" s="8"/>
    </row>
    <row r="487" spans="2:4" x14ac:dyDescent="0.3">
      <c r="B487" s="10">
        <v>9</v>
      </c>
      <c r="C487" s="8">
        <v>192</v>
      </c>
      <c r="D487" s="8">
        <v>4</v>
      </c>
    </row>
    <row r="488" spans="2:4" x14ac:dyDescent="0.3">
      <c r="B488" s="10">
        <v>10</v>
      </c>
      <c r="C488" s="8">
        <v>220</v>
      </c>
      <c r="D488" s="8">
        <v>5</v>
      </c>
    </row>
    <row r="489" spans="2:4" x14ac:dyDescent="0.3">
      <c r="B489" s="10">
        <v>11</v>
      </c>
      <c r="C489" s="8">
        <v>543</v>
      </c>
      <c r="D489" s="8">
        <v>6</v>
      </c>
    </row>
    <row r="490" spans="2:4" x14ac:dyDescent="0.3">
      <c r="B490" s="10">
        <v>12</v>
      </c>
      <c r="C490" s="8">
        <v>522</v>
      </c>
      <c r="D490" s="8">
        <v>7</v>
      </c>
    </row>
    <row r="491" spans="2:4" x14ac:dyDescent="0.3">
      <c r="B491" s="10">
        <v>13</v>
      </c>
      <c r="C491" s="8">
        <v>94</v>
      </c>
      <c r="D491" s="8">
        <v>4</v>
      </c>
    </row>
    <row r="492" spans="2:4" x14ac:dyDescent="0.3">
      <c r="B492" s="10">
        <v>14</v>
      </c>
      <c r="C492" s="8">
        <v>151</v>
      </c>
      <c r="D492" s="8">
        <v>4</v>
      </c>
    </row>
    <row r="493" spans="2:4" x14ac:dyDescent="0.3">
      <c r="B493" s="10">
        <v>15</v>
      </c>
      <c r="C493" s="8">
        <v>310</v>
      </c>
      <c r="D493" s="8">
        <v>5</v>
      </c>
    </row>
    <row r="494" spans="2:4" x14ac:dyDescent="0.3">
      <c r="B494" s="10">
        <v>16</v>
      </c>
      <c r="C494" s="8">
        <v>601</v>
      </c>
      <c r="D494" s="8">
        <v>6</v>
      </c>
    </row>
    <row r="495" spans="2:4" x14ac:dyDescent="0.3">
      <c r="B495" s="10">
        <v>17</v>
      </c>
      <c r="C495" s="8">
        <v>214</v>
      </c>
      <c r="D495" s="8">
        <v>4</v>
      </c>
    </row>
    <row r="496" spans="2:4" x14ac:dyDescent="0.3">
      <c r="B496" s="7" t="s">
        <v>3019</v>
      </c>
      <c r="C496" s="8"/>
      <c r="D496" s="8"/>
    </row>
    <row r="497" spans="2:4" x14ac:dyDescent="0.3">
      <c r="B497" s="10">
        <v>9</v>
      </c>
      <c r="C497" s="8">
        <v>129</v>
      </c>
      <c r="D497" s="8">
        <v>2</v>
      </c>
    </row>
    <row r="498" spans="2:4" x14ac:dyDescent="0.3">
      <c r="B498" s="10">
        <v>10</v>
      </c>
      <c r="C498" s="8">
        <v>213</v>
      </c>
      <c r="D498" s="8">
        <v>3</v>
      </c>
    </row>
    <row r="499" spans="2:4" x14ac:dyDescent="0.3">
      <c r="B499" s="10">
        <v>11</v>
      </c>
      <c r="C499" s="8">
        <v>746</v>
      </c>
      <c r="D499" s="8">
        <v>7</v>
      </c>
    </row>
    <row r="500" spans="2:4" x14ac:dyDescent="0.3">
      <c r="B500" s="10">
        <v>12</v>
      </c>
      <c r="C500" s="8">
        <v>462</v>
      </c>
      <c r="D500" s="8">
        <v>4</v>
      </c>
    </row>
    <row r="501" spans="2:4" x14ac:dyDescent="0.3">
      <c r="B501" s="10">
        <v>13</v>
      </c>
      <c r="C501" s="8">
        <v>508</v>
      </c>
      <c r="D501" s="8">
        <v>5</v>
      </c>
    </row>
    <row r="502" spans="2:4" x14ac:dyDescent="0.3">
      <c r="B502" s="10">
        <v>14</v>
      </c>
      <c r="C502" s="8">
        <v>266</v>
      </c>
      <c r="D502" s="8">
        <v>4</v>
      </c>
    </row>
    <row r="503" spans="2:4" x14ac:dyDescent="0.3">
      <c r="B503" s="10">
        <v>15</v>
      </c>
      <c r="C503" s="8">
        <v>255</v>
      </c>
      <c r="D503" s="8">
        <v>5</v>
      </c>
    </row>
    <row r="504" spans="2:4" x14ac:dyDescent="0.3">
      <c r="B504" s="10">
        <v>16</v>
      </c>
      <c r="C504" s="8">
        <v>322</v>
      </c>
      <c r="D504" s="8">
        <v>4</v>
      </c>
    </row>
    <row r="505" spans="2:4" x14ac:dyDescent="0.3">
      <c r="B505" s="10">
        <v>17</v>
      </c>
      <c r="C505" s="8">
        <v>266</v>
      </c>
      <c r="D505" s="8">
        <v>5</v>
      </c>
    </row>
    <row r="506" spans="2:4" x14ac:dyDescent="0.3">
      <c r="B506" s="7" t="s">
        <v>3074</v>
      </c>
      <c r="C506" s="8"/>
      <c r="D506" s="8"/>
    </row>
    <row r="507" spans="2:4" x14ac:dyDescent="0.3">
      <c r="B507" s="10">
        <v>9</v>
      </c>
      <c r="C507" s="8">
        <v>211</v>
      </c>
      <c r="D507" s="8">
        <v>4</v>
      </c>
    </row>
    <row r="508" spans="2:4" x14ac:dyDescent="0.3">
      <c r="B508" s="10">
        <v>11</v>
      </c>
      <c r="C508" s="8">
        <v>384</v>
      </c>
      <c r="D508" s="8">
        <v>5</v>
      </c>
    </row>
    <row r="509" spans="2:4" x14ac:dyDescent="0.3">
      <c r="B509" s="10">
        <v>12</v>
      </c>
      <c r="C509" s="8">
        <v>31</v>
      </c>
      <c r="D509" s="8">
        <v>2</v>
      </c>
    </row>
    <row r="510" spans="2:4" x14ac:dyDescent="0.3">
      <c r="B510" s="10">
        <v>13</v>
      </c>
      <c r="C510" s="8">
        <v>269</v>
      </c>
      <c r="D510" s="8">
        <v>4</v>
      </c>
    </row>
    <row r="511" spans="2:4" x14ac:dyDescent="0.3">
      <c r="B511" s="10">
        <v>14</v>
      </c>
      <c r="C511" s="8">
        <v>334</v>
      </c>
      <c r="D511" s="8">
        <v>5</v>
      </c>
    </row>
    <row r="512" spans="2:4" x14ac:dyDescent="0.3">
      <c r="B512" s="10">
        <v>15</v>
      </c>
      <c r="C512" s="8">
        <v>845</v>
      </c>
      <c r="D512" s="8">
        <v>6</v>
      </c>
    </row>
    <row r="513" spans="2:4" x14ac:dyDescent="0.3">
      <c r="B513" s="10">
        <v>16</v>
      </c>
      <c r="C513" s="8">
        <v>339</v>
      </c>
      <c r="D513" s="8">
        <v>5</v>
      </c>
    </row>
    <row r="514" spans="2:4" x14ac:dyDescent="0.3">
      <c r="B514" s="10">
        <v>17</v>
      </c>
      <c r="C514" s="8">
        <v>112</v>
      </c>
      <c r="D514" s="8">
        <v>5</v>
      </c>
    </row>
    <row r="515" spans="2:4" x14ac:dyDescent="0.3">
      <c r="B515" s="7" t="s">
        <v>3125</v>
      </c>
      <c r="C515" s="8"/>
      <c r="D515" s="8"/>
    </row>
    <row r="516" spans="2:4" x14ac:dyDescent="0.3">
      <c r="B516" s="10">
        <v>9</v>
      </c>
      <c r="C516" s="8">
        <v>305</v>
      </c>
      <c r="D516" s="8">
        <v>5</v>
      </c>
    </row>
    <row r="517" spans="2:4" x14ac:dyDescent="0.3">
      <c r="B517" s="10">
        <v>10</v>
      </c>
      <c r="C517" s="8">
        <v>436</v>
      </c>
      <c r="D517" s="8">
        <v>5</v>
      </c>
    </row>
    <row r="518" spans="2:4" x14ac:dyDescent="0.3">
      <c r="B518" s="10">
        <v>11</v>
      </c>
      <c r="C518" s="8">
        <v>212</v>
      </c>
      <c r="D518" s="8">
        <v>2</v>
      </c>
    </row>
    <row r="519" spans="2:4" x14ac:dyDescent="0.3">
      <c r="B519" s="10">
        <v>12</v>
      </c>
      <c r="C519" s="8">
        <v>149</v>
      </c>
      <c r="D519" s="8">
        <v>4</v>
      </c>
    </row>
    <row r="520" spans="2:4" x14ac:dyDescent="0.3">
      <c r="B520" s="10">
        <v>13</v>
      </c>
      <c r="C520" s="8">
        <v>279</v>
      </c>
      <c r="D520" s="8">
        <v>6</v>
      </c>
    </row>
    <row r="521" spans="2:4" x14ac:dyDescent="0.3">
      <c r="B521" s="10">
        <v>14</v>
      </c>
      <c r="C521" s="8">
        <v>633</v>
      </c>
      <c r="D521" s="8">
        <v>8</v>
      </c>
    </row>
    <row r="522" spans="2:4" x14ac:dyDescent="0.3">
      <c r="B522" s="10">
        <v>15</v>
      </c>
      <c r="C522" s="8">
        <v>325</v>
      </c>
      <c r="D522" s="8">
        <v>4</v>
      </c>
    </row>
    <row r="523" spans="2:4" x14ac:dyDescent="0.3">
      <c r="B523" s="10">
        <v>16</v>
      </c>
      <c r="C523" s="8">
        <v>322</v>
      </c>
      <c r="D523" s="8">
        <v>3</v>
      </c>
    </row>
    <row r="524" spans="2:4" x14ac:dyDescent="0.3">
      <c r="B524" s="10">
        <v>17</v>
      </c>
      <c r="C524" s="8">
        <v>340</v>
      </c>
      <c r="D524" s="8">
        <v>4</v>
      </c>
    </row>
    <row r="525" spans="2:4" x14ac:dyDescent="0.3">
      <c r="B525" s="7" t="s">
        <v>3180</v>
      </c>
      <c r="C525" s="8"/>
      <c r="D525" s="8"/>
    </row>
    <row r="526" spans="2:4" x14ac:dyDescent="0.3">
      <c r="B526" s="10">
        <v>9</v>
      </c>
      <c r="C526" s="8">
        <v>112</v>
      </c>
      <c r="D526" s="8">
        <v>2</v>
      </c>
    </row>
    <row r="527" spans="2:4" x14ac:dyDescent="0.3">
      <c r="B527" s="10">
        <v>12</v>
      </c>
      <c r="C527" s="8">
        <v>110</v>
      </c>
      <c r="D527" s="8">
        <v>2</v>
      </c>
    </row>
    <row r="528" spans="2:4" x14ac:dyDescent="0.3">
      <c r="B528" s="10">
        <v>13</v>
      </c>
      <c r="C528" s="8">
        <v>665</v>
      </c>
      <c r="D528" s="8">
        <v>7</v>
      </c>
    </row>
    <row r="529" spans="2:4" x14ac:dyDescent="0.3">
      <c r="B529" s="10">
        <v>14</v>
      </c>
      <c r="C529" s="8">
        <v>390</v>
      </c>
      <c r="D529" s="8">
        <v>5</v>
      </c>
    </row>
    <row r="530" spans="2:4" x14ac:dyDescent="0.3">
      <c r="B530" s="10">
        <v>15</v>
      </c>
      <c r="C530" s="8">
        <v>429</v>
      </c>
      <c r="D530" s="8">
        <v>5</v>
      </c>
    </row>
    <row r="531" spans="2:4" x14ac:dyDescent="0.3">
      <c r="B531" s="10">
        <v>16</v>
      </c>
      <c r="C531" s="8">
        <v>572</v>
      </c>
      <c r="D531" s="8">
        <v>6</v>
      </c>
    </row>
    <row r="532" spans="2:4" x14ac:dyDescent="0.3">
      <c r="B532" s="10">
        <v>17</v>
      </c>
      <c r="C532" s="8">
        <v>560</v>
      </c>
      <c r="D532" s="8">
        <v>7</v>
      </c>
    </row>
    <row r="533" spans="2:4" x14ac:dyDescent="0.3">
      <c r="B533" s="7" t="s">
        <v>3233</v>
      </c>
      <c r="C533" s="8"/>
      <c r="D533" s="8"/>
    </row>
    <row r="534" spans="2:4" x14ac:dyDescent="0.3">
      <c r="B534" s="10">
        <v>9</v>
      </c>
      <c r="C534" s="8">
        <v>350</v>
      </c>
      <c r="D534" s="8">
        <v>4</v>
      </c>
    </row>
    <row r="535" spans="2:4" x14ac:dyDescent="0.3">
      <c r="B535" s="10">
        <v>10</v>
      </c>
      <c r="C535" s="8">
        <v>731</v>
      </c>
      <c r="D535" s="8">
        <v>6</v>
      </c>
    </row>
    <row r="536" spans="2:4" x14ac:dyDescent="0.3">
      <c r="B536" s="10">
        <v>11</v>
      </c>
      <c r="C536" s="8">
        <v>535</v>
      </c>
      <c r="D536" s="8">
        <v>6</v>
      </c>
    </row>
    <row r="537" spans="2:4" x14ac:dyDescent="0.3">
      <c r="B537" s="10">
        <v>12</v>
      </c>
      <c r="C537" s="8">
        <v>613</v>
      </c>
      <c r="D537" s="8">
        <v>6</v>
      </c>
    </row>
    <row r="538" spans="2:4" x14ac:dyDescent="0.3">
      <c r="B538" s="10">
        <v>13</v>
      </c>
      <c r="C538" s="8">
        <v>111</v>
      </c>
      <c r="D538" s="8">
        <v>1</v>
      </c>
    </row>
    <row r="539" spans="2:4" x14ac:dyDescent="0.3">
      <c r="B539" s="10">
        <v>14</v>
      </c>
      <c r="C539" s="8">
        <v>295</v>
      </c>
      <c r="D539" s="8">
        <v>3</v>
      </c>
    </row>
    <row r="540" spans="2:4" x14ac:dyDescent="0.3">
      <c r="B540" s="10">
        <v>15</v>
      </c>
      <c r="C540" s="8">
        <v>419</v>
      </c>
      <c r="D540" s="8">
        <v>6</v>
      </c>
    </row>
    <row r="541" spans="2:4" x14ac:dyDescent="0.3">
      <c r="B541" s="10">
        <v>16</v>
      </c>
      <c r="C541" s="8">
        <v>312</v>
      </c>
      <c r="D541" s="8">
        <v>3</v>
      </c>
    </row>
    <row r="542" spans="2:4" x14ac:dyDescent="0.3">
      <c r="B542" s="10">
        <v>17</v>
      </c>
      <c r="C542" s="8">
        <v>359</v>
      </c>
      <c r="D542" s="8">
        <v>6</v>
      </c>
    </row>
    <row r="543" spans="2:4" x14ac:dyDescent="0.3">
      <c r="B543" s="7" t="s">
        <v>3298</v>
      </c>
      <c r="C543" s="8"/>
      <c r="D543" s="8"/>
    </row>
    <row r="544" spans="2:4" x14ac:dyDescent="0.3">
      <c r="B544" s="10">
        <v>9</v>
      </c>
      <c r="C544" s="8">
        <v>280</v>
      </c>
      <c r="D544" s="8">
        <v>4</v>
      </c>
    </row>
    <row r="545" spans="2:4" x14ac:dyDescent="0.3">
      <c r="B545" s="10">
        <v>10</v>
      </c>
      <c r="C545" s="8">
        <v>364</v>
      </c>
      <c r="D545" s="8">
        <v>4</v>
      </c>
    </row>
    <row r="546" spans="2:4" x14ac:dyDescent="0.3">
      <c r="B546" s="10">
        <v>11</v>
      </c>
      <c r="C546" s="8">
        <v>401</v>
      </c>
      <c r="D546" s="8">
        <v>5</v>
      </c>
    </row>
    <row r="547" spans="2:4" x14ac:dyDescent="0.3">
      <c r="B547" s="10">
        <v>12</v>
      </c>
      <c r="C547" s="8">
        <v>108</v>
      </c>
      <c r="D547" s="8">
        <v>1</v>
      </c>
    </row>
    <row r="548" spans="2:4" x14ac:dyDescent="0.3">
      <c r="B548" s="10">
        <v>13</v>
      </c>
      <c r="C548" s="8">
        <v>149</v>
      </c>
      <c r="D548" s="8">
        <v>2</v>
      </c>
    </row>
    <row r="549" spans="2:4" x14ac:dyDescent="0.3">
      <c r="B549" s="10">
        <v>14</v>
      </c>
      <c r="C549" s="8">
        <v>309</v>
      </c>
      <c r="D549" s="8">
        <v>4</v>
      </c>
    </row>
    <row r="550" spans="2:4" x14ac:dyDescent="0.3">
      <c r="B550" s="10">
        <v>15</v>
      </c>
      <c r="C550" s="8">
        <v>345</v>
      </c>
      <c r="D550" s="8">
        <v>4</v>
      </c>
    </row>
    <row r="551" spans="2:4" x14ac:dyDescent="0.3">
      <c r="B551" s="10">
        <v>16</v>
      </c>
      <c r="C551" s="8">
        <v>293</v>
      </c>
      <c r="D551" s="8">
        <v>6</v>
      </c>
    </row>
    <row r="552" spans="2:4" x14ac:dyDescent="0.3">
      <c r="B552" s="10">
        <v>17</v>
      </c>
      <c r="C552" s="8">
        <v>981</v>
      </c>
      <c r="D552" s="8">
        <v>7</v>
      </c>
    </row>
    <row r="553" spans="2:4" x14ac:dyDescent="0.3">
      <c r="B553" s="7" t="s">
        <v>3355</v>
      </c>
      <c r="C553" s="8"/>
      <c r="D553" s="8"/>
    </row>
    <row r="554" spans="2:4" x14ac:dyDescent="0.3">
      <c r="B554" s="10">
        <v>9</v>
      </c>
      <c r="C554" s="8">
        <v>166</v>
      </c>
      <c r="D554" s="8">
        <v>5</v>
      </c>
    </row>
    <row r="555" spans="2:4" x14ac:dyDescent="0.3">
      <c r="B555" s="10">
        <v>10</v>
      </c>
      <c r="C555" s="8">
        <v>294</v>
      </c>
      <c r="D555" s="8">
        <v>4</v>
      </c>
    </row>
    <row r="556" spans="2:4" x14ac:dyDescent="0.3">
      <c r="B556" s="10">
        <v>11</v>
      </c>
      <c r="C556" s="8">
        <v>165</v>
      </c>
      <c r="D556" s="8">
        <v>1</v>
      </c>
    </row>
    <row r="557" spans="2:4" x14ac:dyDescent="0.3">
      <c r="B557" s="10">
        <v>12</v>
      </c>
      <c r="C557" s="8">
        <v>370</v>
      </c>
      <c r="D557" s="8">
        <v>5</v>
      </c>
    </row>
    <row r="558" spans="2:4" x14ac:dyDescent="0.3">
      <c r="B558" s="10">
        <v>13</v>
      </c>
      <c r="C558" s="8">
        <v>206</v>
      </c>
      <c r="D558" s="8">
        <v>3</v>
      </c>
    </row>
    <row r="559" spans="2:4" x14ac:dyDescent="0.3">
      <c r="B559" s="10">
        <v>14</v>
      </c>
      <c r="C559" s="8">
        <v>360</v>
      </c>
      <c r="D559" s="8">
        <v>5</v>
      </c>
    </row>
    <row r="560" spans="2:4" x14ac:dyDescent="0.3">
      <c r="B560" s="10">
        <v>15</v>
      </c>
      <c r="C560" s="8">
        <v>334</v>
      </c>
      <c r="D560" s="8">
        <v>5</v>
      </c>
    </row>
    <row r="561" spans="2:4" x14ac:dyDescent="0.3">
      <c r="B561" s="10">
        <v>16</v>
      </c>
      <c r="C561" s="8">
        <v>630</v>
      </c>
      <c r="D561" s="8">
        <v>6</v>
      </c>
    </row>
    <row r="562" spans="2:4" x14ac:dyDescent="0.3">
      <c r="B562" s="10">
        <v>17</v>
      </c>
      <c r="C562" s="8">
        <v>120</v>
      </c>
      <c r="D562" s="8">
        <v>3</v>
      </c>
    </row>
    <row r="563" spans="2:4" x14ac:dyDescent="0.3">
      <c r="B563" s="7" t="s">
        <v>3410</v>
      </c>
      <c r="C563" s="8"/>
      <c r="D563" s="8"/>
    </row>
    <row r="564" spans="2:4" x14ac:dyDescent="0.3">
      <c r="B564" s="10">
        <v>9</v>
      </c>
      <c r="C564" s="8">
        <v>166</v>
      </c>
      <c r="D564" s="8">
        <v>6</v>
      </c>
    </row>
    <row r="565" spans="2:4" x14ac:dyDescent="0.3">
      <c r="B565" s="10">
        <v>10</v>
      </c>
      <c r="C565" s="8">
        <v>431</v>
      </c>
      <c r="D565" s="8">
        <v>4</v>
      </c>
    </row>
    <row r="566" spans="2:4" x14ac:dyDescent="0.3">
      <c r="B566" s="10">
        <v>11</v>
      </c>
      <c r="C566" s="8">
        <v>1043</v>
      </c>
      <c r="D566" s="8">
        <v>7</v>
      </c>
    </row>
    <row r="567" spans="2:4" x14ac:dyDescent="0.3">
      <c r="B567" s="10">
        <v>12</v>
      </c>
      <c r="C567" s="8">
        <v>272</v>
      </c>
      <c r="D567" s="8">
        <v>3</v>
      </c>
    </row>
    <row r="568" spans="2:4" x14ac:dyDescent="0.3">
      <c r="B568" s="10">
        <v>13</v>
      </c>
      <c r="C568" s="8">
        <v>406</v>
      </c>
      <c r="D568" s="8">
        <v>7</v>
      </c>
    </row>
    <row r="569" spans="2:4" x14ac:dyDescent="0.3">
      <c r="B569" s="10">
        <v>14</v>
      </c>
      <c r="C569" s="8">
        <v>340</v>
      </c>
      <c r="D569" s="8">
        <v>4</v>
      </c>
    </row>
    <row r="570" spans="2:4" x14ac:dyDescent="0.3">
      <c r="B570" s="10">
        <v>15</v>
      </c>
      <c r="C570" s="8">
        <v>146</v>
      </c>
      <c r="D570" s="8">
        <v>3</v>
      </c>
    </row>
    <row r="571" spans="2:4" x14ac:dyDescent="0.3">
      <c r="B571" s="10">
        <v>16</v>
      </c>
      <c r="C571" s="8">
        <v>383</v>
      </c>
      <c r="D571" s="8">
        <v>4</v>
      </c>
    </row>
    <row r="572" spans="2:4" x14ac:dyDescent="0.3">
      <c r="B572" s="10">
        <v>17</v>
      </c>
      <c r="C572" s="8">
        <v>82</v>
      </c>
      <c r="D572" s="8">
        <v>2</v>
      </c>
    </row>
    <row r="573" spans="2:4" x14ac:dyDescent="0.3">
      <c r="B573" s="10">
        <v>18</v>
      </c>
      <c r="C573" s="8">
        <v>135</v>
      </c>
      <c r="D573" s="8">
        <v>2</v>
      </c>
    </row>
    <row r="574" spans="2:4" x14ac:dyDescent="0.3">
      <c r="B574" s="7" t="s">
        <v>3473</v>
      </c>
      <c r="C574" s="8"/>
      <c r="D574" s="8"/>
    </row>
    <row r="575" spans="2:4" x14ac:dyDescent="0.3">
      <c r="B575" s="10">
        <v>9</v>
      </c>
      <c r="C575" s="8">
        <v>528</v>
      </c>
      <c r="D575" s="8">
        <v>7</v>
      </c>
    </row>
    <row r="576" spans="2:4" x14ac:dyDescent="0.3">
      <c r="B576" s="10">
        <v>10</v>
      </c>
      <c r="C576" s="8">
        <v>188</v>
      </c>
      <c r="D576" s="8">
        <v>4</v>
      </c>
    </row>
    <row r="577" spans="2:4" x14ac:dyDescent="0.3">
      <c r="B577" s="10">
        <v>11</v>
      </c>
      <c r="C577" s="8">
        <v>40</v>
      </c>
      <c r="D577" s="8">
        <v>2</v>
      </c>
    </row>
    <row r="578" spans="2:4" x14ac:dyDescent="0.3">
      <c r="B578" s="10">
        <v>12</v>
      </c>
      <c r="C578" s="8">
        <v>384</v>
      </c>
      <c r="D578" s="8">
        <v>4</v>
      </c>
    </row>
    <row r="579" spans="2:4" x14ac:dyDescent="0.3">
      <c r="B579" s="10">
        <v>13</v>
      </c>
      <c r="C579" s="8">
        <v>1329</v>
      </c>
      <c r="D579" s="8">
        <v>8</v>
      </c>
    </row>
    <row r="580" spans="2:4" x14ac:dyDescent="0.3">
      <c r="B580" s="10">
        <v>14</v>
      </c>
      <c r="C580" s="8">
        <v>463</v>
      </c>
      <c r="D580" s="8">
        <v>7</v>
      </c>
    </row>
    <row r="581" spans="2:4" x14ac:dyDescent="0.3">
      <c r="B581" s="10">
        <v>15</v>
      </c>
      <c r="C581" s="8">
        <v>244</v>
      </c>
      <c r="D581" s="8">
        <v>4</v>
      </c>
    </row>
    <row r="582" spans="2:4" x14ac:dyDescent="0.3">
      <c r="B582" s="10">
        <v>16</v>
      </c>
      <c r="C582" s="8">
        <v>249</v>
      </c>
      <c r="D582" s="8">
        <v>2</v>
      </c>
    </row>
    <row r="583" spans="2:4" x14ac:dyDescent="0.3">
      <c r="B583" s="10">
        <v>17</v>
      </c>
      <c r="C583" s="8">
        <v>371</v>
      </c>
      <c r="D583" s="8">
        <v>4</v>
      </c>
    </row>
    <row r="584" spans="2:4" x14ac:dyDescent="0.3">
      <c r="B584" s="7" t="s">
        <v>3538</v>
      </c>
      <c r="C584" s="8"/>
      <c r="D584" s="8"/>
    </row>
    <row r="585" spans="2:4" x14ac:dyDescent="0.3">
      <c r="B585" s="10">
        <v>9</v>
      </c>
      <c r="C585" s="8">
        <v>323</v>
      </c>
      <c r="D585" s="8">
        <v>4</v>
      </c>
    </row>
    <row r="586" spans="2:4" x14ac:dyDescent="0.3">
      <c r="B586" s="10">
        <v>10</v>
      </c>
      <c r="C586" s="8">
        <v>524</v>
      </c>
      <c r="D586" s="8">
        <v>6</v>
      </c>
    </row>
    <row r="587" spans="2:4" x14ac:dyDescent="0.3">
      <c r="B587" s="10">
        <v>11</v>
      </c>
      <c r="C587" s="8">
        <v>307</v>
      </c>
      <c r="D587" s="8">
        <v>5</v>
      </c>
    </row>
    <row r="588" spans="2:4" x14ac:dyDescent="0.3">
      <c r="B588" s="10">
        <v>12</v>
      </c>
      <c r="C588" s="8">
        <v>144</v>
      </c>
      <c r="D588" s="8">
        <v>2</v>
      </c>
    </row>
    <row r="589" spans="2:4" x14ac:dyDescent="0.3">
      <c r="B589" s="10">
        <v>13</v>
      </c>
      <c r="C589" s="8">
        <v>348</v>
      </c>
      <c r="D589" s="8">
        <v>7</v>
      </c>
    </row>
    <row r="590" spans="2:4" x14ac:dyDescent="0.3">
      <c r="B590" s="10">
        <v>14</v>
      </c>
      <c r="C590" s="8">
        <v>272</v>
      </c>
      <c r="D590" s="8">
        <v>4</v>
      </c>
    </row>
    <row r="591" spans="2:4" x14ac:dyDescent="0.3">
      <c r="B591" s="10">
        <v>15</v>
      </c>
      <c r="C591" s="8">
        <v>495</v>
      </c>
      <c r="D591" s="8">
        <v>4</v>
      </c>
    </row>
    <row r="592" spans="2:4" x14ac:dyDescent="0.3">
      <c r="B592" s="10">
        <v>16</v>
      </c>
      <c r="C592" s="8">
        <v>644</v>
      </c>
      <c r="D592" s="8">
        <v>7</v>
      </c>
    </row>
    <row r="593" spans="2:4" x14ac:dyDescent="0.3">
      <c r="B593" s="10">
        <v>17</v>
      </c>
      <c r="C593" s="8">
        <v>238</v>
      </c>
      <c r="D593" s="8">
        <v>5</v>
      </c>
    </row>
    <row r="594" spans="2:4" x14ac:dyDescent="0.3">
      <c r="B594" s="7" t="s">
        <v>3601</v>
      </c>
      <c r="C594" s="8"/>
      <c r="D594" s="8"/>
    </row>
    <row r="595" spans="2:4" x14ac:dyDescent="0.3">
      <c r="B595" s="10">
        <v>9</v>
      </c>
      <c r="C595" s="8">
        <v>218</v>
      </c>
      <c r="D595" s="8">
        <v>5</v>
      </c>
    </row>
    <row r="596" spans="2:4" x14ac:dyDescent="0.3">
      <c r="B596" s="10">
        <v>10</v>
      </c>
      <c r="C596" s="8">
        <v>359</v>
      </c>
      <c r="D596" s="8">
        <v>5</v>
      </c>
    </row>
    <row r="597" spans="2:4" x14ac:dyDescent="0.3">
      <c r="B597" s="10">
        <v>12</v>
      </c>
      <c r="C597" s="8">
        <v>172</v>
      </c>
      <c r="D597" s="8">
        <v>4</v>
      </c>
    </row>
    <row r="598" spans="2:4" x14ac:dyDescent="0.3">
      <c r="B598" s="10">
        <v>13</v>
      </c>
      <c r="C598" s="8">
        <v>220</v>
      </c>
      <c r="D598" s="8">
        <v>3</v>
      </c>
    </row>
    <row r="599" spans="2:4" x14ac:dyDescent="0.3">
      <c r="B599" s="10">
        <v>14</v>
      </c>
      <c r="C599" s="8">
        <v>237</v>
      </c>
      <c r="D599" s="8">
        <v>5</v>
      </c>
    </row>
    <row r="600" spans="2:4" x14ac:dyDescent="0.3">
      <c r="B600" s="10">
        <v>15</v>
      </c>
      <c r="C600" s="8">
        <v>928</v>
      </c>
      <c r="D600" s="8">
        <v>7</v>
      </c>
    </row>
    <row r="601" spans="2:4" x14ac:dyDescent="0.3">
      <c r="B601" s="10">
        <v>16</v>
      </c>
      <c r="C601" s="8">
        <v>395</v>
      </c>
      <c r="D601" s="8">
        <v>4</v>
      </c>
    </row>
    <row r="602" spans="2:4" x14ac:dyDescent="0.3">
      <c r="B602" s="10">
        <v>17</v>
      </c>
      <c r="C602" s="8">
        <v>265</v>
      </c>
      <c r="D602" s="8">
        <v>2</v>
      </c>
    </row>
    <row r="603" spans="2:4" x14ac:dyDescent="0.3">
      <c r="B603" s="7" t="s">
        <v>3654</v>
      </c>
      <c r="C603" s="8"/>
      <c r="D603" s="8"/>
    </row>
    <row r="604" spans="2:4" x14ac:dyDescent="0.3">
      <c r="B604" s="10">
        <v>9</v>
      </c>
      <c r="C604" s="8">
        <v>426</v>
      </c>
      <c r="D604" s="8">
        <v>6</v>
      </c>
    </row>
    <row r="605" spans="2:4" x14ac:dyDescent="0.3">
      <c r="B605" s="10">
        <v>10</v>
      </c>
      <c r="C605" s="8">
        <v>475</v>
      </c>
      <c r="D605" s="8">
        <v>7</v>
      </c>
    </row>
    <row r="606" spans="2:4" x14ac:dyDescent="0.3">
      <c r="B606" s="10">
        <v>11</v>
      </c>
      <c r="C606" s="8">
        <v>558</v>
      </c>
      <c r="D606" s="8">
        <v>5</v>
      </c>
    </row>
    <row r="607" spans="2:4" x14ac:dyDescent="0.3">
      <c r="B607" s="10">
        <v>12</v>
      </c>
      <c r="C607" s="8">
        <v>435</v>
      </c>
      <c r="D607" s="8">
        <v>6</v>
      </c>
    </row>
    <row r="608" spans="2:4" x14ac:dyDescent="0.3">
      <c r="B608" s="10">
        <v>13</v>
      </c>
      <c r="C608" s="8">
        <v>437</v>
      </c>
      <c r="D608" s="8">
        <v>4</v>
      </c>
    </row>
    <row r="609" spans="2:4" x14ac:dyDescent="0.3">
      <c r="B609" s="10">
        <v>14</v>
      </c>
      <c r="C609" s="8">
        <v>290</v>
      </c>
      <c r="D609" s="8">
        <v>4</v>
      </c>
    </row>
    <row r="610" spans="2:4" x14ac:dyDescent="0.3">
      <c r="B610" s="10">
        <v>15</v>
      </c>
      <c r="C610" s="8">
        <v>414</v>
      </c>
      <c r="D610" s="8">
        <v>5</v>
      </c>
    </row>
    <row r="611" spans="2:4" x14ac:dyDescent="0.3">
      <c r="B611" s="10">
        <v>16</v>
      </c>
      <c r="C611" s="8">
        <v>557</v>
      </c>
      <c r="D611" s="8">
        <v>6</v>
      </c>
    </row>
    <row r="612" spans="2:4" x14ac:dyDescent="0.3">
      <c r="B612" s="10">
        <v>17</v>
      </c>
      <c r="C612" s="8">
        <v>467</v>
      </c>
      <c r="D612" s="8">
        <v>5</v>
      </c>
    </row>
    <row r="613" spans="2:4" x14ac:dyDescent="0.3">
      <c r="B613" s="7" t="s">
        <v>3725</v>
      </c>
      <c r="C613" s="8"/>
      <c r="D613" s="8"/>
    </row>
    <row r="614" spans="2:4" x14ac:dyDescent="0.3">
      <c r="B614" s="10">
        <v>10</v>
      </c>
      <c r="C614" s="8">
        <v>431</v>
      </c>
      <c r="D614" s="8">
        <v>4</v>
      </c>
    </row>
    <row r="615" spans="2:4" x14ac:dyDescent="0.3">
      <c r="B615" s="10">
        <v>11</v>
      </c>
      <c r="C615" s="8">
        <v>470</v>
      </c>
      <c r="D615" s="8">
        <v>5</v>
      </c>
    </row>
    <row r="616" spans="2:4" x14ac:dyDescent="0.3">
      <c r="B616" s="10">
        <v>12</v>
      </c>
      <c r="C616" s="8">
        <v>680</v>
      </c>
      <c r="D616" s="8">
        <v>5</v>
      </c>
    </row>
    <row r="617" spans="2:4" x14ac:dyDescent="0.3">
      <c r="B617" s="10">
        <v>13</v>
      </c>
      <c r="C617" s="8">
        <v>283</v>
      </c>
      <c r="D617" s="8">
        <v>4</v>
      </c>
    </row>
    <row r="618" spans="2:4" x14ac:dyDescent="0.3">
      <c r="B618" s="10">
        <v>14</v>
      </c>
      <c r="C618" s="8">
        <v>140</v>
      </c>
      <c r="D618" s="8">
        <v>4</v>
      </c>
    </row>
    <row r="619" spans="2:4" x14ac:dyDescent="0.3">
      <c r="B619" s="10">
        <v>15</v>
      </c>
      <c r="C619" s="8">
        <v>236</v>
      </c>
      <c r="D619" s="8">
        <v>3</v>
      </c>
    </row>
    <row r="620" spans="2:4" x14ac:dyDescent="0.3">
      <c r="B620" s="10">
        <v>16</v>
      </c>
      <c r="C620" s="8">
        <v>694</v>
      </c>
      <c r="D620" s="8">
        <v>4</v>
      </c>
    </row>
    <row r="621" spans="2:4" x14ac:dyDescent="0.3">
      <c r="B621" s="10">
        <v>17</v>
      </c>
      <c r="C621" s="8">
        <v>363</v>
      </c>
      <c r="D621" s="8">
        <v>5</v>
      </c>
    </row>
    <row r="622" spans="2:4" x14ac:dyDescent="0.3">
      <c r="B622" s="7" t="s">
        <v>3780</v>
      </c>
      <c r="C622" s="8"/>
      <c r="D622" s="8"/>
    </row>
    <row r="623" spans="2:4" x14ac:dyDescent="0.3">
      <c r="B623" s="10">
        <v>9</v>
      </c>
      <c r="C623" s="8">
        <v>209</v>
      </c>
      <c r="D623" s="8">
        <v>4</v>
      </c>
    </row>
    <row r="624" spans="2:4" x14ac:dyDescent="0.3">
      <c r="B624" s="10">
        <v>10</v>
      </c>
      <c r="C624" s="8">
        <v>580</v>
      </c>
      <c r="D624" s="8">
        <v>5</v>
      </c>
    </row>
    <row r="625" spans="2:4" x14ac:dyDescent="0.3">
      <c r="B625" s="10">
        <v>11</v>
      </c>
      <c r="C625" s="8">
        <v>521</v>
      </c>
      <c r="D625" s="8">
        <v>4</v>
      </c>
    </row>
    <row r="626" spans="2:4" x14ac:dyDescent="0.3">
      <c r="B626" s="10">
        <v>12</v>
      </c>
      <c r="C626" s="8">
        <v>224</v>
      </c>
      <c r="D626" s="8">
        <v>5</v>
      </c>
    </row>
    <row r="627" spans="2:4" x14ac:dyDescent="0.3">
      <c r="B627" s="10">
        <v>13</v>
      </c>
      <c r="C627" s="8">
        <v>525</v>
      </c>
      <c r="D627" s="8">
        <v>5</v>
      </c>
    </row>
    <row r="628" spans="2:4" x14ac:dyDescent="0.3">
      <c r="B628" s="10">
        <v>14</v>
      </c>
      <c r="C628" s="8">
        <v>80</v>
      </c>
      <c r="D628" s="8">
        <v>4</v>
      </c>
    </row>
    <row r="629" spans="2:4" x14ac:dyDescent="0.3">
      <c r="B629" s="10">
        <v>16</v>
      </c>
      <c r="C629" s="8">
        <v>776</v>
      </c>
      <c r="D629" s="8">
        <v>7</v>
      </c>
    </row>
    <row r="630" spans="2:4" x14ac:dyDescent="0.3">
      <c r="B630" s="10">
        <v>17</v>
      </c>
      <c r="C630" s="8">
        <v>362</v>
      </c>
      <c r="D630" s="8">
        <v>4</v>
      </c>
    </row>
    <row r="631" spans="2:4" x14ac:dyDescent="0.3">
      <c r="B631" s="7" t="s">
        <v>3843</v>
      </c>
      <c r="C631" s="8"/>
      <c r="D631" s="8"/>
    </row>
    <row r="632" spans="2:4" x14ac:dyDescent="0.3">
      <c r="B632" s="10">
        <v>9</v>
      </c>
      <c r="C632" s="8">
        <v>65</v>
      </c>
      <c r="D632" s="8">
        <v>2</v>
      </c>
    </row>
    <row r="633" spans="2:4" x14ac:dyDescent="0.3">
      <c r="B633" s="10">
        <v>10</v>
      </c>
      <c r="C633" s="8">
        <v>119</v>
      </c>
      <c r="D633" s="8">
        <v>3</v>
      </c>
    </row>
    <row r="634" spans="2:4" x14ac:dyDescent="0.3">
      <c r="B634" s="10">
        <v>12</v>
      </c>
      <c r="C634" s="8">
        <v>435</v>
      </c>
      <c r="D634" s="8">
        <v>5</v>
      </c>
    </row>
    <row r="635" spans="2:4" x14ac:dyDescent="0.3">
      <c r="B635" s="10">
        <v>13</v>
      </c>
      <c r="C635" s="8">
        <v>372</v>
      </c>
      <c r="D635" s="8">
        <v>4</v>
      </c>
    </row>
    <row r="636" spans="2:4" x14ac:dyDescent="0.3">
      <c r="B636" s="10">
        <v>14</v>
      </c>
      <c r="C636" s="8">
        <v>177</v>
      </c>
      <c r="D636" s="8">
        <v>3</v>
      </c>
    </row>
    <row r="637" spans="2:4" x14ac:dyDescent="0.3">
      <c r="B637" s="10">
        <v>15</v>
      </c>
      <c r="C637" s="8">
        <v>244</v>
      </c>
      <c r="D637" s="8">
        <v>6</v>
      </c>
    </row>
    <row r="638" spans="2:4" x14ac:dyDescent="0.3">
      <c r="B638" s="10">
        <v>16</v>
      </c>
      <c r="C638" s="8">
        <v>325</v>
      </c>
      <c r="D638" s="8">
        <v>6</v>
      </c>
    </row>
    <row r="639" spans="2:4" x14ac:dyDescent="0.3">
      <c r="B639" s="10">
        <v>17</v>
      </c>
      <c r="C639" s="8"/>
      <c r="D639" s="8">
        <v>2</v>
      </c>
    </row>
    <row r="640" spans="2:4" x14ac:dyDescent="0.3">
      <c r="B640" s="7" t="s">
        <v>3892</v>
      </c>
      <c r="C640" s="8"/>
      <c r="D640" s="8"/>
    </row>
    <row r="641" spans="2:4" x14ac:dyDescent="0.3">
      <c r="B641" s="10">
        <v>9</v>
      </c>
      <c r="C641" s="8">
        <v>135</v>
      </c>
      <c r="D641" s="8">
        <v>4</v>
      </c>
    </row>
    <row r="642" spans="2:4" x14ac:dyDescent="0.3">
      <c r="B642" s="10">
        <v>10</v>
      </c>
      <c r="C642" s="8">
        <v>444</v>
      </c>
      <c r="D642" s="8">
        <v>5</v>
      </c>
    </row>
    <row r="643" spans="2:4" x14ac:dyDescent="0.3">
      <c r="B643" s="10">
        <v>11</v>
      </c>
      <c r="C643" s="8">
        <v>194</v>
      </c>
      <c r="D643" s="8">
        <v>3</v>
      </c>
    </row>
    <row r="644" spans="2:4" x14ac:dyDescent="0.3">
      <c r="B644" s="10">
        <v>12</v>
      </c>
      <c r="C644" s="8">
        <v>283</v>
      </c>
      <c r="D644" s="8">
        <v>3</v>
      </c>
    </row>
    <row r="645" spans="2:4" x14ac:dyDescent="0.3">
      <c r="B645" s="10">
        <v>13</v>
      </c>
      <c r="C645" s="8">
        <v>522</v>
      </c>
      <c r="D645" s="8">
        <v>6</v>
      </c>
    </row>
    <row r="646" spans="2:4" x14ac:dyDescent="0.3">
      <c r="B646" s="10">
        <v>14</v>
      </c>
      <c r="C646" s="8"/>
      <c r="D646" s="8">
        <v>2</v>
      </c>
    </row>
    <row r="647" spans="2:4" x14ac:dyDescent="0.3">
      <c r="B647" s="10">
        <v>15</v>
      </c>
      <c r="C647" s="8">
        <v>437</v>
      </c>
      <c r="D647" s="8">
        <v>6</v>
      </c>
    </row>
    <row r="648" spans="2:4" x14ac:dyDescent="0.3">
      <c r="B648" s="10">
        <v>16</v>
      </c>
      <c r="C648" s="8">
        <v>190</v>
      </c>
      <c r="D648" s="8">
        <v>2</v>
      </c>
    </row>
    <row r="649" spans="2:4" x14ac:dyDescent="0.3">
      <c r="B649" s="10">
        <v>17</v>
      </c>
      <c r="C649" s="8">
        <v>912</v>
      </c>
      <c r="D649" s="8">
        <v>6</v>
      </c>
    </row>
    <row r="650" spans="2:4" x14ac:dyDescent="0.3">
      <c r="B650" s="7" t="s">
        <v>3949</v>
      </c>
      <c r="C650" s="8"/>
      <c r="D650" s="8"/>
    </row>
    <row r="651" spans="2:4" x14ac:dyDescent="0.3">
      <c r="B651" s="10">
        <v>9</v>
      </c>
      <c r="C651" s="8">
        <v>177</v>
      </c>
      <c r="D651" s="8">
        <v>4</v>
      </c>
    </row>
    <row r="652" spans="2:4" x14ac:dyDescent="0.3">
      <c r="B652" s="10">
        <v>10</v>
      </c>
      <c r="C652" s="8">
        <v>548</v>
      </c>
      <c r="D652" s="8">
        <v>5</v>
      </c>
    </row>
    <row r="653" spans="2:4" x14ac:dyDescent="0.3">
      <c r="B653" s="10">
        <v>11</v>
      </c>
      <c r="C653" s="8">
        <v>508</v>
      </c>
      <c r="D653" s="8">
        <v>4</v>
      </c>
    </row>
    <row r="654" spans="2:4" x14ac:dyDescent="0.3">
      <c r="B654" s="10">
        <v>13</v>
      </c>
      <c r="C654" s="8">
        <v>339</v>
      </c>
      <c r="D654" s="8">
        <v>4</v>
      </c>
    </row>
    <row r="655" spans="2:4" x14ac:dyDescent="0.3">
      <c r="B655" s="10">
        <v>15</v>
      </c>
      <c r="C655" s="8">
        <v>943</v>
      </c>
      <c r="D655" s="8">
        <v>8</v>
      </c>
    </row>
    <row r="656" spans="2:4" x14ac:dyDescent="0.3">
      <c r="B656" s="10">
        <v>16</v>
      </c>
      <c r="C656" s="8">
        <v>187</v>
      </c>
      <c r="D656" s="8">
        <v>3</v>
      </c>
    </row>
    <row r="657" spans="2:4" x14ac:dyDescent="0.3">
      <c r="B657" s="10">
        <v>17</v>
      </c>
      <c r="C657" s="8">
        <v>99</v>
      </c>
      <c r="D657" s="8">
        <v>2</v>
      </c>
    </row>
    <row r="658" spans="2:4" x14ac:dyDescent="0.3">
      <c r="B658" s="7" t="s">
        <v>3996</v>
      </c>
      <c r="C658" s="8"/>
      <c r="D658" s="8"/>
    </row>
    <row r="659" spans="2:4" x14ac:dyDescent="0.3">
      <c r="B659" s="10">
        <v>9</v>
      </c>
      <c r="C659" s="8">
        <v>239</v>
      </c>
      <c r="D659" s="8">
        <v>4</v>
      </c>
    </row>
    <row r="660" spans="2:4" x14ac:dyDescent="0.3">
      <c r="B660" s="10">
        <v>10</v>
      </c>
      <c r="C660" s="8">
        <v>290</v>
      </c>
      <c r="D660" s="8">
        <v>5</v>
      </c>
    </row>
    <row r="661" spans="2:4" x14ac:dyDescent="0.3">
      <c r="B661" s="10">
        <v>12</v>
      </c>
      <c r="C661" s="8">
        <v>210</v>
      </c>
      <c r="D661" s="8">
        <v>4</v>
      </c>
    </row>
    <row r="662" spans="2:4" x14ac:dyDescent="0.3">
      <c r="B662" s="10">
        <v>13</v>
      </c>
      <c r="C662" s="8">
        <v>784</v>
      </c>
      <c r="D662" s="8">
        <v>7</v>
      </c>
    </row>
    <row r="663" spans="2:4" x14ac:dyDescent="0.3">
      <c r="B663" s="10">
        <v>14</v>
      </c>
      <c r="C663" s="8">
        <v>39</v>
      </c>
      <c r="D663" s="8">
        <v>1</v>
      </c>
    </row>
    <row r="664" spans="2:4" x14ac:dyDescent="0.3">
      <c r="B664" s="10">
        <v>15</v>
      </c>
      <c r="C664" s="8">
        <v>226</v>
      </c>
      <c r="D664" s="8">
        <v>3</v>
      </c>
    </row>
    <row r="665" spans="2:4" x14ac:dyDescent="0.3">
      <c r="B665" s="10">
        <v>16</v>
      </c>
      <c r="C665" s="8">
        <v>444</v>
      </c>
      <c r="D665" s="8">
        <v>5</v>
      </c>
    </row>
    <row r="666" spans="2:4" x14ac:dyDescent="0.3">
      <c r="B666" s="10">
        <v>17</v>
      </c>
      <c r="C666" s="8">
        <v>240</v>
      </c>
      <c r="D666" s="8">
        <v>3</v>
      </c>
    </row>
    <row r="667" spans="2:4" x14ac:dyDescent="0.3">
      <c r="B667" s="7" t="s">
        <v>4043</v>
      </c>
      <c r="C667" s="8"/>
      <c r="D667" s="8"/>
    </row>
    <row r="668" spans="2:4" x14ac:dyDescent="0.3">
      <c r="B668" s="10">
        <v>9</v>
      </c>
      <c r="C668" s="8">
        <v>301</v>
      </c>
      <c r="D668" s="8">
        <v>6</v>
      </c>
    </row>
    <row r="669" spans="2:4" x14ac:dyDescent="0.3">
      <c r="B669" s="10">
        <v>10</v>
      </c>
      <c r="C669" s="8">
        <v>816</v>
      </c>
      <c r="D669" s="8">
        <v>7</v>
      </c>
    </row>
    <row r="670" spans="2:4" x14ac:dyDescent="0.3">
      <c r="B670" s="10">
        <v>11</v>
      </c>
      <c r="C670" s="8">
        <v>401</v>
      </c>
      <c r="D670" s="8">
        <v>5</v>
      </c>
    </row>
    <row r="671" spans="2:4" x14ac:dyDescent="0.3">
      <c r="B671" s="10">
        <v>12</v>
      </c>
      <c r="C671" s="8">
        <v>722</v>
      </c>
      <c r="D671" s="8">
        <v>8</v>
      </c>
    </row>
    <row r="672" spans="2:4" x14ac:dyDescent="0.3">
      <c r="B672" s="10">
        <v>13</v>
      </c>
      <c r="C672" s="8">
        <v>746</v>
      </c>
      <c r="D672" s="8">
        <v>6</v>
      </c>
    </row>
    <row r="673" spans="2:4" x14ac:dyDescent="0.3">
      <c r="B673" s="10">
        <v>14</v>
      </c>
      <c r="C673" s="8">
        <v>531</v>
      </c>
      <c r="D673" s="8">
        <v>4</v>
      </c>
    </row>
    <row r="674" spans="2:4" x14ac:dyDescent="0.3">
      <c r="B674" s="10">
        <v>15</v>
      </c>
      <c r="C674" s="8">
        <v>458</v>
      </c>
      <c r="D674" s="8">
        <v>7</v>
      </c>
    </row>
    <row r="675" spans="2:4" x14ac:dyDescent="0.3">
      <c r="B675" s="10">
        <v>16</v>
      </c>
      <c r="C675" s="8">
        <v>348</v>
      </c>
      <c r="D675" s="8">
        <v>4</v>
      </c>
    </row>
    <row r="676" spans="2:4" x14ac:dyDescent="0.3">
      <c r="B676" s="10">
        <v>17</v>
      </c>
      <c r="C676" s="8">
        <v>231</v>
      </c>
      <c r="D676" s="8">
        <v>4</v>
      </c>
    </row>
    <row r="677" spans="2:4" x14ac:dyDescent="0.3">
      <c r="B677" s="7" t="s">
        <v>4118</v>
      </c>
      <c r="C677" s="8"/>
      <c r="D677" s="8"/>
    </row>
    <row r="678" spans="2:4" x14ac:dyDescent="0.3">
      <c r="B678" s="10">
        <v>9</v>
      </c>
      <c r="C678" s="8">
        <v>396</v>
      </c>
      <c r="D678" s="8">
        <v>5</v>
      </c>
    </row>
    <row r="679" spans="2:4" x14ac:dyDescent="0.3">
      <c r="B679" s="10">
        <v>10</v>
      </c>
      <c r="C679" s="8">
        <v>433</v>
      </c>
      <c r="D679" s="8">
        <v>6</v>
      </c>
    </row>
    <row r="680" spans="2:4" x14ac:dyDescent="0.3">
      <c r="B680" s="10">
        <v>11</v>
      </c>
      <c r="C680" s="8">
        <v>415</v>
      </c>
      <c r="D680" s="8">
        <v>3</v>
      </c>
    </row>
    <row r="681" spans="2:4" x14ac:dyDescent="0.3">
      <c r="B681" s="10">
        <v>12</v>
      </c>
      <c r="C681" s="8">
        <v>201</v>
      </c>
      <c r="D681" s="8">
        <v>4</v>
      </c>
    </row>
    <row r="682" spans="2:4" x14ac:dyDescent="0.3">
      <c r="B682" s="10">
        <v>13</v>
      </c>
      <c r="C682" s="8">
        <v>21</v>
      </c>
      <c r="D682" s="8">
        <v>2</v>
      </c>
    </row>
    <row r="683" spans="2:4" x14ac:dyDescent="0.3">
      <c r="B683" s="10">
        <v>14</v>
      </c>
      <c r="C683" s="8">
        <v>742</v>
      </c>
      <c r="D683" s="8">
        <v>7</v>
      </c>
    </row>
    <row r="684" spans="2:4" x14ac:dyDescent="0.3">
      <c r="B684" s="10">
        <v>16</v>
      </c>
      <c r="C684" s="8">
        <v>224</v>
      </c>
      <c r="D684" s="8">
        <v>2</v>
      </c>
    </row>
    <row r="685" spans="2:4" x14ac:dyDescent="0.3">
      <c r="B685" s="10">
        <v>17</v>
      </c>
      <c r="C685" s="8">
        <v>371</v>
      </c>
      <c r="D685" s="8">
        <v>4</v>
      </c>
    </row>
    <row r="686" spans="2:4" x14ac:dyDescent="0.3">
      <c r="B686" s="7" t="s">
        <v>4169</v>
      </c>
      <c r="C686" s="8"/>
      <c r="D686" s="8"/>
    </row>
    <row r="687" spans="2:4" x14ac:dyDescent="0.3">
      <c r="B687" s="10">
        <v>9</v>
      </c>
      <c r="C687" s="8">
        <v>429</v>
      </c>
      <c r="D687" s="8">
        <v>4</v>
      </c>
    </row>
    <row r="688" spans="2:4" x14ac:dyDescent="0.3">
      <c r="B688" s="10">
        <v>10</v>
      </c>
      <c r="C688" s="8">
        <v>56</v>
      </c>
      <c r="D688" s="8">
        <v>2</v>
      </c>
    </row>
    <row r="689" spans="2:4" x14ac:dyDescent="0.3">
      <c r="B689" s="10">
        <v>11</v>
      </c>
      <c r="C689" s="8">
        <v>378</v>
      </c>
      <c r="D689" s="8">
        <v>6</v>
      </c>
    </row>
    <row r="690" spans="2:4" x14ac:dyDescent="0.3">
      <c r="B690" s="10">
        <v>13</v>
      </c>
      <c r="C690" s="8">
        <v>113</v>
      </c>
      <c r="D690" s="8">
        <v>2</v>
      </c>
    </row>
    <row r="691" spans="2:4" x14ac:dyDescent="0.3">
      <c r="B691" s="10">
        <v>14</v>
      </c>
      <c r="C691" s="8">
        <v>596</v>
      </c>
      <c r="D691" s="8">
        <v>6</v>
      </c>
    </row>
    <row r="692" spans="2:4" x14ac:dyDescent="0.3">
      <c r="B692" s="10">
        <v>15</v>
      </c>
      <c r="C692" s="8">
        <v>928</v>
      </c>
      <c r="D692" s="8">
        <v>5</v>
      </c>
    </row>
    <row r="693" spans="2:4" x14ac:dyDescent="0.3">
      <c r="B693" s="10">
        <v>16</v>
      </c>
      <c r="C693" s="8">
        <v>156</v>
      </c>
      <c r="D693" s="8">
        <v>2</v>
      </c>
    </row>
    <row r="694" spans="2:4" x14ac:dyDescent="0.3">
      <c r="B694" s="10">
        <v>17</v>
      </c>
      <c r="C694" s="8">
        <v>255</v>
      </c>
      <c r="D694" s="8">
        <v>4</v>
      </c>
    </row>
    <row r="695" spans="2:4" x14ac:dyDescent="0.3">
      <c r="B695" s="7" t="s">
        <v>4218</v>
      </c>
      <c r="C695" s="8"/>
      <c r="D695" s="8"/>
    </row>
    <row r="696" spans="2:4" x14ac:dyDescent="0.3">
      <c r="B696" s="10">
        <v>9</v>
      </c>
      <c r="C696" s="8">
        <v>318</v>
      </c>
      <c r="D696" s="8">
        <v>5</v>
      </c>
    </row>
    <row r="697" spans="2:4" x14ac:dyDescent="0.3">
      <c r="B697" s="10">
        <v>10</v>
      </c>
      <c r="C697" s="8">
        <v>407</v>
      </c>
      <c r="D697" s="8">
        <v>4</v>
      </c>
    </row>
    <row r="698" spans="2:4" x14ac:dyDescent="0.3">
      <c r="B698" s="10">
        <v>11</v>
      </c>
      <c r="C698" s="8">
        <v>387</v>
      </c>
      <c r="D698" s="8">
        <v>3</v>
      </c>
    </row>
    <row r="699" spans="2:4" x14ac:dyDescent="0.3">
      <c r="B699" s="10">
        <v>13</v>
      </c>
      <c r="C699" s="8">
        <v>419</v>
      </c>
      <c r="D699" s="8">
        <v>6</v>
      </c>
    </row>
    <row r="700" spans="2:4" x14ac:dyDescent="0.3">
      <c r="B700" s="10">
        <v>14</v>
      </c>
      <c r="C700" s="8">
        <v>314</v>
      </c>
      <c r="D700" s="8">
        <v>4</v>
      </c>
    </row>
    <row r="701" spans="2:4" x14ac:dyDescent="0.3">
      <c r="B701" s="10">
        <v>15</v>
      </c>
      <c r="C701" s="8">
        <v>406</v>
      </c>
      <c r="D701" s="8">
        <v>4</v>
      </c>
    </row>
    <row r="702" spans="2:4" x14ac:dyDescent="0.3">
      <c r="B702" s="10">
        <v>16</v>
      </c>
      <c r="C702" s="8">
        <v>221</v>
      </c>
      <c r="D702" s="8">
        <v>3</v>
      </c>
    </row>
    <row r="703" spans="2:4" x14ac:dyDescent="0.3">
      <c r="B703" s="10">
        <v>17</v>
      </c>
      <c r="C703" s="8"/>
      <c r="D703" s="8">
        <v>2</v>
      </c>
    </row>
    <row r="704" spans="2:4" x14ac:dyDescent="0.3">
      <c r="B704" s="7" t="s">
        <v>4269</v>
      </c>
      <c r="C704" s="8"/>
      <c r="D704" s="8"/>
    </row>
    <row r="705" spans="2:4" x14ac:dyDescent="0.3">
      <c r="B705" s="10">
        <v>9</v>
      </c>
      <c r="C705" s="8">
        <v>324</v>
      </c>
      <c r="D705" s="8">
        <v>4</v>
      </c>
    </row>
    <row r="706" spans="2:4" x14ac:dyDescent="0.3">
      <c r="B706" s="10">
        <v>10</v>
      </c>
      <c r="C706" s="8">
        <v>269</v>
      </c>
      <c r="D706" s="8">
        <v>5</v>
      </c>
    </row>
    <row r="707" spans="2:4" x14ac:dyDescent="0.3">
      <c r="B707" s="10">
        <v>11</v>
      </c>
      <c r="C707" s="8">
        <v>226</v>
      </c>
      <c r="D707" s="8">
        <v>4</v>
      </c>
    </row>
    <row r="708" spans="2:4" x14ac:dyDescent="0.3">
      <c r="B708" s="10">
        <v>12</v>
      </c>
      <c r="C708" s="8">
        <v>154</v>
      </c>
      <c r="D708" s="8">
        <v>4</v>
      </c>
    </row>
    <row r="709" spans="2:4" x14ac:dyDescent="0.3">
      <c r="B709" s="10">
        <v>13</v>
      </c>
      <c r="C709" s="8">
        <v>378</v>
      </c>
      <c r="D709" s="8">
        <v>6</v>
      </c>
    </row>
    <row r="710" spans="2:4" x14ac:dyDescent="0.3">
      <c r="B710" s="10">
        <v>14</v>
      </c>
      <c r="C710" s="8">
        <v>280</v>
      </c>
      <c r="D710" s="8">
        <v>4</v>
      </c>
    </row>
    <row r="711" spans="2:4" x14ac:dyDescent="0.3">
      <c r="B711" s="10">
        <v>15</v>
      </c>
      <c r="C711" s="8">
        <v>134</v>
      </c>
      <c r="D711" s="8">
        <v>2</v>
      </c>
    </row>
    <row r="712" spans="2:4" x14ac:dyDescent="0.3">
      <c r="B712" s="10">
        <v>16</v>
      </c>
      <c r="C712" s="8">
        <v>141</v>
      </c>
      <c r="D712" s="8">
        <v>4</v>
      </c>
    </row>
    <row r="713" spans="2:4" x14ac:dyDescent="0.3">
      <c r="B713" s="10">
        <v>17</v>
      </c>
      <c r="C713" s="8">
        <v>499</v>
      </c>
      <c r="D713" s="8">
        <v>6</v>
      </c>
    </row>
    <row r="714" spans="2:4" x14ac:dyDescent="0.3">
      <c r="B714" s="7" t="s">
        <v>4320</v>
      </c>
      <c r="C714" s="8"/>
      <c r="D714" s="8"/>
    </row>
    <row r="715" spans="2:4" x14ac:dyDescent="0.3">
      <c r="B715" s="10">
        <v>9</v>
      </c>
      <c r="C715" s="8">
        <v>430</v>
      </c>
      <c r="D715" s="8">
        <v>3</v>
      </c>
    </row>
    <row r="716" spans="2:4" x14ac:dyDescent="0.3">
      <c r="B716" s="10">
        <v>10</v>
      </c>
      <c r="C716" s="8">
        <v>410</v>
      </c>
      <c r="D716" s="8">
        <v>5</v>
      </c>
    </row>
    <row r="717" spans="2:4" x14ac:dyDescent="0.3">
      <c r="B717" s="10">
        <v>11</v>
      </c>
      <c r="C717" s="8">
        <v>82</v>
      </c>
      <c r="D717" s="8">
        <v>3</v>
      </c>
    </row>
    <row r="718" spans="2:4" x14ac:dyDescent="0.3">
      <c r="B718" s="10">
        <v>12</v>
      </c>
      <c r="C718" s="8">
        <v>259</v>
      </c>
      <c r="D718" s="8">
        <v>4</v>
      </c>
    </row>
    <row r="719" spans="2:4" x14ac:dyDescent="0.3">
      <c r="B719" s="10">
        <v>13</v>
      </c>
      <c r="C719" s="8">
        <v>404</v>
      </c>
      <c r="D719" s="8">
        <v>6</v>
      </c>
    </row>
    <row r="720" spans="2:4" x14ac:dyDescent="0.3">
      <c r="B720" s="10">
        <v>14</v>
      </c>
      <c r="C720" s="8">
        <v>650</v>
      </c>
      <c r="D720" s="8">
        <v>6</v>
      </c>
    </row>
    <row r="721" spans="2:4" x14ac:dyDescent="0.3">
      <c r="B721" s="10">
        <v>15</v>
      </c>
      <c r="C721" s="8">
        <v>369</v>
      </c>
      <c r="D721" s="8">
        <v>3</v>
      </c>
    </row>
    <row r="722" spans="2:4" x14ac:dyDescent="0.3">
      <c r="B722" s="10">
        <v>16</v>
      </c>
      <c r="C722" s="8">
        <v>191</v>
      </c>
      <c r="D722" s="8">
        <v>5</v>
      </c>
    </row>
    <row r="723" spans="2:4" x14ac:dyDescent="0.3">
      <c r="B723" s="10">
        <v>17</v>
      </c>
      <c r="C723" s="8">
        <v>242</v>
      </c>
      <c r="D723" s="8">
        <v>4</v>
      </c>
    </row>
    <row r="724" spans="2:4" x14ac:dyDescent="0.3">
      <c r="B724" s="7" t="s">
        <v>4381</v>
      </c>
      <c r="C724" s="8"/>
      <c r="D724" s="8"/>
    </row>
    <row r="725" spans="2:4" x14ac:dyDescent="0.3">
      <c r="B725" s="10">
        <v>9</v>
      </c>
      <c r="C725" s="8">
        <v>237</v>
      </c>
      <c r="D725" s="8">
        <v>4</v>
      </c>
    </row>
    <row r="726" spans="2:4" x14ac:dyDescent="0.3">
      <c r="B726" s="10">
        <v>10</v>
      </c>
      <c r="C726" s="8">
        <v>201</v>
      </c>
      <c r="D726" s="8">
        <v>2</v>
      </c>
    </row>
    <row r="727" spans="2:4" x14ac:dyDescent="0.3">
      <c r="B727" s="10">
        <v>11</v>
      </c>
      <c r="C727" s="8">
        <v>210</v>
      </c>
      <c r="D727" s="8">
        <v>3</v>
      </c>
    </row>
    <row r="728" spans="2:4" x14ac:dyDescent="0.3">
      <c r="B728" s="10">
        <v>12</v>
      </c>
      <c r="C728" s="8">
        <v>117</v>
      </c>
      <c r="D728" s="8">
        <v>2</v>
      </c>
    </row>
    <row r="729" spans="2:4" x14ac:dyDescent="0.3">
      <c r="B729" s="10">
        <v>13</v>
      </c>
      <c r="C729" s="8">
        <v>250</v>
      </c>
      <c r="D729" s="8">
        <v>3</v>
      </c>
    </row>
    <row r="730" spans="2:4" x14ac:dyDescent="0.3">
      <c r="B730" s="10">
        <v>14</v>
      </c>
      <c r="C730" s="8">
        <v>108</v>
      </c>
      <c r="D730" s="8">
        <v>5</v>
      </c>
    </row>
    <row r="731" spans="2:4" x14ac:dyDescent="0.3">
      <c r="B731" s="10">
        <v>15</v>
      </c>
      <c r="C731" s="8">
        <v>260</v>
      </c>
      <c r="D731" s="8">
        <v>3</v>
      </c>
    </row>
    <row r="732" spans="2:4" x14ac:dyDescent="0.3">
      <c r="B732" s="10">
        <v>16</v>
      </c>
      <c r="C732" s="8">
        <v>345</v>
      </c>
      <c r="D732" s="8">
        <v>7</v>
      </c>
    </row>
    <row r="733" spans="2:4" x14ac:dyDescent="0.3">
      <c r="B733" s="10">
        <v>17</v>
      </c>
      <c r="C733" s="8">
        <v>688</v>
      </c>
      <c r="D733" s="8">
        <v>5</v>
      </c>
    </row>
    <row r="734" spans="2:4" x14ac:dyDescent="0.3">
      <c r="B734" s="10">
        <v>18</v>
      </c>
      <c r="C734" s="8">
        <v>21</v>
      </c>
      <c r="D734" s="8">
        <v>2</v>
      </c>
    </row>
    <row r="735" spans="2:4" x14ac:dyDescent="0.3">
      <c r="B735" s="7" t="s">
        <v>4432</v>
      </c>
      <c r="C735" s="8"/>
      <c r="D735" s="8"/>
    </row>
    <row r="736" spans="2:4" x14ac:dyDescent="0.3">
      <c r="B736" s="10">
        <v>9</v>
      </c>
      <c r="C736" s="8">
        <v>130</v>
      </c>
      <c r="D736" s="8">
        <v>3</v>
      </c>
    </row>
    <row r="737" spans="2:4" x14ac:dyDescent="0.3">
      <c r="B737" s="10">
        <v>10</v>
      </c>
      <c r="C737" s="8">
        <v>306</v>
      </c>
      <c r="D737" s="8">
        <v>3</v>
      </c>
    </row>
    <row r="738" spans="2:4" x14ac:dyDescent="0.3">
      <c r="B738" s="10">
        <v>11</v>
      </c>
      <c r="C738" s="8">
        <v>80</v>
      </c>
      <c r="D738" s="8">
        <v>2</v>
      </c>
    </row>
    <row r="739" spans="2:4" x14ac:dyDescent="0.3">
      <c r="B739" s="10">
        <v>12</v>
      </c>
      <c r="C739" s="8">
        <v>244</v>
      </c>
      <c r="D739" s="8">
        <v>3</v>
      </c>
    </row>
    <row r="740" spans="2:4" x14ac:dyDescent="0.3">
      <c r="B740" s="10">
        <v>13</v>
      </c>
      <c r="C740" s="8">
        <v>401</v>
      </c>
      <c r="D740" s="8">
        <v>4</v>
      </c>
    </row>
    <row r="741" spans="2:4" x14ac:dyDescent="0.3">
      <c r="B741" s="10">
        <v>14</v>
      </c>
      <c r="C741" s="8">
        <v>531</v>
      </c>
      <c r="D741" s="8">
        <v>6</v>
      </c>
    </row>
    <row r="742" spans="2:4" x14ac:dyDescent="0.3">
      <c r="B742" s="10">
        <v>15</v>
      </c>
      <c r="C742" s="8">
        <v>224</v>
      </c>
      <c r="D742" s="8">
        <v>1</v>
      </c>
    </row>
    <row r="743" spans="2:4" x14ac:dyDescent="0.3">
      <c r="B743" s="10">
        <v>16</v>
      </c>
      <c r="C743" s="8">
        <v>458</v>
      </c>
      <c r="D743" s="8">
        <v>5</v>
      </c>
    </row>
    <row r="744" spans="2:4" x14ac:dyDescent="0.3">
      <c r="B744" s="10">
        <v>17</v>
      </c>
      <c r="C744" s="8">
        <v>460</v>
      </c>
      <c r="D744" s="8">
        <v>6</v>
      </c>
    </row>
    <row r="745" spans="2:4" x14ac:dyDescent="0.3">
      <c r="B745" s="7" t="s">
        <v>4481</v>
      </c>
      <c r="C745" s="8"/>
      <c r="D745" s="8"/>
    </row>
    <row r="746" spans="2:4" x14ac:dyDescent="0.3">
      <c r="B746" s="10">
        <v>9</v>
      </c>
      <c r="C746" s="8">
        <v>120</v>
      </c>
      <c r="D746" s="8">
        <v>4</v>
      </c>
    </row>
    <row r="747" spans="2:4" x14ac:dyDescent="0.3">
      <c r="B747" s="10">
        <v>10</v>
      </c>
      <c r="C747" s="8">
        <v>256</v>
      </c>
      <c r="D747" s="8">
        <v>3</v>
      </c>
    </row>
    <row r="748" spans="2:4" x14ac:dyDescent="0.3">
      <c r="B748" s="10">
        <v>11</v>
      </c>
      <c r="C748" s="8">
        <v>353</v>
      </c>
      <c r="D748" s="8">
        <v>5</v>
      </c>
    </row>
    <row r="749" spans="2:4" x14ac:dyDescent="0.3">
      <c r="B749" s="10">
        <v>12</v>
      </c>
      <c r="C749" s="8">
        <v>508</v>
      </c>
      <c r="D749" s="8">
        <v>6</v>
      </c>
    </row>
    <row r="750" spans="2:4" x14ac:dyDescent="0.3">
      <c r="B750" s="10">
        <v>13</v>
      </c>
      <c r="C750" s="8">
        <v>216</v>
      </c>
      <c r="D750" s="8">
        <v>4</v>
      </c>
    </row>
    <row r="751" spans="2:4" x14ac:dyDescent="0.3">
      <c r="B751" s="10">
        <v>14</v>
      </c>
      <c r="C751" s="8">
        <v>98</v>
      </c>
      <c r="D751" s="8">
        <v>2</v>
      </c>
    </row>
    <row r="752" spans="2:4" x14ac:dyDescent="0.3">
      <c r="B752" s="10">
        <v>15</v>
      </c>
      <c r="C752" s="8">
        <v>611</v>
      </c>
      <c r="D752" s="8">
        <v>5</v>
      </c>
    </row>
    <row r="753" spans="2:4" x14ac:dyDescent="0.3">
      <c r="B753" s="10">
        <v>16</v>
      </c>
      <c r="C753" s="8">
        <v>484</v>
      </c>
      <c r="D753" s="8">
        <v>5</v>
      </c>
    </row>
    <row r="754" spans="2:4" x14ac:dyDescent="0.3">
      <c r="B754" s="7" t="s">
        <v>4524</v>
      </c>
      <c r="C754" s="8"/>
      <c r="D754" s="8"/>
    </row>
    <row r="755" spans="2:4" x14ac:dyDescent="0.3">
      <c r="B755" s="10">
        <v>9</v>
      </c>
      <c r="C755" s="8">
        <v>131</v>
      </c>
      <c r="D755" s="8">
        <v>4</v>
      </c>
    </row>
    <row r="756" spans="2:4" x14ac:dyDescent="0.3">
      <c r="B756" s="10">
        <v>10</v>
      </c>
      <c r="C756" s="8">
        <v>326</v>
      </c>
      <c r="D756" s="8">
        <v>6</v>
      </c>
    </row>
    <row r="757" spans="2:4" x14ac:dyDescent="0.3">
      <c r="B757" s="10">
        <v>11</v>
      </c>
      <c r="C757" s="8">
        <v>338</v>
      </c>
      <c r="D757" s="8">
        <v>5</v>
      </c>
    </row>
    <row r="758" spans="2:4" x14ac:dyDescent="0.3">
      <c r="B758" s="10">
        <v>12</v>
      </c>
      <c r="C758" s="8">
        <v>174</v>
      </c>
      <c r="D758" s="8">
        <v>3</v>
      </c>
    </row>
    <row r="759" spans="2:4" x14ac:dyDescent="0.3">
      <c r="B759" s="10">
        <v>13</v>
      </c>
      <c r="C759" s="8">
        <v>484</v>
      </c>
      <c r="D759" s="8">
        <v>6</v>
      </c>
    </row>
    <row r="760" spans="2:4" x14ac:dyDescent="0.3">
      <c r="B760" s="10">
        <v>14</v>
      </c>
      <c r="C760" s="8">
        <v>50</v>
      </c>
      <c r="D760" s="8">
        <v>2</v>
      </c>
    </row>
    <row r="761" spans="2:4" x14ac:dyDescent="0.3">
      <c r="B761" s="10">
        <v>15</v>
      </c>
      <c r="C761" s="8">
        <v>442</v>
      </c>
      <c r="D761" s="8">
        <v>8</v>
      </c>
    </row>
    <row r="762" spans="2:4" x14ac:dyDescent="0.3">
      <c r="B762" s="10">
        <v>16</v>
      </c>
      <c r="C762" s="8">
        <v>203</v>
      </c>
      <c r="D762" s="8">
        <v>3</v>
      </c>
    </row>
    <row r="763" spans="2:4" x14ac:dyDescent="0.3">
      <c r="B763" s="10">
        <v>17</v>
      </c>
      <c r="C763" s="8">
        <v>454</v>
      </c>
      <c r="D763" s="8">
        <v>4</v>
      </c>
    </row>
    <row r="764" spans="2:4" x14ac:dyDescent="0.3">
      <c r="B764" s="7" t="s">
        <v>4581</v>
      </c>
      <c r="C764" s="8"/>
      <c r="D764" s="8"/>
    </row>
    <row r="765" spans="2:4" x14ac:dyDescent="0.3">
      <c r="B765" s="10">
        <v>9</v>
      </c>
      <c r="C765" s="8">
        <v>295</v>
      </c>
      <c r="D765" s="8">
        <v>4</v>
      </c>
    </row>
    <row r="766" spans="2:4" x14ac:dyDescent="0.3">
      <c r="B766" s="10">
        <v>10</v>
      </c>
      <c r="C766" s="8">
        <v>338</v>
      </c>
      <c r="D766" s="8">
        <v>3</v>
      </c>
    </row>
    <row r="767" spans="2:4" x14ac:dyDescent="0.3">
      <c r="B767" s="10">
        <v>11</v>
      </c>
      <c r="C767" s="8">
        <v>408</v>
      </c>
      <c r="D767" s="8">
        <v>4</v>
      </c>
    </row>
    <row r="768" spans="2:4" x14ac:dyDescent="0.3">
      <c r="B768" s="10">
        <v>12</v>
      </c>
      <c r="C768" s="8">
        <v>404</v>
      </c>
      <c r="D768" s="8">
        <v>4</v>
      </c>
    </row>
    <row r="769" spans="2:4" x14ac:dyDescent="0.3">
      <c r="B769" s="10">
        <v>13</v>
      </c>
      <c r="C769" s="8">
        <v>308</v>
      </c>
      <c r="D769" s="8">
        <v>5</v>
      </c>
    </row>
    <row r="770" spans="2:4" x14ac:dyDescent="0.3">
      <c r="B770" s="10">
        <v>14</v>
      </c>
      <c r="C770" s="8">
        <v>748</v>
      </c>
      <c r="D770" s="8">
        <v>6</v>
      </c>
    </row>
    <row r="771" spans="2:4" x14ac:dyDescent="0.3">
      <c r="B771" s="10">
        <v>15</v>
      </c>
      <c r="C771" s="8">
        <v>373</v>
      </c>
      <c r="D771" s="8">
        <v>4</v>
      </c>
    </row>
    <row r="772" spans="2:4" x14ac:dyDescent="0.3">
      <c r="B772" s="10">
        <v>16</v>
      </c>
      <c r="C772" s="8">
        <v>320</v>
      </c>
      <c r="D772" s="8">
        <v>5</v>
      </c>
    </row>
    <row r="773" spans="2:4" x14ac:dyDescent="0.3">
      <c r="B773" s="10">
        <v>17</v>
      </c>
      <c r="C773" s="8">
        <v>400</v>
      </c>
      <c r="D773" s="8">
        <v>3</v>
      </c>
    </row>
    <row r="774" spans="2:4" x14ac:dyDescent="0.3">
      <c r="B774" s="7" t="s">
        <v>4644</v>
      </c>
      <c r="C774" s="8"/>
      <c r="D774" s="8"/>
    </row>
    <row r="775" spans="2:4" x14ac:dyDescent="0.3">
      <c r="B775" s="10">
        <v>9</v>
      </c>
      <c r="C775" s="8">
        <v>189</v>
      </c>
      <c r="D775" s="8">
        <v>3</v>
      </c>
    </row>
    <row r="776" spans="2:4" x14ac:dyDescent="0.3">
      <c r="B776" s="10">
        <v>10</v>
      </c>
      <c r="C776" s="8">
        <v>306</v>
      </c>
      <c r="D776" s="8">
        <v>6</v>
      </c>
    </row>
    <row r="777" spans="2:4" x14ac:dyDescent="0.3">
      <c r="B777" s="10">
        <v>11</v>
      </c>
      <c r="C777" s="8">
        <v>168</v>
      </c>
      <c r="D777" s="8">
        <v>2</v>
      </c>
    </row>
    <row r="778" spans="2:4" x14ac:dyDescent="0.3">
      <c r="B778" s="10">
        <v>12</v>
      </c>
      <c r="C778" s="8">
        <v>395</v>
      </c>
      <c r="D778" s="8">
        <v>4</v>
      </c>
    </row>
    <row r="779" spans="2:4" x14ac:dyDescent="0.3">
      <c r="B779" s="10">
        <v>13</v>
      </c>
      <c r="C779" s="8">
        <v>416</v>
      </c>
      <c r="D779" s="8">
        <v>6</v>
      </c>
    </row>
    <row r="780" spans="2:4" x14ac:dyDescent="0.3">
      <c r="B780" s="10">
        <v>14</v>
      </c>
      <c r="C780" s="8">
        <v>357</v>
      </c>
      <c r="D780" s="8">
        <v>4</v>
      </c>
    </row>
    <row r="781" spans="2:4" x14ac:dyDescent="0.3">
      <c r="B781" s="10">
        <v>15</v>
      </c>
      <c r="C781" s="8">
        <v>330</v>
      </c>
      <c r="D781" s="8">
        <v>4</v>
      </c>
    </row>
    <row r="782" spans="2:4" x14ac:dyDescent="0.3">
      <c r="B782" s="10">
        <v>16</v>
      </c>
      <c r="C782" s="8">
        <v>535</v>
      </c>
      <c r="D782" s="8">
        <v>7</v>
      </c>
    </row>
    <row r="783" spans="2:4" x14ac:dyDescent="0.3">
      <c r="B783" s="10">
        <v>17</v>
      </c>
      <c r="C783" s="8">
        <v>376</v>
      </c>
      <c r="D783" s="8">
        <v>5</v>
      </c>
    </row>
    <row r="784" spans="2:4" x14ac:dyDescent="0.3">
      <c r="B784" s="7" t="s">
        <v>4699</v>
      </c>
      <c r="C784" s="8"/>
      <c r="D784" s="8"/>
    </row>
    <row r="785" spans="2:4" x14ac:dyDescent="0.3">
      <c r="B785" s="10">
        <v>9</v>
      </c>
      <c r="C785" s="8">
        <v>300</v>
      </c>
      <c r="D785" s="8">
        <v>3</v>
      </c>
    </row>
    <row r="786" spans="2:4" x14ac:dyDescent="0.3">
      <c r="B786" s="10">
        <v>11</v>
      </c>
      <c r="C786" s="8">
        <v>228</v>
      </c>
      <c r="D786" s="8">
        <v>2</v>
      </c>
    </row>
    <row r="787" spans="2:4" x14ac:dyDescent="0.3">
      <c r="B787" s="10">
        <v>12</v>
      </c>
      <c r="C787" s="8">
        <v>207</v>
      </c>
      <c r="D787" s="8">
        <v>3</v>
      </c>
    </row>
    <row r="788" spans="2:4" x14ac:dyDescent="0.3">
      <c r="B788" s="10">
        <v>13</v>
      </c>
      <c r="C788" s="8">
        <v>311</v>
      </c>
      <c r="D788" s="8">
        <v>3</v>
      </c>
    </row>
    <row r="789" spans="2:4" x14ac:dyDescent="0.3">
      <c r="B789" s="10">
        <v>14</v>
      </c>
      <c r="C789" s="8">
        <v>98</v>
      </c>
      <c r="D789" s="8">
        <v>4</v>
      </c>
    </row>
    <row r="790" spans="2:4" x14ac:dyDescent="0.3">
      <c r="B790" s="10">
        <v>15</v>
      </c>
      <c r="C790" s="8">
        <v>285</v>
      </c>
      <c r="D790" s="8">
        <v>3</v>
      </c>
    </row>
    <row r="791" spans="2:4" x14ac:dyDescent="0.3">
      <c r="B791" s="10">
        <v>16</v>
      </c>
      <c r="C791" s="8">
        <v>684</v>
      </c>
      <c r="D791" s="8">
        <v>5</v>
      </c>
    </row>
    <row r="792" spans="2:4" x14ac:dyDescent="0.3">
      <c r="B792" s="10">
        <v>17</v>
      </c>
      <c r="C792" s="8">
        <v>417</v>
      </c>
      <c r="D792" s="8">
        <v>5</v>
      </c>
    </row>
    <row r="793" spans="2:4" x14ac:dyDescent="0.3">
      <c r="B793" s="7" t="s">
        <v>4746</v>
      </c>
      <c r="C793" s="8"/>
      <c r="D793" s="8"/>
    </row>
    <row r="794" spans="2:4" x14ac:dyDescent="0.3">
      <c r="B794" s="10">
        <v>9</v>
      </c>
      <c r="C794" s="8">
        <v>495</v>
      </c>
      <c r="D794" s="8">
        <v>5</v>
      </c>
    </row>
    <row r="795" spans="2:4" x14ac:dyDescent="0.3">
      <c r="B795" s="10">
        <v>10</v>
      </c>
      <c r="C795" s="8">
        <v>615</v>
      </c>
      <c r="D795" s="8">
        <v>5</v>
      </c>
    </row>
    <row r="796" spans="2:4" x14ac:dyDescent="0.3">
      <c r="B796" s="10">
        <v>11</v>
      </c>
      <c r="C796" s="8">
        <v>378</v>
      </c>
      <c r="D796" s="8">
        <v>5</v>
      </c>
    </row>
    <row r="797" spans="2:4" x14ac:dyDescent="0.3">
      <c r="B797" s="10">
        <v>12</v>
      </c>
      <c r="C797" s="8">
        <v>31</v>
      </c>
      <c r="D797" s="8">
        <v>2</v>
      </c>
    </row>
    <row r="798" spans="2:4" x14ac:dyDescent="0.3">
      <c r="B798" s="10">
        <v>13</v>
      </c>
      <c r="C798" s="8">
        <v>219</v>
      </c>
      <c r="D798" s="8">
        <v>5</v>
      </c>
    </row>
    <row r="799" spans="2:4" x14ac:dyDescent="0.3">
      <c r="B799" s="10">
        <v>14</v>
      </c>
      <c r="C799" s="8">
        <v>259</v>
      </c>
      <c r="D799" s="8">
        <v>4</v>
      </c>
    </row>
    <row r="800" spans="2:4" x14ac:dyDescent="0.3">
      <c r="B800" s="10">
        <v>15</v>
      </c>
      <c r="C800" s="8">
        <v>416</v>
      </c>
      <c r="D800" s="8">
        <v>6</v>
      </c>
    </row>
    <row r="801" spans="2:4" x14ac:dyDescent="0.3">
      <c r="B801" s="10">
        <v>16</v>
      </c>
      <c r="C801" s="8">
        <v>593</v>
      </c>
      <c r="D801" s="8">
        <v>6</v>
      </c>
    </row>
    <row r="802" spans="2:4" x14ac:dyDescent="0.3">
      <c r="B802" s="10">
        <v>17</v>
      </c>
      <c r="C802" s="8">
        <v>175</v>
      </c>
      <c r="D802" s="8">
        <v>2</v>
      </c>
    </row>
    <row r="803" spans="2:4" x14ac:dyDescent="0.3">
      <c r="B803" s="7" t="s">
        <v>4801</v>
      </c>
      <c r="C803" s="8"/>
      <c r="D803" s="8"/>
    </row>
    <row r="804" spans="2:4" x14ac:dyDescent="0.3">
      <c r="B804" s="10">
        <v>9</v>
      </c>
      <c r="C804" s="8">
        <v>331</v>
      </c>
      <c r="D804" s="8">
        <v>4</v>
      </c>
    </row>
    <row r="805" spans="2:4" x14ac:dyDescent="0.3">
      <c r="B805" s="10">
        <v>10</v>
      </c>
      <c r="C805" s="8">
        <v>500</v>
      </c>
      <c r="D805" s="8">
        <v>6</v>
      </c>
    </row>
    <row r="806" spans="2:4" x14ac:dyDescent="0.3">
      <c r="B806" s="10">
        <v>11</v>
      </c>
      <c r="C806" s="8">
        <v>178</v>
      </c>
      <c r="D806" s="8">
        <v>3</v>
      </c>
    </row>
    <row r="807" spans="2:4" x14ac:dyDescent="0.3">
      <c r="B807" s="10">
        <v>12</v>
      </c>
      <c r="C807" s="8">
        <v>138</v>
      </c>
      <c r="D807" s="8">
        <v>2</v>
      </c>
    </row>
    <row r="808" spans="2:4" x14ac:dyDescent="0.3">
      <c r="B808" s="10">
        <v>13</v>
      </c>
      <c r="C808" s="8">
        <v>180</v>
      </c>
      <c r="D808" s="8">
        <v>3</v>
      </c>
    </row>
    <row r="809" spans="2:4" x14ac:dyDescent="0.3">
      <c r="B809" s="10">
        <v>14</v>
      </c>
      <c r="C809" s="8">
        <v>121</v>
      </c>
      <c r="D809" s="8">
        <v>2</v>
      </c>
    </row>
    <row r="810" spans="2:4" x14ac:dyDescent="0.3">
      <c r="B810" s="10">
        <v>15</v>
      </c>
      <c r="C810" s="8">
        <v>401</v>
      </c>
      <c r="D810" s="8">
        <v>5</v>
      </c>
    </row>
    <row r="811" spans="2:4" x14ac:dyDescent="0.3">
      <c r="B811" s="10">
        <v>16</v>
      </c>
      <c r="C811" s="8">
        <v>656</v>
      </c>
      <c r="D811" s="8">
        <v>6</v>
      </c>
    </row>
    <row r="812" spans="2:4" x14ac:dyDescent="0.3">
      <c r="B812" s="10">
        <v>17</v>
      </c>
      <c r="C812" s="8">
        <v>145</v>
      </c>
      <c r="D812" s="8">
        <v>3</v>
      </c>
    </row>
    <row r="813" spans="2:4" x14ac:dyDescent="0.3">
      <c r="B813" s="7" t="s">
        <v>4848</v>
      </c>
      <c r="C813" s="8"/>
      <c r="D813" s="8"/>
    </row>
    <row r="814" spans="2:4" x14ac:dyDescent="0.3">
      <c r="B814" s="10">
        <v>9</v>
      </c>
      <c r="C814" s="8">
        <v>180</v>
      </c>
      <c r="D814" s="8">
        <v>4</v>
      </c>
    </row>
    <row r="815" spans="2:4" x14ac:dyDescent="0.3">
      <c r="B815" s="10">
        <v>10</v>
      </c>
      <c r="C815" s="8">
        <v>507</v>
      </c>
      <c r="D815" s="8">
        <v>8</v>
      </c>
    </row>
    <row r="816" spans="2:4" x14ac:dyDescent="0.3">
      <c r="B816" s="10">
        <v>11</v>
      </c>
      <c r="C816" s="8">
        <v>194</v>
      </c>
      <c r="D816" s="8">
        <v>4</v>
      </c>
    </row>
    <row r="817" spans="2:4" x14ac:dyDescent="0.3">
      <c r="B817" s="10">
        <v>12</v>
      </c>
      <c r="C817" s="8">
        <v>626</v>
      </c>
      <c r="D817" s="8">
        <v>6</v>
      </c>
    </row>
    <row r="818" spans="2:4" x14ac:dyDescent="0.3">
      <c r="B818" s="10">
        <v>13</v>
      </c>
      <c r="C818" s="8">
        <v>162</v>
      </c>
      <c r="D818" s="8">
        <v>1</v>
      </c>
    </row>
    <row r="819" spans="2:4" x14ac:dyDescent="0.3">
      <c r="B819" s="10">
        <v>14</v>
      </c>
      <c r="C819" s="8">
        <v>208</v>
      </c>
      <c r="D819" s="8">
        <v>4</v>
      </c>
    </row>
    <row r="820" spans="2:4" x14ac:dyDescent="0.3">
      <c r="B820" s="10">
        <v>15</v>
      </c>
      <c r="C820" s="8">
        <v>390</v>
      </c>
      <c r="D820" s="8">
        <v>4</v>
      </c>
    </row>
    <row r="821" spans="2:4" x14ac:dyDescent="0.3">
      <c r="B821" s="10">
        <v>16</v>
      </c>
      <c r="C821" s="8">
        <v>241</v>
      </c>
      <c r="D821" s="8">
        <v>3</v>
      </c>
    </row>
    <row r="822" spans="2:4" x14ac:dyDescent="0.3">
      <c r="B822" s="10">
        <v>17</v>
      </c>
      <c r="C822" s="8">
        <v>368</v>
      </c>
      <c r="D822" s="8">
        <v>5</v>
      </c>
    </row>
    <row r="823" spans="2:4" x14ac:dyDescent="0.3">
      <c r="B823" s="7" t="s">
        <v>4903</v>
      </c>
      <c r="C823" s="8"/>
      <c r="D823" s="8"/>
    </row>
    <row r="824" spans="2:4" x14ac:dyDescent="0.3">
      <c r="B824" s="10">
        <v>9</v>
      </c>
      <c r="C824" s="8">
        <v>89</v>
      </c>
      <c r="D824" s="8">
        <v>2</v>
      </c>
    </row>
    <row r="825" spans="2:4" x14ac:dyDescent="0.3">
      <c r="B825" s="10">
        <v>11</v>
      </c>
      <c r="C825" s="8">
        <v>580</v>
      </c>
      <c r="D825" s="8">
        <v>6</v>
      </c>
    </row>
    <row r="826" spans="2:4" x14ac:dyDescent="0.3">
      <c r="B826" s="10">
        <v>12</v>
      </c>
      <c r="C826" s="8">
        <v>251</v>
      </c>
      <c r="D826" s="8">
        <v>4</v>
      </c>
    </row>
    <row r="827" spans="2:4" x14ac:dyDescent="0.3">
      <c r="B827" s="10">
        <v>13</v>
      </c>
      <c r="C827" s="8">
        <v>239</v>
      </c>
      <c r="D827" s="8">
        <v>4</v>
      </c>
    </row>
    <row r="828" spans="2:4" x14ac:dyDescent="0.3">
      <c r="B828" s="10">
        <v>14</v>
      </c>
      <c r="C828" s="8">
        <v>311</v>
      </c>
      <c r="D828" s="8">
        <v>5</v>
      </c>
    </row>
    <row r="829" spans="2:4" x14ac:dyDescent="0.3">
      <c r="B829" s="10">
        <v>15</v>
      </c>
      <c r="C829" s="8">
        <v>853</v>
      </c>
      <c r="D829" s="8">
        <v>7</v>
      </c>
    </row>
    <row r="830" spans="2:4" x14ac:dyDescent="0.3">
      <c r="B830" s="10">
        <v>16</v>
      </c>
      <c r="C830" s="8">
        <v>524</v>
      </c>
      <c r="D830" s="8">
        <v>6</v>
      </c>
    </row>
    <row r="831" spans="2:4" x14ac:dyDescent="0.3">
      <c r="B831" s="10">
        <v>17</v>
      </c>
      <c r="C831" s="8">
        <v>175</v>
      </c>
      <c r="D831" s="8">
        <v>4</v>
      </c>
    </row>
    <row r="832" spans="2:4" x14ac:dyDescent="0.3">
      <c r="B832" s="7" t="s">
        <v>4962</v>
      </c>
      <c r="C832" s="8"/>
      <c r="D832" s="8"/>
    </row>
    <row r="833" spans="2:4" x14ac:dyDescent="0.3">
      <c r="B833" s="10">
        <v>9</v>
      </c>
      <c r="C833" s="8">
        <v>238</v>
      </c>
      <c r="D833" s="8">
        <v>3</v>
      </c>
    </row>
    <row r="834" spans="2:4" x14ac:dyDescent="0.3">
      <c r="B834" s="10">
        <v>10</v>
      </c>
      <c r="C834" s="8">
        <v>22</v>
      </c>
      <c r="D834" s="8">
        <v>2</v>
      </c>
    </row>
    <row r="835" spans="2:4" x14ac:dyDescent="0.3">
      <c r="B835" s="10">
        <v>11</v>
      </c>
      <c r="C835" s="8">
        <v>181</v>
      </c>
      <c r="D835" s="8">
        <v>5</v>
      </c>
    </row>
    <row r="836" spans="2:4" x14ac:dyDescent="0.3">
      <c r="B836" s="10">
        <v>12</v>
      </c>
      <c r="C836" s="8">
        <v>95</v>
      </c>
      <c r="D836" s="8">
        <v>2</v>
      </c>
    </row>
    <row r="837" spans="2:4" x14ac:dyDescent="0.3">
      <c r="B837" s="10">
        <v>13</v>
      </c>
      <c r="C837" s="8">
        <v>222</v>
      </c>
      <c r="D837" s="8">
        <v>5</v>
      </c>
    </row>
    <row r="838" spans="2:4" x14ac:dyDescent="0.3">
      <c r="B838" s="10">
        <v>15</v>
      </c>
      <c r="C838" s="8">
        <v>193</v>
      </c>
      <c r="D838" s="8">
        <v>2</v>
      </c>
    </row>
    <row r="839" spans="2:4" x14ac:dyDescent="0.3">
      <c r="B839" s="10">
        <v>16</v>
      </c>
      <c r="C839" s="8">
        <v>276</v>
      </c>
      <c r="D839" s="8">
        <v>4</v>
      </c>
    </row>
    <row r="840" spans="2:4" x14ac:dyDescent="0.3">
      <c r="B840" s="10">
        <v>17</v>
      </c>
      <c r="C840" s="8">
        <v>485</v>
      </c>
      <c r="D840" s="8">
        <v>6</v>
      </c>
    </row>
    <row r="841" spans="2:4" x14ac:dyDescent="0.3">
      <c r="B841" s="7" t="s">
        <v>5001</v>
      </c>
      <c r="C841" s="8"/>
      <c r="D841" s="8"/>
    </row>
    <row r="842" spans="2:4" x14ac:dyDescent="0.3">
      <c r="B842" s="10">
        <v>9</v>
      </c>
      <c r="C842" s="8">
        <v>193</v>
      </c>
      <c r="D842" s="8">
        <v>2</v>
      </c>
    </row>
    <row r="843" spans="2:4" x14ac:dyDescent="0.3">
      <c r="B843" s="10">
        <v>10</v>
      </c>
      <c r="C843" s="8">
        <v>525</v>
      </c>
      <c r="D843" s="8">
        <v>5</v>
      </c>
    </row>
    <row r="844" spans="2:4" x14ac:dyDescent="0.3">
      <c r="B844" s="10">
        <v>11</v>
      </c>
      <c r="C844" s="8">
        <v>625</v>
      </c>
      <c r="D844" s="8">
        <v>4</v>
      </c>
    </row>
    <row r="845" spans="2:4" x14ac:dyDescent="0.3">
      <c r="B845" s="10">
        <v>12</v>
      </c>
      <c r="C845" s="8">
        <v>308</v>
      </c>
      <c r="D845" s="8">
        <v>2</v>
      </c>
    </row>
    <row r="846" spans="2:4" x14ac:dyDescent="0.3">
      <c r="B846" s="10">
        <v>13</v>
      </c>
      <c r="C846" s="8">
        <v>318</v>
      </c>
      <c r="D846" s="8">
        <v>5</v>
      </c>
    </row>
    <row r="847" spans="2:4" x14ac:dyDescent="0.3">
      <c r="B847" s="10">
        <v>14</v>
      </c>
      <c r="C847" s="8">
        <v>253</v>
      </c>
      <c r="D847" s="8">
        <v>4</v>
      </c>
    </row>
    <row r="848" spans="2:4" x14ac:dyDescent="0.3">
      <c r="B848" s="10">
        <v>15</v>
      </c>
      <c r="C848" s="8">
        <v>1051</v>
      </c>
      <c r="D848" s="8">
        <v>7</v>
      </c>
    </row>
    <row r="849" spans="2:4" x14ac:dyDescent="0.3">
      <c r="B849" s="10">
        <v>16</v>
      </c>
      <c r="C849" s="8">
        <v>358</v>
      </c>
      <c r="D849" s="8">
        <v>4</v>
      </c>
    </row>
    <row r="850" spans="2:4" x14ac:dyDescent="0.3">
      <c r="B850" s="10">
        <v>17</v>
      </c>
      <c r="C850" s="8">
        <v>74</v>
      </c>
      <c r="D850" s="8">
        <v>2</v>
      </c>
    </row>
    <row r="851" spans="2:4" x14ac:dyDescent="0.3">
      <c r="B851" s="7" t="s">
        <v>5062</v>
      </c>
      <c r="C851" s="8"/>
      <c r="D851" s="8"/>
    </row>
    <row r="852" spans="2:4" x14ac:dyDescent="0.3">
      <c r="B852" s="10">
        <v>9</v>
      </c>
      <c r="C852" s="8">
        <v>263</v>
      </c>
      <c r="D852" s="8">
        <v>3</v>
      </c>
    </row>
    <row r="853" spans="2:4" x14ac:dyDescent="0.3">
      <c r="B853" s="10">
        <v>11</v>
      </c>
      <c r="C853" s="8">
        <v>170</v>
      </c>
      <c r="D853" s="8">
        <v>2</v>
      </c>
    </row>
    <row r="854" spans="2:4" x14ac:dyDescent="0.3">
      <c r="B854" s="10">
        <v>12</v>
      </c>
      <c r="C854" s="8">
        <v>248</v>
      </c>
      <c r="D854" s="8">
        <v>4</v>
      </c>
    </row>
    <row r="855" spans="2:4" x14ac:dyDescent="0.3">
      <c r="B855" s="10">
        <v>13</v>
      </c>
      <c r="C855" s="8">
        <v>151</v>
      </c>
      <c r="D855" s="8">
        <v>3</v>
      </c>
    </row>
    <row r="856" spans="2:4" x14ac:dyDescent="0.3">
      <c r="B856" s="10">
        <v>15</v>
      </c>
      <c r="C856" s="8">
        <v>77</v>
      </c>
      <c r="D856" s="8">
        <v>4</v>
      </c>
    </row>
    <row r="857" spans="2:4" x14ac:dyDescent="0.3">
      <c r="B857" s="10">
        <v>16</v>
      </c>
      <c r="C857" s="8">
        <v>146</v>
      </c>
      <c r="D857" s="8">
        <v>4</v>
      </c>
    </row>
    <row r="858" spans="2:4" x14ac:dyDescent="0.3">
      <c r="B858" s="10">
        <v>17</v>
      </c>
      <c r="C858" s="8">
        <v>145</v>
      </c>
      <c r="D858" s="8">
        <v>2</v>
      </c>
    </row>
    <row r="859" spans="2:4" x14ac:dyDescent="0.3">
      <c r="B859" s="7" t="s">
        <v>5088</v>
      </c>
      <c r="C859" s="8"/>
      <c r="D859" s="8"/>
    </row>
    <row r="860" spans="2:4" x14ac:dyDescent="0.3">
      <c r="B860" s="10">
        <v>9</v>
      </c>
      <c r="C860" s="8">
        <v>353</v>
      </c>
      <c r="D860" s="8">
        <v>3</v>
      </c>
    </row>
    <row r="861" spans="2:4" x14ac:dyDescent="0.3">
      <c r="B861" s="10">
        <v>10</v>
      </c>
      <c r="C861" s="8">
        <v>131</v>
      </c>
      <c r="D861" s="8">
        <v>2</v>
      </c>
    </row>
    <row r="862" spans="2:4" x14ac:dyDescent="0.3">
      <c r="B862" s="10">
        <v>11</v>
      </c>
      <c r="C862" s="8">
        <v>237</v>
      </c>
      <c r="D862" s="8">
        <v>4</v>
      </c>
    </row>
    <row r="863" spans="2:4" x14ac:dyDescent="0.3">
      <c r="B863" s="10">
        <v>12</v>
      </c>
      <c r="C863" s="8">
        <v>55</v>
      </c>
      <c r="D863" s="8">
        <v>2</v>
      </c>
    </row>
    <row r="864" spans="2:4" x14ac:dyDescent="0.3">
      <c r="B864" s="10">
        <v>13</v>
      </c>
      <c r="C864" s="8">
        <v>281</v>
      </c>
      <c r="D864" s="8">
        <v>3</v>
      </c>
    </row>
    <row r="865" spans="2:4" x14ac:dyDescent="0.3">
      <c r="B865" s="10">
        <v>14</v>
      </c>
      <c r="C865" s="8"/>
      <c r="D865" s="8">
        <v>2</v>
      </c>
    </row>
    <row r="866" spans="2:4" x14ac:dyDescent="0.3">
      <c r="B866" s="10">
        <v>15</v>
      </c>
      <c r="C866" s="8"/>
      <c r="D866" s="8">
        <v>1</v>
      </c>
    </row>
    <row r="867" spans="2:4" x14ac:dyDescent="0.3">
      <c r="B867" s="10">
        <v>16</v>
      </c>
      <c r="C867" s="8">
        <v>206</v>
      </c>
      <c r="D867" s="8">
        <v>2</v>
      </c>
    </row>
    <row r="868" spans="2:4" x14ac:dyDescent="0.3">
      <c r="B868" s="10">
        <v>17</v>
      </c>
      <c r="C868" s="8">
        <v>98</v>
      </c>
      <c r="D868" s="8">
        <v>2</v>
      </c>
    </row>
    <row r="869" spans="2:4" x14ac:dyDescent="0.3">
      <c r="B869" s="7" t="s">
        <v>5121</v>
      </c>
      <c r="C869" s="8">
        <v>273729</v>
      </c>
      <c r="D869" s="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A43C-79DD-0C4E-BEEB-396CCF4E3E63}">
  <dimension ref="A3:L12"/>
  <sheetViews>
    <sheetView zoomScale="125" zoomScaleNormal="190" workbookViewId="0">
      <selection activeCell="K8" sqref="J8:K8"/>
    </sheetView>
  </sheetViews>
  <sheetFormatPr defaultColWidth="11.5546875" defaultRowHeight="14.4" x14ac:dyDescent="0.3"/>
  <cols>
    <col min="1" max="1" width="14.44140625" bestFit="1" customWidth="1"/>
    <col min="2" max="2" width="16.77734375" bestFit="1" customWidth="1"/>
    <col min="3" max="10" width="4.109375" bestFit="1" customWidth="1"/>
    <col min="11" max="11" width="3.109375" bestFit="1" customWidth="1"/>
    <col min="12" max="12" width="10.33203125" bestFit="1" customWidth="1"/>
    <col min="13" max="13" width="6" bestFit="1" customWidth="1"/>
    <col min="14" max="22" width="3.109375" bestFit="1" customWidth="1"/>
    <col min="23" max="23" width="8.6640625" bestFit="1" customWidth="1"/>
    <col min="24" max="24" width="7.44140625" bestFit="1" customWidth="1"/>
    <col min="25" max="33" width="3.109375" bestFit="1" customWidth="1"/>
    <col min="34" max="34" width="10.109375" bestFit="1" customWidth="1"/>
    <col min="35" max="35" width="6.6640625" bestFit="1" customWidth="1"/>
    <col min="36" max="44" width="3.109375" bestFit="1" customWidth="1"/>
    <col min="45" max="45" width="9.33203125" bestFit="1" customWidth="1"/>
    <col min="46" max="46" width="5.44140625" bestFit="1" customWidth="1"/>
    <col min="47" max="55" width="3.109375" bestFit="1" customWidth="1"/>
    <col min="56" max="56" width="8.109375" bestFit="1" customWidth="1"/>
    <col min="57" max="57" width="5.44140625" bestFit="1" customWidth="1"/>
    <col min="58" max="66" width="3.109375" bestFit="1" customWidth="1"/>
    <col min="67" max="67" width="8.109375" bestFit="1" customWidth="1"/>
    <col min="68" max="68" width="8.77734375" bestFit="1" customWidth="1"/>
    <col min="69" max="76" width="3.109375" bestFit="1" customWidth="1"/>
    <col min="77" max="77" width="11.44140625" bestFit="1" customWidth="1"/>
    <col min="78" max="78" width="9.33203125" bestFit="1" customWidth="1"/>
    <col min="79" max="87" width="3.109375" bestFit="1" customWidth="1"/>
    <col min="88" max="88" width="11.77734375" bestFit="1" customWidth="1"/>
    <col min="89" max="89" width="10.44140625" bestFit="1" customWidth="1"/>
  </cols>
  <sheetData>
    <row r="3" spans="1:12" x14ac:dyDescent="0.3">
      <c r="A3" s="6" t="s">
        <v>5132</v>
      </c>
      <c r="B3" s="6" t="s">
        <v>5131</v>
      </c>
    </row>
    <row r="4" spans="1:12" x14ac:dyDescent="0.3">
      <c r="A4" s="6" t="s">
        <v>5130</v>
      </c>
      <c r="B4" s="3">
        <v>9</v>
      </c>
      <c r="C4" s="3">
        <v>10</v>
      </c>
      <c r="D4" s="3">
        <v>11</v>
      </c>
      <c r="E4" s="3">
        <v>12</v>
      </c>
      <c r="F4" s="3">
        <v>13</v>
      </c>
      <c r="G4" s="3">
        <v>14</v>
      </c>
      <c r="H4" s="3">
        <v>15</v>
      </c>
      <c r="I4" s="3">
        <v>16</v>
      </c>
      <c r="J4" s="3">
        <v>17</v>
      </c>
      <c r="K4" s="3">
        <v>18</v>
      </c>
      <c r="L4" s="3" t="s">
        <v>5121</v>
      </c>
    </row>
    <row r="5" spans="1:12" x14ac:dyDescent="0.3">
      <c r="A5" s="7" t="s">
        <v>5122</v>
      </c>
      <c r="B5">
        <v>82</v>
      </c>
      <c r="C5">
        <v>66</v>
      </c>
      <c r="D5">
        <v>86</v>
      </c>
      <c r="E5">
        <v>90</v>
      </c>
      <c r="F5">
        <v>100</v>
      </c>
      <c r="G5">
        <v>98</v>
      </c>
      <c r="H5">
        <v>76</v>
      </c>
      <c r="I5">
        <v>66</v>
      </c>
      <c r="J5">
        <v>106</v>
      </c>
      <c r="L5">
        <v>770</v>
      </c>
    </row>
    <row r="6" spans="1:12" x14ac:dyDescent="0.3">
      <c r="A6" s="7" t="s">
        <v>5123</v>
      </c>
      <c r="B6">
        <v>67</v>
      </c>
      <c r="C6">
        <v>82</v>
      </c>
      <c r="D6">
        <v>62</v>
      </c>
      <c r="E6">
        <v>57</v>
      </c>
      <c r="F6">
        <v>83</v>
      </c>
      <c r="G6">
        <v>58</v>
      </c>
      <c r="H6">
        <v>100</v>
      </c>
      <c r="I6">
        <v>95</v>
      </c>
      <c r="J6">
        <v>69</v>
      </c>
      <c r="K6">
        <v>2</v>
      </c>
      <c r="L6">
        <v>675</v>
      </c>
    </row>
    <row r="7" spans="1:12" x14ac:dyDescent="0.3">
      <c r="A7" s="7" t="s">
        <v>5124</v>
      </c>
      <c r="B7">
        <v>90</v>
      </c>
      <c r="C7">
        <v>57</v>
      </c>
      <c r="D7">
        <v>62</v>
      </c>
      <c r="E7">
        <v>64</v>
      </c>
      <c r="F7">
        <v>95</v>
      </c>
      <c r="G7">
        <v>59</v>
      </c>
      <c r="H7">
        <v>73</v>
      </c>
      <c r="I7">
        <v>89</v>
      </c>
      <c r="J7">
        <v>88</v>
      </c>
      <c r="K7">
        <v>2</v>
      </c>
      <c r="L7">
        <v>679</v>
      </c>
    </row>
    <row r="8" spans="1:12" x14ac:dyDescent="0.3">
      <c r="A8" s="7" t="s">
        <v>5125</v>
      </c>
      <c r="B8">
        <v>80</v>
      </c>
      <c r="C8">
        <v>100</v>
      </c>
      <c r="D8">
        <v>76</v>
      </c>
      <c r="E8">
        <v>94</v>
      </c>
      <c r="F8">
        <v>74</v>
      </c>
      <c r="G8">
        <v>60</v>
      </c>
      <c r="H8">
        <v>66</v>
      </c>
      <c r="I8">
        <v>76</v>
      </c>
      <c r="J8">
        <v>84</v>
      </c>
      <c r="K8">
        <v>2</v>
      </c>
      <c r="L8">
        <v>712</v>
      </c>
    </row>
    <row r="9" spans="1:12" x14ac:dyDescent="0.3">
      <c r="A9" s="7" t="s">
        <v>5126</v>
      </c>
      <c r="B9">
        <v>76</v>
      </c>
      <c r="C9">
        <v>86</v>
      </c>
      <c r="D9">
        <v>90</v>
      </c>
      <c r="E9">
        <v>76</v>
      </c>
      <c r="F9">
        <v>62</v>
      </c>
      <c r="G9">
        <v>72</v>
      </c>
      <c r="H9">
        <v>70</v>
      </c>
      <c r="I9">
        <v>66</v>
      </c>
      <c r="J9">
        <v>78</v>
      </c>
      <c r="K9">
        <v>4</v>
      </c>
      <c r="L9">
        <v>680</v>
      </c>
    </row>
    <row r="10" spans="1:12" x14ac:dyDescent="0.3">
      <c r="A10" s="7" t="s">
        <v>5127</v>
      </c>
      <c r="B10">
        <v>76</v>
      </c>
      <c r="C10">
        <v>68</v>
      </c>
      <c r="D10">
        <v>112</v>
      </c>
      <c r="E10">
        <v>100</v>
      </c>
      <c r="F10">
        <v>80</v>
      </c>
      <c r="G10">
        <v>70</v>
      </c>
      <c r="H10">
        <v>88</v>
      </c>
      <c r="I10">
        <v>86</v>
      </c>
      <c r="J10">
        <v>86</v>
      </c>
      <c r="K10">
        <v>2</v>
      </c>
      <c r="L10">
        <v>768</v>
      </c>
    </row>
    <row r="11" spans="1:12" x14ac:dyDescent="0.3">
      <c r="A11" s="7" t="s">
        <v>5128</v>
      </c>
      <c r="B11">
        <v>76</v>
      </c>
      <c r="C11">
        <v>70</v>
      </c>
      <c r="D11">
        <v>102</v>
      </c>
      <c r="E11">
        <v>66</v>
      </c>
      <c r="F11">
        <v>100</v>
      </c>
      <c r="G11">
        <v>82</v>
      </c>
      <c r="H11">
        <v>58</v>
      </c>
      <c r="I11">
        <v>88</v>
      </c>
      <c r="J11">
        <v>72</v>
      </c>
      <c r="K11">
        <v>2</v>
      </c>
      <c r="L11">
        <v>716</v>
      </c>
    </row>
    <row r="12" spans="1:12" x14ac:dyDescent="0.3">
      <c r="A12" s="7" t="s">
        <v>5121</v>
      </c>
      <c r="B12">
        <v>547</v>
      </c>
      <c r="C12">
        <v>529</v>
      </c>
      <c r="D12">
        <v>590</v>
      </c>
      <c r="E12">
        <v>547</v>
      </c>
      <c r="F12">
        <v>594</v>
      </c>
      <c r="G12">
        <v>499</v>
      </c>
      <c r="H12">
        <v>531</v>
      </c>
      <c r="I12">
        <v>566</v>
      </c>
      <c r="J12">
        <v>583</v>
      </c>
      <c r="K12">
        <v>14</v>
      </c>
      <c r="L12">
        <v>5000</v>
      </c>
    </row>
  </sheetData>
  <conditionalFormatting pivot="1" sqref="B5:L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F624-7EC3-A546-97D5-ABEB996F1B55}">
  <dimension ref="B2:E11"/>
  <sheetViews>
    <sheetView zoomScale="160" workbookViewId="0">
      <selection activeCell="E18" sqref="E18"/>
    </sheetView>
  </sheetViews>
  <sheetFormatPr defaultColWidth="11.5546875" defaultRowHeight="14.4" x14ac:dyDescent="0.3"/>
  <cols>
    <col min="1" max="1" width="5.77734375" customWidth="1"/>
    <col min="2" max="3" width="14.77734375" bestFit="1" customWidth="1"/>
    <col min="4" max="4" width="6.44140625" bestFit="1" customWidth="1"/>
    <col min="5" max="5" width="10.109375" bestFit="1" customWidth="1"/>
    <col min="6" max="6" width="6.44140625" bestFit="1" customWidth="1"/>
    <col min="7" max="7" width="17.33203125" bestFit="1" customWidth="1"/>
    <col min="8" max="8" width="18" bestFit="1" customWidth="1"/>
  </cols>
  <sheetData>
    <row r="2" spans="2:5" x14ac:dyDescent="0.3">
      <c r="B2" s="6" t="s">
        <v>5</v>
      </c>
      <c r="C2" t="s">
        <v>14</v>
      </c>
    </row>
    <row r="4" spans="2:5" x14ac:dyDescent="0.3">
      <c r="B4" s="6" t="s">
        <v>5134</v>
      </c>
      <c r="C4" s="6" t="s">
        <v>5120</v>
      </c>
    </row>
    <row r="5" spans="2:5" x14ac:dyDescent="0.3">
      <c r="B5" s="6" t="s">
        <v>4</v>
      </c>
      <c r="C5" t="s">
        <v>5135</v>
      </c>
      <c r="D5" t="s">
        <v>5133</v>
      </c>
      <c r="E5" t="s">
        <v>5121</v>
      </c>
    </row>
    <row r="6" spans="2:5" x14ac:dyDescent="0.3">
      <c r="B6" s="7" t="s">
        <v>29</v>
      </c>
      <c r="C6">
        <v>730</v>
      </c>
      <c r="D6">
        <v>65</v>
      </c>
      <c r="E6">
        <v>795</v>
      </c>
    </row>
    <row r="7" spans="2:5" x14ac:dyDescent="0.3">
      <c r="B7" s="7" t="s">
        <v>13</v>
      </c>
      <c r="C7">
        <v>711</v>
      </c>
      <c r="D7">
        <v>78</v>
      </c>
      <c r="E7">
        <v>789</v>
      </c>
    </row>
    <row r="8" spans="2:5" x14ac:dyDescent="0.3">
      <c r="B8" s="7" t="s">
        <v>24</v>
      </c>
      <c r="C8">
        <v>735</v>
      </c>
      <c r="D8">
        <v>83</v>
      </c>
      <c r="E8">
        <v>818</v>
      </c>
    </row>
    <row r="9" spans="2:5" x14ac:dyDescent="0.3">
      <c r="B9" s="7" t="s">
        <v>32</v>
      </c>
      <c r="C9">
        <v>763</v>
      </c>
      <c r="D9">
        <v>84</v>
      </c>
      <c r="E9">
        <v>847</v>
      </c>
    </row>
    <row r="10" spans="2:5" x14ac:dyDescent="0.3">
      <c r="B10" s="7" t="s">
        <v>17</v>
      </c>
      <c r="C10">
        <v>741</v>
      </c>
      <c r="D10">
        <v>64</v>
      </c>
      <c r="E10">
        <v>805</v>
      </c>
    </row>
    <row r="11" spans="2:5" x14ac:dyDescent="0.3">
      <c r="B11" s="7" t="s">
        <v>5121</v>
      </c>
      <c r="C11">
        <v>3680</v>
      </c>
      <c r="D11">
        <v>374</v>
      </c>
      <c r="E11">
        <v>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AE92-5176-D440-9820-3C20945DC3AA}">
  <dimension ref="A1:E18"/>
  <sheetViews>
    <sheetView tabSelected="1" topLeftCell="A10" workbookViewId="0">
      <selection activeCell="C16" sqref="C16"/>
    </sheetView>
  </sheetViews>
  <sheetFormatPr defaultColWidth="11.5546875" defaultRowHeight="14.4" x14ac:dyDescent="0.3"/>
  <cols>
    <col min="1" max="1" width="12.109375" bestFit="1" customWidth="1"/>
    <col min="2" max="2" width="12.6640625" bestFit="1" customWidth="1"/>
    <col min="3" max="3" width="20.33203125" bestFit="1" customWidth="1"/>
    <col min="4" max="4" width="12.109375" bestFit="1" customWidth="1"/>
    <col min="5" max="5" width="15.109375" bestFit="1" customWidth="1"/>
    <col min="6" max="5001" width="6.77734375" bestFit="1" customWidth="1"/>
    <col min="5002" max="5002" width="10.109375" bestFit="1" customWidth="1"/>
  </cols>
  <sheetData>
    <row r="1" spans="1:5" x14ac:dyDescent="0.3">
      <c r="A1" t="s">
        <v>5118</v>
      </c>
      <c r="B1" s="4">
        <f>AVERAGEIF(CallLog[Answered (Y/N)], "Y", CallLog[Speed of answer in seconds])</f>
        <v>67.520720276270353</v>
      </c>
    </row>
    <row r="3" spans="1:5" x14ac:dyDescent="0.3">
      <c r="A3" t="s">
        <v>5119</v>
      </c>
      <c r="B3" s="5">
        <f>COUNTIF(CallLog[Answered (Y/N)], "N") / COUNTA(CallLog[Call Id])</f>
        <v>0.18920000000000001</v>
      </c>
    </row>
    <row r="7" spans="1:5" x14ac:dyDescent="0.3">
      <c r="A7" s="6" t="s">
        <v>5136</v>
      </c>
      <c r="B7" t="s">
        <v>5137</v>
      </c>
      <c r="C7" t="s">
        <v>5139</v>
      </c>
      <c r="D7" s="6" t="s">
        <v>5136</v>
      </c>
      <c r="E7" t="s">
        <v>5138</v>
      </c>
    </row>
    <row r="8" spans="1:5" x14ac:dyDescent="0.3">
      <c r="A8" s="9">
        <v>9</v>
      </c>
      <c r="B8" s="8">
        <v>547</v>
      </c>
      <c r="C8" s="8">
        <v>547</v>
      </c>
      <c r="D8" s="9">
        <v>9</v>
      </c>
      <c r="E8" s="8">
        <v>547</v>
      </c>
    </row>
    <row r="9" spans="1:5" x14ac:dyDescent="0.3">
      <c r="A9" s="9">
        <v>10</v>
      </c>
      <c r="B9" s="8">
        <v>529</v>
      </c>
      <c r="C9" s="8">
        <v>529</v>
      </c>
      <c r="D9" s="9">
        <v>10</v>
      </c>
      <c r="E9" s="8">
        <v>529</v>
      </c>
    </row>
    <row r="10" spans="1:5" x14ac:dyDescent="0.3">
      <c r="A10" s="9">
        <v>11</v>
      </c>
      <c r="B10" s="8">
        <v>590</v>
      </c>
      <c r="C10" s="8">
        <v>590</v>
      </c>
      <c r="D10" s="9">
        <v>11</v>
      </c>
      <c r="E10" s="8">
        <v>590</v>
      </c>
    </row>
    <row r="11" spans="1:5" x14ac:dyDescent="0.3">
      <c r="A11" s="9">
        <v>12</v>
      </c>
      <c r="B11" s="8">
        <v>547</v>
      </c>
      <c r="C11" s="8">
        <v>547</v>
      </c>
      <c r="D11" s="9">
        <v>12</v>
      </c>
      <c r="E11" s="8">
        <v>547</v>
      </c>
    </row>
    <row r="12" spans="1:5" x14ac:dyDescent="0.3">
      <c r="A12" s="9">
        <v>13</v>
      </c>
      <c r="B12" s="8">
        <v>594</v>
      </c>
      <c r="C12" s="8">
        <v>594</v>
      </c>
      <c r="D12" s="9">
        <v>13</v>
      </c>
      <c r="E12" s="8">
        <v>594</v>
      </c>
    </row>
    <row r="13" spans="1:5" x14ac:dyDescent="0.3">
      <c r="A13" s="9">
        <v>14</v>
      </c>
      <c r="B13" s="8">
        <v>499</v>
      </c>
      <c r="C13" s="8">
        <v>499</v>
      </c>
      <c r="D13" s="9">
        <v>14</v>
      </c>
      <c r="E13" s="8">
        <v>499</v>
      </c>
    </row>
    <row r="14" spans="1:5" x14ac:dyDescent="0.3">
      <c r="A14" s="9">
        <v>15</v>
      </c>
      <c r="B14" s="8">
        <v>531</v>
      </c>
      <c r="C14" s="8">
        <v>531</v>
      </c>
      <c r="D14" s="9">
        <v>15</v>
      </c>
      <c r="E14" s="8">
        <v>531</v>
      </c>
    </row>
    <row r="15" spans="1:5" x14ac:dyDescent="0.3">
      <c r="A15" s="9">
        <v>16</v>
      </c>
      <c r="B15" s="8">
        <v>566</v>
      </c>
      <c r="C15" s="8">
        <v>566</v>
      </c>
      <c r="D15" s="9">
        <v>16</v>
      </c>
      <c r="E15" s="8">
        <v>566</v>
      </c>
    </row>
    <row r="16" spans="1:5" x14ac:dyDescent="0.3">
      <c r="A16" s="9">
        <v>17</v>
      </c>
      <c r="B16" s="8">
        <v>583</v>
      </c>
      <c r="C16" s="8">
        <v>583</v>
      </c>
      <c r="D16" s="9">
        <v>17</v>
      </c>
      <c r="E16" s="8">
        <v>583</v>
      </c>
    </row>
    <row r="17" spans="1:5" x14ac:dyDescent="0.3">
      <c r="A17" s="9">
        <v>18</v>
      </c>
      <c r="B17" s="8">
        <v>14</v>
      </c>
      <c r="C17" s="8">
        <v>14</v>
      </c>
      <c r="D17" s="9">
        <v>18</v>
      </c>
      <c r="E17" s="8">
        <v>14</v>
      </c>
    </row>
    <row r="18" spans="1:5" x14ac:dyDescent="0.3">
      <c r="A18" s="9" t="s">
        <v>5121</v>
      </c>
      <c r="B18" s="8">
        <v>5000</v>
      </c>
      <c r="C18" s="8">
        <v>5000</v>
      </c>
      <c r="D18" s="9" t="s">
        <v>5121</v>
      </c>
      <c r="E18" s="8">
        <v>5000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Call Log</vt:lpstr>
      <vt:lpstr>Agents Required</vt:lpstr>
      <vt:lpstr>Peek Hours &amp; Days</vt:lpstr>
      <vt:lpstr>Underperforming Queues</vt:lpstr>
      <vt:lpstr>Avg Ans Speed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dc:description/>
  <cp:lastModifiedBy>Thomas</cp:lastModifiedBy>
  <dcterms:created xsi:type="dcterms:W3CDTF">2021-05-12T18:01:50Z</dcterms:created>
  <dcterms:modified xsi:type="dcterms:W3CDTF">2025-11-29T00:04:48Z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